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aih2" vbProcedure="false">Q!$B$25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1h" vbProcedure="false">In!$E$30</definedName>
    <definedName function="false" hidden="false" name="ais_1h_hi" vbProcedure="false">In!$F$30</definedName>
    <definedName function="false" hidden="false" name="ais_1h_lo" vbProcedure="false">In!$D$30</definedName>
    <definedName function="false" hidden="false" name="ais_25" vbProcedure="false">In!$E$29</definedName>
    <definedName function="false" hidden="false" name="ais_25_hi" vbProcedure="false">In!$F$29</definedName>
    <definedName function="false" hidden="false" name="ais_25_lo" vbProcedure="false">In!$D$29</definedName>
    <definedName function="false" hidden="false" name="ais_q3" vbProcedure="false">In!$E$31</definedName>
    <definedName function="false" hidden="false" name="ais_q3_hi" vbProcedure="false">In!$F$31</definedName>
    <definedName function="false" hidden="false" name="ais_q3_lo" vbProcedure="false">In!$D$31</definedName>
    <definedName function="false" hidden="false" name="ais_q4" vbProcedure="false">In!$E$32</definedName>
    <definedName function="false" hidden="false" name="ais_q4_hi" vbProcedure="false">In!$F$32</definedName>
    <definedName function="false" hidden="false" name="ais_q4_lo" vbProcedure="false">In!$D$32</definedName>
    <definedName function="false" hidden="false" name="cons_feps" vbProcedure="false">In!$E$64</definedName>
    <definedName function="false" hidden="false" name="cons_tp" vbProcedure="false">In!$E$65</definedName>
    <definedName function="false" hidden="false" name="cons_tp_hi" vbProcedure="false">In!$F$65</definedName>
    <definedName function="false" hidden="false" name="cons_tp_lo" vbProcedure="false">In!$D$65</definedName>
    <definedName function="false" hidden="false" name="conv_sh" vbProcedure="false">In!$E$53</definedName>
    <definedName function="false" hidden="false" name="conv_sh_hi" vbProcedure="false">In!$F$53</definedName>
    <definedName function="false" hidden="false" name="conv_sh_lo" vbProcedure="false">In!$D$53</definedName>
    <definedName function="false" hidden="false" name="c_eps27" vbProcedure="false">In!$E$58</definedName>
    <definedName function="false" hidden="false" name="c_eps27_hi" vbProcedure="false">In!$F$58</definedName>
    <definedName function="false" hidden="false" name="c_eps27_lo" vbProcedure="false">In!$D$58</definedName>
    <definedName function="false" hidden="false" name="c_eps28" vbProcedure="false">In!$E$59</definedName>
    <definedName function="false" hidden="false" name="c_rev27" vbProcedure="false">In!$E$56</definedName>
    <definedName function="false" hidden="false" name="c_rev27_hi" vbProcedure="false">In!$F$56</definedName>
    <definedName function="false" hidden="false" name="c_rev27_lo" vbProcedure="false">In!$D$56</definedName>
    <definedName function="false" hidden="false" name="c_rev28" vbProcedure="false">In!$E$57</definedName>
    <definedName function="false" hidden="false" name="c_rev28_hi" vbProcedure="false">In!$F$57</definedName>
    <definedName function="false" hidden="false" name="c_rev28_lo" vbProcedure="false">In!$D$57</definedName>
    <definedName function="false" hidden="false" name="dgm_27" vbProcedure="false">In!$E$41</definedName>
    <definedName function="false" hidden="false" name="dgm_27_hi" vbProcedure="false">In!$F$41</definedName>
    <definedName function="false" hidden="false" name="dgm_27_lo" vbProcedure="false">In!$D$41</definedName>
    <definedName function="false" hidden="false" name="dgm_28" vbProcedure="false">In!$E$42</definedName>
    <definedName function="false" hidden="false" name="dgm_28_hi" vbProcedure="false">In!$F$42</definedName>
    <definedName function="false" hidden="false" name="dgm_28_lo" vbProcedure="false">In!$D$42</definedName>
    <definedName function="false" hidden="false" name="fade_gA" vbProcedure="false">In!$E$75</definedName>
    <definedName function="false" hidden="false" name="fade_gB" vbProcedure="false">In!$E$76</definedName>
    <definedName function="false" hidden="false" name="fade_gC" vbProcedure="false">In!$E$77</definedName>
    <definedName function="false" hidden="false" name="fade_mA" vbProcedure="false">In!$E$78</definedName>
    <definedName function="false" hidden="false" name="fade_mB" vbProcedure="false">In!$E$79</definedName>
    <definedName function="false" hidden="false" name="fade_mC" vbProcedure="false">In!$E$80</definedName>
    <definedName function="false" hidden="false" name="fpe" vbProcedure="false">In!$E$63</definedName>
    <definedName function="false" hidden="false" name="g27" vbProcedure="false">In!$E$33</definedName>
    <definedName function="false" hidden="false" name="g27_hi" vbProcedure="false">In!$F$33</definedName>
    <definedName function="false" hidden="false" name="g27_lo" vbProcedure="false">In!$D$33</definedName>
    <definedName function="false" hidden="false" name="gm_nai" vbProcedure="false">In!$E$40</definedName>
    <definedName function="false" hidden="false" name="gm_nai_hi" vbProcedure="false">In!$F$40</definedName>
    <definedName function="false" hidden="false" name="gm_nai_lo" vbProcedure="false">In!$D$40</definedName>
    <definedName function="false" hidden="false" name="g_nai27" vbProcedure="false">In!$E$36</definedName>
    <definedName function="false" hidden="false" name="g_nai27_hi" vbProcedure="false">In!$F$36</definedName>
    <definedName function="false" hidden="false" name="g_nai27_lo" vbProcedure="false">In!$D$36</definedName>
    <definedName function="false" hidden="false" name="g_nai28" vbProcedure="false">In!$E$37</definedName>
    <definedName function="false" hidden="false" name="g_nai28_hi" vbProcedure="false">In!$F$37</definedName>
    <definedName function="false" hidden="false" name="g_nai28_lo" vbProcedure="false">In!$D$37</definedName>
    <definedName function="false" hidden="false" name="g_nai29" vbProcedure="false">In!$E$38</definedName>
    <definedName function="false" hidden="false" name="g_nai29_hi" vbProcedure="false">In!$F$38</definedName>
    <definedName function="false" hidden="false" name="g_nai29_lo" vbProcedure="false">In!$D$38</definedName>
    <definedName function="false" hidden="false" name="mf" vbProcedure="false">In!$E$27</definedName>
    <definedName function="false" hidden="false" name="mf_hi" vbProcedure="false">In!$F$27</definedName>
    <definedName function="false" hidden="false" name="mf_lo" vbProcedure="false">In!$D$27</definedName>
    <definedName function="false" hidden="false" name="nim10" vbProcedure="false">In!$E$66</definedName>
    <definedName function="false" hidden="false" name="nio_f" vbProcedure="false">In!$E$49</definedName>
    <definedName function="false" hidden="false" name="nio_f_hi" vbProcedure="false">In!$F$49</definedName>
    <definedName function="false" hidden="false" name="nio_f_lo" vbProcedure="false">In!$D$49</definedName>
    <definedName function="false" hidden="false" name="opx_adj" vbProcedure="false">In!$E$48</definedName>
    <definedName function="false" hidden="false" name="opx_adj_hi" vbProcedure="false">In!$F$48</definedName>
    <definedName function="false" hidden="false" name="opx_adj_lo" vbProcedure="false">In!$D$48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In!$E$62</definedName>
    <definedName function="false" hidden="false" name="phi" vbProcedure="false">In!$E$47</definedName>
    <definedName function="false" hidden="false" name="phi_hi" vbProcedure="false">In!$F$47</definedName>
    <definedName function="false" hidden="false" name="phi_lo" vbProcedure="false">In!$D$47</definedName>
    <definedName function="false" hidden="false" name="pref_div" vbProcedure="false">In!$E$50</definedName>
    <definedName function="false" hidden="false" name="px" vbProcedure="false">In!$E$61</definedName>
    <definedName function="false" hidden="false" name="q1_gm" vbProcedure="false">In!$E$45</definedName>
    <definedName function="false" hidden="false" name="q1_gm_hi" vbProcedure="false">In!$F$45</definedName>
    <definedName function="false" hidden="false" name="q1_gm_lo" vbProcedure="false">In!$D$45</definedName>
    <definedName function="false" hidden="false" name="q1_rev" vbProcedure="false">In!$E$44</definedName>
    <definedName function="false" hidden="false" name="q1_rev_hi" vbProcedure="false">In!$F$44</definedName>
    <definedName function="false" hidden="false" name="q1_rev_lo" vbProcedure="false">In!$D$44</definedName>
    <definedName function="false" hidden="false" name="rel_28" vbProcedure="false">In!$E$34</definedName>
    <definedName function="false" hidden="false" name="rel_28_hi" vbProcedure="false">In!$F$34</definedName>
    <definedName function="false" hidden="false" name="rel_28_lo" vbProcedure="false">In!$D$34</definedName>
    <definedName function="false" hidden="false" name="rel_29" vbProcedure="false">In!$E$35</definedName>
    <definedName function="false" hidden="false" name="rel_29_hi" vbProcedure="false">In!$F$35</definedName>
    <definedName function="false" hidden="false" name="rel_29_lo" vbProcedure="false">In!$D$35</definedName>
    <definedName function="false" hidden="false" name="sbc_ps" vbProcedure="false">In!$E$54</definedName>
    <definedName function="false" hidden="false" name="sh27" vbProcedure="false">In!$E$51</definedName>
    <definedName function="false" hidden="false" name="sh_g" vbProcedure="false">In!$E$52</definedName>
    <definedName function="false" hidden="false" name="sh_g_hi" vbProcedure="false">In!$F$52</definedName>
    <definedName function="false" hidden="false" name="sh_g_lo" vbProcedure="false">In!$D$52</definedName>
    <definedName function="false" hidden="false" name="tp_g" vbProcedure="false">In!$E$72</definedName>
    <definedName function="false" hidden="false" name="tp_r" vbProcedure="false">In!$E$71</definedName>
    <definedName function="false" hidden="false" name="tp_roe" vbProcedure="false">In!$E$73</definedName>
    <definedName function="false" hidden="false" name="tp_wA" vbProcedure="false">In!$E$68</definedName>
    <definedName function="false" hidden="false" name="tp_wB" vbProcedure="false">In!$E$69</definedName>
    <definedName function="false" hidden="false" name="tp_wC" vbProcedure="false">In!$E$70</definedName>
    <definedName function="false" hidden="false" name="tp_w_dcf" vbProcedure="false">In!$E$74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un_26" vbProcedure="false">In!$E$9</definedName>
    <definedName function="false" hidden="false" name="un_27" vbProcedure="false">In!$E$10</definedName>
    <definedName function="false" hidden="false" name="un_28" vbProcedure="false">In!$E$11</definedName>
    <definedName function="false" hidden="false" name="un_29" vbProcedure="false">In!$E$12</definedName>
    <definedName function="false" hidden="false" name="uo_26" vbProcedure="false">In!$E$5</definedName>
    <definedName function="false" hidden="false" name="uo_27" vbProcedure="false">In!$E$6</definedName>
    <definedName function="false" hidden="false" name="uo_28" vbProcedure="false">In!$E$7</definedName>
    <definedName function="false" hidden="false" name="uo_29" vbProcedure="false">In!$E$8</definedName>
    <definedName function="false" hidden="false" name="ut_26" vbProcedure="false">In!$E$13</definedName>
    <definedName function="false" hidden="false" name="ut_27" vbProcedure="false">In!$E$14</definedName>
    <definedName function="false" hidden="false" name="ut_28" vbProcedure="false">In!$E$15</definedName>
    <definedName function="false" hidden="false" name="ut_29" vbProcedure="false">In!$E$16</definedName>
    <definedName function="false" hidden="false" name="vpg_28" vbProcedure="false">In!$E$19</definedName>
    <definedName function="false" hidden="false" name="vpg_28_hi" vbProcedure="false">In!$F$19</definedName>
    <definedName function="false" hidden="false" name="vpg_28_lo" vbProcedure="false">In!$D$19</definedName>
    <definedName function="false" hidden="false" name="vpg_29" vbProcedure="false">In!$E$20</definedName>
    <definedName function="false" hidden="false" name="vpg_29_hi" vbProcedure="false">In!$F$20</definedName>
    <definedName function="false" hidden="false" name="vpg_29_lo" vbProcedure="false">In!$D$20</definedName>
    <definedName function="false" hidden="false" name="v_gb" vbProcedure="false">In!$E$17</definedName>
    <definedName function="false" hidden="false" name="v_vr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<sst xmlns="http://schemas.openxmlformats.org/spreadsheetml/2006/main" count="3196" uniqueCount="759">
  <si>
    <r>
      <rPr>
        <b val="true"/>
        <sz val="11"/>
        <rFont val="Noto Sans CJK SC"/>
        <family val="2"/>
      </rPr>
      <t xml:space="preserve">美超微 </t>
    </r>
    <r>
      <rPr>
        <b val="true"/>
        <sz val="11"/>
        <rFont val="Cambria"/>
        <family val="0"/>
        <charset val="1"/>
      </rPr>
      <t xml:space="preserve">Super Micro Computer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SMCI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</si>
  <si>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（初版）。美超微是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伺服器品牌商（整機、整櫃、直接液冷），客戶含 </t>
    </r>
    <r>
      <rPr>
        <sz val="11"/>
        <rFont val="Cambria"/>
        <family val="0"/>
        <charset val="1"/>
      </rPr>
      <t xml:space="preserve">neocloud</t>
    </r>
    <r>
      <rPr>
        <sz val="11"/>
        <rFont val="Noto Sans CJK SC"/>
        <family val="2"/>
      </rPr>
      <t xml:space="preserve">、大型資料中心與企業，以買賣模式銷售含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的系統。商用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顆數與情境係數讀台積電模型，每顆系統價值讀橋接表（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整櫃價格），本模型只決定美超微的份額、毛利率與非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</si>
  <si>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模型命題：美超微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顆數（台積電模型，同字母情境）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每顆系統價值（整櫃買方價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每架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起依情境變動）；非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營收以成長率推；毛利率＝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毛利率依情境調整。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</si>
  <si>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650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720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1Q </t>
    </r>
    <r>
      <rPr>
        <sz val="11"/>
        <rFont val="Noto Sans CJK SC"/>
        <family val="2"/>
      </rPr>
      <t xml:space="preserve">已初報約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億）能否轉成 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美元、並守住約 </t>
    </r>
    <r>
      <rPr>
        <sz val="11"/>
        <rFont val="Cambria"/>
        <family val="0"/>
        <charset val="1"/>
      </rPr>
      <t xml:space="preserve">11% </t>
    </r>
    <r>
      <rPr>
        <sz val="11"/>
        <rFont val="Noto Sans CJK SC"/>
        <family val="2"/>
      </rPr>
      <t xml:space="preserve">毛利率；現價約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美元、約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的治理折價是否過深。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</si>
  <si>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已結束（實績錨點）。上游為日曆年：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½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CY(t)</t>
    </r>
    <r>
      <rPr>
        <sz val="11"/>
        <rFont val="Noto Sans CJK SC"/>
        <family val="2"/>
      </rPr>
      <t xml:space="preserve">。金額：十億美元；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稀釋（美元）。口徑：歸屬母公司淨利＝扣除強制可轉換特別股股利後、歸屬普通股；</t>
    </r>
    <r>
      <rPr>
        <sz val="11"/>
        <rFont val="Cambria"/>
        <family val="0"/>
        <charset val="1"/>
      </rPr>
      <t xml:space="preserve">2029-06 </t>
    </r>
    <r>
      <rPr>
        <sz val="11"/>
        <rFont val="Noto Sans CJK SC"/>
        <family val="2"/>
      </rPr>
      <t xml:space="preserve">特別股轉換後（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起）股利消失、股數增加。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</si>
  <si>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</si>
  <si>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430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 </t>
    </r>
    <r>
      <rPr>
        <sz val="11"/>
        <rFont val="Noto Sans CJK SC"/>
        <family val="2"/>
      </rPr>
      <t xml:space="preserve">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＝（指引營收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基準市場，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</si>
  <si>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）。毛利率：非 </t>
    </r>
    <r>
      <rPr>
        <sz val="11"/>
        <rFont val="Cambria"/>
        <family val="0"/>
        <charset val="1"/>
      </rPr>
      <t xml:space="preserve">AI 15%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校準值＋情境調整（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淨利係數（稅與利息）− 特別股股利。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</si>
  <si>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全年實績（公司 </t>
    </r>
    <r>
      <rPr>
        <sz val="11"/>
        <rFont val="Cambria"/>
        <family val="0"/>
        <charset val="1"/>
      </rPr>
      <t xml:space="preserve">2026-08-11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營收＝公司指引（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上緣、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中點、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下緣）。不用券商數字（只在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</si>
  <si>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Dell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、緯穎、廣達、緯創前瞻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FY2029</t>
    </r>
    <r>
      <rPr>
        <sz val="11"/>
        <rFont val="Noto Sans CJK SC"/>
        <family val="2"/>
      </rPr>
      <t xml:space="preserve">）；不含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</si>
  <si>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特別股股利前淨利率收斂到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</si>
  <si>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未使用。公司原文為新聞稿與財報說明稿；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只經二手摘要；券商與資料商為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</si>
  <si>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治理風險：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年會計師辭任與延遲申報、</t>
    </r>
    <r>
      <rPr>
        <sz val="11"/>
        <rFont val="Cambria"/>
        <family val="0"/>
        <charset val="1"/>
      </rPr>
      <t xml:space="preserve">2026-03 </t>
    </r>
    <r>
      <rPr>
        <sz val="11"/>
        <rFont val="Noto Sans CJK SC"/>
        <family val="2"/>
      </rPr>
      <t xml:space="preserve">前員工與共同創辦人因出口管制被起訴、</t>
    </r>
    <r>
      <rPr>
        <sz val="11"/>
        <rFont val="Cambria"/>
        <family val="0"/>
        <charset val="1"/>
      </rPr>
      <t xml:space="preserve">FY2026 10-K </t>
    </r>
    <r>
      <rPr>
        <sz val="11"/>
        <rFont val="Noto Sans CJK SC"/>
        <family val="2"/>
      </rPr>
      <t xml:space="preserve">內控仍未有效（</t>
    </r>
    <r>
      <rPr>
        <sz val="11"/>
        <rFont val="Cambria"/>
        <family val="0"/>
        <charset val="1"/>
      </rPr>
      <t xml:space="preserve">BDO </t>
    </r>
    <r>
      <rPr>
        <sz val="11"/>
        <rFont val="Noto Sans CJK SC"/>
        <family val="2"/>
      </rPr>
      <t xml:space="preserve">否定意見）；不改情境結構，以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案例（大客戶流失、淨利係數）呈現；</t>
    </r>
    <r>
      <rPr>
        <sz val="11"/>
        <rFont val="Cambria"/>
        <family val="0"/>
        <charset val="1"/>
      </rPr>
      <t xml:space="preserve">(2) FY2027 </t>
    </r>
    <r>
      <rPr>
        <sz val="11"/>
        <rFont val="Noto Sans CJK SC"/>
        <family val="2"/>
      </rPr>
      <t xml:space="preserve">份額以公司指引校準，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最大客戶占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28%</t>
    </r>
    <r>
      <rPr>
        <sz val="11"/>
        <rFont val="Noto Sans CJK SC"/>
        <family val="2"/>
      </rPr>
      <t xml:space="preserve">、單一供應商占採購 </t>
    </r>
    <r>
      <rPr>
        <sz val="11"/>
        <rFont val="Cambria"/>
        <family val="0"/>
        <charset val="1"/>
      </rPr>
      <t xml:space="preserve">63.1%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每顆系統價值以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整櫃買方價近似，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EPS </t>
    </r>
    <r>
      <rPr>
        <sz val="11"/>
        <rFont val="Noto Sans CJK SC"/>
        <family val="2"/>
      </rPr>
      <t xml:space="preserve">推現金流未扣營運資金（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營業現金流 −</t>
    </r>
    <r>
      <rPr>
        <sz val="11"/>
        <rFont val="Cambria"/>
        <family val="0"/>
        <charset val="1"/>
      </rPr>
      <t xml:space="preserve">68 </t>
    </r>
    <r>
      <rPr>
        <sz val="11"/>
        <rFont val="Noto Sans CJK SC"/>
        <family val="2"/>
      </rPr>
      <t xml:space="preserve">億美元），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，本模型為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1Q FY27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2026-11-03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</si>
  <si>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稀釋、美元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</si>
  <si>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）、財報說明稿、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（經二手摘要）；公司的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顆數與情境係數讀台積電模型、每顆系統價值讀橋接表（唯讀）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</si>
  <si>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</si>
  <si>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</si>
  <si>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</si>
  <si>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</si>
  <si>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</si>
  <si>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</si>
  <si>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</si>
  <si>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</si>
  <si>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</si>
  <si>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</si>
  <si>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uo_26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</si>
  <si>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</si>
  <si>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</si>
  <si>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</si>
  <si>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</si>
  <si>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台積電模型八類加速器中 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</si>
  <si>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uo_27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</si>
  <si>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</si>
  <si>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</si>
  <si>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uo_28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</si>
  <si>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</si>
  <si>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</si>
  <si>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</si>
  <si>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un_26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</si>
  <si>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</si>
  <si>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un_27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</si>
  <si>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</si>
  <si>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世代價值（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整櫃；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</si>
  <si>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un_28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</si>
  <si>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</si>
  <si>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un_29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</si>
  <si>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</si>
  <si>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</si>
  <si>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</si>
  <si>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八類合計；商用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以外為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（美超微不銷售）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</si>
  <si>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</si>
  <si>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（對照）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</si>
  <si>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</si>
  <si>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（對照）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</si>
  <si>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</si>
  <si>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（對照）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</si>
  <si>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</si>
  <si>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</si>
  <si>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千美元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</si>
  <si>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</si>
  <si>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顆（經橋接表；唯讀）；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八卡伺服器與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</si>
  <si>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</si>
  <si>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</si>
  <si>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未另訂（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</si>
  <si>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vpg_28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</si>
  <si>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</si>
  <si>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</si>
  <si>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</si>
  <si>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）整櫃價格：未找到</t>
    </r>
  </si>
  <si>
    <r>
      <rPr>
        <sz val="11"/>
        <color theme="1"/>
        <rFont val="Noto Sans CJK SC"/>
        <family val="2"/>
      </rPr>
      <t xml:space="preserve">與廣達、緯穎模型的每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價值變動同區間</t>
    </r>
  </si>
  <si>
    <t xml:space="preserve">vpg_29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</si>
  <si>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</si>
  <si>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—</t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</si>
  <si>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</si>
  <si>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</si>
  <si>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</si>
  <si>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＝不如預期（明顯下修）；與台積電、廣達、緯穎模型相同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</si>
  <si>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</si>
  <si>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</si>
  <si>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</si>
  <si>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</si>
  <si>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</si>
  <si>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</si>
  <si>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</si>
  <si>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</si>
  <si>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</si>
  <si>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</si>
  <si>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</si>
  <si>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</si>
  <si>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</si>
  <si>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</si>
  <si>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</si>
  <si>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</si>
  <si>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</si>
  <si>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顆數約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8.35 → 11.2 </t>
    </r>
    <r>
      <rPr>
        <sz val="11"/>
        <color theme="1"/>
        <rFont val="Noto Sans CJK SC"/>
        <family val="2"/>
      </rPr>
      <t xml:space="preserve">百萬顆）</t>
    </r>
  </si>
  <si>
    <t xml:space="preserve">±20%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</si>
  <si>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營收結構、份額（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以公司指引校準）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</si>
  <si>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</si>
  <si>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</si>
  <si>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</si>
  <si>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</si>
  <si>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平台占營收逾七成（法說；原文未逐字取得）</t>
    </r>
  </si>
  <si>
    <t xml:space="preserve">量化第二來源：未找到</t>
  </si>
  <si>
    <t xml:space="preserve">ais_1h</t>
  </si>
  <si>
    <r>
      <rPr>
        <sz val="11"/>
        <color theme="1"/>
        <rFont val="Calibri"/>
        <family val="2"/>
        <charset val="1"/>
      </rPr>
      <t xml:space="preserve">1H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</si>
  <si>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量產帶動（未給比例）</t>
    </r>
  </si>
  <si>
    <t xml:space="preserve">公司揭露比例：未找到</t>
  </si>
  <si>
    <t xml:space="preserve">ais_q3</t>
  </si>
  <si>
    <r>
      <rPr>
        <sz val="11"/>
        <color theme="1"/>
        <rFont val="Calibri"/>
        <family val="2"/>
        <charset val="1"/>
      </rPr>
      <t xml:space="preserve">3Q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</si>
  <si>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</si>
  <si>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</t>
    </r>
  </si>
  <si>
    <t xml:space="preserve">ais_q4</t>
  </si>
  <si>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</si>
  <si>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，專案出貨時點使比重下降（公司）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</si>
  <si>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（法說重點）：同；公司預期未來逾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60–70%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</si>
  <si>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</si>
  <si>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</si>
  <si>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</si>
  <si>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</si>
  <si>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億美元，高於原指引 </t>
    </r>
    <r>
      <rPr>
        <sz val="11"/>
        <color theme="1"/>
        <rFont val="Calibri"/>
        <family val="2"/>
        <charset val="1"/>
      </rPr>
      <t xml:space="preserve">145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億；全年指引未調整（公司，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</si>
  <si>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</si>
  <si>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</si>
  <si>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直供（廣達、緯創、鴻海）爭取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與企業訂單；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億美元新訂單（公司）</t>
    </r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</si>
  <si>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（公司說明稿）：大客戶轉單為下檔</t>
    </r>
  </si>
  <si>
    <t xml:space="preserve">rel_29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</si>
  <si>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</si>
  <si>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</si>
  <si>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（企業、儲存、邊緣）營收年增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</si>
  <si>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財報說明稿：企業與通路營收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172%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</si>
  <si>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營收分項：未找到；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</si>
  <si>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</si>
  <si>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</si>
  <si>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</si>
  <si>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</si>
  <si>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毛利率（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</si>
  <si>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</si>
  <si>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</si>
  <si>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占比低）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（公司年報，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損益表：毛利 </t>
    </r>
    <r>
      <rPr>
        <sz val="11"/>
        <color theme="1"/>
        <rFont val="Calibri"/>
        <family val="2"/>
        <charset val="1"/>
      </rPr>
      <t xml:space="preserve">1,283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7,123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</si>
  <si>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部門別毛利率：未找到；公司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目標毛利率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</si>
  <si>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dgm_27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</si>
  <si>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</si>
  <si>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t xml:space="preserve">pt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</si>
  <si>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，客戶與產品組合（公司）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</si>
  <si>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4Q FY26 17.6%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）約四分之三來自組合與遞延至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的合約、四分之一來自關稅與存貨跌價回轉（可能不重複）</t>
    </r>
  </si>
  <si>
    <t xml:space="preserve">dgm_28</t>
  </si>
  <si>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</si>
  <si>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價格競爭與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轉手比重上升；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：液冷與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整體解決方案</t>
    </r>
  </si>
  <si>
    <r>
      <rPr>
        <sz val="11"/>
        <color theme="1"/>
        <rFont val="Calibri"/>
        <family val="2"/>
        <charset val="1"/>
      </rPr>
      <t xml:space="preserve">FY2024 13.8% → FY2025 11.1% → FY2026 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損益表）</t>
    </r>
  </si>
  <si>
    <r>
      <rPr>
        <b val="true"/>
        <sz val="11"/>
        <rFont val="Cambria"/>
        <family val="0"/>
        <charset val="1"/>
      </rPr>
      <t xml:space="preserve">D. 1Q FY27 </t>
    </r>
    <r>
      <rPr>
        <b val="true"/>
        <sz val="11"/>
        <rFont val="Noto Sans CJK SC"/>
        <family val="2"/>
      </rPr>
      <t xml:space="preserve">初步數字（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對帳用）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</si>
  <si>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</si>
  <si>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）初步營收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</si>
  <si>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億美元（公司，未經審計）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</si>
  <si>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：同（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</si>
  <si>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</si>
  <si>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</si>
  <si>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</si>
  <si>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原指引 </t>
    </r>
    <r>
      <rPr>
        <sz val="11"/>
        <color theme="1"/>
        <rFont val="Calibri"/>
        <family val="2"/>
        <charset val="1"/>
      </rPr>
      <t xml:space="preserve">10.4%–10.8%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</si>
  <si>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營業費用、淨利係數、特別股與股數（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</si>
  <si>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</si>
  <si>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</si>
  <si>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1Q FY27 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億美元（年化約 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億，較 </t>
    </r>
    <r>
      <rPr>
        <sz val="11"/>
        <color theme="1"/>
        <rFont val="Calibri"/>
        <family val="2"/>
        <charset val="1"/>
      </rPr>
      <t xml:space="preserve">FY2026 14.57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</si>
  <si>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實測：營業費用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+78%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頁），彈性約 </t>
    </r>
    <r>
      <rPr>
        <sz val="11"/>
        <color theme="1"/>
        <rFont val="Calibri"/>
        <family val="2"/>
        <charset val="1"/>
      </rPr>
      <t xml:space="preserve">0.3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</si>
  <si>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</si>
  <si>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</si>
  <si>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</si>
  <si>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±2.5%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</si>
  <si>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</si>
  <si>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淨利（特別股股利前）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</si>
  <si>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2,230.5 ÷ 2,770.5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；稅率 </t>
    </r>
    <r>
      <rPr>
        <sz val="11"/>
        <color theme="1"/>
        <rFont val="Calibri"/>
        <family val="2"/>
        <charset val="1"/>
      </rPr>
      <t xml:space="preserve">FY2026 19.9%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</si>
  <si>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EPS 0.89–0.98 × 7.45 </t>
    </r>
    <r>
      <rPr>
        <sz val="11"/>
        <color theme="1"/>
        <rFont val="Noto Sans CJK SC"/>
        <family val="2"/>
      </rPr>
      <t xml:space="preserve">億股＋特別股股利，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10.6% −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億）：銀行借款 </t>
    </r>
    <r>
      <rPr>
        <sz val="11"/>
        <color theme="1"/>
        <rFont val="Calibri"/>
        <family val="2"/>
        <charset val="1"/>
      </rPr>
      <t xml:space="preserve">40.6 </t>
    </r>
    <r>
      <rPr>
        <sz val="11"/>
        <color theme="1"/>
        <rFont val="Noto Sans CJK SC"/>
        <family val="2"/>
      </rPr>
      <t xml:space="preserve">億、可轉債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億美元的利息（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</si>
  <si>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pref_div</t>
  </si>
  <si>
    <t xml:space="preserve">強制可轉換特別股股利（年）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</si>
  <si>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Noto Sans CJK SC"/>
        <family val="2"/>
      </rPr>
      <t xml:space="preserve">萬股存託股＋超額配售 </t>
    </r>
    <r>
      <rPr>
        <sz val="11"/>
        <color theme="1"/>
        <rFont val="Calibri"/>
        <family val="2"/>
        <charset val="1"/>
      </rPr>
      <t xml:space="preserve">1,125 </t>
    </r>
    <r>
      <rPr>
        <sz val="11"/>
        <color theme="1"/>
        <rFont val="Noto Sans CJK SC"/>
        <family val="2"/>
      </rPr>
      <t xml:space="preserve">萬股、每股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美元、股利率 </t>
    </r>
    <r>
      <rPr>
        <sz val="11"/>
        <color theme="1"/>
        <rFont val="Calibri"/>
        <family val="2"/>
        <charset val="1"/>
      </rPr>
      <t xml:space="preserve">7.0%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強制轉換（公司）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</si>
  <si>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募得淨額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億美元，其中強制可轉換特別股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億（公司）；超額配售全數執行為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</si>
  <si>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sh27</t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</si>
  <si>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</si>
  <si>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</si>
  <si>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7.45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</si>
  <si>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統計頁：流通股數 </t>
    </r>
    <r>
      <rPr>
        <sz val="11"/>
        <color theme="1"/>
        <rFont val="Calibri"/>
        <family val="2"/>
        <charset val="1"/>
      </rPr>
      <t xml:space="preserve">6.5697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</si>
  <si>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</si>
  <si>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股數年變動（員工股票報酬、可轉債）</t>
  </si>
  <si>
    <r>
      <rPr>
        <sz val="11"/>
        <color theme="1"/>
        <rFont val="Calibri"/>
        <family val="2"/>
        <charset val="1"/>
      </rPr>
      <t xml:space="preserve">FY2025 6.284 → FY2026 6.973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稀釋，含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月增資；公司）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</si>
  <si>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指引股票報酬費用約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億美元／季（公司）</t>
    </r>
  </si>
  <si>
    <t xml:space="preserve">conv_sh</t>
  </si>
  <si>
    <r>
      <rPr>
        <sz val="11"/>
        <color theme="1"/>
        <rFont val="Noto Sans CJK SC"/>
        <family val="2"/>
      </rPr>
      <t xml:space="preserve">特別股轉換新增股數（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起；最低～最高轉換率中點）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</si>
  <si>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股權與特別股定價公告：每股存託股轉換 </t>
    </r>
    <r>
      <rPr>
        <sz val="11"/>
        <color theme="1"/>
        <rFont val="Calibri"/>
        <family val="2"/>
        <charset val="1"/>
      </rPr>
      <t xml:space="preserve">1.5152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1.8182 </t>
    </r>
    <r>
      <rPr>
        <sz val="11"/>
        <color theme="1"/>
        <rFont val="Noto Sans CJK SC"/>
        <family val="2"/>
      </rPr>
      <t xml:space="preserve">股普通股（公司）</t>
    </r>
  </si>
  <si>
    <r>
      <rPr>
        <sz val="11"/>
        <color theme="1"/>
        <rFont val="Noto Sans CJK SC"/>
        <family val="2"/>
      </rPr>
      <t xml:space="preserve">轉換後特別股股利消失；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股利以全年計（實際 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轉換，差約一個月）</t>
    </r>
  </si>
  <si>
    <t xml:space="preserve">sbc_ps</t>
  </si>
  <si>
    <r>
      <rPr>
        <sz val="11"/>
        <color theme="1"/>
        <rFont val="Calibri"/>
        <family val="2"/>
        <charset val="1"/>
      </rPr>
      <t xml:space="preserve">GAAP → non-GAAP EPS </t>
    </r>
    <r>
      <rPr>
        <sz val="11"/>
        <color theme="1"/>
        <rFont val="Noto Sans CJK SC"/>
        <family val="2"/>
      </rPr>
      <t xml:space="preserve">調整（每股；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對共識用）</t>
    </r>
  </si>
  <si>
    <t xml:space="preserve">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</si>
  <si>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股票報酬約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億美元、稅效果 </t>
    </r>
    <r>
      <rPr>
        <sz val="11"/>
        <color theme="1"/>
        <rFont val="Calibri"/>
        <family val="2"/>
        <charset val="1"/>
      </rPr>
      <t xml:space="preserve">0.32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</si>
  <si>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FY2026 non-GAAP 3.63 − GAAP 3.26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</si>
  <si>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</si>
  <si>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</si>
  <si>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</si>
  <si>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預測頁：平均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635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820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</si>
  <si>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分析頁：同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</si>
  <si>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</si>
  <si>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</si>
  <si>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分析頁：平均 </t>
    </r>
    <r>
      <rPr>
        <sz val="11"/>
        <color theme="1"/>
        <rFont val="Calibri"/>
        <family val="2"/>
        <charset val="1"/>
      </rPr>
      <t xml:space="preserve">814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</si>
  <si>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 FY2028 </t>
    </r>
    <r>
      <rPr>
        <sz val="11"/>
        <color theme="1"/>
        <rFont val="Noto Sans CJK SC"/>
        <family val="2"/>
      </rPr>
      <t xml:space="preserve">需付費：未找到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</si>
  <si>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</si>
  <si>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</si>
  <si>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3.50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6.40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</si>
  <si>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</si>
  <si>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</si>
  <si>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</si>
  <si>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5.59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</si>
  <si>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季度數字前後不一致，不採用）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</si>
  <si>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</si>
  <si>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</si>
  <si>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</si>
  <si>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32.94</t>
    </r>
  </si>
  <si>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32.94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</si>
  <si>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</si>
  <si>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</si>
  <si>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</t>
    </r>
  </si>
  <si>
    <r>
      <rPr>
        <sz val="11"/>
        <color theme="1"/>
        <rFont val="Calibri"/>
        <family val="2"/>
        <charset val="1"/>
      </rPr>
      <t xml:space="preserve">fullratio 9.02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</si>
  <si>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</si>
  <si>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</si>
  <si>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</si>
  <si>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</si>
  <si>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</si>
  <si>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7.06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</si>
  <si>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≈ 共識 </t>
    </r>
    <r>
      <rPr>
        <sz val="11"/>
        <color theme="1"/>
        <rFont val="Calibri"/>
        <family val="2"/>
        <charset val="1"/>
      </rPr>
      <t xml:space="preserve">FY2027 EPS 4.67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</si>
  <si>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</si>
  <si>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</si>
  <si>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</si>
  <si>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</si>
  <si>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</si>
  <si>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</si>
  <si>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淨利：各年營收與淨利（百萬美元；</t>
    </r>
    <r>
      <rPr>
        <sz val="11"/>
        <color theme="1"/>
        <rFont val="Calibri"/>
        <family val="2"/>
        <charset val="1"/>
      </rPr>
      <t xml:space="preserve">FY2016 2,225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 … FY2023 7,123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</si>
  <si>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</t>
    </r>
    <r>
      <rPr>
        <sz val="11"/>
        <color theme="1"/>
        <rFont val="Calibri"/>
        <family val="2"/>
        <charset val="1"/>
      </rPr>
      <t xml:space="preserve">FY2024 14,989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21,972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1,049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</si>
  <si>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</si>
  <si>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</si>
  <si>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</si>
  <si>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</si>
  <si>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</si>
  <si>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</si>
  <si>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</si>
  <si>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</si>
  <si>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</si>
  <si>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</si>
  <si>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</si>
  <si>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</si>
  <si>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個月後。治理與會計風險不另加折現率（見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</si>
  <si>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</si>
  <si>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</si>
  <si>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</si>
  <si>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</si>
  <si>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</si>
  <si>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</si>
  <si>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ROE FY2024 31.20%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21.47%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</si>
  <si>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三年後預測 </t>
    </r>
    <r>
      <rPr>
        <sz val="11"/>
        <color theme="1"/>
        <rFont val="Calibri"/>
        <family val="2"/>
        <charset val="1"/>
      </rPr>
      <t xml:space="preserve">22.3%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</si>
  <si>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</si>
  <si>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</si>
  <si>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</si>
  <si>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</si>
  <si>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</si>
  <si>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</si>
  <si>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</si>
  <si>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</si>
  <si>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</si>
  <si>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</si>
  <si>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</si>
  <si>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</si>
  <si>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特別股股利前淨利率）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</si>
  <si>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起特別股已轉換，股利消失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</si>
  <si>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</si>
  <si>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</si>
  <si>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</si>
  <si>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</si>
  <si>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</si>
  <si>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</si>
  <si>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稀釋；股數為十億股）。藍字＝輸入；黑字＝公式。會計年度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。實績取自美超微新聞稿（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）與財報說明稿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</si>
  <si>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錨點＝全年實績（公司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公布，</t>
    </r>
    <r>
      <rPr>
        <sz val="11"/>
        <color theme="1"/>
        <rFont val="Calibri"/>
        <family val="2"/>
        <charset val="1"/>
      </rPr>
      <t xml:space="preserve">10-K 2026-08-31 </t>
    </r>
    <r>
      <rPr>
        <sz val="11"/>
        <color theme="1"/>
        <rFont val="Noto Sans CJK SC"/>
        <family val="2"/>
      </rPr>
      <t xml:space="preserve">申報；新聞稿標示未經審計，需待審計確認）。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營收、營業費用、營業利益、淨利＝全年 − </t>
    </r>
    <r>
      <rPr>
        <sz val="11"/>
        <color theme="1"/>
        <rFont val="Calibri"/>
        <family val="2"/>
        <charset val="1"/>
      </rPr>
      <t xml:space="preserve">1H − 4Q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）；毛利＝營業利益＋營業費用。股數＝淨利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（可轉債加回使其與揭露稀釋股數略有差異）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</si>
  <si>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</si>
  <si>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</si>
  <si>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</si>
  <si>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</si>
  <si>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</si>
  <si>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</si>
  <si>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</si>
  <si>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</si>
  <si>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</si>
  <si>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FY26 5.0178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12.6825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39.063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</si>
  <si>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毛利（＝營業利益＋營業費用）</t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</si>
  <si>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FY2025 11.1%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10.8%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</si>
  <si>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</si>
  <si>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</si>
  <si>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1.4568</t>
    </r>
    <r>
      <rPr>
        <sz val="11"/>
        <color theme="1"/>
        <rFont val="Noto Sans CJK SC"/>
        <family val="2"/>
      </rPr>
      <t xml:space="preserve">（公司）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</si>
  <si>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</si>
  <si>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FY2026 2.7705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</si>
  <si>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</si>
  <si>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r>
      <rPr>
        <sz val="11"/>
        <color theme="1"/>
        <rFont val="Noto Sans CJK SC"/>
        <family val="2"/>
      </rPr>
      <t xml:space="preserve">歸屬母公司淨利（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</si>
  <si>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4.83 </t>
    </r>
    <r>
      <rPr>
        <sz val="11"/>
        <color theme="1"/>
        <rFont val="Noto Sans CJK SC"/>
        <family val="2"/>
      </rPr>
      <t xml:space="preserve">億（公司說明稿）；</t>
    </r>
    <r>
      <rPr>
        <sz val="11"/>
        <color theme="1"/>
        <rFont val="Calibri"/>
        <family val="2"/>
        <charset val="1"/>
      </rPr>
      <t xml:space="preserve">stockanalysis 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2,196</t>
    </r>
    <r>
      <rPr>
        <sz val="11"/>
        <color theme="1"/>
        <rFont val="Noto Sans CJK SC"/>
        <family val="2"/>
      </rPr>
      <t xml:space="preserve">（可能已扣特別股股利，未採用）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</si>
  <si>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</si>
  <si>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r>
      <rPr>
        <sz val="11"/>
        <color theme="1"/>
        <rFont val="Noto Sans CJK SC"/>
        <family val="2"/>
      </rPr>
      <t xml:space="preserve">股數（十億股；＝淨利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</si>
  <si>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揭露稀釋股數 </t>
    </r>
    <r>
      <rPr>
        <sz val="11"/>
        <color theme="1"/>
        <rFont val="Calibri"/>
        <family val="2"/>
        <charset val="1"/>
      </rPr>
      <t xml:space="preserve">6.973 </t>
    </r>
    <r>
      <rPr>
        <sz val="11"/>
        <color theme="1"/>
        <rFont val="Noto Sans CJK SC"/>
        <family val="2"/>
      </rPr>
      <t xml:space="preserve">億（第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</si>
  <si>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</si>
  <si>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</si>
  <si>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</si>
  <si>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</si>
  <si>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1.70</t>
    </r>
    <r>
      <rPr>
        <sz val="11"/>
        <color theme="1"/>
        <rFont val="Noto Sans CJK SC"/>
        <family val="2"/>
      </rPr>
      <t xml:space="preserve">（公司）</t>
    </r>
  </si>
  <si>
    <t xml:space="preserve">  公司揭露稀釋股數（對照）</t>
  </si>
  <si>
    <r>
      <rPr>
        <sz val="11"/>
        <color theme="1"/>
        <rFont val="Calibri"/>
        <family val="2"/>
        <charset val="1"/>
      </rPr>
      <t xml:space="preserve">4Q 7.050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6.92 </t>
    </r>
    <r>
      <rPr>
        <sz val="11"/>
        <color theme="1"/>
        <rFont val="Noto Sans CJK SC"/>
        <family val="2"/>
      </rPr>
      <t xml:space="preserve">億（公司說明稿）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</si>
  <si>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</si>
  <si>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</si>
  <si>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</si>
  <si>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</si>
  <si>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</si>
  <si>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</si>
  <si>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</si>
  <si>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</si>
  <si>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</si>
  <si>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</si>
  <si>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毛利率（不含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</si>
  <si>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 FY26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平台營收（份額校準用）</t>
    </r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</si>
  <si>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自算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</si>
  <si>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系統市場、美超微份額與隱含出貨（情境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）。前五列為日曆年（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），其後為美超微會計年度（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月）。顆數讀台積電模型、每顆系統價值讀橋接表（唯讀）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</si>
  <si>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</si>
  <si>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</si>
  <si>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</si>
  <si>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</si>
  <si>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</si>
  <si>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</si>
  <si>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</si>
  <si>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</si>
  <si>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加速器顆數（對照）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</si>
  <si>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</si>
  <si>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</si>
  <si>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v_gb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</si>
  <si>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</si>
  <si>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</si>
  <si>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</si>
  <si>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（上游無），不列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</si>
  <si>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：美超微有效份額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</si>
  <si>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校準值；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起以指引校準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</si>
  <si>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</si>
  <si>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</si>
  <si>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</si>
  <si>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</si>
  <si>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為校準值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</si>
  <si>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：毛利率</t>
    </r>
  </si>
  <si>
    <r>
      <rPr>
        <b val="true"/>
        <sz val="11"/>
        <rFont val="Noto Sans CJK SC"/>
        <family val="2"/>
      </rPr>
      <t xml:space="preserve">讀法：美超微賣的是含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的整機與整櫃（品牌商，買賣模式），營收隨商用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每顆系統價值放大；份額在 </t>
    </r>
    <r>
      <rPr>
        <b val="true"/>
        <sz val="11"/>
        <rFont val="Cambria"/>
        <family val="0"/>
        <charset val="1"/>
      </rPr>
      <t xml:space="preserve">2H FY26 </t>
    </r>
    <r>
      <rPr>
        <b val="true"/>
        <sz val="11"/>
        <rFont val="Noto Sans CJK SC"/>
        <family val="2"/>
      </rPr>
      <t xml:space="preserve">約數個百分點，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指引隱含份額明顯上升（大量新訂單）。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，大客戶（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）轉單是最大下檔。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</si>
  <si>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美超微損益（十億美元；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稀釋；歸屬母公司＝扣除特別股股利後）。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½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</si>
  <si>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</si>
  <si>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</si>
  <si>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</si>
  <si>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</si>
  <si>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</si>
  <si>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</si>
  <si>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</si>
  <si>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</si>
  <si>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</si>
  <si>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</si>
  <si>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</si>
  <si>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</si>
  <si>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</si>
  <si>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歸屬母公司淨利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</si>
  <si>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</si>
  <si>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</si>
  <si>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</si>
  <si>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</si>
  <si>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</si>
  <si>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實績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</si>
  <si>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</si>
  <si>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</si>
  <si>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</si>
  <si>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營收＝指引上緣；份額維持；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+1.5pt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</si>
  <si>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欄的「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」列為日曆年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；「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」列為美超微會計年度）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</si>
  <si>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</si>
  <si>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）；台積電模型顆數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</si>
  <si>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</si>
  <si>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</si>
  <si>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</si>
  <si>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</si>
  <si>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封裝數（橋接表）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</si>
  <si>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</si>
  <si>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每顆系統價值；含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</si>
  <si>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</si>
  <si>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月：各取前後日曆年一半（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；未考慮年內出貨季節性）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</si>
  <si>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市場（部署係數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；份額校準用）</t>
    </r>
  </si>
  <si>
    <r>
      <rPr>
        <sz val="11"/>
        <color theme="1"/>
        <rFont val="Noto Sans CJK SC"/>
        <family val="2"/>
      </rPr>
      <t xml:space="preserve">份額以基準市場校準，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的部署係數才會改變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</si>
  <si>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½ CY2026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</si>
  <si>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上下半年各半（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下半年放量，上半年市場偏小，此份額偏低估）；只作對照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</si>
  <si>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營收（公司指引；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</si>
  <si>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</si>
  <si>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</si>
  <si>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）；治理事件案例另見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</si>
  <si>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以指引校準）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</si>
  <si>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：（指引營收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基準市場；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億美元新訂單使份額高於 </t>
    </r>
    <r>
      <rPr>
        <sz val="11"/>
        <color theme="1"/>
        <rFont val="Calibri"/>
        <family val="2"/>
        <charset val="1"/>
      </rPr>
      <t xml:space="preserve">2H FY26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</si>
  <si>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2H FY26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</si>
  <si>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：指引隱含的份額上升幅度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</si>
  <si>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</si>
  <si>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</si>
  <si>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特別股股利前淨利率收斂到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</si>
  <si>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</si>
  <si>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</si>
  <si>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每顆平均系統價值）</t>
    </r>
  </si>
  <si>
    <r>
      <rPr>
        <sz val="11"/>
        <color theme="1"/>
        <rFont val="Noto Sans CJK SC"/>
        <family val="2"/>
      </rPr>
      <t xml:space="preserve">對照用：份額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會計年度商用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</si>
  <si>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</si>
  <si>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 ＝（毛利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</si>
  <si>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一次性利益（遞延合約、關稅、存貨跌價回轉），校準值偏高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</si>
  <si>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</si>
  <si>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</si>
  <si>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毛利</t>
  </si>
  <si>
    <t xml:space="preserve">營業費用（基準路徑）</t>
  </si>
  <si>
    <t xml:space="preserve">營業費用</t>
  </si>
  <si>
    <t xml:space="preserve">淨利（特別股股利前）</t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</si>
  <si>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</si>
  <si>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週，已含在實績；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強制轉換後為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</si>
  <si>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扣除特別股股利後、歸屬普通股（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</si>
  <si>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淨利率（特別股股利前）</t>
  </si>
  <si>
    <r>
      <rPr>
        <sz val="11"/>
        <color theme="1"/>
        <rFont val="Noto Sans CJK SC"/>
        <family val="2"/>
      </rPr>
      <t xml:space="preserve">收斂法的起點（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起特別股已轉換）</t>
    </r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</si>
  <si>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</si>
  <si>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</si>
  <si>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</si>
  <si>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營收＝指引中點；份額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×0.92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+0.3pt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</si>
  <si>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×0.80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</si>
  <si>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估值（美元，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節，會計年度年底落後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</si>
  <si>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循環位置：美超微不是設備股，不套設備市場見頂年；以本模型營收最高的會計年度為見頂年（比照廣達、緯穎）。營收到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</si>
  <si>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</si>
  <si>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</si>
  <si>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</si>
  <si>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</si>
  <si>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</si>
  <si>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</si>
  <si>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</si>
  <si>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</si>
  <si>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</si>
  <si>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</si>
  <si>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</si>
  <si>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</si>
  <si>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</si>
  <si>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</si>
  <si>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</si>
  <si>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</si>
  <si>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</si>
  <si>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月底結束，實際約半年後，略保守）；低於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</si>
  <si>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</si>
  <si>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</si>
  <si>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</si>
  <si>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</si>
  <si>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</si>
  <si>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</si>
  <si>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</si>
  <si>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</si>
  <si>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</si>
  <si>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Dell Technologies</t>
  </si>
  <si>
    <t xml:space="preserve">DELL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</si>
  <si>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</si>
  <si>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</si>
  <si>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Hewlett Packard Enterprise</t>
  </si>
  <si>
    <t xml:space="preserve">HPE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</si>
  <si>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</si>
  <si>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</si>
  <si>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2026-10-21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</si>
  <si>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</si>
  <si>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</si>
  <si>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</si>
  <si>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</si>
  <si>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</si>
  <si>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</si>
  <si>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伺服器品牌與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</si>
  <si>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</si>
  <si>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</si>
  <si>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</si>
  <si>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</si>
  <si>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</si>
  <si>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</si>
  <si>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</si>
  <si>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</si>
  <si>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</si>
  <si>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</si>
  <si>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tickflow 25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41.44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</si>
  <si>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</si>
  <si>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</si>
  <si>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</si>
  <si>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</si>
  <si>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；期間約晚一年、口徑不同（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較低）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</si>
  <si>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</si>
  <si>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</si>
  <si>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</si>
  <si>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</si>
  <si>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</si>
  <si>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</si>
  <si>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明確期＋永續；組裝與品牌商資本支出低（</t>
    </r>
    <r>
      <rPr>
        <sz val="11"/>
        <color theme="1"/>
        <rFont val="Calibri"/>
        <family val="2"/>
        <charset val="1"/>
      </rPr>
      <t xml:space="preserve">FY2026 1.62 </t>
    </r>
    <r>
      <rPr>
        <sz val="11"/>
        <color theme="1"/>
        <rFont val="Noto Sans CJK SC"/>
        <family val="2"/>
      </rPr>
      <t xml:space="preserve">億美元），未改用淨利＋折舊－資本支出；但營運資金占用大（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營業現金流 −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億美元、以增資與特別股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億補足），以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推現金流會高估股東實拿的現金，偏誤向上。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股）；同業倍數未反映美超微的治理與會計折價（自身前瞻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），偏誤向上。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股數加特別股轉換股數。治理風險不改折現率，以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案例呈現。情境對應：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</si>
  <si>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</si>
  <si>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</si>
  <si>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</si>
  <si>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</si>
  <si>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</si>
  <si>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</si>
  <si>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</si>
  <si>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</si>
  <si>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</si>
  <si>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</si>
  <si>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</si>
  <si>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FY2028 4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</si>
  <si>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</si>
  <si>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</si>
  <si>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</si>
  <si>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</si>
  <si>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</si>
  <si>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</si>
  <si>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</si>
  <si>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</si>
  <si>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</si>
  <si>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</si>
  <si>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</si>
  <si>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</si>
  <si>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</si>
  <si>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</si>
  <si>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</si>
  <si>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</si>
  <si>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2027-06 </t>
    </r>
    <r>
      <rPr>
        <b val="true"/>
        <sz val="11"/>
        <rFont val="Noto Sans CJK SC"/>
        <family val="2"/>
      </rPr>
      <t xml:space="preserve">的價格看下一會計年度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</si>
  <si>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</si>
  <si>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</si>
  <si>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</si>
  <si>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</si>
  <si>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</si>
  <si>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。所需倍數低於歷史中位數時，現價相對便宜；美超微的低倍數同時反映治理、會計與營運資金風險（見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</si>
  <si>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會計年度年底＝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月底；兩來源平均，分位排名用；</t>
    </r>
    <r>
      <rPr>
        <b val="true"/>
        <sz val="11"/>
        <rFont val="Cambria"/>
        <family val="0"/>
        <charset val="1"/>
      </rPr>
      <t xml:space="preserve">Macrotrends 2018–2019 </t>
    </r>
    <r>
      <rPr>
        <b val="true"/>
        <sz val="11"/>
        <rFont val="Noto Sans CJK SC"/>
        <family val="2"/>
      </rPr>
      <t xml:space="preserve">因延遲申報缺值）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</si>
  <si>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</si>
  <si>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</si>
  <si>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Macrotrends</t>
  </si>
  <si>
    <t xml:space="preserve">fullratio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</si>
  <si>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</si>
  <si>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</si>
  <si>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</si>
  <si>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</si>
  <si>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</si>
  <si>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</si>
  <si>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</si>
  <si>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</si>
  <si>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</si>
  <si>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</si>
  <si>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</si>
  <si>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</si>
  <si>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依循環位置取分位，兩個來源分別取分位再平均。美超微會計年度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月底結束，取會計年度年底。兩來源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FY2020 EPS </t>
    </r>
    <r>
      <rPr>
        <sz val="11"/>
        <color theme="1"/>
        <rFont val="Noto Sans CJK SC"/>
        <family val="2"/>
      </rPr>
      <t xml:space="preserve">受重編影響）；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因股價高峰達約 </t>
    </r>
    <r>
      <rPr>
        <sz val="11"/>
        <color theme="1"/>
        <rFont val="Calibri"/>
        <family val="2"/>
        <charset val="1"/>
      </rPr>
      <t xml:space="preserve">40x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</si>
  <si>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</si>
  <si>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</si>
  <si>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</si>
  <si>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</si>
  <si>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2018–2019 </t>
    </r>
    <r>
      <rPr>
        <sz val="11"/>
        <color theme="1"/>
        <rFont val="Noto Sans CJK SC"/>
        <family val="2"/>
      </rPr>
      <t xml:space="preserve">延遲申報期間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，缺值）；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（資料商；年度值與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月季度相同，推定為會計年度年底；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口徑可能為調整後）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</si>
  <si>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</si>
  <si>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</si>
  <si>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</si>
  <si>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</si>
  <si>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</si>
  <si>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</si>
  <si>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</si>
  <si>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</si>
  <si>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</si>
  <si>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</si>
  <si>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</si>
  <si>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</si>
  <si>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</si>
  <si>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</si>
  <si>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</si>
  <si>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</si>
  <si>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</si>
  <si>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</si>
  <si>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</si>
  <si>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</si>
  <si>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</si>
  <si>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</si>
  <si>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</si>
  <si>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</si>
  <si>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公司指引、共識與份額口徑。只作事後對照，不為對上數字而調參數。共識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；本模型為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，另列「模型＋股票報酬調整」對照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</si>
  <si>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</si>
  <si>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</si>
  <si>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</si>
  <si>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</si>
  <si>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</si>
  <si>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</si>
  <si>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</si>
  <si>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</si>
  <si>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</si>
  <si>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</si>
  <si>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</si>
  <si>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</si>
  <si>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</si>
  <si>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</si>
  <si>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</si>
  <si>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</si>
  <si>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低約股票報酬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</si>
  <si>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</si>
  <si>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調整＝每季股票報酬（稅後）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sbc_ps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</si>
  <si>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</si>
  <si>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</si>
  <si>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公司指引與初步數字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</si>
  <si>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</si>
  <si>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2026-08-11</t>
    </r>
  </si>
  <si>
    <t xml:space="preserve">依情境取指引上緣／中點／下緣，差距即指引區間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</si>
  <si>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1Q FY27 </t>
    </r>
    <r>
      <rPr>
        <sz val="11"/>
        <color theme="1"/>
        <rFont val="Noto Sans CJK SC"/>
        <family val="2"/>
      </rPr>
      <t xml:space="preserve">初步毛利率（百分點）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</si>
  <si>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</si>
  <si>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遞延合約的組合利益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</si>
  <si>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× 4 vs 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</si>
  <si>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年化已高於指引上緣；全年指引尚未調整（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</si>
  <si>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</si>
  <si>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有效份額（商用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</si>
  <si>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有效份額（指引校準）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</si>
  <si>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：指引隱含份額上升（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</si>
  <si>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出貨（百萬顆）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</si>
  <si>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</si>
  <si>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</si>
  <si>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</si>
  <si>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一次性利益；不含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B24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</si>
  <si>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</si>
  <si>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，尚未建立）：上線後以部署路徑取代「台積電顆數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</si>
  <si>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</si>
  <si>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份額在每個案例內依指引重新校準，部署係數與每顆價值除外）：對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</si>
  <si>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</si>
  <si>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</si>
  <si>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</si>
  <si>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</si>
  <si>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</si>
  <si>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</si>
  <si>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</si>
  <si>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</si>
  <si>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</si>
  <si>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</si>
  <si>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</si>
  <si>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</si>
  <si>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</si>
  <si>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</si>
  <si>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</si>
  <si>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營收＝指引下緣</t>
    </r>
  </si>
  <si>
    <r>
      <rPr>
        <sz val="11"/>
        <color theme="1"/>
        <rFont val="Calibri"/>
        <family val="2"/>
        <charset val="1"/>
      </rPr>
      <t xml:space="preserve">650 </t>
    </r>
    <r>
      <rPr>
        <sz val="11"/>
        <color theme="1"/>
        <rFont val="Noto Sans CJK SC"/>
        <family val="2"/>
      </rPr>
      <t xml:space="preserve">億美元（情境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為上緣 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</si>
  <si>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份額基準（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</si>
  <si>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0.92</t>
    </r>
  </si>
  <si>
    <r>
      <rPr>
        <sz val="11"/>
        <color theme="1"/>
        <rFont val="Noto Sans CJK SC"/>
        <family val="2"/>
      </rPr>
      <t xml:space="preserve">份額流失（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</si>
  <si>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</si>
  <si>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t xml:space="preserve">治理事件：大客戶流失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</si>
  <si>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指引下緣、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起份額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（出口管制、會計或內控事件使客戶轉向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</si>
  <si>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</si>
  <si>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2028–29 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×0.85</t>
    </r>
  </si>
  <si>
    <t xml:space="preserve">每顆系統價值 高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</si>
  <si>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</si>
  <si>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+0.5pt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+0.3pt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</si>
  <si>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</si>
  <si>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</si>
  <si>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</si>
  <si>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</si>
  <si>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</si>
  <si>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</si>
  <si>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FY2028–29 −5%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</si>
  <si>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</si>
  <si>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+15%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</si>
  <si>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</si>
  <si>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</si>
  <si>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</si>
  <si>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</si>
  <si>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</si>
  <si>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Noto Sans CJK SC"/>
        <family val="2"/>
      </rPr>
      <t xml:space="preserve">利息（營運資金借款）、合規與法律費用上升；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</si>
  <si>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</si>
  <si>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0.805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</si>
  <si>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</si>
  <si>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；指引中點；份額、毛利率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</si>
  <si>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</si>
  <si>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；指引下緣；份額、毛利率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</si>
  <si>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營收以指引校準，所以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主要受指引區間、毛利率與淨利係數影響；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起顆數情境、份額與每顆價值才發揮作用。美超微淨利率只有約 </t>
    </r>
    <r>
      <rPr>
        <sz val="11"/>
        <color theme="1"/>
        <rFont val="Calibri"/>
        <family val="2"/>
        <charset val="1"/>
      </rPr>
      <t xml:space="preserve">5%–6%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個百分點約影響 </t>
    </r>
    <r>
      <rPr>
        <sz val="11"/>
        <color theme="1"/>
        <rFont val="Calibri"/>
        <family val="2"/>
        <charset val="1"/>
      </rPr>
      <t xml:space="preserve">EPS 10%</t>
    </r>
    <r>
      <rPr>
        <sz val="11"/>
        <color theme="1"/>
        <rFont val="Noto Sans CJK SC"/>
        <family val="2"/>
      </rPr>
      <t xml:space="preserve">。治理事件以份額與淨利係數案例呈現，不改情境結構。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</si>
  <si>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</si>
  <si>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</si>
  <si>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</si>
  <si>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</si>
  <si>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</si>
  <si>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</si>
  <si>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</si>
  <si>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</si>
  <si>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</si>
  <si>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</si>
  <si>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</si>
  <si>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</si>
  <si>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</si>
  <si>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</si>
  <si>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</si>
  <si>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</si>
  <si>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</si>
  <si>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</si>
  <si>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</si>
  <si>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</si>
  <si>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</si>
  <si>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案例區塊：治理事件：大客戶流失（情境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</si>
  <si>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</si>
  <si>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</si>
  <si>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</si>
  <si>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</si>
  <si>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</si>
  <si>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</si>
  <si>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</si>
  <si>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</si>
  <si>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</si>
  <si>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</si>
  <si>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</si>
  <si>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</si>
  <si>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來源（公司原文為新聞稿與財報說明稿；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內容只經二手摘要，原文待人工複核；券商與資料商皆為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</si>
  <si>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；營收、毛利率、營業費用、淨利、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指引、董事會調查）</t>
    </r>
  </si>
  <si>
    <t xml:space="preserve">https://ir.supermicro.com/news/news-details/2026/Supermicro-Announces-Fourth-Quarter-and-Full-Fiscal-Year-2026-Financial-Results/default.aspx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</si>
  <si>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占比、客戶與地區結構、最大客戶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、毛利率說明、新訂單）</t>
    </r>
  </si>
  <si>
    <t xml:space="preserve">https://s204.q4cdn.com/707617056/files/doc_financials/2026/q4/V2/FQ426-SMCI-Prepared-Remarks.pdf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</si>
  <si>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2026-08-11 </t>
    </r>
    <r>
      <rPr>
        <sz val="11"/>
        <color theme="1"/>
        <rFont val="Noto Sans CJK SC"/>
        <family val="2"/>
      </rPr>
      <t xml:space="preserve">法說重點</t>
    </r>
  </si>
  <si>
    <t xml:space="preserve">https://www.marketbeat.com/instant-alerts/super-micro-computer-q4-earnings-call-highlights-2026-08-11/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</si>
  <si>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數字）</t>
    </r>
  </si>
  <si>
    <t xml:space="preserve">https://www.sec.gov/Archives/edgar/data/1375365/000137536526000006/exhibit991_20251231.htm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</si>
  <si>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12.0–12.5%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</si>
  <si>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t xml:space="preserve">https://ir.supermicro.com/news/news-details/2026/Supermicro-Provides-First-Quarter-of-Fiscal-Year-2027-Preliminary-Business-Update/default.aspx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</si>
  <si>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普通股與強制可轉換特別股定價（股利率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、轉換率、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轉換）</t>
    </r>
  </si>
  <si>
    <t xml:space="preserve">https://ir.supermicro.com/news/news-details/2026/Supermicro-Announces-Pricing-of-Equity-and-Equity-Linked-Financing-Transactions-To-Fund-AI-Orders/default.aspx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</si>
  <si>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獨立調查完成公告（出口管制）</t>
    </r>
  </si>
  <si>
    <t xml:space="preserve">https://www.supermicro.com/en/pressreleases/supermicro-announces-completion-independent-investigation-and-continued-enhancement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</si>
  <si>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Stocktwits 2026-08-20</t>
    </r>
    <r>
      <rPr>
        <sz val="11"/>
        <color theme="1"/>
        <rFont val="Noto Sans CJK SC"/>
        <family val="2"/>
      </rPr>
      <t xml:space="preserve">（調查結論、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起訴、共同創辦人辭任董事）</t>
    </r>
  </si>
  <si>
    <t xml:space="preserve">https://stocktwits.com/news-articles/markets/equity/smci-stock-gains-supermicro-clears-senior-management-export-control-case/cZYIq3bRJZ5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</si>
  <si>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</si>
  <si>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https://www.sec.gov/Archives/edgar/data/0001375365/000137536526000022/smci-20260630.htm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</si>
  <si>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摘要：內控仍未有效、</t>
    </r>
    <r>
      <rPr>
        <sz val="11"/>
        <color theme="1"/>
        <rFont val="Calibri"/>
        <family val="2"/>
        <charset val="1"/>
      </rPr>
      <t xml:space="preserve">BDO </t>
    </r>
    <r>
      <rPr>
        <sz val="11"/>
        <color theme="1"/>
        <rFont val="Noto Sans CJK SC"/>
        <family val="2"/>
      </rPr>
      <t xml:space="preserve">否定意見、單一供應商 </t>
    </r>
    <r>
      <rPr>
        <sz val="11"/>
        <color theme="1"/>
        <rFont val="Calibri"/>
        <family val="2"/>
        <charset val="1"/>
      </rPr>
      <t xml:space="preserve">63.1%</t>
    </r>
    <r>
      <rPr>
        <sz val="11"/>
        <color theme="1"/>
        <rFont val="Noto Sans CJK SC"/>
        <family val="2"/>
      </rPr>
      <t xml:space="preserve">）</t>
    </r>
  </si>
  <si>
    <t xml:space="preserve">https://stockti.com/super-micro-revenue-surges-78-but-margin-pressures-and-control-gaps-linger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</si>
  <si>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平台）</t>
    </r>
  </si>
  <si>
    <t xml:space="preserve">https://futurumgroup.com/insights/supermicro-q2-fy2026-delivers-breakout-ai-gpu-platform-revenue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</si>
  <si>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統計頁（現價、股數、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</si>
  <si>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</si>
  <si>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</si>
  <si>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</si>
  <si>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</si>
  <si>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</si>
  <si>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</si>
  <si>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</si>
  <si>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分析頁（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共識）</t>
    </r>
  </si>
  <si>
    <t xml:space="preserve">https://finance.yahoo.com/quote/SMCI/analysis/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</si>
  <si>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預測頁（目標價第二來源）</t>
    </r>
  </si>
  <si>
    <t xml:space="preserve">https://tickflow.io/stock/SMCI/forecast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</si>
  <si>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（目標價歷史、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預測、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指引上修）</t>
    </r>
  </si>
  <si>
    <t xml:space="preserve">https://simplywall.st/stocks/us/tech/nasdaq-smci/super-micro-computer/future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</si>
  <si>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月底）</t>
    </r>
  </si>
  <si>
    <t xml:space="preserve">https://www.macrotrends.net/stocks/charts/SMCI/super-micro-computer/pe-ratio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</si>
  <si>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</t>
    </r>
  </si>
  <si>
    <t xml:space="preserve">https://www.macrotrends.net/stocks/charts/SMCI/super-micro-computer/revenue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</si>
  <si>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</t>
    </r>
  </si>
  <si>
    <t xml:space="preserve">https://www.macrotrends.net/stocks/charts/SMCI/super-micro-computer/net-income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</si>
  <si>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（年度、現價）</t>
    </r>
  </si>
  <si>
    <t xml:space="preserve">https://fullratio.com/stocks/nasdaq-smci/pe-ratio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</si>
  <si>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</si>
  <si>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</si>
  <si>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</si>
  <si>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https://stockanalysis.com/stocks/hpe/statistics/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</si>
  <si>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（緯穎）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</si>
  <si>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</si>
  <si>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（廣達）</t>
    </r>
  </si>
  <si>
    <t xml:space="preserve">https://stockanalysis.com/quote/tpe/2382/statistics/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</si>
  <si>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（緯創）</t>
    </r>
  </si>
  <si>
    <t xml:space="preserve">https://stockanalysis.com/quote/tpe/3231/statistics/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</si>
  <si>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</si>
  <si>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</si>
  <si>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原文（客戶占比、內控）；各季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占比的公司原文；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毛利率；可轉債轉換價與稀釋；特別股超額配售執行數；前瞻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</si>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</sst>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"/>
    <numFmt numFmtId="170" formatCode="0.00"/>
    <numFmt numFmtId="171" formatCode="0.000"/>
    <numFmt numFmtId="172" formatCode="0.0"/>
    <numFmt numFmtId="173" formatCode="#,##0.0"/>
    <numFmt numFmtId="174" formatCode="#,##0.00"/>
    <numFmt numFmtId="175" formatCode="@"/>
    <numFmt numFmtId="17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4" t="s">
        <v>27</v>
      </c>
      <c r="E5" s="7" t="n">
        <v>6.65</v>
      </c>
      <c r="G5" s="8" t="s">
        <v>28</v>
      </c>
      <c r="H5" s="8" t="s">
        <v>29</v>
      </c>
      <c r="I5" s="4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4" t="s">
        <v>27</v>
      </c>
      <c r="E6" s="7" t="n">
        <v>2.4</v>
      </c>
      <c r="G6" s="8" t="s">
        <v>28</v>
      </c>
      <c r="H6" s="4" t="s">
        <v>33</v>
      </c>
      <c r="I6" s="4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4" t="s">
        <v>27</v>
      </c>
      <c r="E7" s="7" t="n">
        <v>0.5</v>
      </c>
      <c r="G7" s="8" t="s">
        <v>28</v>
      </c>
      <c r="H7" s="4" t="s">
        <v>33</v>
      </c>
      <c r="I7" s="4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4" t="s">
        <v>27</v>
      </c>
      <c r="E8" s="7" t="n">
        <v>0.25</v>
      </c>
      <c r="G8" s="8" t="s">
        <v>28</v>
      </c>
      <c r="H8" s="4" t="s">
        <v>33</v>
      </c>
      <c r="I8" s="4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4" t="s">
        <v>27</v>
      </c>
      <c r="E9" s="7" t="n">
        <v>1.7</v>
      </c>
      <c r="G9" s="8" t="s">
        <v>28</v>
      </c>
      <c r="H9" s="8" t="s">
        <v>29</v>
      </c>
      <c r="I9" s="4" t="s">
        <v>33</v>
      </c>
    </row>
    <row r="10" customFormat="false" ht="17.15" hidden="false" customHeight="false" outlineLevel="0" collapsed="false">
      <c r="A10" s="0" t="s">
        <v>40</v>
      </c>
      <c r="B10" s="0" t="s">
        <v>41</v>
      </c>
      <c r="C10" s="4" t="s">
        <v>27</v>
      </c>
      <c r="E10" s="7" t="n">
        <v>8.8</v>
      </c>
      <c r="G10" s="8" t="s">
        <v>28</v>
      </c>
      <c r="H10" s="4" t="s">
        <v>33</v>
      </c>
      <c r="I10" s="8" t="s">
        <v>42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4" t="s">
        <v>27</v>
      </c>
      <c r="E11" s="7" t="n">
        <v>11</v>
      </c>
      <c r="G11" s="8" t="s">
        <v>28</v>
      </c>
      <c r="H11" s="4" t="s">
        <v>33</v>
      </c>
      <c r="I11" s="4" t="s">
        <v>33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4" t="s">
        <v>27</v>
      </c>
      <c r="E12" s="7" t="n">
        <v>12.65</v>
      </c>
      <c r="G12" s="8" t="s">
        <v>28</v>
      </c>
      <c r="H12" s="4" t="s">
        <v>33</v>
      </c>
      <c r="I12" s="4" t="s">
        <v>33</v>
      </c>
    </row>
    <row r="13" customFormat="false" ht="17.15" hidden="false" customHeight="false" outlineLevel="0" collapsed="false">
      <c r="A13" s="0" t="s">
        <v>47</v>
      </c>
      <c r="B13" s="4" t="s">
        <v>48</v>
      </c>
      <c r="C13" s="4" t="s">
        <v>27</v>
      </c>
      <c r="E13" s="7" t="n">
        <v>15.2</v>
      </c>
      <c r="G13" s="8" t="s">
        <v>28</v>
      </c>
      <c r="H13" s="8" t="s">
        <v>29</v>
      </c>
      <c r="I13" s="4" t="s">
        <v>49</v>
      </c>
    </row>
    <row r="14" customFormat="false" ht="17.15" hidden="false" customHeight="false" outlineLevel="0" collapsed="false">
      <c r="A14" s="0" t="s">
        <v>50</v>
      </c>
      <c r="B14" s="4" t="s">
        <v>51</v>
      </c>
      <c r="C14" s="4" t="s">
        <v>27</v>
      </c>
      <c r="E14" s="7" t="n">
        <v>23.7</v>
      </c>
      <c r="G14" s="8" t="s">
        <v>28</v>
      </c>
      <c r="H14" s="4" t="s">
        <v>33</v>
      </c>
      <c r="I14" s="4" t="s">
        <v>33</v>
      </c>
    </row>
    <row r="15" customFormat="false" ht="17.15" hidden="false" customHeight="false" outlineLevel="0" collapsed="false">
      <c r="A15" s="0" t="s">
        <v>52</v>
      </c>
      <c r="B15" s="4" t="s">
        <v>53</v>
      </c>
      <c r="C15" s="4" t="s">
        <v>27</v>
      </c>
      <c r="E15" s="7" t="n">
        <v>26.5</v>
      </c>
      <c r="G15" s="8" t="s">
        <v>28</v>
      </c>
      <c r="H15" s="4" t="s">
        <v>33</v>
      </c>
      <c r="I15" s="4" t="s">
        <v>33</v>
      </c>
    </row>
    <row r="16" customFormat="false" ht="17.15" hidden="false" customHeight="false" outlineLevel="0" collapsed="false">
      <c r="A16" s="0" t="s">
        <v>54</v>
      </c>
      <c r="B16" s="4" t="s">
        <v>55</v>
      </c>
      <c r="C16" s="4" t="s">
        <v>27</v>
      </c>
      <c r="E16" s="7" t="n">
        <v>30.15</v>
      </c>
      <c r="G16" s="8" t="s">
        <v>28</v>
      </c>
      <c r="H16" s="4" t="s">
        <v>33</v>
      </c>
      <c r="I16" s="4" t="s">
        <v>33</v>
      </c>
    </row>
    <row r="17" customFormat="false" ht="17.15" hidden="false" customHeight="false" outlineLevel="0" collapsed="false">
      <c r="A17" s="0" t="s">
        <v>56</v>
      </c>
      <c r="B17" s="4" t="s">
        <v>57</v>
      </c>
      <c r="C17" s="4" t="s">
        <v>58</v>
      </c>
      <c r="E17" s="0" t="n">
        <f aca="false">4.3/72*1000</f>
        <v>59.7222222222222</v>
      </c>
      <c r="G17" s="0" t="s">
        <v>28</v>
      </c>
      <c r="H17" s="0" t="s">
        <v>59</v>
      </c>
      <c r="I17" s="0" t="s">
        <v>60</v>
      </c>
    </row>
    <row r="18" customFormat="false" ht="17.15" hidden="false" customHeight="false" outlineLevel="0" collapsed="false">
      <c r="A18" s="0" t="s">
        <v>61</v>
      </c>
      <c r="B18" s="4" t="s">
        <v>62</v>
      </c>
      <c r="C18" s="4" t="s">
        <v>58</v>
      </c>
      <c r="E18" s="0" t="n">
        <f aca="false">8.4/72*1000</f>
        <v>116.666666666667</v>
      </c>
      <c r="G18" s="0" t="s">
        <v>28</v>
      </c>
      <c r="H18" s="0" t="s">
        <v>59</v>
      </c>
      <c r="I18" s="4" t="s">
        <v>63</v>
      </c>
    </row>
    <row r="19" customFormat="false" ht="17.15" hidden="false" customHeight="false" outlineLevel="0" collapsed="false">
      <c r="A19" s="0" t="s">
        <v>64</v>
      </c>
      <c r="B19" s="4" t="s">
        <v>65</v>
      </c>
      <c r="C19" s="0" t="s">
        <v>66</v>
      </c>
      <c r="D19" s="7" t="n">
        <v>0.85</v>
      </c>
      <c r="E19" s="7" t="n">
        <v>1</v>
      </c>
      <c r="F19" s="7" t="n">
        <v>1.2</v>
      </c>
      <c r="G19" s="8" t="s">
        <v>67</v>
      </c>
      <c r="H19" s="8" t="s">
        <v>68</v>
      </c>
      <c r="I19" s="4" t="s">
        <v>69</v>
      </c>
    </row>
    <row r="20" customFormat="false" ht="17.15" hidden="false" customHeight="false" outlineLevel="0" collapsed="false">
      <c r="A20" s="0" t="s">
        <v>70</v>
      </c>
      <c r="B20" s="4" t="s">
        <v>71</v>
      </c>
      <c r="C20" s="0" t="s">
        <v>66</v>
      </c>
      <c r="D20" s="7" t="n">
        <v>0.85</v>
      </c>
      <c r="E20" s="7" t="n">
        <v>1</v>
      </c>
      <c r="F20" s="7" t="n">
        <v>1.2</v>
      </c>
      <c r="G20" s="8" t="s">
        <v>67</v>
      </c>
      <c r="H20" s="4" t="s">
        <v>33</v>
      </c>
      <c r="I20" s="8" t="s">
        <v>72</v>
      </c>
    </row>
    <row r="21" customFormat="false" ht="17.15" hidden="false" customHeight="false" outlineLevel="0" collapsed="false">
      <c r="A21" s="0" t="s">
        <v>73</v>
      </c>
      <c r="B21" s="4" t="s">
        <v>74</v>
      </c>
      <c r="C21" s="0" t="s">
        <v>66</v>
      </c>
      <c r="E21" s="7" t="n">
        <v>1</v>
      </c>
      <c r="G21" s="8" t="s">
        <v>67</v>
      </c>
      <c r="H21" s="8" t="s">
        <v>75</v>
      </c>
      <c r="I21" s="8" t="s">
        <v>76</v>
      </c>
    </row>
    <row r="22" customFormat="false" ht="17.15" hidden="false" customHeight="false" outlineLevel="0" collapsed="false">
      <c r="A22" s="0" t="s">
        <v>77</v>
      </c>
      <c r="B22" s="4" t="s">
        <v>78</v>
      </c>
      <c r="C22" s="0" t="s">
        <v>66</v>
      </c>
      <c r="E22" s="7" t="n">
        <v>1</v>
      </c>
      <c r="G22" s="8" t="s">
        <v>67</v>
      </c>
      <c r="H22" s="8" t="s">
        <v>79</v>
      </c>
      <c r="I22" s="4" t="s">
        <v>33</v>
      </c>
    </row>
    <row r="23" customFormat="false" ht="17.15" hidden="false" customHeight="false" outlineLevel="0" collapsed="false">
      <c r="A23" s="0" t="s">
        <v>80</v>
      </c>
      <c r="B23" s="4" t="s">
        <v>81</v>
      </c>
      <c r="C23" s="0" t="s">
        <v>66</v>
      </c>
      <c r="E23" s="7" t="n">
        <v>0.8</v>
      </c>
      <c r="G23" s="8" t="s">
        <v>67</v>
      </c>
      <c r="H23" s="8" t="s">
        <v>82</v>
      </c>
      <c r="I23" s="8" t="s">
        <v>76</v>
      </c>
    </row>
    <row r="24" customFormat="false" ht="17.15" hidden="false" customHeight="false" outlineLevel="0" collapsed="false">
      <c r="A24" s="0" t="s">
        <v>83</v>
      </c>
      <c r="B24" s="4" t="s">
        <v>84</v>
      </c>
      <c r="C24" s="0" t="s">
        <v>66</v>
      </c>
      <c r="E24" s="7" t="n">
        <v>0.85</v>
      </c>
      <c r="G24" s="8" t="s">
        <v>67</v>
      </c>
      <c r="H24" s="8" t="s">
        <v>85</v>
      </c>
      <c r="I24" s="4" t="s">
        <v>33</v>
      </c>
    </row>
    <row r="25" customFormat="false" ht="17.15" hidden="false" customHeight="false" outlineLevel="0" collapsed="false">
      <c r="A25" s="0" t="s">
        <v>86</v>
      </c>
      <c r="B25" s="4" t="s">
        <v>87</v>
      </c>
      <c r="C25" s="0" t="s">
        <v>66</v>
      </c>
      <c r="E25" s="7" t="n">
        <v>0.6</v>
      </c>
      <c r="G25" s="8" t="s">
        <v>67</v>
      </c>
      <c r="H25" s="8" t="s">
        <v>88</v>
      </c>
      <c r="I25" s="8" t="s">
        <v>76</v>
      </c>
    </row>
    <row r="26" customFormat="false" ht="17.15" hidden="false" customHeight="false" outlineLevel="0" collapsed="false">
      <c r="A26" s="0" t="s">
        <v>89</v>
      </c>
      <c r="B26" s="4" t="s">
        <v>90</v>
      </c>
      <c r="C26" s="0" t="s">
        <v>66</v>
      </c>
      <c r="E26" s="7" t="n">
        <v>0.6</v>
      </c>
      <c r="G26" s="8" t="s">
        <v>67</v>
      </c>
      <c r="H26" s="8" t="s">
        <v>91</v>
      </c>
      <c r="I26" s="4" t="s">
        <v>33</v>
      </c>
    </row>
    <row r="27" customFormat="false" ht="17.15" hidden="false" customHeight="false" outlineLevel="0" collapsed="false">
      <c r="A27" s="0" t="s">
        <v>92</v>
      </c>
      <c r="B27" s="0" t="s">
        <v>93</v>
      </c>
      <c r="C27" s="0" t="s">
        <v>66</v>
      </c>
      <c r="D27" s="7" t="n">
        <v>0.8</v>
      </c>
      <c r="E27" s="7" t="n">
        <v>1</v>
      </c>
      <c r="F27" s="7" t="n">
        <v>1.2</v>
      </c>
      <c r="G27" s="8" t="s">
        <v>67</v>
      </c>
      <c r="H27" s="4" t="s">
        <v>94</v>
      </c>
      <c r="I27" s="8" t="s">
        <v>95</v>
      </c>
    </row>
    <row r="28" customFormat="false" ht="17.15" hidden="false" customHeight="false" outlineLevel="0" collapsed="false">
      <c r="A28" s="6" t="s">
        <v>96</v>
      </c>
    </row>
    <row r="29" customFormat="false" ht="17.15" hidden="false" customHeight="false" outlineLevel="0" collapsed="false">
      <c r="A29" s="0" t="s">
        <v>97</v>
      </c>
      <c r="B29" s="0" t="s">
        <v>98</v>
      </c>
      <c r="C29" s="0" t="s">
        <v>99</v>
      </c>
      <c r="D29" s="7" t="n">
        <v>0.65</v>
      </c>
      <c r="E29" s="7" t="n">
        <v>0.7</v>
      </c>
      <c r="F29" s="7" t="n">
        <v>0.75</v>
      </c>
      <c r="G29" s="8" t="s">
        <v>100</v>
      </c>
      <c r="H29" s="4" t="s">
        <v>101</v>
      </c>
      <c r="I29" s="4" t="s">
        <v>102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0" t="s">
        <v>99</v>
      </c>
      <c r="D30" s="7" t="n">
        <v>0.75</v>
      </c>
      <c r="E30" s="7" t="n">
        <v>0.85</v>
      </c>
      <c r="F30" s="7" t="n">
        <v>0.9</v>
      </c>
      <c r="G30" s="8" t="s">
        <v>67</v>
      </c>
      <c r="H30" s="8" t="s">
        <v>105</v>
      </c>
      <c r="I30" s="4" t="s">
        <v>106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0" t="s">
        <v>99</v>
      </c>
      <c r="D31" s="7" t="n">
        <v>0.78</v>
      </c>
      <c r="E31" s="7" t="n">
        <v>0.8</v>
      </c>
      <c r="F31" s="7" t="n">
        <v>0.85</v>
      </c>
      <c r="G31" s="8" t="s">
        <v>100</v>
      </c>
      <c r="H31" s="4" t="s">
        <v>109</v>
      </c>
      <c r="I31" s="8" t="s">
        <v>110</v>
      </c>
    </row>
    <row r="32" customFormat="false" ht="17.15" hidden="false" customHeight="false" outlineLevel="0" collapsed="false">
      <c r="A32" s="0" t="s">
        <v>111</v>
      </c>
      <c r="B32" s="0" t="s">
        <v>112</v>
      </c>
      <c r="C32" s="0" t="s">
        <v>99</v>
      </c>
      <c r="D32" s="7" t="n">
        <v>0.55</v>
      </c>
      <c r="E32" s="7" t="n">
        <v>0.6</v>
      </c>
      <c r="F32" s="7" t="n">
        <v>0.65</v>
      </c>
      <c r="G32" s="8" t="s">
        <v>100</v>
      </c>
      <c r="H32" s="4" t="s">
        <v>113</v>
      </c>
      <c r="I32" s="8" t="s">
        <v>114</v>
      </c>
    </row>
    <row r="33" customFormat="false" ht="17.15" hidden="false" customHeight="false" outlineLevel="0" collapsed="false">
      <c r="A33" s="0" t="s">
        <v>115</v>
      </c>
      <c r="B33" s="0" t="s">
        <v>116</v>
      </c>
      <c r="C33" s="0" t="s">
        <v>117</v>
      </c>
      <c r="D33" s="7" t="n">
        <v>65</v>
      </c>
      <c r="E33" s="7" t="n">
        <v>68.5</v>
      </c>
      <c r="F33" s="7" t="n">
        <v>72</v>
      </c>
      <c r="G33" s="8" t="s">
        <v>100</v>
      </c>
      <c r="H33" s="4" t="s">
        <v>118</v>
      </c>
      <c r="I33" s="4" t="s">
        <v>119</v>
      </c>
    </row>
    <row r="34" customFormat="false" ht="17.15" hidden="false" customHeight="false" outlineLevel="0" collapsed="false">
      <c r="A34" s="0" t="s">
        <v>120</v>
      </c>
      <c r="B34" s="4" t="s">
        <v>121</v>
      </c>
      <c r="C34" s="0" t="s">
        <v>66</v>
      </c>
      <c r="D34" s="7" t="n">
        <v>0.85</v>
      </c>
      <c r="E34" s="7" t="n">
        <v>0.95</v>
      </c>
      <c r="F34" s="7" t="n">
        <v>1</v>
      </c>
      <c r="G34" s="8" t="s">
        <v>67</v>
      </c>
      <c r="H34" s="8" t="s">
        <v>122</v>
      </c>
      <c r="I34" s="4" t="s">
        <v>123</v>
      </c>
    </row>
    <row r="35" customFormat="false" ht="17.15" hidden="false" customHeight="false" outlineLevel="0" collapsed="false">
      <c r="A35" s="0" t="s">
        <v>124</v>
      </c>
      <c r="B35" s="4" t="s">
        <v>125</v>
      </c>
      <c r="C35" s="0" t="s">
        <v>66</v>
      </c>
      <c r="D35" s="7" t="n">
        <v>0.8</v>
      </c>
      <c r="E35" s="7" t="n">
        <v>0.92</v>
      </c>
      <c r="F35" s="7" t="n">
        <v>1</v>
      </c>
      <c r="G35" s="8" t="s">
        <v>67</v>
      </c>
      <c r="H35" s="4" t="s">
        <v>33</v>
      </c>
      <c r="I35" s="8" t="s">
        <v>72</v>
      </c>
    </row>
    <row r="36" customFormat="false" ht="17.15" hidden="false" customHeight="false" outlineLevel="0" collapsed="false">
      <c r="A36" s="0" t="s">
        <v>126</v>
      </c>
      <c r="B36" s="4" t="s">
        <v>127</v>
      </c>
      <c r="C36" s="0" t="s">
        <v>99</v>
      </c>
      <c r="D36" s="7" t="n">
        <v>0</v>
      </c>
      <c r="E36" s="7" t="n">
        <v>0.15</v>
      </c>
      <c r="F36" s="7" t="n">
        <v>0.3</v>
      </c>
      <c r="G36" s="8" t="s">
        <v>67</v>
      </c>
      <c r="H36" s="4" t="s">
        <v>128</v>
      </c>
      <c r="I36" s="4" t="s">
        <v>129</v>
      </c>
    </row>
    <row r="37" customFormat="false" ht="17.15" hidden="false" customHeight="false" outlineLevel="0" collapsed="false">
      <c r="A37" s="0" t="s">
        <v>130</v>
      </c>
      <c r="B37" s="4" t="s">
        <v>131</v>
      </c>
      <c r="C37" s="0" t="s">
        <v>99</v>
      </c>
      <c r="D37" s="7" t="n">
        <v>-0.05</v>
      </c>
      <c r="E37" s="7" t="n">
        <v>0.08</v>
      </c>
      <c r="F37" s="7" t="n">
        <v>0.2</v>
      </c>
      <c r="G37" s="8" t="s">
        <v>67</v>
      </c>
      <c r="H37" s="4" t="s">
        <v>33</v>
      </c>
      <c r="I37" s="8" t="s">
        <v>72</v>
      </c>
    </row>
    <row r="38" customFormat="false" ht="17.15" hidden="false" customHeight="false" outlineLevel="0" collapsed="false">
      <c r="A38" s="0" t="s">
        <v>132</v>
      </c>
      <c r="B38" s="4" t="s">
        <v>133</v>
      </c>
      <c r="C38" s="0" t="s">
        <v>99</v>
      </c>
      <c r="D38" s="7" t="n">
        <v>-0.05</v>
      </c>
      <c r="E38" s="7" t="n">
        <v>0.06</v>
      </c>
      <c r="F38" s="7" t="n">
        <v>0.15</v>
      </c>
      <c r="G38" s="8" t="s">
        <v>67</v>
      </c>
      <c r="H38" s="4" t="s">
        <v>33</v>
      </c>
      <c r="I38" s="8" t="s">
        <v>72</v>
      </c>
    </row>
    <row r="39" customFormat="false" ht="17.15" hidden="false" customHeight="false" outlineLevel="0" collapsed="false">
      <c r="A39" s="6" t="s">
        <v>134</v>
      </c>
    </row>
    <row r="40" customFormat="false" ht="17.15" hidden="false" customHeight="false" outlineLevel="0" collapsed="false">
      <c r="A40" s="0" t="s">
        <v>135</v>
      </c>
      <c r="B40" s="4" t="s">
        <v>136</v>
      </c>
      <c r="C40" s="0" t="s">
        <v>99</v>
      </c>
      <c r="D40" s="7" t="n">
        <v>0.13</v>
      </c>
      <c r="E40" s="7" t="n">
        <v>0.15</v>
      </c>
      <c r="F40" s="7" t="n">
        <v>0.18</v>
      </c>
      <c r="G40" s="8" t="s">
        <v>67</v>
      </c>
      <c r="H40" s="8" t="s">
        <v>137</v>
      </c>
      <c r="I40" s="4" t="s">
        <v>138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141</v>
      </c>
      <c r="D41" s="7" t="n">
        <v>-0.005</v>
      </c>
      <c r="E41" s="7" t="n">
        <v>0.005</v>
      </c>
      <c r="F41" s="7" t="n">
        <v>0.015</v>
      </c>
      <c r="G41" s="8" t="s">
        <v>100</v>
      </c>
      <c r="H41" s="4" t="s">
        <v>142</v>
      </c>
      <c r="I41" s="4" t="s">
        <v>143</v>
      </c>
    </row>
    <row r="42" customFormat="false" ht="17.15" hidden="false" customHeight="false" outlineLevel="0" collapsed="false">
      <c r="A42" s="0" t="s">
        <v>144</v>
      </c>
      <c r="B42" s="0" t="s">
        <v>145</v>
      </c>
      <c r="C42" s="0" t="s">
        <v>141</v>
      </c>
      <c r="D42" s="7" t="n">
        <v>-0.015</v>
      </c>
      <c r="E42" s="7" t="n">
        <v>0.003</v>
      </c>
      <c r="F42" s="7" t="n">
        <v>0.015</v>
      </c>
      <c r="G42" s="8" t="s">
        <v>67</v>
      </c>
      <c r="H42" s="8" t="s">
        <v>146</v>
      </c>
      <c r="I42" s="8" t="s">
        <v>147</v>
      </c>
    </row>
    <row r="43" customFormat="false" ht="17.15" hidden="false" customHeight="false" outlineLevel="0" collapsed="false">
      <c r="A43" s="6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117</v>
      </c>
      <c r="D44" s="7" t="n">
        <v>18.5</v>
      </c>
      <c r="E44" s="7" t="n">
        <v>19</v>
      </c>
      <c r="F44" s="7" t="n">
        <v>19.5</v>
      </c>
      <c r="G44" s="8" t="s">
        <v>100</v>
      </c>
      <c r="H44" s="4" t="s">
        <v>151</v>
      </c>
      <c r="I44" s="8" t="s">
        <v>152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99</v>
      </c>
      <c r="D45" s="7" t="n">
        <v>0.12</v>
      </c>
      <c r="E45" s="7" t="n">
        <v>0.1225</v>
      </c>
      <c r="F45" s="7" t="n">
        <v>0.125</v>
      </c>
      <c r="G45" s="8" t="s">
        <v>100</v>
      </c>
      <c r="H45" s="4" t="s">
        <v>155</v>
      </c>
      <c r="I45" s="4" t="s">
        <v>156</v>
      </c>
    </row>
    <row r="46" customFormat="false" ht="17.15" hidden="false" customHeight="false" outlineLevel="0" collapsed="false">
      <c r="A46" s="6" t="s">
        <v>157</v>
      </c>
    </row>
    <row r="47" customFormat="false" ht="17.15" hidden="false" customHeight="false" outlineLevel="0" collapsed="false">
      <c r="A47" s="0" t="s">
        <v>158</v>
      </c>
      <c r="B47" s="4" t="s">
        <v>159</v>
      </c>
      <c r="C47" s="0" t="s">
        <v>66</v>
      </c>
      <c r="D47" s="7" t="n">
        <v>0.3</v>
      </c>
      <c r="E47" s="7" t="n">
        <v>0.4</v>
      </c>
      <c r="F47" s="7" t="n">
        <v>0.6</v>
      </c>
      <c r="G47" s="8" t="s">
        <v>28</v>
      </c>
      <c r="H47" s="4" t="s">
        <v>160</v>
      </c>
      <c r="I47" s="8" t="s">
        <v>161</v>
      </c>
    </row>
    <row r="48" customFormat="false" ht="17.15" hidden="false" customHeight="false" outlineLevel="0" collapsed="false">
      <c r="A48" s="0" t="s">
        <v>162</v>
      </c>
      <c r="B48" s="4" t="s">
        <v>163</v>
      </c>
      <c r="C48" s="0" t="s">
        <v>141</v>
      </c>
      <c r="D48" s="7" t="n">
        <v>-0.002</v>
      </c>
      <c r="E48" s="7" t="n">
        <v>0</v>
      </c>
      <c r="F48" s="7" t="n">
        <v>0.002</v>
      </c>
      <c r="G48" s="8" t="s">
        <v>67</v>
      </c>
      <c r="H48" s="4" t="s">
        <v>164</v>
      </c>
      <c r="I48" s="4" t="s">
        <v>165</v>
      </c>
    </row>
    <row r="49" customFormat="false" ht="17.15" hidden="false" customHeight="false" outlineLevel="0" collapsed="false">
      <c r="A49" s="0" t="s">
        <v>166</v>
      </c>
      <c r="B49" s="4" t="s">
        <v>167</v>
      </c>
      <c r="C49" s="0" t="s">
        <v>99</v>
      </c>
      <c r="D49" s="7" t="n">
        <v>0.68</v>
      </c>
      <c r="E49" s="7" t="n">
        <v>0.75</v>
      </c>
      <c r="F49" s="7" t="n">
        <v>0.8</v>
      </c>
      <c r="G49" s="8" t="s">
        <v>28</v>
      </c>
      <c r="H49" s="8" t="s">
        <v>168</v>
      </c>
      <c r="I49" s="8" t="s">
        <v>169</v>
      </c>
    </row>
    <row r="50" customFormat="false" ht="17.15" hidden="false" customHeight="false" outlineLevel="0" collapsed="false">
      <c r="A50" s="0" t="s">
        <v>170</v>
      </c>
      <c r="B50" s="4" t="s">
        <v>171</v>
      </c>
      <c r="C50" s="0" t="s">
        <v>117</v>
      </c>
      <c r="E50" s="0" t="n">
        <f aca="false">86.25*50/1000*0.07</f>
        <v>0.301875</v>
      </c>
      <c r="G50" s="0" t="s">
        <v>28</v>
      </c>
      <c r="H50" s="4" t="s">
        <v>172</v>
      </c>
      <c r="I50" s="4" t="s">
        <v>173</v>
      </c>
    </row>
    <row r="51" customFormat="false" ht="17.15" hidden="false" customHeight="false" outlineLevel="0" collapsed="false">
      <c r="A51" s="0" t="s">
        <v>174</v>
      </c>
      <c r="B51" s="0" t="s">
        <v>175</v>
      </c>
      <c r="C51" s="4" t="s">
        <v>176</v>
      </c>
      <c r="E51" s="7" t="n">
        <v>0.745</v>
      </c>
      <c r="G51" s="8" t="s">
        <v>100</v>
      </c>
      <c r="H51" s="4" t="s">
        <v>177</v>
      </c>
      <c r="I51" s="8" t="s">
        <v>178</v>
      </c>
    </row>
    <row r="52" customFormat="false" ht="17.15" hidden="false" customHeight="false" outlineLevel="0" collapsed="false">
      <c r="A52" s="0" t="s">
        <v>179</v>
      </c>
      <c r="B52" s="4" t="s">
        <v>180</v>
      </c>
      <c r="C52" s="0" t="s">
        <v>99</v>
      </c>
      <c r="D52" s="7" t="n">
        <v>0</v>
      </c>
      <c r="E52" s="7" t="n">
        <v>0.01</v>
      </c>
      <c r="F52" s="7" t="n">
        <v>0.03</v>
      </c>
      <c r="G52" s="8" t="s">
        <v>67</v>
      </c>
      <c r="H52" s="8" t="s">
        <v>181</v>
      </c>
      <c r="I52" s="8" t="s">
        <v>182</v>
      </c>
    </row>
    <row r="53" customFormat="false" ht="17.15" hidden="false" customHeight="false" outlineLevel="0" collapsed="false">
      <c r="A53" s="0" t="s">
        <v>183</v>
      </c>
      <c r="B53" s="4" t="s">
        <v>184</v>
      </c>
      <c r="C53" s="4" t="s">
        <v>176</v>
      </c>
      <c r="D53" s="0" t="n">
        <f aca="false">86.25*1.5152/1000</f>
        <v>0.130686</v>
      </c>
      <c r="E53" s="0" t="n">
        <f aca="false">86.25*(1.5152+1.8182)/2/1000</f>
        <v>0.143752875</v>
      </c>
      <c r="F53" s="0" t="n">
        <f aca="false">86.25*1.8182/1000</f>
        <v>0.15681975</v>
      </c>
      <c r="G53" s="0" t="s">
        <v>28</v>
      </c>
      <c r="H53" s="4" t="s">
        <v>185</v>
      </c>
      <c r="I53" s="4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189</v>
      </c>
      <c r="E54" s="0" t="n">
        <f aca="false">(0.106-0.032)*4/sh27</f>
        <v>0.397315436241611</v>
      </c>
      <c r="G54" s="0" t="s">
        <v>28</v>
      </c>
      <c r="H54" s="4" t="s">
        <v>190</v>
      </c>
      <c r="I54" s="0" t="s">
        <v>191</v>
      </c>
    </row>
    <row r="55" customFormat="false" ht="17.15" hidden="false" customHeight="false" outlineLevel="0" collapsed="false">
      <c r="A55" s="6" t="s">
        <v>192</v>
      </c>
    </row>
    <row r="56" customFormat="false" ht="17.15" hidden="false" customHeight="false" outlineLevel="0" collapsed="false">
      <c r="A56" s="0" t="s">
        <v>193</v>
      </c>
      <c r="B56" s="4" t="s">
        <v>194</v>
      </c>
      <c r="C56" s="0" t="s">
        <v>117</v>
      </c>
      <c r="D56" s="7" t="n">
        <v>63.5</v>
      </c>
      <c r="E56" s="7" t="n">
        <v>70</v>
      </c>
      <c r="F56" s="7" t="n">
        <v>82</v>
      </c>
      <c r="G56" s="8" t="s">
        <v>100</v>
      </c>
      <c r="H56" s="8" t="s">
        <v>195</v>
      </c>
      <c r="I56" s="8" t="s">
        <v>196</v>
      </c>
    </row>
    <row r="57" customFormat="false" ht="17.15" hidden="false" customHeight="false" outlineLevel="0" collapsed="false">
      <c r="A57" s="0" t="s">
        <v>197</v>
      </c>
      <c r="B57" s="4" t="s">
        <v>198</v>
      </c>
      <c r="C57" s="0" t="s">
        <v>117</v>
      </c>
      <c r="D57" s="7" t="n">
        <v>70.84</v>
      </c>
      <c r="E57" s="7" t="n">
        <v>81.4</v>
      </c>
      <c r="F57" s="7" t="n">
        <v>92</v>
      </c>
      <c r="G57" s="8" t="s">
        <v>100</v>
      </c>
      <c r="H57" s="8" t="s">
        <v>199</v>
      </c>
      <c r="I57" s="8" t="s">
        <v>200</v>
      </c>
    </row>
    <row r="58" customFormat="false" ht="17.15" hidden="false" customHeight="false" outlineLevel="0" collapsed="false">
      <c r="A58" s="0" t="s">
        <v>201</v>
      </c>
      <c r="B58" s="4" t="s">
        <v>202</v>
      </c>
      <c r="C58" s="0" t="s">
        <v>189</v>
      </c>
      <c r="D58" s="7" t="n">
        <v>3.5</v>
      </c>
      <c r="E58" s="7" t="n">
        <v>4.67</v>
      </c>
      <c r="F58" s="7" t="n">
        <v>6.4</v>
      </c>
      <c r="G58" s="8" t="s">
        <v>100</v>
      </c>
      <c r="H58" s="8" t="s">
        <v>203</v>
      </c>
      <c r="I58" s="8" t="s">
        <v>204</v>
      </c>
    </row>
    <row r="59" customFormat="false" ht="17.15" hidden="false" customHeight="false" outlineLevel="0" collapsed="false">
      <c r="A59" s="0" t="s">
        <v>205</v>
      </c>
      <c r="B59" s="4" t="s">
        <v>206</v>
      </c>
      <c r="C59" s="0" t="s">
        <v>189</v>
      </c>
      <c r="E59" s="7" t="n">
        <v>5.59</v>
      </c>
      <c r="G59" s="8" t="s">
        <v>100</v>
      </c>
      <c r="H59" s="8" t="s">
        <v>207</v>
      </c>
      <c r="I59" s="4" t="s">
        <v>208</v>
      </c>
    </row>
    <row r="60" customFormat="false" ht="17.15" hidden="false" customHeight="false" outlineLevel="0" collapsed="false">
      <c r="A60" s="6" t="s">
        <v>209</v>
      </c>
    </row>
    <row r="61" customFormat="false" ht="17.15" hidden="false" customHeight="false" outlineLevel="0" collapsed="false">
      <c r="A61" s="0" t="s">
        <v>210</v>
      </c>
      <c r="B61" s="4" t="s">
        <v>211</v>
      </c>
      <c r="C61" s="0" t="s">
        <v>189</v>
      </c>
      <c r="E61" s="7" t="n">
        <v>32.94</v>
      </c>
      <c r="G61" s="8" t="s">
        <v>100</v>
      </c>
      <c r="H61" s="8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4" t="s">
        <v>215</v>
      </c>
      <c r="C62" s="0" t="s">
        <v>66</v>
      </c>
      <c r="E62" s="7" t="n">
        <v>10.12</v>
      </c>
      <c r="G62" s="8" t="s">
        <v>100</v>
      </c>
      <c r="H62" s="8" t="s">
        <v>216</v>
      </c>
      <c r="I62" s="8" t="s">
        <v>217</v>
      </c>
    </row>
    <row r="63" customFormat="false" ht="17.15" hidden="false" customHeight="false" outlineLevel="0" collapsed="false">
      <c r="A63" s="0" t="s">
        <v>218</v>
      </c>
      <c r="B63" s="4" t="s">
        <v>219</v>
      </c>
      <c r="C63" s="0" t="s">
        <v>66</v>
      </c>
      <c r="E63" s="7" t="n">
        <v>7.06</v>
      </c>
      <c r="G63" s="8" t="s">
        <v>100</v>
      </c>
      <c r="H63" s="8" t="s">
        <v>216</v>
      </c>
      <c r="I63" s="4" t="s">
        <v>220</v>
      </c>
    </row>
    <row r="64" customFormat="false" ht="17.15" hidden="false" customHeight="false" outlineLevel="0" collapsed="false">
      <c r="A64" s="0" t="s">
        <v>221</v>
      </c>
      <c r="B64" s="4" t="s">
        <v>222</v>
      </c>
      <c r="C64" s="0" t="s">
        <v>189</v>
      </c>
      <c r="E64" s="0" t="n">
        <f aca="false">px/fpe</f>
        <v>4.6657223796034</v>
      </c>
      <c r="G64" s="0" t="s">
        <v>28</v>
      </c>
      <c r="H64" s="0" t="s">
        <v>223</v>
      </c>
      <c r="I64" s="4" t="s">
        <v>224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0" t="s">
        <v>189</v>
      </c>
      <c r="D65" s="7" t="n">
        <v>15</v>
      </c>
      <c r="E65" s="7" t="n">
        <v>43.27</v>
      </c>
      <c r="F65" s="7" t="n">
        <v>60</v>
      </c>
      <c r="G65" s="8" t="s">
        <v>100</v>
      </c>
      <c r="H65" s="8" t="s">
        <v>227</v>
      </c>
      <c r="I65" s="8" t="s">
        <v>228</v>
      </c>
    </row>
    <row r="66" customFormat="false" ht="17.15" hidden="false" customHeight="false" outlineLevel="0" collapsed="false">
      <c r="A66" s="0" t="s">
        <v>229</v>
      </c>
      <c r="B66" s="4" t="s">
        <v>230</v>
      </c>
      <c r="C66" s="0" t="s">
        <v>99</v>
      </c>
      <c r="E66" s="0" t="n">
        <f aca="false">AVERAGE(72/2225,67/2485,46/3360,72/3500,84/3339,112/3557,285/5196,640/7123,1153/14989,1049/21972)</f>
        <v>0.0419592992285483</v>
      </c>
      <c r="G66" s="0" t="s">
        <v>28</v>
      </c>
      <c r="H66" s="0" t="s">
        <v>231</v>
      </c>
      <c r="I66" s="0" t="s">
        <v>232</v>
      </c>
    </row>
    <row r="67" customFormat="false" ht="17.15" hidden="false" customHeight="false" outlineLevel="0" collapsed="false">
      <c r="A67" s="6" t="s">
        <v>233</v>
      </c>
    </row>
    <row r="68" customFormat="false" ht="17.15" hidden="false" customHeight="false" outlineLevel="0" collapsed="false">
      <c r="A68" s="9" t="s">
        <v>234</v>
      </c>
      <c r="B68" s="10" t="s">
        <v>235</v>
      </c>
      <c r="C68" s="9" t="s">
        <v>99</v>
      </c>
      <c r="D68" s="9"/>
      <c r="E68" s="11" t="n">
        <v>0.3</v>
      </c>
      <c r="F68" s="9"/>
      <c r="G68" s="9" t="s">
        <v>67</v>
      </c>
      <c r="H68" s="9" t="s">
        <v>236</v>
      </c>
      <c r="I68" s="10" t="s">
        <v>237</v>
      </c>
    </row>
    <row r="69" customFormat="false" ht="17.15" hidden="false" customHeight="false" outlineLevel="0" collapsed="false">
      <c r="A69" s="9" t="s">
        <v>238</v>
      </c>
      <c r="B69" s="10" t="s">
        <v>239</v>
      </c>
      <c r="C69" s="9" t="s">
        <v>99</v>
      </c>
      <c r="D69" s="9"/>
      <c r="E69" s="11" t="n">
        <v>0.5</v>
      </c>
      <c r="F69" s="9"/>
      <c r="G69" s="9" t="s">
        <v>67</v>
      </c>
      <c r="H69" s="9" t="s">
        <v>236</v>
      </c>
      <c r="I69" s="10" t="s">
        <v>237</v>
      </c>
    </row>
    <row r="70" customFormat="false" ht="17.15" hidden="false" customHeight="false" outlineLevel="0" collapsed="false">
      <c r="A70" s="9" t="s">
        <v>240</v>
      </c>
      <c r="B70" s="10" t="s">
        <v>241</v>
      </c>
      <c r="C70" s="9" t="s">
        <v>99</v>
      </c>
      <c r="D70" s="9"/>
      <c r="E70" s="11" t="n">
        <v>0.2</v>
      </c>
      <c r="F70" s="9"/>
      <c r="G70" s="9" t="s">
        <v>67</v>
      </c>
      <c r="H70" s="9" t="s">
        <v>236</v>
      </c>
      <c r="I70" s="10" t="s">
        <v>237</v>
      </c>
    </row>
    <row r="71" customFormat="false" ht="17.15" hidden="false" customHeight="false" outlineLevel="0" collapsed="false">
      <c r="A71" s="9" t="s">
        <v>242</v>
      </c>
      <c r="B71" s="10" t="s">
        <v>243</v>
      </c>
      <c r="C71" s="9" t="s">
        <v>99</v>
      </c>
      <c r="D71" s="9"/>
      <c r="E71" s="11" t="n">
        <v>0.1</v>
      </c>
      <c r="F71" s="9"/>
      <c r="G71" s="9" t="s">
        <v>67</v>
      </c>
      <c r="H71" s="9" t="s">
        <v>244</v>
      </c>
      <c r="I71" s="9" t="s">
        <v>245</v>
      </c>
    </row>
    <row r="72" customFormat="false" ht="17.15" hidden="false" customHeight="false" outlineLevel="0" collapsed="false">
      <c r="A72" s="9" t="s">
        <v>246</v>
      </c>
      <c r="B72" s="10" t="s">
        <v>247</v>
      </c>
      <c r="C72" s="9" t="s">
        <v>99</v>
      </c>
      <c r="D72" s="9"/>
      <c r="E72" s="11" t="n">
        <v>0.04</v>
      </c>
      <c r="F72" s="9"/>
      <c r="G72" s="9" t="s">
        <v>67</v>
      </c>
      <c r="H72" s="9" t="s">
        <v>248</v>
      </c>
      <c r="I72" s="9" t="s">
        <v>249</v>
      </c>
    </row>
    <row r="73" customFormat="false" ht="17.15" hidden="false" customHeight="false" outlineLevel="0" collapsed="false">
      <c r="A73" s="9" t="s">
        <v>250</v>
      </c>
      <c r="B73" s="9" t="s">
        <v>251</v>
      </c>
      <c r="C73" s="9" t="s">
        <v>99</v>
      </c>
      <c r="D73" s="9"/>
      <c r="E73" s="9" t="n">
        <f aca="false">AVERAGE(0.312,0.179,0.2147)</f>
        <v>0.235233333333333</v>
      </c>
      <c r="F73" s="9"/>
      <c r="G73" s="9" t="s">
        <v>28</v>
      </c>
      <c r="H73" s="9" t="s">
        <v>252</v>
      </c>
      <c r="I73" s="10" t="s">
        <v>253</v>
      </c>
    </row>
    <row r="74" customFormat="false" ht="17.15" hidden="false" customHeight="false" outlineLevel="0" collapsed="false">
      <c r="A74" s="9" t="s">
        <v>254</v>
      </c>
      <c r="B74" s="10" t="s">
        <v>255</v>
      </c>
      <c r="C74" s="9" t="s">
        <v>99</v>
      </c>
      <c r="D74" s="9"/>
      <c r="E74" s="11" t="n">
        <v>0.5</v>
      </c>
      <c r="F74" s="9"/>
      <c r="G74" s="9" t="s">
        <v>67</v>
      </c>
      <c r="H74" s="9" t="s">
        <v>256</v>
      </c>
      <c r="I74" s="9" t="s">
        <v>72</v>
      </c>
    </row>
    <row r="75" customFormat="false" ht="17.15" hidden="false" customHeight="false" outlineLevel="0" collapsed="false">
      <c r="A75" s="9" t="s">
        <v>257</v>
      </c>
      <c r="B75" s="10" t="s">
        <v>258</v>
      </c>
      <c r="C75" s="9" t="s">
        <v>99</v>
      </c>
      <c r="D75" s="9"/>
      <c r="E75" s="9" t="n">
        <f aca="false">tp_g+0.02</f>
        <v>0.06</v>
      </c>
      <c r="F75" s="9"/>
      <c r="G75" s="9" t="s">
        <v>67</v>
      </c>
      <c r="H75" s="10" t="s">
        <v>259</v>
      </c>
      <c r="I75" s="9" t="s">
        <v>260</v>
      </c>
    </row>
    <row r="76" customFormat="false" ht="17.15" hidden="false" customHeight="false" outlineLevel="0" collapsed="false">
      <c r="A76" s="9" t="s">
        <v>261</v>
      </c>
      <c r="B76" s="10" t="s">
        <v>262</v>
      </c>
      <c r="C76" s="9" t="s">
        <v>99</v>
      </c>
      <c r="D76" s="9"/>
      <c r="E76" s="9" t="n">
        <f aca="false">tp_g</f>
        <v>0.04</v>
      </c>
      <c r="F76" s="9"/>
      <c r="G76" s="9" t="s">
        <v>67</v>
      </c>
      <c r="H76" s="10" t="s">
        <v>33</v>
      </c>
      <c r="I76" s="9" t="s">
        <v>72</v>
      </c>
    </row>
    <row r="77" customFormat="false" ht="17.15" hidden="false" customHeight="false" outlineLevel="0" collapsed="false">
      <c r="A77" s="9" t="s">
        <v>263</v>
      </c>
      <c r="B77" s="10" t="s">
        <v>264</v>
      </c>
      <c r="C77" s="9" t="s">
        <v>99</v>
      </c>
      <c r="D77" s="9"/>
      <c r="E77" s="9" t="n">
        <f aca="false">tp_g-0.02</f>
        <v>0.02</v>
      </c>
      <c r="F77" s="9"/>
      <c r="G77" s="9" t="s">
        <v>67</v>
      </c>
      <c r="H77" s="10" t="s">
        <v>33</v>
      </c>
      <c r="I77" s="9" t="s">
        <v>72</v>
      </c>
    </row>
    <row r="78" customFormat="false" ht="17.15" hidden="false" customHeight="false" outlineLevel="0" collapsed="false">
      <c r="A78" s="9" t="s">
        <v>265</v>
      </c>
      <c r="B78" s="10" t="s">
        <v>266</v>
      </c>
      <c r="C78" s="9" t="s">
        <v>99</v>
      </c>
      <c r="D78" s="9"/>
      <c r="E78" s="12" t="n">
        <f aca="false">PL!G95</f>
        <v>0.0701141443731329</v>
      </c>
      <c r="F78" s="9"/>
      <c r="G78" s="9" t="s">
        <v>28</v>
      </c>
      <c r="H78" s="9" t="s">
        <v>267</v>
      </c>
      <c r="I78" s="9" t="s">
        <v>72</v>
      </c>
    </row>
    <row r="79" customFormat="false" ht="17.15" hidden="false" customHeight="false" outlineLevel="0" collapsed="false">
      <c r="A79" s="9" t="s">
        <v>268</v>
      </c>
      <c r="B79" s="10" t="s">
        <v>269</v>
      </c>
      <c r="C79" s="9" t="s">
        <v>99</v>
      </c>
      <c r="D79" s="9"/>
      <c r="E79" s="13" t="n">
        <f aca="false">(PL!G137+nim10)/2</f>
        <v>0.0513882055115649</v>
      </c>
      <c r="F79" s="9"/>
      <c r="G79" s="9" t="s">
        <v>28</v>
      </c>
      <c r="H79" s="9" t="s">
        <v>270</v>
      </c>
      <c r="I79" s="9" t="s">
        <v>72</v>
      </c>
    </row>
    <row r="80" customFormat="false" ht="17.15" hidden="false" customHeight="false" outlineLevel="0" collapsed="false">
      <c r="A80" s="9" t="s">
        <v>271</v>
      </c>
      <c r="B80" s="10" t="s">
        <v>272</v>
      </c>
      <c r="C80" s="9" t="s">
        <v>99</v>
      </c>
      <c r="D80" s="9"/>
      <c r="E80" s="9" t="n">
        <f aca="false">nim10</f>
        <v>0.0419592992285483</v>
      </c>
      <c r="F80" s="9"/>
      <c r="G80" s="9" t="s">
        <v>28</v>
      </c>
      <c r="H80" s="9" t="s">
        <v>273</v>
      </c>
      <c r="I80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274</v>
      </c>
    </row>
    <row r="2" customFormat="false" ht="17.15" hidden="false" customHeight="false" outlineLevel="0" collapsed="false">
      <c r="A2" s="0" t="s">
        <v>275</v>
      </c>
    </row>
    <row r="3" customFormat="false" ht="17.15" hidden="false" customHeight="false" outlineLevel="0" collapsed="false">
      <c r="A3" s="5" t="s">
        <v>16</v>
      </c>
      <c r="B3" s="14" t="s">
        <v>276</v>
      </c>
      <c r="C3" s="14" t="s">
        <v>277</v>
      </c>
      <c r="D3" s="14" t="s">
        <v>278</v>
      </c>
      <c r="E3" s="14" t="s">
        <v>279</v>
      </c>
      <c r="F3" s="14" t="s">
        <v>280</v>
      </c>
      <c r="G3" s="5" t="s">
        <v>21</v>
      </c>
      <c r="H3" s="5" t="s">
        <v>281</v>
      </c>
      <c r="I3" s="5" t="s">
        <v>23</v>
      </c>
    </row>
    <row r="4" customFormat="false" ht="17.15" hidden="false" customHeight="false" outlineLevel="0" collapsed="false">
      <c r="A4" s="4" t="s">
        <v>282</v>
      </c>
      <c r="B4" s="15" t="n">
        <v>21.972</v>
      </c>
      <c r="C4" s="15" t="n">
        <v>17.7003</v>
      </c>
      <c r="D4" s="16" t="n">
        <f aca="false">39.063-C4-E4</f>
        <v>10.2427</v>
      </c>
      <c r="E4" s="15" t="n">
        <v>11.12</v>
      </c>
      <c r="F4" s="16" t="n">
        <f aca="false">SUM(C4:E4)</f>
        <v>39.063</v>
      </c>
      <c r="G4" s="8" t="s">
        <v>283</v>
      </c>
      <c r="H4" s="4" t="s">
        <v>284</v>
      </c>
      <c r="I4" s="8" t="s">
        <v>285</v>
      </c>
    </row>
    <row r="5" customFormat="false" ht="17.15" hidden="false" customHeight="false" outlineLevel="0" collapsed="false">
      <c r="A5" s="4" t="s">
        <v>286</v>
      </c>
      <c r="B5" s="16" t="n">
        <f aca="false">B8+B7</f>
        <v>2.4299</v>
      </c>
      <c r="C5" s="16" t="n">
        <f aca="false">C8+C7</f>
        <v>1.266</v>
      </c>
      <c r="D5" s="16" t="n">
        <f aca="false">D8+D7</f>
        <v>1.0186</v>
      </c>
      <c r="E5" s="16" t="n">
        <f aca="false">E8+E7</f>
        <v>1.9427</v>
      </c>
      <c r="F5" s="16" t="n">
        <f aca="false">SUM(C5:E5)</f>
        <v>4.2273</v>
      </c>
      <c r="G5" s="8" t="s">
        <v>28</v>
      </c>
      <c r="H5" s="4" t="s">
        <v>284</v>
      </c>
      <c r="I5" s="8" t="s">
        <v>287</v>
      </c>
    </row>
    <row r="6" customFormat="false" ht="15" hidden="false" customHeight="false" outlineLevel="0" collapsed="false">
      <c r="A6" s="4" t="s">
        <v>288</v>
      </c>
      <c r="B6" s="17" t="n">
        <f aca="false">B5/B4</f>
        <v>0.110590751866011</v>
      </c>
      <c r="C6" s="17" t="n">
        <f aca="false">C5/C4</f>
        <v>0.0715242114540432</v>
      </c>
      <c r="D6" s="17" t="n">
        <f aca="false">D5/D4</f>
        <v>0.0994464350220157</v>
      </c>
      <c r="E6" s="17" t="n">
        <f aca="false">E5/E4</f>
        <v>0.174703237410072</v>
      </c>
      <c r="F6" s="17" t="n">
        <f aca="false">F5/F4</f>
        <v>0.108217494816066</v>
      </c>
      <c r="G6" s="8" t="s">
        <v>28</v>
      </c>
      <c r="H6" s="8" t="s">
        <v>72</v>
      </c>
      <c r="I6" s="8" t="s">
        <v>72</v>
      </c>
    </row>
    <row r="7" customFormat="false" ht="17.15" hidden="false" customHeight="false" outlineLevel="0" collapsed="false">
      <c r="A7" s="4" t="s">
        <v>289</v>
      </c>
      <c r="B7" s="15" t="n">
        <v>1.1769</v>
      </c>
      <c r="C7" s="15" t="n">
        <v>0.6094</v>
      </c>
      <c r="D7" s="16" t="n">
        <f aca="false">1.4568-C7-E7</f>
        <v>0.3928</v>
      </c>
      <c r="E7" s="15" t="n">
        <v>0.4546</v>
      </c>
      <c r="F7" s="16" t="n">
        <f aca="false">SUM(C7:E7)</f>
        <v>1.4568</v>
      </c>
      <c r="G7" s="8" t="s">
        <v>283</v>
      </c>
      <c r="H7" s="4" t="s">
        <v>284</v>
      </c>
      <c r="I7" s="8" t="s">
        <v>290</v>
      </c>
    </row>
    <row r="8" customFormat="false" ht="17.15" hidden="false" customHeight="false" outlineLevel="0" collapsed="false">
      <c r="A8" s="4" t="s">
        <v>291</v>
      </c>
      <c r="B8" s="15" t="n">
        <v>1.253</v>
      </c>
      <c r="C8" s="15" t="n">
        <v>0.6566</v>
      </c>
      <c r="D8" s="16" t="n">
        <f aca="false">2.7705-C8-E8</f>
        <v>0.6258</v>
      </c>
      <c r="E8" s="15" t="n">
        <v>1.4881</v>
      </c>
      <c r="F8" s="16" t="n">
        <f aca="false">SUM(C8:E8)</f>
        <v>2.7705</v>
      </c>
      <c r="G8" s="8" t="s">
        <v>283</v>
      </c>
      <c r="H8" s="4" t="s">
        <v>284</v>
      </c>
      <c r="I8" s="8" t="s">
        <v>292</v>
      </c>
    </row>
    <row r="9" customFormat="false" ht="15" hidden="false" customHeight="false" outlineLevel="0" collapsed="false">
      <c r="A9" s="4" t="s">
        <v>293</v>
      </c>
      <c r="B9" s="17" t="n">
        <f aca="false">B8/B4</f>
        <v>0.0570271254323685</v>
      </c>
      <c r="C9" s="17" t="n">
        <f aca="false">C8/C4</f>
        <v>0.0370954164618679</v>
      </c>
      <c r="D9" s="17" t="n">
        <f aca="false">D8/D4</f>
        <v>0.0610971716441954</v>
      </c>
      <c r="E9" s="17" t="n">
        <f aca="false">E8/E4</f>
        <v>0.133821942446043</v>
      </c>
      <c r="F9" s="17" t="n">
        <f aca="false">F8/F4</f>
        <v>0.0709238921741802</v>
      </c>
      <c r="G9" s="8" t="s">
        <v>28</v>
      </c>
      <c r="H9" s="8" t="s">
        <v>72</v>
      </c>
      <c r="I9" s="8" t="s">
        <v>72</v>
      </c>
    </row>
    <row r="10" customFormat="false" ht="17.15" hidden="false" customHeight="false" outlineLevel="0" collapsed="false">
      <c r="A10" s="4" t="s">
        <v>294</v>
      </c>
      <c r="B10" s="15" t="n">
        <v>1.0489</v>
      </c>
      <c r="C10" s="15" t="n">
        <v>0.5688</v>
      </c>
      <c r="D10" s="16" t="n">
        <f aca="false">2.2305-C10-E10</f>
        <v>0.4835</v>
      </c>
      <c r="E10" s="15" t="n">
        <v>1.1782</v>
      </c>
      <c r="F10" s="16" t="n">
        <f aca="false">SUM(C10:E10)</f>
        <v>2.2305</v>
      </c>
      <c r="G10" s="8" t="s">
        <v>283</v>
      </c>
      <c r="H10" s="4" t="s">
        <v>284</v>
      </c>
      <c r="I10" s="8" t="s">
        <v>295</v>
      </c>
    </row>
    <row r="11" customFormat="false" ht="17.15" hidden="false" customHeight="false" outlineLevel="0" collapsed="false">
      <c r="A11" s="4" t="s">
        <v>296</v>
      </c>
      <c r="B11" s="18" t="n">
        <f aca="false">B10/B8</f>
        <v>0.837110933758979</v>
      </c>
      <c r="C11" s="18" t="n">
        <f aca="false">C10/C8</f>
        <v>0.866280840694487</v>
      </c>
      <c r="D11" s="18" t="n">
        <f aca="false">D10/D8</f>
        <v>0.772611057845957</v>
      </c>
      <c r="E11" s="18" t="n">
        <f aca="false">E10/E8</f>
        <v>0.791747866406828</v>
      </c>
      <c r="F11" s="18" t="n">
        <f aca="false">F10/F8</f>
        <v>0.805089334055225</v>
      </c>
      <c r="G11" s="8" t="s">
        <v>28</v>
      </c>
      <c r="H11" s="8" t="s">
        <v>72</v>
      </c>
      <c r="I11" s="8" t="s">
        <v>72</v>
      </c>
    </row>
    <row r="12" customFormat="false" ht="17.15" hidden="false" customHeight="false" outlineLevel="0" collapsed="false">
      <c r="A12" s="4" t="s">
        <v>297</v>
      </c>
      <c r="B12" s="19" t="n">
        <f aca="false">B10/B14</f>
        <v>0.624345238095238</v>
      </c>
      <c r="C12" s="19" t="n">
        <f aca="false">C10/C14</f>
        <v>0.661395348837209</v>
      </c>
      <c r="D12" s="19" t="n">
        <f aca="false">D10/D14</f>
        <v>0.671527777777778</v>
      </c>
      <c r="E12" s="19" t="n">
        <f aca="false">E10/E14</f>
        <v>0.727283950617284</v>
      </c>
      <c r="F12" s="19" t="n">
        <f aca="false">F10/F14</f>
        <v>0.68420245398773</v>
      </c>
      <c r="G12" s="8" t="s">
        <v>28</v>
      </c>
      <c r="H12" s="4" t="s">
        <v>284</v>
      </c>
      <c r="I12" s="4" t="s">
        <v>298</v>
      </c>
    </row>
    <row r="13" customFormat="false" ht="17.15" hidden="false" customHeight="false" outlineLevel="0" collapsed="false">
      <c r="A13" s="0" t="s">
        <v>299</v>
      </c>
      <c r="B13" s="20" t="n">
        <f aca="false">B10/B12</f>
        <v>1.68</v>
      </c>
      <c r="C13" s="20" t="n">
        <f aca="false">C10/C12</f>
        <v>0.86</v>
      </c>
      <c r="D13" s="20" t="n">
        <f aca="false">D10/D12</f>
        <v>0.72</v>
      </c>
      <c r="E13" s="20" t="n">
        <f aca="false">E10/E12</f>
        <v>1.62</v>
      </c>
      <c r="F13" s="20" t="n">
        <f aca="false">F10/F12</f>
        <v>3.26</v>
      </c>
      <c r="G13" s="8" t="s">
        <v>28</v>
      </c>
      <c r="H13" s="4" t="s">
        <v>300</v>
      </c>
      <c r="I13" s="8" t="s">
        <v>72</v>
      </c>
    </row>
    <row r="14" customFormat="false" ht="17.15" hidden="false" customHeight="false" outlineLevel="0" collapsed="false">
      <c r="A14" s="4" t="s">
        <v>301</v>
      </c>
      <c r="B14" s="21" t="n">
        <v>1.68</v>
      </c>
      <c r="C14" s="21" t="n">
        <v>0.86</v>
      </c>
      <c r="D14" s="21" t="n">
        <v>0.72</v>
      </c>
      <c r="E14" s="21" t="n">
        <v>1.62</v>
      </c>
      <c r="F14" s="20" t="n">
        <f aca="false">3.26</f>
        <v>3.26</v>
      </c>
      <c r="G14" s="8" t="s">
        <v>302</v>
      </c>
      <c r="H14" s="4" t="s">
        <v>284</v>
      </c>
      <c r="I14" s="8" t="s">
        <v>303</v>
      </c>
    </row>
    <row r="15" customFormat="false" ht="17.15" hidden="false" customHeight="false" outlineLevel="0" collapsed="false">
      <c r="A15" s="4" t="s">
        <v>304</v>
      </c>
      <c r="B15" s="22" t="n">
        <v>0.6284</v>
      </c>
      <c r="C15" s="22" t="n">
        <v>0.6741</v>
      </c>
      <c r="D15" s="22" t="n">
        <v>0.692</v>
      </c>
      <c r="E15" s="22" t="n">
        <v>0.705</v>
      </c>
      <c r="F15" s="19" t="n">
        <f aca="false">0.6973</f>
        <v>0.6973</v>
      </c>
      <c r="G15" s="8" t="s">
        <v>302</v>
      </c>
      <c r="H15" s="4" t="s">
        <v>284</v>
      </c>
      <c r="I15" s="8" t="s">
        <v>305</v>
      </c>
    </row>
    <row r="16" customFormat="false" ht="17.15" hidden="false" customHeight="false" outlineLevel="0" collapsed="false">
      <c r="A16" s="0" t="s">
        <v>306</v>
      </c>
      <c r="B16" s="16" t="n">
        <f aca="false">B4*ais_25</f>
        <v>15.3804</v>
      </c>
      <c r="C16" s="16" t="n">
        <f aca="false">C4*ais_1h</f>
        <v>15.045255</v>
      </c>
      <c r="D16" s="16" t="n">
        <f aca="false">D4*ais_q3</f>
        <v>8.19416</v>
      </c>
      <c r="E16" s="16" t="n">
        <f aca="false">E4*ais_q4</f>
        <v>6.672</v>
      </c>
      <c r="F16" s="16" t="n">
        <f aca="false">SUM(C16:E16)</f>
        <v>29.911415</v>
      </c>
      <c r="G16" s="8" t="s">
        <v>307</v>
      </c>
      <c r="H16" s="4" t="s">
        <v>308</v>
      </c>
      <c r="I16" s="8" t="s">
        <v>309</v>
      </c>
    </row>
    <row r="17" customFormat="false" ht="17.15" hidden="false" customHeight="false" outlineLevel="0" collapsed="false">
      <c r="A17" s="4" t="s">
        <v>310</v>
      </c>
      <c r="B17" s="16" t="n">
        <f aca="false">B4-B16</f>
        <v>6.5916</v>
      </c>
      <c r="C17" s="16" t="n">
        <f aca="false">C4-C16</f>
        <v>2.655045</v>
      </c>
      <c r="D17" s="16" t="n">
        <f aca="false">D4-D16</f>
        <v>2.04854</v>
      </c>
      <c r="E17" s="16" t="n">
        <f aca="false">E4-E16</f>
        <v>4.448</v>
      </c>
      <c r="F17" s="16" t="n">
        <f aca="false">SUM(C17:E17)</f>
        <v>9.151585</v>
      </c>
      <c r="G17" s="8" t="s">
        <v>28</v>
      </c>
      <c r="H17" s="8" t="s">
        <v>72</v>
      </c>
      <c r="I17" s="8" t="s">
        <v>72</v>
      </c>
    </row>
    <row r="19" customFormat="false" ht="17.15" hidden="false" customHeight="false" outlineLevel="0" collapsed="false">
      <c r="A19" s="6" t="s">
        <v>311</v>
      </c>
    </row>
    <row r="20" customFormat="false" ht="17.15" hidden="false" customHeight="false" outlineLevel="0" collapsed="false">
      <c r="A20" s="0" t="s">
        <v>312</v>
      </c>
      <c r="B20" s="18" t="n">
        <f aca="false">F4/B4-1</f>
        <v>0.777853631895139</v>
      </c>
    </row>
    <row r="21" customFormat="false" ht="17.15" hidden="false" customHeight="false" outlineLevel="0" collapsed="false">
      <c r="A21" s="0" t="s">
        <v>313</v>
      </c>
      <c r="B21" s="18" t="n">
        <f aca="false">F7/B7-1</f>
        <v>0.237828192709661</v>
      </c>
    </row>
    <row r="22" customFormat="false" ht="17.15" hidden="false" customHeight="false" outlineLevel="0" collapsed="false">
      <c r="A22" s="4" t="s">
        <v>314</v>
      </c>
      <c r="B22" s="23" t="n">
        <f aca="false">B21/B20</f>
        <v>0.305749286186688</v>
      </c>
    </row>
    <row r="23" customFormat="false" ht="17.15" hidden="false" customHeight="false" outlineLevel="0" collapsed="false">
      <c r="A23" s="0" t="s">
        <v>315</v>
      </c>
      <c r="B23" s="18" t="n">
        <f aca="false">F16/F4</f>
        <v>0.765722422752989</v>
      </c>
    </row>
    <row r="24" customFormat="false" ht="17.15" hidden="false" customHeight="false" outlineLevel="0" collapsed="false">
      <c r="A24" s="0" t="s">
        <v>316</v>
      </c>
      <c r="B24" s="18" t="n">
        <f aca="false">(C5+D5)/(C4+D4)</f>
        <v>0.0817592957091221</v>
      </c>
    </row>
    <row r="25" customFormat="false" ht="17.15" hidden="false" customHeight="false" outlineLevel="0" collapsed="false">
      <c r="A25" s="0" t="s">
        <v>317</v>
      </c>
      <c r="B25" s="23" t="n">
        <f aca="false">D16+E16</f>
        <v>14.86616</v>
      </c>
    </row>
    <row r="26" customFormat="false" ht="17.15" hidden="false" customHeight="false" outlineLevel="0" collapsed="false">
      <c r="A26" s="0" t="s">
        <v>318</v>
      </c>
      <c r="B26" s="23" t="n">
        <f aca="false">F13-F14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319</v>
      </c>
    </row>
    <row r="3" customFormat="false" ht="15" hidden="false" customHeight="false" outlineLevel="0" collapsed="false">
      <c r="A3" s="5" t="s">
        <v>16</v>
      </c>
      <c r="B3" s="5" t="s">
        <v>17</v>
      </c>
      <c r="C3" s="14" t="s">
        <v>320</v>
      </c>
      <c r="D3" s="14" t="s">
        <v>321</v>
      </c>
      <c r="E3" s="14" t="s">
        <v>322</v>
      </c>
      <c r="F3" s="14" t="s">
        <v>323</v>
      </c>
      <c r="G3" s="5" t="s">
        <v>324</v>
      </c>
    </row>
    <row r="4" customFormat="false" ht="17.15" hidden="false" customHeight="false" outlineLevel="0" collapsed="false">
      <c r="A4" s="0" t="s">
        <v>325</v>
      </c>
      <c r="B4" s="4" t="s">
        <v>27</v>
      </c>
      <c r="C4" s="20" t="n">
        <f aca="false">PL!D63</f>
        <v>6.65</v>
      </c>
      <c r="D4" s="20" t="n">
        <f aca="false">PL!E63</f>
        <v>2.4</v>
      </c>
      <c r="E4" s="20" t="n">
        <f aca="false">PL!F63</f>
        <v>0.5</v>
      </c>
      <c r="F4" s="20" t="n">
        <f aca="false">PL!G63</f>
        <v>0.25</v>
      </c>
      <c r="G4" s="8" t="s">
        <v>326</v>
      </c>
    </row>
    <row r="5" customFormat="false" ht="17.15" hidden="false" customHeight="false" outlineLevel="0" collapsed="false">
      <c r="A5" s="0" t="s">
        <v>327</v>
      </c>
      <c r="B5" s="4" t="s">
        <v>27</v>
      </c>
      <c r="C5" s="20" t="n">
        <f aca="false">PL!D64</f>
        <v>1.7</v>
      </c>
      <c r="D5" s="20" t="n">
        <f aca="false">PL!E64</f>
        <v>8.8</v>
      </c>
      <c r="E5" s="20" t="n">
        <f aca="false">PL!F64</f>
        <v>11</v>
      </c>
      <c r="F5" s="20" t="n">
        <f aca="false">PL!G64</f>
        <v>12.65</v>
      </c>
      <c r="G5" s="8" t="s">
        <v>326</v>
      </c>
    </row>
    <row r="6" customFormat="false" ht="17.15" hidden="false" customHeight="false" outlineLevel="0" collapsed="false">
      <c r="A6" s="0" t="s">
        <v>328</v>
      </c>
      <c r="B6" s="4" t="s">
        <v>27</v>
      </c>
      <c r="C6" s="20" t="n">
        <f aca="false">ut_26</f>
        <v>15.2</v>
      </c>
      <c r="D6" s="20" t="n">
        <f aca="false">ut_27</f>
        <v>23.7</v>
      </c>
      <c r="E6" s="20" t="n">
        <f aca="false">ut_28</f>
        <v>26.5</v>
      </c>
      <c r="F6" s="20" t="n">
        <f aca="false">ut_29</f>
        <v>30.15</v>
      </c>
      <c r="G6" s="4" t="s">
        <v>329</v>
      </c>
    </row>
    <row r="7" customFormat="false" ht="17.15" hidden="false" customHeight="false" outlineLevel="0" collapsed="false">
      <c r="A7" s="0" t="s">
        <v>330</v>
      </c>
      <c r="B7" s="4" t="s">
        <v>58</v>
      </c>
      <c r="C7" s="24" t="n">
        <f aca="false">PL!D66</f>
        <v>116.666666666667</v>
      </c>
      <c r="D7" s="24" t="n">
        <f aca="false">PL!E66</f>
        <v>116.666666666667</v>
      </c>
      <c r="E7" s="24" t="n">
        <f aca="false">PL!F66</f>
        <v>116.666666666667</v>
      </c>
      <c r="F7" s="24" t="n">
        <f aca="false">PL!G66</f>
        <v>116.666666666667</v>
      </c>
      <c r="G7" s="8" t="s">
        <v>331</v>
      </c>
    </row>
    <row r="8" customFormat="false" ht="17.15" hidden="false" customHeight="false" outlineLevel="0" collapsed="false">
      <c r="A8" s="0" t="s">
        <v>332</v>
      </c>
      <c r="B8" s="0" t="s">
        <v>117</v>
      </c>
      <c r="C8" s="25" t="n">
        <f aca="false">PL!D67</f>
        <v>595.486111111111</v>
      </c>
      <c r="D8" s="25" t="n">
        <f aca="false">PL!E67</f>
        <v>1170</v>
      </c>
      <c r="E8" s="25" t="n">
        <f aca="false">PL!F67</f>
        <v>1313.19444444444</v>
      </c>
      <c r="F8" s="25" t="n">
        <f aca="false">PL!G67</f>
        <v>1490.76388888889</v>
      </c>
      <c r="G8" s="4" t="s">
        <v>333</v>
      </c>
    </row>
    <row r="9" customFormat="false" ht="17.15" hidden="false" customHeight="false" outlineLevel="0" collapsed="false">
      <c r="A9" s="0" t="s">
        <v>334</v>
      </c>
      <c r="B9" s="0" t="s">
        <v>117</v>
      </c>
      <c r="D9" s="25" t="n">
        <f aca="false">PL!E68</f>
        <v>882.743055555556</v>
      </c>
      <c r="E9" s="25" t="n">
        <f aca="false">PL!F68</f>
        <v>1241.59722222222</v>
      </c>
      <c r="F9" s="25" t="n">
        <f aca="false">PL!G68</f>
        <v>1401.97916666667</v>
      </c>
      <c r="G9" s="8" t="s">
        <v>335</v>
      </c>
    </row>
    <row r="10" customFormat="false" ht="17.15" hidden="false" customHeight="false" outlineLevel="0" collapsed="false">
      <c r="A10" s="0" t="s">
        <v>336</v>
      </c>
      <c r="B10" s="0" t="s">
        <v>99</v>
      </c>
      <c r="C10" s="17" t="n">
        <f aca="false">PL!D70</f>
        <v>0.0499294936443149</v>
      </c>
      <c r="D10" s="17" t="n">
        <f aca="false">PL!E73</f>
        <v>0.0696416435825827</v>
      </c>
      <c r="E10" s="17" t="n">
        <f aca="false">PL!F73</f>
        <v>0.0696416435825827</v>
      </c>
      <c r="F10" s="17" t="n">
        <f aca="false">PL!G73</f>
        <v>0.0696416435825827</v>
      </c>
      <c r="G10" s="8" t="s">
        <v>337</v>
      </c>
    </row>
    <row r="11" customFormat="false" ht="17.15" hidden="false" customHeight="false" outlineLevel="0" collapsed="false">
      <c r="A11" s="0" t="s">
        <v>338</v>
      </c>
      <c r="B11" s="0" t="s">
        <v>117</v>
      </c>
      <c r="C11" s="25" t="n">
        <f aca="false">PL!D75</f>
        <v>29.911415</v>
      </c>
      <c r="D11" s="25" t="n">
        <f aca="false">PL!E75</f>
        <v>61.47567725</v>
      </c>
      <c r="E11" s="25" t="n">
        <f aca="false">PL!F75</f>
        <v>86.4668712231247</v>
      </c>
      <c r="F11" s="25" t="n">
        <f aca="false">PL!G75</f>
        <v>97.6361334352064</v>
      </c>
    </row>
    <row r="12" customFormat="false" ht="17.15" hidden="false" customHeight="false" outlineLevel="0" collapsed="false">
      <c r="A12" s="0" t="s">
        <v>339</v>
      </c>
      <c r="B12" s="4" t="s">
        <v>27</v>
      </c>
      <c r="D12" s="20" t="n">
        <f aca="false">PL!E81</f>
        <v>0.680747066019746</v>
      </c>
      <c r="E12" s="20" t="n">
        <f aca="false">PL!F81</f>
        <v>0.790432654662314</v>
      </c>
      <c r="F12" s="20" t="n">
        <f aca="false">PL!G81</f>
        <v>0.849628051707509</v>
      </c>
      <c r="G12" s="8" t="s">
        <v>340</v>
      </c>
    </row>
    <row r="13" customFormat="false" ht="17.15" hidden="false" customHeight="false" outlineLevel="0" collapsed="false">
      <c r="A13" s="0" t="s">
        <v>341</v>
      </c>
      <c r="B13" s="0" t="s">
        <v>99</v>
      </c>
      <c r="C13" s="17" t="n">
        <f aca="false">PL!D84</f>
        <v>0.0954338753281983</v>
      </c>
      <c r="D13" s="17" t="n">
        <f aca="false">PL!E84</f>
        <v>0.110433875328198</v>
      </c>
      <c r="E13" s="17" t="n">
        <f aca="false">PL!F84</f>
        <v>0.110433875328198</v>
      </c>
      <c r="F13" s="17" t="n">
        <f aca="false">PL!G84</f>
        <v>0.110433875328198</v>
      </c>
      <c r="G13" s="8" t="s">
        <v>342</v>
      </c>
    </row>
    <row r="14" customFormat="false" ht="17.15" hidden="false" customHeight="false" outlineLevel="0" collapsed="false">
      <c r="A14" s="0" t="s">
        <v>343</v>
      </c>
      <c r="B14" s="0" t="s">
        <v>99</v>
      </c>
      <c r="C14" s="17" t="n">
        <f aca="false">PL!D86</f>
        <v>0.108217494816066</v>
      </c>
      <c r="D14" s="17" t="n">
        <f aca="false">PL!E86</f>
        <v>0.116217301245042</v>
      </c>
      <c r="E14" s="17" t="n">
        <f aca="false">PL!F86</f>
        <v>0.115030673511766</v>
      </c>
      <c r="F14" s="17" t="n">
        <f aca="false">PL!G86</f>
        <v>0.114780003367804</v>
      </c>
    </row>
    <row r="16" customFormat="false" ht="17.15" hidden="false" customHeight="false" outlineLevel="0" collapsed="false">
      <c r="A16" s="1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345</v>
      </c>
    </row>
    <row r="2" customFormat="false" ht="17.15" hidden="false" customHeight="false" outlineLevel="0" collapsed="false">
      <c r="A2" s="4" t="s">
        <v>346</v>
      </c>
    </row>
    <row r="3" customFormat="false" ht="17.15" hidden="false" customHeight="false" outlineLevel="0" collapsed="false">
      <c r="A3" s="5" t="s">
        <v>347</v>
      </c>
      <c r="B3" s="5" t="s">
        <v>17</v>
      </c>
      <c r="C3" s="14" t="s">
        <v>276</v>
      </c>
      <c r="D3" s="14" t="s">
        <v>280</v>
      </c>
      <c r="E3" s="14" t="s">
        <v>348</v>
      </c>
      <c r="F3" s="14" t="s">
        <v>349</v>
      </c>
      <c r="G3" s="14" t="s">
        <v>350</v>
      </c>
      <c r="H3" s="14" t="s">
        <v>351</v>
      </c>
      <c r="I3" s="14" t="s">
        <v>352</v>
      </c>
      <c r="J3" s="14" t="s">
        <v>353</v>
      </c>
      <c r="K3" s="5" t="s">
        <v>324</v>
      </c>
    </row>
    <row r="4" customFormat="false" ht="17.15" hidden="false" customHeight="false" outlineLevel="0" collapsed="false">
      <c r="A4" s="1" t="s">
        <v>354</v>
      </c>
    </row>
    <row r="5" customFormat="false" ht="15" hidden="false" customHeight="false" outlineLevel="0" collapsed="false">
      <c r="A5" s="4" t="s">
        <v>282</v>
      </c>
      <c r="B5" s="0" t="s">
        <v>117</v>
      </c>
      <c r="C5" s="26" t="n">
        <f aca="false">C78</f>
        <v>21.972</v>
      </c>
      <c r="D5" s="26" t="n">
        <f aca="false">D78</f>
        <v>39.063</v>
      </c>
      <c r="E5" s="26" t="n">
        <f aca="false">E78</f>
        <v>72</v>
      </c>
      <c r="F5" s="26" t="n">
        <f aca="false">F78</f>
        <v>97.8331397931247</v>
      </c>
      <c r="G5" s="26" t="n">
        <f aca="false">G78</f>
        <v>109.684378119406</v>
      </c>
      <c r="H5" s="27" t="n">
        <f aca="false">H78</f>
        <v>120.735975578256</v>
      </c>
      <c r="I5" s="27" t="n">
        <f aca="false">I78</f>
        <v>130.440622954982</v>
      </c>
      <c r="J5" s="27" t="n">
        <f aca="false">J78</f>
        <v>138.267060332281</v>
      </c>
    </row>
    <row r="6" customFormat="false" ht="15" hidden="false" customHeight="false" outlineLevel="0" collapsed="false">
      <c r="A6" s="4" t="s">
        <v>355</v>
      </c>
      <c r="B6" s="0" t="s">
        <v>99</v>
      </c>
      <c r="D6" s="18" t="n">
        <f aca="false">D79</f>
        <v>0.777853631895139</v>
      </c>
      <c r="E6" s="18" t="n">
        <f aca="false">E79</f>
        <v>0.843176407341986</v>
      </c>
      <c r="F6" s="18" t="n">
        <f aca="false">F79</f>
        <v>0.358793608237844</v>
      </c>
      <c r="G6" s="18" t="n">
        <f aca="false">G79</f>
        <v>0.121137258308809</v>
      </c>
      <c r="H6" s="28" t="n">
        <f aca="false">H79</f>
        <v>0.100758172205873</v>
      </c>
      <c r="I6" s="28" t="n">
        <f aca="false">I79</f>
        <v>0.0803790861029364</v>
      </c>
      <c r="J6" s="28" t="n">
        <f aca="false">J79</f>
        <v>0.06</v>
      </c>
    </row>
    <row r="7" customFormat="false" ht="17.15" hidden="false" customHeight="false" outlineLevel="0" collapsed="false">
      <c r="A7" s="0" t="s">
        <v>356</v>
      </c>
      <c r="B7" s="0" t="s">
        <v>117</v>
      </c>
      <c r="C7" s="26" t="n">
        <f aca="false">C75</f>
        <v>15.3804</v>
      </c>
      <c r="D7" s="26" t="n">
        <f aca="false">D75</f>
        <v>29.911415</v>
      </c>
      <c r="E7" s="26" t="n">
        <f aca="false">E75</f>
        <v>61.47567725</v>
      </c>
      <c r="F7" s="26" t="n">
        <f aca="false">F75</f>
        <v>86.4668712231247</v>
      </c>
      <c r="G7" s="26" t="n">
        <f aca="false">G75</f>
        <v>97.6361334352064</v>
      </c>
    </row>
    <row r="8" customFormat="false" ht="17.15" hidden="false" customHeight="false" outlineLevel="0" collapsed="false">
      <c r="A8" s="4" t="s">
        <v>357</v>
      </c>
      <c r="B8" s="0" t="s">
        <v>117</v>
      </c>
      <c r="C8" s="26" t="n">
        <f aca="false">C77</f>
        <v>6.5916</v>
      </c>
      <c r="D8" s="26" t="n">
        <f aca="false">D77</f>
        <v>9.151585</v>
      </c>
      <c r="E8" s="26" t="n">
        <f aca="false">E77</f>
        <v>10.52432275</v>
      </c>
      <c r="F8" s="26" t="n">
        <f aca="false">F77</f>
        <v>11.36626857</v>
      </c>
      <c r="G8" s="26" t="n">
        <f aca="false">G77</f>
        <v>12.0482446842</v>
      </c>
    </row>
    <row r="9" customFormat="false" ht="17.15" hidden="false" customHeight="false" outlineLevel="0" collapsed="false">
      <c r="A9" s="0" t="s">
        <v>358</v>
      </c>
      <c r="B9" s="0" t="s">
        <v>99</v>
      </c>
      <c r="C9" s="18" t="n">
        <f aca="false">C80</f>
        <v>0.7</v>
      </c>
      <c r="D9" s="18" t="n">
        <f aca="false">D80</f>
        <v>0.765722422752989</v>
      </c>
      <c r="E9" s="18" t="n">
        <f aca="false">E80</f>
        <v>0.853828850694445</v>
      </c>
      <c r="F9" s="18" t="n">
        <f aca="false">F80</f>
        <v>0.883819852924737</v>
      </c>
      <c r="G9" s="18" t="n">
        <f aca="false">G80</f>
        <v>0.890155326667542</v>
      </c>
    </row>
    <row r="10" customFormat="false" ht="15" hidden="false" customHeight="false" outlineLevel="0" collapsed="false">
      <c r="A10" s="4" t="s">
        <v>288</v>
      </c>
      <c r="B10" s="0" t="s">
        <v>99</v>
      </c>
      <c r="C10" s="17" t="n">
        <f aca="false">C86</f>
        <v>0.110590751866011</v>
      </c>
      <c r="D10" s="17" t="n">
        <f aca="false">D86</f>
        <v>0.108217494816066</v>
      </c>
      <c r="E10" s="17" t="n">
        <f aca="false">E86</f>
        <v>0.116217301245042</v>
      </c>
      <c r="F10" s="17" t="n">
        <f aca="false">F86</f>
        <v>0.115030673511766</v>
      </c>
      <c r="G10" s="17" t="n">
        <f aca="false">G86</f>
        <v>0.114780003367804</v>
      </c>
    </row>
    <row r="11" customFormat="false" ht="15" hidden="false" customHeight="false" outlineLevel="0" collapsed="false">
      <c r="A11" s="4" t="s">
        <v>293</v>
      </c>
      <c r="B11" s="0" t="s">
        <v>99</v>
      </c>
      <c r="C11" s="17" t="n">
        <f aca="false">C90</f>
        <v>0.0570271254323685</v>
      </c>
      <c r="D11" s="17" t="n">
        <f aca="false">D90</f>
        <v>0.0709238921741801</v>
      </c>
      <c r="E11" s="17" t="n">
        <f aca="false">E90</f>
        <v>0.089159860188288</v>
      </c>
      <c r="F11" s="17" t="n">
        <f aca="false">F90</f>
        <v>0.0922599924960864</v>
      </c>
      <c r="G11" s="17" t="n">
        <f aca="false">G90</f>
        <v>0.0934855258308439</v>
      </c>
    </row>
    <row r="12" customFormat="false" ht="15" hidden="false" customHeight="false" outlineLevel="0" collapsed="false">
      <c r="A12" s="4" t="s">
        <v>359</v>
      </c>
      <c r="B12" s="0" t="s">
        <v>117</v>
      </c>
      <c r="C12" s="26" t="n">
        <f aca="false">C94</f>
        <v>1.0489</v>
      </c>
      <c r="D12" s="26" t="n">
        <f aca="false">D94</f>
        <v>2.2305</v>
      </c>
      <c r="E12" s="26" t="n">
        <f aca="false">E94</f>
        <v>4.51275745016755</v>
      </c>
      <c r="F12" s="26" t="n">
        <f aca="false">F94</f>
        <v>6.4676885573867</v>
      </c>
      <c r="G12" s="26" t="n">
        <f aca="false">G94</f>
        <v>7.38855132294136</v>
      </c>
      <c r="H12" s="27" t="n">
        <f aca="false">H94</f>
        <v>8.46529962272486</v>
      </c>
      <c r="I12" s="27" t="n">
        <f aca="false">I94</f>
        <v>9.14573266998702</v>
      </c>
      <c r="J12" s="27" t="n">
        <f aca="false">J94</f>
        <v>9.69447663018624</v>
      </c>
    </row>
    <row r="13" customFormat="false" ht="15" hidden="false" customHeight="false" outlineLevel="0" collapsed="false">
      <c r="A13" s="4" t="s">
        <v>360</v>
      </c>
      <c r="B13" s="0" t="s">
        <v>99</v>
      </c>
      <c r="C13" s="17" t="n">
        <f aca="false">C99</f>
        <v>0.0477380302202804</v>
      </c>
      <c r="D13" s="17" t="n">
        <f aca="false">D99</f>
        <v>0.0571000691191153</v>
      </c>
      <c r="E13" s="17" t="n">
        <f aca="false">E99</f>
        <v>0.0626771868078827</v>
      </c>
      <c r="F13" s="17" t="n">
        <f aca="false">F99</f>
        <v>0.0661093834978934</v>
      </c>
      <c r="G13" s="17" t="n">
        <f aca="false">G99</f>
        <v>0.0673619292885804</v>
      </c>
      <c r="H13" s="29" t="n">
        <f aca="false">H99</f>
        <v>0.0701141443731329</v>
      </c>
      <c r="I13" s="29" t="n">
        <f aca="false">I99</f>
        <v>0.0701141443731329</v>
      </c>
      <c r="J13" s="29" t="n">
        <f aca="false">J99</f>
        <v>0.0701141443731329</v>
      </c>
    </row>
    <row r="14" customFormat="false" ht="15" hidden="false" customHeight="false" outlineLevel="0" collapsed="false">
      <c r="A14" s="0" t="s">
        <v>361</v>
      </c>
      <c r="B14" s="0" t="s">
        <v>189</v>
      </c>
      <c r="C14" s="20" t="n">
        <f aca="false">C97</f>
        <v>1.68</v>
      </c>
      <c r="D14" s="20" t="n">
        <f aca="false">D97</f>
        <v>3.26</v>
      </c>
      <c r="E14" s="20" t="n">
        <f aca="false">E97</f>
        <v>6.05739255056047</v>
      </c>
      <c r="F14" s="20" t="n">
        <f aca="false">F97</f>
        <v>8.59550608995508</v>
      </c>
      <c r="G14" s="20" t="n">
        <f aca="false">G97</f>
        <v>9.72210425868415</v>
      </c>
      <c r="H14" s="30" t="n">
        <f aca="false">H97</f>
        <v>9.2889802541209</v>
      </c>
      <c r="I14" s="30" t="n">
        <f aca="false">I97</f>
        <v>9.93625742353996</v>
      </c>
      <c r="J14" s="30" t="n">
        <f aca="false">J97</f>
        <v>10.4281513553984</v>
      </c>
    </row>
    <row r="15" customFormat="false" ht="17.15" hidden="false" customHeight="false" outlineLevel="0" collapsed="false">
      <c r="A15" s="0" t="s">
        <v>362</v>
      </c>
      <c r="B15" s="0" t="s">
        <v>99</v>
      </c>
      <c r="D15" s="18" t="n">
        <f aca="false">D98</f>
        <v>0.940476190476191</v>
      </c>
      <c r="E15" s="18" t="n">
        <f aca="false">E98</f>
        <v>0.858095874405052</v>
      </c>
      <c r="F15" s="18" t="n">
        <f aca="false">F98</f>
        <v>0.419010905799685</v>
      </c>
      <c r="G15" s="18" t="n">
        <f aca="false">G98</f>
        <v>0.131068276485273</v>
      </c>
      <c r="H15" s="28" t="n">
        <f aca="false">H98</f>
        <v>-0.0445504381601725</v>
      </c>
      <c r="I15" s="28" t="n">
        <f aca="false">I98</f>
        <v>0.0696822634682539</v>
      </c>
      <c r="J15" s="28" t="n">
        <f aca="false">J98</f>
        <v>0.0495049504950496</v>
      </c>
    </row>
    <row r="17" customFormat="false" ht="17.15" hidden="false" customHeight="false" outlineLevel="0" collapsed="false">
      <c r="A17" s="1" t="s">
        <v>363</v>
      </c>
    </row>
    <row r="18" customFormat="false" ht="15" hidden="false" customHeight="false" outlineLevel="0" collapsed="false">
      <c r="A18" s="4" t="s">
        <v>282</v>
      </c>
      <c r="B18" s="0" t="s">
        <v>117</v>
      </c>
      <c r="C18" s="26" t="n">
        <f aca="false">C120</f>
        <v>21.972</v>
      </c>
      <c r="D18" s="26" t="n">
        <f aca="false">D120</f>
        <v>39.063</v>
      </c>
      <c r="E18" s="26" t="n">
        <f aca="false">E120</f>
        <v>68.5</v>
      </c>
      <c r="F18" s="26" t="n">
        <f aca="false">F120</f>
        <v>80.6397116317433</v>
      </c>
      <c r="G18" s="26" t="n">
        <f aca="false">G120</f>
        <v>82.0691117368726</v>
      </c>
      <c r="H18" s="27" t="n">
        <f aca="false">H120</f>
        <v>84.1331914314316</v>
      </c>
      <c r="I18" s="27" t="n">
        <f aca="false">I120</f>
        <v>86.873851431804</v>
      </c>
      <c r="J18" s="27" t="n">
        <f aca="false">J120</f>
        <v>90.3488054890762</v>
      </c>
    </row>
    <row r="19" customFormat="false" ht="15" hidden="false" customHeight="false" outlineLevel="0" collapsed="false">
      <c r="A19" s="4" t="s">
        <v>355</v>
      </c>
      <c r="B19" s="0" t="s">
        <v>99</v>
      </c>
      <c r="D19" s="18" t="n">
        <f aca="false">D121</f>
        <v>0.777853631895139</v>
      </c>
      <c r="E19" s="18" t="n">
        <f aca="false">E121</f>
        <v>0.753577554207306</v>
      </c>
      <c r="F19" s="18" t="n">
        <f aca="false">F121</f>
        <v>0.17722206761669</v>
      </c>
      <c r="G19" s="18" t="n">
        <f aca="false">G121</f>
        <v>0.0177257591353621</v>
      </c>
      <c r="H19" s="28" t="n">
        <f aca="false">H121</f>
        <v>0.0251505060902414</v>
      </c>
      <c r="I19" s="28" t="n">
        <f aca="false">I121</f>
        <v>0.0325752530451207</v>
      </c>
      <c r="J19" s="28" t="n">
        <f aca="false">J121</f>
        <v>0.04</v>
      </c>
    </row>
    <row r="20" customFormat="false" ht="17.15" hidden="false" customHeight="false" outlineLevel="0" collapsed="false">
      <c r="A20" s="0" t="s">
        <v>356</v>
      </c>
      <c r="B20" s="0" t="s">
        <v>117</v>
      </c>
      <c r="C20" s="26" t="n">
        <f aca="false">C117</f>
        <v>15.3804</v>
      </c>
      <c r="D20" s="26" t="n">
        <f aca="false">D117</f>
        <v>29.911415</v>
      </c>
      <c r="E20" s="26" t="n">
        <f aca="false">E117</f>
        <v>57.97567725</v>
      </c>
      <c r="F20" s="26" t="n">
        <f aca="false">F117</f>
        <v>69.2734430617433</v>
      </c>
      <c r="G20" s="26" t="n">
        <f aca="false">G117</f>
        <v>70.0208670526726</v>
      </c>
    </row>
    <row r="21" customFormat="false" ht="17.15" hidden="false" customHeight="false" outlineLevel="0" collapsed="false">
      <c r="A21" s="4" t="s">
        <v>357</v>
      </c>
      <c r="B21" s="0" t="s">
        <v>117</v>
      </c>
      <c r="C21" s="26" t="n">
        <f aca="false">C119</f>
        <v>6.5916</v>
      </c>
      <c r="D21" s="26" t="n">
        <f aca="false">D119</f>
        <v>9.151585</v>
      </c>
      <c r="E21" s="26" t="n">
        <f aca="false">E119</f>
        <v>10.52432275</v>
      </c>
      <c r="F21" s="26" t="n">
        <f aca="false">F119</f>
        <v>11.36626857</v>
      </c>
      <c r="G21" s="26" t="n">
        <f aca="false">G119</f>
        <v>12.0482446842</v>
      </c>
    </row>
    <row r="22" customFormat="false" ht="17.15" hidden="false" customHeight="false" outlineLevel="0" collapsed="false">
      <c r="A22" s="0" t="s">
        <v>358</v>
      </c>
      <c r="B22" s="0" t="s">
        <v>99</v>
      </c>
      <c r="C22" s="18" t="n">
        <f aca="false">C122</f>
        <v>0.7</v>
      </c>
      <c r="D22" s="18" t="n">
        <f aca="false">D122</f>
        <v>0.765722422752989</v>
      </c>
      <c r="E22" s="18" t="n">
        <f aca="false">E122</f>
        <v>0.846360251824817</v>
      </c>
      <c r="F22" s="18" t="n">
        <f aca="false">F122</f>
        <v>0.85904874484291</v>
      </c>
      <c r="G22" s="18" t="n">
        <f aca="false">G122</f>
        <v>0.853193918768992</v>
      </c>
    </row>
    <row r="23" customFormat="false" ht="15" hidden="false" customHeight="false" outlineLevel="0" collapsed="false">
      <c r="A23" s="4" t="s">
        <v>288</v>
      </c>
      <c r="B23" s="0" t="s">
        <v>99</v>
      </c>
      <c r="C23" s="17" t="n">
        <f aca="false">C128</f>
        <v>0.110590751866011</v>
      </c>
      <c r="D23" s="17" t="n">
        <f aca="false">D128</f>
        <v>0.108217494816066</v>
      </c>
      <c r="E23" s="17" t="n">
        <f aca="false">E128</f>
        <v>0.108049202240794</v>
      </c>
      <c r="F23" s="17" t="n">
        <f aca="false">F128</f>
        <v>0.105702185324276</v>
      </c>
      <c r="G23" s="17" t="n">
        <f aca="false">G128</f>
        <v>0.106004096015535</v>
      </c>
    </row>
    <row r="24" customFormat="false" ht="15" hidden="false" customHeight="false" outlineLevel="0" collapsed="false">
      <c r="A24" s="4" t="s">
        <v>293</v>
      </c>
      <c r="B24" s="0" t="s">
        <v>99</v>
      </c>
      <c r="C24" s="17" t="n">
        <f aca="false">C132</f>
        <v>0.0570271254323685</v>
      </c>
      <c r="D24" s="17" t="n">
        <f aca="false">D132</f>
        <v>0.0709238921741801</v>
      </c>
      <c r="E24" s="17" t="n">
        <f aca="false">E132</f>
        <v>0.0803714692132362</v>
      </c>
      <c r="F24" s="17" t="n">
        <f aca="false">F132</f>
        <v>0.0805244589865438</v>
      </c>
      <c r="G24" s="17" t="n">
        <f aca="false">G132</f>
        <v>0.0810894823927753</v>
      </c>
    </row>
    <row r="25" customFormat="false" ht="15" hidden="false" customHeight="false" outlineLevel="0" collapsed="false">
      <c r="A25" s="4" t="s">
        <v>359</v>
      </c>
      <c r="B25" s="0" t="s">
        <v>117</v>
      </c>
      <c r="C25" s="26" t="n">
        <f aca="false">C136</f>
        <v>1.0489</v>
      </c>
      <c r="D25" s="26" t="n">
        <f aca="false">D136</f>
        <v>2.2305</v>
      </c>
      <c r="E25" s="26" t="n">
        <f aca="false">E136</f>
        <v>3.82720923083001</v>
      </c>
      <c r="F25" s="26" t="n">
        <f aca="false">F136</f>
        <v>4.56822686398277</v>
      </c>
      <c r="G25" s="26" t="n">
        <f aca="false">G136</f>
        <v>4.68933134338339</v>
      </c>
      <c r="H25" s="27" t="n">
        <f aca="false">H136</f>
        <v>4.85230971648761</v>
      </c>
      <c r="I25" s="27" t="n">
        <f aca="false">I136</f>
        <v>4.7373331321571</v>
      </c>
      <c r="J25" s="27" t="n">
        <f aca="false">J136</f>
        <v>4.64286298419705</v>
      </c>
    </row>
    <row r="26" customFormat="false" ht="15" hidden="false" customHeight="false" outlineLevel="0" collapsed="false">
      <c r="A26" s="4" t="s">
        <v>360</v>
      </c>
      <c r="B26" s="0" t="s">
        <v>99</v>
      </c>
      <c r="C26" s="17" t="n">
        <f aca="false">C141</f>
        <v>0.0477380302202804</v>
      </c>
      <c r="D26" s="17" t="n">
        <f aca="false">D141</f>
        <v>0.0571000691191153</v>
      </c>
      <c r="E26" s="17" t="n">
        <f aca="false">E141</f>
        <v>0.0558716676033578</v>
      </c>
      <c r="F26" s="17" t="n">
        <f aca="false">F141</f>
        <v>0.0566498412698257</v>
      </c>
      <c r="G26" s="17" t="n">
        <f aca="false">G141</f>
        <v>0.0571388095245647</v>
      </c>
      <c r="H26" s="29" t="n">
        <f aca="false">H141</f>
        <v>0.057674143033576</v>
      </c>
      <c r="I26" s="29" t="n">
        <f aca="false">I141</f>
        <v>0.0545311742725704</v>
      </c>
      <c r="J26" s="29" t="n">
        <f aca="false">J141</f>
        <v>0.0513882055115649</v>
      </c>
    </row>
    <row r="27" customFormat="false" ht="15" hidden="false" customHeight="false" outlineLevel="0" collapsed="false">
      <c r="A27" s="0" t="s">
        <v>361</v>
      </c>
      <c r="B27" s="0" t="s">
        <v>189</v>
      </c>
      <c r="C27" s="20" t="n">
        <f aca="false">C139</f>
        <v>1.68</v>
      </c>
      <c r="D27" s="20" t="n">
        <f aca="false">D139</f>
        <v>3.26</v>
      </c>
      <c r="E27" s="20" t="n">
        <f aca="false">E139</f>
        <v>5.13719359842954</v>
      </c>
      <c r="F27" s="20" t="n">
        <f aca="false">F139</f>
        <v>6.07113677185564</v>
      </c>
      <c r="G27" s="20" t="n">
        <f aca="false">G139</f>
        <v>6.1703798527232</v>
      </c>
      <c r="H27" s="30" t="n">
        <f aca="false">H139</f>
        <v>5.32444345175157</v>
      </c>
      <c r="I27" s="30" t="n">
        <f aca="false">I139</f>
        <v>5.14681143662212</v>
      </c>
      <c r="J27" s="30" t="n">
        <f aca="false">J139</f>
        <v>4.99423329061687</v>
      </c>
    </row>
    <row r="28" customFormat="false" ht="17.15" hidden="false" customHeight="false" outlineLevel="0" collapsed="false">
      <c r="A28" s="0" t="s">
        <v>362</v>
      </c>
      <c r="B28" s="0" t="s">
        <v>99</v>
      </c>
      <c r="D28" s="18" t="n">
        <f aca="false">D140</f>
        <v>0.940476190476191</v>
      </c>
      <c r="E28" s="18" t="n">
        <f aca="false">E140</f>
        <v>0.575826257186976</v>
      </c>
      <c r="F28" s="18" t="n">
        <f aca="false">F140</f>
        <v>0.181800268090267</v>
      </c>
      <c r="G28" s="18" t="n">
        <f aca="false">G140</f>
        <v>0.0163467048424324</v>
      </c>
      <c r="H28" s="28" t="n">
        <f aca="false">H140</f>
        <v>-0.137096324888052</v>
      </c>
      <c r="I28" s="28" t="n">
        <f aca="false">I140</f>
        <v>-0.0333616117325859</v>
      </c>
      <c r="J28" s="28" t="n">
        <f aca="false">J140</f>
        <v>-0.0296451789392517</v>
      </c>
    </row>
    <row r="30" customFormat="false" ht="17.15" hidden="false" customHeight="false" outlineLevel="0" collapsed="false">
      <c r="A30" s="1" t="s">
        <v>364</v>
      </c>
    </row>
    <row r="31" customFormat="false" ht="15" hidden="false" customHeight="false" outlineLevel="0" collapsed="false">
      <c r="A31" s="4" t="s">
        <v>282</v>
      </c>
      <c r="B31" s="0" t="s">
        <v>117</v>
      </c>
      <c r="C31" s="26" t="n">
        <f aca="false">C162</f>
        <v>21.972</v>
      </c>
      <c r="D31" s="26" t="n">
        <f aca="false">D162</f>
        <v>39.063</v>
      </c>
      <c r="E31" s="26" t="n">
        <f aca="false">E162</f>
        <v>65</v>
      </c>
      <c r="F31" s="26" t="n">
        <f aca="false">F162</f>
        <v>62.7175708446539</v>
      </c>
      <c r="G31" s="26" t="n">
        <f aca="false">G162</f>
        <v>53.5772114369499</v>
      </c>
      <c r="H31" s="27" t="n">
        <f aca="false">H162</f>
        <v>48.728887573701</v>
      </c>
      <c r="I31" s="27" t="n">
        <f aca="false">I162</f>
        <v>47.0113824510495</v>
      </c>
      <c r="J31" s="27" t="n">
        <f aca="false">J162</f>
        <v>47.9516101000705</v>
      </c>
    </row>
    <row r="32" customFormat="false" ht="15" hidden="false" customHeight="false" outlineLevel="0" collapsed="false">
      <c r="A32" s="4" t="s">
        <v>355</v>
      </c>
      <c r="B32" s="0" t="s">
        <v>99</v>
      </c>
      <c r="D32" s="18" t="n">
        <f aca="false">D163</f>
        <v>0.777853631895139</v>
      </c>
      <c r="E32" s="18" t="n">
        <f aca="false">E163</f>
        <v>0.663978701072626</v>
      </c>
      <c r="F32" s="18" t="n">
        <f aca="false">F163</f>
        <v>-0.0351142946976329</v>
      </c>
      <c r="G32" s="18" t="n">
        <f aca="false">G163</f>
        <v>-0.145738415640234</v>
      </c>
      <c r="H32" s="28" t="n">
        <f aca="false">H163</f>
        <v>-0.0904922770934892</v>
      </c>
      <c r="I32" s="28" t="n">
        <f aca="false">I163</f>
        <v>-0.0352461385467446</v>
      </c>
      <c r="J32" s="28" t="n">
        <f aca="false">J163</f>
        <v>0.02</v>
      </c>
    </row>
    <row r="33" customFormat="false" ht="17.15" hidden="false" customHeight="false" outlineLevel="0" collapsed="false">
      <c r="A33" s="0" t="s">
        <v>356</v>
      </c>
      <c r="B33" s="0" t="s">
        <v>117</v>
      </c>
      <c r="C33" s="26" t="n">
        <f aca="false">C159</f>
        <v>15.3804</v>
      </c>
      <c r="D33" s="26" t="n">
        <f aca="false">D159</f>
        <v>29.911415</v>
      </c>
      <c r="E33" s="26" t="n">
        <f aca="false">E159</f>
        <v>54.47567725</v>
      </c>
      <c r="F33" s="26" t="n">
        <f aca="false">F159</f>
        <v>51.3513022746539</v>
      </c>
      <c r="G33" s="26" t="n">
        <f aca="false">G159</f>
        <v>41.5289667527499</v>
      </c>
    </row>
    <row r="34" customFormat="false" ht="17.15" hidden="false" customHeight="false" outlineLevel="0" collapsed="false">
      <c r="A34" s="4" t="s">
        <v>357</v>
      </c>
      <c r="B34" s="0" t="s">
        <v>117</v>
      </c>
      <c r="C34" s="26" t="n">
        <f aca="false">C161</f>
        <v>6.5916</v>
      </c>
      <c r="D34" s="26" t="n">
        <f aca="false">D161</f>
        <v>9.151585</v>
      </c>
      <c r="E34" s="26" t="n">
        <f aca="false">E161</f>
        <v>10.52432275</v>
      </c>
      <c r="F34" s="26" t="n">
        <f aca="false">F161</f>
        <v>11.36626857</v>
      </c>
      <c r="G34" s="26" t="n">
        <f aca="false">G161</f>
        <v>12.0482446842</v>
      </c>
    </row>
    <row r="35" customFormat="false" ht="17.15" hidden="false" customHeight="false" outlineLevel="0" collapsed="false">
      <c r="A35" s="0" t="s">
        <v>358</v>
      </c>
      <c r="B35" s="0" t="s">
        <v>99</v>
      </c>
      <c r="C35" s="18" t="n">
        <f aca="false">C164</f>
        <v>0.7</v>
      </c>
      <c r="D35" s="18" t="n">
        <f aca="false">D164</f>
        <v>0.765722422752989</v>
      </c>
      <c r="E35" s="18" t="n">
        <f aca="false">E164</f>
        <v>0.838087342307692</v>
      </c>
      <c r="F35" s="18" t="n">
        <f aca="false">F164</f>
        <v>0.818770586664568</v>
      </c>
      <c r="G35" s="18" t="n">
        <f aca="false">G164</f>
        <v>0.775123707242986</v>
      </c>
    </row>
    <row r="36" customFormat="false" ht="15" hidden="false" customHeight="false" outlineLevel="0" collapsed="false">
      <c r="A36" s="4" t="s">
        <v>288</v>
      </c>
      <c r="B36" s="0" t="s">
        <v>99</v>
      </c>
      <c r="C36" s="17" t="n">
        <f aca="false">C170</f>
        <v>0.110590751866011</v>
      </c>
      <c r="D36" s="17" t="n">
        <f aca="false">D170</f>
        <v>0.108217494816066</v>
      </c>
      <c r="E36" s="17" t="n">
        <f aca="false">E170</f>
        <v>0.100078384882241</v>
      </c>
      <c r="F36" s="17" t="n">
        <f aca="false">F170</f>
        <v>0.0930413032904884</v>
      </c>
      <c r="G36" s="17" t="n">
        <f aca="false">G170</f>
        <v>0.0960776475458653</v>
      </c>
    </row>
    <row r="37" customFormat="false" ht="15" hidden="false" customHeight="false" outlineLevel="0" collapsed="false">
      <c r="A37" s="4" t="s">
        <v>293</v>
      </c>
      <c r="B37" s="0" t="s">
        <v>99</v>
      </c>
      <c r="C37" s="17" t="n">
        <f aca="false">C174</f>
        <v>0.0570271254323685</v>
      </c>
      <c r="D37" s="17" t="n">
        <f aca="false">D174</f>
        <v>0.0709238921741801</v>
      </c>
      <c r="E37" s="17" t="n">
        <f aca="false">E174</f>
        <v>0.0717135592101019</v>
      </c>
      <c r="F37" s="17" t="n">
        <f aca="false">F174</f>
        <v>0.0636442197641547</v>
      </c>
      <c r="G37" s="17" t="n">
        <f aca="false">G174</f>
        <v>0.0616653737592996</v>
      </c>
    </row>
    <row r="38" customFormat="false" ht="15" hidden="false" customHeight="false" outlineLevel="0" collapsed="false">
      <c r="A38" s="4" t="s">
        <v>359</v>
      </c>
      <c r="B38" s="0" t="s">
        <v>117</v>
      </c>
      <c r="C38" s="26" t="n">
        <f aca="false">C178</f>
        <v>1.0489</v>
      </c>
      <c r="D38" s="26" t="n">
        <f aca="false">D178</f>
        <v>2.2305</v>
      </c>
      <c r="E38" s="26" t="n">
        <f aca="false">E178</f>
        <v>3.19416101149247</v>
      </c>
      <c r="F38" s="26" t="n">
        <f aca="false">F178</f>
        <v>2.69183314643332</v>
      </c>
      <c r="G38" s="26" t="n">
        <f aca="false">G178</f>
        <v>2.1760190761804</v>
      </c>
      <c r="H38" s="27" t="n">
        <f aca="false">H178</f>
        <v>2.18398585747998</v>
      </c>
      <c r="I38" s="27" t="n">
        <f aca="false">I178</f>
        <v>2.03978672638721</v>
      </c>
      <c r="J38" s="27" t="n">
        <f aca="false">J178</f>
        <v>2.01201595667954</v>
      </c>
    </row>
    <row r="39" customFormat="false" ht="15" hidden="false" customHeight="false" outlineLevel="0" collapsed="false">
      <c r="A39" s="4" t="s">
        <v>360</v>
      </c>
      <c r="B39" s="0" t="s">
        <v>99</v>
      </c>
      <c r="C39" s="17" t="n">
        <f aca="false">C183</f>
        <v>0.0477380302202804</v>
      </c>
      <c r="D39" s="17" t="n">
        <f aca="false">D183</f>
        <v>0.0571000691191153</v>
      </c>
      <c r="E39" s="17" t="n">
        <f aca="false">E183</f>
        <v>0.0491409386383457</v>
      </c>
      <c r="F39" s="17" t="n">
        <f aca="false">F183</f>
        <v>0.0429199203696961</v>
      </c>
      <c r="G39" s="17" t="n">
        <f aca="false">G183</f>
        <v>0.0406146385341678</v>
      </c>
      <c r="H39" s="29" t="n">
        <f aca="false">H183</f>
        <v>0.0448191199558326</v>
      </c>
      <c r="I39" s="29" t="n">
        <f aca="false">I183</f>
        <v>0.0433892095921904</v>
      </c>
      <c r="J39" s="29" t="n">
        <f aca="false">J183</f>
        <v>0.0419592992285483</v>
      </c>
    </row>
    <row r="40" customFormat="false" ht="15" hidden="false" customHeight="false" outlineLevel="0" collapsed="false">
      <c r="A40" s="0" t="s">
        <v>361</v>
      </c>
      <c r="B40" s="0" t="s">
        <v>189</v>
      </c>
      <c r="C40" s="20" t="n">
        <f aca="false">C181</f>
        <v>1.68</v>
      </c>
      <c r="D40" s="20" t="n">
        <f aca="false">D181</f>
        <v>3.26</v>
      </c>
      <c r="E40" s="20" t="n">
        <f aca="false">E181</f>
        <v>4.28746444495634</v>
      </c>
      <c r="F40" s="20" t="n">
        <f aca="false">F181</f>
        <v>3.577424608191</v>
      </c>
      <c r="G40" s="20" t="n">
        <f aca="false">G181</f>
        <v>2.86327906552181</v>
      </c>
      <c r="H40" s="30" t="n">
        <f aca="false">H181</f>
        <v>2.3964894817132</v>
      </c>
      <c r="I40" s="30" t="n">
        <f aca="false">I181</f>
        <v>2.21609866960303</v>
      </c>
      <c r="J40" s="30" t="n">
        <f aca="false">J181</f>
        <v>2.16428464641394</v>
      </c>
    </row>
    <row r="41" customFormat="false" ht="17.15" hidden="false" customHeight="false" outlineLevel="0" collapsed="false">
      <c r="A41" s="0" t="s">
        <v>362</v>
      </c>
      <c r="B41" s="0" t="s">
        <v>99</v>
      </c>
      <c r="D41" s="18" t="n">
        <f aca="false">D182</f>
        <v>0.940476190476191</v>
      </c>
      <c r="E41" s="18" t="n">
        <f aca="false">E182</f>
        <v>0.315173142624643</v>
      </c>
      <c r="F41" s="18" t="n">
        <f aca="false">F182</f>
        <v>-0.16560833235611</v>
      </c>
      <c r="G41" s="18" t="n">
        <f aca="false">G182</f>
        <v>-0.199625602461073</v>
      </c>
      <c r="H41" s="28" t="n">
        <f aca="false">H182</f>
        <v>-0.163026227317294</v>
      </c>
      <c r="I41" s="28" t="n">
        <f aca="false">I182</f>
        <v>-0.0752729413113099</v>
      </c>
      <c r="J41" s="28" t="n">
        <f aca="false">J182</f>
        <v>-0.0233807383668375</v>
      </c>
    </row>
    <row r="43" customFormat="false" ht="17.15" hidden="false" customHeight="false" outlineLevel="0" collapsed="false">
      <c r="A43" s="1" t="s">
        <v>365</v>
      </c>
    </row>
    <row r="44" customFormat="false" ht="17.15" hidden="false" customHeight="false" outlineLevel="0" collapsed="false">
      <c r="A44" s="4" t="s">
        <v>366</v>
      </c>
      <c r="D44" s="19" t="n">
        <f aca="false">ABS(D78-a26_rev)+ABS(D120-a26_rev)+ABS(D162-a26_rev)</f>
        <v>0</v>
      </c>
    </row>
    <row r="45" customFormat="false" ht="17.15" hidden="false" customHeight="false" outlineLevel="0" collapsed="false">
      <c r="A45" s="4" t="s">
        <v>367</v>
      </c>
      <c r="D45" s="19" t="n">
        <f aca="false">ABS(D97-a26_eps)+ABS(D139-a26_eps)+ABS(D181-a26_eps)</f>
        <v>0</v>
      </c>
    </row>
    <row r="46" customFormat="false" ht="17.15" hidden="false" customHeight="false" outlineLevel="0" collapsed="false">
      <c r="A46" s="4" t="s">
        <v>368</v>
      </c>
      <c r="D46" s="19" t="n">
        <f aca="false">D83*D75+gm_nai*D77-a26_gp</f>
        <v>0</v>
      </c>
    </row>
    <row r="60" customFormat="false" ht="17.15" hidden="false" customHeight="false" outlineLevel="0" collapsed="false">
      <c r="A60" s="1" t="s">
        <v>369</v>
      </c>
    </row>
    <row r="61" customFormat="false" ht="17.15" hidden="false" customHeight="false" outlineLevel="0" collapsed="false">
      <c r="A61" s="5" t="s">
        <v>16</v>
      </c>
      <c r="B61" s="5" t="s">
        <v>17</v>
      </c>
      <c r="C61" s="14" t="s">
        <v>276</v>
      </c>
      <c r="D61" s="14" t="s">
        <v>280</v>
      </c>
      <c r="E61" s="14" t="s">
        <v>348</v>
      </c>
      <c r="F61" s="14" t="s">
        <v>349</v>
      </c>
      <c r="G61" s="14" t="s">
        <v>350</v>
      </c>
      <c r="H61" s="14" t="s">
        <v>351</v>
      </c>
      <c r="I61" s="14" t="s">
        <v>352</v>
      </c>
      <c r="J61" s="14" t="s">
        <v>353</v>
      </c>
      <c r="K61" s="5" t="s">
        <v>324</v>
      </c>
    </row>
    <row r="62" customFormat="false" ht="17.15" hidden="false" customHeight="false" outlineLevel="0" collapsed="false">
      <c r="A62" s="6" t="s">
        <v>370</v>
      </c>
    </row>
    <row r="63" customFormat="false" ht="17.15" hidden="false" customHeight="false" outlineLevel="0" collapsed="false">
      <c r="A63" s="0" t="s">
        <v>371</v>
      </c>
      <c r="B63" s="4" t="s">
        <v>27</v>
      </c>
      <c r="D63" s="20" t="n">
        <f aca="false">uo_26</f>
        <v>6.65</v>
      </c>
      <c r="E63" s="20" t="n">
        <f aca="false">uo_27*mf</f>
        <v>2.4</v>
      </c>
      <c r="F63" s="20" t="n">
        <f aca="false">uo_28*um28_A*mf</f>
        <v>0.5</v>
      </c>
      <c r="G63" s="20" t="n">
        <f aca="false">uo_29*um29_A*mf</f>
        <v>0.25</v>
      </c>
      <c r="K63" s="8" t="s">
        <v>372</v>
      </c>
    </row>
    <row r="64" customFormat="false" ht="17.15" hidden="false" customHeight="false" outlineLevel="0" collapsed="false">
      <c r="A64" s="0" t="s">
        <v>373</v>
      </c>
      <c r="B64" s="4" t="s">
        <v>27</v>
      </c>
      <c r="D64" s="20" t="n">
        <f aca="false">un_26</f>
        <v>1.7</v>
      </c>
      <c r="E64" s="20" t="n">
        <f aca="false">un_27*mf</f>
        <v>8.8</v>
      </c>
      <c r="F64" s="20" t="n">
        <f aca="false">un_28*um28_A*mf</f>
        <v>11</v>
      </c>
      <c r="G64" s="20" t="n">
        <f aca="false">un_29*um29_A*mf</f>
        <v>12.65</v>
      </c>
      <c r="K64" s="8" t="s">
        <v>374</v>
      </c>
    </row>
    <row r="65" customFormat="false" ht="17.15" hidden="false" customHeight="false" outlineLevel="0" collapsed="false">
      <c r="A65" s="4" t="s">
        <v>375</v>
      </c>
      <c r="B65" s="4" t="s">
        <v>58</v>
      </c>
      <c r="D65" s="24" t="n">
        <f aca="false">v_gb</f>
        <v>59.7222222222222</v>
      </c>
      <c r="E65" s="24" t="n">
        <f aca="false">v_gb</f>
        <v>59.7222222222222</v>
      </c>
      <c r="F65" s="24" t="n">
        <f aca="false">v_gb</f>
        <v>59.7222222222222</v>
      </c>
      <c r="G65" s="24" t="n">
        <f aca="false">v_gb</f>
        <v>59.7222222222222</v>
      </c>
    </row>
    <row r="66" customFormat="false" ht="17.15" hidden="false" customHeight="false" outlineLevel="0" collapsed="false">
      <c r="A66" s="4" t="s">
        <v>376</v>
      </c>
      <c r="B66" s="4" t="s">
        <v>58</v>
      </c>
      <c r="D66" s="24" t="n">
        <f aca="false">v_vr</f>
        <v>116.666666666667</v>
      </c>
      <c r="E66" s="24" t="n">
        <f aca="false">v_vr</f>
        <v>116.666666666667</v>
      </c>
      <c r="F66" s="24" t="n">
        <f aca="false">v_vr*vpg_28</f>
        <v>116.666666666667</v>
      </c>
      <c r="G66" s="24" t="n">
        <f aca="false">v_vr*vpg_29</f>
        <v>116.666666666667</v>
      </c>
      <c r="K66" s="4" t="s">
        <v>377</v>
      </c>
    </row>
    <row r="67" customFormat="false" ht="17.15" hidden="false" customHeight="false" outlineLevel="0" collapsed="false">
      <c r="A67" s="4" t="s">
        <v>378</v>
      </c>
      <c r="B67" s="0" t="s">
        <v>117</v>
      </c>
      <c r="D67" s="25" t="n">
        <f aca="false">(D63*D65+D64*D66)</f>
        <v>595.486111111111</v>
      </c>
      <c r="E67" s="25" t="n">
        <f aca="false">(E63*E65+E64*E66)</f>
        <v>1170</v>
      </c>
      <c r="F67" s="25" t="n">
        <f aca="false">(F63*F65+F64*F66)</f>
        <v>1313.19444444444</v>
      </c>
      <c r="G67" s="25" t="n">
        <f aca="false">(G63*G65+G64*G66)</f>
        <v>1490.76388888889</v>
      </c>
      <c r="K67" s="4" t="s">
        <v>379</v>
      </c>
    </row>
    <row r="68" customFormat="false" ht="17.15" hidden="false" customHeight="false" outlineLevel="0" collapsed="false">
      <c r="A68" s="4" t="s">
        <v>380</v>
      </c>
      <c r="B68" s="0" t="s">
        <v>117</v>
      </c>
      <c r="E68" s="25" t="n">
        <f aca="false">0.5*D67+0.5*E67</f>
        <v>882.743055555556</v>
      </c>
      <c r="F68" s="25" t="n">
        <f aca="false">0.5*E67+0.5*F67</f>
        <v>1241.59722222222</v>
      </c>
      <c r="G68" s="25" t="n">
        <f aca="false">0.5*F67+0.5*G67</f>
        <v>1401.97916666667</v>
      </c>
      <c r="K68" s="4" t="s">
        <v>381</v>
      </c>
    </row>
    <row r="69" customFormat="false" ht="17.15" hidden="false" customHeight="false" outlineLevel="0" collapsed="false">
      <c r="A69" s="0" t="s">
        <v>382</v>
      </c>
      <c r="B69" s="0" t="s">
        <v>117</v>
      </c>
      <c r="E69" s="25" t="n">
        <f aca="false">0.5*D67+0.5*(uo_27*v_gb+un_27*v_vr)</f>
        <v>882.743055555556</v>
      </c>
      <c r="K69" s="4" t="s">
        <v>383</v>
      </c>
    </row>
    <row r="70" customFormat="false" ht="17.15" hidden="false" customHeight="false" outlineLevel="0" collapsed="false">
      <c r="A70" s="4" t="s">
        <v>384</v>
      </c>
      <c r="B70" s="0" t="s">
        <v>99</v>
      </c>
      <c r="D70" s="17" t="n">
        <f aca="false">a26_aih2/(0.5*D67)</f>
        <v>0.0499294936443149</v>
      </c>
      <c r="K70" s="8" t="s">
        <v>385</v>
      </c>
    </row>
    <row r="71" customFormat="false" ht="17.15" hidden="false" customHeight="false" outlineLevel="0" collapsed="false">
      <c r="A71" s="0" t="s">
        <v>386</v>
      </c>
      <c r="B71" s="0" t="s">
        <v>117</v>
      </c>
      <c r="E71" s="25" t="n">
        <f aca="false">g27_hi</f>
        <v>72</v>
      </c>
      <c r="K71" s="8" t="s">
        <v>387</v>
      </c>
    </row>
    <row r="72" customFormat="false" ht="17.15" hidden="false" customHeight="false" outlineLevel="0" collapsed="false">
      <c r="A72" s="4" t="s">
        <v>388</v>
      </c>
      <c r="B72" s="0" t="s">
        <v>66</v>
      </c>
      <c r="E72" s="20" t="n">
        <f aca="false">1</f>
        <v>1</v>
      </c>
      <c r="F72" s="20" t="n">
        <f aca="false">rel_28_hi*1</f>
        <v>1</v>
      </c>
      <c r="G72" s="20" t="n">
        <f aca="false">rel_29_hi*1</f>
        <v>1</v>
      </c>
      <c r="K72" s="8" t="s">
        <v>389</v>
      </c>
    </row>
    <row r="73" customFormat="false" ht="17.15" hidden="false" customHeight="false" outlineLevel="0" collapsed="false">
      <c r="A73" s="4" t="s">
        <v>390</v>
      </c>
      <c r="B73" s="0" t="s">
        <v>99</v>
      </c>
      <c r="E73" s="17" t="n">
        <f aca="false">(E71-E77)/E69</f>
        <v>0.0696416435825827</v>
      </c>
      <c r="F73" s="17" t="n">
        <f aca="false">$E73*F72</f>
        <v>0.0696416435825827</v>
      </c>
      <c r="G73" s="17" t="n">
        <f aca="false">$E73*G72</f>
        <v>0.0696416435825827</v>
      </c>
      <c r="K73" s="8" t="s">
        <v>391</v>
      </c>
    </row>
    <row r="74" customFormat="false" ht="17.15" hidden="false" customHeight="false" outlineLevel="0" collapsed="false">
      <c r="A74" s="0" t="s">
        <v>392</v>
      </c>
      <c r="B74" s="0" t="s">
        <v>66</v>
      </c>
      <c r="E74" s="20" t="n">
        <f aca="false">E73/D70</f>
        <v>1.39479971655015</v>
      </c>
      <c r="K74" s="8" t="s">
        <v>393</v>
      </c>
    </row>
    <row r="75" customFormat="false" ht="17.15" hidden="false" customHeight="false" outlineLevel="0" collapsed="false">
      <c r="A75" s="0" t="s">
        <v>394</v>
      </c>
      <c r="B75" s="0" t="s">
        <v>117</v>
      </c>
      <c r="C75" s="26" t="n">
        <f aca="false">a25_ai</f>
        <v>15.3804</v>
      </c>
      <c r="D75" s="26" t="n">
        <f aca="false">a26_ai</f>
        <v>29.911415</v>
      </c>
      <c r="E75" s="26" t="n">
        <f aca="false">E68*E73</f>
        <v>61.47567725</v>
      </c>
      <c r="F75" s="26" t="n">
        <f aca="false">F68*F73</f>
        <v>86.4668712231247</v>
      </c>
      <c r="G75" s="26" t="n">
        <f aca="false">G68*G73</f>
        <v>97.6361334352064</v>
      </c>
    </row>
    <row r="76" customFormat="false" ht="17.15" hidden="false" customHeight="false" outlineLevel="0" collapsed="false">
      <c r="A76" s="6" t="s">
        <v>395</v>
      </c>
    </row>
    <row r="77" customFormat="false" ht="17.15" hidden="false" customHeight="false" outlineLevel="0" collapsed="false">
      <c r="A77" s="4" t="s">
        <v>310</v>
      </c>
      <c r="B77" s="0" t="s">
        <v>117</v>
      </c>
      <c r="C77" s="26" t="n">
        <f aca="false">a25_nai</f>
        <v>6.5916</v>
      </c>
      <c r="D77" s="26" t="n">
        <f aca="false">a26_nai</f>
        <v>9.151585</v>
      </c>
      <c r="E77" s="26" t="n">
        <f aca="false">D77*(1+g_nai27)</f>
        <v>10.52432275</v>
      </c>
      <c r="F77" s="26" t="n">
        <f aca="false">E77*(1+g_nai28)</f>
        <v>11.36626857</v>
      </c>
      <c r="G77" s="26" t="n">
        <f aca="false">F77*(1+g_nai29)</f>
        <v>12.0482446842</v>
      </c>
    </row>
    <row r="78" customFormat="false" ht="17.15" hidden="false" customHeight="false" outlineLevel="0" collapsed="false">
      <c r="A78" s="4" t="s">
        <v>282</v>
      </c>
      <c r="B78" s="0" t="s">
        <v>117</v>
      </c>
      <c r="C78" s="26" t="n">
        <f aca="false">C75+C77</f>
        <v>21.972</v>
      </c>
      <c r="D78" s="26" t="n">
        <f aca="false">D75+D77</f>
        <v>39.063</v>
      </c>
      <c r="E78" s="26" t="n">
        <f aca="false">E75+E77</f>
        <v>72</v>
      </c>
      <c r="F78" s="26" t="n">
        <f aca="false">F75+F77</f>
        <v>97.8331397931247</v>
      </c>
      <c r="G78" s="26" t="n">
        <f aca="false">G75+G77</f>
        <v>109.684378119406</v>
      </c>
      <c r="H78" s="27" t="n">
        <f aca="false">G78*(1+H79)</f>
        <v>120.735975578256</v>
      </c>
      <c r="I78" s="27" t="n">
        <f aca="false">H78*(1+I79)</f>
        <v>130.440622954982</v>
      </c>
      <c r="J78" s="27" t="n">
        <f aca="false">I78*(1+J79)</f>
        <v>138.267060332281</v>
      </c>
      <c r="K78" s="8" t="s">
        <v>396</v>
      </c>
    </row>
    <row r="79" customFormat="false" ht="15" hidden="false" customHeight="false" outlineLevel="0" collapsed="false">
      <c r="A79" s="4" t="s">
        <v>397</v>
      </c>
      <c r="B79" s="0" t="s">
        <v>99</v>
      </c>
      <c r="D79" s="18" t="n">
        <f aca="false">D78/C78-1</f>
        <v>0.777853631895139</v>
      </c>
      <c r="E79" s="18" t="n">
        <f aca="false">E78/D78-1</f>
        <v>0.843176407341986</v>
      </c>
      <c r="F79" s="18" t="n">
        <f aca="false">F78/E78-1</f>
        <v>0.358793608237844</v>
      </c>
      <c r="G79" s="18" t="n">
        <f aca="false">G78/F78-1</f>
        <v>0.121137258308809</v>
      </c>
      <c r="H79" s="28" t="n">
        <f aca="false">$G79+(fade_gA-$G79)*1/3</f>
        <v>0.100758172205873</v>
      </c>
      <c r="I79" s="28" t="n">
        <f aca="false">$G79+(fade_gA-$G79)*2/3</f>
        <v>0.0803790861029364</v>
      </c>
      <c r="J79" s="28" t="n">
        <f aca="false">$G79+(fade_gA-$G79)*3/3</f>
        <v>0.06</v>
      </c>
    </row>
    <row r="80" customFormat="false" ht="17.15" hidden="false" customHeight="false" outlineLevel="0" collapsed="false">
      <c r="A80" s="0" t="s">
        <v>398</v>
      </c>
      <c r="B80" s="0" t="s">
        <v>99</v>
      </c>
      <c r="C80" s="18" t="n">
        <f aca="false">C75/C78</f>
        <v>0.7</v>
      </c>
      <c r="D80" s="18" t="n">
        <f aca="false">D75/D78</f>
        <v>0.765722422752989</v>
      </c>
      <c r="E80" s="18" t="n">
        <f aca="false">E75/E78</f>
        <v>0.853828850694445</v>
      </c>
      <c r="F80" s="18" t="n">
        <f aca="false">F75/F78</f>
        <v>0.883819852924737</v>
      </c>
      <c r="G80" s="18" t="n">
        <f aca="false">G75/G78</f>
        <v>0.890155326667542</v>
      </c>
    </row>
    <row r="81" customFormat="false" ht="17.15" hidden="false" customHeight="false" outlineLevel="0" collapsed="false">
      <c r="A81" s="4" t="s">
        <v>399</v>
      </c>
      <c r="B81" s="4" t="s">
        <v>27</v>
      </c>
      <c r="E81" s="20" t="n">
        <f aca="false">E75/((0.5*(D63*D65+D64*D66)+0.5*(E63*E65+E64*E66))/(0.5*(D63+D64)+0.5*(E63+E64)))</f>
        <v>0.680747066019746</v>
      </c>
      <c r="F81" s="20" t="n">
        <f aca="false">F75/((0.5*(E63*E65+E64*E66)+0.5*(F63*F65+F64*F66))/(0.5*(E63+E64)+0.5*(F63+F64)))</f>
        <v>0.790432654662314</v>
      </c>
      <c r="G81" s="20" t="n">
        <f aca="false">G75/((0.5*(F63*F65+F64*F66)+0.5*(G63*G65+G64*G66))/(0.5*(F63+F64)+0.5*(G63+G64)))</f>
        <v>0.849628051707509</v>
      </c>
      <c r="K81" s="4" t="s">
        <v>400</v>
      </c>
    </row>
    <row r="82" customFormat="false" ht="17.15" hidden="false" customHeight="false" outlineLevel="0" collapsed="false">
      <c r="A82" s="6" t="s">
        <v>401</v>
      </c>
    </row>
    <row r="83" customFormat="false" ht="17.15" hidden="false" customHeight="false" outlineLevel="0" collapsed="false">
      <c r="A83" s="0" t="s">
        <v>402</v>
      </c>
      <c r="B83" s="0" t="s">
        <v>99</v>
      </c>
      <c r="D83" s="17" t="n">
        <f aca="false">(a26_gp-gm_nai*a26_nai)/a26_ai</f>
        <v>0.0954338753281983</v>
      </c>
      <c r="K83" s="8" t="s">
        <v>403</v>
      </c>
    </row>
    <row r="84" customFormat="false" ht="17.15" hidden="false" customHeight="false" outlineLevel="0" collapsed="false">
      <c r="A84" s="0" t="s">
        <v>404</v>
      </c>
      <c r="B84" s="0" t="s">
        <v>99</v>
      </c>
      <c r="D84" s="17" t="n">
        <f aca="false">D83</f>
        <v>0.0954338753281983</v>
      </c>
      <c r="E84" s="17" t="n">
        <f aca="false">$D83+dgm_27_hi</f>
        <v>0.110433875328198</v>
      </c>
      <c r="F84" s="17" t="n">
        <f aca="false">$D83+dgm_28_hi</f>
        <v>0.110433875328198</v>
      </c>
      <c r="G84" s="17" t="n">
        <f aca="false">$D83+dgm_28_hi</f>
        <v>0.110433875328198</v>
      </c>
      <c r="K84" s="8" t="s">
        <v>405</v>
      </c>
    </row>
    <row r="85" customFormat="false" ht="15" hidden="false" customHeight="false" outlineLevel="0" collapsed="false">
      <c r="A85" s="4" t="s">
        <v>406</v>
      </c>
      <c r="B85" s="0" t="s">
        <v>117</v>
      </c>
      <c r="C85" s="26" t="n">
        <f aca="false">a25_gp</f>
        <v>2.4299</v>
      </c>
      <c r="D85" s="26" t="n">
        <f aca="false">a26_gp</f>
        <v>4.2273</v>
      </c>
      <c r="E85" s="26" t="n">
        <f aca="false">E84*E75+gm_nai*E77</f>
        <v>8.36764568964306</v>
      </c>
      <c r="F85" s="26" t="n">
        <f aca="false">F84*F75+gm_nai*F77</f>
        <v>11.2538119621739</v>
      </c>
      <c r="G85" s="26" t="n">
        <f aca="false">G84*G75+gm_nai*G77</f>
        <v>12.5895732899409</v>
      </c>
    </row>
    <row r="86" customFormat="false" ht="15" hidden="false" customHeight="false" outlineLevel="0" collapsed="false">
      <c r="A86" s="4" t="s">
        <v>288</v>
      </c>
      <c r="B86" s="0" t="s">
        <v>99</v>
      </c>
      <c r="C86" s="17" t="n">
        <f aca="false">C85/C78</f>
        <v>0.110590751866011</v>
      </c>
      <c r="D86" s="17" t="n">
        <f aca="false">D85/D78</f>
        <v>0.108217494816066</v>
      </c>
      <c r="E86" s="17" t="n">
        <f aca="false">E85/E78</f>
        <v>0.116217301245042</v>
      </c>
      <c r="F86" s="17" t="n">
        <f aca="false">F85/F78</f>
        <v>0.115030673511766</v>
      </c>
      <c r="G86" s="17" t="n">
        <f aca="false">G85/G78</f>
        <v>0.114780003367804</v>
      </c>
    </row>
    <row r="87" customFormat="false" ht="15" hidden="false" customHeight="false" outlineLevel="0" collapsed="false">
      <c r="A87" s="4" t="s">
        <v>407</v>
      </c>
      <c r="B87" s="0" t="s">
        <v>117</v>
      </c>
      <c r="C87" s="26" t="n">
        <f aca="false">a25_opx</f>
        <v>1.1769</v>
      </c>
      <c r="D87" s="26" t="n">
        <f aca="false">a26_opx</f>
        <v>1.4568</v>
      </c>
      <c r="E87" s="26" t="n">
        <f aca="false">D87*(1+MAX(0,phi*E79))</f>
        <v>1.94813575608632</v>
      </c>
      <c r="F87" s="26" t="n">
        <f aca="false">E87*(1+MAX(0,phi*F79))</f>
        <v>2.22772721899167</v>
      </c>
      <c r="G87" s="26" t="n">
        <f aca="false">F87*(1+MAX(0,phi*G79))</f>
        <v>2.33567152601909</v>
      </c>
    </row>
    <row r="88" customFormat="false" ht="15" hidden="false" customHeight="false" outlineLevel="0" collapsed="false">
      <c r="A88" s="4" t="s">
        <v>408</v>
      </c>
      <c r="B88" s="0" t="s">
        <v>117</v>
      </c>
      <c r="C88" s="26" t="n">
        <f aca="false">C87</f>
        <v>1.1769</v>
      </c>
      <c r="D88" s="26" t="n">
        <f aca="false">D87</f>
        <v>1.4568</v>
      </c>
      <c r="E88" s="26" t="n">
        <f aca="false">E87+0*E78</f>
        <v>1.94813575608632</v>
      </c>
      <c r="F88" s="26" t="n">
        <f aca="false">F87+0*F78</f>
        <v>2.22772721899167</v>
      </c>
      <c r="G88" s="26" t="n">
        <f aca="false">G87+0*G78</f>
        <v>2.33567152601909</v>
      </c>
    </row>
    <row r="89" customFormat="false" ht="15" hidden="false" customHeight="false" outlineLevel="0" collapsed="false">
      <c r="A89" s="4" t="s">
        <v>291</v>
      </c>
      <c r="B89" s="0" t="s">
        <v>117</v>
      </c>
      <c r="C89" s="26" t="n">
        <f aca="false">C85-C88</f>
        <v>1.253</v>
      </c>
      <c r="D89" s="26" t="n">
        <f aca="false">D85-D88</f>
        <v>2.7705</v>
      </c>
      <c r="E89" s="26" t="n">
        <f aca="false">E85-E88</f>
        <v>6.41950993355673</v>
      </c>
      <c r="F89" s="26" t="n">
        <f aca="false">F85-F88</f>
        <v>9.02608474318226</v>
      </c>
      <c r="G89" s="26" t="n">
        <f aca="false">G85-G88</f>
        <v>10.2539017639218</v>
      </c>
    </row>
    <row r="90" customFormat="false" ht="15" hidden="false" customHeight="false" outlineLevel="0" collapsed="false">
      <c r="A90" s="4" t="s">
        <v>293</v>
      </c>
      <c r="B90" s="0" t="s">
        <v>99</v>
      </c>
      <c r="C90" s="17" t="n">
        <f aca="false">C89/C78</f>
        <v>0.0570271254323685</v>
      </c>
      <c r="D90" s="17" t="n">
        <f aca="false">D89/D78</f>
        <v>0.0709238921741801</v>
      </c>
      <c r="E90" s="17" t="n">
        <f aca="false">E89/E78</f>
        <v>0.089159860188288</v>
      </c>
      <c r="F90" s="17" t="n">
        <f aca="false">F89/F78</f>
        <v>0.0922599924960864</v>
      </c>
      <c r="G90" s="17" t="n">
        <f aca="false">G89/G78</f>
        <v>0.0934855258308439</v>
      </c>
    </row>
    <row r="91" customFormat="false" ht="17.15" hidden="false" customHeight="false" outlineLevel="0" collapsed="false">
      <c r="A91" s="4" t="s">
        <v>167</v>
      </c>
      <c r="B91" s="0" t="s">
        <v>99</v>
      </c>
      <c r="C91" s="18" t="n">
        <f aca="false">a25_ni/a25_oi</f>
        <v>0.837110933758979</v>
      </c>
      <c r="D91" s="18" t="n">
        <f aca="false">a26_ni/a26_oi</f>
        <v>0.805089334055225</v>
      </c>
      <c r="E91" s="18" t="n">
        <f aca="false">nio_f</f>
        <v>0.75</v>
      </c>
      <c r="F91" s="18" t="n">
        <f aca="false">nio_f</f>
        <v>0.75</v>
      </c>
      <c r="G91" s="18" t="n">
        <f aca="false">nio_f</f>
        <v>0.75</v>
      </c>
    </row>
    <row r="92" customFormat="false" ht="15" hidden="false" customHeight="false" outlineLevel="0" collapsed="false">
      <c r="A92" s="4" t="s">
        <v>409</v>
      </c>
      <c r="B92" s="0" t="s">
        <v>117</v>
      </c>
      <c r="C92" s="26" t="n">
        <f aca="false">a25_ni</f>
        <v>1.0489</v>
      </c>
      <c r="D92" s="26" t="n">
        <f aca="false">a26_ni</f>
        <v>2.2305</v>
      </c>
      <c r="E92" s="26" t="n">
        <f aca="false">E89*E91</f>
        <v>4.81463245016755</v>
      </c>
      <c r="F92" s="26" t="n">
        <f aca="false">F89*F91</f>
        <v>6.7695635573867</v>
      </c>
      <c r="G92" s="26" t="n">
        <f aca="false">G89*G91</f>
        <v>7.69042632294136</v>
      </c>
    </row>
    <row r="93" customFormat="false" ht="17.15" hidden="false" customHeight="false" outlineLevel="0" collapsed="false">
      <c r="A93" s="4" t="s">
        <v>410</v>
      </c>
      <c r="B93" s="0" t="s">
        <v>117</v>
      </c>
      <c r="C93" s="16" t="n">
        <f aca="false">0</f>
        <v>0</v>
      </c>
      <c r="D93" s="16" t="n">
        <f aca="false">0</f>
        <v>0</v>
      </c>
      <c r="E93" s="16" t="n">
        <f aca="false">pref_div</f>
        <v>0.301875</v>
      </c>
      <c r="F93" s="16" t="n">
        <f aca="false">pref_div</f>
        <v>0.301875</v>
      </c>
      <c r="G93" s="16" t="n">
        <f aca="false">pref_div</f>
        <v>0.301875</v>
      </c>
      <c r="K93" s="8" t="s">
        <v>411</v>
      </c>
    </row>
    <row r="94" customFormat="false" ht="17.15" hidden="false" customHeight="false" outlineLevel="0" collapsed="false">
      <c r="A94" s="4" t="s">
        <v>359</v>
      </c>
      <c r="B94" s="0" t="s">
        <v>117</v>
      </c>
      <c r="C94" s="26" t="n">
        <f aca="false">C92-C93</f>
        <v>1.0489</v>
      </c>
      <c r="D94" s="26" t="n">
        <f aca="false">D92-D93</f>
        <v>2.2305</v>
      </c>
      <c r="E94" s="26" t="n">
        <f aca="false">E92-E93</f>
        <v>4.51275745016755</v>
      </c>
      <c r="F94" s="26" t="n">
        <f aca="false">F92-F93</f>
        <v>6.4676885573867</v>
      </c>
      <c r="G94" s="26" t="n">
        <f aca="false">G92-G93</f>
        <v>7.38855132294136</v>
      </c>
      <c r="H94" s="27" t="n">
        <f aca="false">H78*H99</f>
        <v>8.46529962272486</v>
      </c>
      <c r="I94" s="27" t="n">
        <f aca="false">I78*I99</f>
        <v>9.14573266998702</v>
      </c>
      <c r="J94" s="27" t="n">
        <f aca="false">J78*J99</f>
        <v>9.69447663018624</v>
      </c>
      <c r="K94" s="4" t="s">
        <v>412</v>
      </c>
    </row>
    <row r="95" customFormat="false" ht="17.15" hidden="false" customHeight="false" outlineLevel="0" collapsed="false">
      <c r="A95" s="4" t="s">
        <v>413</v>
      </c>
      <c r="B95" s="0" t="s">
        <v>99</v>
      </c>
      <c r="C95" s="17" t="n">
        <f aca="false">C92/C78</f>
        <v>0.0477380302202804</v>
      </c>
      <c r="D95" s="17" t="n">
        <f aca="false">D92/D78</f>
        <v>0.0571000691191153</v>
      </c>
      <c r="E95" s="17" t="n">
        <f aca="false">E92/E78</f>
        <v>0.066869895141216</v>
      </c>
      <c r="F95" s="17" t="n">
        <f aca="false">F92/F78</f>
        <v>0.0691949943720648</v>
      </c>
      <c r="G95" s="17" t="n">
        <f aca="false">G92/G78</f>
        <v>0.0701141443731329</v>
      </c>
      <c r="K95" s="4" t="s">
        <v>414</v>
      </c>
    </row>
    <row r="96" customFormat="false" ht="17.15" hidden="false" customHeight="false" outlineLevel="0" collapsed="false">
      <c r="A96" s="4" t="s">
        <v>415</v>
      </c>
      <c r="B96" s="4" t="s">
        <v>176</v>
      </c>
      <c r="C96" s="19" t="n">
        <f aca="false">a25_sh</f>
        <v>0.624345238095238</v>
      </c>
      <c r="D96" s="19" t="n">
        <f aca="false">a26_sh</f>
        <v>0.68420245398773</v>
      </c>
      <c r="E96" s="19" t="n">
        <f aca="false">sh27</f>
        <v>0.745</v>
      </c>
      <c r="F96" s="19" t="n">
        <f aca="false">E96*(1+sh_g)</f>
        <v>0.75245</v>
      </c>
      <c r="G96" s="19" t="n">
        <f aca="false">F96*(1+sh_g)</f>
        <v>0.7599745</v>
      </c>
      <c r="H96" s="31" t="n">
        <f aca="false">G96*(1+sh_g)+conv_sh</f>
        <v>0.91132712</v>
      </c>
      <c r="I96" s="31" t="n">
        <f aca="false">H96*(1+sh_g)</f>
        <v>0.9204403912</v>
      </c>
      <c r="J96" s="31" t="n">
        <f aca="false">I96*(1+sh_g)</f>
        <v>0.929644795112</v>
      </c>
    </row>
    <row r="97" customFormat="false" ht="17.15" hidden="false" customHeight="false" outlineLevel="0" collapsed="false">
      <c r="A97" s="0" t="s">
        <v>299</v>
      </c>
      <c r="B97" s="0" t="s">
        <v>189</v>
      </c>
      <c r="C97" s="26" t="n">
        <f aca="false">C94/C96</f>
        <v>1.68</v>
      </c>
      <c r="D97" s="26" t="n">
        <f aca="false">D94/D96</f>
        <v>3.26</v>
      </c>
      <c r="E97" s="26" t="n">
        <f aca="false">E94/E96</f>
        <v>6.05739255056047</v>
      </c>
      <c r="F97" s="26" t="n">
        <f aca="false">F94/F96</f>
        <v>8.59550608995508</v>
      </c>
      <c r="G97" s="26" t="n">
        <f aca="false">G94/G96</f>
        <v>9.72210425868415</v>
      </c>
      <c r="H97" s="30" t="n">
        <f aca="false">H94/H96</f>
        <v>9.2889802541209</v>
      </c>
      <c r="I97" s="30" t="n">
        <f aca="false">I94/I96</f>
        <v>9.93625742353996</v>
      </c>
      <c r="J97" s="30" t="n">
        <f aca="false">J94/J96</f>
        <v>10.4281513553984</v>
      </c>
    </row>
    <row r="98" customFormat="false" ht="17.15" hidden="false" customHeight="false" outlineLevel="0" collapsed="false">
      <c r="A98" s="0" t="s">
        <v>416</v>
      </c>
      <c r="B98" s="0" t="s">
        <v>99</v>
      </c>
      <c r="D98" s="18" t="n">
        <f aca="false">D97/C97-1</f>
        <v>0.940476190476191</v>
      </c>
      <c r="E98" s="18" t="n">
        <f aca="false">E97/D97-1</f>
        <v>0.858095874405052</v>
      </c>
      <c r="F98" s="18" t="n">
        <f aca="false">F97/E97-1</f>
        <v>0.419010905799685</v>
      </c>
      <c r="G98" s="18" t="n">
        <f aca="false">G97/F97-1</f>
        <v>0.131068276485273</v>
      </c>
      <c r="H98" s="28" t="n">
        <f aca="false">H97/G97-1</f>
        <v>-0.0445504381601725</v>
      </c>
      <c r="I98" s="28" t="n">
        <f aca="false">I97/H97-1</f>
        <v>0.0696822634682539</v>
      </c>
      <c r="J98" s="28" t="n">
        <f aca="false">J97/I97-1</f>
        <v>0.0495049504950496</v>
      </c>
    </row>
    <row r="99" customFormat="false" ht="17.15" hidden="false" customHeight="false" outlineLevel="0" collapsed="false">
      <c r="A99" s="4" t="s">
        <v>417</v>
      </c>
      <c r="B99" s="0" t="s">
        <v>99</v>
      </c>
      <c r="C99" s="17" t="n">
        <f aca="false">C94/C78</f>
        <v>0.0477380302202804</v>
      </c>
      <c r="D99" s="17" t="n">
        <f aca="false">D94/D78</f>
        <v>0.0571000691191153</v>
      </c>
      <c r="E99" s="17" t="n">
        <f aca="false">E94/E78</f>
        <v>0.0626771868078827</v>
      </c>
      <c r="F99" s="17" t="n">
        <f aca="false">F94/F78</f>
        <v>0.0661093834978934</v>
      </c>
      <c r="G99" s="17" t="n">
        <f aca="false">G94/G78</f>
        <v>0.0673619292885804</v>
      </c>
      <c r="H99" s="29" t="n">
        <f aca="false">$G95+(fade_mA-$G95)*1/3</f>
        <v>0.0701141443731329</v>
      </c>
      <c r="I99" s="29" t="n">
        <f aca="false">$G95+(fade_mA-$G95)*2/3</f>
        <v>0.0701141443731329</v>
      </c>
      <c r="J99" s="29" t="n">
        <f aca="false">$G95+(fade_mA-$G95)*3/3</f>
        <v>0.0701141443731329</v>
      </c>
    </row>
    <row r="102" customFormat="false" ht="17.15" hidden="false" customHeight="false" outlineLevel="0" collapsed="false">
      <c r="A102" s="1" t="s">
        <v>418</v>
      </c>
    </row>
    <row r="103" customFormat="false" ht="17.15" hidden="false" customHeight="false" outlineLevel="0" collapsed="false">
      <c r="A103" s="5" t="s">
        <v>16</v>
      </c>
      <c r="B103" s="5" t="s">
        <v>17</v>
      </c>
      <c r="C103" s="14" t="s">
        <v>276</v>
      </c>
      <c r="D103" s="14" t="s">
        <v>280</v>
      </c>
      <c r="E103" s="14" t="s">
        <v>348</v>
      </c>
      <c r="F103" s="14" t="s">
        <v>349</v>
      </c>
      <c r="G103" s="14" t="s">
        <v>350</v>
      </c>
      <c r="H103" s="14" t="s">
        <v>351</v>
      </c>
      <c r="I103" s="14" t="s">
        <v>352</v>
      </c>
      <c r="J103" s="14" t="s">
        <v>353</v>
      </c>
      <c r="K103" s="5" t="s">
        <v>324</v>
      </c>
    </row>
    <row r="104" customFormat="false" ht="17.15" hidden="false" customHeight="false" outlineLevel="0" collapsed="false">
      <c r="A104" s="6" t="s">
        <v>370</v>
      </c>
    </row>
    <row r="105" customFormat="false" ht="17.15" hidden="false" customHeight="false" outlineLevel="0" collapsed="false">
      <c r="A105" s="0" t="s">
        <v>371</v>
      </c>
      <c r="B105" s="4" t="s">
        <v>27</v>
      </c>
      <c r="D105" s="20" t="n">
        <f aca="false">uo_26</f>
        <v>6.65</v>
      </c>
      <c r="E105" s="20" t="n">
        <f aca="false">uo_27*mf</f>
        <v>2.4</v>
      </c>
      <c r="F105" s="20" t="n">
        <f aca="false">uo_28*um28_B*mf</f>
        <v>0.4</v>
      </c>
      <c r="G105" s="20" t="n">
        <f aca="false">uo_29*um29_B*mf</f>
        <v>0.2125</v>
      </c>
      <c r="K105" s="8" t="s">
        <v>372</v>
      </c>
    </row>
    <row r="106" customFormat="false" ht="17.15" hidden="false" customHeight="false" outlineLevel="0" collapsed="false">
      <c r="A106" s="0" t="s">
        <v>373</v>
      </c>
      <c r="B106" s="4" t="s">
        <v>27</v>
      </c>
      <c r="D106" s="20" t="n">
        <f aca="false">un_26</f>
        <v>1.7</v>
      </c>
      <c r="E106" s="20" t="n">
        <f aca="false">un_27*mf</f>
        <v>8.8</v>
      </c>
      <c r="F106" s="20" t="n">
        <f aca="false">un_28*um28_B*mf</f>
        <v>8.8</v>
      </c>
      <c r="G106" s="20" t="n">
        <f aca="false">un_29*um29_B*mf</f>
        <v>10.7525</v>
      </c>
      <c r="K106" s="8" t="s">
        <v>374</v>
      </c>
    </row>
    <row r="107" customFormat="false" ht="17.15" hidden="false" customHeight="false" outlineLevel="0" collapsed="false">
      <c r="A107" s="4" t="s">
        <v>375</v>
      </c>
      <c r="B107" s="4" t="s">
        <v>58</v>
      </c>
      <c r="D107" s="24" t="n">
        <f aca="false">v_gb</f>
        <v>59.7222222222222</v>
      </c>
      <c r="E107" s="24" t="n">
        <f aca="false">v_gb</f>
        <v>59.7222222222222</v>
      </c>
      <c r="F107" s="24" t="n">
        <f aca="false">v_gb</f>
        <v>59.7222222222222</v>
      </c>
      <c r="G107" s="24" t="n">
        <f aca="false">v_gb</f>
        <v>59.7222222222222</v>
      </c>
    </row>
    <row r="108" customFormat="false" ht="17.15" hidden="false" customHeight="false" outlineLevel="0" collapsed="false">
      <c r="A108" s="4" t="s">
        <v>376</v>
      </c>
      <c r="B108" s="4" t="s">
        <v>58</v>
      </c>
      <c r="D108" s="24" t="n">
        <f aca="false">v_vr</f>
        <v>116.666666666667</v>
      </c>
      <c r="E108" s="24" t="n">
        <f aca="false">v_vr</f>
        <v>116.666666666667</v>
      </c>
      <c r="F108" s="24" t="n">
        <f aca="false">v_vr*vpg_28</f>
        <v>116.666666666667</v>
      </c>
      <c r="G108" s="24" t="n">
        <f aca="false">v_vr*vpg_29</f>
        <v>116.666666666667</v>
      </c>
      <c r="K108" s="4" t="s">
        <v>377</v>
      </c>
    </row>
    <row r="109" customFormat="false" ht="17.15" hidden="false" customHeight="false" outlineLevel="0" collapsed="false">
      <c r="A109" s="4" t="s">
        <v>378</v>
      </c>
      <c r="B109" s="0" t="s">
        <v>117</v>
      </c>
      <c r="D109" s="25" t="n">
        <f aca="false">(D105*D107+D106*D108)</f>
        <v>595.486111111111</v>
      </c>
      <c r="E109" s="25" t="n">
        <f aca="false">(E105*E107+E106*E108)</f>
        <v>1170</v>
      </c>
      <c r="F109" s="25" t="n">
        <f aca="false">(F105*F107+F106*F108)</f>
        <v>1050.55555555556</v>
      </c>
      <c r="G109" s="25" t="n">
        <f aca="false">(G105*G107+G106*G108)</f>
        <v>1267.14930555556</v>
      </c>
      <c r="K109" s="4" t="s">
        <v>379</v>
      </c>
    </row>
    <row r="110" customFormat="false" ht="17.15" hidden="false" customHeight="false" outlineLevel="0" collapsed="false">
      <c r="A110" s="4" t="s">
        <v>380</v>
      </c>
      <c r="B110" s="0" t="s">
        <v>117</v>
      </c>
      <c r="E110" s="25" t="n">
        <f aca="false">0.5*D109+0.5*E109</f>
        <v>882.743055555556</v>
      </c>
      <c r="F110" s="25" t="n">
        <f aca="false">0.5*E109+0.5*F109</f>
        <v>1110.27777777778</v>
      </c>
      <c r="G110" s="25" t="n">
        <f aca="false">0.5*F109+0.5*G109</f>
        <v>1158.85243055556</v>
      </c>
      <c r="K110" s="4" t="s">
        <v>381</v>
      </c>
    </row>
    <row r="111" customFormat="false" ht="17.15" hidden="false" customHeight="false" outlineLevel="0" collapsed="false">
      <c r="A111" s="0" t="s">
        <v>382</v>
      </c>
      <c r="B111" s="0" t="s">
        <v>117</v>
      </c>
      <c r="E111" s="25" t="n">
        <f aca="false">0.5*D109+0.5*(uo_27*v_gb+un_27*v_vr)</f>
        <v>882.743055555556</v>
      </c>
      <c r="K111" s="4" t="s">
        <v>383</v>
      </c>
    </row>
    <row r="112" customFormat="false" ht="17.15" hidden="false" customHeight="false" outlineLevel="0" collapsed="false">
      <c r="A112" s="4" t="s">
        <v>384</v>
      </c>
      <c r="B112" s="0" t="s">
        <v>99</v>
      </c>
      <c r="D112" s="17" t="n">
        <f aca="false">a26_aih2/(0.5*D109)</f>
        <v>0.0499294936443149</v>
      </c>
      <c r="K112" s="8" t="s">
        <v>385</v>
      </c>
    </row>
    <row r="113" customFormat="false" ht="17.15" hidden="false" customHeight="false" outlineLevel="0" collapsed="false">
      <c r="A113" s="0" t="s">
        <v>386</v>
      </c>
      <c r="B113" s="0" t="s">
        <v>117</v>
      </c>
      <c r="E113" s="25" t="n">
        <f aca="false">g27</f>
        <v>68.5</v>
      </c>
      <c r="K113" s="8" t="s">
        <v>387</v>
      </c>
    </row>
    <row r="114" customFormat="false" ht="17.15" hidden="false" customHeight="false" outlineLevel="0" collapsed="false">
      <c r="A114" s="4" t="s">
        <v>388</v>
      </c>
      <c r="B114" s="0" t="s">
        <v>66</v>
      </c>
      <c r="E114" s="20" t="n">
        <f aca="false">1</f>
        <v>1</v>
      </c>
      <c r="F114" s="20" t="n">
        <f aca="false">rel_28*1</f>
        <v>0.95</v>
      </c>
      <c r="G114" s="20" t="n">
        <f aca="false">rel_29*1</f>
        <v>0.92</v>
      </c>
      <c r="K114" s="8" t="s">
        <v>389</v>
      </c>
    </row>
    <row r="115" customFormat="false" ht="17.15" hidden="false" customHeight="false" outlineLevel="0" collapsed="false">
      <c r="A115" s="4" t="s">
        <v>390</v>
      </c>
      <c r="B115" s="0" t="s">
        <v>99</v>
      </c>
      <c r="E115" s="17" t="n">
        <f aca="false">(E113-E119)/E111</f>
        <v>0.0656767299217244</v>
      </c>
      <c r="F115" s="17" t="n">
        <f aca="false">$E115*F114</f>
        <v>0.0623928934256382</v>
      </c>
      <c r="G115" s="17" t="n">
        <f aca="false">$E115*G114</f>
        <v>0.0604225915279865</v>
      </c>
      <c r="K115" s="8" t="s">
        <v>391</v>
      </c>
    </row>
    <row r="116" customFormat="false" ht="17.15" hidden="false" customHeight="false" outlineLevel="0" collapsed="false">
      <c r="A116" s="0" t="s">
        <v>392</v>
      </c>
      <c r="B116" s="0" t="s">
        <v>66</v>
      </c>
      <c r="E116" s="20" t="n">
        <f aca="false">E115/D112</f>
        <v>1.31538946478386</v>
      </c>
      <c r="K116" s="8" t="s">
        <v>393</v>
      </c>
    </row>
    <row r="117" customFormat="false" ht="17.15" hidden="false" customHeight="false" outlineLevel="0" collapsed="false">
      <c r="A117" s="0" t="s">
        <v>394</v>
      </c>
      <c r="B117" s="0" t="s">
        <v>117</v>
      </c>
      <c r="C117" s="26" t="n">
        <f aca="false">a25_ai</f>
        <v>15.3804</v>
      </c>
      <c r="D117" s="26" t="n">
        <f aca="false">a26_ai</f>
        <v>29.911415</v>
      </c>
      <c r="E117" s="26" t="n">
        <f aca="false">E110*E115</f>
        <v>57.97567725</v>
      </c>
      <c r="F117" s="26" t="n">
        <f aca="false">F110*F115</f>
        <v>69.2734430617433</v>
      </c>
      <c r="G117" s="26" t="n">
        <f aca="false">G110*G115</f>
        <v>70.0208670526726</v>
      </c>
    </row>
    <row r="118" customFormat="false" ht="17.15" hidden="false" customHeight="false" outlineLevel="0" collapsed="false">
      <c r="A118" s="6" t="s">
        <v>395</v>
      </c>
    </row>
    <row r="119" customFormat="false" ht="17.15" hidden="false" customHeight="false" outlineLevel="0" collapsed="false">
      <c r="A119" s="4" t="s">
        <v>310</v>
      </c>
      <c r="B119" s="0" t="s">
        <v>117</v>
      </c>
      <c r="C119" s="26" t="n">
        <f aca="false">a25_nai</f>
        <v>6.5916</v>
      </c>
      <c r="D119" s="26" t="n">
        <f aca="false">a26_nai</f>
        <v>9.151585</v>
      </c>
      <c r="E119" s="26" t="n">
        <f aca="false">D119*(1+g_nai27)</f>
        <v>10.52432275</v>
      </c>
      <c r="F119" s="26" t="n">
        <f aca="false">E119*(1+g_nai28)</f>
        <v>11.36626857</v>
      </c>
      <c r="G119" s="26" t="n">
        <f aca="false">F119*(1+g_nai29)</f>
        <v>12.0482446842</v>
      </c>
    </row>
    <row r="120" customFormat="false" ht="17.15" hidden="false" customHeight="false" outlineLevel="0" collapsed="false">
      <c r="A120" s="4" t="s">
        <v>282</v>
      </c>
      <c r="B120" s="0" t="s">
        <v>117</v>
      </c>
      <c r="C120" s="26" t="n">
        <f aca="false">C117+C119</f>
        <v>21.972</v>
      </c>
      <c r="D120" s="26" t="n">
        <f aca="false">D117+D119</f>
        <v>39.063</v>
      </c>
      <c r="E120" s="26" t="n">
        <f aca="false">E117+E119</f>
        <v>68.5</v>
      </c>
      <c r="F120" s="26" t="n">
        <f aca="false">F117+F119</f>
        <v>80.6397116317433</v>
      </c>
      <c r="G120" s="26" t="n">
        <f aca="false">G117+G119</f>
        <v>82.0691117368726</v>
      </c>
      <c r="H120" s="27" t="n">
        <f aca="false">G120*(1+H121)</f>
        <v>84.1331914314316</v>
      </c>
      <c r="I120" s="27" t="n">
        <f aca="false">H120*(1+I121)</f>
        <v>86.873851431804</v>
      </c>
      <c r="J120" s="27" t="n">
        <f aca="false">I120*(1+J121)</f>
        <v>90.3488054890762</v>
      </c>
      <c r="K120" s="8" t="s">
        <v>396</v>
      </c>
    </row>
    <row r="121" customFormat="false" ht="15" hidden="false" customHeight="false" outlineLevel="0" collapsed="false">
      <c r="A121" s="4" t="s">
        <v>397</v>
      </c>
      <c r="B121" s="0" t="s">
        <v>99</v>
      </c>
      <c r="D121" s="18" t="n">
        <f aca="false">D120/C120-1</f>
        <v>0.777853631895139</v>
      </c>
      <c r="E121" s="18" t="n">
        <f aca="false">E120/D120-1</f>
        <v>0.753577554207306</v>
      </c>
      <c r="F121" s="18" t="n">
        <f aca="false">F120/E120-1</f>
        <v>0.17722206761669</v>
      </c>
      <c r="G121" s="18" t="n">
        <f aca="false">G120/F120-1</f>
        <v>0.0177257591353621</v>
      </c>
      <c r="H121" s="28" t="n">
        <f aca="false">$G121+(fade_gB-$G121)*1/3</f>
        <v>0.0251505060902414</v>
      </c>
      <c r="I121" s="28" t="n">
        <f aca="false">$G121+(fade_gB-$G121)*2/3</f>
        <v>0.0325752530451207</v>
      </c>
      <c r="J121" s="28" t="n">
        <f aca="false">$G121+(fade_gB-$G121)*3/3</f>
        <v>0.04</v>
      </c>
    </row>
    <row r="122" customFormat="false" ht="17.15" hidden="false" customHeight="false" outlineLevel="0" collapsed="false">
      <c r="A122" s="0" t="s">
        <v>398</v>
      </c>
      <c r="B122" s="0" t="s">
        <v>99</v>
      </c>
      <c r="C122" s="18" t="n">
        <f aca="false">C117/C120</f>
        <v>0.7</v>
      </c>
      <c r="D122" s="18" t="n">
        <f aca="false">D117/D120</f>
        <v>0.765722422752989</v>
      </c>
      <c r="E122" s="18" t="n">
        <f aca="false">E117/E120</f>
        <v>0.846360251824817</v>
      </c>
      <c r="F122" s="18" t="n">
        <f aca="false">F117/F120</f>
        <v>0.85904874484291</v>
      </c>
      <c r="G122" s="18" t="n">
        <f aca="false">G117/G120</f>
        <v>0.853193918768992</v>
      </c>
    </row>
    <row r="123" customFormat="false" ht="17.15" hidden="false" customHeight="false" outlineLevel="0" collapsed="false">
      <c r="A123" s="4" t="s">
        <v>399</v>
      </c>
      <c r="B123" s="4" t="s">
        <v>27</v>
      </c>
      <c r="E123" s="20" t="n">
        <f aca="false">E117/((0.5*(D105*D107+D106*D108)+0.5*(E105*E107+E106*E108))/(0.5*(D105+D106)+0.5*(E105+E106)))</f>
        <v>0.641990034984856</v>
      </c>
      <c r="F123" s="20" t="n">
        <f aca="false">F117/((0.5*(E105*E107+E106*E108)+0.5*(F105*F107+F106*F108))/(0.5*(E105+E106)+0.5*(F105+F106)))</f>
        <v>0.63640751294151</v>
      </c>
      <c r="G123" s="20" t="n">
        <f aca="false">G117/((0.5*(F105*F107+F106*F108)+0.5*(G105*G107+G106*G108))/(0.5*(F105+F106)+0.5*(G105+G106)))</f>
        <v>0.609210779080924</v>
      </c>
      <c r="K123" s="4" t="s">
        <v>400</v>
      </c>
    </row>
    <row r="124" customFormat="false" ht="17.15" hidden="false" customHeight="false" outlineLevel="0" collapsed="false">
      <c r="A124" s="6" t="s">
        <v>401</v>
      </c>
    </row>
    <row r="125" customFormat="false" ht="17.15" hidden="false" customHeight="false" outlineLevel="0" collapsed="false">
      <c r="A125" s="0" t="s">
        <v>402</v>
      </c>
      <c r="B125" s="0" t="s">
        <v>99</v>
      </c>
      <c r="D125" s="17" t="n">
        <f aca="false">(a26_gp-gm_nai*a26_nai)/a26_ai</f>
        <v>0.0954338753281983</v>
      </c>
      <c r="K125" s="8" t="s">
        <v>403</v>
      </c>
    </row>
    <row r="126" customFormat="false" ht="17.15" hidden="false" customHeight="false" outlineLevel="0" collapsed="false">
      <c r="A126" s="0" t="s">
        <v>404</v>
      </c>
      <c r="B126" s="0" t="s">
        <v>99</v>
      </c>
      <c r="D126" s="17" t="n">
        <f aca="false">D125</f>
        <v>0.0954338753281983</v>
      </c>
      <c r="E126" s="17" t="n">
        <f aca="false">$D125+dgm_27</f>
        <v>0.100433875328198</v>
      </c>
      <c r="F126" s="17" t="n">
        <f aca="false">$D125+dgm_28</f>
        <v>0.0984338753281983</v>
      </c>
      <c r="G126" s="17" t="n">
        <f aca="false">$D125+dgm_28</f>
        <v>0.0984338753281983</v>
      </c>
      <c r="K126" s="8" t="s">
        <v>405</v>
      </c>
    </row>
    <row r="127" customFormat="false" ht="15" hidden="false" customHeight="false" outlineLevel="0" collapsed="false">
      <c r="A127" s="4" t="s">
        <v>406</v>
      </c>
      <c r="B127" s="0" t="s">
        <v>117</v>
      </c>
      <c r="C127" s="26" t="n">
        <f aca="false">a25_gp</f>
        <v>2.4299</v>
      </c>
      <c r="D127" s="26" t="n">
        <f aca="false">a26_gp</f>
        <v>4.2273</v>
      </c>
      <c r="E127" s="26" t="n">
        <f aca="false">E126*E117+gm_nai*E119</f>
        <v>7.40137035349436</v>
      </c>
      <c r="F127" s="26" t="n">
        <f aca="false">F126*F117+gm_nai*F119</f>
        <v>8.52379374339468</v>
      </c>
      <c r="G127" s="26" t="n">
        <f aca="false">G126*G117+gm_nai*G119</f>
        <v>8.69966200046513</v>
      </c>
    </row>
    <row r="128" customFormat="false" ht="15" hidden="false" customHeight="false" outlineLevel="0" collapsed="false">
      <c r="A128" s="4" t="s">
        <v>288</v>
      </c>
      <c r="B128" s="0" t="s">
        <v>99</v>
      </c>
      <c r="C128" s="17" t="n">
        <f aca="false">C127/C120</f>
        <v>0.110590751866011</v>
      </c>
      <c r="D128" s="17" t="n">
        <f aca="false">D127/D120</f>
        <v>0.108217494816066</v>
      </c>
      <c r="E128" s="17" t="n">
        <f aca="false">E127/E120</f>
        <v>0.108049202240794</v>
      </c>
      <c r="F128" s="17" t="n">
        <f aca="false">F127/F120</f>
        <v>0.105702185324276</v>
      </c>
      <c r="G128" s="17" t="n">
        <f aca="false">G127/G120</f>
        <v>0.106004096015535</v>
      </c>
    </row>
    <row r="129" customFormat="false" ht="15" hidden="false" customHeight="false" outlineLevel="0" collapsed="false">
      <c r="A129" s="4" t="s">
        <v>407</v>
      </c>
      <c r="B129" s="0" t="s">
        <v>117</v>
      </c>
      <c r="C129" s="26" t="n">
        <f aca="false">a25_opx</f>
        <v>1.1769</v>
      </c>
      <c r="D129" s="26" t="n">
        <f aca="false">a26_opx</f>
        <v>1.4568</v>
      </c>
      <c r="E129" s="26" t="n">
        <f aca="false">D129*(1+MAX(0,phi*E121))</f>
        <v>1.89592471238768</v>
      </c>
      <c r="F129" s="26" t="n">
        <f aca="false">E129*(1+MAX(0,phi*F121))</f>
        <v>2.03032459141765</v>
      </c>
      <c r="G129" s="26" t="n">
        <f aca="false">F129*(1+MAX(0,phi*G121))</f>
        <v>2.04472020928728</v>
      </c>
    </row>
    <row r="130" customFormat="false" ht="15" hidden="false" customHeight="false" outlineLevel="0" collapsed="false">
      <c r="A130" s="4" t="s">
        <v>408</v>
      </c>
      <c r="B130" s="0" t="s">
        <v>117</v>
      </c>
      <c r="C130" s="26" t="n">
        <f aca="false">C129</f>
        <v>1.1769</v>
      </c>
      <c r="D130" s="26" t="n">
        <f aca="false">D129</f>
        <v>1.4568</v>
      </c>
      <c r="E130" s="26" t="n">
        <f aca="false">E129+0*E120</f>
        <v>1.89592471238768</v>
      </c>
      <c r="F130" s="26" t="n">
        <f aca="false">F129+0*F120</f>
        <v>2.03032459141765</v>
      </c>
      <c r="G130" s="26" t="n">
        <f aca="false">G129+0*G120</f>
        <v>2.04472020928728</v>
      </c>
    </row>
    <row r="131" customFormat="false" ht="15" hidden="false" customHeight="false" outlineLevel="0" collapsed="false">
      <c r="A131" s="4" t="s">
        <v>291</v>
      </c>
      <c r="B131" s="0" t="s">
        <v>117</v>
      </c>
      <c r="C131" s="26" t="n">
        <f aca="false">C127-C130</f>
        <v>1.253</v>
      </c>
      <c r="D131" s="26" t="n">
        <f aca="false">D127-D130</f>
        <v>2.7705</v>
      </c>
      <c r="E131" s="26" t="n">
        <f aca="false">E127-E130</f>
        <v>5.50544564110668</v>
      </c>
      <c r="F131" s="26" t="n">
        <f aca="false">F127-F130</f>
        <v>6.49346915197703</v>
      </c>
      <c r="G131" s="26" t="n">
        <f aca="false">G127-G130</f>
        <v>6.65494179117785</v>
      </c>
    </row>
    <row r="132" customFormat="false" ht="15" hidden="false" customHeight="false" outlineLevel="0" collapsed="false">
      <c r="A132" s="4" t="s">
        <v>293</v>
      </c>
      <c r="B132" s="0" t="s">
        <v>99</v>
      </c>
      <c r="C132" s="17" t="n">
        <f aca="false">C131/C120</f>
        <v>0.0570271254323685</v>
      </c>
      <c r="D132" s="17" t="n">
        <f aca="false">D131/D120</f>
        <v>0.0709238921741801</v>
      </c>
      <c r="E132" s="17" t="n">
        <f aca="false">E131/E120</f>
        <v>0.0803714692132362</v>
      </c>
      <c r="F132" s="17" t="n">
        <f aca="false">F131/F120</f>
        <v>0.0805244589865438</v>
      </c>
      <c r="G132" s="17" t="n">
        <f aca="false">G131/G120</f>
        <v>0.0810894823927753</v>
      </c>
    </row>
    <row r="133" customFormat="false" ht="17.15" hidden="false" customHeight="false" outlineLevel="0" collapsed="false">
      <c r="A133" s="4" t="s">
        <v>167</v>
      </c>
      <c r="B133" s="0" t="s">
        <v>99</v>
      </c>
      <c r="C133" s="18" t="n">
        <f aca="false">a25_ni/a25_oi</f>
        <v>0.837110933758979</v>
      </c>
      <c r="D133" s="18" t="n">
        <f aca="false">a26_ni/a26_oi</f>
        <v>0.805089334055225</v>
      </c>
      <c r="E133" s="18" t="n">
        <f aca="false">nio_f</f>
        <v>0.75</v>
      </c>
      <c r="F133" s="18" t="n">
        <f aca="false">nio_f</f>
        <v>0.75</v>
      </c>
      <c r="G133" s="18" t="n">
        <f aca="false">nio_f</f>
        <v>0.75</v>
      </c>
    </row>
    <row r="134" customFormat="false" ht="15" hidden="false" customHeight="false" outlineLevel="0" collapsed="false">
      <c r="A134" s="4" t="s">
        <v>409</v>
      </c>
      <c r="B134" s="0" t="s">
        <v>117</v>
      </c>
      <c r="C134" s="26" t="n">
        <f aca="false">a25_ni</f>
        <v>1.0489</v>
      </c>
      <c r="D134" s="26" t="n">
        <f aca="false">a26_ni</f>
        <v>2.2305</v>
      </c>
      <c r="E134" s="26" t="n">
        <f aca="false">E131*E133</f>
        <v>4.12908423083001</v>
      </c>
      <c r="F134" s="26" t="n">
        <f aca="false">F131*F133</f>
        <v>4.87010186398277</v>
      </c>
      <c r="G134" s="26" t="n">
        <f aca="false">G131*G133</f>
        <v>4.99120634338339</v>
      </c>
    </row>
    <row r="135" customFormat="false" ht="17.15" hidden="false" customHeight="false" outlineLevel="0" collapsed="false">
      <c r="A135" s="4" t="s">
        <v>410</v>
      </c>
      <c r="B135" s="0" t="s">
        <v>117</v>
      </c>
      <c r="C135" s="16" t="n">
        <f aca="false">0</f>
        <v>0</v>
      </c>
      <c r="D135" s="16" t="n">
        <f aca="false">0</f>
        <v>0</v>
      </c>
      <c r="E135" s="16" t="n">
        <f aca="false">pref_div</f>
        <v>0.301875</v>
      </c>
      <c r="F135" s="16" t="n">
        <f aca="false">pref_div</f>
        <v>0.301875</v>
      </c>
      <c r="G135" s="16" t="n">
        <f aca="false">pref_div</f>
        <v>0.301875</v>
      </c>
      <c r="K135" s="8" t="s">
        <v>411</v>
      </c>
    </row>
    <row r="136" customFormat="false" ht="17.15" hidden="false" customHeight="false" outlineLevel="0" collapsed="false">
      <c r="A136" s="4" t="s">
        <v>359</v>
      </c>
      <c r="B136" s="0" t="s">
        <v>117</v>
      </c>
      <c r="C136" s="26" t="n">
        <f aca="false">C134-C135</f>
        <v>1.0489</v>
      </c>
      <c r="D136" s="26" t="n">
        <f aca="false">D134-D135</f>
        <v>2.2305</v>
      </c>
      <c r="E136" s="26" t="n">
        <f aca="false">E134-E135</f>
        <v>3.82720923083001</v>
      </c>
      <c r="F136" s="26" t="n">
        <f aca="false">F134-F135</f>
        <v>4.56822686398277</v>
      </c>
      <c r="G136" s="26" t="n">
        <f aca="false">G134-G135</f>
        <v>4.68933134338339</v>
      </c>
      <c r="H136" s="27" t="n">
        <f aca="false">H120*H141</f>
        <v>4.85230971648761</v>
      </c>
      <c r="I136" s="27" t="n">
        <f aca="false">I120*I141</f>
        <v>4.7373331321571</v>
      </c>
      <c r="J136" s="27" t="n">
        <f aca="false">J120*J141</f>
        <v>4.64286298419705</v>
      </c>
      <c r="K136" s="4" t="s">
        <v>412</v>
      </c>
    </row>
    <row r="137" customFormat="false" ht="17.15" hidden="false" customHeight="false" outlineLevel="0" collapsed="false">
      <c r="A137" s="4" t="s">
        <v>413</v>
      </c>
      <c r="B137" s="0" t="s">
        <v>99</v>
      </c>
      <c r="C137" s="17" t="n">
        <f aca="false">C134/C120</f>
        <v>0.0477380302202804</v>
      </c>
      <c r="D137" s="17" t="n">
        <f aca="false">D134/D120</f>
        <v>0.0571000691191153</v>
      </c>
      <c r="E137" s="17" t="n">
        <f aca="false">E134/E120</f>
        <v>0.0602786019099271</v>
      </c>
      <c r="F137" s="17" t="n">
        <f aca="false">F134/F120</f>
        <v>0.0603933442399078</v>
      </c>
      <c r="G137" s="17" t="n">
        <f aca="false">G134/G120</f>
        <v>0.0608171117945815</v>
      </c>
      <c r="K137" s="4" t="s">
        <v>414</v>
      </c>
    </row>
    <row r="138" customFormat="false" ht="17.15" hidden="false" customHeight="false" outlineLevel="0" collapsed="false">
      <c r="A138" s="4" t="s">
        <v>415</v>
      </c>
      <c r="B138" s="4" t="s">
        <v>176</v>
      </c>
      <c r="C138" s="19" t="n">
        <f aca="false">a25_sh</f>
        <v>0.624345238095238</v>
      </c>
      <c r="D138" s="19" t="n">
        <f aca="false">a26_sh</f>
        <v>0.68420245398773</v>
      </c>
      <c r="E138" s="19" t="n">
        <f aca="false">sh27</f>
        <v>0.745</v>
      </c>
      <c r="F138" s="19" t="n">
        <f aca="false">E138*(1+sh_g)</f>
        <v>0.75245</v>
      </c>
      <c r="G138" s="19" t="n">
        <f aca="false">F138*(1+sh_g)</f>
        <v>0.7599745</v>
      </c>
      <c r="H138" s="31" t="n">
        <f aca="false">G138*(1+sh_g)+conv_sh</f>
        <v>0.91132712</v>
      </c>
      <c r="I138" s="31" t="n">
        <f aca="false">H138*(1+sh_g)</f>
        <v>0.9204403912</v>
      </c>
      <c r="J138" s="31" t="n">
        <f aca="false">I138*(1+sh_g)</f>
        <v>0.929644795112</v>
      </c>
    </row>
    <row r="139" customFormat="false" ht="17.15" hidden="false" customHeight="false" outlineLevel="0" collapsed="false">
      <c r="A139" s="0" t="s">
        <v>299</v>
      </c>
      <c r="B139" s="0" t="s">
        <v>189</v>
      </c>
      <c r="C139" s="26" t="n">
        <f aca="false">C136/C138</f>
        <v>1.68</v>
      </c>
      <c r="D139" s="26" t="n">
        <f aca="false">D136/D138</f>
        <v>3.26</v>
      </c>
      <c r="E139" s="26" t="n">
        <f aca="false">E136/E138</f>
        <v>5.13719359842954</v>
      </c>
      <c r="F139" s="26" t="n">
        <f aca="false">F136/F138</f>
        <v>6.07113677185564</v>
      </c>
      <c r="G139" s="26" t="n">
        <f aca="false">G136/G138</f>
        <v>6.1703798527232</v>
      </c>
      <c r="H139" s="30" t="n">
        <f aca="false">H136/H138</f>
        <v>5.32444345175157</v>
      </c>
      <c r="I139" s="30" t="n">
        <f aca="false">I136/I138</f>
        <v>5.14681143662212</v>
      </c>
      <c r="J139" s="30" t="n">
        <f aca="false">J136/J138</f>
        <v>4.99423329061687</v>
      </c>
    </row>
    <row r="140" customFormat="false" ht="17.15" hidden="false" customHeight="false" outlineLevel="0" collapsed="false">
      <c r="A140" s="0" t="s">
        <v>416</v>
      </c>
      <c r="B140" s="0" t="s">
        <v>99</v>
      </c>
      <c r="D140" s="18" t="n">
        <f aca="false">D139/C139-1</f>
        <v>0.940476190476191</v>
      </c>
      <c r="E140" s="18" t="n">
        <f aca="false">E139/D139-1</f>
        <v>0.575826257186976</v>
      </c>
      <c r="F140" s="18" t="n">
        <f aca="false">F139/E139-1</f>
        <v>0.181800268090267</v>
      </c>
      <c r="G140" s="18" t="n">
        <f aca="false">G139/F139-1</f>
        <v>0.0163467048424324</v>
      </c>
      <c r="H140" s="28" t="n">
        <f aca="false">H139/G139-1</f>
        <v>-0.137096324888052</v>
      </c>
      <c r="I140" s="28" t="n">
        <f aca="false">I139/H139-1</f>
        <v>-0.0333616117325859</v>
      </c>
      <c r="J140" s="28" t="n">
        <f aca="false">J139/I139-1</f>
        <v>-0.0296451789392517</v>
      </c>
    </row>
    <row r="141" customFormat="false" ht="17.15" hidden="false" customHeight="false" outlineLevel="0" collapsed="false">
      <c r="A141" s="4" t="s">
        <v>417</v>
      </c>
      <c r="B141" s="0" t="s">
        <v>99</v>
      </c>
      <c r="C141" s="17" t="n">
        <f aca="false">C136/C120</f>
        <v>0.0477380302202804</v>
      </c>
      <c r="D141" s="17" t="n">
        <f aca="false">D136/D120</f>
        <v>0.0571000691191153</v>
      </c>
      <c r="E141" s="17" t="n">
        <f aca="false">E136/E120</f>
        <v>0.0558716676033578</v>
      </c>
      <c r="F141" s="17" t="n">
        <f aca="false">F136/F120</f>
        <v>0.0566498412698257</v>
      </c>
      <c r="G141" s="17" t="n">
        <f aca="false">G136/G120</f>
        <v>0.0571388095245647</v>
      </c>
      <c r="H141" s="29" t="n">
        <f aca="false">$G137+(fade_mB-$G137)*1/3</f>
        <v>0.057674143033576</v>
      </c>
      <c r="I141" s="29" t="n">
        <f aca="false">$G137+(fade_mB-$G137)*2/3</f>
        <v>0.0545311742725704</v>
      </c>
      <c r="J141" s="29" t="n">
        <f aca="false">$G137+(fade_mB-$G137)*3/3</f>
        <v>0.0513882055115649</v>
      </c>
    </row>
    <row r="144" customFormat="false" ht="17.15" hidden="false" customHeight="false" outlineLevel="0" collapsed="false">
      <c r="A144" s="1" t="s">
        <v>419</v>
      </c>
    </row>
    <row r="145" customFormat="false" ht="17.15" hidden="false" customHeight="false" outlineLevel="0" collapsed="false">
      <c r="A145" s="5" t="s">
        <v>16</v>
      </c>
      <c r="B145" s="5" t="s">
        <v>17</v>
      </c>
      <c r="C145" s="14" t="s">
        <v>276</v>
      </c>
      <c r="D145" s="14" t="s">
        <v>280</v>
      </c>
      <c r="E145" s="14" t="s">
        <v>348</v>
      </c>
      <c r="F145" s="14" t="s">
        <v>349</v>
      </c>
      <c r="G145" s="14" t="s">
        <v>350</v>
      </c>
      <c r="H145" s="14" t="s">
        <v>351</v>
      </c>
      <c r="I145" s="14" t="s">
        <v>352</v>
      </c>
      <c r="J145" s="14" t="s">
        <v>353</v>
      </c>
      <c r="K145" s="5" t="s">
        <v>324</v>
      </c>
    </row>
    <row r="146" customFormat="false" ht="17.15" hidden="false" customHeight="false" outlineLevel="0" collapsed="false">
      <c r="A146" s="6" t="s">
        <v>370</v>
      </c>
    </row>
    <row r="147" customFormat="false" ht="17.15" hidden="false" customHeight="false" outlineLevel="0" collapsed="false">
      <c r="A147" s="0" t="s">
        <v>371</v>
      </c>
      <c r="B147" s="4" t="s">
        <v>27</v>
      </c>
      <c r="D147" s="20" t="n">
        <f aca="false">uo_26</f>
        <v>6.65</v>
      </c>
      <c r="E147" s="20" t="n">
        <f aca="false">uo_27*mf</f>
        <v>2.4</v>
      </c>
      <c r="F147" s="20" t="n">
        <f aca="false">uo_28*um28_C*mf</f>
        <v>0.3</v>
      </c>
      <c r="G147" s="20" t="n">
        <f aca="false">uo_29*um29_C*mf</f>
        <v>0.15</v>
      </c>
      <c r="K147" s="8" t="s">
        <v>372</v>
      </c>
    </row>
    <row r="148" customFormat="false" ht="17.15" hidden="false" customHeight="false" outlineLevel="0" collapsed="false">
      <c r="A148" s="0" t="s">
        <v>373</v>
      </c>
      <c r="B148" s="4" t="s">
        <v>27</v>
      </c>
      <c r="D148" s="20" t="n">
        <f aca="false">un_26</f>
        <v>1.7</v>
      </c>
      <c r="E148" s="20" t="n">
        <f aca="false">un_27*mf</f>
        <v>8.8</v>
      </c>
      <c r="F148" s="20" t="n">
        <f aca="false">un_28*um28_C*mf</f>
        <v>6.6</v>
      </c>
      <c r="G148" s="20" t="n">
        <f aca="false">un_29*um29_C*mf</f>
        <v>7.59</v>
      </c>
      <c r="K148" s="8" t="s">
        <v>374</v>
      </c>
    </row>
    <row r="149" customFormat="false" ht="17.15" hidden="false" customHeight="false" outlineLevel="0" collapsed="false">
      <c r="A149" s="4" t="s">
        <v>375</v>
      </c>
      <c r="B149" s="4" t="s">
        <v>58</v>
      </c>
      <c r="D149" s="24" t="n">
        <f aca="false">v_gb</f>
        <v>59.7222222222222</v>
      </c>
      <c r="E149" s="24" t="n">
        <f aca="false">v_gb</f>
        <v>59.7222222222222</v>
      </c>
      <c r="F149" s="24" t="n">
        <f aca="false">v_gb</f>
        <v>59.7222222222222</v>
      </c>
      <c r="G149" s="24" t="n">
        <f aca="false">v_gb</f>
        <v>59.7222222222222</v>
      </c>
    </row>
    <row r="150" customFormat="false" ht="17.15" hidden="false" customHeight="false" outlineLevel="0" collapsed="false">
      <c r="A150" s="4" t="s">
        <v>376</v>
      </c>
      <c r="B150" s="4" t="s">
        <v>58</v>
      </c>
      <c r="D150" s="24" t="n">
        <f aca="false">v_vr</f>
        <v>116.666666666667</v>
      </c>
      <c r="E150" s="24" t="n">
        <f aca="false">v_vr</f>
        <v>116.666666666667</v>
      </c>
      <c r="F150" s="24" t="n">
        <f aca="false">v_vr*vpg_28</f>
        <v>116.666666666667</v>
      </c>
      <c r="G150" s="24" t="n">
        <f aca="false">v_vr*vpg_29</f>
        <v>116.666666666667</v>
      </c>
      <c r="K150" s="4" t="s">
        <v>377</v>
      </c>
    </row>
    <row r="151" customFormat="false" ht="17.15" hidden="false" customHeight="false" outlineLevel="0" collapsed="false">
      <c r="A151" s="4" t="s">
        <v>378</v>
      </c>
      <c r="B151" s="0" t="s">
        <v>117</v>
      </c>
      <c r="D151" s="25" t="n">
        <f aca="false">(D147*D149+D148*D150)</f>
        <v>595.486111111111</v>
      </c>
      <c r="E151" s="25" t="n">
        <f aca="false">(E147*E149+E148*E150)</f>
        <v>1170</v>
      </c>
      <c r="F151" s="25" t="n">
        <f aca="false">(F147*F149+F148*F150)</f>
        <v>787.916666666667</v>
      </c>
      <c r="G151" s="25" t="n">
        <f aca="false">(G147*G149+G148*G150)</f>
        <v>894.458333333333</v>
      </c>
      <c r="K151" s="4" t="s">
        <v>379</v>
      </c>
    </row>
    <row r="152" customFormat="false" ht="17.15" hidden="false" customHeight="false" outlineLevel="0" collapsed="false">
      <c r="A152" s="4" t="s">
        <v>380</v>
      </c>
      <c r="B152" s="0" t="s">
        <v>117</v>
      </c>
      <c r="E152" s="25" t="n">
        <f aca="false">0.5*D151+0.5*E151</f>
        <v>882.743055555556</v>
      </c>
      <c r="F152" s="25" t="n">
        <f aca="false">0.5*E151+0.5*F151</f>
        <v>978.958333333333</v>
      </c>
      <c r="G152" s="25" t="n">
        <f aca="false">0.5*F151+0.5*G151</f>
        <v>841.1875</v>
      </c>
      <c r="K152" s="4" t="s">
        <v>381</v>
      </c>
    </row>
    <row r="153" customFormat="false" ht="17.15" hidden="false" customHeight="false" outlineLevel="0" collapsed="false">
      <c r="A153" s="0" t="s">
        <v>382</v>
      </c>
      <c r="B153" s="0" t="s">
        <v>117</v>
      </c>
      <c r="E153" s="25" t="n">
        <f aca="false">0.5*D151+0.5*(uo_27*v_gb+un_27*v_vr)</f>
        <v>882.743055555556</v>
      </c>
      <c r="K153" s="4" t="s">
        <v>383</v>
      </c>
    </row>
    <row r="154" customFormat="false" ht="17.15" hidden="false" customHeight="false" outlineLevel="0" collapsed="false">
      <c r="A154" s="4" t="s">
        <v>384</v>
      </c>
      <c r="B154" s="0" t="s">
        <v>99</v>
      </c>
      <c r="D154" s="17" t="n">
        <f aca="false">a26_aih2/(0.5*D151)</f>
        <v>0.0499294936443149</v>
      </c>
      <c r="K154" s="8" t="s">
        <v>385</v>
      </c>
    </row>
    <row r="155" customFormat="false" ht="17.15" hidden="false" customHeight="false" outlineLevel="0" collapsed="false">
      <c r="A155" s="0" t="s">
        <v>386</v>
      </c>
      <c r="B155" s="0" t="s">
        <v>117</v>
      </c>
      <c r="E155" s="25" t="n">
        <f aca="false">g27_lo</f>
        <v>65</v>
      </c>
      <c r="K155" s="8" t="s">
        <v>387</v>
      </c>
    </row>
    <row r="156" customFormat="false" ht="17.15" hidden="false" customHeight="false" outlineLevel="0" collapsed="false">
      <c r="A156" s="4" t="s">
        <v>388</v>
      </c>
      <c r="B156" s="0" t="s">
        <v>66</v>
      </c>
      <c r="E156" s="20" t="n">
        <f aca="false">1</f>
        <v>1</v>
      </c>
      <c r="F156" s="20" t="n">
        <f aca="false">rel_28_lo*1</f>
        <v>0.85</v>
      </c>
      <c r="G156" s="20" t="n">
        <f aca="false">rel_29_lo*1</f>
        <v>0.8</v>
      </c>
      <c r="K156" s="8" t="s">
        <v>389</v>
      </c>
    </row>
    <row r="157" customFormat="false" ht="17.15" hidden="false" customHeight="false" outlineLevel="0" collapsed="false">
      <c r="A157" s="4" t="s">
        <v>390</v>
      </c>
      <c r="B157" s="0" t="s">
        <v>99</v>
      </c>
      <c r="E157" s="17" t="n">
        <f aca="false">(E155-E161)/E153</f>
        <v>0.0617118162608662</v>
      </c>
      <c r="F157" s="17" t="n">
        <f aca="false">$E157*F156</f>
        <v>0.0524550438217362</v>
      </c>
      <c r="G157" s="17" t="n">
        <f aca="false">$E157*G156</f>
        <v>0.0493694530086929</v>
      </c>
      <c r="K157" s="8" t="s">
        <v>391</v>
      </c>
    </row>
    <row r="158" customFormat="false" ht="17.15" hidden="false" customHeight="false" outlineLevel="0" collapsed="false">
      <c r="A158" s="0" t="s">
        <v>392</v>
      </c>
      <c r="B158" s="0" t="s">
        <v>66</v>
      </c>
      <c r="E158" s="20" t="n">
        <f aca="false">E157/D154</f>
        <v>1.23597921301757</v>
      </c>
      <c r="K158" s="8" t="s">
        <v>393</v>
      </c>
    </row>
    <row r="159" customFormat="false" ht="17.15" hidden="false" customHeight="false" outlineLevel="0" collapsed="false">
      <c r="A159" s="0" t="s">
        <v>394</v>
      </c>
      <c r="B159" s="0" t="s">
        <v>117</v>
      </c>
      <c r="C159" s="26" t="n">
        <f aca="false">a25_ai</f>
        <v>15.3804</v>
      </c>
      <c r="D159" s="26" t="n">
        <f aca="false">a26_ai</f>
        <v>29.911415</v>
      </c>
      <c r="E159" s="26" t="n">
        <f aca="false">E152*E157</f>
        <v>54.47567725</v>
      </c>
      <c r="F159" s="26" t="n">
        <f aca="false">F152*F157</f>
        <v>51.3513022746539</v>
      </c>
      <c r="G159" s="26" t="n">
        <f aca="false">G152*G157</f>
        <v>41.5289667527499</v>
      </c>
    </row>
    <row r="160" customFormat="false" ht="17.15" hidden="false" customHeight="false" outlineLevel="0" collapsed="false">
      <c r="A160" s="6" t="s">
        <v>395</v>
      </c>
    </row>
    <row r="161" customFormat="false" ht="17.15" hidden="false" customHeight="false" outlineLevel="0" collapsed="false">
      <c r="A161" s="4" t="s">
        <v>310</v>
      </c>
      <c r="B161" s="0" t="s">
        <v>117</v>
      </c>
      <c r="C161" s="26" t="n">
        <f aca="false">a25_nai</f>
        <v>6.5916</v>
      </c>
      <c r="D161" s="26" t="n">
        <f aca="false">a26_nai</f>
        <v>9.151585</v>
      </c>
      <c r="E161" s="26" t="n">
        <f aca="false">D161*(1+g_nai27)</f>
        <v>10.52432275</v>
      </c>
      <c r="F161" s="26" t="n">
        <f aca="false">E161*(1+g_nai28)</f>
        <v>11.36626857</v>
      </c>
      <c r="G161" s="26" t="n">
        <f aca="false">F161*(1+g_nai29)</f>
        <v>12.0482446842</v>
      </c>
    </row>
    <row r="162" customFormat="false" ht="17.15" hidden="false" customHeight="false" outlineLevel="0" collapsed="false">
      <c r="A162" s="4" t="s">
        <v>282</v>
      </c>
      <c r="B162" s="0" t="s">
        <v>117</v>
      </c>
      <c r="C162" s="26" t="n">
        <f aca="false">C159+C161</f>
        <v>21.972</v>
      </c>
      <c r="D162" s="26" t="n">
        <f aca="false">D159+D161</f>
        <v>39.063</v>
      </c>
      <c r="E162" s="26" t="n">
        <f aca="false">E159+E161</f>
        <v>65</v>
      </c>
      <c r="F162" s="26" t="n">
        <f aca="false">F159+F161</f>
        <v>62.7175708446539</v>
      </c>
      <c r="G162" s="26" t="n">
        <f aca="false">G159+G161</f>
        <v>53.5772114369499</v>
      </c>
      <c r="H162" s="27" t="n">
        <f aca="false">G162*(1+H163)</f>
        <v>48.728887573701</v>
      </c>
      <c r="I162" s="27" t="n">
        <f aca="false">H162*(1+I163)</f>
        <v>47.0113824510495</v>
      </c>
      <c r="J162" s="27" t="n">
        <f aca="false">I162*(1+J163)</f>
        <v>47.9516101000705</v>
      </c>
      <c r="K162" s="8" t="s">
        <v>396</v>
      </c>
    </row>
    <row r="163" customFormat="false" ht="15" hidden="false" customHeight="false" outlineLevel="0" collapsed="false">
      <c r="A163" s="4" t="s">
        <v>397</v>
      </c>
      <c r="B163" s="0" t="s">
        <v>99</v>
      </c>
      <c r="D163" s="18" t="n">
        <f aca="false">D162/C162-1</f>
        <v>0.777853631895139</v>
      </c>
      <c r="E163" s="18" t="n">
        <f aca="false">E162/D162-1</f>
        <v>0.663978701072626</v>
      </c>
      <c r="F163" s="18" t="n">
        <f aca="false">F162/E162-1</f>
        <v>-0.0351142946976329</v>
      </c>
      <c r="G163" s="18" t="n">
        <f aca="false">G162/F162-1</f>
        <v>-0.145738415640234</v>
      </c>
      <c r="H163" s="28" t="n">
        <f aca="false">$G163+(fade_gC-$G163)*1/3</f>
        <v>-0.0904922770934892</v>
      </c>
      <c r="I163" s="28" t="n">
        <f aca="false">$G163+(fade_gC-$G163)*2/3</f>
        <v>-0.0352461385467446</v>
      </c>
      <c r="J163" s="28" t="n">
        <f aca="false">$G163+(fade_gC-$G163)*3/3</f>
        <v>0.02</v>
      </c>
    </row>
    <row r="164" customFormat="false" ht="17.15" hidden="false" customHeight="false" outlineLevel="0" collapsed="false">
      <c r="A164" s="0" t="s">
        <v>398</v>
      </c>
      <c r="B164" s="0" t="s">
        <v>99</v>
      </c>
      <c r="C164" s="18" t="n">
        <f aca="false">C159/C162</f>
        <v>0.7</v>
      </c>
      <c r="D164" s="18" t="n">
        <f aca="false">D159/D162</f>
        <v>0.765722422752989</v>
      </c>
      <c r="E164" s="18" t="n">
        <f aca="false">E159/E162</f>
        <v>0.838087342307692</v>
      </c>
      <c r="F164" s="18" t="n">
        <f aca="false">F159/F162</f>
        <v>0.818770586664568</v>
      </c>
      <c r="G164" s="18" t="n">
        <f aca="false">G159/G162</f>
        <v>0.775123707242986</v>
      </c>
    </row>
    <row r="165" customFormat="false" ht="17.15" hidden="false" customHeight="false" outlineLevel="0" collapsed="false">
      <c r="A165" s="4" t="s">
        <v>399</v>
      </c>
      <c r="B165" s="4" t="s">
        <v>27</v>
      </c>
      <c r="E165" s="20" t="n">
        <f aca="false">E159/((0.5*(D147*D149+D148*D150)+0.5*(E147*E149+E148*E150))/(0.5*(D147+D148)+0.5*(E147+E148)))</f>
        <v>0.603233003949967</v>
      </c>
      <c r="F165" s="20" t="n">
        <f aca="false">F159/((0.5*(E147*E149+E148*E150)+0.5*(F147*F149+F148*F150))/(0.5*(E147+E148)+0.5*(F147+F148)))</f>
        <v>0.474718146586713</v>
      </c>
      <c r="G165" s="20" t="n">
        <f aca="false">G159/((0.5*(F147*F149+F148*F150)+0.5*(G147*G149+G148*G150))/(0.5*(F147+F148)+0.5*(G147+G148)))</f>
        <v>0.361384396023632</v>
      </c>
      <c r="K165" s="4" t="s">
        <v>400</v>
      </c>
    </row>
    <row r="166" customFormat="false" ht="17.15" hidden="false" customHeight="false" outlineLevel="0" collapsed="false">
      <c r="A166" s="6" t="s">
        <v>401</v>
      </c>
    </row>
    <row r="167" customFormat="false" ht="17.15" hidden="false" customHeight="false" outlineLevel="0" collapsed="false">
      <c r="A167" s="0" t="s">
        <v>402</v>
      </c>
      <c r="B167" s="0" t="s">
        <v>99</v>
      </c>
      <c r="D167" s="17" t="n">
        <f aca="false">(a26_gp-gm_nai*a26_nai)/a26_ai</f>
        <v>0.0954338753281983</v>
      </c>
      <c r="K167" s="8" t="s">
        <v>403</v>
      </c>
    </row>
    <row r="168" customFormat="false" ht="17.15" hidden="false" customHeight="false" outlineLevel="0" collapsed="false">
      <c r="A168" s="0" t="s">
        <v>404</v>
      </c>
      <c r="B168" s="0" t="s">
        <v>99</v>
      </c>
      <c r="D168" s="17" t="n">
        <f aca="false">D167</f>
        <v>0.0954338753281983</v>
      </c>
      <c r="E168" s="17" t="n">
        <f aca="false">$D167+dgm_27_lo</f>
        <v>0.0904338753281983</v>
      </c>
      <c r="F168" s="17" t="n">
        <f aca="false">$D167+dgm_28_lo</f>
        <v>0.0804338753281983</v>
      </c>
      <c r="G168" s="17" t="n">
        <f aca="false">$D167+dgm_28_lo</f>
        <v>0.0804338753281983</v>
      </c>
      <c r="K168" s="8" t="s">
        <v>405</v>
      </c>
    </row>
    <row r="169" customFormat="false" ht="15" hidden="false" customHeight="false" outlineLevel="0" collapsed="false">
      <c r="A169" s="4" t="s">
        <v>406</v>
      </c>
      <c r="B169" s="0" t="s">
        <v>117</v>
      </c>
      <c r="C169" s="26" t="n">
        <f aca="false">a25_gp</f>
        <v>2.4299</v>
      </c>
      <c r="D169" s="26" t="n">
        <f aca="false">a26_gp</f>
        <v>4.2273</v>
      </c>
      <c r="E169" s="26" t="n">
        <f aca="false">E168*E159+gm_nai*E161</f>
        <v>6.50509501734567</v>
      </c>
      <c r="F169" s="26" t="n">
        <f aca="false">F168*F159+gm_nai*F161</f>
        <v>5.83532453060013</v>
      </c>
      <c r="G169" s="26" t="n">
        <f aca="false">G168*G159+gm_nai*G161</f>
        <v>5.14757243692958</v>
      </c>
    </row>
    <row r="170" customFormat="false" ht="15" hidden="false" customHeight="false" outlineLevel="0" collapsed="false">
      <c r="A170" s="4" t="s">
        <v>288</v>
      </c>
      <c r="B170" s="0" t="s">
        <v>99</v>
      </c>
      <c r="C170" s="17" t="n">
        <f aca="false">C169/C162</f>
        <v>0.110590751866011</v>
      </c>
      <c r="D170" s="17" t="n">
        <f aca="false">D169/D162</f>
        <v>0.108217494816066</v>
      </c>
      <c r="E170" s="17" t="n">
        <f aca="false">E169/E162</f>
        <v>0.100078384882241</v>
      </c>
      <c r="F170" s="17" t="n">
        <f aca="false">F169/F162</f>
        <v>0.0930413032904884</v>
      </c>
      <c r="G170" s="17" t="n">
        <f aca="false">G169/G162</f>
        <v>0.0960776475458653</v>
      </c>
    </row>
    <row r="171" customFormat="false" ht="15" hidden="false" customHeight="false" outlineLevel="0" collapsed="false">
      <c r="A171" s="4" t="s">
        <v>407</v>
      </c>
      <c r="B171" s="0" t="s">
        <v>117</v>
      </c>
      <c r="C171" s="26" t="n">
        <f aca="false">a25_opx</f>
        <v>1.1769</v>
      </c>
      <c r="D171" s="26" t="n">
        <f aca="false">a26_opx</f>
        <v>1.4568</v>
      </c>
      <c r="E171" s="26" t="n">
        <f aca="false">D171*(1+MAX(0,phi*E163))</f>
        <v>1.84371366868904</v>
      </c>
      <c r="F171" s="26" t="n">
        <f aca="false">E171*(1+MAX(0,phi*F163))</f>
        <v>1.84371366868904</v>
      </c>
      <c r="G171" s="26" t="n">
        <f aca="false">F171*(1+MAX(0,phi*G163))</f>
        <v>1.84371366868904</v>
      </c>
    </row>
    <row r="172" customFormat="false" ht="15" hidden="false" customHeight="false" outlineLevel="0" collapsed="false">
      <c r="A172" s="4" t="s">
        <v>408</v>
      </c>
      <c r="B172" s="0" t="s">
        <v>117</v>
      </c>
      <c r="C172" s="26" t="n">
        <f aca="false">C171</f>
        <v>1.1769</v>
      </c>
      <c r="D172" s="26" t="n">
        <f aca="false">D171</f>
        <v>1.4568</v>
      </c>
      <c r="E172" s="26" t="n">
        <f aca="false">E171+0*E162</f>
        <v>1.84371366868904</v>
      </c>
      <c r="F172" s="26" t="n">
        <f aca="false">F171+0*F162</f>
        <v>1.84371366868904</v>
      </c>
      <c r="G172" s="26" t="n">
        <f aca="false">G171+0*G162</f>
        <v>1.84371366868904</v>
      </c>
    </row>
    <row r="173" customFormat="false" ht="15" hidden="false" customHeight="false" outlineLevel="0" collapsed="false">
      <c r="A173" s="4" t="s">
        <v>291</v>
      </c>
      <c r="B173" s="0" t="s">
        <v>117</v>
      </c>
      <c r="C173" s="26" t="n">
        <f aca="false">C169-C172</f>
        <v>1.253</v>
      </c>
      <c r="D173" s="26" t="n">
        <f aca="false">D169-D172</f>
        <v>2.7705</v>
      </c>
      <c r="E173" s="26" t="n">
        <f aca="false">E169-E172</f>
        <v>4.66138134865663</v>
      </c>
      <c r="F173" s="26" t="n">
        <f aca="false">F169-F172</f>
        <v>3.99161086191109</v>
      </c>
      <c r="G173" s="26" t="n">
        <f aca="false">G169-G172</f>
        <v>3.30385876824053</v>
      </c>
    </row>
    <row r="174" customFormat="false" ht="15" hidden="false" customHeight="false" outlineLevel="0" collapsed="false">
      <c r="A174" s="4" t="s">
        <v>293</v>
      </c>
      <c r="B174" s="0" t="s">
        <v>99</v>
      </c>
      <c r="C174" s="17" t="n">
        <f aca="false">C173/C162</f>
        <v>0.0570271254323685</v>
      </c>
      <c r="D174" s="17" t="n">
        <f aca="false">D173/D162</f>
        <v>0.0709238921741801</v>
      </c>
      <c r="E174" s="17" t="n">
        <f aca="false">E173/E162</f>
        <v>0.0717135592101019</v>
      </c>
      <c r="F174" s="17" t="n">
        <f aca="false">F173/F162</f>
        <v>0.0636442197641547</v>
      </c>
      <c r="G174" s="17" t="n">
        <f aca="false">G173/G162</f>
        <v>0.0616653737592996</v>
      </c>
    </row>
    <row r="175" customFormat="false" ht="17.15" hidden="false" customHeight="false" outlineLevel="0" collapsed="false">
      <c r="A175" s="4" t="s">
        <v>167</v>
      </c>
      <c r="B175" s="0" t="s">
        <v>99</v>
      </c>
      <c r="C175" s="18" t="n">
        <f aca="false">a25_ni/a25_oi</f>
        <v>0.837110933758979</v>
      </c>
      <c r="D175" s="18" t="n">
        <f aca="false">a26_ni/a26_oi</f>
        <v>0.805089334055225</v>
      </c>
      <c r="E175" s="18" t="n">
        <f aca="false">nio_f</f>
        <v>0.75</v>
      </c>
      <c r="F175" s="18" t="n">
        <f aca="false">nio_f</f>
        <v>0.75</v>
      </c>
      <c r="G175" s="18" t="n">
        <f aca="false">nio_f</f>
        <v>0.75</v>
      </c>
    </row>
    <row r="176" customFormat="false" ht="15" hidden="false" customHeight="false" outlineLevel="0" collapsed="false">
      <c r="A176" s="4" t="s">
        <v>409</v>
      </c>
      <c r="B176" s="0" t="s">
        <v>117</v>
      </c>
      <c r="C176" s="26" t="n">
        <f aca="false">a25_ni</f>
        <v>1.0489</v>
      </c>
      <c r="D176" s="26" t="n">
        <f aca="false">a26_ni</f>
        <v>2.2305</v>
      </c>
      <c r="E176" s="26" t="n">
        <f aca="false">E173*E175</f>
        <v>3.49603601149247</v>
      </c>
      <c r="F176" s="26" t="n">
        <f aca="false">F173*F175</f>
        <v>2.99370814643332</v>
      </c>
      <c r="G176" s="26" t="n">
        <f aca="false">G173*G175</f>
        <v>2.4778940761804</v>
      </c>
    </row>
    <row r="177" customFormat="false" ht="17.15" hidden="false" customHeight="false" outlineLevel="0" collapsed="false">
      <c r="A177" s="4" t="s">
        <v>410</v>
      </c>
      <c r="B177" s="0" t="s">
        <v>117</v>
      </c>
      <c r="C177" s="16" t="n">
        <f aca="false">0</f>
        <v>0</v>
      </c>
      <c r="D177" s="16" t="n">
        <f aca="false">0</f>
        <v>0</v>
      </c>
      <c r="E177" s="16" t="n">
        <f aca="false">pref_div</f>
        <v>0.301875</v>
      </c>
      <c r="F177" s="16" t="n">
        <f aca="false">pref_div</f>
        <v>0.301875</v>
      </c>
      <c r="G177" s="16" t="n">
        <f aca="false">pref_div</f>
        <v>0.301875</v>
      </c>
      <c r="K177" s="8" t="s">
        <v>411</v>
      </c>
    </row>
    <row r="178" customFormat="false" ht="17.15" hidden="false" customHeight="false" outlineLevel="0" collapsed="false">
      <c r="A178" s="4" t="s">
        <v>359</v>
      </c>
      <c r="B178" s="0" t="s">
        <v>117</v>
      </c>
      <c r="C178" s="26" t="n">
        <f aca="false">C176-C177</f>
        <v>1.0489</v>
      </c>
      <c r="D178" s="26" t="n">
        <f aca="false">D176-D177</f>
        <v>2.2305</v>
      </c>
      <c r="E178" s="26" t="n">
        <f aca="false">E176-E177</f>
        <v>3.19416101149247</v>
      </c>
      <c r="F178" s="26" t="n">
        <f aca="false">F176-F177</f>
        <v>2.69183314643332</v>
      </c>
      <c r="G178" s="26" t="n">
        <f aca="false">G176-G177</f>
        <v>2.1760190761804</v>
      </c>
      <c r="H178" s="27" t="n">
        <f aca="false">H162*H183</f>
        <v>2.18398585747998</v>
      </c>
      <c r="I178" s="27" t="n">
        <f aca="false">I162*I183</f>
        <v>2.03978672638721</v>
      </c>
      <c r="J178" s="27" t="n">
        <f aca="false">J162*J183</f>
        <v>2.01201595667954</v>
      </c>
      <c r="K178" s="4" t="s">
        <v>412</v>
      </c>
    </row>
    <row r="179" customFormat="false" ht="17.15" hidden="false" customHeight="false" outlineLevel="0" collapsed="false">
      <c r="A179" s="4" t="s">
        <v>413</v>
      </c>
      <c r="B179" s="0" t="s">
        <v>99</v>
      </c>
      <c r="C179" s="17" t="n">
        <f aca="false">C176/C162</f>
        <v>0.0477380302202804</v>
      </c>
      <c r="D179" s="17" t="n">
        <f aca="false">D176/D162</f>
        <v>0.0571000691191153</v>
      </c>
      <c r="E179" s="17" t="n">
        <f aca="false">E176/E162</f>
        <v>0.0537851694075765</v>
      </c>
      <c r="F179" s="17" t="n">
        <f aca="false">F176/F162</f>
        <v>0.047733164823116</v>
      </c>
      <c r="G179" s="17" t="n">
        <f aca="false">G176/G162</f>
        <v>0.0462490303194747</v>
      </c>
      <c r="K179" s="4" t="s">
        <v>414</v>
      </c>
    </row>
    <row r="180" customFormat="false" ht="17.15" hidden="false" customHeight="false" outlineLevel="0" collapsed="false">
      <c r="A180" s="4" t="s">
        <v>415</v>
      </c>
      <c r="B180" s="4" t="s">
        <v>176</v>
      </c>
      <c r="C180" s="19" t="n">
        <f aca="false">a25_sh</f>
        <v>0.624345238095238</v>
      </c>
      <c r="D180" s="19" t="n">
        <f aca="false">a26_sh</f>
        <v>0.68420245398773</v>
      </c>
      <c r="E180" s="19" t="n">
        <f aca="false">sh27</f>
        <v>0.745</v>
      </c>
      <c r="F180" s="19" t="n">
        <f aca="false">E180*(1+sh_g)</f>
        <v>0.75245</v>
      </c>
      <c r="G180" s="19" t="n">
        <f aca="false">F180*(1+sh_g)</f>
        <v>0.7599745</v>
      </c>
      <c r="H180" s="31" t="n">
        <f aca="false">G180*(1+sh_g)+conv_sh</f>
        <v>0.91132712</v>
      </c>
      <c r="I180" s="31" t="n">
        <f aca="false">H180*(1+sh_g)</f>
        <v>0.9204403912</v>
      </c>
      <c r="J180" s="31" t="n">
        <f aca="false">I180*(1+sh_g)</f>
        <v>0.929644795112</v>
      </c>
    </row>
    <row r="181" customFormat="false" ht="17.15" hidden="false" customHeight="false" outlineLevel="0" collapsed="false">
      <c r="A181" s="0" t="s">
        <v>299</v>
      </c>
      <c r="B181" s="0" t="s">
        <v>189</v>
      </c>
      <c r="C181" s="26" t="n">
        <f aca="false">C178/C180</f>
        <v>1.68</v>
      </c>
      <c r="D181" s="26" t="n">
        <f aca="false">D178/D180</f>
        <v>3.26</v>
      </c>
      <c r="E181" s="26" t="n">
        <f aca="false">E178/E180</f>
        <v>4.28746444495634</v>
      </c>
      <c r="F181" s="26" t="n">
        <f aca="false">F178/F180</f>
        <v>3.577424608191</v>
      </c>
      <c r="G181" s="26" t="n">
        <f aca="false">G178/G180</f>
        <v>2.86327906552181</v>
      </c>
      <c r="H181" s="30" t="n">
        <f aca="false">H178/H180</f>
        <v>2.3964894817132</v>
      </c>
      <c r="I181" s="30" t="n">
        <f aca="false">I178/I180</f>
        <v>2.21609866960303</v>
      </c>
      <c r="J181" s="30" t="n">
        <f aca="false">J178/J180</f>
        <v>2.16428464641394</v>
      </c>
    </row>
    <row r="182" customFormat="false" ht="17.15" hidden="false" customHeight="false" outlineLevel="0" collapsed="false">
      <c r="A182" s="0" t="s">
        <v>416</v>
      </c>
      <c r="B182" s="0" t="s">
        <v>99</v>
      </c>
      <c r="D182" s="18" t="n">
        <f aca="false">D181/C181-1</f>
        <v>0.940476190476191</v>
      </c>
      <c r="E182" s="18" t="n">
        <f aca="false">E181/D181-1</f>
        <v>0.315173142624643</v>
      </c>
      <c r="F182" s="18" t="n">
        <f aca="false">F181/E181-1</f>
        <v>-0.16560833235611</v>
      </c>
      <c r="G182" s="18" t="n">
        <f aca="false">G181/F181-1</f>
        <v>-0.199625602461073</v>
      </c>
      <c r="H182" s="28" t="n">
        <f aca="false">H181/G181-1</f>
        <v>-0.163026227317294</v>
      </c>
      <c r="I182" s="28" t="n">
        <f aca="false">I181/H181-1</f>
        <v>-0.0752729413113099</v>
      </c>
      <c r="J182" s="28" t="n">
        <f aca="false">J181/I181-1</f>
        <v>-0.0233807383668375</v>
      </c>
    </row>
    <row r="183" customFormat="false" ht="17.15" hidden="false" customHeight="false" outlineLevel="0" collapsed="false">
      <c r="A183" s="4" t="s">
        <v>417</v>
      </c>
      <c r="B183" s="0" t="s">
        <v>99</v>
      </c>
      <c r="C183" s="17" t="n">
        <f aca="false">C178/C162</f>
        <v>0.0477380302202804</v>
      </c>
      <c r="D183" s="17" t="n">
        <f aca="false">D178/D162</f>
        <v>0.0571000691191153</v>
      </c>
      <c r="E183" s="17" t="n">
        <f aca="false">E178/E162</f>
        <v>0.0491409386383457</v>
      </c>
      <c r="F183" s="17" t="n">
        <f aca="false">F178/F162</f>
        <v>0.0429199203696961</v>
      </c>
      <c r="G183" s="17" t="n">
        <f aca="false">G178/G162</f>
        <v>0.0406146385341678</v>
      </c>
      <c r="H183" s="29" t="n">
        <f aca="false">$G179+(fade_mC-$G179)*1/3</f>
        <v>0.0448191199558326</v>
      </c>
      <c r="I183" s="29" t="n">
        <f aca="false">$G179+(fade_mC-$G179)*2/3</f>
        <v>0.0433892095921904</v>
      </c>
      <c r="J183" s="29" t="n">
        <f aca="false">$G179+(fade_mC-$G179)*3/3</f>
        <v>0.0419592992285483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420</v>
      </c>
    </row>
    <row r="2" customFormat="false" ht="17.15" hidden="false" customHeight="false" outlineLevel="0" collapsed="false">
      <c r="A2" s="4" t="s">
        <v>421</v>
      </c>
    </row>
    <row r="4" customFormat="false" ht="17.15" hidden="false" customHeight="false" outlineLevel="0" collapsed="false">
      <c r="A4" s="6" t="s">
        <v>422</v>
      </c>
    </row>
    <row r="5" customFormat="false" ht="17.15" hidden="false" customHeight="false" outlineLevel="0" collapsed="false">
      <c r="A5" s="6" t="s">
        <v>423</v>
      </c>
    </row>
    <row r="6" customFormat="false" ht="17.15" hidden="false" customHeight="false" outlineLevel="0" collapsed="false">
      <c r="A6" s="5" t="s">
        <v>16</v>
      </c>
      <c r="B6" s="14" t="s">
        <v>424</v>
      </c>
      <c r="C6" s="14" t="s">
        <v>425</v>
      </c>
      <c r="D6" s="14" t="s">
        <v>426</v>
      </c>
      <c r="E6" s="5" t="s">
        <v>324</v>
      </c>
    </row>
    <row r="7" customFormat="false" ht="17.15" hidden="false" customHeight="false" outlineLevel="0" collapsed="false">
      <c r="A7" s="4" t="s">
        <v>427</v>
      </c>
      <c r="E7" s="0" t="s">
        <v>428</v>
      </c>
    </row>
    <row r="8" customFormat="false" ht="15" hidden="false" customHeight="false" outlineLevel="0" collapsed="false">
      <c r="A8" s="0" t="s">
        <v>429</v>
      </c>
      <c r="B8" s="20" t="n">
        <f aca="false">PL!E14</f>
        <v>6.05739255056047</v>
      </c>
      <c r="C8" s="20" t="n">
        <f aca="false">PL!E27</f>
        <v>5.13719359842954</v>
      </c>
      <c r="D8" s="20" t="n">
        <f aca="false">PL!E40</f>
        <v>4.28746444495634</v>
      </c>
    </row>
    <row r="9" customFormat="false" ht="15" hidden="false" customHeight="false" outlineLevel="0" collapsed="false">
      <c r="A9" s="0" t="s">
        <v>430</v>
      </c>
      <c r="B9" s="20" t="n">
        <f aca="false">PL!F14</f>
        <v>8.59550608995508</v>
      </c>
      <c r="C9" s="20" t="n">
        <f aca="false">PL!F27</f>
        <v>6.07113677185564</v>
      </c>
      <c r="D9" s="20" t="n">
        <f aca="false">PL!F40</f>
        <v>3.577424608191</v>
      </c>
    </row>
    <row r="10" customFormat="false" ht="15" hidden="false" customHeight="false" outlineLevel="0" collapsed="false">
      <c r="A10" s="0" t="s">
        <v>431</v>
      </c>
      <c r="B10" s="20" t="n">
        <f aca="false">PL!G14</f>
        <v>9.72210425868415</v>
      </c>
      <c r="C10" s="20" t="n">
        <f aca="false">PL!G27</f>
        <v>6.1703798527232</v>
      </c>
      <c r="D10" s="20" t="n">
        <f aca="false">PL!G40</f>
        <v>2.86327906552181</v>
      </c>
    </row>
    <row r="11" customFormat="false" ht="15" hidden="false" customHeight="false" outlineLevel="0" collapsed="false">
      <c r="A11" s="0" t="s">
        <v>432</v>
      </c>
      <c r="B11" s="20" t="n">
        <f aca="false">PL!H14</f>
        <v>9.2889802541209</v>
      </c>
      <c r="C11" s="20" t="n">
        <f aca="false">PL!H27</f>
        <v>5.32444345175157</v>
      </c>
      <c r="D11" s="20" t="n">
        <f aca="false">PL!H40</f>
        <v>2.3964894817132</v>
      </c>
    </row>
    <row r="12" customFormat="false" ht="15" hidden="false" customHeight="false" outlineLevel="0" collapsed="false">
      <c r="A12" s="0" t="s">
        <v>433</v>
      </c>
      <c r="B12" s="20" t="n">
        <f aca="false">PL!I14</f>
        <v>9.93625742353996</v>
      </c>
      <c r="C12" s="20" t="n">
        <f aca="false">PL!I27</f>
        <v>5.14681143662212</v>
      </c>
      <c r="D12" s="20" t="n">
        <f aca="false">PL!I40</f>
        <v>2.21609866960303</v>
      </c>
    </row>
    <row r="13" customFormat="false" ht="15" hidden="false" customHeight="false" outlineLevel="0" collapsed="false">
      <c r="A13" s="0" t="s">
        <v>434</v>
      </c>
      <c r="B13" s="20" t="n">
        <f aca="false">PL!J14</f>
        <v>10.4281513553984</v>
      </c>
      <c r="C13" s="20" t="n">
        <f aca="false">PL!J27</f>
        <v>4.99423329061687</v>
      </c>
      <c r="D13" s="20" t="n">
        <f aca="false">PL!J40</f>
        <v>2.16428464641394</v>
      </c>
    </row>
    <row r="14" customFormat="false" ht="17.15" hidden="false" customHeight="false" outlineLevel="0" collapsed="false">
      <c r="A14" s="4" t="s">
        <v>435</v>
      </c>
    </row>
    <row r="15" customFormat="false" ht="17.15" hidden="false" customHeight="false" outlineLevel="0" collapsed="false">
      <c r="A15" s="4" t="s">
        <v>436</v>
      </c>
      <c r="B15" s="18" t="n">
        <f aca="false">MIN(tp_g/tp_roe,0.8)</f>
        <v>0.170043928014737</v>
      </c>
      <c r="E15" s="8" t="s">
        <v>437</v>
      </c>
    </row>
    <row r="16" customFormat="false" ht="15" hidden="false" customHeight="false" outlineLevel="0" collapsed="false">
      <c r="A16" s="0" t="s">
        <v>429</v>
      </c>
      <c r="B16" s="20" t="n">
        <f aca="false">B8*(1-$B$15)</f>
        <v>5.02736972773596</v>
      </c>
      <c r="C16" s="20" t="n">
        <f aca="false">C8*(1-$B$15)</f>
        <v>4.26364501998042</v>
      </c>
      <c r="D16" s="20" t="n">
        <f aca="false">D8*(1-$B$15)</f>
        <v>3.55840714951244</v>
      </c>
    </row>
    <row r="17" customFormat="false" ht="15" hidden="false" customHeight="false" outlineLevel="0" collapsed="false">
      <c r="A17" s="0" t="s">
        <v>430</v>
      </c>
      <c r="B17" s="20" t="n">
        <f aca="false">B9*(1-$B$15)</f>
        <v>7.13389247114452</v>
      </c>
      <c r="C17" s="20" t="n">
        <f aca="false">C9*(1-$B$15)</f>
        <v>5.03877682765459</v>
      </c>
      <c r="D17" s="20" t="n">
        <f aca="false">D9*(1-$B$15)</f>
        <v>2.96910527563762</v>
      </c>
    </row>
    <row r="18" customFormat="false" ht="15" hidden="false" customHeight="false" outlineLevel="0" collapsed="false">
      <c r="A18" s="0" t="s">
        <v>431</v>
      </c>
      <c r="B18" s="20" t="n">
        <f aca="false">B10*(1-$B$15)</f>
        <v>8.0689194619687</v>
      </c>
      <c r="C18" s="20" t="n">
        <f aca="false">C10*(1-$B$15)</f>
        <v>5.12114422522315</v>
      </c>
      <c r="D18" s="20" t="n">
        <f aca="false">D10*(1-$B$15)</f>
        <v>2.37639584621811</v>
      </c>
    </row>
    <row r="19" customFormat="false" ht="15" hidden="false" customHeight="false" outlineLevel="0" collapsed="false">
      <c r="A19" s="0" t="s">
        <v>432</v>
      </c>
      <c r="B19" s="20" t="n">
        <f aca="false">B11*(1-$B$15)</f>
        <v>7.70944556445885</v>
      </c>
      <c r="C19" s="20" t="n">
        <f aca="false">C11*(1-$B$15)</f>
        <v>4.41905417272338</v>
      </c>
      <c r="D19" s="20" t="n">
        <f aca="false">D11*(1-$B$15)</f>
        <v>1.98898099679668</v>
      </c>
    </row>
    <row r="20" customFormat="false" ht="15" hidden="false" customHeight="false" outlineLevel="0" collapsed="false">
      <c r="A20" s="0" t="s">
        <v>433</v>
      </c>
      <c r="B20" s="20" t="n">
        <f aca="false">B12*(1-$B$15)</f>
        <v>8.24665718147563</v>
      </c>
      <c r="C20" s="20" t="n">
        <f aca="false">C12*(1-$B$15)</f>
        <v>4.27162740318772</v>
      </c>
      <c r="D20" s="20" t="n">
        <f aca="false">D12*(1-$B$15)</f>
        <v>1.8392645469555</v>
      </c>
    </row>
    <row r="21" customFormat="false" ht="15" hidden="false" customHeight="false" outlineLevel="0" collapsed="false">
      <c r="A21" s="0" t="s">
        <v>434</v>
      </c>
      <c r="B21" s="20" t="n">
        <f aca="false">B13*(1-$B$15)</f>
        <v>8.65490753699423</v>
      </c>
      <c r="C21" s="20" t="n">
        <f aca="false">C13*(1-$B$15)</f>
        <v>4.14499424445841</v>
      </c>
      <c r="D21" s="20" t="n">
        <f aca="false">D13*(1-$B$15)</f>
        <v>1.79626118379573</v>
      </c>
    </row>
    <row r="22" customFormat="false" ht="17.15" hidden="false" customHeight="false" outlineLevel="0" collapsed="false">
      <c r="A22" s="0" t="s">
        <v>438</v>
      </c>
      <c r="B22" s="20" t="n">
        <f aca="false">MAX(0,SUMPRODUCT(B16:B21,1/(1+tp_r)^{1;2;3;4;5;6})+B21*(1+tp_g)/(tp_r-tp_g)/(1+tp_r)^6)</f>
        <v>116.481537959241</v>
      </c>
      <c r="C22" s="20" t="n">
        <f aca="false">MAX(0,SUMPRODUCT(C16:C21,1/(1+tp_r)^{1;2;3;4;5;6})+C21*(1+tp_g)/(tp_r-tp_g)/(1+tp_r)^6)</f>
        <v>60.4537839223011</v>
      </c>
      <c r="D22" s="20" t="n">
        <f aca="false">MAX(0,SUMPRODUCT(D16:D21,1/(1+tp_r)^{1;2;3;4;5;6})+D21*(1+tp_g)/(tp_r-tp_g)/(1+tp_r)^6)</f>
        <v>28.5636301813873</v>
      </c>
      <c r="E22" s="8" t="s">
        <v>439</v>
      </c>
    </row>
    <row r="23" customFormat="false" ht="17.15" hidden="false" customHeight="false" outlineLevel="0" collapsed="false">
      <c r="A23" s="0" t="s">
        <v>440</v>
      </c>
      <c r="B23" s="20" t="n">
        <f aca="false">B22*(1+tp_r)</f>
        <v>128.129691755165</v>
      </c>
      <c r="C23" s="20" t="n">
        <f aca="false">C22*(1+tp_r)</f>
        <v>66.4991623145313</v>
      </c>
      <c r="D23" s="20" t="n">
        <f aca="false">D22*(1+tp_r)</f>
        <v>31.419993199526</v>
      </c>
    </row>
    <row r="24" customFormat="false" ht="17.15" hidden="false" customHeight="false" outlineLevel="0" collapsed="false">
      <c r="A24" s="0" t="s">
        <v>441</v>
      </c>
      <c r="B24" s="32" t="n">
        <f aca="false">tp_wA*B23+tp_wB*C23+tp_wC*D23</f>
        <v>77.9724873237205</v>
      </c>
      <c r="E24" s="8" t="s">
        <v>442</v>
      </c>
    </row>
    <row r="26" customFormat="false" ht="17.15" hidden="false" customHeight="false" outlineLevel="0" collapsed="false">
      <c r="A26" s="6" t="s">
        <v>443</v>
      </c>
    </row>
    <row r="27" customFormat="false" ht="17.15" hidden="false" customHeight="false" outlineLevel="0" collapsed="false">
      <c r="A27" s="5" t="s">
        <v>444</v>
      </c>
      <c r="B27" s="5" t="s">
        <v>445</v>
      </c>
      <c r="C27" s="5" t="s">
        <v>446</v>
      </c>
      <c r="D27" s="5" t="s">
        <v>447</v>
      </c>
      <c r="E27" s="5" t="s">
        <v>448</v>
      </c>
      <c r="F27" s="5" t="s">
        <v>21</v>
      </c>
    </row>
    <row r="28" customFormat="false" ht="17.15" hidden="false" customHeight="false" outlineLevel="0" collapsed="false">
      <c r="A28" s="0" t="s">
        <v>449</v>
      </c>
      <c r="B28" s="0" t="s">
        <v>450</v>
      </c>
      <c r="C28" s="33" t="n">
        <v>16.22</v>
      </c>
      <c r="D28" s="8" t="s">
        <v>451</v>
      </c>
      <c r="E28" s="8" t="s">
        <v>452</v>
      </c>
      <c r="F28" s="8" t="s">
        <v>100</v>
      </c>
    </row>
    <row r="29" customFormat="false" ht="17.15" hidden="false" customHeight="false" outlineLevel="0" collapsed="false">
      <c r="A29" s="0" t="s">
        <v>453</v>
      </c>
      <c r="B29" s="0" t="s">
        <v>454</v>
      </c>
      <c r="C29" s="33" t="n">
        <v>12.19</v>
      </c>
      <c r="D29" s="8" t="s">
        <v>451</v>
      </c>
      <c r="E29" s="8" t="s">
        <v>452</v>
      </c>
      <c r="F29" s="8" t="s">
        <v>100</v>
      </c>
    </row>
    <row r="30" customFormat="false" ht="17.15" hidden="false" customHeight="false" outlineLevel="0" collapsed="false">
      <c r="A30" s="4" t="s">
        <v>455</v>
      </c>
      <c r="B30" s="0" t="s">
        <v>456</v>
      </c>
      <c r="C30" s="33" t="n">
        <v>11.73</v>
      </c>
      <c r="D30" s="8" t="s">
        <v>457</v>
      </c>
      <c r="E30" s="8" t="s">
        <v>452</v>
      </c>
      <c r="F30" s="8" t="s">
        <v>100</v>
      </c>
    </row>
    <row r="31" customFormat="false" ht="17.15" hidden="false" customHeight="false" outlineLevel="0" collapsed="false">
      <c r="A31" s="4" t="s">
        <v>458</v>
      </c>
      <c r="B31" s="0" t="s">
        <v>459</v>
      </c>
      <c r="C31" s="33" t="n">
        <v>11.52</v>
      </c>
      <c r="D31" s="8" t="s">
        <v>457</v>
      </c>
      <c r="E31" s="8" t="s">
        <v>452</v>
      </c>
      <c r="F31" s="8" t="s">
        <v>100</v>
      </c>
    </row>
    <row r="32" customFormat="false" ht="17.15" hidden="false" customHeight="false" outlineLevel="0" collapsed="false">
      <c r="A32" s="4" t="s">
        <v>460</v>
      </c>
      <c r="B32" s="0" t="s">
        <v>461</v>
      </c>
      <c r="C32" s="33" t="n">
        <v>9.21</v>
      </c>
      <c r="D32" s="8" t="s">
        <v>462</v>
      </c>
      <c r="E32" s="8" t="s">
        <v>452</v>
      </c>
      <c r="F32" s="8" t="s">
        <v>100</v>
      </c>
    </row>
    <row r="33" customFormat="false" ht="17.15" hidden="false" customHeight="false" outlineLevel="0" collapsed="false">
      <c r="A33" s="4" t="s">
        <v>463</v>
      </c>
      <c r="B33" s="24" t="n">
        <f aca="false">MEDIAN(C28:C32)</f>
        <v>11.73</v>
      </c>
      <c r="E33" s="8" t="s">
        <v>464</v>
      </c>
    </row>
    <row r="34" customFormat="false" ht="17.15" hidden="false" customHeight="false" outlineLevel="0" collapsed="false">
      <c r="A34" s="0" t="s">
        <v>465</v>
      </c>
      <c r="B34" s="20" t="n">
        <f aca="false">tp_wA*(8/12*B9+4/12*B10)+tp_wB*(8/12*C9+4/12*C10)+tp_wC*(8/12*D9+4/12*D10)</f>
        <v>6.41129576205876</v>
      </c>
      <c r="E34" s="4" t="s">
        <v>466</v>
      </c>
    </row>
    <row r="35" customFormat="false" ht="17.15" hidden="false" customHeight="false" outlineLevel="0" collapsed="false">
      <c r="A35" s="0" t="s">
        <v>467</v>
      </c>
      <c r="B35" s="32" t="n">
        <f aca="false">B33*B34</f>
        <v>75.2044992889493</v>
      </c>
      <c r="E35" s="4" t="s">
        <v>468</v>
      </c>
    </row>
    <row r="37" customFormat="false" ht="17.15" hidden="false" customHeight="false" outlineLevel="0" collapsed="false">
      <c r="A37" s="6" t="s">
        <v>469</v>
      </c>
    </row>
    <row r="38" customFormat="false" ht="15" hidden="false" customHeight="false" outlineLevel="0" collapsed="false">
      <c r="A38" s="5" t="s">
        <v>16</v>
      </c>
      <c r="B38" s="5" t="s">
        <v>470</v>
      </c>
      <c r="C38" s="5"/>
      <c r="D38" s="5"/>
      <c r="E38" s="5" t="s">
        <v>324</v>
      </c>
    </row>
    <row r="39" customFormat="false" ht="17.15" hidden="false" customHeight="false" outlineLevel="0" collapsed="false">
      <c r="A39" s="4" t="s">
        <v>471</v>
      </c>
      <c r="B39" s="32" t="n">
        <f aca="false">tp_w_dcf*B24+(1-tp_w_dcf)*B35</f>
        <v>76.5884933063349</v>
      </c>
      <c r="E39" s="8" t="s">
        <v>472</v>
      </c>
    </row>
    <row r="40" customFormat="false" ht="17.15" hidden="false" customHeight="false" outlineLevel="0" collapsed="false">
      <c r="A40" s="0" t="s">
        <v>473</v>
      </c>
      <c r="B40" s="20" t="n">
        <f aca="false">B35</f>
        <v>75.2044992889493</v>
      </c>
    </row>
    <row r="41" customFormat="false" ht="17.15" hidden="false" customHeight="false" outlineLevel="0" collapsed="false">
      <c r="A41" s="4" t="s">
        <v>474</v>
      </c>
      <c r="B41" s="20" t="n">
        <f aca="false">cons_tp</f>
        <v>43.27</v>
      </c>
      <c r="E41" s="8" t="s">
        <v>475</v>
      </c>
    </row>
    <row r="42" customFormat="false" ht="17.15" hidden="false" customHeight="false" outlineLevel="0" collapsed="false">
      <c r="A42" s="4" t="s">
        <v>476</v>
      </c>
      <c r="B42" s="18" t="n">
        <f aca="false">B39/px-1</f>
        <v>1.32509087147343</v>
      </c>
      <c r="E42" s="4" t="s">
        <v>477</v>
      </c>
    </row>
    <row r="43" customFormat="false" ht="17.15" hidden="false" customHeight="false" outlineLevel="0" collapsed="false">
      <c r="A43" s="4" t="s">
        <v>478</v>
      </c>
      <c r="B43" s="18" t="n">
        <f aca="false">B40/px-1</f>
        <v>1.28307526681692</v>
      </c>
    </row>
    <row r="44" customFormat="false" ht="17.15" hidden="false" customHeight="false" outlineLevel="0" collapsed="false">
      <c r="A44" s="4" t="s">
        <v>479</v>
      </c>
      <c r="B44" s="18" t="n">
        <f aca="false">B34/cons_feps-1</f>
        <v>0.374127142687762</v>
      </c>
      <c r="E44" s="4" t="s">
        <v>480</v>
      </c>
    </row>
    <row r="45" customFormat="false" ht="17.15" hidden="false" customHeight="false" outlineLevel="0" collapsed="false">
      <c r="A45" s="4" t="s">
        <v>481</v>
      </c>
      <c r="B45" s="18" t="n">
        <f aca="false">(cons_tp/cons_feps)/B33-1</f>
        <v>-0.209376007735266</v>
      </c>
      <c r="E45" s="0" t="str">
        <f aca="false">"共識目標價隱含 "&amp;TEXT(cons_tp/cons_feps,"0.0")&amp;"x，同業中位數 "&amp;TEXT(B33,"0.0")&amp;"x"</f>
        <v>共識目標價隱含 9.3x，同業中位數 11.7x</v>
      </c>
    </row>
    <row r="46" customFormat="false" ht="17.15" hidden="false" customHeight="false" outlineLevel="0" collapsed="false">
      <c r="A46" s="4" t="s">
        <v>482</v>
      </c>
      <c r="B46" s="34" t="str">
        <f aca="false">TEXT(D23,"0.0")&amp;"～"&amp;TEXT(B23,"0.0")</f>
        <v>31.4～128.1</v>
      </c>
      <c r="E46" s="8" t="s">
        <v>483</v>
      </c>
    </row>
    <row r="47" customFormat="false" ht="17.15" hidden="false" customHeight="false" outlineLevel="0" collapsed="false">
      <c r="A47" s="4" t="s">
        <v>484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0.0302</v>
      </c>
      <c r="E47" s="4" t="s">
        <v>485</v>
      </c>
    </row>
    <row r="48" customFormat="false" ht="17.15" hidden="false" customHeight="false" outlineLevel="0" collapsed="false">
      <c r="A48" s="4" t="s">
        <v>486</v>
      </c>
      <c r="B48" s="0" t="s">
        <v>487</v>
      </c>
    </row>
    <row r="51" customFormat="false" ht="17.15" hidden="false" customHeight="false" outlineLevel="0" collapsed="false">
      <c r="A51" s="6" t="s">
        <v>488</v>
      </c>
    </row>
    <row r="52" customFormat="false" ht="15" hidden="false" customHeight="false" outlineLevel="0" collapsed="false">
      <c r="A52" s="5" t="s">
        <v>16</v>
      </c>
      <c r="B52" s="14" t="s">
        <v>489</v>
      </c>
      <c r="C52" s="14" t="s">
        <v>490</v>
      </c>
      <c r="D52" s="14" t="s">
        <v>491</v>
      </c>
      <c r="E52" s="5" t="s">
        <v>324</v>
      </c>
    </row>
    <row r="53" customFormat="false" ht="17.15" hidden="false" customHeight="false" outlineLevel="0" collapsed="false">
      <c r="A53" s="4" t="s">
        <v>492</v>
      </c>
      <c r="B53" s="20" t="n">
        <f aca="false">px</f>
        <v>32.94</v>
      </c>
    </row>
    <row r="54" customFormat="false" ht="17.15" hidden="false" customHeight="false" outlineLevel="0" collapsed="false">
      <c r="A54" s="4" t="s">
        <v>493</v>
      </c>
      <c r="B54" s="24" t="n">
        <f aca="false">px/PL!D14</f>
        <v>10.1042944785276</v>
      </c>
      <c r="C54" s="24" t="n">
        <f aca="false">px/PL!D27</f>
        <v>10.1042944785276</v>
      </c>
      <c r="D54" s="24" t="n">
        <f aca="false">px/PL!D40</f>
        <v>10.1042944785276</v>
      </c>
      <c r="E54" s="8" t="s">
        <v>494</v>
      </c>
    </row>
    <row r="55" customFormat="false" ht="17.15" hidden="false" customHeight="false" outlineLevel="0" collapsed="false">
      <c r="A55" s="4" t="s">
        <v>495</v>
      </c>
      <c r="B55" s="24" t="n">
        <f aca="false">px/PL!E14</f>
        <v>5.43798337734479</v>
      </c>
      <c r="C55" s="24" t="n">
        <f aca="false">px/PL!E27</f>
        <v>6.41206124878569</v>
      </c>
      <c r="D55" s="24" t="n">
        <f aca="false">px/PL!E40</f>
        <v>7.68286254565907</v>
      </c>
    </row>
    <row r="56" customFormat="false" ht="17.15" hidden="false" customHeight="false" outlineLevel="0" collapsed="false">
      <c r="A56" s="4" t="s">
        <v>496</v>
      </c>
      <c r="B56" s="24" t="n">
        <f aca="false">px/PL!F14</f>
        <v>3.83223508369036</v>
      </c>
      <c r="C56" s="24" t="n">
        <f aca="false">px/PL!F27</f>
        <v>5.42567252852911</v>
      </c>
      <c r="D56" s="24" t="n">
        <f aca="false">px/PL!F40</f>
        <v>9.2077412126532</v>
      </c>
    </row>
    <row r="57" customFormat="false" ht="17.15" hidden="false" customHeight="false" outlineLevel="0" collapsed="false">
      <c r="A57" s="4" t="s">
        <v>497</v>
      </c>
      <c r="B57" s="24" t="n">
        <f aca="false">px/PL!G14</f>
        <v>3.38815539553351</v>
      </c>
      <c r="C57" s="24" t="n">
        <f aca="false">px/PL!G27</f>
        <v>5.33840716231797</v>
      </c>
      <c r="D57" s="24" t="n">
        <f aca="false">px/PL!G40</f>
        <v>11.5042925422978</v>
      </c>
    </row>
    <row r="58" customFormat="false" ht="17.15" hidden="false" customHeight="false" outlineLevel="0" collapsed="false">
      <c r="A58" s="4" t="s">
        <v>498</v>
      </c>
      <c r="B58" s="20" t="n">
        <f aca="false">8/12*PL!E27+4/12*PL!F27</f>
        <v>5.44850798957157</v>
      </c>
      <c r="E58" s="8" t="s">
        <v>499</v>
      </c>
    </row>
    <row r="59" customFormat="false" ht="17.15" hidden="false" customHeight="false" outlineLevel="0" collapsed="false">
      <c r="A59" s="4" t="s">
        <v>500</v>
      </c>
      <c r="B59" s="24" t="n">
        <f aca="false">px/B58</f>
        <v>6.04569178627379</v>
      </c>
    </row>
    <row r="60" customFormat="false" ht="17.15" hidden="false" customHeight="false" outlineLevel="0" collapsed="false">
      <c r="A60" s="4" t="s">
        <v>215</v>
      </c>
      <c r="B60" s="24" t="n">
        <f aca="false">pe_ttm</f>
        <v>10.12</v>
      </c>
    </row>
    <row r="61" customFormat="false" ht="17.15" hidden="false" customHeight="false" outlineLevel="0" collapsed="false">
      <c r="A61" s="4" t="s">
        <v>501</v>
      </c>
      <c r="B61" s="24" t="n">
        <f aca="false">fpe</f>
        <v>7.06</v>
      </c>
    </row>
    <row r="63" customFormat="false" ht="17.15" hidden="false" customHeight="false" outlineLevel="0" collapsed="false">
      <c r="A63" s="6" t="s">
        <v>502</v>
      </c>
    </row>
    <row r="64" customFormat="false" ht="17.15" hidden="false" customHeight="false" outlineLevel="0" collapsed="false">
      <c r="A64" s="5" t="s">
        <v>503</v>
      </c>
      <c r="B64" s="5" t="s">
        <v>504</v>
      </c>
      <c r="C64" s="14" t="s">
        <v>505</v>
      </c>
      <c r="D64" s="5" t="s">
        <v>506</v>
      </c>
      <c r="E64" s="5" t="s">
        <v>507</v>
      </c>
      <c r="F64" s="5" t="s">
        <v>324</v>
      </c>
    </row>
    <row r="65" customFormat="false" ht="17.15" hidden="false" customHeight="false" outlineLevel="0" collapsed="false">
      <c r="A65" s="0" t="s">
        <v>489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4" t="n">
        <f aca="false">IF(C65="見頂",pe_peak,IF(C65="谷底",pe_trough,pe_mid))</f>
        <v>18.62</v>
      </c>
      <c r="E65" s="0" t="str">
        <f aca="false">IF(B65=2029,"是：營收到觀測期末仍在增加","否")</f>
        <v>是：營收到觀測期末仍在增加</v>
      </c>
      <c r="F65" s="8" t="s">
        <v>508</v>
      </c>
    </row>
    <row r="66" customFormat="false" ht="15" hidden="false" customHeight="false" outlineLevel="0" collapsed="false">
      <c r="A66" s="0" t="s">
        <v>490</v>
      </c>
      <c r="B66" s="0" t="n">
        <f aca="false">INDEX({2026,2027,2028,2029},MATCH(MAX(PL!D120:G120),PL!D120:G120,0))</f>
        <v>2029</v>
      </c>
      <c r="C66" s="0" t="str">
        <f aca="false">IF(B66=2029,"中段",IF(2027&lt;B66,"中段",IF(2027=B66,"見頂","谷底")))</f>
        <v>中段</v>
      </c>
      <c r="D66" s="24" t="n">
        <f aca="false">IF(C66="見頂",pe_peak,IF(C66="谷底",pe_trough,pe_mid))</f>
        <v>18.62</v>
      </c>
      <c r="E66" s="0" t="str">
        <f aca="false">IF(B66=2029,"是：營收到觀測期末仍在增加","否")</f>
        <v>是：營收到觀測期末仍在增加</v>
      </c>
      <c r="F66" s="4" t="s">
        <v>33</v>
      </c>
    </row>
    <row r="67" customFormat="false" ht="15" hidden="false" customHeight="false" outlineLevel="0" collapsed="false">
      <c r="A67" s="0" t="s">
        <v>491</v>
      </c>
      <c r="B67" s="0" t="n">
        <f aca="false">INDEX({2026,2027,2028,2029},MATCH(MAX(PL!D162:G162),PL!D162:G162,0))</f>
        <v>2027</v>
      </c>
      <c r="C67" s="0" t="str">
        <f aca="false">IF(B67=2029,"中段",IF(2027&lt;B67,"中段",IF(2027=B67,"見頂","谷底")))</f>
        <v>見頂</v>
      </c>
      <c r="D67" s="24" t="n">
        <f aca="false">IF(C67="見頂",pe_peak,IF(C67="谷底",pe_trough,pe_mid))</f>
        <v>16.39</v>
      </c>
      <c r="E67" s="0" t="str">
        <f aca="false">IF(B67=2029,"是：營收到觀測期末仍在增加","否")</f>
        <v>否</v>
      </c>
      <c r="F67" s="4" t="s">
        <v>33</v>
      </c>
    </row>
    <row r="69" customFormat="false" ht="17.15" hidden="false" customHeight="false" outlineLevel="0" collapsed="false">
      <c r="A69" s="6" t="s">
        <v>509</v>
      </c>
    </row>
    <row r="70" customFormat="false" ht="17.15" hidden="false" customHeight="false" outlineLevel="0" collapsed="false">
      <c r="A70" s="5" t="s">
        <v>503</v>
      </c>
      <c r="B70" s="14" t="s">
        <v>510</v>
      </c>
      <c r="C70" s="5" t="s">
        <v>511</v>
      </c>
      <c r="D70" s="5" t="s">
        <v>512</v>
      </c>
      <c r="E70" s="5" t="s">
        <v>513</v>
      </c>
      <c r="F70" s="5" t="s">
        <v>514</v>
      </c>
      <c r="G70" s="5" t="s">
        <v>515</v>
      </c>
    </row>
    <row r="71" customFormat="false" ht="15" hidden="false" customHeight="false" outlineLevel="0" collapsed="false">
      <c r="A71" s="9" t="s">
        <v>489</v>
      </c>
      <c r="B71" s="32" t="n">
        <f aca="false">PL!E14</f>
        <v>6.05739255056047</v>
      </c>
      <c r="C71" s="32" t="n">
        <f aca="false">B71</f>
        <v>6.05739255056047</v>
      </c>
      <c r="D71" s="36" t="n">
        <f aca="false">D65</f>
        <v>18.62</v>
      </c>
      <c r="E71" s="37" t="n">
        <f aca="false">C71*D71</f>
        <v>112.788649291436</v>
      </c>
      <c r="F71" s="38" t="n">
        <f aca="false">E71/px-1</f>
        <v>2.42406342718385</v>
      </c>
      <c r="G71" s="36" t="n">
        <f aca="false">px/C71</f>
        <v>5.43798337734479</v>
      </c>
    </row>
    <row r="72" customFormat="false" ht="15" hidden="false" customHeight="false" outlineLevel="0" collapsed="false">
      <c r="A72" s="9" t="s">
        <v>490</v>
      </c>
      <c r="B72" s="32" t="n">
        <f aca="false">PL!E27</f>
        <v>5.13719359842954</v>
      </c>
      <c r="C72" s="32" t="n">
        <f aca="false">B72</f>
        <v>5.13719359842954</v>
      </c>
      <c r="D72" s="36" t="n">
        <f aca="false">D66</f>
        <v>18.62</v>
      </c>
      <c r="E72" s="37" t="n">
        <f aca="false">C72*D72</f>
        <v>95.6545448027581</v>
      </c>
      <c r="F72" s="38" t="n">
        <f aca="false">E72/px-1</f>
        <v>1.90390239231202</v>
      </c>
      <c r="G72" s="36" t="n">
        <f aca="false">px/C72</f>
        <v>6.41206124878569</v>
      </c>
    </row>
    <row r="73" customFormat="false" ht="15" hidden="false" customHeight="false" outlineLevel="0" collapsed="false">
      <c r="A73" s="9" t="s">
        <v>491</v>
      </c>
      <c r="B73" s="32" t="n">
        <f aca="false">PL!E40</f>
        <v>4.28746444495634</v>
      </c>
      <c r="C73" s="32" t="n">
        <f aca="false">B73</f>
        <v>4.28746444495634</v>
      </c>
      <c r="D73" s="36" t="n">
        <f aca="false">D67</f>
        <v>16.39</v>
      </c>
      <c r="E73" s="37" t="n">
        <f aca="false">C73*D73</f>
        <v>70.2715422528343</v>
      </c>
      <c r="F73" s="38" t="n">
        <f aca="false">E73/px-1</f>
        <v>1.13331943694093</v>
      </c>
      <c r="G73" s="36" t="n">
        <f aca="false">px/C73</f>
        <v>7.68286254565907</v>
      </c>
    </row>
    <row r="75" customFormat="false" ht="17.15" hidden="false" customHeight="false" outlineLevel="0" collapsed="false">
      <c r="A75" s="6" t="s">
        <v>516</v>
      </c>
    </row>
    <row r="76" customFormat="false" ht="17.15" hidden="false" customHeight="false" outlineLevel="0" collapsed="false">
      <c r="A76" s="14" t="s">
        <v>517</v>
      </c>
      <c r="B76" s="5" t="s">
        <v>518</v>
      </c>
      <c r="C76" s="5" t="s">
        <v>519</v>
      </c>
      <c r="D76" s="5" t="s">
        <v>520</v>
      </c>
      <c r="E76" s="5" t="s">
        <v>521</v>
      </c>
    </row>
    <row r="77" customFormat="false" ht="15" hidden="false" customHeight="false" outlineLevel="0" collapsed="false">
      <c r="A77" s="21" t="n">
        <v>1</v>
      </c>
      <c r="B77" s="24" t="n">
        <f aca="false">px*A77/PL!F14</f>
        <v>3.83223508369036</v>
      </c>
      <c r="C77" s="24" t="n">
        <f aca="false">px*A77/PL!F27</f>
        <v>5.42567252852911</v>
      </c>
      <c r="D77" s="24" t="n">
        <f aca="false">px*A77/PL!F40</f>
        <v>9.2077412126532</v>
      </c>
      <c r="E77" s="24" t="n">
        <f aca="false">pe_mid</f>
        <v>18.62</v>
      </c>
    </row>
    <row r="78" customFormat="false" ht="15" hidden="false" customHeight="false" outlineLevel="0" collapsed="false">
      <c r="A78" s="21" t="n">
        <v>1.1</v>
      </c>
      <c r="B78" s="24" t="n">
        <f aca="false">px*A78/PL!F14</f>
        <v>4.2154585920594</v>
      </c>
      <c r="C78" s="24" t="n">
        <f aca="false">px*A78/PL!F27</f>
        <v>5.96823978138202</v>
      </c>
      <c r="D78" s="24" t="n">
        <f aca="false">px*A78/PL!F40</f>
        <v>10.1285153339185</v>
      </c>
      <c r="E78" s="24" t="n">
        <f aca="false">pe_mid</f>
        <v>18.62</v>
      </c>
    </row>
    <row r="79" customFormat="false" ht="15" hidden="false" customHeight="false" outlineLevel="0" collapsed="false">
      <c r="A79" s="21" t="n">
        <v>1.21</v>
      </c>
      <c r="B79" s="24" t="n">
        <f aca="false">px*A79/PL!F14</f>
        <v>4.63700445126534</v>
      </c>
      <c r="C79" s="24" t="n">
        <f aca="false">px*A79/PL!F27</f>
        <v>6.56506375952022</v>
      </c>
      <c r="D79" s="24" t="n">
        <f aca="false">px*A79/PL!F40</f>
        <v>11.1413668673104</v>
      </c>
      <c r="E79" s="24" t="n">
        <f aca="false">pe_mid</f>
        <v>18.62</v>
      </c>
    </row>
    <row r="80" customFormat="false" ht="15" hidden="false" customHeight="false" outlineLevel="0" collapsed="false">
      <c r="A80" s="21" t="n">
        <v>1.5</v>
      </c>
      <c r="B80" s="24" t="n">
        <f aca="false">px*A80/PL!F14</f>
        <v>5.74835262553554</v>
      </c>
      <c r="C80" s="24" t="n">
        <f aca="false">px*A80/PL!F27</f>
        <v>8.13850879279366</v>
      </c>
      <c r="D80" s="24" t="n">
        <f aca="false">px*A80/PL!F40</f>
        <v>13.8116118189798</v>
      </c>
      <c r="E80" s="24" t="n">
        <f aca="false">pe_mid</f>
        <v>18.62</v>
      </c>
    </row>
    <row r="81" customFormat="false" ht="15" hidden="false" customHeight="false" outlineLevel="0" collapsed="false">
      <c r="A81" s="21" t="n">
        <v>2</v>
      </c>
      <c r="B81" s="24" t="n">
        <f aca="false">px*A81/PL!F14</f>
        <v>7.66447016738072</v>
      </c>
      <c r="C81" s="24" t="n">
        <f aca="false">px*A81/PL!F27</f>
        <v>10.8513450570582</v>
      </c>
      <c r="D81" s="24" t="n">
        <f aca="false">px*A81/PL!F40</f>
        <v>18.4154824253064</v>
      </c>
      <c r="E81" s="24" t="n">
        <f aca="false">pe_mid</f>
        <v>18.62</v>
      </c>
    </row>
    <row r="82" customFormat="false" ht="17.15" hidden="false" customHeight="false" outlineLevel="0" collapsed="false">
      <c r="A82" s="4" t="s">
        <v>522</v>
      </c>
    </row>
    <row r="84" customFormat="false" ht="17.15" hidden="false" customHeight="false" outlineLevel="0" collapsed="false">
      <c r="A84" s="6" t="s">
        <v>523</v>
      </c>
    </row>
    <row r="85" customFormat="false" ht="17.15" hidden="false" customHeight="false" outlineLevel="0" collapsed="false">
      <c r="A85" s="5" t="s">
        <v>524</v>
      </c>
      <c r="B85" s="5" t="s">
        <v>525</v>
      </c>
      <c r="C85" s="14" t="s">
        <v>526</v>
      </c>
      <c r="D85" s="14" t="s">
        <v>527</v>
      </c>
    </row>
    <row r="86" customFormat="false" ht="15" hidden="false" customHeight="false" outlineLevel="0" collapsed="false">
      <c r="A86" s="0" t="s">
        <v>528</v>
      </c>
      <c r="B86" s="20" t="n">
        <f aca="false">AVERAGE(C86:D86)</f>
        <v>16.46</v>
      </c>
      <c r="C86" s="20" t="n">
        <f aca="false">IF(ISNUMBER(B105),B105,"")</f>
        <v>16.35</v>
      </c>
      <c r="D86" s="20" t="n">
        <f aca="false">C105</f>
        <v>16.57</v>
      </c>
    </row>
    <row r="87" customFormat="false" ht="15" hidden="false" customHeight="false" outlineLevel="0" collapsed="false">
      <c r="A87" s="0" t="s">
        <v>529</v>
      </c>
      <c r="B87" s="20" t="n">
        <f aca="false">AVERAGE(C87:D87)</f>
        <v>18.005</v>
      </c>
      <c r="C87" s="20" t="n">
        <f aca="false">IF(ISNUMBER(B106),B106,"")</f>
        <v>18.4</v>
      </c>
      <c r="D87" s="20" t="n">
        <f aca="false">C106</f>
        <v>17.61</v>
      </c>
    </row>
    <row r="88" customFormat="false" ht="15" hidden="false" customHeight="false" outlineLevel="0" collapsed="false">
      <c r="A88" s="0" t="s">
        <v>530</v>
      </c>
      <c r="B88" s="20" t="n">
        <f aca="false">AVERAGE(C88:D88)</f>
        <v>26.28</v>
      </c>
      <c r="C88" s="20" t="str">
        <f aca="false">IF(ISNUMBER(B107),B107,"")</f>
        <v/>
      </c>
      <c r="D88" s="20" t="n">
        <f aca="false">C107</f>
        <v>26.28</v>
      </c>
    </row>
    <row r="89" customFormat="false" ht="15" hidden="false" customHeight="false" outlineLevel="0" collapsed="false">
      <c r="A89" s="0" t="s">
        <v>531</v>
      </c>
      <c r="B89" s="20" t="n">
        <f aca="false">AVERAGE(C89:D89)</f>
        <v>13.82</v>
      </c>
      <c r="C89" s="20" t="str">
        <f aca="false">IF(ISNUMBER(B108),B108,"")</f>
        <v/>
      </c>
      <c r="D89" s="20" t="n">
        <f aca="false">C108</f>
        <v>13.82</v>
      </c>
    </row>
    <row r="90" customFormat="false" ht="15" hidden="false" customHeight="false" outlineLevel="0" collapsed="false">
      <c r="A90" s="0" t="s">
        <v>532</v>
      </c>
      <c r="B90" s="20" t="n">
        <f aca="false">AVERAGE(C90:D90)</f>
        <v>21.375</v>
      </c>
      <c r="C90" s="20" t="n">
        <f aca="false">IF(ISNUMBER(B109),B109,"")</f>
        <v>26.05</v>
      </c>
      <c r="D90" s="20" t="n">
        <f aca="false">C109</f>
        <v>16.7</v>
      </c>
    </row>
    <row r="91" customFormat="false" ht="15" hidden="false" customHeight="false" outlineLevel="0" collapsed="false">
      <c r="A91" s="0" t="s">
        <v>533</v>
      </c>
      <c r="B91" s="20" t="n">
        <f aca="false">AVERAGE(C91:D91)</f>
        <v>16.37</v>
      </c>
      <c r="C91" s="20" t="n">
        <f aca="false">IF(ISNUMBER(B110),B110,"")</f>
        <v>16.75</v>
      </c>
      <c r="D91" s="20" t="n">
        <f aca="false">C110</f>
        <v>15.99</v>
      </c>
    </row>
    <row r="92" customFormat="false" ht="15" hidden="false" customHeight="false" outlineLevel="0" collapsed="false">
      <c r="A92" s="0" t="s">
        <v>534</v>
      </c>
      <c r="B92" s="20" t="n">
        <f aca="false">AVERAGE(C92:D92)</f>
        <v>7.485</v>
      </c>
      <c r="C92" s="20" t="n">
        <f aca="false">IF(ISNUMBER(B111),B111,"")</f>
        <v>7.63</v>
      </c>
      <c r="D92" s="20" t="n">
        <f aca="false">C111</f>
        <v>7.34</v>
      </c>
    </row>
    <row r="93" customFormat="false" ht="15" hidden="false" customHeight="false" outlineLevel="0" collapsed="false">
      <c r="A93" s="0" t="s">
        <v>535</v>
      </c>
      <c r="B93" s="20" t="n">
        <f aca="false">AVERAGE(C93:D93)</f>
        <v>21.185</v>
      </c>
      <c r="C93" s="20" t="n">
        <f aca="false">IF(ISNUMBER(B112),B112,"")</f>
        <v>21.77</v>
      </c>
      <c r="D93" s="20" t="n">
        <f aca="false">C112</f>
        <v>20.6</v>
      </c>
    </row>
    <row r="94" customFormat="false" ht="15" hidden="false" customHeight="false" outlineLevel="0" collapsed="false">
      <c r="A94" s="0" t="s">
        <v>536</v>
      </c>
      <c r="B94" s="20" t="n">
        <f aca="false">AVERAGE(C94:D94)</f>
        <v>40.355</v>
      </c>
      <c r="C94" s="20" t="n">
        <f aca="false">IF(ISNUMBER(B113),B113,"")</f>
        <v>41.13</v>
      </c>
      <c r="D94" s="20" t="n">
        <f aca="false">C113</f>
        <v>39.58</v>
      </c>
    </row>
    <row r="95" customFormat="false" ht="15" hidden="false" customHeight="false" outlineLevel="0" collapsed="false">
      <c r="A95" s="0" t="s">
        <v>537</v>
      </c>
      <c r="B95" s="20" t="n">
        <f aca="false">AVERAGE(C95:D95)</f>
        <v>28.605</v>
      </c>
      <c r="C95" s="20" t="n">
        <f aca="false">IF(ISNUMBER(B114),B114,"")</f>
        <v>29.52</v>
      </c>
      <c r="D95" s="20" t="n">
        <f aca="false">C114</f>
        <v>27.69</v>
      </c>
    </row>
    <row r="96" customFormat="false" ht="15" hidden="false" customHeight="false" outlineLevel="0" collapsed="false">
      <c r="A96" s="4" t="s">
        <v>538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539</v>
      </c>
    </row>
    <row r="101" customFormat="false" ht="17.15" hidden="false" customHeight="false" outlineLevel="0" collapsed="false">
      <c r="A101" s="4" t="s">
        <v>540</v>
      </c>
    </row>
    <row r="103" customFormat="false" ht="17.15" hidden="false" customHeight="false" outlineLevel="0" collapsed="false">
      <c r="A103" s="6" t="s">
        <v>541</v>
      </c>
    </row>
    <row r="104" customFormat="false" ht="17.15" hidden="false" customHeight="false" outlineLevel="0" collapsed="false">
      <c r="A104" s="5" t="s">
        <v>524</v>
      </c>
      <c r="B104" s="14" t="s">
        <v>542</v>
      </c>
      <c r="C104" s="14" t="s">
        <v>543</v>
      </c>
      <c r="D104" s="5" t="s">
        <v>544</v>
      </c>
    </row>
    <row r="105" customFormat="false" ht="17.15" hidden="false" customHeight="false" outlineLevel="0" collapsed="false">
      <c r="A105" s="0" t="s">
        <v>528</v>
      </c>
      <c r="B105" s="21" t="n">
        <v>16.35</v>
      </c>
      <c r="C105" s="21" t="n">
        <v>16.57</v>
      </c>
      <c r="D105" s="8" t="s">
        <v>545</v>
      </c>
    </row>
    <row r="106" customFormat="false" ht="15" hidden="false" customHeight="false" outlineLevel="0" collapsed="false">
      <c r="A106" s="0" t="s">
        <v>529</v>
      </c>
      <c r="B106" s="21" t="n">
        <v>18.4</v>
      </c>
      <c r="C106" s="21" t="n">
        <v>17.61</v>
      </c>
    </row>
    <row r="107" customFormat="false" ht="15" hidden="false" customHeight="false" outlineLevel="0" collapsed="false">
      <c r="A107" s="0" t="s">
        <v>530</v>
      </c>
      <c r="C107" s="21" t="n">
        <v>26.28</v>
      </c>
    </row>
    <row r="108" customFormat="false" ht="15" hidden="false" customHeight="false" outlineLevel="0" collapsed="false">
      <c r="A108" s="0" t="s">
        <v>531</v>
      </c>
      <c r="C108" s="21" t="n">
        <v>13.82</v>
      </c>
    </row>
    <row r="109" customFormat="false" ht="15" hidden="false" customHeight="false" outlineLevel="0" collapsed="false">
      <c r="A109" s="0" t="s">
        <v>532</v>
      </c>
      <c r="B109" s="21" t="n">
        <v>26.05</v>
      </c>
      <c r="C109" s="21" t="n">
        <v>16.7</v>
      </c>
    </row>
    <row r="110" customFormat="false" ht="15" hidden="false" customHeight="false" outlineLevel="0" collapsed="false">
      <c r="A110" s="0" t="s">
        <v>533</v>
      </c>
      <c r="B110" s="21" t="n">
        <v>16.75</v>
      </c>
      <c r="C110" s="21" t="n">
        <v>15.99</v>
      </c>
    </row>
    <row r="111" customFormat="false" ht="15" hidden="false" customHeight="false" outlineLevel="0" collapsed="false">
      <c r="A111" s="0" t="s">
        <v>534</v>
      </c>
      <c r="B111" s="21" t="n">
        <v>7.63</v>
      </c>
      <c r="C111" s="21" t="n">
        <v>7.34</v>
      </c>
    </row>
    <row r="112" customFormat="false" ht="15" hidden="false" customHeight="false" outlineLevel="0" collapsed="false">
      <c r="A112" s="0" t="s">
        <v>535</v>
      </c>
      <c r="B112" s="21" t="n">
        <v>21.77</v>
      </c>
      <c r="C112" s="21" t="n">
        <v>20.6</v>
      </c>
    </row>
    <row r="113" customFormat="false" ht="15" hidden="false" customHeight="false" outlineLevel="0" collapsed="false">
      <c r="A113" s="0" t="s">
        <v>536</v>
      </c>
      <c r="B113" s="21" t="n">
        <v>41.13</v>
      </c>
      <c r="C113" s="21" t="n">
        <v>39.58</v>
      </c>
    </row>
    <row r="114" customFormat="false" ht="15" hidden="false" customHeight="false" outlineLevel="0" collapsed="false">
      <c r="A114" s="0" t="s">
        <v>537</v>
      </c>
      <c r="B114" s="21" t="n">
        <v>29.52</v>
      </c>
      <c r="C114" s="21" t="n">
        <v>27.69</v>
      </c>
    </row>
    <row r="115" customFormat="false" ht="17.15" hidden="false" customHeight="false" outlineLevel="0" collapsed="false">
      <c r="A115" s="0" t="s">
        <v>546</v>
      </c>
      <c r="B115" s="20" t="n">
        <f aca="false">PERCENTILE(B105:B114,0.25)</f>
        <v>16.65</v>
      </c>
      <c r="C115" s="20" t="n">
        <f aca="false">PERCENTILE(C105:C114,0.25)</f>
        <v>16.135</v>
      </c>
    </row>
    <row r="116" customFormat="false" ht="15" hidden="false" customHeight="false" outlineLevel="0" collapsed="false">
      <c r="A116" s="4" t="s">
        <v>547</v>
      </c>
      <c r="B116" s="20" t="n">
        <f aca="false">MEDIAN(B105:B114)</f>
        <v>20.085</v>
      </c>
      <c r="C116" s="20" t="n">
        <f aca="false">MEDIAN(C105:C114)</f>
        <v>17.155</v>
      </c>
    </row>
    <row r="117" customFormat="false" ht="17.15" hidden="false" customHeight="false" outlineLevel="0" collapsed="false">
      <c r="A117" s="0" t="s">
        <v>548</v>
      </c>
      <c r="B117" s="20" t="n">
        <f aca="false">PERCENTILE(B105:B114,0.75)</f>
        <v>26.9175</v>
      </c>
      <c r="C117" s="20" t="n">
        <f aca="false">PERCENTILE(C105:C114,0.75)</f>
        <v>24.86</v>
      </c>
    </row>
    <row r="118" customFormat="false" ht="15" hidden="false" customHeight="false" outlineLevel="0" collapsed="false">
      <c r="A118" s="4" t="s">
        <v>549</v>
      </c>
      <c r="B118" s="20" t="n">
        <f aca="false">MIN(B105:B114)</f>
        <v>7.63</v>
      </c>
      <c r="C118" s="20" t="n">
        <f aca="false">MIN(C105:C114)</f>
        <v>7.34</v>
      </c>
    </row>
    <row r="119" customFormat="false" ht="15" hidden="false" customHeight="false" outlineLevel="0" collapsed="false">
      <c r="A119" s="4" t="s">
        <v>550</v>
      </c>
      <c r="B119" s="20" t="n">
        <f aca="false">MAX(B105:B114)</f>
        <v>41.13</v>
      </c>
      <c r="C119" s="20" t="n">
        <f aca="false">MAX(C105:C114)</f>
        <v>39.58</v>
      </c>
    </row>
    <row r="120" customFormat="false" ht="17.15" hidden="false" customHeight="false" outlineLevel="0" collapsed="false">
      <c r="A120" s="1" t="s">
        <v>551</v>
      </c>
      <c r="B120" s="20" t="n">
        <f aca="false">ROUND(AVERAGE(B115,C115),2)</f>
        <v>16.39</v>
      </c>
    </row>
    <row r="121" customFormat="false" ht="17.15" hidden="false" customHeight="false" outlineLevel="0" collapsed="false">
      <c r="A121" s="1" t="s">
        <v>552</v>
      </c>
      <c r="B121" s="20" t="n">
        <f aca="false">ROUND(AVERAGE(B116,C116),2)</f>
        <v>18.62</v>
      </c>
    </row>
    <row r="122" customFormat="false" ht="17.15" hidden="false" customHeight="false" outlineLevel="0" collapsed="false">
      <c r="A122" s="1" t="s">
        <v>553</v>
      </c>
      <c r="B122" s="20" t="n">
        <f aca="false">ROUND(AVERAGE(B117,C117),2)</f>
        <v>25.89</v>
      </c>
    </row>
    <row r="123" customFormat="false" ht="17.15" hidden="false" customHeight="false" outlineLevel="0" collapsed="false">
      <c r="A123" s="1" t="s">
        <v>554</v>
      </c>
      <c r="B123" s="20" t="n">
        <f aca="false">ROUND(MIN(B118,C118),2)</f>
        <v>7.34</v>
      </c>
    </row>
    <row r="124" customFormat="false" ht="17.15" hidden="false" customHeight="false" outlineLevel="0" collapsed="false">
      <c r="A124" s="1" t="s">
        <v>555</v>
      </c>
      <c r="B124" s="20" t="n">
        <f aca="false">ROUND(MAX(B119,C119),2)</f>
        <v>41.13</v>
      </c>
    </row>
    <row r="126" customFormat="false" ht="17.15" hidden="false" customHeight="false" outlineLevel="0" collapsed="false">
      <c r="A126" s="6" t="s">
        <v>556</v>
      </c>
    </row>
    <row r="127" customFormat="false" ht="17.15" hidden="false" customHeight="false" outlineLevel="0" collapsed="false">
      <c r="A127" s="5" t="s">
        <v>557</v>
      </c>
      <c r="B127" s="5" t="s">
        <v>558</v>
      </c>
      <c r="C127" s="5" t="s">
        <v>559</v>
      </c>
      <c r="D127" s="5" t="s">
        <v>19</v>
      </c>
      <c r="E127" s="5" t="s">
        <v>560</v>
      </c>
      <c r="F127" s="5" t="s">
        <v>513</v>
      </c>
      <c r="G127" s="5" t="s">
        <v>561</v>
      </c>
      <c r="H127" s="5" t="s">
        <v>562</v>
      </c>
    </row>
    <row r="128" customFormat="false" ht="17.15" hidden="false" customHeight="false" outlineLevel="0" collapsed="false">
      <c r="A128" s="4" t="s">
        <v>563</v>
      </c>
      <c r="B128" s="0" t="s">
        <v>564</v>
      </c>
      <c r="C128" s="20" t="n">
        <f aca="false">B120</f>
        <v>16.39</v>
      </c>
      <c r="D128" s="8" t="s">
        <v>565</v>
      </c>
      <c r="E128" s="20" t="n">
        <f aca="false">C72</f>
        <v>5.13719359842954</v>
      </c>
      <c r="F128" s="25" t="n">
        <f aca="false">C128*E128</f>
        <v>84.1986030782602</v>
      </c>
      <c r="G128" s="18" t="n">
        <f aca="false">F128/px-1</f>
        <v>1.55612031202976</v>
      </c>
      <c r="H128" s="20" t="n">
        <f aca="false">px/E128</f>
        <v>6.41206124878569</v>
      </c>
    </row>
    <row r="129" customFormat="false" ht="17.15" hidden="false" customHeight="false" outlineLevel="0" collapsed="false">
      <c r="A129" s="4" t="s">
        <v>566</v>
      </c>
      <c r="B129" s="4" t="s">
        <v>567</v>
      </c>
      <c r="C129" s="20" t="n">
        <f aca="false">B121</f>
        <v>18.62</v>
      </c>
      <c r="D129" s="8" t="s">
        <v>565</v>
      </c>
      <c r="E129" s="20" t="n">
        <f aca="false">C72</f>
        <v>5.13719359842954</v>
      </c>
      <c r="F129" s="25" t="n">
        <f aca="false">C129*E129</f>
        <v>95.6545448027581</v>
      </c>
      <c r="G129" s="18" t="n">
        <f aca="false">F129/px-1</f>
        <v>1.90390239231202</v>
      </c>
      <c r="H129" s="20" t="n">
        <f aca="false">px/E129</f>
        <v>6.41206124878569</v>
      </c>
    </row>
    <row r="130" customFormat="false" ht="17.15" hidden="false" customHeight="false" outlineLevel="0" collapsed="false">
      <c r="A130" s="4" t="s">
        <v>568</v>
      </c>
      <c r="B130" s="0" t="s">
        <v>569</v>
      </c>
      <c r="C130" s="20" t="n">
        <f aca="false">B122</f>
        <v>25.89</v>
      </c>
      <c r="D130" s="8" t="s">
        <v>565</v>
      </c>
      <c r="E130" s="20" t="n">
        <f aca="false">C72</f>
        <v>5.13719359842954</v>
      </c>
      <c r="F130" s="25" t="n">
        <f aca="false">C130*E130</f>
        <v>133.001942263341</v>
      </c>
      <c r="G130" s="18" t="n">
        <f aca="false">F130/px-1</f>
        <v>3.03770316525018</v>
      </c>
      <c r="H130" s="20" t="n">
        <f aca="false">px/E130</f>
        <v>6.41206124878569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570</v>
      </c>
    </row>
    <row r="3" customFormat="false" ht="17.15" hidden="false" customHeight="false" outlineLevel="0" collapsed="false">
      <c r="A3" s="5" t="s">
        <v>16</v>
      </c>
      <c r="B3" s="5" t="s">
        <v>571</v>
      </c>
      <c r="C3" s="5" t="s">
        <v>572</v>
      </c>
      <c r="D3" s="5" t="s">
        <v>573</v>
      </c>
      <c r="E3" s="5" t="s">
        <v>574</v>
      </c>
      <c r="F3" s="5" t="s">
        <v>575</v>
      </c>
      <c r="G3" s="5" t="s">
        <v>576</v>
      </c>
      <c r="H3" s="5" t="s">
        <v>577</v>
      </c>
      <c r="I3" s="5" t="s">
        <v>578</v>
      </c>
      <c r="J3" s="5" t="s">
        <v>324</v>
      </c>
    </row>
    <row r="4" customFormat="false" ht="17.15" hidden="false" customHeight="false" outlineLevel="0" collapsed="false">
      <c r="A4" s="6" t="s">
        <v>579</v>
      </c>
    </row>
    <row r="5" customFormat="false" ht="17.15" hidden="false" customHeight="false" outlineLevel="0" collapsed="false">
      <c r="A5" s="0" t="s">
        <v>580</v>
      </c>
      <c r="B5" s="26" t="n">
        <f aca="false">c_rev27</f>
        <v>70</v>
      </c>
      <c r="C5" s="26" t="n">
        <f aca="false">PL!E78</f>
        <v>72</v>
      </c>
      <c r="D5" s="18" t="n">
        <f aca="false">C5/B5-1</f>
        <v>0.0285714285714285</v>
      </c>
      <c r="E5" s="26" t="n">
        <f aca="false">PL!E120</f>
        <v>68.5</v>
      </c>
      <c r="F5" s="18" t="n">
        <f aca="false">E5/B5-1</f>
        <v>-0.0214285714285715</v>
      </c>
      <c r="G5" s="26" t="n">
        <f aca="false">PL!E162</f>
        <v>65</v>
      </c>
      <c r="H5" s="18" t="n">
        <f aca="false">G5/B5-1</f>
        <v>-0.0714285714285714</v>
      </c>
      <c r="I5" s="8" t="s">
        <v>581</v>
      </c>
      <c r="J5" s="4" t="s">
        <v>582</v>
      </c>
    </row>
    <row r="6" customFormat="false" ht="17.15" hidden="false" customHeight="false" outlineLevel="0" collapsed="false">
      <c r="A6" s="0" t="s">
        <v>583</v>
      </c>
      <c r="B6" s="26" t="n">
        <f aca="false">c_rev28</f>
        <v>81.4</v>
      </c>
      <c r="C6" s="26" t="n">
        <f aca="false">PL!F78</f>
        <v>97.8331397931247</v>
      </c>
      <c r="D6" s="18" t="n">
        <f aca="false">C6/B6-1</f>
        <v>0.201881324239862</v>
      </c>
      <c r="E6" s="26" t="n">
        <f aca="false">PL!F120</f>
        <v>80.6397116317433</v>
      </c>
      <c r="F6" s="18" t="n">
        <f aca="false">E6/B6-1</f>
        <v>-0.00934015194418558</v>
      </c>
      <c r="G6" s="26" t="n">
        <f aca="false">PL!F162</f>
        <v>62.7175708446539</v>
      </c>
      <c r="H6" s="18" t="n">
        <f aca="false">G6/B6-1</f>
        <v>-0.229513871687299</v>
      </c>
      <c r="I6" s="8" t="s">
        <v>584</v>
      </c>
    </row>
    <row r="7" customFormat="false" ht="17.15" hidden="false" customHeight="false" outlineLevel="0" collapsed="false">
      <c r="A7" s="0" t="s">
        <v>585</v>
      </c>
      <c r="B7" s="26" t="n">
        <f aca="false">c_eps27</f>
        <v>4.67</v>
      </c>
      <c r="C7" s="26" t="n">
        <f aca="false">PL!E97</f>
        <v>6.05739255056047</v>
      </c>
      <c r="D7" s="18" t="n">
        <f aca="false">C7/B7-1</f>
        <v>0.297086199263484</v>
      </c>
      <c r="E7" s="26" t="n">
        <f aca="false">PL!E139</f>
        <v>5.13719359842954</v>
      </c>
      <c r="F7" s="18" t="n">
        <f aca="false">E7/B7-1</f>
        <v>0.100041455766497</v>
      </c>
      <c r="G7" s="26" t="n">
        <f aca="false">PL!E181</f>
        <v>4.28746444495634</v>
      </c>
      <c r="H7" s="18" t="n">
        <f aca="false">G7/B7-1</f>
        <v>-0.0819133950842966</v>
      </c>
      <c r="I7" s="8" t="s">
        <v>586</v>
      </c>
      <c r="J7" s="4" t="s">
        <v>587</v>
      </c>
    </row>
    <row r="8" customFormat="false" ht="17.15" hidden="false" customHeight="false" outlineLevel="0" collapsed="false">
      <c r="A8" s="0" t="s">
        <v>588</v>
      </c>
      <c r="B8" s="26" t="n">
        <f aca="false">c_eps27</f>
        <v>4.67</v>
      </c>
      <c r="C8" s="26" t="n">
        <f aca="false">PL!E97+sbc_ps</f>
        <v>6.45470798680208</v>
      </c>
      <c r="D8" s="18" t="n">
        <f aca="false">C8/B8-1</f>
        <v>0.382164451135349</v>
      </c>
      <c r="E8" s="26" t="n">
        <f aca="false">PL!E139+sbc_ps</f>
        <v>5.53450903467115</v>
      </c>
      <c r="F8" s="18" t="n">
        <f aca="false">E8/B8-1</f>
        <v>0.185119707638363</v>
      </c>
      <c r="G8" s="26" t="n">
        <f aca="false">PL!E181+sbc_ps</f>
        <v>4.68477988119795</v>
      </c>
      <c r="H8" s="18" t="n">
        <f aca="false">G8/B8-1</f>
        <v>0.00316485678756862</v>
      </c>
      <c r="I8" s="4" t="s">
        <v>33</v>
      </c>
      <c r="J8" s="4" t="s">
        <v>589</v>
      </c>
    </row>
    <row r="9" customFormat="false" ht="17.15" hidden="false" customHeight="false" outlineLevel="0" collapsed="false">
      <c r="A9" s="0" t="s">
        <v>590</v>
      </c>
      <c r="B9" s="26" t="n">
        <f aca="false">c_eps28</f>
        <v>5.59</v>
      </c>
      <c r="C9" s="26" t="n">
        <f aca="false">PL!F97+sbc_ps</f>
        <v>8.99282152619669</v>
      </c>
      <c r="D9" s="18" t="n">
        <f aca="false">C9/B9-1</f>
        <v>0.608733725616581</v>
      </c>
      <c r="E9" s="26" t="n">
        <f aca="false">PL!F139+sbc_ps</f>
        <v>6.46845220809725</v>
      </c>
      <c r="F9" s="18" t="n">
        <f aca="false">E9/B9-1</f>
        <v>0.157147085527235</v>
      </c>
      <c r="G9" s="26" t="n">
        <f aca="false">PL!F181+sbc_ps</f>
        <v>3.97474004443261</v>
      </c>
      <c r="H9" s="18" t="n">
        <f aca="false">G9/B9-1</f>
        <v>-0.28895526933227</v>
      </c>
      <c r="I9" s="8" t="s">
        <v>591</v>
      </c>
    </row>
    <row r="10" customFormat="false" ht="17.15" hidden="false" customHeight="false" outlineLevel="0" collapsed="false">
      <c r="A10" s="6" t="s">
        <v>592</v>
      </c>
    </row>
    <row r="11" customFormat="false" ht="17.15" hidden="false" customHeight="false" outlineLevel="0" collapsed="false">
      <c r="A11" s="0" t="s">
        <v>593</v>
      </c>
      <c r="B11" s="26" t="n">
        <f aca="false">g27</f>
        <v>68.5</v>
      </c>
      <c r="C11" s="26" t="n">
        <f aca="false">PL!E78</f>
        <v>72</v>
      </c>
      <c r="D11" s="18" t="n">
        <f aca="false">C11/B11-1</f>
        <v>0.051094890510949</v>
      </c>
      <c r="E11" s="26" t="n">
        <f aca="false">PL!E120</f>
        <v>68.5</v>
      </c>
      <c r="F11" s="18" t="n">
        <f aca="false">E11/B11-1</f>
        <v>0</v>
      </c>
      <c r="G11" s="26" t="n">
        <f aca="false">PL!E162</f>
        <v>65</v>
      </c>
      <c r="H11" s="18" t="n">
        <f aca="false">G11/B11-1</f>
        <v>-0.051094890510949</v>
      </c>
      <c r="I11" s="4" t="s">
        <v>594</v>
      </c>
      <c r="J11" s="4" t="s">
        <v>595</v>
      </c>
    </row>
    <row r="12" customFormat="false" ht="17.15" hidden="false" customHeight="false" outlineLevel="0" collapsed="false">
      <c r="A12" s="0" t="s">
        <v>596</v>
      </c>
      <c r="B12" s="17" t="n">
        <f aca="false">q1_gm</f>
        <v>0.1225</v>
      </c>
      <c r="C12" s="17" t="n">
        <f aca="false">PL!E86</f>
        <v>0.116217301245042</v>
      </c>
      <c r="D12" s="18" t="n">
        <f aca="false">C12-B12</f>
        <v>-0.00628269875495757</v>
      </c>
      <c r="E12" s="17" t="n">
        <f aca="false">PL!E128</f>
        <v>0.108049202240794</v>
      </c>
      <c r="F12" s="18" t="n">
        <f aca="false">E12-B12</f>
        <v>-0.0144507977592064</v>
      </c>
      <c r="G12" s="17" t="n">
        <f aca="false">PL!E170</f>
        <v>0.100078384882241</v>
      </c>
      <c r="H12" s="18" t="n">
        <f aca="false">G12-B12</f>
        <v>-0.022421615117759</v>
      </c>
      <c r="I12" s="4" t="s">
        <v>597</v>
      </c>
      <c r="J12" s="8" t="s">
        <v>598</v>
      </c>
    </row>
    <row r="13" customFormat="false" ht="17.15" hidden="false" customHeight="false" outlineLevel="0" collapsed="false">
      <c r="A13" s="0" t="s">
        <v>599</v>
      </c>
      <c r="B13" s="26" t="n">
        <f aca="false">q1_rev*4</f>
        <v>76</v>
      </c>
      <c r="C13" s="26" t="n">
        <f aca="false">PL!E78</f>
        <v>72</v>
      </c>
      <c r="D13" s="18" t="n">
        <f aca="false">C13/B13-1</f>
        <v>-0.0526315789473685</v>
      </c>
      <c r="E13" s="26" t="n">
        <f aca="false">PL!E120</f>
        <v>68.5</v>
      </c>
      <c r="F13" s="18" t="n">
        <f aca="false">E13/B13-1</f>
        <v>-0.0986842105263158</v>
      </c>
      <c r="G13" s="26" t="n">
        <f aca="false">PL!E162</f>
        <v>65</v>
      </c>
      <c r="H13" s="18" t="n">
        <f aca="false">G13/B13-1</f>
        <v>-0.144736842105263</v>
      </c>
      <c r="I13" s="4" t="s">
        <v>597</v>
      </c>
      <c r="J13" s="8" t="s">
        <v>600</v>
      </c>
    </row>
    <row r="14" customFormat="false" ht="17.15" hidden="false" customHeight="false" outlineLevel="0" collapsed="false">
      <c r="A14" s="6" t="s">
        <v>601</v>
      </c>
    </row>
    <row r="15" customFormat="false" ht="17.15" hidden="false" customHeight="false" outlineLevel="0" collapsed="false">
      <c r="A15" s="0" t="s">
        <v>602</v>
      </c>
      <c r="C15" s="17" t="n">
        <f aca="false">PL!D70</f>
        <v>0.0499294936443149</v>
      </c>
      <c r="E15" s="17" t="n">
        <f aca="false">PL!D112</f>
        <v>0.0499294936443149</v>
      </c>
      <c r="G15" s="17" t="n">
        <f aca="false">PL!D154</f>
        <v>0.0499294936443149</v>
      </c>
      <c r="I15" s="8" t="s">
        <v>28</v>
      </c>
    </row>
    <row r="16" customFormat="false" ht="17.15" hidden="false" customHeight="false" outlineLevel="0" collapsed="false">
      <c r="A16" s="0" t="s">
        <v>603</v>
      </c>
      <c r="C16" s="17" t="n">
        <f aca="false">PL!E73</f>
        <v>0.0696416435825827</v>
      </c>
      <c r="E16" s="17" t="n">
        <f aca="false">PL!E115</f>
        <v>0.0656767299217244</v>
      </c>
      <c r="G16" s="17" t="n">
        <f aca="false">PL!E157</f>
        <v>0.0617118162608662</v>
      </c>
      <c r="I16" s="8" t="s">
        <v>28</v>
      </c>
    </row>
    <row r="17" customFormat="false" ht="17.15" hidden="false" customHeight="false" outlineLevel="0" collapsed="false">
      <c r="A17" s="0" t="s">
        <v>392</v>
      </c>
      <c r="C17" s="20" t="n">
        <f aca="false">PL!E74</f>
        <v>1.39479971655015</v>
      </c>
      <c r="E17" s="20" t="n">
        <f aca="false">PL!E116</f>
        <v>1.31538946478386</v>
      </c>
      <c r="G17" s="20" t="n">
        <f aca="false">PL!E158</f>
        <v>1.23597921301757</v>
      </c>
      <c r="I17" s="8" t="s">
        <v>28</v>
      </c>
      <c r="J17" s="4" t="s">
        <v>604</v>
      </c>
    </row>
    <row r="18" customFormat="false" ht="17.15" hidden="false" customHeight="false" outlineLevel="0" collapsed="false">
      <c r="A18" s="0" t="s">
        <v>605</v>
      </c>
      <c r="C18" s="20" t="n">
        <f aca="false">PL!E81</f>
        <v>0.680747066019746</v>
      </c>
      <c r="E18" s="20" t="n">
        <f aca="false">PL!E123</f>
        <v>0.641990034984856</v>
      </c>
      <c r="G18" s="20" t="n">
        <f aca="false">PL!E165</f>
        <v>0.603233003949967</v>
      </c>
      <c r="I18" s="8" t="s">
        <v>28</v>
      </c>
    </row>
    <row r="19" customFormat="false" ht="17.15" hidden="false" customHeight="false" outlineLevel="0" collapsed="false">
      <c r="A19" s="6" t="s">
        <v>606</v>
      </c>
    </row>
    <row r="20" customFormat="false" ht="17.15" hidden="false" customHeight="false" outlineLevel="0" collapsed="false">
      <c r="A20" s="0" t="s">
        <v>607</v>
      </c>
      <c r="C20" s="17" t="n">
        <f aca="false">PL!D83</f>
        <v>0.0954338753281983</v>
      </c>
      <c r="E20" s="17" t="n">
        <f aca="false">PL!D125</f>
        <v>0.0954338753281983</v>
      </c>
      <c r="G20" s="17" t="n">
        <f aca="false">PL!D167</f>
        <v>0.0954338753281983</v>
      </c>
      <c r="I20" s="8" t="s">
        <v>608</v>
      </c>
      <c r="J20" s="4" t="s">
        <v>609</v>
      </c>
    </row>
    <row r="21" customFormat="false" ht="17.15" hidden="false" customHeight="false" outlineLevel="0" collapsed="false">
      <c r="A21" s="6" t="s">
        <v>610</v>
      </c>
    </row>
    <row r="22" customFormat="false" ht="17.15" hidden="false" customHeight="false" outlineLevel="0" collapsed="false">
      <c r="A22" s="0" t="s">
        <v>611</v>
      </c>
      <c r="J22" s="4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613</v>
      </c>
    </row>
    <row r="3" customFormat="false" ht="17.15" hidden="false" customHeight="false" outlineLevel="0" collapsed="false">
      <c r="A3" s="5" t="s">
        <v>614</v>
      </c>
      <c r="B3" s="5" t="s">
        <v>615</v>
      </c>
      <c r="C3" s="14" t="s">
        <v>616</v>
      </c>
      <c r="D3" s="14" t="s">
        <v>617</v>
      </c>
      <c r="E3" s="14" t="s">
        <v>510</v>
      </c>
      <c r="F3" s="14" t="s">
        <v>618</v>
      </c>
      <c r="G3" s="14" t="s">
        <v>619</v>
      </c>
      <c r="H3" s="14" t="s">
        <v>620</v>
      </c>
      <c r="I3" s="14" t="s">
        <v>621</v>
      </c>
      <c r="J3" s="14" t="s">
        <v>622</v>
      </c>
    </row>
    <row r="4" customFormat="false" ht="17.15" hidden="false" customHeight="false" outlineLevel="0" collapsed="false">
      <c r="A4" s="4" t="s">
        <v>623</v>
      </c>
      <c r="B4" s="0" t="s">
        <v>624</v>
      </c>
      <c r="C4" s="25" t="n">
        <f aca="false">PL!E78</f>
        <v>72</v>
      </c>
      <c r="D4" s="17" t="n">
        <f aca="false">PL!E86</f>
        <v>0.116217301245042</v>
      </c>
      <c r="E4" s="20" t="n">
        <f aca="false">PL!E97</f>
        <v>6.05739255056047</v>
      </c>
      <c r="F4" s="18" t="n">
        <f aca="false">E4/E$4-1</f>
        <v>0</v>
      </c>
      <c r="G4" s="25" t="n">
        <f aca="false">PL!F78</f>
        <v>97.8331397931247</v>
      </c>
      <c r="H4" s="17" t="n">
        <f aca="false">PL!F86</f>
        <v>0.115030673511766</v>
      </c>
      <c r="I4" s="20" t="n">
        <f aca="false">PL!F97</f>
        <v>8.59550608995508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625</v>
      </c>
      <c r="B5" s="0" t="s">
        <v>626</v>
      </c>
      <c r="C5" s="25" t="n">
        <f aca="false">E58</f>
        <v>63.8519277008378</v>
      </c>
      <c r="D5" s="17" t="n">
        <f aca="false">E66</f>
        <v>0.11695531768721</v>
      </c>
      <c r="E5" s="20" t="n">
        <f aca="false">E77</f>
        <v>5.27389441747131</v>
      </c>
      <c r="F5" s="18" t="n">
        <f aca="false">E5/E$4-1</f>
        <v>-0.129345774860945</v>
      </c>
      <c r="G5" s="25" t="n">
        <f aca="false">F58</f>
        <v>80.5397655484998</v>
      </c>
      <c r="H5" s="17" t="n">
        <f aca="false">F66</f>
        <v>0.116017690928245</v>
      </c>
      <c r="I5" s="20" t="n">
        <f aca="false">F77</f>
        <v>6.90145250829396</v>
      </c>
      <c r="J5" s="18" t="n">
        <f aca="false">I5/I$4-1</f>
        <v>-0.197085961423589</v>
      </c>
    </row>
    <row r="6" customFormat="false" ht="17.15" hidden="false" customHeight="false" outlineLevel="0" collapsed="false">
      <c r="A6" s="0" t="s">
        <v>627</v>
      </c>
      <c r="B6" s="0" t="s">
        <v>628</v>
      </c>
      <c r="C6" s="25" t="n">
        <f aca="false">E100</f>
        <v>80.1480722991622</v>
      </c>
      <c r="D6" s="17" t="n">
        <f aca="false">E108</f>
        <v>0.11562934234403</v>
      </c>
      <c r="E6" s="20" t="n">
        <f aca="false">E119</f>
        <v>6.84089068364963</v>
      </c>
      <c r="F6" s="18" t="n">
        <f aca="false">E6/E$4-1</f>
        <v>0.129345774860944</v>
      </c>
      <c r="G6" s="25" t="n">
        <f aca="false">F100</f>
        <v>115.12651403775</v>
      </c>
      <c r="H6" s="17" t="n">
        <f aca="false">F108</f>
        <v>0.114340179649602</v>
      </c>
      <c r="I6" s="20" t="n">
        <f aca="false">F119</f>
        <v>10.2964641425533</v>
      </c>
      <c r="J6" s="18" t="n">
        <f aca="false">I6/I$4-1</f>
        <v>0.197889226625761</v>
      </c>
    </row>
    <row r="7" customFormat="false" ht="17.15" hidden="false" customHeight="false" outlineLevel="0" collapsed="false">
      <c r="A7" s="0" t="s">
        <v>629</v>
      </c>
      <c r="B7" s="0" t="s">
        <v>630</v>
      </c>
      <c r="C7" s="25" t="n">
        <f aca="false">E142</f>
        <v>65</v>
      </c>
      <c r="D7" s="17" t="n">
        <f aca="false">E150</f>
        <v>0.116840131728395</v>
      </c>
      <c r="E7" s="20" t="n">
        <f aca="false">E161</f>
        <v>5.38429016139929</v>
      </c>
      <c r="F7" s="18" t="n">
        <f aca="false">E7/E$4-1</f>
        <v>-0.11112081370703</v>
      </c>
      <c r="G7" s="25" t="n">
        <f aca="false">F142</f>
        <v>87.9874882177796</v>
      </c>
      <c r="H7" s="17" t="n">
        <f aca="false">F150</f>
        <v>0.115545047477819</v>
      </c>
      <c r="I7" s="20" t="n">
        <f aca="false">F161</f>
        <v>7.63455086369188</v>
      </c>
      <c r="J7" s="18" t="n">
        <f aca="false">I7/I$4-1</f>
        <v>-0.111797399269624</v>
      </c>
    </row>
    <row r="8" customFormat="false" ht="17.15" hidden="false" customHeight="false" outlineLevel="0" collapsed="false">
      <c r="A8" s="4" t="s">
        <v>631</v>
      </c>
      <c r="B8" s="4" t="s">
        <v>632</v>
      </c>
      <c r="C8" s="25" t="n">
        <f aca="false">E184</f>
        <v>72</v>
      </c>
      <c r="D8" s="17" t="n">
        <f aca="false">E192</f>
        <v>0.116217301245042</v>
      </c>
      <c r="E8" s="20" t="n">
        <f aca="false">E203</f>
        <v>6.05739255056047</v>
      </c>
      <c r="F8" s="18" t="n">
        <f aca="false">E8/E$4-1</f>
        <v>0</v>
      </c>
      <c r="G8" s="25" t="n">
        <f aca="false">F184</f>
        <v>93.5097962319685</v>
      </c>
      <c r="H8" s="17" t="n">
        <f aca="false">F192</f>
        <v>0.115243202451297</v>
      </c>
      <c r="I8" s="20" t="n">
        <f aca="false">F203</f>
        <v>8.16625616796285</v>
      </c>
      <c r="J8" s="18" t="n">
        <f aca="false">I8/I$4-1</f>
        <v>-0.0499388770713405</v>
      </c>
    </row>
    <row r="9" customFormat="false" ht="17.15" hidden="false" customHeight="false" outlineLevel="0" collapsed="false">
      <c r="A9" s="4" t="s">
        <v>633</v>
      </c>
      <c r="B9" s="4" t="s">
        <v>634</v>
      </c>
      <c r="C9" s="25" t="n">
        <f aca="false">E226</f>
        <v>72</v>
      </c>
      <c r="D9" s="17" t="n">
        <f aca="false">E234</f>
        <v>0.116217301245042</v>
      </c>
      <c r="E9" s="20" t="n">
        <f aca="false">E245</f>
        <v>6.05739255056047</v>
      </c>
      <c r="F9" s="18" t="n">
        <f aca="false">E9/E$4-1</f>
        <v>0</v>
      </c>
      <c r="G9" s="25" t="n">
        <f aca="false">F226</f>
        <v>84.863109109656</v>
      </c>
      <c r="H9" s="17" t="n">
        <f aca="false">F234</f>
        <v>0.115733223938119</v>
      </c>
      <c r="I9" s="20" t="n">
        <f aca="false">F245</f>
        <v>7.30775632397841</v>
      </c>
      <c r="J9" s="18" t="n">
        <f aca="false">I9/I$4-1</f>
        <v>-0.149816631214021</v>
      </c>
    </row>
    <row r="10" customFormat="false" ht="17.15" hidden="false" customHeight="false" outlineLevel="0" collapsed="false">
      <c r="A10" s="4" t="s">
        <v>635</v>
      </c>
      <c r="B10" s="0" t="s">
        <v>636</v>
      </c>
      <c r="C10" s="25" t="n">
        <f aca="false">E268</f>
        <v>65</v>
      </c>
      <c r="D10" s="17" t="n">
        <f aca="false">E276</f>
        <v>0.116840131728395</v>
      </c>
      <c r="E10" s="20" t="n">
        <f aca="false">E287</f>
        <v>5.38429016139929</v>
      </c>
      <c r="F10" s="18" t="n">
        <f aca="false">E10/E$4-1</f>
        <v>-0.11112081370703</v>
      </c>
      <c r="G10" s="25" t="n">
        <f aca="false">F268</f>
        <v>72.6632442882237</v>
      </c>
      <c r="H10" s="17" t="n">
        <f aca="false">F276</f>
        <v>0.116622963135921</v>
      </c>
      <c r="I10" s="20" t="n">
        <f aca="false">F287</f>
        <v>6.12104713530348</v>
      </c>
      <c r="J10" s="18" t="n">
        <f aca="false">I10/I$4-1</f>
        <v>-0.287878215518142</v>
      </c>
    </row>
    <row r="11" customFormat="false" ht="17.15" hidden="false" customHeight="false" outlineLevel="0" collapsed="false">
      <c r="A11" s="4" t="s">
        <v>637</v>
      </c>
      <c r="B11" s="0" t="s">
        <v>638</v>
      </c>
      <c r="C11" s="25" t="n">
        <f aca="false">E310</f>
        <v>72</v>
      </c>
      <c r="D11" s="17" t="n">
        <f aca="false">E318</f>
        <v>0.116217301245042</v>
      </c>
      <c r="E11" s="20" t="n">
        <f aca="false">E329</f>
        <v>6.05739255056047</v>
      </c>
      <c r="F11" s="18" t="n">
        <f aca="false">E11/E$4-1</f>
        <v>0</v>
      </c>
      <c r="G11" s="25" t="n">
        <f aca="false">F310</f>
        <v>91.1301315983012</v>
      </c>
      <c r="H11" s="17" t="n">
        <f aca="false">F318</f>
        <v>0.115368787540069</v>
      </c>
      <c r="I11" s="20" t="n">
        <f aca="false">F329</f>
        <v>7.92998744586847</v>
      </c>
      <c r="J11" s="18" t="n">
        <f aca="false">I11/I$4-1</f>
        <v>-0.077426347805669</v>
      </c>
    </row>
    <row r="12" customFormat="false" ht="15" hidden="false" customHeight="false" outlineLevel="0" collapsed="false">
      <c r="A12" s="4" t="s">
        <v>639</v>
      </c>
      <c r="B12" s="0" t="s">
        <v>628</v>
      </c>
      <c r="C12" s="25" t="n">
        <f aca="false">E352</f>
        <v>72</v>
      </c>
      <c r="D12" s="17" t="n">
        <f aca="false">E360</f>
        <v>0.116217301245042</v>
      </c>
      <c r="E12" s="20" t="n">
        <f aca="false">E371</f>
        <v>6.05739255056047</v>
      </c>
      <c r="F12" s="18" t="n">
        <f aca="false">E12/E$4-1</f>
        <v>0</v>
      </c>
      <c r="G12" s="25" t="n">
        <f aca="false">F352</f>
        <v>106.77048405289</v>
      </c>
      <c r="H12" s="17" t="n">
        <f aca="false">F360</f>
        <v>0.114645893315033</v>
      </c>
      <c r="I12" s="20" t="n">
        <f aca="false">F371</f>
        <v>9.48286428207055</v>
      </c>
      <c r="J12" s="18" t="n">
        <f aca="false">I12/I$4-1</f>
        <v>0.103235130407558</v>
      </c>
    </row>
    <row r="13" customFormat="false" ht="17.15" hidden="false" customHeight="false" outlineLevel="0" collapsed="false">
      <c r="A13" s="0" t="s">
        <v>640</v>
      </c>
      <c r="B13" s="0" t="s">
        <v>641</v>
      </c>
      <c r="C13" s="25" t="n">
        <f aca="false">E394</f>
        <v>72</v>
      </c>
      <c r="D13" s="17" t="n">
        <f aca="false">E402</f>
        <v>0.107679012738098</v>
      </c>
      <c r="E13" s="20" t="n">
        <f aca="false">E413</f>
        <v>5.43850989368128</v>
      </c>
      <c r="F13" s="18" t="n">
        <f aca="false">E13/E$4-1</f>
        <v>-0.102169811798301</v>
      </c>
      <c r="G13" s="25" t="n">
        <f aca="false">F394</f>
        <v>97.8331397931247</v>
      </c>
      <c r="H13" s="17" t="n">
        <f aca="false">F402</f>
        <v>0.10442483527667</v>
      </c>
      <c r="I13" s="20" t="n">
        <f aca="false">F413</f>
        <v>7.56128210031042</v>
      </c>
      <c r="J13" s="18" t="n">
        <f aca="false">I13/I$4-1</f>
        <v>-0.120321477155752</v>
      </c>
    </row>
    <row r="14" customFormat="false" ht="17.15" hidden="false" customHeight="false" outlineLevel="0" collapsed="false">
      <c r="A14" s="0" t="s">
        <v>642</v>
      </c>
      <c r="B14" s="0" t="s">
        <v>643</v>
      </c>
      <c r="C14" s="25" t="n">
        <f aca="false">E436</f>
        <v>72</v>
      </c>
      <c r="D14" s="17" t="n">
        <f aca="false">E444</f>
        <v>0.0991407242311535</v>
      </c>
      <c r="E14" s="20" t="n">
        <f aca="false">E455</f>
        <v>4.81962723680208</v>
      </c>
      <c r="F14" s="18" t="n">
        <f aca="false">E14/E$4-1</f>
        <v>-0.204339623596603</v>
      </c>
      <c r="G14" s="25" t="n">
        <f aca="false">F436</f>
        <v>97.8331397931247</v>
      </c>
      <c r="H14" s="17" t="n">
        <f aca="false">F444</f>
        <v>0.0885160779240243</v>
      </c>
      <c r="I14" s="20" t="n">
        <f aca="false">F455</f>
        <v>6.00994611584343</v>
      </c>
      <c r="J14" s="18" t="n">
        <f aca="false">I14/I$4-1</f>
        <v>-0.30080369288938</v>
      </c>
    </row>
    <row r="15" customFormat="false" ht="17.15" hidden="false" customHeight="false" outlineLevel="0" collapsed="false">
      <c r="A15" s="4" t="s">
        <v>644</v>
      </c>
      <c r="B15" s="4" t="s">
        <v>645</v>
      </c>
      <c r="C15" s="25" t="n">
        <f aca="false">E478</f>
        <v>72</v>
      </c>
      <c r="D15" s="17" t="n">
        <f aca="false">E486</f>
        <v>0.118518564087123</v>
      </c>
      <c r="E15" s="20" t="n">
        <f aca="false">E497</f>
        <v>6.22419549481864</v>
      </c>
      <c r="F15" s="18" t="n">
        <f aca="false">E15/E$4-1</f>
        <v>0.0275370867689155</v>
      </c>
      <c r="G15" s="25" t="n">
        <f aca="false">F478</f>
        <v>97.8331397931247</v>
      </c>
      <c r="H15" s="17" t="n">
        <f aca="false">F486</f>
        <v>0.118115275102697</v>
      </c>
      <c r="I15" s="20" t="n">
        <f aca="false">F497</f>
        <v>8.89629975596437</v>
      </c>
      <c r="J15" s="18" t="n">
        <f aca="false">I15/I$4-1</f>
        <v>0.0349942938625578</v>
      </c>
    </row>
    <row r="16" customFormat="false" ht="17.15" hidden="false" customHeight="false" outlineLevel="0" collapsed="false">
      <c r="A16" s="4" t="s">
        <v>646</v>
      </c>
      <c r="B16" s="4" t="s">
        <v>645</v>
      </c>
      <c r="C16" s="25" t="n">
        <f aca="false">E520</f>
        <v>72</v>
      </c>
      <c r="D16" s="17" t="n">
        <f aca="false">E528</f>
        <v>0.112765406981922</v>
      </c>
      <c r="E16" s="20" t="n">
        <f aca="false">E539</f>
        <v>5.80718813417322</v>
      </c>
      <c r="F16" s="18" t="n">
        <f aca="false">E16/E$4-1</f>
        <v>-0.0413056301533734</v>
      </c>
      <c r="G16" s="25" t="n">
        <f aca="false">F520</f>
        <v>97.8331397931247</v>
      </c>
      <c r="H16" s="17" t="n">
        <f aca="false">F528</f>
        <v>0.110403771125371</v>
      </c>
      <c r="I16" s="20" t="n">
        <f aca="false">F539</f>
        <v>8.14431559094113</v>
      </c>
      <c r="J16" s="18" t="n">
        <f aca="false">I16/I$4-1</f>
        <v>-0.0524914407938372</v>
      </c>
    </row>
    <row r="17" customFormat="false" ht="17.15" hidden="false" customHeight="false" outlineLevel="0" collapsed="false">
      <c r="A17" s="4" t="s">
        <v>647</v>
      </c>
      <c r="B17" s="0" t="s">
        <v>648</v>
      </c>
      <c r="C17" s="25" t="n">
        <f aca="false">E562</f>
        <v>72</v>
      </c>
      <c r="D17" s="17" t="n">
        <f aca="false">E570</f>
        <v>0.115462941342845</v>
      </c>
      <c r="E17" s="20" t="n">
        <f aca="false">E581</f>
        <v>6.00271411469652</v>
      </c>
      <c r="F17" s="18" t="n">
        <f aca="false">E17/E$4-1</f>
        <v>-0.00902672815201477</v>
      </c>
      <c r="G17" s="25" t="n">
        <f aca="false">F562</f>
        <v>97.0916623432423</v>
      </c>
      <c r="H17" s="17" t="n">
        <f aca="false">F570</f>
        <v>0.113976796595586</v>
      </c>
      <c r="I17" s="20" t="n">
        <f aca="false">F581</f>
        <v>8.41650052228325</v>
      </c>
      <c r="J17" s="18" t="n">
        <f aca="false">I17/I$4-1</f>
        <v>-0.020825483199996</v>
      </c>
    </row>
    <row r="18" customFormat="false" ht="17.15" hidden="false" customHeight="false" outlineLevel="0" collapsed="false">
      <c r="A18" s="4" t="s">
        <v>649</v>
      </c>
      <c r="B18" s="0" t="s">
        <v>650</v>
      </c>
      <c r="C18" s="25" t="n">
        <f aca="false">E604</f>
        <v>72</v>
      </c>
      <c r="D18" s="17" t="n">
        <f aca="false">E612</f>
        <v>0.116971661147239</v>
      </c>
      <c r="E18" s="20" t="n">
        <f aca="false">E623</f>
        <v>6.11207098642442</v>
      </c>
      <c r="F18" s="18" t="n">
        <f aca="false">E18/E$4-1</f>
        <v>0.00902672815201444</v>
      </c>
      <c r="G18" s="25" t="n">
        <f aca="false">F604</f>
        <v>98.8125584530071</v>
      </c>
      <c r="H18" s="17" t="n">
        <f aca="false">F612</f>
        <v>0.116150402696871</v>
      </c>
      <c r="I18" s="20" t="n">
        <f aca="false">F623</f>
        <v>8.8075197804864</v>
      </c>
      <c r="J18" s="18" t="n">
        <f aca="false">I18/I$4-1</f>
        <v>0.0246656436878205</v>
      </c>
    </row>
    <row r="19" customFormat="false" ht="17.15" hidden="false" customHeight="false" outlineLevel="0" collapsed="false">
      <c r="A19" s="4" t="s">
        <v>651</v>
      </c>
      <c r="B19" s="4" t="s">
        <v>652</v>
      </c>
      <c r="C19" s="25" t="n">
        <f aca="false">E646</f>
        <v>72</v>
      </c>
      <c r="D19" s="17" t="n">
        <f aca="false">E654</f>
        <v>0.116217301245042</v>
      </c>
      <c r="E19" s="20" t="n">
        <f aca="false">E665</f>
        <v>5.91242610760745</v>
      </c>
      <c r="F19" s="18" t="n">
        <f aca="false">E19/E$4-1</f>
        <v>-0.0239321526123658</v>
      </c>
      <c r="G19" s="25" t="n">
        <f aca="false">F646</f>
        <v>97.8331397931247</v>
      </c>
      <c r="H19" s="17" t="n">
        <f aca="false">F654</f>
        <v>0.115030673511766</v>
      </c>
      <c r="I19" s="20" t="n">
        <f aca="false">F665</f>
        <v>8.40047690570404</v>
      </c>
      <c r="J19" s="18" t="n">
        <f aca="false">I19/I$4-1</f>
        <v>-0.0226896685558687</v>
      </c>
    </row>
    <row r="20" customFormat="false" ht="17.15" hidden="false" customHeight="false" outlineLevel="0" collapsed="false">
      <c r="A20" s="4" t="s">
        <v>653</v>
      </c>
      <c r="B20" s="4" t="s">
        <v>654</v>
      </c>
      <c r="C20" s="25" t="n">
        <f aca="false">E688</f>
        <v>72</v>
      </c>
      <c r="D20" s="17" t="n">
        <f aca="false">E696</f>
        <v>0.116217301245042</v>
      </c>
      <c r="E20" s="20" t="n">
        <f aca="false">E707</f>
        <v>5.81007589481232</v>
      </c>
      <c r="F20" s="18" t="n">
        <f aca="false">E20/E$4-1</f>
        <v>-0.0408288968700346</v>
      </c>
      <c r="G20" s="25" t="n">
        <f aca="false">F688</f>
        <v>97.8331397931247</v>
      </c>
      <c r="H20" s="17" t="n">
        <f aca="false">F696</f>
        <v>0.115030673511766</v>
      </c>
      <c r="I20" s="20" t="n">
        <f aca="false">F707</f>
        <v>8.15858332286366</v>
      </c>
      <c r="J20" s="18" t="n">
        <f aca="false">I20/I$4-1</f>
        <v>-0.0508315348181782</v>
      </c>
    </row>
    <row r="21" customFormat="false" ht="17.15" hidden="false" customHeight="false" outlineLevel="0" collapsed="false">
      <c r="A21" s="4" t="s">
        <v>655</v>
      </c>
      <c r="B21" s="4" t="s">
        <v>656</v>
      </c>
      <c r="C21" s="25" t="n">
        <f aca="false">E730</f>
        <v>72</v>
      </c>
      <c r="D21" s="17" t="n">
        <f aca="false">E738</f>
        <v>0.116217301245042</v>
      </c>
      <c r="E21" s="20" t="n">
        <f aca="false">E749</f>
        <v>5.45421712056185</v>
      </c>
      <c r="F21" s="18" t="n">
        <f aca="false">E21/E$4-1</f>
        <v>-0.0995767444430872</v>
      </c>
      <c r="G21" s="25" t="n">
        <f aca="false">F730</f>
        <v>97.8331397931247</v>
      </c>
      <c r="H21" s="17" t="n">
        <f aca="false">F738</f>
        <v>0.115030673511766</v>
      </c>
      <c r="I21" s="20" t="n">
        <f aca="false">F749</f>
        <v>7.75581450643091</v>
      </c>
      <c r="J21" s="18" t="n">
        <f aca="false">I21/I$4-1</f>
        <v>-0.0976896036994785</v>
      </c>
    </row>
    <row r="22" customFormat="false" ht="17.15" hidden="false" customHeight="false" outlineLevel="0" collapsed="false">
      <c r="A22" s="4" t="s">
        <v>657</v>
      </c>
      <c r="B22" s="0" t="s">
        <v>658</v>
      </c>
      <c r="C22" s="25" t="n">
        <f aca="false">E772</f>
        <v>72</v>
      </c>
      <c r="D22" s="17" t="n">
        <f aca="false">E780</f>
        <v>0.116217301245042</v>
      </c>
      <c r="E22" s="20" t="n">
        <f aca="false">E791</f>
        <v>6.48823214341663</v>
      </c>
      <c r="F22" s="18" t="n">
        <f aca="false">E22/E$4-1</f>
        <v>0.0711262460307764</v>
      </c>
      <c r="G22" s="25" t="n">
        <f aca="false">F772</f>
        <v>97.8331397931247</v>
      </c>
      <c r="H22" s="17" t="n">
        <f aca="false">F780</f>
        <v>0.115030673511766</v>
      </c>
      <c r="I22" s="20" t="n">
        <f aca="false">F791</f>
        <v>9.19528579247234</v>
      </c>
      <c r="J22" s="18" t="n">
        <f aca="false">I22/I$4-1</f>
        <v>0.0697782883567704</v>
      </c>
    </row>
    <row r="23" customFormat="false" ht="17.15" hidden="false" customHeight="false" outlineLevel="0" collapsed="false">
      <c r="A23" s="4" t="s">
        <v>659</v>
      </c>
      <c r="B23" s="0" t="s">
        <v>660</v>
      </c>
      <c r="C23" s="25" t="n">
        <f aca="false">PL!E120</f>
        <v>68.5</v>
      </c>
      <c r="D23" s="17" t="n">
        <f aca="false">PL!E128</f>
        <v>0.108049202240794</v>
      </c>
      <c r="E23" s="20" t="n">
        <f aca="false">PL!E139</f>
        <v>5.13719359842954</v>
      </c>
      <c r="F23" s="18" t="n">
        <f aca="false">E23/E$4-1</f>
        <v>-0.151913376002978</v>
      </c>
      <c r="G23" s="25" t="n">
        <f aca="false">PL!F120</f>
        <v>80.6397116317433</v>
      </c>
      <c r="H23" s="17" t="n">
        <f aca="false">PL!F128</f>
        <v>0.105702185324276</v>
      </c>
      <c r="I23" s="20" t="n">
        <f aca="false">PL!F139</f>
        <v>6.07113677185564</v>
      </c>
      <c r="J23" s="18" t="n">
        <f aca="false">I23/I$4-1</f>
        <v>-0.293684780358597</v>
      </c>
    </row>
    <row r="24" customFormat="false" ht="17.15" hidden="false" customHeight="false" outlineLevel="0" collapsed="false">
      <c r="A24" s="4" t="s">
        <v>661</v>
      </c>
      <c r="B24" s="0" t="s">
        <v>662</v>
      </c>
      <c r="C24" s="25" t="n">
        <f aca="false">PL!E162</f>
        <v>65</v>
      </c>
      <c r="D24" s="17" t="n">
        <f aca="false">PL!E170</f>
        <v>0.100078384882241</v>
      </c>
      <c r="E24" s="20" t="n">
        <f aca="false">PL!E181</f>
        <v>4.28746444495634</v>
      </c>
      <c r="F24" s="18" t="n">
        <f aca="false">E24/E$4-1</f>
        <v>-0.292193066708277</v>
      </c>
      <c r="G24" s="25" t="n">
        <f aca="false">PL!F162</f>
        <v>62.7175708446539</v>
      </c>
      <c r="H24" s="17" t="n">
        <f aca="false">PL!F170</f>
        <v>0.0930413032904884</v>
      </c>
      <c r="I24" s="20" t="n">
        <f aca="false">PL!F181</f>
        <v>3.577424608191</v>
      </c>
      <c r="J24" s="18" t="n">
        <f aca="false">I24/I$4-1</f>
        <v>-0.583802911573564</v>
      </c>
    </row>
    <row r="26" customFormat="false" ht="17.15" hidden="false" customHeight="false" outlineLevel="0" collapsed="false">
      <c r="A26" s="4" t="s">
        <v>663</v>
      </c>
    </row>
    <row r="28" customFormat="false" ht="17.15" hidden="false" customHeight="false" outlineLevel="0" collapsed="false">
      <c r="A28" s="1" t="s">
        <v>664</v>
      </c>
    </row>
    <row r="29" customFormat="false" ht="17.15" hidden="false" customHeight="false" outlineLevel="0" collapsed="false">
      <c r="A29" s="5" t="s">
        <v>614</v>
      </c>
      <c r="B29" s="5" t="s">
        <v>615</v>
      </c>
      <c r="C29" s="14" t="s">
        <v>665</v>
      </c>
      <c r="D29" s="14" t="s">
        <v>666</v>
      </c>
      <c r="E29" s="5" t="s">
        <v>667</v>
      </c>
      <c r="F29" s="5" t="s">
        <v>668</v>
      </c>
    </row>
    <row r="30" customFormat="false" ht="17.15" hidden="false" customHeight="false" outlineLevel="0" collapsed="false">
      <c r="A30" s="4" t="s">
        <v>19</v>
      </c>
      <c r="B30" s="0" t="s">
        <v>669</v>
      </c>
      <c r="C30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0" s="26" t="n">
        <f aca="false">Val!B35</f>
        <v>75.2044992889493</v>
      </c>
      <c r="E30" s="26" t="n">
        <f aca="false">tp_w_dcf*C30+(1-tp_w_dcf)*D30</f>
        <v>76.5884933063349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670</v>
      </c>
      <c r="B31" s="0" t="s">
        <v>671</v>
      </c>
      <c r="C31" s="26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67.7074349713209</v>
      </c>
      <c r="D31" s="26" t="n">
        <f aca="false">Val!B35</f>
        <v>75.2044992889493</v>
      </c>
      <c r="E31" s="26" t="n">
        <f aca="false">tp_w_dcf*C31+(1-tp_w_dcf)*D31</f>
        <v>71.4559671301351</v>
      </c>
      <c r="F31" s="18" t="n">
        <f aca="false">E31/E$30-1</f>
        <v>-0.0670143249283017</v>
      </c>
    </row>
    <row r="32" customFormat="false" ht="17.15" hidden="false" customHeight="false" outlineLevel="0" collapsed="false">
      <c r="A32" s="4" t="s">
        <v>672</v>
      </c>
      <c r="B32" s="0" t="s">
        <v>673</v>
      </c>
      <c r="C32" s="26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92.3319223612362</v>
      </c>
      <c r="D32" s="26" t="n">
        <f aca="false">Val!B35</f>
        <v>75.2044992889493</v>
      </c>
      <c r="E32" s="26" t="n">
        <f aca="false">tp_w_dcf*C32+(1-tp_w_dcf)*D32</f>
        <v>83.7682108250927</v>
      </c>
      <c r="F32" s="18" t="n">
        <f aca="false">E32/E$30-1</f>
        <v>0.0937440757587535</v>
      </c>
    </row>
    <row r="33" customFormat="false" ht="17.15" hidden="false" customHeight="false" outlineLevel="0" collapsed="false">
      <c r="A33" s="4" t="s">
        <v>674</v>
      </c>
      <c r="B33" s="0" t="s">
        <v>675</v>
      </c>
      <c r="C33" s="26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84.8401216758362</v>
      </c>
      <c r="D33" s="26" t="n">
        <f aca="false">Val!B35</f>
        <v>75.2044992889493</v>
      </c>
      <c r="E33" s="26" t="n">
        <f aca="false">tp_w_dcf*C33+(1-tp_w_dcf)*D33</f>
        <v>80.0223104823927</v>
      </c>
      <c r="F33" s="18" t="n">
        <f aca="false">E33/E$30-1</f>
        <v>0.0448346354369895</v>
      </c>
    </row>
    <row r="34" customFormat="false" ht="17.15" hidden="false" customHeight="false" outlineLevel="0" collapsed="false">
      <c r="A34" s="4" t="s">
        <v>676</v>
      </c>
      <c r="B34" s="0" t="s">
        <v>677</v>
      </c>
      <c r="C34" s="26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73.3704577659693</v>
      </c>
      <c r="D34" s="26" t="n">
        <f aca="false">Val!B35</f>
        <v>75.2044992889493</v>
      </c>
      <c r="E34" s="26" t="n">
        <f aca="false">tp_w_dcf*C34+(1-tp_w_dcf)*D34</f>
        <v>74.2874785274593</v>
      </c>
      <c r="F34" s="18" t="n">
        <f aca="false">E34/E$30-1</f>
        <v>-0.0300438705547076</v>
      </c>
    </row>
    <row r="35" customFormat="false" ht="17.15" hidden="false" customHeight="false" outlineLevel="0" collapsed="false">
      <c r="A35" s="0" t="s">
        <v>678</v>
      </c>
      <c r="C35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5" s="26" t="n">
        <f aca="false">Val!B35</f>
        <v>75.2044992889493</v>
      </c>
      <c r="E35" s="26" t="n">
        <f aca="false">0.3*C35+(1-0.3)*D35</f>
        <v>76.0348956993806</v>
      </c>
      <c r="F35" s="18" t="n">
        <f aca="false">E35/E$30-1</f>
        <v>-0.00722820861274798</v>
      </c>
    </row>
    <row r="36" customFormat="false" ht="17.15" hidden="false" customHeight="false" outlineLevel="0" collapsed="false">
      <c r="A36" s="0" t="s">
        <v>679</v>
      </c>
      <c r="C36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6" s="26" t="n">
        <f aca="false">Val!B35</f>
        <v>75.2044992889493</v>
      </c>
      <c r="E36" s="26" t="n">
        <f aca="false">0.7*C36+(1-0.7)*D36</f>
        <v>77.1420909132891</v>
      </c>
      <c r="F36" s="18" t="n">
        <f aca="false">E36/E$30-1</f>
        <v>0.00722820861274798</v>
      </c>
    </row>
    <row r="40" customFormat="false" ht="17.15" hidden="false" customHeight="false" outlineLevel="0" collapsed="false">
      <c r="A40" s="1" t="s">
        <v>680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14" t="s">
        <v>276</v>
      </c>
      <c r="D41" s="14" t="s">
        <v>280</v>
      </c>
      <c r="E41" s="14" t="s">
        <v>348</v>
      </c>
      <c r="F41" s="14" t="s">
        <v>349</v>
      </c>
      <c r="G41" s="14" t="s">
        <v>350</v>
      </c>
      <c r="H41" s="14" t="s">
        <v>351</v>
      </c>
      <c r="I41" s="14" t="s">
        <v>352</v>
      </c>
      <c r="J41" s="14" t="s">
        <v>353</v>
      </c>
      <c r="K41" s="5" t="s">
        <v>324</v>
      </c>
    </row>
    <row r="42" customFormat="false" ht="17.15" hidden="false" customHeight="false" outlineLevel="0" collapsed="false">
      <c r="A42" s="6" t="s">
        <v>370</v>
      </c>
    </row>
    <row r="43" customFormat="false" ht="17.15" hidden="false" customHeight="false" outlineLevel="0" collapsed="false">
      <c r="A43" s="0" t="s">
        <v>371</v>
      </c>
      <c r="B43" s="4" t="s">
        <v>27</v>
      </c>
      <c r="D43" s="20" t="n">
        <f aca="false">uo_26</f>
        <v>6.65</v>
      </c>
      <c r="E43" s="20" t="n">
        <f aca="false">uo_27*mf_lo</f>
        <v>1.92</v>
      </c>
      <c r="F43" s="20" t="n">
        <f aca="false">uo_28*um28_A*mf_lo</f>
        <v>0.4</v>
      </c>
      <c r="G43" s="20" t="n">
        <f aca="false">uo_29*um29_A*mf_lo</f>
        <v>0.2</v>
      </c>
      <c r="K43" s="8" t="s">
        <v>372</v>
      </c>
    </row>
    <row r="44" customFormat="false" ht="17.15" hidden="false" customHeight="false" outlineLevel="0" collapsed="false">
      <c r="A44" s="0" t="s">
        <v>373</v>
      </c>
      <c r="B44" s="4" t="s">
        <v>27</v>
      </c>
      <c r="D44" s="20" t="n">
        <f aca="false">un_26</f>
        <v>1.7</v>
      </c>
      <c r="E44" s="20" t="n">
        <f aca="false">un_27*mf_lo</f>
        <v>7.04</v>
      </c>
      <c r="F44" s="20" t="n">
        <f aca="false">un_28*um28_A*mf_lo</f>
        <v>8.8</v>
      </c>
      <c r="G44" s="20" t="n">
        <f aca="false">un_29*um29_A*mf_lo</f>
        <v>10.12</v>
      </c>
      <c r="K44" s="8" t="s">
        <v>374</v>
      </c>
    </row>
    <row r="45" customFormat="false" ht="17.15" hidden="false" customHeight="false" outlineLevel="0" collapsed="false">
      <c r="A45" s="4" t="s">
        <v>375</v>
      </c>
      <c r="B45" s="4" t="s">
        <v>58</v>
      </c>
      <c r="D45" s="24" t="n">
        <f aca="false">v_gb</f>
        <v>59.7222222222222</v>
      </c>
      <c r="E45" s="24" t="n">
        <f aca="false">v_gb</f>
        <v>59.7222222222222</v>
      </c>
      <c r="F45" s="24" t="n">
        <f aca="false">v_gb</f>
        <v>59.7222222222222</v>
      </c>
      <c r="G45" s="24" t="n">
        <f aca="false">v_gb</f>
        <v>59.7222222222222</v>
      </c>
    </row>
    <row r="46" customFormat="false" ht="17.15" hidden="false" customHeight="false" outlineLevel="0" collapsed="false">
      <c r="A46" s="4" t="s">
        <v>376</v>
      </c>
      <c r="B46" s="4" t="s">
        <v>58</v>
      </c>
      <c r="D46" s="24" t="n">
        <f aca="false">v_vr</f>
        <v>116.666666666667</v>
      </c>
      <c r="E46" s="24" t="n">
        <f aca="false">v_vr</f>
        <v>116.666666666667</v>
      </c>
      <c r="F46" s="24" t="n">
        <f aca="false">v_vr*vpg_28</f>
        <v>116.666666666667</v>
      </c>
      <c r="G46" s="24" t="n">
        <f aca="false">v_vr*vpg_29</f>
        <v>116.666666666667</v>
      </c>
      <c r="K46" s="4" t="s">
        <v>377</v>
      </c>
    </row>
    <row r="47" customFormat="false" ht="17.15" hidden="false" customHeight="false" outlineLevel="0" collapsed="false">
      <c r="A47" s="4" t="s">
        <v>378</v>
      </c>
      <c r="B47" s="0" t="s">
        <v>117</v>
      </c>
      <c r="D47" s="25" t="n">
        <f aca="false">(D43*D45+D44*D46)</f>
        <v>595.486111111111</v>
      </c>
      <c r="E47" s="25" t="n">
        <f aca="false">(E43*E45+E44*E46)</f>
        <v>936</v>
      </c>
      <c r="F47" s="25" t="n">
        <f aca="false">(F43*F45+F44*F46)</f>
        <v>1050.55555555556</v>
      </c>
      <c r="G47" s="25" t="n">
        <f aca="false">(G43*G45+G44*G46)</f>
        <v>1192.61111111111</v>
      </c>
      <c r="K47" s="4" t="s">
        <v>379</v>
      </c>
    </row>
    <row r="48" customFormat="false" ht="17.15" hidden="false" customHeight="false" outlineLevel="0" collapsed="false">
      <c r="A48" s="4" t="s">
        <v>380</v>
      </c>
      <c r="B48" s="0" t="s">
        <v>117</v>
      </c>
      <c r="E48" s="25" t="n">
        <f aca="false">0.5*D47+0.5*E47</f>
        <v>765.743055555556</v>
      </c>
      <c r="F48" s="25" t="n">
        <f aca="false">0.5*E47+0.5*F47</f>
        <v>993.277777777778</v>
      </c>
      <c r="G48" s="25" t="n">
        <f aca="false">0.5*F47+0.5*G47</f>
        <v>1121.58333333333</v>
      </c>
      <c r="K48" s="4" t="s">
        <v>381</v>
      </c>
    </row>
    <row r="49" customFormat="false" ht="17.15" hidden="false" customHeight="false" outlineLevel="0" collapsed="false">
      <c r="A49" s="0" t="s">
        <v>382</v>
      </c>
      <c r="B49" s="0" t="s">
        <v>117</v>
      </c>
      <c r="E49" s="25" t="n">
        <f aca="false">0.5*D47+0.5*(uo_27*v_gb+un_27*v_vr)</f>
        <v>882.743055555556</v>
      </c>
      <c r="K49" s="4" t="s">
        <v>383</v>
      </c>
    </row>
    <row r="50" customFormat="false" ht="17.15" hidden="false" customHeight="false" outlineLevel="0" collapsed="false">
      <c r="A50" s="4" t="s">
        <v>384</v>
      </c>
      <c r="B50" s="0" t="s">
        <v>99</v>
      </c>
      <c r="D50" s="17" t="n">
        <f aca="false">a26_aih2/(0.5*D47)</f>
        <v>0.0499294936443149</v>
      </c>
      <c r="K50" s="8" t="s">
        <v>385</v>
      </c>
    </row>
    <row r="51" customFormat="false" ht="17.15" hidden="false" customHeight="false" outlineLevel="0" collapsed="false">
      <c r="A51" s="0" t="s">
        <v>386</v>
      </c>
      <c r="B51" s="0" t="s">
        <v>117</v>
      </c>
      <c r="E51" s="25" t="n">
        <f aca="false">g27_hi</f>
        <v>72</v>
      </c>
      <c r="K51" s="8" t="s">
        <v>387</v>
      </c>
    </row>
    <row r="52" customFormat="false" ht="17.15" hidden="false" customHeight="false" outlineLevel="0" collapsed="false">
      <c r="A52" s="4" t="s">
        <v>388</v>
      </c>
      <c r="B52" s="0" t="s">
        <v>66</v>
      </c>
      <c r="E52" s="20" t="n">
        <f aca="false">1</f>
        <v>1</v>
      </c>
      <c r="F52" s="20" t="n">
        <f aca="false">rel_28_hi*1</f>
        <v>1</v>
      </c>
      <c r="G52" s="20" t="n">
        <f aca="false">rel_29_hi*1</f>
        <v>1</v>
      </c>
      <c r="K52" s="8" t="s">
        <v>389</v>
      </c>
    </row>
    <row r="53" customFormat="false" ht="17.15" hidden="false" customHeight="false" outlineLevel="0" collapsed="false">
      <c r="A53" s="4" t="s">
        <v>390</v>
      </c>
      <c r="B53" s="0" t="s">
        <v>99</v>
      </c>
      <c r="E53" s="17" t="n">
        <f aca="false">(E51-E57)/E49</f>
        <v>0.0696416435825827</v>
      </c>
      <c r="F53" s="17" t="n">
        <f aca="false">$E53*F52</f>
        <v>0.0696416435825827</v>
      </c>
      <c r="G53" s="17" t="n">
        <f aca="false">$E53*G52</f>
        <v>0.0696416435825827</v>
      </c>
      <c r="K53" s="8" t="s">
        <v>391</v>
      </c>
    </row>
    <row r="54" customFormat="false" ht="17.15" hidden="false" customHeight="false" outlineLevel="0" collapsed="false">
      <c r="A54" s="0" t="s">
        <v>392</v>
      </c>
      <c r="B54" s="0" t="s">
        <v>66</v>
      </c>
      <c r="E54" s="20" t="n">
        <f aca="false">E53/D50</f>
        <v>1.39479971655015</v>
      </c>
      <c r="K54" s="8" t="s">
        <v>393</v>
      </c>
    </row>
    <row r="55" customFormat="false" ht="17.15" hidden="false" customHeight="false" outlineLevel="0" collapsed="false">
      <c r="A55" s="0" t="s">
        <v>394</v>
      </c>
      <c r="B55" s="0" t="s">
        <v>117</v>
      </c>
      <c r="C55" s="26" t="n">
        <f aca="false">a25_ai</f>
        <v>15.3804</v>
      </c>
      <c r="D55" s="26" t="n">
        <f aca="false">a26_ai</f>
        <v>29.911415</v>
      </c>
      <c r="E55" s="26" t="n">
        <f aca="false">E48*E53</f>
        <v>53.3276049508378</v>
      </c>
      <c r="F55" s="26" t="n">
        <f aca="false">F48*F53</f>
        <v>69.1734969784998</v>
      </c>
      <c r="G55" s="26" t="n">
        <f aca="false">G48*G53</f>
        <v>78.1089067481651</v>
      </c>
    </row>
    <row r="56" customFormat="false" ht="17.15" hidden="false" customHeight="false" outlineLevel="0" collapsed="false">
      <c r="A56" s="6" t="s">
        <v>395</v>
      </c>
    </row>
    <row r="57" customFormat="false" ht="17.15" hidden="false" customHeight="false" outlineLevel="0" collapsed="false">
      <c r="A57" s="4" t="s">
        <v>310</v>
      </c>
      <c r="B57" s="0" t="s">
        <v>117</v>
      </c>
      <c r="C57" s="26" t="n">
        <f aca="false">a25_nai</f>
        <v>6.5916</v>
      </c>
      <c r="D57" s="26" t="n">
        <f aca="false">a26_nai</f>
        <v>9.151585</v>
      </c>
      <c r="E57" s="26" t="n">
        <f aca="false">D57*(1+g_nai27)</f>
        <v>10.52432275</v>
      </c>
      <c r="F57" s="26" t="n">
        <f aca="false">E57*(1+g_nai28)</f>
        <v>11.36626857</v>
      </c>
      <c r="G57" s="26" t="n">
        <f aca="false">F57*(1+g_nai29)</f>
        <v>12.0482446842</v>
      </c>
    </row>
    <row r="58" customFormat="false" ht="17.15" hidden="false" customHeight="false" outlineLevel="0" collapsed="false">
      <c r="A58" s="4" t="s">
        <v>282</v>
      </c>
      <c r="B58" s="0" t="s">
        <v>117</v>
      </c>
      <c r="C58" s="26" t="n">
        <f aca="false">C55+C57</f>
        <v>21.972</v>
      </c>
      <c r="D58" s="26" t="n">
        <f aca="false">D55+D57</f>
        <v>39.063</v>
      </c>
      <c r="E58" s="26" t="n">
        <f aca="false">E55+E57</f>
        <v>63.8519277008378</v>
      </c>
      <c r="F58" s="26" t="n">
        <f aca="false">F55+F57</f>
        <v>80.5397655484998</v>
      </c>
      <c r="G58" s="26" t="n">
        <f aca="false">G55+G57</f>
        <v>90.1571514323651</v>
      </c>
      <c r="H58" s="27" t="n">
        <f aca="false">G58*(1+H59)</f>
        <v>99.1375036289316</v>
      </c>
      <c r="I58" s="27" t="n">
        <f aca="false">H58*(1+I59)</f>
        <v>107.049061233901</v>
      </c>
      <c r="J58" s="27" t="n">
        <f aca="false">I58*(1+J59)</f>
        <v>113.472004907935</v>
      </c>
      <c r="K58" s="8" t="s">
        <v>396</v>
      </c>
    </row>
    <row r="59" customFormat="false" ht="15" hidden="false" customHeight="false" outlineLevel="0" collapsed="false">
      <c r="A59" s="4" t="s">
        <v>397</v>
      </c>
      <c r="B59" s="0" t="s">
        <v>99</v>
      </c>
      <c r="D59" s="18" t="n">
        <f aca="false">D58/C58-1</f>
        <v>0.777853631895139</v>
      </c>
      <c r="E59" s="18" t="n">
        <f aca="false">E58/D58-1</f>
        <v>0.634588426409591</v>
      </c>
      <c r="F59" s="18" t="n">
        <f aca="false">F58/E58-1</f>
        <v>0.261352138432666</v>
      </c>
      <c r="G59" s="18" t="n">
        <f aca="false">G58/F58-1</f>
        <v>0.119411644898244</v>
      </c>
      <c r="H59" s="28" t="n">
        <f aca="false">$G59+(fade_gA-$G59)*1/3</f>
        <v>0.0996077632654959</v>
      </c>
      <c r="I59" s="28" t="n">
        <f aca="false">$G59+(fade_gA-$G59)*2/3</f>
        <v>0.079803881632748</v>
      </c>
      <c r="J59" s="28" t="n">
        <f aca="false">$G59+(fade_gA-$G59)*3/3</f>
        <v>0.06</v>
      </c>
    </row>
    <row r="60" customFormat="false" ht="17.15" hidden="false" customHeight="false" outlineLevel="0" collapsed="false">
      <c r="A60" s="0" t="s">
        <v>398</v>
      </c>
      <c r="B60" s="0" t="s">
        <v>99</v>
      </c>
      <c r="C60" s="18" t="n">
        <f aca="false">C55/C58</f>
        <v>0.7</v>
      </c>
      <c r="D60" s="18" t="n">
        <f aca="false">D55/D58</f>
        <v>0.765722422752989</v>
      </c>
      <c r="E60" s="18" t="n">
        <f aca="false">E55/E58</f>
        <v>0.835176115601254</v>
      </c>
      <c r="F60" s="18" t="n">
        <f aca="false">F55/F58</f>
        <v>0.858873830925726</v>
      </c>
      <c r="G60" s="18" t="n">
        <f aca="false">G55/G58</f>
        <v>0.866363960120918</v>
      </c>
    </row>
    <row r="61" customFormat="false" ht="17.15" hidden="false" customHeight="false" outlineLevel="0" collapsed="false">
      <c r="A61" s="4" t="s">
        <v>399</v>
      </c>
      <c r="B61" s="4" t="s">
        <v>27</v>
      </c>
      <c r="E61" s="20" t="n">
        <f aca="false">E55/((0.5*(D43*D45+D44*D46)+0.5*(E43*E45+E44*E46))/(0.5*(D43+D44)+0.5*(E43+E44)))</f>
        <v>0.602748425207254</v>
      </c>
      <c r="F61" s="20" t="n">
        <f aca="false">F55/((0.5*(E43*E45+E44*E46)+0.5*(F43*F45+F44*F46))/(0.5*(E43+E44)+0.5*(F43+F44)))</f>
        <v>0.632346123729851</v>
      </c>
      <c r="G61" s="20" t="n">
        <f aca="false">G55/((0.5*(F43*F45+F44*F46)+0.5*(G43*G45+G44*G46))/(0.5*(F43+F44)+0.5*(G43+G44)))</f>
        <v>0.679702441366007</v>
      </c>
      <c r="K61" s="4" t="s">
        <v>400</v>
      </c>
    </row>
    <row r="62" customFormat="false" ht="17.15" hidden="false" customHeight="false" outlineLevel="0" collapsed="false">
      <c r="A62" s="6" t="s">
        <v>401</v>
      </c>
    </row>
    <row r="63" customFormat="false" ht="17.15" hidden="false" customHeight="false" outlineLevel="0" collapsed="false">
      <c r="A63" s="0" t="s">
        <v>402</v>
      </c>
      <c r="B63" s="0" t="s">
        <v>99</v>
      </c>
      <c r="D63" s="17" t="n">
        <f aca="false">(a26_gp-gm_nai*a26_nai)/a26_ai</f>
        <v>0.0954338753281983</v>
      </c>
      <c r="K63" s="8" t="s">
        <v>403</v>
      </c>
    </row>
    <row r="64" customFormat="false" ht="17.15" hidden="false" customHeight="false" outlineLevel="0" collapsed="false">
      <c r="A64" s="0" t="s">
        <v>404</v>
      </c>
      <c r="B64" s="0" t="s">
        <v>99</v>
      </c>
      <c r="D64" s="17" t="n">
        <f aca="false">D63</f>
        <v>0.0954338753281983</v>
      </c>
      <c r="E64" s="17" t="n">
        <f aca="false">$D63+dgm_27_hi</f>
        <v>0.110433875328198</v>
      </c>
      <c r="F64" s="17" t="n">
        <f aca="false">$D63+dgm_28_hi</f>
        <v>0.110433875328198</v>
      </c>
      <c r="G64" s="17" t="n">
        <f aca="false">$D63+dgm_28_hi</f>
        <v>0.110433875328198</v>
      </c>
      <c r="K64" s="8" t="s">
        <v>405</v>
      </c>
    </row>
    <row r="65" customFormat="false" ht="15" hidden="false" customHeight="false" outlineLevel="0" collapsed="false">
      <c r="A65" s="4" t="s">
        <v>406</v>
      </c>
      <c r="B65" s="0" t="s">
        <v>117</v>
      </c>
      <c r="C65" s="26" t="n">
        <f aca="false">a25_gp</f>
        <v>2.4299</v>
      </c>
      <c r="D65" s="26" t="n">
        <f aca="false">a26_gp</f>
        <v>4.2273</v>
      </c>
      <c r="E65" s="26" t="n">
        <f aca="false">E64*E55+gm_nai*E57</f>
        <v>7.46782248919223</v>
      </c>
      <c r="F65" s="26" t="n">
        <f aca="false">F64*F55+gm_nai*F57</f>
        <v>9.34403762683915</v>
      </c>
      <c r="G65" s="26" t="n">
        <f aca="false">G64*G55+gm_nai*G57</f>
        <v>10.4331059724787</v>
      </c>
    </row>
    <row r="66" customFormat="false" ht="15" hidden="false" customHeight="false" outlineLevel="0" collapsed="false">
      <c r="A66" s="4" t="s">
        <v>288</v>
      </c>
      <c r="B66" s="0" t="s">
        <v>99</v>
      </c>
      <c r="C66" s="17" t="n">
        <f aca="false">C65/C58</f>
        <v>0.110590751866011</v>
      </c>
      <c r="D66" s="17" t="n">
        <f aca="false">D65/D58</f>
        <v>0.108217494816066</v>
      </c>
      <c r="E66" s="17" t="n">
        <f aca="false">E65/E58</f>
        <v>0.11695531768721</v>
      </c>
      <c r="F66" s="17" t="n">
        <f aca="false">F65/F58</f>
        <v>0.116017690928245</v>
      </c>
      <c r="G66" s="17" t="n">
        <f aca="false">G65/G58</f>
        <v>0.1157213355427</v>
      </c>
    </row>
    <row r="67" customFormat="false" ht="15" hidden="false" customHeight="false" outlineLevel="0" collapsed="false">
      <c r="A67" s="4" t="s">
        <v>407</v>
      </c>
      <c r="B67" s="0" t="s">
        <v>117</v>
      </c>
      <c r="C67" s="26" t="n">
        <f aca="false">a25_opx</f>
        <v>1.1769</v>
      </c>
      <c r="D67" s="26" t="n">
        <f aca="false">a26_opx</f>
        <v>1.4568</v>
      </c>
      <c r="E67" s="26" t="n">
        <f aca="false">D67*(1+MAX(0,phi*E59))</f>
        <v>1.8265873678374</v>
      </c>
      <c r="F67" s="26" t="n">
        <f aca="false">E67*(1+MAX(0,phi*F59))</f>
        <v>2.01754037368476</v>
      </c>
      <c r="G67" s="26" t="n">
        <f aca="false">F67*(1+MAX(0,phi*G59))</f>
        <v>2.11390749955288</v>
      </c>
    </row>
    <row r="68" customFormat="false" ht="15" hidden="false" customHeight="false" outlineLevel="0" collapsed="false">
      <c r="A68" s="4" t="s">
        <v>408</v>
      </c>
      <c r="B68" s="0" t="s">
        <v>117</v>
      </c>
      <c r="C68" s="26" t="n">
        <f aca="false">C67</f>
        <v>1.1769</v>
      </c>
      <c r="D68" s="26" t="n">
        <f aca="false">D67</f>
        <v>1.4568</v>
      </c>
      <c r="E68" s="26" t="n">
        <f aca="false">E67+0*E58</f>
        <v>1.8265873678374</v>
      </c>
      <c r="F68" s="26" t="n">
        <f aca="false">F67+0*F58</f>
        <v>2.01754037368476</v>
      </c>
      <c r="G68" s="26" t="n">
        <f aca="false">G67+0*G58</f>
        <v>2.11390749955288</v>
      </c>
    </row>
    <row r="69" customFormat="false" ht="15" hidden="false" customHeight="false" outlineLevel="0" collapsed="false">
      <c r="A69" s="4" t="s">
        <v>291</v>
      </c>
      <c r="B69" s="0" t="s">
        <v>117</v>
      </c>
      <c r="C69" s="26" t="n">
        <f aca="false">C65-C68</f>
        <v>1.253</v>
      </c>
      <c r="D69" s="26" t="n">
        <f aca="false">D65-D68</f>
        <v>2.7705</v>
      </c>
      <c r="E69" s="26" t="n">
        <f aca="false">E65-E68</f>
        <v>5.64123512135484</v>
      </c>
      <c r="F69" s="26" t="n">
        <f aca="false">F65-F68</f>
        <v>7.32649725315439</v>
      </c>
      <c r="G69" s="26" t="n">
        <f aca="false">G65-G68</f>
        <v>8.31919847292584</v>
      </c>
    </row>
    <row r="70" customFormat="false" ht="15" hidden="false" customHeight="false" outlineLevel="0" collapsed="false">
      <c r="A70" s="4" t="s">
        <v>293</v>
      </c>
      <c r="B70" s="0" t="s">
        <v>99</v>
      </c>
      <c r="C70" s="17" t="n">
        <f aca="false">C69/C58</f>
        <v>0.0570271254323685</v>
      </c>
      <c r="D70" s="17" t="n">
        <f aca="false">D69/D58</f>
        <v>0.0709238921741801</v>
      </c>
      <c r="E70" s="17" t="n">
        <f aca="false">E69/E58</f>
        <v>0.0883487049566526</v>
      </c>
      <c r="F70" s="17" t="n">
        <f aca="false">F69/F58</f>
        <v>0.0909674519569155</v>
      </c>
      <c r="G70" s="17" t="n">
        <f aca="false">G69/G58</f>
        <v>0.0922744157369127</v>
      </c>
    </row>
    <row r="71" customFormat="false" ht="17.15" hidden="false" customHeight="false" outlineLevel="0" collapsed="false">
      <c r="A71" s="4" t="s">
        <v>167</v>
      </c>
      <c r="B71" s="0" t="s">
        <v>99</v>
      </c>
      <c r="C71" s="18" t="n">
        <f aca="false">a25_ni/a25_oi</f>
        <v>0.837110933758979</v>
      </c>
      <c r="D71" s="18" t="n">
        <f aca="false">a26_ni/a26_oi</f>
        <v>0.805089334055225</v>
      </c>
      <c r="E71" s="18" t="n">
        <f aca="false">nio_f</f>
        <v>0.75</v>
      </c>
      <c r="F71" s="18" t="n">
        <f aca="false">nio_f</f>
        <v>0.75</v>
      </c>
      <c r="G71" s="18" t="n">
        <f aca="false">nio_f</f>
        <v>0.75</v>
      </c>
    </row>
    <row r="72" customFormat="false" ht="15" hidden="false" customHeight="false" outlineLevel="0" collapsed="false">
      <c r="A72" s="4" t="s">
        <v>409</v>
      </c>
      <c r="B72" s="0" t="s">
        <v>117</v>
      </c>
      <c r="C72" s="26" t="n">
        <f aca="false">a25_ni</f>
        <v>1.0489</v>
      </c>
      <c r="D72" s="26" t="n">
        <f aca="false">a26_ni</f>
        <v>2.2305</v>
      </c>
      <c r="E72" s="26" t="n">
        <f aca="false">E69*E71</f>
        <v>4.23092634101613</v>
      </c>
      <c r="F72" s="26" t="n">
        <f aca="false">F69*F71</f>
        <v>5.49487293986579</v>
      </c>
      <c r="G72" s="26" t="n">
        <f aca="false">G69*G71</f>
        <v>6.23939885469438</v>
      </c>
    </row>
    <row r="73" customFormat="false" ht="17.15" hidden="false" customHeight="false" outlineLevel="0" collapsed="false">
      <c r="A73" s="4" t="s">
        <v>410</v>
      </c>
      <c r="B73" s="0" t="s">
        <v>117</v>
      </c>
      <c r="C73" s="16" t="n">
        <f aca="false">0</f>
        <v>0</v>
      </c>
      <c r="D73" s="16" t="n">
        <f aca="false">0</f>
        <v>0</v>
      </c>
      <c r="E73" s="16" t="n">
        <f aca="false">pref_div</f>
        <v>0.301875</v>
      </c>
      <c r="F73" s="16" t="n">
        <f aca="false">pref_div</f>
        <v>0.301875</v>
      </c>
      <c r="G73" s="16" t="n">
        <f aca="false">pref_div</f>
        <v>0.301875</v>
      </c>
      <c r="K73" s="8" t="s">
        <v>411</v>
      </c>
    </row>
    <row r="74" customFormat="false" ht="17.15" hidden="false" customHeight="false" outlineLevel="0" collapsed="false">
      <c r="A74" s="4" t="s">
        <v>359</v>
      </c>
      <c r="B74" s="0" t="s">
        <v>117</v>
      </c>
      <c r="C74" s="26" t="n">
        <f aca="false">C72-C73</f>
        <v>1.0489</v>
      </c>
      <c r="D74" s="26" t="n">
        <f aca="false">D72-D73</f>
        <v>2.2305</v>
      </c>
      <c r="E74" s="26" t="n">
        <f aca="false">E72-E73</f>
        <v>3.92905134101613</v>
      </c>
      <c r="F74" s="26" t="n">
        <f aca="false">F72-F73</f>
        <v>5.19299793986579</v>
      </c>
      <c r="G74" s="26" t="n">
        <f aca="false">G72-G73</f>
        <v>5.93752385469438</v>
      </c>
      <c r="H74" s="27" t="n">
        <f aca="false">H58*H79</f>
        <v>6.89090802656483</v>
      </c>
      <c r="I74" s="27" t="n">
        <f aca="false">I58*I79</f>
        <v>7.47324128471052</v>
      </c>
      <c r="J74" s="27" t="n">
        <f aca="false">J58*J79</f>
        <v>7.9559925344238</v>
      </c>
      <c r="K74" s="4" t="s">
        <v>412</v>
      </c>
    </row>
    <row r="75" customFormat="false" ht="17.15" hidden="false" customHeight="false" outlineLevel="0" collapsed="false">
      <c r="A75" s="4" t="s">
        <v>413</v>
      </c>
      <c r="B75" s="0" t="s">
        <v>99</v>
      </c>
      <c r="C75" s="17" t="n">
        <f aca="false">C72/C58</f>
        <v>0.0477380302202804</v>
      </c>
      <c r="D75" s="17" t="n">
        <f aca="false">D72/D58</f>
        <v>0.0571000691191153</v>
      </c>
      <c r="E75" s="17" t="n">
        <f aca="false">E72/E58</f>
        <v>0.0662615287174895</v>
      </c>
      <c r="F75" s="17" t="n">
        <f aca="false">F72/F58</f>
        <v>0.0682255889676866</v>
      </c>
      <c r="G75" s="17" t="n">
        <f aca="false">G72/G58</f>
        <v>0.0692058118026845</v>
      </c>
      <c r="K75" s="4" t="s">
        <v>414</v>
      </c>
    </row>
    <row r="76" customFormat="false" ht="17.15" hidden="false" customHeight="false" outlineLevel="0" collapsed="false">
      <c r="A76" s="4" t="s">
        <v>415</v>
      </c>
      <c r="B76" s="4" t="s">
        <v>176</v>
      </c>
      <c r="C76" s="19" t="n">
        <f aca="false">a25_sh</f>
        <v>0.624345238095238</v>
      </c>
      <c r="D76" s="19" t="n">
        <f aca="false">a26_sh</f>
        <v>0.68420245398773</v>
      </c>
      <c r="E76" s="19" t="n">
        <f aca="false">sh27</f>
        <v>0.745</v>
      </c>
      <c r="F76" s="19" t="n">
        <f aca="false">E76*(1+sh_g)</f>
        <v>0.75245</v>
      </c>
      <c r="G76" s="19" t="n">
        <f aca="false">F76*(1+sh_g)</f>
        <v>0.7599745</v>
      </c>
      <c r="H76" s="31" t="n">
        <f aca="false">G76*(1+sh_g)+conv_sh</f>
        <v>0.91132712</v>
      </c>
      <c r="I76" s="31" t="n">
        <f aca="false">H76*(1+sh_g)</f>
        <v>0.9204403912</v>
      </c>
      <c r="J76" s="31" t="n">
        <f aca="false">I76*(1+sh_g)</f>
        <v>0.929644795112</v>
      </c>
    </row>
    <row r="77" customFormat="false" ht="17.15" hidden="false" customHeight="false" outlineLevel="0" collapsed="false">
      <c r="A77" s="0" t="s">
        <v>299</v>
      </c>
      <c r="B77" s="0" t="s">
        <v>189</v>
      </c>
      <c r="C77" s="26" t="n">
        <f aca="false">C74/C76</f>
        <v>1.68</v>
      </c>
      <c r="D77" s="26" t="n">
        <f aca="false">D74/D76</f>
        <v>3.26</v>
      </c>
      <c r="E77" s="26" t="n">
        <f aca="false">E74/E76</f>
        <v>5.27389441747131</v>
      </c>
      <c r="F77" s="26" t="n">
        <f aca="false">F74/F76</f>
        <v>6.90145250829396</v>
      </c>
      <c r="G77" s="26" t="n">
        <f aca="false">G74/G76</f>
        <v>7.8127935275386</v>
      </c>
      <c r="H77" s="30" t="n">
        <f aca="false">H74/H76</f>
        <v>7.56139905785403</v>
      </c>
      <c r="I77" s="30" t="n">
        <f aca="false">I74/I76</f>
        <v>8.11920180400544</v>
      </c>
      <c r="J77" s="30" t="n">
        <f aca="false">J74/J76</f>
        <v>8.55809936898027</v>
      </c>
    </row>
    <row r="78" customFormat="false" ht="17.15" hidden="false" customHeight="false" outlineLevel="0" collapsed="false">
      <c r="A78" s="0" t="s">
        <v>416</v>
      </c>
      <c r="B78" s="0" t="s">
        <v>99</v>
      </c>
      <c r="D78" s="18" t="n">
        <f aca="false">D77/C77-1</f>
        <v>0.940476190476191</v>
      </c>
      <c r="E78" s="18" t="n">
        <f aca="false">E77/D77-1</f>
        <v>0.617759023764206</v>
      </c>
      <c r="F78" s="18" t="n">
        <f aca="false">F77/E77-1</f>
        <v>0.308606498725286</v>
      </c>
      <c r="G78" s="18" t="n">
        <f aca="false">G77/F77-1</f>
        <v>0.132050610816986</v>
      </c>
      <c r="H78" s="28" t="n">
        <f aca="false">H77/G77-1</f>
        <v>-0.0321772831700281</v>
      </c>
      <c r="I78" s="28" t="n">
        <f aca="false">I77/H77-1</f>
        <v>0.073769780153585</v>
      </c>
      <c r="J78" s="28" t="n">
        <f aca="false">J77/I77-1</f>
        <v>0.0540567380352968</v>
      </c>
    </row>
    <row r="79" customFormat="false" ht="17.15" hidden="false" customHeight="false" outlineLevel="0" collapsed="false">
      <c r="A79" s="4" t="s">
        <v>417</v>
      </c>
      <c r="B79" s="0" t="s">
        <v>99</v>
      </c>
      <c r="C79" s="17" t="n">
        <f aca="false">C74/C58</f>
        <v>0.0477380302202804</v>
      </c>
      <c r="D79" s="17" t="n">
        <f aca="false">D74/D58</f>
        <v>0.0571000691191153</v>
      </c>
      <c r="E79" s="17" t="n">
        <f aca="false">E74/E58</f>
        <v>0.0615337936142619</v>
      </c>
      <c r="F79" s="17" t="n">
        <f aca="false">F74/F58</f>
        <v>0.0644774404854537</v>
      </c>
      <c r="G79" s="17" t="n">
        <f aca="false">G74/G58</f>
        <v>0.0658574917281925</v>
      </c>
      <c r="H79" s="29" t="n">
        <f aca="false">$G75+(fade_mA-$G75)*1/3</f>
        <v>0.0695085893261673</v>
      </c>
      <c r="I79" s="29" t="n">
        <f aca="false">$G75+(fade_mA-$G75)*2/3</f>
        <v>0.0698113668496501</v>
      </c>
      <c r="J79" s="29" t="n">
        <f aca="false">$G75+(fade_mA-$G75)*3/3</f>
        <v>0.0701141443731329</v>
      </c>
    </row>
    <row r="82" customFormat="false" ht="17.15" hidden="false" customHeight="false" outlineLevel="0" collapsed="false">
      <c r="A82" s="1" t="s">
        <v>681</v>
      </c>
    </row>
    <row r="83" customFormat="false" ht="17.15" hidden="false" customHeight="false" outlineLevel="0" collapsed="false">
      <c r="A83" s="5" t="s">
        <v>16</v>
      </c>
      <c r="B83" s="5" t="s">
        <v>17</v>
      </c>
      <c r="C83" s="14" t="s">
        <v>276</v>
      </c>
      <c r="D83" s="14" t="s">
        <v>280</v>
      </c>
      <c r="E83" s="14" t="s">
        <v>348</v>
      </c>
      <c r="F83" s="14" t="s">
        <v>349</v>
      </c>
      <c r="G83" s="14" t="s">
        <v>350</v>
      </c>
      <c r="H83" s="14" t="s">
        <v>351</v>
      </c>
      <c r="I83" s="14" t="s">
        <v>352</v>
      </c>
      <c r="J83" s="14" t="s">
        <v>353</v>
      </c>
      <c r="K83" s="5" t="s">
        <v>324</v>
      </c>
    </row>
    <row r="84" customFormat="false" ht="17.15" hidden="false" customHeight="false" outlineLevel="0" collapsed="false">
      <c r="A84" s="6" t="s">
        <v>370</v>
      </c>
    </row>
    <row r="85" customFormat="false" ht="17.15" hidden="false" customHeight="false" outlineLevel="0" collapsed="false">
      <c r="A85" s="0" t="s">
        <v>371</v>
      </c>
      <c r="B85" s="4" t="s">
        <v>27</v>
      </c>
      <c r="D85" s="20" t="n">
        <f aca="false">uo_26</f>
        <v>6.65</v>
      </c>
      <c r="E85" s="20" t="n">
        <f aca="false">uo_27*mf_hi</f>
        <v>2.88</v>
      </c>
      <c r="F85" s="20" t="n">
        <f aca="false">uo_28*um28_A*mf_hi</f>
        <v>0.6</v>
      </c>
      <c r="G85" s="20" t="n">
        <f aca="false">uo_29*um29_A*mf_hi</f>
        <v>0.3</v>
      </c>
      <c r="K85" s="8" t="s">
        <v>372</v>
      </c>
    </row>
    <row r="86" customFormat="false" ht="17.15" hidden="false" customHeight="false" outlineLevel="0" collapsed="false">
      <c r="A86" s="0" t="s">
        <v>373</v>
      </c>
      <c r="B86" s="4" t="s">
        <v>27</v>
      </c>
      <c r="D86" s="20" t="n">
        <f aca="false">un_26</f>
        <v>1.7</v>
      </c>
      <c r="E86" s="20" t="n">
        <f aca="false">un_27*mf_hi</f>
        <v>10.56</v>
      </c>
      <c r="F86" s="20" t="n">
        <f aca="false">un_28*um28_A*mf_hi</f>
        <v>13.2</v>
      </c>
      <c r="G86" s="20" t="n">
        <f aca="false">un_29*um29_A*mf_hi</f>
        <v>15.18</v>
      </c>
      <c r="K86" s="8" t="s">
        <v>374</v>
      </c>
    </row>
    <row r="87" customFormat="false" ht="17.15" hidden="false" customHeight="false" outlineLevel="0" collapsed="false">
      <c r="A87" s="4" t="s">
        <v>375</v>
      </c>
      <c r="B87" s="4" t="s">
        <v>58</v>
      </c>
      <c r="D87" s="24" t="n">
        <f aca="false">v_gb</f>
        <v>59.7222222222222</v>
      </c>
      <c r="E87" s="24" t="n">
        <f aca="false">v_gb</f>
        <v>59.7222222222222</v>
      </c>
      <c r="F87" s="24" t="n">
        <f aca="false">v_gb</f>
        <v>59.7222222222222</v>
      </c>
      <c r="G87" s="24" t="n">
        <f aca="false">v_gb</f>
        <v>59.7222222222222</v>
      </c>
    </row>
    <row r="88" customFormat="false" ht="17.15" hidden="false" customHeight="false" outlineLevel="0" collapsed="false">
      <c r="A88" s="4" t="s">
        <v>376</v>
      </c>
      <c r="B88" s="4" t="s">
        <v>58</v>
      </c>
      <c r="D88" s="24" t="n">
        <f aca="false">v_vr</f>
        <v>116.666666666667</v>
      </c>
      <c r="E88" s="24" t="n">
        <f aca="false">v_vr</f>
        <v>116.666666666667</v>
      </c>
      <c r="F88" s="24" t="n">
        <f aca="false">v_vr*vpg_28</f>
        <v>116.666666666667</v>
      </c>
      <c r="G88" s="24" t="n">
        <f aca="false">v_vr*vpg_29</f>
        <v>116.666666666667</v>
      </c>
      <c r="K88" s="4" t="s">
        <v>377</v>
      </c>
    </row>
    <row r="89" customFormat="false" ht="17.15" hidden="false" customHeight="false" outlineLevel="0" collapsed="false">
      <c r="A89" s="4" t="s">
        <v>378</v>
      </c>
      <c r="B89" s="0" t="s">
        <v>117</v>
      </c>
      <c r="D89" s="25" t="n">
        <f aca="false">(D85*D87+D86*D88)</f>
        <v>595.486111111111</v>
      </c>
      <c r="E89" s="25" t="n">
        <f aca="false">(E85*E87+E86*E88)</f>
        <v>1404</v>
      </c>
      <c r="F89" s="25" t="n">
        <f aca="false">(F85*F87+F86*F88)</f>
        <v>1575.83333333333</v>
      </c>
      <c r="G89" s="25" t="n">
        <f aca="false">(G85*G87+G86*G88)</f>
        <v>1788.91666666667</v>
      </c>
      <c r="K89" s="4" t="s">
        <v>379</v>
      </c>
    </row>
    <row r="90" customFormat="false" ht="17.15" hidden="false" customHeight="false" outlineLevel="0" collapsed="false">
      <c r="A90" s="4" t="s">
        <v>380</v>
      </c>
      <c r="B90" s="0" t="s">
        <v>117</v>
      </c>
      <c r="E90" s="25" t="n">
        <f aca="false">0.5*D89+0.5*E89</f>
        <v>999.743055555556</v>
      </c>
      <c r="F90" s="25" t="n">
        <f aca="false">0.5*E89+0.5*F89</f>
        <v>1489.91666666667</v>
      </c>
      <c r="G90" s="25" t="n">
        <f aca="false">0.5*F89+0.5*G89</f>
        <v>1682.375</v>
      </c>
      <c r="K90" s="4" t="s">
        <v>381</v>
      </c>
    </row>
    <row r="91" customFormat="false" ht="17.15" hidden="false" customHeight="false" outlineLevel="0" collapsed="false">
      <c r="A91" s="0" t="s">
        <v>382</v>
      </c>
      <c r="B91" s="0" t="s">
        <v>117</v>
      </c>
      <c r="E91" s="25" t="n">
        <f aca="false">0.5*D89+0.5*(uo_27*v_gb+un_27*v_vr)</f>
        <v>882.743055555556</v>
      </c>
      <c r="K91" s="4" t="s">
        <v>383</v>
      </c>
    </row>
    <row r="92" customFormat="false" ht="17.15" hidden="false" customHeight="false" outlineLevel="0" collapsed="false">
      <c r="A92" s="4" t="s">
        <v>384</v>
      </c>
      <c r="B92" s="0" t="s">
        <v>99</v>
      </c>
      <c r="D92" s="17" t="n">
        <f aca="false">a26_aih2/(0.5*D89)</f>
        <v>0.0499294936443149</v>
      </c>
      <c r="K92" s="8" t="s">
        <v>385</v>
      </c>
    </row>
    <row r="93" customFormat="false" ht="17.15" hidden="false" customHeight="false" outlineLevel="0" collapsed="false">
      <c r="A93" s="0" t="s">
        <v>386</v>
      </c>
      <c r="B93" s="0" t="s">
        <v>117</v>
      </c>
      <c r="E93" s="25" t="n">
        <f aca="false">g27_hi</f>
        <v>72</v>
      </c>
      <c r="K93" s="8" t="s">
        <v>387</v>
      </c>
    </row>
    <row r="94" customFormat="false" ht="17.15" hidden="false" customHeight="false" outlineLevel="0" collapsed="false">
      <c r="A94" s="4" t="s">
        <v>388</v>
      </c>
      <c r="B94" s="0" t="s">
        <v>66</v>
      </c>
      <c r="E94" s="20" t="n">
        <f aca="false">1</f>
        <v>1</v>
      </c>
      <c r="F94" s="20" t="n">
        <f aca="false">rel_28_hi*1</f>
        <v>1</v>
      </c>
      <c r="G94" s="20" t="n">
        <f aca="false">rel_29_hi*1</f>
        <v>1</v>
      </c>
      <c r="K94" s="8" t="s">
        <v>389</v>
      </c>
    </row>
    <row r="95" customFormat="false" ht="17.15" hidden="false" customHeight="false" outlineLevel="0" collapsed="false">
      <c r="A95" s="4" t="s">
        <v>390</v>
      </c>
      <c r="B95" s="0" t="s">
        <v>99</v>
      </c>
      <c r="E95" s="17" t="n">
        <f aca="false">(E93-E99)/E91</f>
        <v>0.0696416435825827</v>
      </c>
      <c r="F95" s="17" t="n">
        <f aca="false">$E95*F94</f>
        <v>0.0696416435825827</v>
      </c>
      <c r="G95" s="17" t="n">
        <f aca="false">$E95*G94</f>
        <v>0.0696416435825827</v>
      </c>
      <c r="K95" s="8" t="s">
        <v>391</v>
      </c>
    </row>
    <row r="96" customFormat="false" ht="17.15" hidden="false" customHeight="false" outlineLevel="0" collapsed="false">
      <c r="A96" s="0" t="s">
        <v>392</v>
      </c>
      <c r="B96" s="0" t="s">
        <v>66</v>
      </c>
      <c r="E96" s="20" t="n">
        <f aca="false">E95/D92</f>
        <v>1.39479971655015</v>
      </c>
      <c r="K96" s="8" t="s">
        <v>393</v>
      </c>
    </row>
    <row r="97" customFormat="false" ht="17.15" hidden="false" customHeight="false" outlineLevel="0" collapsed="false">
      <c r="A97" s="0" t="s">
        <v>394</v>
      </c>
      <c r="B97" s="0" t="s">
        <v>117</v>
      </c>
      <c r="C97" s="26" t="n">
        <f aca="false">a25_ai</f>
        <v>15.3804</v>
      </c>
      <c r="D97" s="26" t="n">
        <f aca="false">a26_ai</f>
        <v>29.911415</v>
      </c>
      <c r="E97" s="26" t="n">
        <f aca="false">E90*E95</f>
        <v>69.6237495491622</v>
      </c>
      <c r="F97" s="26" t="n">
        <f aca="false">F90*F95</f>
        <v>103.76024546775</v>
      </c>
      <c r="G97" s="26" t="n">
        <f aca="false">G90*G95</f>
        <v>117.163360122248</v>
      </c>
    </row>
    <row r="98" customFormat="false" ht="17.15" hidden="false" customHeight="false" outlineLevel="0" collapsed="false">
      <c r="A98" s="6" t="s">
        <v>395</v>
      </c>
    </row>
    <row r="99" customFormat="false" ht="17.15" hidden="false" customHeight="false" outlineLevel="0" collapsed="false">
      <c r="A99" s="4" t="s">
        <v>310</v>
      </c>
      <c r="B99" s="0" t="s">
        <v>117</v>
      </c>
      <c r="C99" s="26" t="n">
        <f aca="false">a25_nai</f>
        <v>6.5916</v>
      </c>
      <c r="D99" s="26" t="n">
        <f aca="false">a26_nai</f>
        <v>9.151585</v>
      </c>
      <c r="E99" s="26" t="n">
        <f aca="false">D99*(1+g_nai27)</f>
        <v>10.52432275</v>
      </c>
      <c r="F99" s="26" t="n">
        <f aca="false">E99*(1+g_nai28)</f>
        <v>11.36626857</v>
      </c>
      <c r="G99" s="26" t="n">
        <f aca="false">F99*(1+g_nai29)</f>
        <v>12.0482446842</v>
      </c>
    </row>
    <row r="100" customFormat="false" ht="17.15" hidden="false" customHeight="false" outlineLevel="0" collapsed="false">
      <c r="A100" s="4" t="s">
        <v>282</v>
      </c>
      <c r="B100" s="0" t="s">
        <v>117</v>
      </c>
      <c r="C100" s="26" t="n">
        <f aca="false">C97+C99</f>
        <v>21.972</v>
      </c>
      <c r="D100" s="26" t="n">
        <f aca="false">D97+D99</f>
        <v>39.063</v>
      </c>
      <c r="E100" s="26" t="n">
        <f aca="false">E97+E99</f>
        <v>80.1480722991622</v>
      </c>
      <c r="F100" s="26" t="n">
        <f aca="false">F97+F99</f>
        <v>115.12651403775</v>
      </c>
      <c r="G100" s="26" t="n">
        <f aca="false">G97+G99</f>
        <v>129.211604806448</v>
      </c>
      <c r="H100" s="27" t="n">
        <f aca="false">G100*(1+H101)</f>
        <v>142.334719263311</v>
      </c>
      <c r="I100" s="27" t="n">
        <f aca="false">H100*(1+I101)</f>
        <v>153.832729315389</v>
      </c>
      <c r="J100" s="27" t="n">
        <f aca="false">I100*(1+J101)</f>
        <v>163.062693074312</v>
      </c>
      <c r="K100" s="8" t="s">
        <v>396</v>
      </c>
    </row>
    <row r="101" customFormat="false" ht="15" hidden="false" customHeight="false" outlineLevel="0" collapsed="false">
      <c r="A101" s="4" t="s">
        <v>397</v>
      </c>
      <c r="B101" s="0" t="s">
        <v>99</v>
      </c>
      <c r="D101" s="18" t="n">
        <f aca="false">D100/C100-1</f>
        <v>0.777853631895139</v>
      </c>
      <c r="E101" s="18" t="n">
        <f aca="false">E100/D100-1</f>
        <v>1.05176438827438</v>
      </c>
      <c r="F101" s="18" t="n">
        <f aca="false">F100/E100-1</f>
        <v>0.436422745241162</v>
      </c>
      <c r="G101" s="18" t="n">
        <f aca="false">G100/F100-1</f>
        <v>0.122344456326363</v>
      </c>
      <c r="H101" s="28" t="n">
        <f aca="false">$G101+(fade_gA-$G101)*1/3</f>
        <v>0.101562970884242</v>
      </c>
      <c r="I101" s="28" t="n">
        <f aca="false">$G101+(fade_gA-$G101)*2/3</f>
        <v>0.0807814854421211</v>
      </c>
      <c r="J101" s="28" t="n">
        <f aca="false">$G101+(fade_gA-$G101)*3/3</f>
        <v>0.06</v>
      </c>
    </row>
    <row r="102" customFormat="false" ht="17.15" hidden="false" customHeight="false" outlineLevel="0" collapsed="false">
      <c r="A102" s="0" t="s">
        <v>398</v>
      </c>
      <c r="B102" s="0" t="s">
        <v>99</v>
      </c>
      <c r="C102" s="18" t="n">
        <f aca="false">C97/C100</f>
        <v>0.7</v>
      </c>
      <c r="D102" s="18" t="n">
        <f aca="false">D97/D100</f>
        <v>0.765722422752989</v>
      </c>
      <c r="E102" s="18" t="n">
        <f aca="false">E97/E100</f>
        <v>0.86868900962812</v>
      </c>
      <c r="F102" s="18" t="n">
        <f aca="false">F97/F100</f>
        <v>0.901271495406584</v>
      </c>
      <c r="G102" s="18" t="n">
        <f aca="false">G97/G100</f>
        <v>0.906755707413064</v>
      </c>
    </row>
    <row r="103" customFormat="false" ht="17.15" hidden="false" customHeight="false" outlineLevel="0" collapsed="false">
      <c r="A103" s="4" t="s">
        <v>399</v>
      </c>
      <c r="B103" s="4" t="s">
        <v>27</v>
      </c>
      <c r="E103" s="20" t="n">
        <f aca="false">E97/((0.5*(D85*D87+D86*D88)+0.5*(E85*E87+E86*E88))/(0.5*(D85+D86)+0.5*(E85+E86)))</f>
        <v>0.758745706832239</v>
      </c>
      <c r="F103" s="20" t="n">
        <f aca="false">F97/((0.5*(E85*E87+E86*E88)+0.5*(F85*F87+F86*F88))/(0.5*(E85+E86)+0.5*(F85+F86)))</f>
        <v>0.948519185594777</v>
      </c>
      <c r="G103" s="20" t="n">
        <f aca="false">G97/((0.5*(F85*F87+F86*F88)+0.5*(G85*G87+G86*G88))/(0.5*(F85+F86)+0.5*(G85+G86)))</f>
        <v>1.01955366204901</v>
      </c>
      <c r="K103" s="4" t="s">
        <v>400</v>
      </c>
    </row>
    <row r="104" customFormat="false" ht="17.15" hidden="false" customHeight="false" outlineLevel="0" collapsed="false">
      <c r="A104" s="6" t="s">
        <v>401</v>
      </c>
    </row>
    <row r="105" customFormat="false" ht="17.15" hidden="false" customHeight="false" outlineLevel="0" collapsed="false">
      <c r="A105" s="0" t="s">
        <v>402</v>
      </c>
      <c r="B105" s="0" t="s">
        <v>99</v>
      </c>
      <c r="D105" s="17" t="n">
        <f aca="false">(a26_gp-gm_nai*a26_nai)/a26_ai</f>
        <v>0.0954338753281983</v>
      </c>
      <c r="K105" s="8" t="s">
        <v>403</v>
      </c>
    </row>
    <row r="106" customFormat="false" ht="17.15" hidden="false" customHeight="false" outlineLevel="0" collapsed="false">
      <c r="A106" s="0" t="s">
        <v>404</v>
      </c>
      <c r="B106" s="0" t="s">
        <v>99</v>
      </c>
      <c r="D106" s="17" t="n">
        <f aca="false">D105</f>
        <v>0.0954338753281983</v>
      </c>
      <c r="E106" s="17" t="n">
        <f aca="false">$D105+dgm_27_hi</f>
        <v>0.110433875328198</v>
      </c>
      <c r="F106" s="17" t="n">
        <f aca="false">$D105+dgm_28_hi</f>
        <v>0.110433875328198</v>
      </c>
      <c r="G106" s="17" t="n">
        <f aca="false">$D105+dgm_28_hi</f>
        <v>0.110433875328198</v>
      </c>
      <c r="K106" s="8" t="s">
        <v>405</v>
      </c>
    </row>
    <row r="107" customFormat="false" ht="15" hidden="false" customHeight="false" outlineLevel="0" collapsed="false">
      <c r="A107" s="4" t="s">
        <v>406</v>
      </c>
      <c r="B107" s="0" t="s">
        <v>117</v>
      </c>
      <c r="C107" s="26" t="n">
        <f aca="false">a25_gp</f>
        <v>2.4299</v>
      </c>
      <c r="D107" s="26" t="n">
        <f aca="false">a26_gp</f>
        <v>4.2273</v>
      </c>
      <c r="E107" s="26" t="n">
        <f aca="false">E106*E97+gm_nai*E99</f>
        <v>9.26746889009388</v>
      </c>
      <c r="F107" s="26" t="n">
        <f aca="false">F106*F97+gm_nai*F99</f>
        <v>13.1635862975087</v>
      </c>
      <c r="G107" s="26" t="n">
        <f aca="false">G106*G97+gm_nai*G99</f>
        <v>14.7460406074031</v>
      </c>
    </row>
    <row r="108" customFormat="false" ht="15" hidden="false" customHeight="false" outlineLevel="0" collapsed="false">
      <c r="A108" s="4" t="s">
        <v>288</v>
      </c>
      <c r="B108" s="0" t="s">
        <v>99</v>
      </c>
      <c r="C108" s="17" t="n">
        <f aca="false">C107/C100</f>
        <v>0.110590751866011</v>
      </c>
      <c r="D108" s="17" t="n">
        <f aca="false">D107/D100</f>
        <v>0.108217494816066</v>
      </c>
      <c r="E108" s="17" t="n">
        <f aca="false">E107/E100</f>
        <v>0.11562934234403</v>
      </c>
      <c r="F108" s="17" t="n">
        <f aca="false">F107/F100</f>
        <v>0.114340179649602</v>
      </c>
      <c r="G108" s="17" t="n">
        <f aca="false">G107/G100</f>
        <v>0.114123190633627</v>
      </c>
    </row>
    <row r="109" customFormat="false" ht="15" hidden="false" customHeight="false" outlineLevel="0" collapsed="false">
      <c r="A109" s="4" t="s">
        <v>407</v>
      </c>
      <c r="B109" s="0" t="s">
        <v>117</v>
      </c>
      <c r="C109" s="26" t="n">
        <f aca="false">a25_opx</f>
        <v>1.1769</v>
      </c>
      <c r="D109" s="26" t="n">
        <f aca="false">a26_opx</f>
        <v>1.4568</v>
      </c>
      <c r="E109" s="26" t="n">
        <f aca="false">D109*(1+MAX(0,phi*E101))</f>
        <v>2.06968414433525</v>
      </c>
      <c r="F109" s="26" t="n">
        <f aca="false">E109*(1+MAX(0,phi*F101))</f>
        <v>2.43098703875641</v>
      </c>
      <c r="G109" s="26" t="n">
        <f aca="false">F109*(1+MAX(0,phi*G101))</f>
        <v>2.54995415379364</v>
      </c>
    </row>
    <row r="110" customFormat="false" ht="15" hidden="false" customHeight="false" outlineLevel="0" collapsed="false">
      <c r="A110" s="4" t="s">
        <v>408</v>
      </c>
      <c r="B110" s="0" t="s">
        <v>117</v>
      </c>
      <c r="C110" s="26" t="n">
        <f aca="false">C109</f>
        <v>1.1769</v>
      </c>
      <c r="D110" s="26" t="n">
        <f aca="false">D109</f>
        <v>1.4568</v>
      </c>
      <c r="E110" s="26" t="n">
        <f aca="false">E109+0*E100</f>
        <v>2.06968414433525</v>
      </c>
      <c r="F110" s="26" t="n">
        <f aca="false">F109+0*F100</f>
        <v>2.43098703875641</v>
      </c>
      <c r="G110" s="26" t="n">
        <f aca="false">G109+0*G100</f>
        <v>2.54995415379364</v>
      </c>
    </row>
    <row r="111" customFormat="false" ht="15" hidden="false" customHeight="false" outlineLevel="0" collapsed="false">
      <c r="A111" s="4" t="s">
        <v>291</v>
      </c>
      <c r="B111" s="0" t="s">
        <v>117</v>
      </c>
      <c r="C111" s="26" t="n">
        <f aca="false">C107-C110</f>
        <v>1.253</v>
      </c>
      <c r="D111" s="26" t="n">
        <f aca="false">D107-D110</f>
        <v>2.7705</v>
      </c>
      <c r="E111" s="26" t="n">
        <f aca="false">E107-E110</f>
        <v>7.19778474575863</v>
      </c>
      <c r="F111" s="26" t="n">
        <f aca="false">F107-F110</f>
        <v>10.7325992587523</v>
      </c>
      <c r="G111" s="26" t="n">
        <f aca="false">G107-G110</f>
        <v>12.1960864536094</v>
      </c>
    </row>
    <row r="112" customFormat="false" ht="15" hidden="false" customHeight="false" outlineLevel="0" collapsed="false">
      <c r="A112" s="4" t="s">
        <v>293</v>
      </c>
      <c r="B112" s="0" t="s">
        <v>99</v>
      </c>
      <c r="C112" s="17" t="n">
        <f aca="false">C111/C100</f>
        <v>0.0570271254323685</v>
      </c>
      <c r="D112" s="17" t="n">
        <f aca="false">D111/D100</f>
        <v>0.0709238921741801</v>
      </c>
      <c r="E112" s="17" t="n">
        <f aca="false">E111/E100</f>
        <v>0.0898060868999075</v>
      </c>
      <c r="F112" s="17" t="n">
        <f aca="false">F111/F100</f>
        <v>0.0932243918653971</v>
      </c>
      <c r="G112" s="17" t="n">
        <f aca="false">G111/G100</f>
        <v>0.0943884759567731</v>
      </c>
    </row>
    <row r="113" customFormat="false" ht="17.15" hidden="false" customHeight="false" outlineLevel="0" collapsed="false">
      <c r="A113" s="4" t="s">
        <v>167</v>
      </c>
      <c r="B113" s="0" t="s">
        <v>99</v>
      </c>
      <c r="C113" s="18" t="n">
        <f aca="false">a25_ni/a25_oi</f>
        <v>0.837110933758979</v>
      </c>
      <c r="D113" s="18" t="n">
        <f aca="false">a26_ni/a26_oi</f>
        <v>0.805089334055225</v>
      </c>
      <c r="E113" s="18" t="n">
        <f aca="false">nio_f</f>
        <v>0.75</v>
      </c>
      <c r="F113" s="18" t="n">
        <f aca="false">nio_f</f>
        <v>0.75</v>
      </c>
      <c r="G113" s="18" t="n">
        <f aca="false">nio_f</f>
        <v>0.75</v>
      </c>
    </row>
    <row r="114" customFormat="false" ht="15" hidden="false" customHeight="false" outlineLevel="0" collapsed="false">
      <c r="A114" s="4" t="s">
        <v>409</v>
      </c>
      <c r="B114" s="0" t="s">
        <v>117</v>
      </c>
      <c r="C114" s="26" t="n">
        <f aca="false">a25_ni</f>
        <v>1.0489</v>
      </c>
      <c r="D114" s="26" t="n">
        <f aca="false">a26_ni</f>
        <v>2.2305</v>
      </c>
      <c r="E114" s="26" t="n">
        <f aca="false">E111*E113</f>
        <v>5.39833855931897</v>
      </c>
      <c r="F114" s="26" t="n">
        <f aca="false">F111*F113</f>
        <v>8.04944944406423</v>
      </c>
      <c r="G114" s="26" t="n">
        <f aca="false">G111*G113</f>
        <v>9.14706484020709</v>
      </c>
    </row>
    <row r="115" customFormat="false" ht="17.15" hidden="false" customHeight="false" outlineLevel="0" collapsed="false">
      <c r="A115" s="4" t="s">
        <v>410</v>
      </c>
      <c r="B115" s="0" t="s">
        <v>117</v>
      </c>
      <c r="C115" s="16" t="n">
        <f aca="false">0</f>
        <v>0</v>
      </c>
      <c r="D115" s="16" t="n">
        <f aca="false">0</f>
        <v>0</v>
      </c>
      <c r="E115" s="16" t="n">
        <f aca="false">pref_div</f>
        <v>0.301875</v>
      </c>
      <c r="F115" s="16" t="n">
        <f aca="false">pref_div</f>
        <v>0.301875</v>
      </c>
      <c r="G115" s="16" t="n">
        <f aca="false">pref_div</f>
        <v>0.301875</v>
      </c>
      <c r="K115" s="8" t="s">
        <v>411</v>
      </c>
    </row>
    <row r="116" customFormat="false" ht="17.15" hidden="false" customHeight="false" outlineLevel="0" collapsed="false">
      <c r="A116" s="4" t="s">
        <v>359</v>
      </c>
      <c r="B116" s="0" t="s">
        <v>117</v>
      </c>
      <c r="C116" s="26" t="n">
        <f aca="false">C114-C115</f>
        <v>1.0489</v>
      </c>
      <c r="D116" s="26" t="n">
        <f aca="false">D114-D115</f>
        <v>2.2305</v>
      </c>
      <c r="E116" s="26" t="n">
        <f aca="false">E114-E115</f>
        <v>5.09646355931897</v>
      </c>
      <c r="F116" s="26" t="n">
        <f aca="false">F114-F115</f>
        <v>7.74757444406423</v>
      </c>
      <c r="G116" s="26" t="n">
        <f aca="false">G114-G115</f>
        <v>8.84518984020708</v>
      </c>
      <c r="H116" s="27" t="n">
        <f aca="false">H100*H121</f>
        <v>10.0439376320786</v>
      </c>
      <c r="I116" s="27" t="n">
        <f aca="false">I100*I121</f>
        <v>10.8205760131091</v>
      </c>
      <c r="J116" s="27" t="n">
        <f aca="false">J100*J121</f>
        <v>11.4330012040842</v>
      </c>
      <c r="K116" s="4" t="s">
        <v>412</v>
      </c>
    </row>
    <row r="117" customFormat="false" ht="17.15" hidden="false" customHeight="false" outlineLevel="0" collapsed="false">
      <c r="A117" s="4" t="s">
        <v>413</v>
      </c>
      <c r="B117" s="0" t="s">
        <v>99</v>
      </c>
      <c r="C117" s="17" t="n">
        <f aca="false">C114/C100</f>
        <v>0.0477380302202804</v>
      </c>
      <c r="D117" s="17" t="n">
        <f aca="false">D114/D100</f>
        <v>0.0571000691191153</v>
      </c>
      <c r="E117" s="17" t="n">
        <f aca="false">E114/E100</f>
        <v>0.0673545651749306</v>
      </c>
      <c r="F117" s="17" t="n">
        <f aca="false">F114/F100</f>
        <v>0.0699182938990478</v>
      </c>
      <c r="G117" s="17" t="n">
        <f aca="false">G114/G100</f>
        <v>0.0707913569675798</v>
      </c>
      <c r="K117" s="4" t="s">
        <v>414</v>
      </c>
    </row>
    <row r="118" customFormat="false" ht="17.15" hidden="false" customHeight="false" outlineLevel="0" collapsed="false">
      <c r="A118" s="4" t="s">
        <v>415</v>
      </c>
      <c r="B118" s="4" t="s">
        <v>176</v>
      </c>
      <c r="C118" s="19" t="n">
        <f aca="false">a25_sh</f>
        <v>0.624345238095238</v>
      </c>
      <c r="D118" s="19" t="n">
        <f aca="false">a26_sh</f>
        <v>0.68420245398773</v>
      </c>
      <c r="E118" s="19" t="n">
        <f aca="false">sh27</f>
        <v>0.745</v>
      </c>
      <c r="F118" s="19" t="n">
        <f aca="false">E118*(1+sh_g)</f>
        <v>0.75245</v>
      </c>
      <c r="G118" s="19" t="n">
        <f aca="false">F118*(1+sh_g)</f>
        <v>0.7599745</v>
      </c>
      <c r="H118" s="31" t="n">
        <f aca="false">G118*(1+sh_g)+conv_sh</f>
        <v>0.91132712</v>
      </c>
      <c r="I118" s="31" t="n">
        <f aca="false">H118*(1+sh_g)</f>
        <v>0.9204403912</v>
      </c>
      <c r="J118" s="31" t="n">
        <f aca="false">I118*(1+sh_g)</f>
        <v>0.929644795112</v>
      </c>
    </row>
    <row r="119" customFormat="false" ht="17.15" hidden="false" customHeight="false" outlineLevel="0" collapsed="false">
      <c r="A119" s="0" t="s">
        <v>299</v>
      </c>
      <c r="B119" s="0" t="s">
        <v>189</v>
      </c>
      <c r="C119" s="26" t="n">
        <f aca="false">C116/C118</f>
        <v>1.68</v>
      </c>
      <c r="D119" s="26" t="n">
        <f aca="false">D116/D118</f>
        <v>3.26</v>
      </c>
      <c r="E119" s="26" t="n">
        <f aca="false">E116/E118</f>
        <v>6.84089068364963</v>
      </c>
      <c r="F119" s="26" t="n">
        <f aca="false">F116/F118</f>
        <v>10.2964641425533</v>
      </c>
      <c r="G119" s="26" t="n">
        <f aca="false">G116/G118</f>
        <v>11.6387981967909</v>
      </c>
      <c r="H119" s="30" t="n">
        <f aca="false">H116/H118</f>
        <v>11.0212210430856</v>
      </c>
      <c r="I119" s="30" t="n">
        <f aca="false">I116/I118</f>
        <v>11.7558682958296</v>
      </c>
      <c r="J119" s="30" t="n">
        <f aca="false">J116/J118</f>
        <v>12.2982468833236</v>
      </c>
    </row>
    <row r="120" customFormat="false" ht="17.15" hidden="false" customHeight="false" outlineLevel="0" collapsed="false">
      <c r="A120" s="0" t="s">
        <v>416</v>
      </c>
      <c r="B120" s="0" t="s">
        <v>99</v>
      </c>
      <c r="D120" s="18" t="n">
        <f aca="false">D119/C119-1</f>
        <v>0.940476190476191</v>
      </c>
      <c r="E120" s="18" t="n">
        <f aca="false">E119/D119-1</f>
        <v>1.0984327250459</v>
      </c>
      <c r="F120" s="18" t="n">
        <f aca="false">F119/E119-1</f>
        <v>0.505135020964861</v>
      </c>
      <c r="G120" s="18" t="n">
        <f aca="false">G119/F119-1</f>
        <v>0.130368448396767</v>
      </c>
      <c r="H120" s="28" t="n">
        <f aca="false">H119/G119-1</f>
        <v>-0.0530619350265575</v>
      </c>
      <c r="I120" s="28" t="n">
        <f aca="false">I119/H119-1</f>
        <v>0.0666575191507393</v>
      </c>
      <c r="J120" s="28" t="n">
        <f aca="false">J119/I119-1</f>
        <v>0.0461368376920672</v>
      </c>
    </row>
    <row r="121" customFormat="false" ht="17.15" hidden="false" customHeight="false" outlineLevel="0" collapsed="false">
      <c r="A121" s="4" t="s">
        <v>417</v>
      </c>
      <c r="B121" s="0" t="s">
        <v>99</v>
      </c>
      <c r="C121" s="17" t="n">
        <f aca="false">C116/C100</f>
        <v>0.0477380302202804</v>
      </c>
      <c r="D121" s="17" t="n">
        <f aca="false">D116/D100</f>
        <v>0.0571000691191153</v>
      </c>
      <c r="E121" s="17" t="n">
        <f aca="false">E116/E100</f>
        <v>0.0635880990411824</v>
      </c>
      <c r="F121" s="17" t="n">
        <f aca="false">F116/F100</f>
        <v>0.0672961785460109</v>
      </c>
      <c r="G121" s="17" t="n">
        <f aca="false">G116/G100</f>
        <v>0.068455073005685</v>
      </c>
      <c r="H121" s="29" t="n">
        <f aca="false">$G117+(fade_mA-$G117)*1/3</f>
        <v>0.0705656194360975</v>
      </c>
      <c r="I121" s="29" t="n">
        <f aca="false">$G117+(fade_mA-$G117)*2/3</f>
        <v>0.0703398819046152</v>
      </c>
      <c r="J121" s="29" t="n">
        <f aca="false">$G117+(fade_mA-$G117)*3/3</f>
        <v>0.0701141443731329</v>
      </c>
    </row>
    <row r="124" customFormat="false" ht="17.15" hidden="false" customHeight="false" outlineLevel="0" collapsed="false">
      <c r="A124" s="1" t="s">
        <v>682</v>
      </c>
    </row>
    <row r="125" customFormat="false" ht="17.15" hidden="false" customHeight="false" outlineLevel="0" collapsed="false">
      <c r="A125" s="5" t="s">
        <v>16</v>
      </c>
      <c r="B125" s="5" t="s">
        <v>17</v>
      </c>
      <c r="C125" s="14" t="s">
        <v>276</v>
      </c>
      <c r="D125" s="14" t="s">
        <v>280</v>
      </c>
      <c r="E125" s="14" t="s">
        <v>348</v>
      </c>
      <c r="F125" s="14" t="s">
        <v>349</v>
      </c>
      <c r="G125" s="14" t="s">
        <v>350</v>
      </c>
      <c r="H125" s="14" t="s">
        <v>351</v>
      </c>
      <c r="I125" s="14" t="s">
        <v>352</v>
      </c>
      <c r="J125" s="14" t="s">
        <v>353</v>
      </c>
      <c r="K125" s="5" t="s">
        <v>324</v>
      </c>
    </row>
    <row r="126" customFormat="false" ht="17.15" hidden="false" customHeight="false" outlineLevel="0" collapsed="false">
      <c r="A126" s="6" t="s">
        <v>370</v>
      </c>
    </row>
    <row r="127" customFormat="false" ht="17.15" hidden="false" customHeight="false" outlineLevel="0" collapsed="false">
      <c r="A127" s="0" t="s">
        <v>371</v>
      </c>
      <c r="B127" s="4" t="s">
        <v>27</v>
      </c>
      <c r="D127" s="20" t="n">
        <f aca="false">uo_26</f>
        <v>6.65</v>
      </c>
      <c r="E127" s="20" t="n">
        <f aca="false">uo_27*mf</f>
        <v>2.4</v>
      </c>
      <c r="F127" s="20" t="n">
        <f aca="false">uo_28*um28_A*mf</f>
        <v>0.5</v>
      </c>
      <c r="G127" s="20" t="n">
        <f aca="false">uo_29*um29_A*mf</f>
        <v>0.25</v>
      </c>
      <c r="K127" s="8" t="s">
        <v>372</v>
      </c>
    </row>
    <row r="128" customFormat="false" ht="17.15" hidden="false" customHeight="false" outlineLevel="0" collapsed="false">
      <c r="A128" s="0" t="s">
        <v>373</v>
      </c>
      <c r="B128" s="4" t="s">
        <v>27</v>
      </c>
      <c r="D128" s="20" t="n">
        <f aca="false">un_26</f>
        <v>1.7</v>
      </c>
      <c r="E128" s="20" t="n">
        <f aca="false">un_27*mf</f>
        <v>8.8</v>
      </c>
      <c r="F128" s="20" t="n">
        <f aca="false">un_28*um28_A*mf</f>
        <v>11</v>
      </c>
      <c r="G128" s="20" t="n">
        <f aca="false">un_29*um29_A*mf</f>
        <v>12.65</v>
      </c>
      <c r="K128" s="8" t="s">
        <v>374</v>
      </c>
    </row>
    <row r="129" customFormat="false" ht="17.15" hidden="false" customHeight="false" outlineLevel="0" collapsed="false">
      <c r="A129" s="4" t="s">
        <v>375</v>
      </c>
      <c r="B129" s="4" t="s">
        <v>58</v>
      </c>
      <c r="D129" s="24" t="n">
        <f aca="false">v_gb</f>
        <v>59.7222222222222</v>
      </c>
      <c r="E129" s="24" t="n">
        <f aca="false">v_gb</f>
        <v>59.7222222222222</v>
      </c>
      <c r="F129" s="24" t="n">
        <f aca="false">v_gb</f>
        <v>59.7222222222222</v>
      </c>
      <c r="G129" s="24" t="n">
        <f aca="false">v_gb</f>
        <v>59.7222222222222</v>
      </c>
    </row>
    <row r="130" customFormat="false" ht="17.15" hidden="false" customHeight="false" outlineLevel="0" collapsed="false">
      <c r="A130" s="4" t="s">
        <v>376</v>
      </c>
      <c r="B130" s="4" t="s">
        <v>58</v>
      </c>
      <c r="D130" s="24" t="n">
        <f aca="false">v_vr</f>
        <v>116.666666666667</v>
      </c>
      <c r="E130" s="24" t="n">
        <f aca="false">v_vr</f>
        <v>116.666666666667</v>
      </c>
      <c r="F130" s="24" t="n">
        <f aca="false">v_vr*vpg_28</f>
        <v>116.666666666667</v>
      </c>
      <c r="G130" s="24" t="n">
        <f aca="false">v_vr*vpg_29</f>
        <v>116.666666666667</v>
      </c>
      <c r="K130" s="4" t="s">
        <v>377</v>
      </c>
    </row>
    <row r="131" customFormat="false" ht="17.15" hidden="false" customHeight="false" outlineLevel="0" collapsed="false">
      <c r="A131" s="4" t="s">
        <v>378</v>
      </c>
      <c r="B131" s="0" t="s">
        <v>117</v>
      </c>
      <c r="D131" s="25" t="n">
        <f aca="false">(D127*D129+D128*D130)</f>
        <v>595.486111111111</v>
      </c>
      <c r="E131" s="25" t="n">
        <f aca="false">(E127*E129+E128*E130)</f>
        <v>1170</v>
      </c>
      <c r="F131" s="25" t="n">
        <f aca="false">(F127*F129+F128*F130)</f>
        <v>1313.19444444444</v>
      </c>
      <c r="G131" s="25" t="n">
        <f aca="false">(G127*G129+G128*G130)</f>
        <v>1490.76388888889</v>
      </c>
      <c r="K131" s="4" t="s">
        <v>379</v>
      </c>
    </row>
    <row r="132" customFormat="false" ht="17.15" hidden="false" customHeight="false" outlineLevel="0" collapsed="false">
      <c r="A132" s="4" t="s">
        <v>380</v>
      </c>
      <c r="B132" s="0" t="s">
        <v>117</v>
      </c>
      <c r="E132" s="25" t="n">
        <f aca="false">0.5*D131+0.5*E131</f>
        <v>882.743055555556</v>
      </c>
      <c r="F132" s="25" t="n">
        <f aca="false">0.5*E131+0.5*F131</f>
        <v>1241.59722222222</v>
      </c>
      <c r="G132" s="25" t="n">
        <f aca="false">0.5*F131+0.5*G131</f>
        <v>1401.97916666667</v>
      </c>
      <c r="K132" s="4" t="s">
        <v>381</v>
      </c>
    </row>
    <row r="133" customFormat="false" ht="17.15" hidden="false" customHeight="false" outlineLevel="0" collapsed="false">
      <c r="A133" s="0" t="s">
        <v>382</v>
      </c>
      <c r="B133" s="0" t="s">
        <v>117</v>
      </c>
      <c r="E133" s="25" t="n">
        <f aca="false">0.5*D131+0.5*(uo_27*v_gb+un_27*v_vr)</f>
        <v>882.743055555556</v>
      </c>
      <c r="K133" s="4" t="s">
        <v>383</v>
      </c>
    </row>
    <row r="134" customFormat="false" ht="17.15" hidden="false" customHeight="false" outlineLevel="0" collapsed="false">
      <c r="A134" s="4" t="s">
        <v>384</v>
      </c>
      <c r="B134" s="0" t="s">
        <v>99</v>
      </c>
      <c r="D134" s="17" t="n">
        <f aca="false">a26_aih2/(0.5*D131)</f>
        <v>0.0499294936443149</v>
      </c>
      <c r="K134" s="8" t="s">
        <v>385</v>
      </c>
    </row>
    <row r="135" customFormat="false" ht="17.15" hidden="false" customHeight="false" outlineLevel="0" collapsed="false">
      <c r="A135" s="0" t="s">
        <v>386</v>
      </c>
      <c r="B135" s="0" t="s">
        <v>117</v>
      </c>
      <c r="E135" s="25" t="n">
        <f aca="false">g27_lo</f>
        <v>65</v>
      </c>
      <c r="K135" s="8" t="s">
        <v>387</v>
      </c>
    </row>
    <row r="136" customFormat="false" ht="17.15" hidden="false" customHeight="false" outlineLevel="0" collapsed="false">
      <c r="A136" s="4" t="s">
        <v>388</v>
      </c>
      <c r="B136" s="0" t="s">
        <v>66</v>
      </c>
      <c r="E136" s="20" t="n">
        <f aca="false">1</f>
        <v>1</v>
      </c>
      <c r="F136" s="20" t="n">
        <f aca="false">rel_28_hi*1</f>
        <v>1</v>
      </c>
      <c r="G136" s="20" t="n">
        <f aca="false">rel_29_hi*1</f>
        <v>1</v>
      </c>
      <c r="K136" s="8" t="s">
        <v>389</v>
      </c>
    </row>
    <row r="137" customFormat="false" ht="17.15" hidden="false" customHeight="false" outlineLevel="0" collapsed="false">
      <c r="A137" s="4" t="s">
        <v>390</v>
      </c>
      <c r="B137" s="0" t="s">
        <v>99</v>
      </c>
      <c r="E137" s="17" t="n">
        <f aca="false">(E135-E141)/E133</f>
        <v>0.0617118162608662</v>
      </c>
      <c r="F137" s="17" t="n">
        <f aca="false">$E137*F136</f>
        <v>0.0617118162608662</v>
      </c>
      <c r="G137" s="17" t="n">
        <f aca="false">$E137*G136</f>
        <v>0.0617118162608662</v>
      </c>
      <c r="K137" s="8" t="s">
        <v>391</v>
      </c>
    </row>
    <row r="138" customFormat="false" ht="17.15" hidden="false" customHeight="false" outlineLevel="0" collapsed="false">
      <c r="A138" s="0" t="s">
        <v>392</v>
      </c>
      <c r="B138" s="0" t="s">
        <v>66</v>
      </c>
      <c r="E138" s="20" t="n">
        <f aca="false">E137/D134</f>
        <v>1.23597921301757</v>
      </c>
      <c r="K138" s="8" t="s">
        <v>393</v>
      </c>
    </row>
    <row r="139" customFormat="false" ht="17.15" hidden="false" customHeight="false" outlineLevel="0" collapsed="false">
      <c r="A139" s="0" t="s">
        <v>394</v>
      </c>
      <c r="B139" s="0" t="s">
        <v>117</v>
      </c>
      <c r="C139" s="26" t="n">
        <f aca="false">a25_ai</f>
        <v>15.3804</v>
      </c>
      <c r="D139" s="26" t="n">
        <f aca="false">a26_ai</f>
        <v>29.911415</v>
      </c>
      <c r="E139" s="26" t="n">
        <f aca="false">E132*E137</f>
        <v>54.47567725</v>
      </c>
      <c r="F139" s="26" t="n">
        <f aca="false">F132*F137</f>
        <v>76.6212196477796</v>
      </c>
      <c r="G139" s="26" t="n">
        <f aca="false">G132*G137</f>
        <v>86.5186807348956</v>
      </c>
    </row>
    <row r="140" customFormat="false" ht="17.15" hidden="false" customHeight="false" outlineLevel="0" collapsed="false">
      <c r="A140" s="6" t="s">
        <v>395</v>
      </c>
    </row>
    <row r="141" customFormat="false" ht="17.15" hidden="false" customHeight="false" outlineLevel="0" collapsed="false">
      <c r="A141" s="4" t="s">
        <v>310</v>
      </c>
      <c r="B141" s="0" t="s">
        <v>117</v>
      </c>
      <c r="C141" s="26" t="n">
        <f aca="false">a25_nai</f>
        <v>6.5916</v>
      </c>
      <c r="D141" s="26" t="n">
        <f aca="false">a26_nai</f>
        <v>9.151585</v>
      </c>
      <c r="E141" s="26" t="n">
        <f aca="false">D141*(1+g_nai27)</f>
        <v>10.52432275</v>
      </c>
      <c r="F141" s="26" t="n">
        <f aca="false">E141*(1+g_nai28)</f>
        <v>11.36626857</v>
      </c>
      <c r="G141" s="26" t="n">
        <f aca="false">F141*(1+g_nai29)</f>
        <v>12.0482446842</v>
      </c>
    </row>
    <row r="142" customFormat="false" ht="17.15" hidden="false" customHeight="false" outlineLevel="0" collapsed="false">
      <c r="A142" s="4" t="s">
        <v>282</v>
      </c>
      <c r="B142" s="0" t="s">
        <v>117</v>
      </c>
      <c r="C142" s="26" t="n">
        <f aca="false">C139+C141</f>
        <v>21.972</v>
      </c>
      <c r="D142" s="26" t="n">
        <f aca="false">D139+D141</f>
        <v>39.063</v>
      </c>
      <c r="E142" s="26" t="n">
        <f aca="false">E139+E141</f>
        <v>65</v>
      </c>
      <c r="F142" s="26" t="n">
        <f aca="false">F139+F141</f>
        <v>87.9874882177796</v>
      </c>
      <c r="G142" s="26" t="n">
        <f aca="false">G139+G141</f>
        <v>98.5669254190956</v>
      </c>
      <c r="H142" s="27" t="n">
        <f aca="false">G142*(1+H143)</f>
        <v>108.439255448886</v>
      </c>
      <c r="I142" s="27" t="n">
        <f aca="false">H142*(1+I143)</f>
        <v>117.122997743564</v>
      </c>
      <c r="J142" s="27" t="n">
        <f aca="false">I142*(1+J143)</f>
        <v>124.150377608177</v>
      </c>
      <c r="K142" s="8" t="s">
        <v>396</v>
      </c>
    </row>
    <row r="143" customFormat="false" ht="15" hidden="false" customHeight="false" outlineLevel="0" collapsed="false">
      <c r="A143" s="4" t="s">
        <v>397</v>
      </c>
      <c r="B143" s="0" t="s">
        <v>99</v>
      </c>
      <c r="D143" s="18" t="n">
        <f aca="false">D142/C142-1</f>
        <v>0.777853631895139</v>
      </c>
      <c r="E143" s="18" t="n">
        <f aca="false">E142/D142-1</f>
        <v>0.663978701072626</v>
      </c>
      <c r="F143" s="18" t="n">
        <f aca="false">F142/E142-1</f>
        <v>0.353653664888917</v>
      </c>
      <c r="G143" s="18" t="n">
        <f aca="false">G142/F142-1</f>
        <v>0.120237972643686</v>
      </c>
      <c r="H143" s="28" t="n">
        <f aca="false">$G143+(fade_gA-$G143)*1/3</f>
        <v>0.100158648429124</v>
      </c>
      <c r="I143" s="28" t="n">
        <f aca="false">$G143+(fade_gA-$G143)*2/3</f>
        <v>0.080079324214562</v>
      </c>
      <c r="J143" s="28" t="n">
        <f aca="false">$G143+(fade_gA-$G143)*3/3</f>
        <v>0.06</v>
      </c>
    </row>
    <row r="144" customFormat="false" ht="17.15" hidden="false" customHeight="false" outlineLevel="0" collapsed="false">
      <c r="A144" s="0" t="s">
        <v>398</v>
      </c>
      <c r="B144" s="0" t="s">
        <v>99</v>
      </c>
      <c r="C144" s="18" t="n">
        <f aca="false">C139/C142</f>
        <v>0.7</v>
      </c>
      <c r="D144" s="18" t="n">
        <f aca="false">D139/D142</f>
        <v>0.765722422752989</v>
      </c>
      <c r="E144" s="18" t="n">
        <f aca="false">E139/E142</f>
        <v>0.838087342307692</v>
      </c>
      <c r="F144" s="18" t="n">
        <f aca="false">F139/F142</f>
        <v>0.870819490359048</v>
      </c>
      <c r="G144" s="18" t="n">
        <f aca="false">G139/G142</f>
        <v>0.877765846576098</v>
      </c>
    </row>
    <row r="145" customFormat="false" ht="17.15" hidden="false" customHeight="false" outlineLevel="0" collapsed="false">
      <c r="A145" s="4" t="s">
        <v>399</v>
      </c>
      <c r="B145" s="4" t="s">
        <v>27</v>
      </c>
      <c r="E145" s="20" t="n">
        <f aca="false">E139/((0.5*(D127*D129+D128*D130)+0.5*(E127*E129+E128*E130))/(0.5*(D127+D128)+0.5*(E127+E128)))</f>
        <v>0.603233003949967</v>
      </c>
      <c r="F145" s="20" t="n">
        <f aca="false">F139/((0.5*(E127*E129+E128*E130)+0.5*(F127*F129+F128*F130))/(0.5*(E127+E128)+0.5*(F127+F128)))</f>
        <v>0.700429114560831</v>
      </c>
      <c r="G145" s="20" t="n">
        <f aca="false">G139/((0.5*(F127*F129+F128*F130)+0.5*(G127*G129+G128*G130))/(0.5*(F127+F128)+0.5*(G127+G128)))</f>
        <v>0.752884158382567</v>
      </c>
      <c r="K145" s="4" t="s">
        <v>400</v>
      </c>
    </row>
    <row r="146" customFormat="false" ht="17.15" hidden="false" customHeight="false" outlineLevel="0" collapsed="false">
      <c r="A146" s="6" t="s">
        <v>401</v>
      </c>
    </row>
    <row r="147" customFormat="false" ht="17.15" hidden="false" customHeight="false" outlineLevel="0" collapsed="false">
      <c r="A147" s="0" t="s">
        <v>402</v>
      </c>
      <c r="B147" s="0" t="s">
        <v>99</v>
      </c>
      <c r="D147" s="17" t="n">
        <f aca="false">(a26_gp-gm_nai*a26_nai)/a26_ai</f>
        <v>0.0954338753281983</v>
      </c>
      <c r="K147" s="8" t="s">
        <v>403</v>
      </c>
    </row>
    <row r="148" customFormat="false" ht="17.15" hidden="false" customHeight="false" outlineLevel="0" collapsed="false">
      <c r="A148" s="0" t="s">
        <v>404</v>
      </c>
      <c r="B148" s="0" t="s">
        <v>99</v>
      </c>
      <c r="D148" s="17" t="n">
        <f aca="false">D147</f>
        <v>0.0954338753281983</v>
      </c>
      <c r="E148" s="17" t="n">
        <f aca="false">$D147+dgm_27_hi</f>
        <v>0.110433875328198</v>
      </c>
      <c r="F148" s="17" t="n">
        <f aca="false">$D147+dgm_28_hi</f>
        <v>0.110433875328198</v>
      </c>
      <c r="G148" s="17" t="n">
        <f aca="false">$D147+dgm_28_hi</f>
        <v>0.110433875328198</v>
      </c>
      <c r="K148" s="8" t="s">
        <v>405</v>
      </c>
    </row>
    <row r="149" customFormat="false" ht="15" hidden="false" customHeight="false" outlineLevel="0" collapsed="false">
      <c r="A149" s="4" t="s">
        <v>406</v>
      </c>
      <c r="B149" s="0" t="s">
        <v>117</v>
      </c>
      <c r="C149" s="26" t="n">
        <f aca="false">a25_gp</f>
        <v>2.4299</v>
      </c>
      <c r="D149" s="26" t="n">
        <f aca="false">a26_gp</f>
        <v>4.2273</v>
      </c>
      <c r="E149" s="26" t="n">
        <f aca="false">E148*E139+gm_nai*E141</f>
        <v>7.59460856234567</v>
      </c>
      <c r="F149" s="26" t="n">
        <f aca="false">F148*F139+gm_nai*F141</f>
        <v>10.1665185035774</v>
      </c>
      <c r="G149" s="26" t="n">
        <f aca="false">G148*G139+gm_nai*G141</f>
        <v>11.3618299044677</v>
      </c>
    </row>
    <row r="150" customFormat="false" ht="15" hidden="false" customHeight="false" outlineLevel="0" collapsed="false">
      <c r="A150" s="4" t="s">
        <v>288</v>
      </c>
      <c r="B150" s="0" t="s">
        <v>99</v>
      </c>
      <c r="C150" s="17" t="n">
        <f aca="false">C149/C142</f>
        <v>0.110590751866011</v>
      </c>
      <c r="D150" s="17" t="n">
        <f aca="false">D149/D142</f>
        <v>0.108217494816066</v>
      </c>
      <c r="E150" s="17" t="n">
        <f aca="false">E149/E142</f>
        <v>0.116840131728395</v>
      </c>
      <c r="F150" s="17" t="n">
        <f aca="false">F149/F142</f>
        <v>0.115545047477819</v>
      </c>
      <c r="G150" s="17" t="n">
        <f aca="false">G149/G142</f>
        <v>0.11527020708172</v>
      </c>
    </row>
    <row r="151" customFormat="false" ht="15" hidden="false" customHeight="false" outlineLevel="0" collapsed="false">
      <c r="A151" s="4" t="s">
        <v>407</v>
      </c>
      <c r="B151" s="0" t="s">
        <v>117</v>
      </c>
      <c r="C151" s="26" t="n">
        <f aca="false">a25_opx</f>
        <v>1.1769</v>
      </c>
      <c r="D151" s="26" t="n">
        <f aca="false">a26_opx</f>
        <v>1.4568</v>
      </c>
      <c r="E151" s="26" t="n">
        <f aca="false">D151*(1+MAX(0,phi*E143))</f>
        <v>1.84371366868904</v>
      </c>
      <c r="F151" s="26" t="n">
        <f aca="false">E151*(1+MAX(0,phi*F143))</f>
        <v>2.10452810706411</v>
      </c>
      <c r="G151" s="26" t="n">
        <f aca="false">F151*(1+MAX(0,phi*G143))</f>
        <v>2.20574578425013</v>
      </c>
    </row>
    <row r="152" customFormat="false" ht="15" hidden="false" customHeight="false" outlineLevel="0" collapsed="false">
      <c r="A152" s="4" t="s">
        <v>408</v>
      </c>
      <c r="B152" s="0" t="s">
        <v>117</v>
      </c>
      <c r="C152" s="26" t="n">
        <f aca="false">C151</f>
        <v>1.1769</v>
      </c>
      <c r="D152" s="26" t="n">
        <f aca="false">D151</f>
        <v>1.4568</v>
      </c>
      <c r="E152" s="26" t="n">
        <f aca="false">E151+0*E142</f>
        <v>1.84371366868904</v>
      </c>
      <c r="F152" s="26" t="n">
        <f aca="false">F151+0*F142</f>
        <v>2.10452810706411</v>
      </c>
      <c r="G152" s="26" t="n">
        <f aca="false">G151+0*G142</f>
        <v>2.20574578425013</v>
      </c>
    </row>
    <row r="153" customFormat="false" ht="15" hidden="false" customHeight="false" outlineLevel="0" collapsed="false">
      <c r="A153" s="4" t="s">
        <v>291</v>
      </c>
      <c r="B153" s="0" t="s">
        <v>117</v>
      </c>
      <c r="C153" s="26" t="n">
        <f aca="false">C149-C152</f>
        <v>1.253</v>
      </c>
      <c r="D153" s="26" t="n">
        <f aca="false">D149-D152</f>
        <v>2.7705</v>
      </c>
      <c r="E153" s="26" t="n">
        <f aca="false">E149-E152</f>
        <v>5.75089489365663</v>
      </c>
      <c r="F153" s="26" t="n">
        <f aca="false">F149-F152</f>
        <v>8.06199039651328</v>
      </c>
      <c r="G153" s="26" t="n">
        <f aca="false">G149-G152</f>
        <v>9.15608412021753</v>
      </c>
    </row>
    <row r="154" customFormat="false" ht="15" hidden="false" customHeight="false" outlineLevel="0" collapsed="false">
      <c r="A154" s="4" t="s">
        <v>293</v>
      </c>
      <c r="B154" s="0" t="s">
        <v>99</v>
      </c>
      <c r="C154" s="17" t="n">
        <f aca="false">C153/C142</f>
        <v>0.0570271254323685</v>
      </c>
      <c r="D154" s="17" t="n">
        <f aca="false">D153/D142</f>
        <v>0.0709238921741801</v>
      </c>
      <c r="E154" s="17" t="n">
        <f aca="false">E153/E142</f>
        <v>0.0884753060562558</v>
      </c>
      <c r="F154" s="17" t="n">
        <f aca="false">F153/F142</f>
        <v>0.0916265546364829</v>
      </c>
      <c r="G154" s="17" t="n">
        <f aca="false">G153/G142</f>
        <v>0.0928920536101423</v>
      </c>
    </row>
    <row r="155" customFormat="false" ht="17.15" hidden="false" customHeight="false" outlineLevel="0" collapsed="false">
      <c r="A155" s="4" t="s">
        <v>167</v>
      </c>
      <c r="B155" s="0" t="s">
        <v>99</v>
      </c>
      <c r="C155" s="18" t="n">
        <f aca="false">a25_ni/a25_oi</f>
        <v>0.837110933758979</v>
      </c>
      <c r="D155" s="18" t="n">
        <f aca="false">a26_ni/a26_oi</f>
        <v>0.805089334055225</v>
      </c>
      <c r="E155" s="18" t="n">
        <f aca="false">nio_f</f>
        <v>0.75</v>
      </c>
      <c r="F155" s="18" t="n">
        <f aca="false">nio_f</f>
        <v>0.75</v>
      </c>
      <c r="G155" s="18" t="n">
        <f aca="false">nio_f</f>
        <v>0.75</v>
      </c>
    </row>
    <row r="156" customFormat="false" ht="15" hidden="false" customHeight="false" outlineLevel="0" collapsed="false">
      <c r="A156" s="4" t="s">
        <v>409</v>
      </c>
      <c r="B156" s="0" t="s">
        <v>117</v>
      </c>
      <c r="C156" s="26" t="n">
        <f aca="false">a25_ni</f>
        <v>1.0489</v>
      </c>
      <c r="D156" s="26" t="n">
        <f aca="false">a26_ni</f>
        <v>2.2305</v>
      </c>
      <c r="E156" s="26" t="n">
        <f aca="false">E153*E155</f>
        <v>4.31317117024247</v>
      </c>
      <c r="F156" s="26" t="n">
        <f aca="false">F153*F155</f>
        <v>6.04649279738496</v>
      </c>
      <c r="G156" s="26" t="n">
        <f aca="false">G153*G155</f>
        <v>6.86706309016314</v>
      </c>
    </row>
    <row r="157" customFormat="false" ht="17.15" hidden="false" customHeight="false" outlineLevel="0" collapsed="false">
      <c r="A157" s="4" t="s">
        <v>410</v>
      </c>
      <c r="B157" s="0" t="s">
        <v>117</v>
      </c>
      <c r="C157" s="16" t="n">
        <f aca="false">0</f>
        <v>0</v>
      </c>
      <c r="D157" s="16" t="n">
        <f aca="false">0</f>
        <v>0</v>
      </c>
      <c r="E157" s="16" t="n">
        <f aca="false">pref_div</f>
        <v>0.301875</v>
      </c>
      <c r="F157" s="16" t="n">
        <f aca="false">pref_div</f>
        <v>0.301875</v>
      </c>
      <c r="G157" s="16" t="n">
        <f aca="false">pref_div</f>
        <v>0.301875</v>
      </c>
      <c r="K157" s="8" t="s">
        <v>411</v>
      </c>
    </row>
    <row r="158" customFormat="false" ht="17.15" hidden="false" customHeight="false" outlineLevel="0" collapsed="false">
      <c r="A158" s="4" t="s">
        <v>359</v>
      </c>
      <c r="B158" s="0" t="s">
        <v>117</v>
      </c>
      <c r="C158" s="26" t="n">
        <f aca="false">C156-C157</f>
        <v>1.0489</v>
      </c>
      <c r="D158" s="26" t="n">
        <f aca="false">D156-D157</f>
        <v>2.2305</v>
      </c>
      <c r="E158" s="26" t="n">
        <f aca="false">E156-E157</f>
        <v>4.01129617024247</v>
      </c>
      <c r="F158" s="26" t="n">
        <f aca="false">F156-F157</f>
        <v>5.74461779738496</v>
      </c>
      <c r="G158" s="26" t="n">
        <f aca="false">G156-G157</f>
        <v>6.56518809016314</v>
      </c>
      <c r="H158" s="27" t="n">
        <f aca="false">H142*H163</f>
        <v>7.57094776938703</v>
      </c>
      <c r="I158" s="27" t="n">
        <f aca="false">I142*I163</f>
        <v>8.19460146181481</v>
      </c>
      <c r="J158" s="27" t="n">
        <f aca="false">J142*J163</f>
        <v>8.70469749959872</v>
      </c>
      <c r="K158" s="4" t="s">
        <v>412</v>
      </c>
    </row>
    <row r="159" customFormat="false" ht="17.15" hidden="false" customHeight="false" outlineLevel="0" collapsed="false">
      <c r="A159" s="4" t="s">
        <v>413</v>
      </c>
      <c r="B159" s="0" t="s">
        <v>99</v>
      </c>
      <c r="C159" s="17" t="n">
        <f aca="false">C156/C142</f>
        <v>0.0477380302202804</v>
      </c>
      <c r="D159" s="17" t="n">
        <f aca="false">D156/D142</f>
        <v>0.0571000691191153</v>
      </c>
      <c r="E159" s="17" t="n">
        <f aca="false">E156/E142</f>
        <v>0.0663564795421918</v>
      </c>
      <c r="F159" s="17" t="n">
        <f aca="false">F156/F142</f>
        <v>0.0687199159773622</v>
      </c>
      <c r="G159" s="17" t="n">
        <f aca="false">G156/G142</f>
        <v>0.0696690402076067</v>
      </c>
      <c r="K159" s="4" t="s">
        <v>414</v>
      </c>
    </row>
    <row r="160" customFormat="false" ht="17.15" hidden="false" customHeight="false" outlineLevel="0" collapsed="false">
      <c r="A160" s="4" t="s">
        <v>415</v>
      </c>
      <c r="B160" s="4" t="s">
        <v>176</v>
      </c>
      <c r="C160" s="19" t="n">
        <f aca="false">a25_sh</f>
        <v>0.624345238095238</v>
      </c>
      <c r="D160" s="19" t="n">
        <f aca="false">a26_sh</f>
        <v>0.68420245398773</v>
      </c>
      <c r="E160" s="19" t="n">
        <f aca="false">sh27</f>
        <v>0.745</v>
      </c>
      <c r="F160" s="19" t="n">
        <f aca="false">E160*(1+sh_g)</f>
        <v>0.75245</v>
      </c>
      <c r="G160" s="19" t="n">
        <f aca="false">F160*(1+sh_g)</f>
        <v>0.7599745</v>
      </c>
      <c r="H160" s="31" t="n">
        <f aca="false">G160*(1+sh_g)+conv_sh</f>
        <v>0.91132712</v>
      </c>
      <c r="I160" s="31" t="n">
        <f aca="false">H160*(1+sh_g)</f>
        <v>0.9204403912</v>
      </c>
      <c r="J160" s="31" t="n">
        <f aca="false">I160*(1+sh_g)</f>
        <v>0.929644795112</v>
      </c>
    </row>
    <row r="161" customFormat="false" ht="17.15" hidden="false" customHeight="false" outlineLevel="0" collapsed="false">
      <c r="A161" s="0" t="s">
        <v>299</v>
      </c>
      <c r="B161" s="0" t="s">
        <v>189</v>
      </c>
      <c r="C161" s="26" t="n">
        <f aca="false">C158/C160</f>
        <v>1.68</v>
      </c>
      <c r="D161" s="26" t="n">
        <f aca="false">D158/D160</f>
        <v>3.26</v>
      </c>
      <c r="E161" s="26" t="n">
        <f aca="false">E158/E160</f>
        <v>5.38429016139929</v>
      </c>
      <c r="F161" s="26" t="n">
        <f aca="false">F158/F160</f>
        <v>7.63455086369188</v>
      </c>
      <c r="G161" s="26" t="n">
        <f aca="false">G158/G160</f>
        <v>8.63869523275208</v>
      </c>
      <c r="H161" s="30" t="n">
        <f aca="false">H158/H160</f>
        <v>8.30760722822232</v>
      </c>
      <c r="I161" s="30" t="n">
        <f aca="false">I158/I160</f>
        <v>8.90291380100271</v>
      </c>
      <c r="J161" s="30" t="n">
        <f aca="false">J158/J160</f>
        <v>9.36346607367388</v>
      </c>
    </row>
    <row r="162" customFormat="false" ht="17.15" hidden="false" customHeight="false" outlineLevel="0" collapsed="false">
      <c r="A162" s="0" t="s">
        <v>416</v>
      </c>
      <c r="B162" s="0" t="s">
        <v>99</v>
      </c>
      <c r="D162" s="18" t="n">
        <f aca="false">D161/C161-1</f>
        <v>0.940476190476191</v>
      </c>
      <c r="E162" s="18" t="n">
        <f aca="false">E161/D161-1</f>
        <v>0.651622748895487</v>
      </c>
      <c r="F162" s="18" t="n">
        <f aca="false">F161/E161-1</f>
        <v>0.417930801431361</v>
      </c>
      <c r="G162" s="18" t="n">
        <f aca="false">G161/F161-1</f>
        <v>0.131526318573063</v>
      </c>
      <c r="H162" s="28" t="n">
        <f aca="false">H161/G161-1</f>
        <v>-0.038326158709072</v>
      </c>
      <c r="I162" s="28" t="n">
        <f aca="false">I161/H161-1</f>
        <v>0.0716580065025261</v>
      </c>
      <c r="J162" s="28" t="n">
        <f aca="false">J161/I161-1</f>
        <v>0.0517305101414443</v>
      </c>
    </row>
    <row r="163" customFormat="false" ht="17.15" hidden="false" customHeight="false" outlineLevel="0" collapsed="false">
      <c r="A163" s="4" t="s">
        <v>417</v>
      </c>
      <c r="B163" s="0" t="s">
        <v>99</v>
      </c>
      <c r="C163" s="17" t="n">
        <f aca="false">C158/C142</f>
        <v>0.0477380302202804</v>
      </c>
      <c r="D163" s="17" t="n">
        <f aca="false">D158/D142</f>
        <v>0.0571000691191153</v>
      </c>
      <c r="E163" s="17" t="n">
        <f aca="false">E158/E142</f>
        <v>0.0617122487729611</v>
      </c>
      <c r="F163" s="17" t="n">
        <f aca="false">F158/F142</f>
        <v>0.0652890304490377</v>
      </c>
      <c r="G163" s="17" t="n">
        <f aca="false">G158/G142</f>
        <v>0.0666064002934929</v>
      </c>
      <c r="H163" s="29" t="n">
        <f aca="false">$G159+(fade_mA-$G159)*1/3</f>
        <v>0.0698174082627821</v>
      </c>
      <c r="I163" s="29" t="n">
        <f aca="false">$G159+(fade_mA-$G159)*2/3</f>
        <v>0.0699657763179575</v>
      </c>
      <c r="J163" s="29" t="n">
        <f aca="false">$G159+(fade_mA-$G159)*3/3</f>
        <v>0.0701141443731329</v>
      </c>
    </row>
    <row r="166" customFormat="false" ht="17.15" hidden="false" customHeight="false" outlineLevel="0" collapsed="false">
      <c r="A166" s="1" t="s">
        <v>683</v>
      </c>
    </row>
    <row r="167" customFormat="false" ht="17.15" hidden="false" customHeight="false" outlineLevel="0" collapsed="false">
      <c r="A167" s="5" t="s">
        <v>16</v>
      </c>
      <c r="B167" s="5" t="s">
        <v>17</v>
      </c>
      <c r="C167" s="14" t="s">
        <v>276</v>
      </c>
      <c r="D167" s="14" t="s">
        <v>280</v>
      </c>
      <c r="E167" s="14" t="s">
        <v>348</v>
      </c>
      <c r="F167" s="14" t="s">
        <v>349</v>
      </c>
      <c r="G167" s="14" t="s">
        <v>350</v>
      </c>
      <c r="H167" s="14" t="s">
        <v>351</v>
      </c>
      <c r="I167" s="14" t="s">
        <v>352</v>
      </c>
      <c r="J167" s="14" t="s">
        <v>353</v>
      </c>
      <c r="K167" s="5" t="s">
        <v>324</v>
      </c>
    </row>
    <row r="168" customFormat="false" ht="17.15" hidden="false" customHeight="false" outlineLevel="0" collapsed="false">
      <c r="A168" s="6" t="s">
        <v>370</v>
      </c>
    </row>
    <row r="169" customFormat="false" ht="17.15" hidden="false" customHeight="false" outlineLevel="0" collapsed="false">
      <c r="A169" s="0" t="s">
        <v>371</v>
      </c>
      <c r="B169" s="4" t="s">
        <v>27</v>
      </c>
      <c r="D169" s="20" t="n">
        <f aca="false">uo_26</f>
        <v>6.65</v>
      </c>
      <c r="E169" s="20" t="n">
        <f aca="false">uo_27*mf</f>
        <v>2.4</v>
      </c>
      <c r="F169" s="20" t="n">
        <f aca="false">uo_28*um28_A*mf</f>
        <v>0.5</v>
      </c>
      <c r="G169" s="20" t="n">
        <f aca="false">uo_29*um29_A*mf</f>
        <v>0.25</v>
      </c>
      <c r="K169" s="8" t="s">
        <v>372</v>
      </c>
    </row>
    <row r="170" customFormat="false" ht="17.15" hidden="false" customHeight="false" outlineLevel="0" collapsed="false">
      <c r="A170" s="0" t="s">
        <v>373</v>
      </c>
      <c r="B170" s="4" t="s">
        <v>27</v>
      </c>
      <c r="D170" s="20" t="n">
        <f aca="false">un_26</f>
        <v>1.7</v>
      </c>
      <c r="E170" s="20" t="n">
        <f aca="false">un_27*mf</f>
        <v>8.8</v>
      </c>
      <c r="F170" s="20" t="n">
        <f aca="false">un_28*um28_A*mf</f>
        <v>11</v>
      </c>
      <c r="G170" s="20" t="n">
        <f aca="false">un_29*um29_A*mf</f>
        <v>12.65</v>
      </c>
      <c r="K170" s="8" t="s">
        <v>374</v>
      </c>
    </row>
    <row r="171" customFormat="false" ht="17.15" hidden="false" customHeight="false" outlineLevel="0" collapsed="false">
      <c r="A171" s="4" t="s">
        <v>375</v>
      </c>
      <c r="B171" s="4" t="s">
        <v>58</v>
      </c>
      <c r="D171" s="24" t="n">
        <f aca="false">v_gb</f>
        <v>59.7222222222222</v>
      </c>
      <c r="E171" s="24" t="n">
        <f aca="false">v_gb</f>
        <v>59.7222222222222</v>
      </c>
      <c r="F171" s="24" t="n">
        <f aca="false">v_gb</f>
        <v>59.7222222222222</v>
      </c>
      <c r="G171" s="24" t="n">
        <f aca="false">v_gb</f>
        <v>59.7222222222222</v>
      </c>
    </row>
    <row r="172" customFormat="false" ht="17.15" hidden="false" customHeight="false" outlineLevel="0" collapsed="false">
      <c r="A172" s="4" t="s">
        <v>376</v>
      </c>
      <c r="B172" s="4" t="s">
        <v>58</v>
      </c>
      <c r="D172" s="24" t="n">
        <f aca="false">v_vr</f>
        <v>116.666666666667</v>
      </c>
      <c r="E172" s="24" t="n">
        <f aca="false">v_vr</f>
        <v>116.666666666667</v>
      </c>
      <c r="F172" s="24" t="n">
        <f aca="false">v_vr*vpg_28</f>
        <v>116.666666666667</v>
      </c>
      <c r="G172" s="24" t="n">
        <f aca="false">v_vr*vpg_29</f>
        <v>116.666666666667</v>
      </c>
      <c r="K172" s="4" t="s">
        <v>377</v>
      </c>
    </row>
    <row r="173" customFormat="false" ht="17.15" hidden="false" customHeight="false" outlineLevel="0" collapsed="false">
      <c r="A173" s="4" t="s">
        <v>378</v>
      </c>
      <c r="B173" s="0" t="s">
        <v>117</v>
      </c>
      <c r="D173" s="25" t="n">
        <f aca="false">(D169*D171+D170*D172)</f>
        <v>595.486111111111</v>
      </c>
      <c r="E173" s="25" t="n">
        <f aca="false">(E169*E171+E170*E172)</f>
        <v>1170</v>
      </c>
      <c r="F173" s="25" t="n">
        <f aca="false">(F169*F171+F170*F172)</f>
        <v>1313.19444444444</v>
      </c>
      <c r="G173" s="25" t="n">
        <f aca="false">(G169*G171+G170*G172)</f>
        <v>1490.76388888889</v>
      </c>
      <c r="K173" s="4" t="s">
        <v>379</v>
      </c>
    </row>
    <row r="174" customFormat="false" ht="17.15" hidden="false" customHeight="false" outlineLevel="0" collapsed="false">
      <c r="A174" s="4" t="s">
        <v>380</v>
      </c>
      <c r="B174" s="0" t="s">
        <v>117</v>
      </c>
      <c r="E174" s="25" t="n">
        <f aca="false">0.5*D173+0.5*E173</f>
        <v>882.743055555556</v>
      </c>
      <c r="F174" s="25" t="n">
        <f aca="false">0.5*E173+0.5*F173</f>
        <v>1241.59722222222</v>
      </c>
      <c r="G174" s="25" t="n">
        <f aca="false">0.5*F173+0.5*G173</f>
        <v>1401.97916666667</v>
      </c>
      <c r="K174" s="4" t="s">
        <v>381</v>
      </c>
    </row>
    <row r="175" customFormat="false" ht="17.15" hidden="false" customHeight="false" outlineLevel="0" collapsed="false">
      <c r="A175" s="0" t="s">
        <v>382</v>
      </c>
      <c r="B175" s="0" t="s">
        <v>117</v>
      </c>
      <c r="E175" s="25" t="n">
        <f aca="false">0.5*D173+0.5*(uo_27*v_gb+un_27*v_vr)</f>
        <v>882.743055555556</v>
      </c>
      <c r="K175" s="4" t="s">
        <v>383</v>
      </c>
    </row>
    <row r="176" customFormat="false" ht="17.15" hidden="false" customHeight="false" outlineLevel="0" collapsed="false">
      <c r="A176" s="4" t="s">
        <v>384</v>
      </c>
      <c r="B176" s="0" t="s">
        <v>99</v>
      </c>
      <c r="D176" s="17" t="n">
        <f aca="false">a26_aih2/(0.5*D173)</f>
        <v>0.0499294936443149</v>
      </c>
      <c r="K176" s="8" t="s">
        <v>385</v>
      </c>
    </row>
    <row r="177" customFormat="false" ht="17.15" hidden="false" customHeight="false" outlineLevel="0" collapsed="false">
      <c r="A177" s="0" t="s">
        <v>386</v>
      </c>
      <c r="B177" s="0" t="s">
        <v>117</v>
      </c>
      <c r="E177" s="25" t="n">
        <f aca="false">g27_hi</f>
        <v>72</v>
      </c>
      <c r="K177" s="8" t="s">
        <v>387</v>
      </c>
    </row>
    <row r="178" customFormat="false" ht="17.15" hidden="false" customHeight="false" outlineLevel="0" collapsed="false">
      <c r="A178" s="4" t="s">
        <v>388</v>
      </c>
      <c r="B178" s="0" t="s">
        <v>66</v>
      </c>
      <c r="E178" s="20" t="n">
        <f aca="false">1</f>
        <v>1</v>
      </c>
      <c r="F178" s="20" t="n">
        <f aca="false">rel_28*1</f>
        <v>0.95</v>
      </c>
      <c r="G178" s="20" t="n">
        <f aca="false">rel_29*1</f>
        <v>0.92</v>
      </c>
      <c r="K178" s="8" t="s">
        <v>389</v>
      </c>
    </row>
    <row r="179" customFormat="false" ht="17.15" hidden="false" customHeight="false" outlineLevel="0" collapsed="false">
      <c r="A179" s="4" t="s">
        <v>390</v>
      </c>
      <c r="B179" s="0" t="s">
        <v>99</v>
      </c>
      <c r="E179" s="17" t="n">
        <f aca="false">(E177-E183)/E175</f>
        <v>0.0696416435825827</v>
      </c>
      <c r="F179" s="17" t="n">
        <f aca="false">$E179*F178</f>
        <v>0.0661595614034536</v>
      </c>
      <c r="G179" s="17" t="n">
        <f aca="false">$E179*G178</f>
        <v>0.0640703120959761</v>
      </c>
      <c r="K179" s="8" t="s">
        <v>391</v>
      </c>
    </row>
    <row r="180" customFormat="false" ht="17.15" hidden="false" customHeight="false" outlineLevel="0" collapsed="false">
      <c r="A180" s="0" t="s">
        <v>392</v>
      </c>
      <c r="B180" s="0" t="s">
        <v>66</v>
      </c>
      <c r="E180" s="20" t="n">
        <f aca="false">E179/D176</f>
        <v>1.39479971655015</v>
      </c>
      <c r="K180" s="8" t="s">
        <v>393</v>
      </c>
    </row>
    <row r="181" customFormat="false" ht="17.15" hidden="false" customHeight="false" outlineLevel="0" collapsed="false">
      <c r="A181" s="0" t="s">
        <v>394</v>
      </c>
      <c r="B181" s="0" t="s">
        <v>117</v>
      </c>
      <c r="C181" s="26" t="n">
        <f aca="false">a25_ai</f>
        <v>15.3804</v>
      </c>
      <c r="D181" s="26" t="n">
        <f aca="false">a26_ai</f>
        <v>29.911415</v>
      </c>
      <c r="E181" s="26" t="n">
        <f aca="false">E174*E179</f>
        <v>61.47567725</v>
      </c>
      <c r="F181" s="26" t="n">
        <f aca="false">F174*F179</f>
        <v>82.1435276619685</v>
      </c>
      <c r="G181" s="26" t="n">
        <f aca="false">G174*G179</f>
        <v>89.8252427603898</v>
      </c>
    </row>
    <row r="182" customFormat="false" ht="17.15" hidden="false" customHeight="false" outlineLevel="0" collapsed="false">
      <c r="A182" s="6" t="s">
        <v>395</v>
      </c>
    </row>
    <row r="183" customFormat="false" ht="17.15" hidden="false" customHeight="false" outlineLevel="0" collapsed="false">
      <c r="A183" s="4" t="s">
        <v>310</v>
      </c>
      <c r="B183" s="0" t="s">
        <v>117</v>
      </c>
      <c r="C183" s="26" t="n">
        <f aca="false">a25_nai</f>
        <v>6.5916</v>
      </c>
      <c r="D183" s="26" t="n">
        <f aca="false">a26_nai</f>
        <v>9.151585</v>
      </c>
      <c r="E183" s="26" t="n">
        <f aca="false">D183*(1+g_nai27)</f>
        <v>10.52432275</v>
      </c>
      <c r="F183" s="26" t="n">
        <f aca="false">E183*(1+g_nai28)</f>
        <v>11.36626857</v>
      </c>
      <c r="G183" s="26" t="n">
        <f aca="false">F183*(1+g_nai29)</f>
        <v>12.0482446842</v>
      </c>
    </row>
    <row r="184" customFormat="false" ht="17.15" hidden="false" customHeight="false" outlineLevel="0" collapsed="false">
      <c r="A184" s="4" t="s">
        <v>282</v>
      </c>
      <c r="B184" s="0" t="s">
        <v>117</v>
      </c>
      <c r="C184" s="26" t="n">
        <f aca="false">C181+C183</f>
        <v>21.972</v>
      </c>
      <c r="D184" s="26" t="n">
        <f aca="false">D181+D183</f>
        <v>39.063</v>
      </c>
      <c r="E184" s="26" t="n">
        <f aca="false">E181+E183</f>
        <v>72</v>
      </c>
      <c r="F184" s="26" t="n">
        <f aca="false">F181+F183</f>
        <v>93.5097962319685</v>
      </c>
      <c r="G184" s="26" t="n">
        <f aca="false">G181+G183</f>
        <v>101.87348744459</v>
      </c>
      <c r="H184" s="27" t="n">
        <f aca="false">G184*(1+H185)</f>
        <v>109.985460800396</v>
      </c>
      <c r="I184" s="27" t="n">
        <f aca="false">H184*(1+I185)</f>
        <v>117.663981063021</v>
      </c>
      <c r="J184" s="27" t="n">
        <f aca="false">I184*(1+J185)</f>
        <v>124.723819926802</v>
      </c>
      <c r="K184" s="8" t="s">
        <v>396</v>
      </c>
    </row>
    <row r="185" customFormat="false" ht="15" hidden="false" customHeight="false" outlineLevel="0" collapsed="false">
      <c r="A185" s="4" t="s">
        <v>397</v>
      </c>
      <c r="B185" s="0" t="s">
        <v>99</v>
      </c>
      <c r="D185" s="18" t="n">
        <f aca="false">D184/C184-1</f>
        <v>0.777853631895139</v>
      </c>
      <c r="E185" s="18" t="n">
        <f aca="false">E184/D184-1</f>
        <v>0.843176407341986</v>
      </c>
      <c r="F185" s="18" t="n">
        <f aca="false">F184/E184-1</f>
        <v>0.298747169888451</v>
      </c>
      <c r="G185" s="18" t="n">
        <f aca="false">G184/F184-1</f>
        <v>0.0894418718641377</v>
      </c>
      <c r="H185" s="28" t="n">
        <f aca="false">$G185+(fade_gA-$G185)*1/3</f>
        <v>0.0796279145760918</v>
      </c>
      <c r="I185" s="28" t="n">
        <f aca="false">$G185+(fade_gA-$G185)*2/3</f>
        <v>0.0698139572880459</v>
      </c>
      <c r="J185" s="28" t="n">
        <f aca="false">$G185+(fade_gA-$G185)*3/3</f>
        <v>0.06</v>
      </c>
    </row>
    <row r="186" customFormat="false" ht="17.15" hidden="false" customHeight="false" outlineLevel="0" collapsed="false">
      <c r="A186" s="0" t="s">
        <v>398</v>
      </c>
      <c r="B186" s="0" t="s">
        <v>99</v>
      </c>
      <c r="C186" s="18" t="n">
        <f aca="false">C181/C184</f>
        <v>0.7</v>
      </c>
      <c r="D186" s="18" t="n">
        <f aca="false">D181/D184</f>
        <v>0.765722422752989</v>
      </c>
      <c r="E186" s="18" t="n">
        <f aca="false">E181/E184</f>
        <v>0.853828850694445</v>
      </c>
      <c r="F186" s="18" t="n">
        <f aca="false">F181/F184</f>
        <v>0.878448365540185</v>
      </c>
      <c r="G186" s="18" t="n">
        <f aca="false">G181/G184</f>
        <v>0.881733265578513</v>
      </c>
    </row>
    <row r="187" customFormat="false" ht="17.15" hidden="false" customHeight="false" outlineLevel="0" collapsed="false">
      <c r="A187" s="4" t="s">
        <v>399</v>
      </c>
      <c r="B187" s="4" t="s">
        <v>27</v>
      </c>
      <c r="E187" s="20" t="n">
        <f aca="false">E181/((0.5*(D169*D171+D170*D172)+0.5*(E169*E171+E170*E172))/(0.5*(D169+D170)+0.5*(E169+E170)))</f>
        <v>0.680747066019746</v>
      </c>
      <c r="F187" s="20" t="n">
        <f aca="false">F181/((0.5*(E169*E171+E170*E172)+0.5*(F169*F171+F170*F172))/(0.5*(E169+E170)+0.5*(F169+F170)))</f>
        <v>0.750911021929198</v>
      </c>
      <c r="G187" s="20" t="n">
        <f aca="false">G181/((0.5*(F169*F171+F170*F172)+0.5*(G169*G171+G170*G172))/(0.5*(F169+F170)+0.5*(G169+G170)))</f>
        <v>0.781657807570908</v>
      </c>
      <c r="K187" s="4" t="s">
        <v>400</v>
      </c>
    </row>
    <row r="188" customFormat="false" ht="17.15" hidden="false" customHeight="false" outlineLevel="0" collapsed="false">
      <c r="A188" s="6" t="s">
        <v>401</v>
      </c>
    </row>
    <row r="189" customFormat="false" ht="17.15" hidden="false" customHeight="false" outlineLevel="0" collapsed="false">
      <c r="A189" s="0" t="s">
        <v>402</v>
      </c>
      <c r="B189" s="0" t="s">
        <v>99</v>
      </c>
      <c r="D189" s="17" t="n">
        <f aca="false">(a26_gp-gm_nai*a26_nai)/a26_ai</f>
        <v>0.0954338753281983</v>
      </c>
      <c r="K189" s="8" t="s">
        <v>403</v>
      </c>
    </row>
    <row r="190" customFormat="false" ht="17.15" hidden="false" customHeight="false" outlineLevel="0" collapsed="false">
      <c r="A190" s="0" t="s">
        <v>404</v>
      </c>
      <c r="B190" s="0" t="s">
        <v>99</v>
      </c>
      <c r="D190" s="17" t="n">
        <f aca="false">D189</f>
        <v>0.0954338753281983</v>
      </c>
      <c r="E190" s="17" t="n">
        <f aca="false">$D189+dgm_27_hi</f>
        <v>0.110433875328198</v>
      </c>
      <c r="F190" s="17" t="n">
        <f aca="false">$D189+dgm_28_hi</f>
        <v>0.110433875328198</v>
      </c>
      <c r="G190" s="17" t="n">
        <f aca="false">$D189+dgm_28_hi</f>
        <v>0.110433875328198</v>
      </c>
      <c r="K190" s="8" t="s">
        <v>405</v>
      </c>
    </row>
    <row r="191" customFormat="false" ht="15" hidden="false" customHeight="false" outlineLevel="0" collapsed="false">
      <c r="A191" s="4" t="s">
        <v>406</v>
      </c>
      <c r="B191" s="0" t="s">
        <v>117</v>
      </c>
      <c r="C191" s="26" t="n">
        <f aca="false">a25_gp</f>
        <v>2.4299</v>
      </c>
      <c r="D191" s="26" t="n">
        <f aca="false">a26_gp</f>
        <v>4.2273</v>
      </c>
      <c r="E191" s="26" t="n">
        <f aca="false">E190*E181+gm_nai*E183</f>
        <v>8.36764568964306</v>
      </c>
      <c r="F191" s="26" t="n">
        <f aca="false">F190*F181+gm_nai*F183</f>
        <v>10.7763683783402</v>
      </c>
      <c r="G191" s="26" t="n">
        <f aca="false">G190*G181+gm_nai*G183</f>
        <v>11.726986362956</v>
      </c>
    </row>
    <row r="192" customFormat="false" ht="15" hidden="false" customHeight="false" outlineLevel="0" collapsed="false">
      <c r="A192" s="4" t="s">
        <v>288</v>
      </c>
      <c r="B192" s="0" t="s">
        <v>99</v>
      </c>
      <c r="C192" s="17" t="n">
        <f aca="false">C191/C184</f>
        <v>0.110590751866011</v>
      </c>
      <c r="D192" s="17" t="n">
        <f aca="false">D191/D184</f>
        <v>0.108217494816066</v>
      </c>
      <c r="E192" s="17" t="n">
        <f aca="false">E191/E184</f>
        <v>0.116217301245042</v>
      </c>
      <c r="F192" s="17" t="n">
        <f aca="false">F191/F184</f>
        <v>0.115243202451297</v>
      </c>
      <c r="G192" s="17" t="n">
        <f aca="false">G191/G184</f>
        <v>0.115113231686846</v>
      </c>
    </row>
    <row r="193" customFormat="false" ht="15" hidden="false" customHeight="false" outlineLevel="0" collapsed="false">
      <c r="A193" s="4" t="s">
        <v>407</v>
      </c>
      <c r="B193" s="0" t="s">
        <v>117</v>
      </c>
      <c r="C193" s="26" t="n">
        <f aca="false">a25_opx</f>
        <v>1.1769</v>
      </c>
      <c r="D193" s="26" t="n">
        <f aca="false">a26_opx</f>
        <v>1.4568</v>
      </c>
      <c r="E193" s="26" t="n">
        <f aca="false">D193*(1+MAX(0,phi*E185))</f>
        <v>1.94813575608632</v>
      </c>
      <c r="F193" s="26" t="n">
        <f aca="false">E193*(1+MAX(0,phi*F185))</f>
        <v>2.18093577356204</v>
      </c>
      <c r="G193" s="26" t="n">
        <f aca="false">F193*(1+MAX(0,phi*G185))</f>
        <v>2.25896256476318</v>
      </c>
    </row>
    <row r="194" customFormat="false" ht="15" hidden="false" customHeight="false" outlineLevel="0" collapsed="false">
      <c r="A194" s="4" t="s">
        <v>408</v>
      </c>
      <c r="B194" s="0" t="s">
        <v>117</v>
      </c>
      <c r="C194" s="26" t="n">
        <f aca="false">C193</f>
        <v>1.1769</v>
      </c>
      <c r="D194" s="26" t="n">
        <f aca="false">D193</f>
        <v>1.4568</v>
      </c>
      <c r="E194" s="26" t="n">
        <f aca="false">E193+0*E184</f>
        <v>1.94813575608632</v>
      </c>
      <c r="F194" s="26" t="n">
        <f aca="false">F193+0*F184</f>
        <v>2.18093577356204</v>
      </c>
      <c r="G194" s="26" t="n">
        <f aca="false">G193+0*G184</f>
        <v>2.25896256476318</v>
      </c>
    </row>
    <row r="195" customFormat="false" ht="15" hidden="false" customHeight="false" outlineLevel="0" collapsed="false">
      <c r="A195" s="4" t="s">
        <v>291</v>
      </c>
      <c r="B195" s="0" t="s">
        <v>117</v>
      </c>
      <c r="C195" s="26" t="n">
        <f aca="false">C191-C194</f>
        <v>1.253</v>
      </c>
      <c r="D195" s="26" t="n">
        <f aca="false">D191-D194</f>
        <v>2.7705</v>
      </c>
      <c r="E195" s="26" t="n">
        <f aca="false">E191-E194</f>
        <v>6.41950993355673</v>
      </c>
      <c r="F195" s="26" t="n">
        <f aca="false">F191-F194</f>
        <v>8.5954326047782</v>
      </c>
      <c r="G195" s="26" t="n">
        <f aca="false">G191-G194</f>
        <v>9.46802379819286</v>
      </c>
    </row>
    <row r="196" customFormat="false" ht="15" hidden="false" customHeight="false" outlineLevel="0" collapsed="false">
      <c r="A196" s="4" t="s">
        <v>293</v>
      </c>
      <c r="B196" s="0" t="s">
        <v>99</v>
      </c>
      <c r="C196" s="17" t="n">
        <f aca="false">C195/C184</f>
        <v>0.0570271254323685</v>
      </c>
      <c r="D196" s="17" t="n">
        <f aca="false">D195/D184</f>
        <v>0.0709238921741801</v>
      </c>
      <c r="E196" s="17" t="n">
        <f aca="false">E195/E184</f>
        <v>0.089159860188288</v>
      </c>
      <c r="F196" s="17" t="n">
        <f aca="false">F195/F184</f>
        <v>0.0919201297739503</v>
      </c>
      <c r="G196" s="17" t="n">
        <f aca="false">G195/G184</f>
        <v>0.0929390367964249</v>
      </c>
    </row>
    <row r="197" customFormat="false" ht="17.15" hidden="false" customHeight="false" outlineLevel="0" collapsed="false">
      <c r="A197" s="4" t="s">
        <v>167</v>
      </c>
      <c r="B197" s="0" t="s">
        <v>99</v>
      </c>
      <c r="C197" s="18" t="n">
        <f aca="false">a25_ni/a25_oi</f>
        <v>0.837110933758979</v>
      </c>
      <c r="D197" s="18" t="n">
        <f aca="false">a26_ni/a26_oi</f>
        <v>0.805089334055225</v>
      </c>
      <c r="E197" s="18" t="n">
        <f aca="false">nio_f</f>
        <v>0.75</v>
      </c>
      <c r="F197" s="18" t="n">
        <f aca="false">nio_f</f>
        <v>0.75</v>
      </c>
      <c r="G197" s="18" t="n">
        <f aca="false">nio_f</f>
        <v>0.75</v>
      </c>
    </row>
    <row r="198" customFormat="false" ht="15" hidden="false" customHeight="false" outlineLevel="0" collapsed="false">
      <c r="A198" s="4" t="s">
        <v>409</v>
      </c>
      <c r="B198" s="0" t="s">
        <v>117</v>
      </c>
      <c r="C198" s="26" t="n">
        <f aca="false">a25_ni</f>
        <v>1.0489</v>
      </c>
      <c r="D198" s="26" t="n">
        <f aca="false">a26_ni</f>
        <v>2.2305</v>
      </c>
      <c r="E198" s="26" t="n">
        <f aca="false">E195*E197</f>
        <v>4.81463245016755</v>
      </c>
      <c r="F198" s="26" t="n">
        <f aca="false">F195*F197</f>
        <v>6.44657445358365</v>
      </c>
      <c r="G198" s="26" t="n">
        <f aca="false">G195*G197</f>
        <v>7.10101784864465</v>
      </c>
    </row>
    <row r="199" customFormat="false" ht="17.15" hidden="false" customHeight="false" outlineLevel="0" collapsed="false">
      <c r="A199" s="4" t="s">
        <v>410</v>
      </c>
      <c r="B199" s="0" t="s">
        <v>117</v>
      </c>
      <c r="C199" s="16" t="n">
        <f aca="false">0</f>
        <v>0</v>
      </c>
      <c r="D199" s="16" t="n">
        <f aca="false">0</f>
        <v>0</v>
      </c>
      <c r="E199" s="16" t="n">
        <f aca="false">pref_div</f>
        <v>0.301875</v>
      </c>
      <c r="F199" s="16" t="n">
        <f aca="false">pref_div</f>
        <v>0.301875</v>
      </c>
      <c r="G199" s="16" t="n">
        <f aca="false">pref_div</f>
        <v>0.301875</v>
      </c>
      <c r="K199" s="8" t="s">
        <v>411</v>
      </c>
    </row>
    <row r="200" customFormat="false" ht="17.15" hidden="false" customHeight="false" outlineLevel="0" collapsed="false">
      <c r="A200" s="4" t="s">
        <v>359</v>
      </c>
      <c r="B200" s="0" t="s">
        <v>117</v>
      </c>
      <c r="C200" s="26" t="n">
        <f aca="false">C198-C199</f>
        <v>1.0489</v>
      </c>
      <c r="D200" s="26" t="n">
        <f aca="false">D198-D199</f>
        <v>2.2305</v>
      </c>
      <c r="E200" s="26" t="n">
        <f aca="false">E198-E199</f>
        <v>4.51275745016755</v>
      </c>
      <c r="F200" s="26" t="n">
        <f aca="false">F198-F199</f>
        <v>6.14469945358365</v>
      </c>
      <c r="G200" s="26" t="n">
        <f aca="false">G198-G199</f>
        <v>6.79914284864465</v>
      </c>
      <c r="H200" s="27" t="n">
        <f aca="false">H184*H205</f>
        <v>7.68148355336806</v>
      </c>
      <c r="I200" s="27" t="n">
        <f aca="false">I184*I205</f>
        <v>8.23383383692099</v>
      </c>
      <c r="J200" s="27" t="n">
        <f aca="false">J184*J205</f>
        <v>8.74490391711646</v>
      </c>
      <c r="K200" s="4" t="s">
        <v>412</v>
      </c>
    </row>
    <row r="201" customFormat="false" ht="17.15" hidden="false" customHeight="false" outlineLevel="0" collapsed="false">
      <c r="A201" s="4" t="s">
        <v>413</v>
      </c>
      <c r="B201" s="0" t="s">
        <v>99</v>
      </c>
      <c r="C201" s="17" t="n">
        <f aca="false">C198/C184</f>
        <v>0.0477380302202804</v>
      </c>
      <c r="D201" s="17" t="n">
        <f aca="false">D198/D184</f>
        <v>0.0571000691191153</v>
      </c>
      <c r="E201" s="17" t="n">
        <f aca="false">E198/E184</f>
        <v>0.066869895141216</v>
      </c>
      <c r="F201" s="17" t="n">
        <f aca="false">F198/F184</f>
        <v>0.0689400973304628</v>
      </c>
      <c r="G201" s="17" t="n">
        <f aca="false">G198/G184</f>
        <v>0.0697042775973186</v>
      </c>
      <c r="K201" s="4" t="s">
        <v>414</v>
      </c>
    </row>
    <row r="202" customFormat="false" ht="17.15" hidden="false" customHeight="false" outlineLevel="0" collapsed="false">
      <c r="A202" s="4" t="s">
        <v>415</v>
      </c>
      <c r="B202" s="4" t="s">
        <v>176</v>
      </c>
      <c r="C202" s="19" t="n">
        <f aca="false">a25_sh</f>
        <v>0.624345238095238</v>
      </c>
      <c r="D202" s="19" t="n">
        <f aca="false">a26_sh</f>
        <v>0.68420245398773</v>
      </c>
      <c r="E202" s="19" t="n">
        <f aca="false">sh27</f>
        <v>0.745</v>
      </c>
      <c r="F202" s="19" t="n">
        <f aca="false">E202*(1+sh_g)</f>
        <v>0.75245</v>
      </c>
      <c r="G202" s="19" t="n">
        <f aca="false">F202*(1+sh_g)</f>
        <v>0.7599745</v>
      </c>
      <c r="H202" s="31" t="n">
        <f aca="false">G202*(1+sh_g)+conv_sh</f>
        <v>0.91132712</v>
      </c>
      <c r="I202" s="31" t="n">
        <f aca="false">H202*(1+sh_g)</f>
        <v>0.9204403912</v>
      </c>
      <c r="J202" s="31" t="n">
        <f aca="false">I202*(1+sh_g)</f>
        <v>0.929644795112</v>
      </c>
    </row>
    <row r="203" customFormat="false" ht="17.15" hidden="false" customHeight="false" outlineLevel="0" collapsed="false">
      <c r="A203" s="0" t="s">
        <v>299</v>
      </c>
      <c r="B203" s="0" t="s">
        <v>189</v>
      </c>
      <c r="C203" s="26" t="n">
        <f aca="false">C200/C202</f>
        <v>1.68</v>
      </c>
      <c r="D203" s="26" t="n">
        <f aca="false">D200/D202</f>
        <v>3.26</v>
      </c>
      <c r="E203" s="26" t="n">
        <f aca="false">E200/E202</f>
        <v>6.05739255056047</v>
      </c>
      <c r="F203" s="26" t="n">
        <f aca="false">F200/F202</f>
        <v>8.16625616796285</v>
      </c>
      <c r="G203" s="26" t="n">
        <f aca="false">G200/G202</f>
        <v>8.94654077030827</v>
      </c>
      <c r="H203" s="30" t="n">
        <f aca="false">H200/H202</f>
        <v>8.42889823510142</v>
      </c>
      <c r="I203" s="30" t="n">
        <f aca="false">I200/I202</f>
        <v>8.94553728371952</v>
      </c>
      <c r="J203" s="30" t="n">
        <f aca="false">J200/J202</f>
        <v>9.40671529932344</v>
      </c>
    </row>
    <row r="204" customFormat="false" ht="17.15" hidden="false" customHeight="false" outlineLevel="0" collapsed="false">
      <c r="A204" s="0" t="s">
        <v>416</v>
      </c>
      <c r="B204" s="0" t="s">
        <v>99</v>
      </c>
      <c r="D204" s="18" t="n">
        <f aca="false">D203/C203-1</f>
        <v>0.940476190476191</v>
      </c>
      <c r="E204" s="18" t="n">
        <f aca="false">E203/D203-1</f>
        <v>0.858095874405052</v>
      </c>
      <c r="F204" s="18" t="n">
        <f aca="false">F203/E203-1</f>
        <v>0.348147094612063</v>
      </c>
      <c r="G204" s="18" t="n">
        <f aca="false">G203/F203-1</f>
        <v>0.0955498561760242</v>
      </c>
      <c r="H204" s="28" t="n">
        <f aca="false">H203/G203-1</f>
        <v>-0.0578595178289245</v>
      </c>
      <c r="I204" s="28" t="n">
        <f aca="false">I203/H203-1</f>
        <v>0.0612937817266086</v>
      </c>
      <c r="J204" s="28" t="n">
        <f aca="false">J203/I203-1</f>
        <v>0.0515539761310078</v>
      </c>
    </row>
    <row r="205" customFormat="false" ht="17.15" hidden="false" customHeight="false" outlineLevel="0" collapsed="false">
      <c r="A205" s="4" t="s">
        <v>417</v>
      </c>
      <c r="B205" s="0" t="s">
        <v>99</v>
      </c>
      <c r="C205" s="17" t="n">
        <f aca="false">C200/C184</f>
        <v>0.0477380302202804</v>
      </c>
      <c r="D205" s="17" t="n">
        <f aca="false">D200/D184</f>
        <v>0.0571000691191153</v>
      </c>
      <c r="E205" s="17" t="n">
        <f aca="false">E200/E184</f>
        <v>0.0626771868078827</v>
      </c>
      <c r="F205" s="17" t="n">
        <f aca="false">F200/F184</f>
        <v>0.0657118259389698</v>
      </c>
      <c r="G205" s="17" t="n">
        <f aca="false">G200/G184</f>
        <v>0.0667410434176289</v>
      </c>
      <c r="H205" s="29" t="n">
        <f aca="false">$G201+(fade_mA-$G201)*1/3</f>
        <v>0.0698408998559234</v>
      </c>
      <c r="I205" s="29" t="n">
        <f aca="false">$G201+(fade_mA-$G201)*2/3</f>
        <v>0.0699775221145282</v>
      </c>
      <c r="J205" s="29" t="n">
        <f aca="false">$G201+(fade_mA-$G201)*3/3</f>
        <v>0.0701141443731329</v>
      </c>
    </row>
    <row r="208" customFormat="false" ht="17.15" hidden="false" customHeight="false" outlineLevel="0" collapsed="false">
      <c r="A208" s="1" t="s">
        <v>684</v>
      </c>
    </row>
    <row r="209" customFormat="false" ht="17.15" hidden="false" customHeight="false" outlineLevel="0" collapsed="false">
      <c r="A209" s="5" t="s">
        <v>16</v>
      </c>
      <c r="B209" s="5" t="s">
        <v>17</v>
      </c>
      <c r="C209" s="14" t="s">
        <v>276</v>
      </c>
      <c r="D209" s="14" t="s">
        <v>280</v>
      </c>
      <c r="E209" s="14" t="s">
        <v>348</v>
      </c>
      <c r="F209" s="14" t="s">
        <v>349</v>
      </c>
      <c r="G209" s="14" t="s">
        <v>350</v>
      </c>
      <c r="H209" s="14" t="s">
        <v>351</v>
      </c>
      <c r="I209" s="14" t="s">
        <v>352</v>
      </c>
      <c r="J209" s="14" t="s">
        <v>353</v>
      </c>
      <c r="K209" s="5" t="s">
        <v>324</v>
      </c>
    </row>
    <row r="210" customFormat="false" ht="17.15" hidden="false" customHeight="false" outlineLevel="0" collapsed="false">
      <c r="A210" s="6" t="s">
        <v>370</v>
      </c>
    </row>
    <row r="211" customFormat="false" ht="17.15" hidden="false" customHeight="false" outlineLevel="0" collapsed="false">
      <c r="A211" s="0" t="s">
        <v>371</v>
      </c>
      <c r="B211" s="4" t="s">
        <v>27</v>
      </c>
      <c r="D211" s="20" t="n">
        <f aca="false">uo_26</f>
        <v>6.65</v>
      </c>
      <c r="E211" s="20" t="n">
        <f aca="false">uo_27*mf</f>
        <v>2.4</v>
      </c>
      <c r="F211" s="20" t="n">
        <f aca="false">uo_28*um28_A*mf</f>
        <v>0.5</v>
      </c>
      <c r="G211" s="20" t="n">
        <f aca="false">uo_29*um29_A*mf</f>
        <v>0.25</v>
      </c>
      <c r="K211" s="8" t="s">
        <v>372</v>
      </c>
    </row>
    <row r="212" customFormat="false" ht="17.15" hidden="false" customHeight="false" outlineLevel="0" collapsed="false">
      <c r="A212" s="0" t="s">
        <v>373</v>
      </c>
      <c r="B212" s="4" t="s">
        <v>27</v>
      </c>
      <c r="D212" s="20" t="n">
        <f aca="false">un_26</f>
        <v>1.7</v>
      </c>
      <c r="E212" s="20" t="n">
        <f aca="false">un_27*mf</f>
        <v>8.8</v>
      </c>
      <c r="F212" s="20" t="n">
        <f aca="false">un_28*um28_A*mf</f>
        <v>11</v>
      </c>
      <c r="G212" s="20" t="n">
        <f aca="false">un_29*um29_A*mf</f>
        <v>12.65</v>
      </c>
      <c r="K212" s="8" t="s">
        <v>374</v>
      </c>
    </row>
    <row r="213" customFormat="false" ht="17.15" hidden="false" customHeight="false" outlineLevel="0" collapsed="false">
      <c r="A213" s="4" t="s">
        <v>375</v>
      </c>
      <c r="B213" s="4" t="s">
        <v>58</v>
      </c>
      <c r="D213" s="24" t="n">
        <f aca="false">v_gb</f>
        <v>59.7222222222222</v>
      </c>
      <c r="E213" s="24" t="n">
        <f aca="false">v_gb</f>
        <v>59.7222222222222</v>
      </c>
      <c r="F213" s="24" t="n">
        <f aca="false">v_gb</f>
        <v>59.7222222222222</v>
      </c>
      <c r="G213" s="24" t="n">
        <f aca="false">v_gb</f>
        <v>59.7222222222222</v>
      </c>
    </row>
    <row r="214" customFormat="false" ht="17.15" hidden="false" customHeight="false" outlineLevel="0" collapsed="false">
      <c r="A214" s="4" t="s">
        <v>376</v>
      </c>
      <c r="B214" s="4" t="s">
        <v>58</v>
      </c>
      <c r="D214" s="24" t="n">
        <f aca="false">v_vr</f>
        <v>116.666666666667</v>
      </c>
      <c r="E214" s="24" t="n">
        <f aca="false">v_vr</f>
        <v>116.666666666667</v>
      </c>
      <c r="F214" s="24" t="n">
        <f aca="false">v_vr*vpg_28</f>
        <v>116.666666666667</v>
      </c>
      <c r="G214" s="24" t="n">
        <f aca="false">v_vr*vpg_29</f>
        <v>116.666666666667</v>
      </c>
      <c r="K214" s="4" t="s">
        <v>377</v>
      </c>
    </row>
    <row r="215" customFormat="false" ht="17.15" hidden="false" customHeight="false" outlineLevel="0" collapsed="false">
      <c r="A215" s="4" t="s">
        <v>378</v>
      </c>
      <c r="B215" s="0" t="s">
        <v>117</v>
      </c>
      <c r="D215" s="25" t="n">
        <f aca="false">(D211*D213+D212*D214)</f>
        <v>595.486111111111</v>
      </c>
      <c r="E215" s="25" t="n">
        <f aca="false">(E211*E213+E212*E214)</f>
        <v>1170</v>
      </c>
      <c r="F215" s="25" t="n">
        <f aca="false">(F211*F213+F212*F214)</f>
        <v>1313.19444444444</v>
      </c>
      <c r="G215" s="25" t="n">
        <f aca="false">(G211*G213+G212*G214)</f>
        <v>1490.76388888889</v>
      </c>
      <c r="K215" s="4" t="s">
        <v>379</v>
      </c>
    </row>
    <row r="216" customFormat="false" ht="17.15" hidden="false" customHeight="false" outlineLevel="0" collapsed="false">
      <c r="A216" s="4" t="s">
        <v>380</v>
      </c>
      <c r="B216" s="0" t="s">
        <v>117</v>
      </c>
      <c r="E216" s="25" t="n">
        <f aca="false">0.5*D215+0.5*E215</f>
        <v>882.743055555556</v>
      </c>
      <c r="F216" s="25" t="n">
        <f aca="false">0.5*E215+0.5*F215</f>
        <v>1241.59722222222</v>
      </c>
      <c r="G216" s="25" t="n">
        <f aca="false">0.5*F215+0.5*G215</f>
        <v>1401.97916666667</v>
      </c>
      <c r="K216" s="4" t="s">
        <v>381</v>
      </c>
    </row>
    <row r="217" customFormat="false" ht="17.15" hidden="false" customHeight="false" outlineLevel="0" collapsed="false">
      <c r="A217" s="0" t="s">
        <v>382</v>
      </c>
      <c r="B217" s="0" t="s">
        <v>117</v>
      </c>
      <c r="E217" s="25" t="n">
        <f aca="false">0.5*D215+0.5*(uo_27*v_gb+un_27*v_vr)</f>
        <v>882.743055555556</v>
      </c>
      <c r="K217" s="4" t="s">
        <v>383</v>
      </c>
    </row>
    <row r="218" customFormat="false" ht="17.15" hidden="false" customHeight="false" outlineLevel="0" collapsed="false">
      <c r="A218" s="4" t="s">
        <v>384</v>
      </c>
      <c r="B218" s="0" t="s">
        <v>99</v>
      </c>
      <c r="D218" s="17" t="n">
        <f aca="false">a26_aih2/(0.5*D215)</f>
        <v>0.0499294936443149</v>
      </c>
      <c r="K218" s="8" t="s">
        <v>385</v>
      </c>
    </row>
    <row r="219" customFormat="false" ht="17.15" hidden="false" customHeight="false" outlineLevel="0" collapsed="false">
      <c r="A219" s="0" t="s">
        <v>386</v>
      </c>
      <c r="B219" s="0" t="s">
        <v>117</v>
      </c>
      <c r="E219" s="25" t="n">
        <f aca="false">g27_hi</f>
        <v>72</v>
      </c>
      <c r="K219" s="8" t="s">
        <v>387</v>
      </c>
    </row>
    <row r="220" customFormat="false" ht="17.15" hidden="false" customHeight="false" outlineLevel="0" collapsed="false">
      <c r="A220" s="4" t="s">
        <v>388</v>
      </c>
      <c r="B220" s="0" t="s">
        <v>66</v>
      </c>
      <c r="E220" s="20" t="n">
        <f aca="false">1</f>
        <v>1</v>
      </c>
      <c r="F220" s="20" t="n">
        <f aca="false">rel_28_lo*1</f>
        <v>0.85</v>
      </c>
      <c r="G220" s="20" t="n">
        <f aca="false">rel_29_lo*1</f>
        <v>0.8</v>
      </c>
      <c r="K220" s="8" t="s">
        <v>389</v>
      </c>
    </row>
    <row r="221" customFormat="false" ht="17.15" hidden="false" customHeight="false" outlineLevel="0" collapsed="false">
      <c r="A221" s="4" t="s">
        <v>390</v>
      </c>
      <c r="B221" s="0" t="s">
        <v>99</v>
      </c>
      <c r="E221" s="17" t="n">
        <f aca="false">(E219-E225)/E217</f>
        <v>0.0696416435825827</v>
      </c>
      <c r="F221" s="17" t="n">
        <f aca="false">$E221*F220</f>
        <v>0.0591953970451953</v>
      </c>
      <c r="G221" s="17" t="n">
        <f aca="false">$E221*G220</f>
        <v>0.0557133148660662</v>
      </c>
      <c r="K221" s="8" t="s">
        <v>391</v>
      </c>
    </row>
    <row r="222" customFormat="false" ht="17.15" hidden="false" customHeight="false" outlineLevel="0" collapsed="false">
      <c r="A222" s="0" t="s">
        <v>392</v>
      </c>
      <c r="B222" s="0" t="s">
        <v>66</v>
      </c>
      <c r="E222" s="20" t="n">
        <f aca="false">E221/D218</f>
        <v>1.39479971655015</v>
      </c>
      <c r="K222" s="8" t="s">
        <v>393</v>
      </c>
    </row>
    <row r="223" customFormat="false" ht="17.15" hidden="false" customHeight="false" outlineLevel="0" collapsed="false">
      <c r="A223" s="0" t="s">
        <v>394</v>
      </c>
      <c r="B223" s="0" t="s">
        <v>117</v>
      </c>
      <c r="C223" s="26" t="n">
        <f aca="false">a25_ai</f>
        <v>15.3804</v>
      </c>
      <c r="D223" s="26" t="n">
        <f aca="false">a26_ai</f>
        <v>29.911415</v>
      </c>
      <c r="E223" s="26" t="n">
        <f aca="false">E216*E221</f>
        <v>61.47567725</v>
      </c>
      <c r="F223" s="26" t="n">
        <f aca="false">F216*F221</f>
        <v>73.496840539656</v>
      </c>
      <c r="G223" s="26" t="n">
        <f aca="false">G216*G221</f>
        <v>78.1089067481651</v>
      </c>
    </row>
    <row r="224" customFormat="false" ht="17.15" hidden="false" customHeight="false" outlineLevel="0" collapsed="false">
      <c r="A224" s="6" t="s">
        <v>395</v>
      </c>
    </row>
    <row r="225" customFormat="false" ht="17.15" hidden="false" customHeight="false" outlineLevel="0" collapsed="false">
      <c r="A225" s="4" t="s">
        <v>310</v>
      </c>
      <c r="B225" s="0" t="s">
        <v>117</v>
      </c>
      <c r="C225" s="26" t="n">
        <f aca="false">a25_nai</f>
        <v>6.5916</v>
      </c>
      <c r="D225" s="26" t="n">
        <f aca="false">a26_nai</f>
        <v>9.151585</v>
      </c>
      <c r="E225" s="26" t="n">
        <f aca="false">D225*(1+g_nai27)</f>
        <v>10.52432275</v>
      </c>
      <c r="F225" s="26" t="n">
        <f aca="false">E225*(1+g_nai28)</f>
        <v>11.36626857</v>
      </c>
      <c r="G225" s="26" t="n">
        <f aca="false">F225*(1+g_nai29)</f>
        <v>12.0482446842</v>
      </c>
    </row>
    <row r="226" customFormat="false" ht="17.15" hidden="false" customHeight="false" outlineLevel="0" collapsed="false">
      <c r="A226" s="4" t="s">
        <v>282</v>
      </c>
      <c r="B226" s="0" t="s">
        <v>117</v>
      </c>
      <c r="C226" s="26" t="n">
        <f aca="false">C223+C225</f>
        <v>21.972</v>
      </c>
      <c r="D226" s="26" t="n">
        <f aca="false">D223+D225</f>
        <v>39.063</v>
      </c>
      <c r="E226" s="26" t="n">
        <f aca="false">E223+E225</f>
        <v>72</v>
      </c>
      <c r="F226" s="26" t="n">
        <f aca="false">F223+F225</f>
        <v>84.863109109656</v>
      </c>
      <c r="G226" s="26" t="n">
        <f aca="false">G223+G225</f>
        <v>90.1571514323651</v>
      </c>
      <c r="H226" s="27" t="n">
        <f aca="false">G226*(1+H227)</f>
        <v>95.7098292933276</v>
      </c>
      <c r="I226" s="27" t="n">
        <f aca="false">H226*(1+I227)</f>
        <v>101.52845470415</v>
      </c>
      <c r="J226" s="27" t="n">
        <f aca="false">I226*(1+J227)</f>
        <v>107.620161986399</v>
      </c>
      <c r="K226" s="8" t="s">
        <v>396</v>
      </c>
    </row>
    <row r="227" customFormat="false" ht="15" hidden="false" customHeight="false" outlineLevel="0" collapsed="false">
      <c r="A227" s="4" t="s">
        <v>397</v>
      </c>
      <c r="B227" s="0" t="s">
        <v>99</v>
      </c>
      <c r="D227" s="18" t="n">
        <f aca="false">D226/C226-1</f>
        <v>0.777853631895139</v>
      </c>
      <c r="E227" s="18" t="n">
        <f aca="false">E226/D226-1</f>
        <v>0.843176407341986</v>
      </c>
      <c r="F227" s="18" t="n">
        <f aca="false">F226/E226-1</f>
        <v>0.178654293189667</v>
      </c>
      <c r="G227" s="18" t="n">
        <f aca="false">G226/F226-1</f>
        <v>0.0623833180076911</v>
      </c>
      <c r="H227" s="28" t="n">
        <f aca="false">$G227+(fade_gA-$G227)*1/3</f>
        <v>0.0615888786717941</v>
      </c>
      <c r="I227" s="28" t="n">
        <f aca="false">$G227+(fade_gA-$G227)*2/3</f>
        <v>0.060794439335897</v>
      </c>
      <c r="J227" s="28" t="n">
        <f aca="false">$G227+(fade_gA-$G227)*3/3</f>
        <v>0.06</v>
      </c>
    </row>
    <row r="228" customFormat="false" ht="17.15" hidden="false" customHeight="false" outlineLevel="0" collapsed="false">
      <c r="A228" s="0" t="s">
        <v>398</v>
      </c>
      <c r="B228" s="0" t="s">
        <v>99</v>
      </c>
      <c r="C228" s="18" t="n">
        <f aca="false">C223/C226</f>
        <v>0.7</v>
      </c>
      <c r="D228" s="18" t="n">
        <f aca="false">D223/D226</f>
        <v>0.765722422752989</v>
      </c>
      <c r="E228" s="18" t="n">
        <f aca="false">E223/E226</f>
        <v>0.853828850694445</v>
      </c>
      <c r="F228" s="18" t="n">
        <f aca="false">F223/F226</f>
        <v>0.86606349108288</v>
      </c>
      <c r="G228" s="18" t="n">
        <f aca="false">G223/G226</f>
        <v>0.866363960120918</v>
      </c>
    </row>
    <row r="229" customFormat="false" ht="17.15" hidden="false" customHeight="false" outlineLevel="0" collapsed="false">
      <c r="A229" s="4" t="s">
        <v>399</v>
      </c>
      <c r="B229" s="4" t="s">
        <v>27</v>
      </c>
      <c r="E229" s="20" t="n">
        <f aca="false">E223/((0.5*(D211*D213+D212*D214)+0.5*(E211*E213+E212*E214))/(0.5*(D211+D212)+0.5*(E211+E212)))</f>
        <v>0.680747066019746</v>
      </c>
      <c r="F229" s="20" t="n">
        <f aca="false">F223/((0.5*(E211*E213+E212*E214)+0.5*(F211*F213+F212*F214))/(0.5*(E211+E212)+0.5*(F211+F212)))</f>
        <v>0.671867756462967</v>
      </c>
      <c r="G229" s="20" t="n">
        <f aca="false">G223/((0.5*(F211*F213+F212*F214)+0.5*(G211*G213+G212*G214))/(0.5*(F211+F212)+0.5*(G211+G212)))</f>
        <v>0.679702441366007</v>
      </c>
      <c r="K229" s="4" t="s">
        <v>400</v>
      </c>
    </row>
    <row r="230" customFormat="false" ht="17.15" hidden="false" customHeight="false" outlineLevel="0" collapsed="false">
      <c r="A230" s="6" t="s">
        <v>401</v>
      </c>
    </row>
    <row r="231" customFormat="false" ht="17.15" hidden="false" customHeight="false" outlineLevel="0" collapsed="false">
      <c r="A231" s="0" t="s">
        <v>402</v>
      </c>
      <c r="B231" s="0" t="s">
        <v>99</v>
      </c>
      <c r="D231" s="17" t="n">
        <f aca="false">(a26_gp-gm_nai*a26_nai)/a26_ai</f>
        <v>0.0954338753281983</v>
      </c>
      <c r="K231" s="8" t="s">
        <v>403</v>
      </c>
    </row>
    <row r="232" customFormat="false" ht="17.15" hidden="false" customHeight="false" outlineLevel="0" collapsed="false">
      <c r="A232" s="0" t="s">
        <v>404</v>
      </c>
      <c r="B232" s="0" t="s">
        <v>99</v>
      </c>
      <c r="D232" s="17" t="n">
        <f aca="false">D231</f>
        <v>0.0954338753281983</v>
      </c>
      <c r="E232" s="17" t="n">
        <f aca="false">$D231+dgm_27_hi</f>
        <v>0.110433875328198</v>
      </c>
      <c r="F232" s="17" t="n">
        <f aca="false">$D231+dgm_28_hi</f>
        <v>0.110433875328198</v>
      </c>
      <c r="G232" s="17" t="n">
        <f aca="false">$D231+dgm_28_hi</f>
        <v>0.110433875328198</v>
      </c>
      <c r="K232" s="8" t="s">
        <v>405</v>
      </c>
    </row>
    <row r="233" customFormat="false" ht="15" hidden="false" customHeight="false" outlineLevel="0" collapsed="false">
      <c r="A233" s="4" t="s">
        <v>406</v>
      </c>
      <c r="B233" s="0" t="s">
        <v>117</v>
      </c>
      <c r="C233" s="26" t="n">
        <f aca="false">a25_gp</f>
        <v>2.4299</v>
      </c>
      <c r="D233" s="26" t="n">
        <f aca="false">a26_gp</f>
        <v>4.2273</v>
      </c>
      <c r="E233" s="26" t="n">
        <f aca="false">E232*E223+gm_nai*E225</f>
        <v>8.36764568964306</v>
      </c>
      <c r="F233" s="26" t="n">
        <f aca="false">F232*F223+gm_nai*F225</f>
        <v>9.82148121067284</v>
      </c>
      <c r="G233" s="26" t="n">
        <f aca="false">G232*G223+gm_nai*G225</f>
        <v>10.4331059724787</v>
      </c>
    </row>
    <row r="234" customFormat="false" ht="15" hidden="false" customHeight="false" outlineLevel="0" collapsed="false">
      <c r="A234" s="4" t="s">
        <v>288</v>
      </c>
      <c r="B234" s="0" t="s">
        <v>99</v>
      </c>
      <c r="C234" s="17" t="n">
        <f aca="false">C233/C226</f>
        <v>0.110590751866011</v>
      </c>
      <c r="D234" s="17" t="n">
        <f aca="false">D233/D226</f>
        <v>0.108217494816066</v>
      </c>
      <c r="E234" s="17" t="n">
        <f aca="false">E233/E226</f>
        <v>0.116217301245042</v>
      </c>
      <c r="F234" s="17" t="n">
        <f aca="false">F233/F226</f>
        <v>0.115733223938119</v>
      </c>
      <c r="G234" s="17" t="n">
        <f aca="false">G233/G226</f>
        <v>0.1157213355427</v>
      </c>
    </row>
    <row r="235" customFormat="false" ht="15" hidden="false" customHeight="false" outlineLevel="0" collapsed="false">
      <c r="A235" s="4" t="s">
        <v>407</v>
      </c>
      <c r="B235" s="0" t="s">
        <v>117</v>
      </c>
      <c r="C235" s="26" t="n">
        <f aca="false">a25_opx</f>
        <v>1.1769</v>
      </c>
      <c r="D235" s="26" t="n">
        <f aca="false">a26_opx</f>
        <v>1.4568</v>
      </c>
      <c r="E235" s="26" t="n">
        <f aca="false">D235*(1+MAX(0,phi*E227))</f>
        <v>1.94813575608632</v>
      </c>
      <c r="F235" s="26" t="n">
        <f aca="false">E235*(1+MAX(0,phi*F227))</f>
        <v>2.08735288270277</v>
      </c>
      <c r="G235" s="26" t="n">
        <f aca="false">F235*(1+MAX(0,phi*G227))</f>
        <v>2.13943928217314</v>
      </c>
    </row>
    <row r="236" customFormat="false" ht="15" hidden="false" customHeight="false" outlineLevel="0" collapsed="false">
      <c r="A236" s="4" t="s">
        <v>408</v>
      </c>
      <c r="B236" s="0" t="s">
        <v>117</v>
      </c>
      <c r="C236" s="26" t="n">
        <f aca="false">C235</f>
        <v>1.1769</v>
      </c>
      <c r="D236" s="26" t="n">
        <f aca="false">D235</f>
        <v>1.4568</v>
      </c>
      <c r="E236" s="26" t="n">
        <f aca="false">E235+0*E226</f>
        <v>1.94813575608632</v>
      </c>
      <c r="F236" s="26" t="n">
        <f aca="false">F235+0*F226</f>
        <v>2.08735288270277</v>
      </c>
      <c r="G236" s="26" t="n">
        <f aca="false">G235+0*G226</f>
        <v>2.13943928217314</v>
      </c>
    </row>
    <row r="237" customFormat="false" ht="15" hidden="false" customHeight="false" outlineLevel="0" collapsed="false">
      <c r="A237" s="4" t="s">
        <v>291</v>
      </c>
      <c r="B237" s="0" t="s">
        <v>117</v>
      </c>
      <c r="C237" s="26" t="n">
        <f aca="false">C233-C236</f>
        <v>1.253</v>
      </c>
      <c r="D237" s="26" t="n">
        <f aca="false">D233-D236</f>
        <v>2.7705</v>
      </c>
      <c r="E237" s="26" t="n">
        <f aca="false">E233-E236</f>
        <v>6.41950993355673</v>
      </c>
      <c r="F237" s="26" t="n">
        <f aca="false">F233-F236</f>
        <v>7.73412832797007</v>
      </c>
      <c r="G237" s="26" t="n">
        <f aca="false">G233-G236</f>
        <v>8.29366669030559</v>
      </c>
    </row>
    <row r="238" customFormat="false" ht="15" hidden="false" customHeight="false" outlineLevel="0" collapsed="false">
      <c r="A238" s="4" t="s">
        <v>293</v>
      </c>
      <c r="B238" s="0" t="s">
        <v>99</v>
      </c>
      <c r="C238" s="17" t="n">
        <f aca="false">C237/C226</f>
        <v>0.0570271254323685</v>
      </c>
      <c r="D238" s="17" t="n">
        <f aca="false">D237/D226</f>
        <v>0.0709238921741801</v>
      </c>
      <c r="E238" s="17" t="n">
        <f aca="false">E237/E226</f>
        <v>0.089159860188288</v>
      </c>
      <c r="F238" s="17" t="n">
        <f aca="false">F237/F226</f>
        <v>0.0911365186723998</v>
      </c>
      <c r="G238" s="17" t="n">
        <f aca="false">G237/G226</f>
        <v>0.0919912237525318</v>
      </c>
    </row>
    <row r="239" customFormat="false" ht="17.15" hidden="false" customHeight="false" outlineLevel="0" collapsed="false">
      <c r="A239" s="4" t="s">
        <v>167</v>
      </c>
      <c r="B239" s="0" t="s">
        <v>99</v>
      </c>
      <c r="C239" s="18" t="n">
        <f aca="false">a25_ni/a25_oi</f>
        <v>0.837110933758979</v>
      </c>
      <c r="D239" s="18" t="n">
        <f aca="false">a26_ni/a26_oi</f>
        <v>0.805089334055225</v>
      </c>
      <c r="E239" s="18" t="n">
        <f aca="false">nio_f</f>
        <v>0.75</v>
      </c>
      <c r="F239" s="18" t="n">
        <f aca="false">nio_f</f>
        <v>0.75</v>
      </c>
      <c r="G239" s="18" t="n">
        <f aca="false">nio_f</f>
        <v>0.75</v>
      </c>
    </row>
    <row r="240" customFormat="false" ht="15" hidden="false" customHeight="false" outlineLevel="0" collapsed="false">
      <c r="A240" s="4" t="s">
        <v>409</v>
      </c>
      <c r="B240" s="0" t="s">
        <v>117</v>
      </c>
      <c r="C240" s="26" t="n">
        <f aca="false">a25_ni</f>
        <v>1.0489</v>
      </c>
      <c r="D240" s="26" t="n">
        <f aca="false">a26_ni</f>
        <v>2.2305</v>
      </c>
      <c r="E240" s="26" t="n">
        <f aca="false">E237*E239</f>
        <v>4.81463245016755</v>
      </c>
      <c r="F240" s="26" t="n">
        <f aca="false">F237*F239</f>
        <v>5.80059624597755</v>
      </c>
      <c r="G240" s="26" t="n">
        <f aca="false">G237*G239</f>
        <v>6.22025001772919</v>
      </c>
    </row>
    <row r="241" customFormat="false" ht="17.15" hidden="false" customHeight="false" outlineLevel="0" collapsed="false">
      <c r="A241" s="4" t="s">
        <v>410</v>
      </c>
      <c r="B241" s="0" t="s">
        <v>117</v>
      </c>
      <c r="C241" s="16" t="n">
        <f aca="false">0</f>
        <v>0</v>
      </c>
      <c r="D241" s="16" t="n">
        <f aca="false">0</f>
        <v>0</v>
      </c>
      <c r="E241" s="16" t="n">
        <f aca="false">pref_div</f>
        <v>0.301875</v>
      </c>
      <c r="F241" s="16" t="n">
        <f aca="false">pref_div</f>
        <v>0.301875</v>
      </c>
      <c r="G241" s="16" t="n">
        <f aca="false">pref_div</f>
        <v>0.301875</v>
      </c>
      <c r="K241" s="8" t="s">
        <v>411</v>
      </c>
    </row>
    <row r="242" customFormat="false" ht="17.15" hidden="false" customHeight="false" outlineLevel="0" collapsed="false">
      <c r="A242" s="4" t="s">
        <v>359</v>
      </c>
      <c r="B242" s="0" t="s">
        <v>117</v>
      </c>
      <c r="C242" s="26" t="n">
        <f aca="false">C240-C241</f>
        <v>1.0489</v>
      </c>
      <c r="D242" s="26" t="n">
        <f aca="false">D240-D241</f>
        <v>2.2305</v>
      </c>
      <c r="E242" s="26" t="n">
        <f aca="false">E240-E241</f>
        <v>4.51275745016755</v>
      </c>
      <c r="F242" s="26" t="n">
        <f aca="false">F240-F241</f>
        <v>5.49872124597755</v>
      </c>
      <c r="G242" s="26" t="n">
        <f aca="false">G240-G241</f>
        <v>5.91837501772919</v>
      </c>
      <c r="H242" s="27" t="n">
        <f aca="false">H226*H247</f>
        <v>6.63910309058632</v>
      </c>
      <c r="I242" s="27" t="n">
        <f aca="false">I226*I247</f>
        <v>7.08065218588979</v>
      </c>
      <c r="J242" s="27" t="n">
        <f aca="false">J226*J247</f>
        <v>7.54569557497432</v>
      </c>
      <c r="K242" s="4" t="s">
        <v>412</v>
      </c>
    </row>
    <row r="243" customFormat="false" ht="17.15" hidden="false" customHeight="false" outlineLevel="0" collapsed="false">
      <c r="A243" s="4" t="s">
        <v>413</v>
      </c>
      <c r="B243" s="0" t="s">
        <v>99</v>
      </c>
      <c r="C243" s="17" t="n">
        <f aca="false">C240/C226</f>
        <v>0.0477380302202804</v>
      </c>
      <c r="D243" s="17" t="n">
        <f aca="false">D240/D226</f>
        <v>0.0571000691191153</v>
      </c>
      <c r="E243" s="17" t="n">
        <f aca="false">E240/E226</f>
        <v>0.066869895141216</v>
      </c>
      <c r="F243" s="17" t="n">
        <f aca="false">F240/F226</f>
        <v>0.0683523890042999</v>
      </c>
      <c r="G243" s="17" t="n">
        <f aca="false">G240/G226</f>
        <v>0.0689934178143989</v>
      </c>
      <c r="K243" s="4" t="s">
        <v>414</v>
      </c>
    </row>
    <row r="244" customFormat="false" ht="17.15" hidden="false" customHeight="false" outlineLevel="0" collapsed="false">
      <c r="A244" s="4" t="s">
        <v>415</v>
      </c>
      <c r="B244" s="4" t="s">
        <v>176</v>
      </c>
      <c r="C244" s="19" t="n">
        <f aca="false">a25_sh</f>
        <v>0.624345238095238</v>
      </c>
      <c r="D244" s="19" t="n">
        <f aca="false">a26_sh</f>
        <v>0.68420245398773</v>
      </c>
      <c r="E244" s="19" t="n">
        <f aca="false">sh27</f>
        <v>0.745</v>
      </c>
      <c r="F244" s="19" t="n">
        <f aca="false">E244*(1+sh_g)</f>
        <v>0.75245</v>
      </c>
      <c r="G244" s="19" t="n">
        <f aca="false">F244*(1+sh_g)</f>
        <v>0.7599745</v>
      </c>
      <c r="H244" s="31" t="n">
        <f aca="false">G244*(1+sh_g)+conv_sh</f>
        <v>0.91132712</v>
      </c>
      <c r="I244" s="31" t="n">
        <f aca="false">H244*(1+sh_g)</f>
        <v>0.9204403912</v>
      </c>
      <c r="J244" s="31" t="n">
        <f aca="false">I244*(1+sh_g)</f>
        <v>0.929644795112</v>
      </c>
    </row>
    <row r="245" customFormat="false" ht="17.15" hidden="false" customHeight="false" outlineLevel="0" collapsed="false">
      <c r="A245" s="0" t="s">
        <v>299</v>
      </c>
      <c r="B245" s="0" t="s">
        <v>189</v>
      </c>
      <c r="C245" s="26" t="n">
        <f aca="false">C242/C244</f>
        <v>1.68</v>
      </c>
      <c r="D245" s="26" t="n">
        <f aca="false">D242/D244</f>
        <v>3.26</v>
      </c>
      <c r="E245" s="26" t="n">
        <f aca="false">E242/E244</f>
        <v>6.05739255056047</v>
      </c>
      <c r="F245" s="26" t="n">
        <f aca="false">F242/F244</f>
        <v>7.30775632397841</v>
      </c>
      <c r="G245" s="26" t="n">
        <f aca="false">G242/G244</f>
        <v>7.78759684401147</v>
      </c>
      <c r="H245" s="30" t="n">
        <f aca="false">H242/H244</f>
        <v>7.2850932940373</v>
      </c>
      <c r="I245" s="30" t="n">
        <f aca="false">I242/I244</f>
        <v>7.6926786933574</v>
      </c>
      <c r="J245" s="30" t="n">
        <f aca="false">J242/J244</f>
        <v>8.11675127387256</v>
      </c>
    </row>
    <row r="246" customFormat="false" ht="17.15" hidden="false" customHeight="false" outlineLevel="0" collapsed="false">
      <c r="A246" s="0" t="s">
        <v>416</v>
      </c>
      <c r="B246" s="0" t="s">
        <v>99</v>
      </c>
      <c r="D246" s="18" t="n">
        <f aca="false">D245/C245-1</f>
        <v>0.940476190476191</v>
      </c>
      <c r="E246" s="18" t="n">
        <f aca="false">E245/D245-1</f>
        <v>0.858095874405052</v>
      </c>
      <c r="F246" s="18" t="n">
        <f aca="false">F245/E245-1</f>
        <v>0.20641947223682</v>
      </c>
      <c r="G246" s="18" t="n">
        <f aca="false">G245/F245-1</f>
        <v>0.065661811746321</v>
      </c>
      <c r="H246" s="28" t="n">
        <f aca="false">H245/G245-1</f>
        <v>-0.0645261381706719</v>
      </c>
      <c r="I246" s="28" t="n">
        <f aca="false">I245/H245-1</f>
        <v>0.0559478626929471</v>
      </c>
      <c r="J246" s="28" t="n">
        <f aca="false">J245/I245-1</f>
        <v>0.0551267766950077</v>
      </c>
    </row>
    <row r="247" customFormat="false" ht="17.15" hidden="false" customHeight="false" outlineLevel="0" collapsed="false">
      <c r="A247" s="4" t="s">
        <v>417</v>
      </c>
      <c r="B247" s="0" t="s">
        <v>99</v>
      </c>
      <c r="C247" s="17" t="n">
        <f aca="false">C242/C226</f>
        <v>0.0477380302202804</v>
      </c>
      <c r="D247" s="17" t="n">
        <f aca="false">D242/D226</f>
        <v>0.0571000691191153</v>
      </c>
      <c r="E247" s="17" t="n">
        <f aca="false">E242/E226</f>
        <v>0.0626771868078827</v>
      </c>
      <c r="F247" s="17" t="n">
        <f aca="false">F242/F226</f>
        <v>0.0647951896138094</v>
      </c>
      <c r="G247" s="17" t="n">
        <f aca="false">G242/G226</f>
        <v>0.0656450977399069</v>
      </c>
      <c r="H247" s="29" t="n">
        <f aca="false">$G243+(fade_mA-$G243)*1/3</f>
        <v>0.0693669933339769</v>
      </c>
      <c r="I247" s="29" t="n">
        <f aca="false">$G243+(fade_mA-$G243)*2/3</f>
        <v>0.0697405688535549</v>
      </c>
      <c r="J247" s="29" t="n">
        <f aca="false">$G243+(fade_mA-$G243)*3/3</f>
        <v>0.0701141443731329</v>
      </c>
    </row>
    <row r="250" customFormat="false" ht="17.15" hidden="false" customHeight="false" outlineLevel="0" collapsed="false">
      <c r="A250" s="1" t="s">
        <v>685</v>
      </c>
    </row>
    <row r="251" customFormat="false" ht="17.15" hidden="false" customHeight="false" outlineLevel="0" collapsed="false">
      <c r="A251" s="5" t="s">
        <v>16</v>
      </c>
      <c r="B251" s="5" t="s">
        <v>17</v>
      </c>
      <c r="C251" s="14" t="s">
        <v>276</v>
      </c>
      <c r="D251" s="14" t="s">
        <v>280</v>
      </c>
      <c r="E251" s="14" t="s">
        <v>348</v>
      </c>
      <c r="F251" s="14" t="s">
        <v>349</v>
      </c>
      <c r="G251" s="14" t="s">
        <v>350</v>
      </c>
      <c r="H251" s="14" t="s">
        <v>351</v>
      </c>
      <c r="I251" s="14" t="s">
        <v>352</v>
      </c>
      <c r="J251" s="14" t="s">
        <v>353</v>
      </c>
      <c r="K251" s="5" t="s">
        <v>324</v>
      </c>
    </row>
    <row r="252" customFormat="false" ht="17.15" hidden="false" customHeight="false" outlineLevel="0" collapsed="false">
      <c r="A252" s="6" t="s">
        <v>370</v>
      </c>
    </row>
    <row r="253" customFormat="false" ht="17.15" hidden="false" customHeight="false" outlineLevel="0" collapsed="false">
      <c r="A253" s="0" t="s">
        <v>371</v>
      </c>
      <c r="B253" s="4" t="s">
        <v>27</v>
      </c>
      <c r="D253" s="20" t="n">
        <f aca="false">uo_26</f>
        <v>6.65</v>
      </c>
      <c r="E253" s="20" t="n">
        <f aca="false">uo_27*mf</f>
        <v>2.4</v>
      </c>
      <c r="F253" s="20" t="n">
        <f aca="false">uo_28*um28_A*mf</f>
        <v>0.5</v>
      </c>
      <c r="G253" s="20" t="n">
        <f aca="false">uo_29*um29_A*mf</f>
        <v>0.25</v>
      </c>
      <c r="K253" s="8" t="s">
        <v>372</v>
      </c>
    </row>
    <row r="254" customFormat="false" ht="17.15" hidden="false" customHeight="false" outlineLevel="0" collapsed="false">
      <c r="A254" s="0" t="s">
        <v>373</v>
      </c>
      <c r="B254" s="4" t="s">
        <v>27</v>
      </c>
      <c r="D254" s="20" t="n">
        <f aca="false">un_26</f>
        <v>1.7</v>
      </c>
      <c r="E254" s="20" t="n">
        <f aca="false">un_27*mf</f>
        <v>8.8</v>
      </c>
      <c r="F254" s="20" t="n">
        <f aca="false">un_28*um28_A*mf</f>
        <v>11</v>
      </c>
      <c r="G254" s="20" t="n">
        <f aca="false">un_29*um29_A*mf</f>
        <v>12.65</v>
      </c>
      <c r="K254" s="8" t="s">
        <v>374</v>
      </c>
    </row>
    <row r="255" customFormat="false" ht="17.15" hidden="false" customHeight="false" outlineLevel="0" collapsed="false">
      <c r="A255" s="4" t="s">
        <v>375</v>
      </c>
      <c r="B255" s="4" t="s">
        <v>58</v>
      </c>
      <c r="D255" s="24" t="n">
        <f aca="false">v_gb</f>
        <v>59.7222222222222</v>
      </c>
      <c r="E255" s="24" t="n">
        <f aca="false">v_gb</f>
        <v>59.7222222222222</v>
      </c>
      <c r="F255" s="24" t="n">
        <f aca="false">v_gb</f>
        <v>59.7222222222222</v>
      </c>
      <c r="G255" s="24" t="n">
        <f aca="false">v_gb</f>
        <v>59.7222222222222</v>
      </c>
    </row>
    <row r="256" customFormat="false" ht="17.15" hidden="false" customHeight="false" outlineLevel="0" collapsed="false">
      <c r="A256" s="4" t="s">
        <v>376</v>
      </c>
      <c r="B256" s="4" t="s">
        <v>58</v>
      </c>
      <c r="D256" s="24" t="n">
        <f aca="false">v_vr</f>
        <v>116.666666666667</v>
      </c>
      <c r="E256" s="24" t="n">
        <f aca="false">v_vr</f>
        <v>116.666666666667</v>
      </c>
      <c r="F256" s="24" t="n">
        <f aca="false">v_vr*vpg_28</f>
        <v>116.666666666667</v>
      </c>
      <c r="G256" s="24" t="n">
        <f aca="false">v_vr*vpg_29</f>
        <v>116.666666666667</v>
      </c>
      <c r="K256" s="4" t="s">
        <v>377</v>
      </c>
    </row>
    <row r="257" customFormat="false" ht="17.15" hidden="false" customHeight="false" outlineLevel="0" collapsed="false">
      <c r="A257" s="4" t="s">
        <v>378</v>
      </c>
      <c r="B257" s="0" t="s">
        <v>117</v>
      </c>
      <c r="D257" s="25" t="n">
        <f aca="false">(D253*D255+D254*D256)</f>
        <v>595.486111111111</v>
      </c>
      <c r="E257" s="25" t="n">
        <f aca="false">(E253*E255+E254*E256)</f>
        <v>1170</v>
      </c>
      <c r="F257" s="25" t="n">
        <f aca="false">(F253*F255+F254*F256)</f>
        <v>1313.19444444444</v>
      </c>
      <c r="G257" s="25" t="n">
        <f aca="false">(G253*G255+G254*G256)</f>
        <v>1490.76388888889</v>
      </c>
      <c r="K257" s="4" t="s">
        <v>379</v>
      </c>
    </row>
    <row r="258" customFormat="false" ht="17.15" hidden="false" customHeight="false" outlineLevel="0" collapsed="false">
      <c r="A258" s="4" t="s">
        <v>380</v>
      </c>
      <c r="B258" s="0" t="s">
        <v>117</v>
      </c>
      <c r="E258" s="25" t="n">
        <f aca="false">0.5*D257+0.5*E257</f>
        <v>882.743055555556</v>
      </c>
      <c r="F258" s="25" t="n">
        <f aca="false">0.5*E257+0.5*F257</f>
        <v>1241.59722222222</v>
      </c>
      <c r="G258" s="25" t="n">
        <f aca="false">0.5*F257+0.5*G257</f>
        <v>1401.97916666667</v>
      </c>
      <c r="K258" s="4" t="s">
        <v>381</v>
      </c>
    </row>
    <row r="259" customFormat="false" ht="17.15" hidden="false" customHeight="false" outlineLevel="0" collapsed="false">
      <c r="A259" s="0" t="s">
        <v>382</v>
      </c>
      <c r="B259" s="0" t="s">
        <v>117</v>
      </c>
      <c r="E259" s="25" t="n">
        <f aca="false">0.5*D257+0.5*(uo_27*v_gb+un_27*v_vr)</f>
        <v>882.743055555556</v>
      </c>
      <c r="K259" s="4" t="s">
        <v>383</v>
      </c>
    </row>
    <row r="260" customFormat="false" ht="17.15" hidden="false" customHeight="false" outlineLevel="0" collapsed="false">
      <c r="A260" s="4" t="s">
        <v>384</v>
      </c>
      <c r="B260" s="0" t="s">
        <v>99</v>
      </c>
      <c r="D260" s="17" t="n">
        <f aca="false">a26_aih2/(0.5*D257)</f>
        <v>0.0499294936443149</v>
      </c>
      <c r="K260" s="8" t="s">
        <v>385</v>
      </c>
    </row>
    <row r="261" customFormat="false" ht="17.15" hidden="false" customHeight="false" outlineLevel="0" collapsed="false">
      <c r="A261" s="0" t="s">
        <v>386</v>
      </c>
      <c r="B261" s="0" t="s">
        <v>117</v>
      </c>
      <c r="E261" s="25" t="n">
        <f aca="false">g27_lo</f>
        <v>65</v>
      </c>
      <c r="K261" s="8" t="s">
        <v>387</v>
      </c>
    </row>
    <row r="262" customFormat="false" ht="17.15" hidden="false" customHeight="false" outlineLevel="0" collapsed="false">
      <c r="A262" s="4" t="s">
        <v>388</v>
      </c>
      <c r="B262" s="0" t="s">
        <v>66</v>
      </c>
      <c r="E262" s="20" t="n">
        <f aca="false">1</f>
        <v>1</v>
      </c>
      <c r="F262" s="20" t="n">
        <f aca="false">rel_28_hi*0.8</f>
        <v>0.8</v>
      </c>
      <c r="G262" s="20" t="n">
        <f aca="false">rel_29_hi*0.8</f>
        <v>0.8</v>
      </c>
      <c r="K262" s="8" t="s">
        <v>389</v>
      </c>
    </row>
    <row r="263" customFormat="false" ht="17.15" hidden="false" customHeight="false" outlineLevel="0" collapsed="false">
      <c r="A263" s="4" t="s">
        <v>390</v>
      </c>
      <c r="B263" s="0" t="s">
        <v>99</v>
      </c>
      <c r="E263" s="17" t="n">
        <f aca="false">(E261-E267)/E259</f>
        <v>0.0617118162608662</v>
      </c>
      <c r="F263" s="17" t="n">
        <f aca="false">$E263*F262</f>
        <v>0.0493694530086929</v>
      </c>
      <c r="G263" s="17" t="n">
        <f aca="false">$E263*G262</f>
        <v>0.0493694530086929</v>
      </c>
      <c r="K263" s="8" t="s">
        <v>391</v>
      </c>
    </row>
    <row r="264" customFormat="false" ht="17.15" hidden="false" customHeight="false" outlineLevel="0" collapsed="false">
      <c r="A264" s="0" t="s">
        <v>392</v>
      </c>
      <c r="B264" s="0" t="s">
        <v>66</v>
      </c>
      <c r="E264" s="20" t="n">
        <f aca="false">E263/D260</f>
        <v>1.23597921301757</v>
      </c>
      <c r="K264" s="8" t="s">
        <v>393</v>
      </c>
    </row>
    <row r="265" customFormat="false" ht="17.15" hidden="false" customHeight="false" outlineLevel="0" collapsed="false">
      <c r="A265" s="0" t="s">
        <v>394</v>
      </c>
      <c r="B265" s="0" t="s">
        <v>117</v>
      </c>
      <c r="C265" s="26" t="n">
        <f aca="false">a25_ai</f>
        <v>15.3804</v>
      </c>
      <c r="D265" s="26" t="n">
        <f aca="false">a26_ai</f>
        <v>29.911415</v>
      </c>
      <c r="E265" s="26" t="n">
        <f aca="false">E258*E263</f>
        <v>54.47567725</v>
      </c>
      <c r="F265" s="26" t="n">
        <f aca="false">F258*F263</f>
        <v>61.2969757182237</v>
      </c>
      <c r="G265" s="26" t="n">
        <f aca="false">G258*G263</f>
        <v>69.2149445879165</v>
      </c>
    </row>
    <row r="266" customFormat="false" ht="17.15" hidden="false" customHeight="false" outlineLevel="0" collapsed="false">
      <c r="A266" s="6" t="s">
        <v>395</v>
      </c>
    </row>
    <row r="267" customFormat="false" ht="17.15" hidden="false" customHeight="false" outlineLevel="0" collapsed="false">
      <c r="A267" s="4" t="s">
        <v>310</v>
      </c>
      <c r="B267" s="0" t="s">
        <v>117</v>
      </c>
      <c r="C267" s="26" t="n">
        <f aca="false">a25_nai</f>
        <v>6.5916</v>
      </c>
      <c r="D267" s="26" t="n">
        <f aca="false">a26_nai</f>
        <v>9.151585</v>
      </c>
      <c r="E267" s="26" t="n">
        <f aca="false">D267*(1+g_nai27)</f>
        <v>10.52432275</v>
      </c>
      <c r="F267" s="26" t="n">
        <f aca="false">E267*(1+g_nai28)</f>
        <v>11.36626857</v>
      </c>
      <c r="G267" s="26" t="n">
        <f aca="false">F267*(1+g_nai29)</f>
        <v>12.0482446842</v>
      </c>
    </row>
    <row r="268" customFormat="false" ht="17.15" hidden="false" customHeight="false" outlineLevel="0" collapsed="false">
      <c r="A268" s="4" t="s">
        <v>282</v>
      </c>
      <c r="B268" s="0" t="s">
        <v>117</v>
      </c>
      <c r="C268" s="26" t="n">
        <f aca="false">C265+C267</f>
        <v>21.972</v>
      </c>
      <c r="D268" s="26" t="n">
        <f aca="false">D265+D267</f>
        <v>39.063</v>
      </c>
      <c r="E268" s="26" t="n">
        <f aca="false">E265+E267</f>
        <v>65</v>
      </c>
      <c r="F268" s="26" t="n">
        <f aca="false">F265+F267</f>
        <v>72.6632442882237</v>
      </c>
      <c r="G268" s="26" t="n">
        <f aca="false">G265+G267</f>
        <v>81.2631892721165</v>
      </c>
      <c r="H268" s="27" t="n">
        <f aca="false">G268*(1+H269)</f>
        <v>89.3003051000559</v>
      </c>
      <c r="I268" s="27" t="n">
        <f aca="false">H268*(1+I269)</f>
        <v>96.3953167628542</v>
      </c>
      <c r="J268" s="27" t="n">
        <f aca="false">I268*(1+J269)</f>
        <v>102.179035768625</v>
      </c>
      <c r="K268" s="8" t="s">
        <v>396</v>
      </c>
    </row>
    <row r="269" customFormat="false" ht="15" hidden="false" customHeight="false" outlineLevel="0" collapsed="false">
      <c r="A269" s="4" t="s">
        <v>397</v>
      </c>
      <c r="B269" s="0" t="s">
        <v>99</v>
      </c>
      <c r="D269" s="18" t="n">
        <f aca="false">D268/C268-1</f>
        <v>0.777853631895139</v>
      </c>
      <c r="E269" s="18" t="n">
        <f aca="false">E268/D268-1</f>
        <v>0.663978701072626</v>
      </c>
      <c r="F269" s="18" t="n">
        <f aca="false">F268/E268-1</f>
        <v>0.117896065972672</v>
      </c>
      <c r="G269" s="18" t="n">
        <f aca="false">G268/F268-1</f>
        <v>0.118353440837028</v>
      </c>
      <c r="H269" s="28" t="n">
        <f aca="false">$G269+(fade_gA-$G269)*1/3</f>
        <v>0.0989022938913522</v>
      </c>
      <c r="I269" s="28" t="n">
        <f aca="false">$G269+(fade_gA-$G269)*2/3</f>
        <v>0.0794511469456761</v>
      </c>
      <c r="J269" s="28" t="n">
        <f aca="false">$G269+(fade_gA-$G269)*3/3</f>
        <v>0.06</v>
      </c>
    </row>
    <row r="270" customFormat="false" ht="17.15" hidden="false" customHeight="false" outlineLevel="0" collapsed="false">
      <c r="A270" s="0" t="s">
        <v>398</v>
      </c>
      <c r="B270" s="0" t="s">
        <v>99</v>
      </c>
      <c r="C270" s="18" t="n">
        <f aca="false">C265/C268</f>
        <v>0.7</v>
      </c>
      <c r="D270" s="18" t="n">
        <f aca="false">D265/D268</f>
        <v>0.765722422752989</v>
      </c>
      <c r="E270" s="18" t="n">
        <f aca="false">E265/E268</f>
        <v>0.838087342307692</v>
      </c>
      <c r="F270" s="18" t="n">
        <f aca="false">F265/F268</f>
        <v>0.843576092956778</v>
      </c>
      <c r="G270" s="18" t="n">
        <f aca="false">G265/G268</f>
        <v>0.851737978879275</v>
      </c>
    </row>
    <row r="271" customFormat="false" ht="17.15" hidden="false" customHeight="false" outlineLevel="0" collapsed="false">
      <c r="A271" s="4" t="s">
        <v>399</v>
      </c>
      <c r="B271" s="4" t="s">
        <v>27</v>
      </c>
      <c r="E271" s="20" t="n">
        <f aca="false">E265/((0.5*(D253*D255+D254*D256)+0.5*(E253*E255+E254*E256))/(0.5*(D253+D254)+0.5*(E253+E254)))</f>
        <v>0.603233003949967</v>
      </c>
      <c r="F271" s="20" t="n">
        <f aca="false">F265/((0.5*(E253*E255+E254*E256)+0.5*(F253*F255+F254*F256))/(0.5*(E253+E254)+0.5*(F253+F254)))</f>
        <v>0.560343291648665</v>
      </c>
      <c r="G271" s="20" t="n">
        <f aca="false">G265/((0.5*(F253*F255+F254*F256)+0.5*(G253*G255+G254*G256))/(0.5*(F253+F254)+0.5*(G253+G254)))</f>
        <v>0.602307326706054</v>
      </c>
      <c r="K271" s="4" t="s">
        <v>400</v>
      </c>
    </row>
    <row r="272" customFormat="false" ht="17.15" hidden="false" customHeight="false" outlineLevel="0" collapsed="false">
      <c r="A272" s="6" t="s">
        <v>401</v>
      </c>
    </row>
    <row r="273" customFormat="false" ht="17.15" hidden="false" customHeight="false" outlineLevel="0" collapsed="false">
      <c r="A273" s="0" t="s">
        <v>402</v>
      </c>
      <c r="B273" s="0" t="s">
        <v>99</v>
      </c>
      <c r="D273" s="17" t="n">
        <f aca="false">(a26_gp-gm_nai*a26_nai)/a26_ai</f>
        <v>0.0954338753281983</v>
      </c>
      <c r="K273" s="8" t="s">
        <v>403</v>
      </c>
    </row>
    <row r="274" customFormat="false" ht="17.15" hidden="false" customHeight="false" outlineLevel="0" collapsed="false">
      <c r="A274" s="0" t="s">
        <v>404</v>
      </c>
      <c r="B274" s="0" t="s">
        <v>99</v>
      </c>
      <c r="D274" s="17" t="n">
        <f aca="false">D273</f>
        <v>0.0954338753281983</v>
      </c>
      <c r="E274" s="17" t="n">
        <f aca="false">$D273+dgm_27_hi</f>
        <v>0.110433875328198</v>
      </c>
      <c r="F274" s="17" t="n">
        <f aca="false">$D273+dgm_28_hi</f>
        <v>0.110433875328198</v>
      </c>
      <c r="G274" s="17" t="n">
        <f aca="false">$D273+dgm_28_hi</f>
        <v>0.110433875328198</v>
      </c>
      <c r="K274" s="8" t="s">
        <v>405</v>
      </c>
    </row>
    <row r="275" customFormat="false" ht="15" hidden="false" customHeight="false" outlineLevel="0" collapsed="false">
      <c r="A275" s="4" t="s">
        <v>406</v>
      </c>
      <c r="B275" s="0" t="s">
        <v>117</v>
      </c>
      <c r="C275" s="26" t="n">
        <f aca="false">a25_gp</f>
        <v>2.4299</v>
      </c>
      <c r="D275" s="26" t="n">
        <f aca="false">a26_gp</f>
        <v>4.2273</v>
      </c>
      <c r="E275" s="26" t="n">
        <f aca="false">E274*E265+gm_nai*E267</f>
        <v>7.59460856234567</v>
      </c>
      <c r="F275" s="26" t="n">
        <f aca="false">F274*F265+gm_nai*F267</f>
        <v>8.47420285996191</v>
      </c>
      <c r="G275" s="26" t="n">
        <f aca="false">G274*G265+gm_nai*G267</f>
        <v>9.45091126410012</v>
      </c>
    </row>
    <row r="276" customFormat="false" ht="15" hidden="false" customHeight="false" outlineLevel="0" collapsed="false">
      <c r="A276" s="4" t="s">
        <v>288</v>
      </c>
      <c r="B276" s="0" t="s">
        <v>99</v>
      </c>
      <c r="C276" s="17" t="n">
        <f aca="false">C275/C268</f>
        <v>0.110590751866011</v>
      </c>
      <c r="D276" s="17" t="n">
        <f aca="false">D275/D268</f>
        <v>0.108217494816066</v>
      </c>
      <c r="E276" s="17" t="n">
        <f aca="false">E275/E268</f>
        <v>0.116840131728395</v>
      </c>
      <c r="F276" s="17" t="n">
        <f aca="false">F275/F268</f>
        <v>0.116622963135921</v>
      </c>
      <c r="G276" s="17" t="n">
        <f aca="false">G275/G268</f>
        <v>0.116300028939954</v>
      </c>
    </row>
    <row r="277" customFormat="false" ht="15" hidden="false" customHeight="false" outlineLevel="0" collapsed="false">
      <c r="A277" s="4" t="s">
        <v>407</v>
      </c>
      <c r="B277" s="0" t="s">
        <v>117</v>
      </c>
      <c r="C277" s="26" t="n">
        <f aca="false">a25_opx</f>
        <v>1.1769</v>
      </c>
      <c r="D277" s="26" t="n">
        <f aca="false">a26_opx</f>
        <v>1.4568</v>
      </c>
      <c r="E277" s="26" t="n">
        <f aca="false">D277*(1+MAX(0,phi*E269))</f>
        <v>1.84371366868904</v>
      </c>
      <c r="F277" s="26" t="n">
        <f aca="false">E277*(1+MAX(0,phi*F269))</f>
        <v>1.93066030401643</v>
      </c>
      <c r="G277" s="26" t="n">
        <f aca="false">F277*(1+MAX(0,phi*G269))</f>
        <v>2.02206042004356</v>
      </c>
    </row>
    <row r="278" customFormat="false" ht="15" hidden="false" customHeight="false" outlineLevel="0" collapsed="false">
      <c r="A278" s="4" t="s">
        <v>408</v>
      </c>
      <c r="B278" s="0" t="s">
        <v>117</v>
      </c>
      <c r="C278" s="26" t="n">
        <f aca="false">C277</f>
        <v>1.1769</v>
      </c>
      <c r="D278" s="26" t="n">
        <f aca="false">D277</f>
        <v>1.4568</v>
      </c>
      <c r="E278" s="26" t="n">
        <f aca="false">E277+0*E268</f>
        <v>1.84371366868904</v>
      </c>
      <c r="F278" s="26" t="n">
        <f aca="false">F277+0*F268</f>
        <v>1.93066030401643</v>
      </c>
      <c r="G278" s="26" t="n">
        <f aca="false">G277+0*G268</f>
        <v>2.02206042004356</v>
      </c>
    </row>
    <row r="279" customFormat="false" ht="15" hidden="false" customHeight="false" outlineLevel="0" collapsed="false">
      <c r="A279" s="4" t="s">
        <v>291</v>
      </c>
      <c r="B279" s="0" t="s">
        <v>117</v>
      </c>
      <c r="C279" s="26" t="n">
        <f aca="false">C275-C278</f>
        <v>1.253</v>
      </c>
      <c r="D279" s="26" t="n">
        <f aca="false">D275-D278</f>
        <v>2.7705</v>
      </c>
      <c r="E279" s="26" t="n">
        <f aca="false">E275-E278</f>
        <v>5.75089489365663</v>
      </c>
      <c r="F279" s="26" t="n">
        <f aca="false">F275-F278</f>
        <v>6.54354255594548</v>
      </c>
      <c r="G279" s="26" t="n">
        <f aca="false">G275-G278</f>
        <v>7.42885084405656</v>
      </c>
    </row>
    <row r="280" customFormat="false" ht="15" hidden="false" customHeight="false" outlineLevel="0" collapsed="false">
      <c r="A280" s="4" t="s">
        <v>293</v>
      </c>
      <c r="B280" s="0" t="s">
        <v>99</v>
      </c>
      <c r="C280" s="17" t="n">
        <f aca="false">C279/C268</f>
        <v>0.0570271254323685</v>
      </c>
      <c r="D280" s="17" t="n">
        <f aca="false">D279/D268</f>
        <v>0.0709238921741801</v>
      </c>
      <c r="E280" s="17" t="n">
        <f aca="false">E279/E268</f>
        <v>0.0884753060562558</v>
      </c>
      <c r="F280" s="17" t="n">
        <f aca="false">F279/F268</f>
        <v>0.0900529919912476</v>
      </c>
      <c r="G280" s="17" t="n">
        <f aca="false">G279/G268</f>
        <v>0.0914171706845082</v>
      </c>
    </row>
    <row r="281" customFormat="false" ht="17.15" hidden="false" customHeight="false" outlineLevel="0" collapsed="false">
      <c r="A281" s="4" t="s">
        <v>167</v>
      </c>
      <c r="B281" s="0" t="s">
        <v>99</v>
      </c>
      <c r="C281" s="18" t="n">
        <f aca="false">a25_ni/a25_oi</f>
        <v>0.837110933758979</v>
      </c>
      <c r="D281" s="18" t="n">
        <f aca="false">a26_ni/a26_oi</f>
        <v>0.805089334055225</v>
      </c>
      <c r="E281" s="18" t="n">
        <f aca="false">nio_f</f>
        <v>0.75</v>
      </c>
      <c r="F281" s="18" t="n">
        <f aca="false">nio_f</f>
        <v>0.75</v>
      </c>
      <c r="G281" s="18" t="n">
        <f aca="false">nio_f</f>
        <v>0.75</v>
      </c>
    </row>
    <row r="282" customFormat="false" ht="15" hidden="false" customHeight="false" outlineLevel="0" collapsed="false">
      <c r="A282" s="4" t="s">
        <v>409</v>
      </c>
      <c r="B282" s="0" t="s">
        <v>117</v>
      </c>
      <c r="C282" s="26" t="n">
        <f aca="false">a25_ni</f>
        <v>1.0489</v>
      </c>
      <c r="D282" s="26" t="n">
        <f aca="false">a26_ni</f>
        <v>2.2305</v>
      </c>
      <c r="E282" s="26" t="n">
        <f aca="false">E279*E281</f>
        <v>4.31317117024247</v>
      </c>
      <c r="F282" s="26" t="n">
        <f aca="false">F279*F281</f>
        <v>4.90765691695911</v>
      </c>
      <c r="G282" s="26" t="n">
        <f aca="false">G279*G281</f>
        <v>5.57163813304242</v>
      </c>
    </row>
    <row r="283" customFormat="false" ht="17.15" hidden="false" customHeight="false" outlineLevel="0" collapsed="false">
      <c r="A283" s="4" t="s">
        <v>410</v>
      </c>
      <c r="B283" s="0" t="s">
        <v>117</v>
      </c>
      <c r="C283" s="16" t="n">
        <f aca="false">0</f>
        <v>0</v>
      </c>
      <c r="D283" s="16" t="n">
        <f aca="false">0</f>
        <v>0</v>
      </c>
      <c r="E283" s="16" t="n">
        <f aca="false">pref_div</f>
        <v>0.301875</v>
      </c>
      <c r="F283" s="16" t="n">
        <f aca="false">pref_div</f>
        <v>0.301875</v>
      </c>
      <c r="G283" s="16" t="n">
        <f aca="false">pref_div</f>
        <v>0.301875</v>
      </c>
      <c r="K283" s="8" t="s">
        <v>411</v>
      </c>
    </row>
    <row r="284" customFormat="false" ht="17.15" hidden="false" customHeight="false" outlineLevel="0" collapsed="false">
      <c r="A284" s="4" t="s">
        <v>359</v>
      </c>
      <c r="B284" s="0" t="s">
        <v>117</v>
      </c>
      <c r="C284" s="26" t="n">
        <f aca="false">C282-C283</f>
        <v>1.0489</v>
      </c>
      <c r="D284" s="26" t="n">
        <f aca="false">D282-D283</f>
        <v>2.2305</v>
      </c>
      <c r="E284" s="26" t="n">
        <f aca="false">E282-E283</f>
        <v>4.01129617024247</v>
      </c>
      <c r="F284" s="26" t="n">
        <f aca="false">F282-F283</f>
        <v>4.60578191695911</v>
      </c>
      <c r="G284" s="26" t="n">
        <f aca="false">G282-G283</f>
        <v>5.26976313304242</v>
      </c>
      <c r="H284" s="27" t="n">
        <f aca="false">H268*H289</f>
        <v>6.16886211153861</v>
      </c>
      <c r="I284" s="27" t="n">
        <f aca="false">I268*I289</f>
        <v>6.70883021902736</v>
      </c>
      <c r="J284" s="27" t="n">
        <f aca="false">J268*J289</f>
        <v>7.16419566578892</v>
      </c>
      <c r="K284" s="4" t="s">
        <v>412</v>
      </c>
    </row>
    <row r="285" customFormat="false" ht="17.15" hidden="false" customHeight="false" outlineLevel="0" collapsed="false">
      <c r="A285" s="4" t="s">
        <v>413</v>
      </c>
      <c r="B285" s="0" t="s">
        <v>99</v>
      </c>
      <c r="C285" s="17" t="n">
        <f aca="false">C282/C268</f>
        <v>0.0477380302202804</v>
      </c>
      <c r="D285" s="17" t="n">
        <f aca="false">D282/D268</f>
        <v>0.0571000691191153</v>
      </c>
      <c r="E285" s="17" t="n">
        <f aca="false">E282/E268</f>
        <v>0.0663564795421918</v>
      </c>
      <c r="F285" s="17" t="n">
        <f aca="false">F282/F268</f>
        <v>0.0675397439934357</v>
      </c>
      <c r="G285" s="17" t="n">
        <f aca="false">G282/G268</f>
        <v>0.0685628780133811</v>
      </c>
      <c r="K285" s="4" t="s">
        <v>414</v>
      </c>
    </row>
    <row r="286" customFormat="false" ht="17.15" hidden="false" customHeight="false" outlineLevel="0" collapsed="false">
      <c r="A286" s="4" t="s">
        <v>415</v>
      </c>
      <c r="B286" s="4" t="s">
        <v>176</v>
      </c>
      <c r="C286" s="19" t="n">
        <f aca="false">a25_sh</f>
        <v>0.624345238095238</v>
      </c>
      <c r="D286" s="19" t="n">
        <f aca="false">a26_sh</f>
        <v>0.68420245398773</v>
      </c>
      <c r="E286" s="19" t="n">
        <f aca="false">sh27</f>
        <v>0.745</v>
      </c>
      <c r="F286" s="19" t="n">
        <f aca="false">E286*(1+sh_g)</f>
        <v>0.75245</v>
      </c>
      <c r="G286" s="19" t="n">
        <f aca="false">F286*(1+sh_g)</f>
        <v>0.7599745</v>
      </c>
      <c r="H286" s="31" t="n">
        <f aca="false">G286*(1+sh_g)+conv_sh</f>
        <v>0.91132712</v>
      </c>
      <c r="I286" s="31" t="n">
        <f aca="false">H286*(1+sh_g)</f>
        <v>0.9204403912</v>
      </c>
      <c r="J286" s="31" t="n">
        <f aca="false">I286*(1+sh_g)</f>
        <v>0.929644795112</v>
      </c>
    </row>
    <row r="287" customFormat="false" ht="17.15" hidden="false" customHeight="false" outlineLevel="0" collapsed="false">
      <c r="A287" s="0" t="s">
        <v>299</v>
      </c>
      <c r="B287" s="0" t="s">
        <v>189</v>
      </c>
      <c r="C287" s="26" t="n">
        <f aca="false">C284/C286</f>
        <v>1.68</v>
      </c>
      <c r="D287" s="26" t="n">
        <f aca="false">D284/D286</f>
        <v>3.26</v>
      </c>
      <c r="E287" s="26" t="n">
        <f aca="false">E284/E286</f>
        <v>5.38429016139929</v>
      </c>
      <c r="F287" s="26" t="n">
        <f aca="false">F284/F286</f>
        <v>6.12104713530348</v>
      </c>
      <c r="G287" s="26" t="n">
        <f aca="false">G284/G286</f>
        <v>6.93413151762648</v>
      </c>
      <c r="H287" s="30" t="n">
        <f aca="false">H284/H286</f>
        <v>6.76909748009981</v>
      </c>
      <c r="I287" s="30" t="n">
        <f aca="false">I284/I286</f>
        <v>7.2887177520327</v>
      </c>
      <c r="J287" s="30" t="n">
        <f aca="false">J284/J286</f>
        <v>7.70637958009091</v>
      </c>
    </row>
    <row r="288" customFormat="false" ht="17.15" hidden="false" customHeight="false" outlineLevel="0" collapsed="false">
      <c r="A288" s="0" t="s">
        <v>416</v>
      </c>
      <c r="B288" s="0" t="s">
        <v>99</v>
      </c>
      <c r="D288" s="18" t="n">
        <f aca="false">D287/C287-1</f>
        <v>0.940476190476191</v>
      </c>
      <c r="E288" s="18" t="n">
        <f aca="false">E287/D287-1</f>
        <v>0.651622748895487</v>
      </c>
      <c r="F288" s="18" t="n">
        <f aca="false">F287/E287-1</f>
        <v>0.136834559769105</v>
      </c>
      <c r="G288" s="18" t="n">
        <f aca="false">G287/F287-1</f>
        <v>0.13283419721333</v>
      </c>
      <c r="H288" s="28" t="n">
        <f aca="false">H287/G287-1</f>
        <v>-0.0238002462323014</v>
      </c>
      <c r="I288" s="28" t="n">
        <f aca="false">I287/H287-1</f>
        <v>0.0767635971354383</v>
      </c>
      <c r="J288" s="28" t="n">
        <f aca="false">J287/I287-1</f>
        <v>0.0573025108485972</v>
      </c>
    </row>
    <row r="289" customFormat="false" ht="17.15" hidden="false" customHeight="false" outlineLevel="0" collapsed="false">
      <c r="A289" s="4" t="s">
        <v>417</v>
      </c>
      <c r="B289" s="0" t="s">
        <v>99</v>
      </c>
      <c r="C289" s="17" t="n">
        <f aca="false">C284/C268</f>
        <v>0.0477380302202804</v>
      </c>
      <c r="D289" s="17" t="n">
        <f aca="false">D284/D268</f>
        <v>0.0571000691191153</v>
      </c>
      <c r="E289" s="17" t="n">
        <f aca="false">E284/E268</f>
        <v>0.0617122487729611</v>
      </c>
      <c r="F289" s="17" t="n">
        <f aca="false">F284/F268</f>
        <v>0.0633853052127698</v>
      </c>
      <c r="G289" s="17" t="n">
        <f aca="false">G284/G268</f>
        <v>0.0648480964166468</v>
      </c>
      <c r="H289" s="29" t="n">
        <f aca="false">$G285+(fade_mA-$G285)*1/3</f>
        <v>0.0690799667999651</v>
      </c>
      <c r="I289" s="29" t="n">
        <f aca="false">$G285+(fade_mA-$G285)*2/3</f>
        <v>0.069597055586549</v>
      </c>
      <c r="J289" s="29" t="n">
        <f aca="false">$G285+(fade_mA-$G285)*3/3</f>
        <v>0.0701141443731329</v>
      </c>
    </row>
    <row r="292" customFormat="false" ht="17.15" hidden="false" customHeight="false" outlineLevel="0" collapsed="false">
      <c r="A292" s="1" t="s">
        <v>686</v>
      </c>
    </row>
    <row r="293" customFormat="false" ht="17.15" hidden="false" customHeight="false" outlineLevel="0" collapsed="false">
      <c r="A293" s="5" t="s">
        <v>16</v>
      </c>
      <c r="B293" s="5" t="s">
        <v>17</v>
      </c>
      <c r="C293" s="14" t="s">
        <v>276</v>
      </c>
      <c r="D293" s="14" t="s">
        <v>280</v>
      </c>
      <c r="E293" s="14" t="s">
        <v>348</v>
      </c>
      <c r="F293" s="14" t="s">
        <v>349</v>
      </c>
      <c r="G293" s="14" t="s">
        <v>350</v>
      </c>
      <c r="H293" s="14" t="s">
        <v>351</v>
      </c>
      <c r="I293" s="14" t="s">
        <v>352</v>
      </c>
      <c r="J293" s="14" t="s">
        <v>353</v>
      </c>
      <c r="K293" s="5" t="s">
        <v>324</v>
      </c>
    </row>
    <row r="294" customFormat="false" ht="17.15" hidden="false" customHeight="false" outlineLevel="0" collapsed="false">
      <c r="A294" s="6" t="s">
        <v>370</v>
      </c>
    </row>
    <row r="295" customFormat="false" ht="17.15" hidden="false" customHeight="false" outlineLevel="0" collapsed="false">
      <c r="A295" s="0" t="s">
        <v>371</v>
      </c>
      <c r="B295" s="4" t="s">
        <v>27</v>
      </c>
      <c r="D295" s="20" t="n">
        <f aca="false">uo_26</f>
        <v>6.65</v>
      </c>
      <c r="E295" s="20" t="n">
        <f aca="false">uo_27*mf</f>
        <v>2.4</v>
      </c>
      <c r="F295" s="20" t="n">
        <f aca="false">uo_28*um28_A*mf</f>
        <v>0.5</v>
      </c>
      <c r="G295" s="20" t="n">
        <f aca="false">uo_29*um29_A*mf</f>
        <v>0.25</v>
      </c>
      <c r="K295" s="8" t="s">
        <v>372</v>
      </c>
    </row>
    <row r="296" customFormat="false" ht="17.15" hidden="false" customHeight="false" outlineLevel="0" collapsed="false">
      <c r="A296" s="0" t="s">
        <v>373</v>
      </c>
      <c r="B296" s="4" t="s">
        <v>27</v>
      </c>
      <c r="D296" s="20" t="n">
        <f aca="false">un_26</f>
        <v>1.7</v>
      </c>
      <c r="E296" s="20" t="n">
        <f aca="false">un_27*mf</f>
        <v>8.8</v>
      </c>
      <c r="F296" s="20" t="n">
        <f aca="false">un_28*um28_A*mf</f>
        <v>11</v>
      </c>
      <c r="G296" s="20" t="n">
        <f aca="false">un_29*um29_A*mf</f>
        <v>12.65</v>
      </c>
      <c r="K296" s="8" t="s">
        <v>374</v>
      </c>
    </row>
    <row r="297" customFormat="false" ht="17.15" hidden="false" customHeight="false" outlineLevel="0" collapsed="false">
      <c r="A297" s="4" t="s">
        <v>375</v>
      </c>
      <c r="B297" s="4" t="s">
        <v>58</v>
      </c>
      <c r="D297" s="24" t="n">
        <f aca="false">v_gb</f>
        <v>59.7222222222222</v>
      </c>
      <c r="E297" s="24" t="n">
        <f aca="false">v_gb</f>
        <v>59.7222222222222</v>
      </c>
      <c r="F297" s="24" t="n">
        <f aca="false">v_gb</f>
        <v>59.7222222222222</v>
      </c>
      <c r="G297" s="24" t="n">
        <f aca="false">v_gb</f>
        <v>59.7222222222222</v>
      </c>
    </row>
    <row r="298" customFormat="false" ht="17.15" hidden="false" customHeight="false" outlineLevel="0" collapsed="false">
      <c r="A298" s="4" t="s">
        <v>376</v>
      </c>
      <c r="B298" s="4" t="s">
        <v>58</v>
      </c>
      <c r="D298" s="24" t="n">
        <f aca="false">v_vr</f>
        <v>116.666666666667</v>
      </c>
      <c r="E298" s="24" t="n">
        <f aca="false">v_vr</f>
        <v>116.666666666667</v>
      </c>
      <c r="F298" s="24" t="n">
        <f aca="false">v_vr*vpg_28_lo</f>
        <v>99.1666666666667</v>
      </c>
      <c r="G298" s="24" t="n">
        <f aca="false">v_vr*vpg_29_lo</f>
        <v>99.1666666666667</v>
      </c>
      <c r="K298" s="4" t="s">
        <v>377</v>
      </c>
    </row>
    <row r="299" customFormat="false" ht="17.15" hidden="false" customHeight="false" outlineLevel="0" collapsed="false">
      <c r="A299" s="4" t="s">
        <v>378</v>
      </c>
      <c r="B299" s="0" t="s">
        <v>117</v>
      </c>
      <c r="D299" s="25" t="n">
        <f aca="false">(D295*D297+D296*D298)</f>
        <v>595.486111111111</v>
      </c>
      <c r="E299" s="25" t="n">
        <f aca="false">(E295*E297+E296*E298)</f>
        <v>1170</v>
      </c>
      <c r="F299" s="25" t="n">
        <f aca="false">(F295*F297+F296*F298)</f>
        <v>1120.69444444444</v>
      </c>
      <c r="G299" s="25" t="n">
        <f aca="false">(G295*G297+G296*G298)</f>
        <v>1269.38888888889</v>
      </c>
      <c r="K299" s="4" t="s">
        <v>379</v>
      </c>
    </row>
    <row r="300" customFormat="false" ht="17.15" hidden="false" customHeight="false" outlineLevel="0" collapsed="false">
      <c r="A300" s="4" t="s">
        <v>380</v>
      </c>
      <c r="B300" s="0" t="s">
        <v>117</v>
      </c>
      <c r="E300" s="25" t="n">
        <f aca="false">0.5*D299+0.5*E299</f>
        <v>882.743055555556</v>
      </c>
      <c r="F300" s="25" t="n">
        <f aca="false">0.5*E299+0.5*F299</f>
        <v>1145.34722222222</v>
      </c>
      <c r="G300" s="25" t="n">
        <f aca="false">0.5*F299+0.5*G299</f>
        <v>1195.04166666667</v>
      </c>
      <c r="K300" s="4" t="s">
        <v>381</v>
      </c>
    </row>
    <row r="301" customFormat="false" ht="17.15" hidden="false" customHeight="false" outlineLevel="0" collapsed="false">
      <c r="A301" s="0" t="s">
        <v>382</v>
      </c>
      <c r="B301" s="0" t="s">
        <v>117</v>
      </c>
      <c r="E301" s="25" t="n">
        <f aca="false">0.5*D299+0.5*(uo_27*v_gb+un_27*v_vr)</f>
        <v>882.743055555556</v>
      </c>
      <c r="K301" s="4" t="s">
        <v>383</v>
      </c>
    </row>
    <row r="302" customFormat="false" ht="17.15" hidden="false" customHeight="false" outlineLevel="0" collapsed="false">
      <c r="A302" s="4" t="s">
        <v>384</v>
      </c>
      <c r="B302" s="0" t="s">
        <v>99</v>
      </c>
      <c r="D302" s="17" t="n">
        <f aca="false">a26_aih2/(0.5*D299)</f>
        <v>0.0499294936443149</v>
      </c>
      <c r="K302" s="8" t="s">
        <v>385</v>
      </c>
    </row>
    <row r="303" customFormat="false" ht="17.15" hidden="false" customHeight="false" outlineLevel="0" collapsed="false">
      <c r="A303" s="0" t="s">
        <v>386</v>
      </c>
      <c r="B303" s="0" t="s">
        <v>117</v>
      </c>
      <c r="E303" s="25" t="n">
        <f aca="false">g27_hi</f>
        <v>72</v>
      </c>
      <c r="K303" s="8" t="s">
        <v>387</v>
      </c>
    </row>
    <row r="304" customFormat="false" ht="17.15" hidden="false" customHeight="false" outlineLevel="0" collapsed="false">
      <c r="A304" s="4" t="s">
        <v>388</v>
      </c>
      <c r="B304" s="0" t="s">
        <v>66</v>
      </c>
      <c r="E304" s="20" t="n">
        <f aca="false">1</f>
        <v>1</v>
      </c>
      <c r="F304" s="20" t="n">
        <f aca="false">rel_28_hi*1</f>
        <v>1</v>
      </c>
      <c r="G304" s="20" t="n">
        <f aca="false">rel_29_hi*1</f>
        <v>1</v>
      </c>
      <c r="K304" s="8" t="s">
        <v>389</v>
      </c>
    </row>
    <row r="305" customFormat="false" ht="17.15" hidden="false" customHeight="false" outlineLevel="0" collapsed="false">
      <c r="A305" s="4" t="s">
        <v>390</v>
      </c>
      <c r="B305" s="0" t="s">
        <v>99</v>
      </c>
      <c r="E305" s="17" t="n">
        <f aca="false">(E303-E309)/E301</f>
        <v>0.0696416435825827</v>
      </c>
      <c r="F305" s="17" t="n">
        <f aca="false">$E305*F304</f>
        <v>0.0696416435825827</v>
      </c>
      <c r="G305" s="17" t="n">
        <f aca="false">$E305*G304</f>
        <v>0.0696416435825827</v>
      </c>
      <c r="K305" s="8" t="s">
        <v>391</v>
      </c>
    </row>
    <row r="306" customFormat="false" ht="17.15" hidden="false" customHeight="false" outlineLevel="0" collapsed="false">
      <c r="A306" s="0" t="s">
        <v>392</v>
      </c>
      <c r="B306" s="0" t="s">
        <v>66</v>
      </c>
      <c r="E306" s="20" t="n">
        <f aca="false">E305/D302</f>
        <v>1.39479971655015</v>
      </c>
      <c r="K306" s="8" t="s">
        <v>393</v>
      </c>
    </row>
    <row r="307" customFormat="false" ht="17.15" hidden="false" customHeight="false" outlineLevel="0" collapsed="false">
      <c r="A307" s="0" t="s">
        <v>394</v>
      </c>
      <c r="B307" s="0" t="s">
        <v>117</v>
      </c>
      <c r="C307" s="26" t="n">
        <f aca="false">a25_ai</f>
        <v>15.3804</v>
      </c>
      <c r="D307" s="26" t="n">
        <f aca="false">a26_ai</f>
        <v>29.911415</v>
      </c>
      <c r="E307" s="26" t="n">
        <f aca="false">E300*E305</f>
        <v>61.47567725</v>
      </c>
      <c r="F307" s="26" t="n">
        <f aca="false">F300*F305</f>
        <v>79.7638630283012</v>
      </c>
      <c r="G307" s="26" t="n">
        <f aca="false">G300*G305</f>
        <v>83.2246658163356</v>
      </c>
    </row>
    <row r="308" customFormat="false" ht="17.15" hidden="false" customHeight="false" outlineLevel="0" collapsed="false">
      <c r="A308" s="6" t="s">
        <v>395</v>
      </c>
    </row>
    <row r="309" customFormat="false" ht="17.15" hidden="false" customHeight="false" outlineLevel="0" collapsed="false">
      <c r="A309" s="4" t="s">
        <v>310</v>
      </c>
      <c r="B309" s="0" t="s">
        <v>117</v>
      </c>
      <c r="C309" s="26" t="n">
        <f aca="false">a25_nai</f>
        <v>6.5916</v>
      </c>
      <c r="D309" s="26" t="n">
        <f aca="false">a26_nai</f>
        <v>9.151585</v>
      </c>
      <c r="E309" s="26" t="n">
        <f aca="false">D309*(1+g_nai27)</f>
        <v>10.52432275</v>
      </c>
      <c r="F309" s="26" t="n">
        <f aca="false">E309*(1+g_nai28)</f>
        <v>11.36626857</v>
      </c>
      <c r="G309" s="26" t="n">
        <f aca="false">F309*(1+g_nai29)</f>
        <v>12.0482446842</v>
      </c>
    </row>
    <row r="310" customFormat="false" ht="17.15" hidden="false" customHeight="false" outlineLevel="0" collapsed="false">
      <c r="A310" s="4" t="s">
        <v>282</v>
      </c>
      <c r="B310" s="0" t="s">
        <v>117</v>
      </c>
      <c r="C310" s="26" t="n">
        <f aca="false">C307+C309</f>
        <v>21.972</v>
      </c>
      <c r="D310" s="26" t="n">
        <f aca="false">D307+D309</f>
        <v>39.063</v>
      </c>
      <c r="E310" s="26" t="n">
        <f aca="false">E307+E309</f>
        <v>72</v>
      </c>
      <c r="F310" s="26" t="n">
        <f aca="false">F307+F309</f>
        <v>91.1301315983012</v>
      </c>
      <c r="G310" s="26" t="n">
        <f aca="false">G307+G309</f>
        <v>95.2729105005356</v>
      </c>
      <c r="H310" s="27" t="n">
        <f aca="false">G310*(1+H311)</f>
        <v>100.06577522585</v>
      </c>
      <c r="I310" s="27" t="n">
        <f aca="false">H310*(1+I311)</f>
        <v>105.584737424033</v>
      </c>
      <c r="J310" s="27" t="n">
        <f aca="false">I310*(1+J311)</f>
        <v>111.919821669475</v>
      </c>
      <c r="K310" s="8" t="s">
        <v>396</v>
      </c>
    </row>
    <row r="311" customFormat="false" ht="15" hidden="false" customHeight="false" outlineLevel="0" collapsed="false">
      <c r="A311" s="4" t="s">
        <v>397</v>
      </c>
      <c r="B311" s="0" t="s">
        <v>99</v>
      </c>
      <c r="D311" s="18" t="n">
        <f aca="false">D310/C310-1</f>
        <v>0.777853631895139</v>
      </c>
      <c r="E311" s="18" t="n">
        <f aca="false">E310/D310-1</f>
        <v>0.843176407341986</v>
      </c>
      <c r="F311" s="18" t="n">
        <f aca="false">F310/E310-1</f>
        <v>0.265696272198627</v>
      </c>
      <c r="G311" s="18" t="n">
        <f aca="false">G310/F310-1</f>
        <v>0.0454600342342939</v>
      </c>
      <c r="H311" s="28" t="n">
        <f aca="false">$G311+(fade_gA-$G311)*1/3</f>
        <v>0.0503066894895293</v>
      </c>
      <c r="I311" s="28" t="n">
        <f aca="false">$G311+(fade_gA-$G311)*2/3</f>
        <v>0.0551533447447646</v>
      </c>
      <c r="J311" s="28" t="n">
        <f aca="false">$G311+(fade_gA-$G311)*3/3</f>
        <v>0.06</v>
      </c>
    </row>
    <row r="312" customFormat="false" ht="17.15" hidden="false" customHeight="false" outlineLevel="0" collapsed="false">
      <c r="A312" s="0" t="s">
        <v>398</v>
      </c>
      <c r="B312" s="0" t="s">
        <v>99</v>
      </c>
      <c r="C312" s="18" t="n">
        <f aca="false">C307/C310</f>
        <v>0.7</v>
      </c>
      <c r="D312" s="18" t="n">
        <f aca="false">D307/D310</f>
        <v>0.765722422752989</v>
      </c>
      <c r="E312" s="18" t="n">
        <f aca="false">E307/E310</f>
        <v>0.853828850694445</v>
      </c>
      <c r="F312" s="18" t="n">
        <f aca="false">F307/F310</f>
        <v>0.875274309707988</v>
      </c>
      <c r="G312" s="18" t="n">
        <f aca="false">G307/G310</f>
        <v>0.87353965969023</v>
      </c>
    </row>
    <row r="313" customFormat="false" ht="17.15" hidden="false" customHeight="false" outlineLevel="0" collapsed="false">
      <c r="A313" s="4" t="s">
        <v>399</v>
      </c>
      <c r="B313" s="4" t="s">
        <v>27</v>
      </c>
      <c r="E313" s="20" t="n">
        <f aca="false">E307/((0.5*(D295*D297+D296*D298)+0.5*(E295*E297+E296*E298))/(0.5*(D295+D296)+0.5*(E295+E296)))</f>
        <v>0.680747066019746</v>
      </c>
      <c r="F313" s="20" t="n">
        <f aca="false">F307/((0.5*(E295*E297+E296*E298)+0.5*(F295*F297+F296*F298))/(0.5*(E295+E296)+0.5*(F295+F296)))</f>
        <v>0.790432654662314</v>
      </c>
      <c r="G313" s="20" t="n">
        <f aca="false">G307/((0.5*(F295*F297+F296*F298)+0.5*(G295*G297+G296*G298))/(0.5*(F295+F296)+0.5*(G295+G296)))</f>
        <v>0.849628051707509</v>
      </c>
      <c r="K313" s="4" t="s">
        <v>400</v>
      </c>
    </row>
    <row r="314" customFormat="false" ht="17.15" hidden="false" customHeight="false" outlineLevel="0" collapsed="false">
      <c r="A314" s="6" t="s">
        <v>401</v>
      </c>
    </row>
    <row r="315" customFormat="false" ht="17.15" hidden="false" customHeight="false" outlineLevel="0" collapsed="false">
      <c r="A315" s="0" t="s">
        <v>402</v>
      </c>
      <c r="B315" s="0" t="s">
        <v>99</v>
      </c>
      <c r="D315" s="17" t="n">
        <f aca="false">(a26_gp-gm_nai*a26_nai)/a26_ai</f>
        <v>0.0954338753281983</v>
      </c>
      <c r="K315" s="8" t="s">
        <v>403</v>
      </c>
    </row>
    <row r="316" customFormat="false" ht="17.15" hidden="false" customHeight="false" outlineLevel="0" collapsed="false">
      <c r="A316" s="0" t="s">
        <v>404</v>
      </c>
      <c r="B316" s="0" t="s">
        <v>99</v>
      </c>
      <c r="D316" s="17" t="n">
        <f aca="false">D315</f>
        <v>0.0954338753281983</v>
      </c>
      <c r="E316" s="17" t="n">
        <f aca="false">$D315+dgm_27_hi</f>
        <v>0.110433875328198</v>
      </c>
      <c r="F316" s="17" t="n">
        <f aca="false">$D315+dgm_28_hi</f>
        <v>0.110433875328198</v>
      </c>
      <c r="G316" s="17" t="n">
        <f aca="false">$D315+dgm_28_hi</f>
        <v>0.110433875328198</v>
      </c>
      <c r="K316" s="8" t="s">
        <v>405</v>
      </c>
    </row>
    <row r="317" customFormat="false" ht="15" hidden="false" customHeight="false" outlineLevel="0" collapsed="false">
      <c r="A317" s="4" t="s">
        <v>406</v>
      </c>
      <c r="B317" s="0" t="s">
        <v>117</v>
      </c>
      <c r="C317" s="26" t="n">
        <f aca="false">a25_gp</f>
        <v>2.4299</v>
      </c>
      <c r="D317" s="26" t="n">
        <f aca="false">a26_gp</f>
        <v>4.2273</v>
      </c>
      <c r="E317" s="26" t="n">
        <f aca="false">E316*E307+gm_nai*E309</f>
        <v>8.36764568964306</v>
      </c>
      <c r="F317" s="26" t="n">
        <f aca="false">F316*F307+gm_nai*F309</f>
        <v>10.5135727908629</v>
      </c>
      <c r="G317" s="26" t="n">
        <f aca="false">G316*G307+gm_nai*G309</f>
        <v>10.9980590716222</v>
      </c>
    </row>
    <row r="318" customFormat="false" ht="15" hidden="false" customHeight="false" outlineLevel="0" collapsed="false">
      <c r="A318" s="4" t="s">
        <v>288</v>
      </c>
      <c r="B318" s="0" t="s">
        <v>99</v>
      </c>
      <c r="C318" s="17" t="n">
        <f aca="false">C317/C310</f>
        <v>0.110590751866011</v>
      </c>
      <c r="D318" s="17" t="n">
        <f aca="false">D317/D310</f>
        <v>0.108217494816066</v>
      </c>
      <c r="E318" s="17" t="n">
        <f aca="false">E317/E310</f>
        <v>0.116217301245042</v>
      </c>
      <c r="F318" s="17" t="n">
        <f aca="false">F317/F310</f>
        <v>0.115368787540069</v>
      </c>
      <c r="G318" s="17" t="n">
        <f aca="false">G317/G310</f>
        <v>0.115437420918933</v>
      </c>
    </row>
    <row r="319" customFormat="false" ht="15" hidden="false" customHeight="false" outlineLevel="0" collapsed="false">
      <c r="A319" s="4" t="s">
        <v>407</v>
      </c>
      <c r="B319" s="0" t="s">
        <v>117</v>
      </c>
      <c r="C319" s="26" t="n">
        <f aca="false">a25_opx</f>
        <v>1.1769</v>
      </c>
      <c r="D319" s="26" t="n">
        <f aca="false">a26_opx</f>
        <v>1.4568</v>
      </c>
      <c r="E319" s="26" t="n">
        <f aca="false">D319*(1+MAX(0,phi*E311))</f>
        <v>1.94813575608632</v>
      </c>
      <c r="F319" s="26" t="n">
        <f aca="false">E319*(1+MAX(0,phi*F311))</f>
        <v>2.15518071933792</v>
      </c>
      <c r="G319" s="26" t="n">
        <f aca="false">F319*(1+MAX(0,phi*G311))</f>
        <v>2.1943705550508</v>
      </c>
    </row>
    <row r="320" customFormat="false" ht="15" hidden="false" customHeight="false" outlineLevel="0" collapsed="false">
      <c r="A320" s="4" t="s">
        <v>408</v>
      </c>
      <c r="B320" s="0" t="s">
        <v>117</v>
      </c>
      <c r="C320" s="26" t="n">
        <f aca="false">C319</f>
        <v>1.1769</v>
      </c>
      <c r="D320" s="26" t="n">
        <f aca="false">D319</f>
        <v>1.4568</v>
      </c>
      <c r="E320" s="26" t="n">
        <f aca="false">E319+0*E310</f>
        <v>1.94813575608632</v>
      </c>
      <c r="F320" s="26" t="n">
        <f aca="false">F319+0*F310</f>
        <v>2.15518071933792</v>
      </c>
      <c r="G320" s="26" t="n">
        <f aca="false">G319+0*G310</f>
        <v>2.1943705550508</v>
      </c>
    </row>
    <row r="321" customFormat="false" ht="15" hidden="false" customHeight="false" outlineLevel="0" collapsed="false">
      <c r="A321" s="4" t="s">
        <v>291</v>
      </c>
      <c r="B321" s="0" t="s">
        <v>117</v>
      </c>
      <c r="C321" s="26" t="n">
        <f aca="false">C317-C320</f>
        <v>1.253</v>
      </c>
      <c r="D321" s="26" t="n">
        <f aca="false">D317-D320</f>
        <v>2.7705</v>
      </c>
      <c r="E321" s="26" t="n">
        <f aca="false">E317-E320</f>
        <v>6.41950993355673</v>
      </c>
      <c r="F321" s="26" t="n">
        <f aca="false">F317-F320</f>
        <v>8.35839207152497</v>
      </c>
      <c r="G321" s="26" t="n">
        <f aca="false">G317-G320</f>
        <v>8.80368851657138</v>
      </c>
    </row>
    <row r="322" customFormat="false" ht="15" hidden="false" customHeight="false" outlineLevel="0" collapsed="false">
      <c r="A322" s="4" t="s">
        <v>293</v>
      </c>
      <c r="B322" s="0" t="s">
        <v>99</v>
      </c>
      <c r="C322" s="17" t="n">
        <f aca="false">C321/C310</f>
        <v>0.0570271254323685</v>
      </c>
      <c r="D322" s="17" t="n">
        <f aca="false">D321/D310</f>
        <v>0.0709238921741801</v>
      </c>
      <c r="E322" s="17" t="n">
        <f aca="false">E321/E310</f>
        <v>0.089159860188288</v>
      </c>
      <c r="F322" s="17" t="n">
        <f aca="false">F321/F310</f>
        <v>0.091719302111496</v>
      </c>
      <c r="G322" s="17" t="n">
        <f aca="false">G321/G310</f>
        <v>0.0924049498469125</v>
      </c>
    </row>
    <row r="323" customFormat="false" ht="17.15" hidden="false" customHeight="false" outlineLevel="0" collapsed="false">
      <c r="A323" s="4" t="s">
        <v>167</v>
      </c>
      <c r="B323" s="0" t="s">
        <v>99</v>
      </c>
      <c r="C323" s="18" t="n">
        <f aca="false">a25_ni/a25_oi</f>
        <v>0.837110933758979</v>
      </c>
      <c r="D323" s="18" t="n">
        <f aca="false">a26_ni/a26_oi</f>
        <v>0.805089334055225</v>
      </c>
      <c r="E323" s="18" t="n">
        <f aca="false">nio_f</f>
        <v>0.75</v>
      </c>
      <c r="F323" s="18" t="n">
        <f aca="false">nio_f</f>
        <v>0.75</v>
      </c>
      <c r="G323" s="18" t="n">
        <f aca="false">nio_f</f>
        <v>0.75</v>
      </c>
    </row>
    <row r="324" customFormat="false" ht="15" hidden="false" customHeight="false" outlineLevel="0" collapsed="false">
      <c r="A324" s="4" t="s">
        <v>409</v>
      </c>
      <c r="B324" s="0" t="s">
        <v>117</v>
      </c>
      <c r="C324" s="26" t="n">
        <f aca="false">a25_ni</f>
        <v>1.0489</v>
      </c>
      <c r="D324" s="26" t="n">
        <f aca="false">a26_ni</f>
        <v>2.2305</v>
      </c>
      <c r="E324" s="26" t="n">
        <f aca="false">E321*E323</f>
        <v>4.81463245016755</v>
      </c>
      <c r="F324" s="26" t="n">
        <f aca="false">F321*F323</f>
        <v>6.26879405364373</v>
      </c>
      <c r="G324" s="26" t="n">
        <f aca="false">G321*G323</f>
        <v>6.60276638742854</v>
      </c>
    </row>
    <row r="325" customFormat="false" ht="17.15" hidden="false" customHeight="false" outlineLevel="0" collapsed="false">
      <c r="A325" s="4" t="s">
        <v>410</v>
      </c>
      <c r="B325" s="0" t="s">
        <v>117</v>
      </c>
      <c r="C325" s="16" t="n">
        <f aca="false">0</f>
        <v>0</v>
      </c>
      <c r="D325" s="16" t="n">
        <f aca="false">0</f>
        <v>0</v>
      </c>
      <c r="E325" s="16" t="n">
        <f aca="false">pref_div</f>
        <v>0.301875</v>
      </c>
      <c r="F325" s="16" t="n">
        <f aca="false">pref_div</f>
        <v>0.301875</v>
      </c>
      <c r="G325" s="16" t="n">
        <f aca="false">pref_div</f>
        <v>0.301875</v>
      </c>
      <c r="K325" s="8" t="s">
        <v>411</v>
      </c>
    </row>
    <row r="326" customFormat="false" ht="17.15" hidden="false" customHeight="false" outlineLevel="0" collapsed="false">
      <c r="A326" s="4" t="s">
        <v>359</v>
      </c>
      <c r="B326" s="0" t="s">
        <v>117</v>
      </c>
      <c r="C326" s="26" t="n">
        <f aca="false">C324-C325</f>
        <v>1.0489</v>
      </c>
      <c r="D326" s="26" t="n">
        <f aca="false">D324-D325</f>
        <v>2.2305</v>
      </c>
      <c r="E326" s="26" t="n">
        <f aca="false">E324-E325</f>
        <v>4.51275745016755</v>
      </c>
      <c r="F326" s="26" t="n">
        <f aca="false">F324-F325</f>
        <v>5.96691905364373</v>
      </c>
      <c r="G326" s="26" t="n">
        <f aca="false">G324-G325</f>
        <v>6.30089138742854</v>
      </c>
      <c r="H326" s="27" t="n">
        <f aca="false">H310*H331</f>
        <v>6.96196187423344</v>
      </c>
      <c r="I326" s="27" t="n">
        <f aca="false">I310*I331</f>
        <v>7.37446044046547</v>
      </c>
      <c r="J326" s="27" t="n">
        <f aca="false">J310*J331</f>
        <v>7.84716253474888</v>
      </c>
      <c r="K326" s="4" t="s">
        <v>412</v>
      </c>
    </row>
    <row r="327" customFormat="false" ht="17.15" hidden="false" customHeight="false" outlineLevel="0" collapsed="false">
      <c r="A327" s="4" t="s">
        <v>413</v>
      </c>
      <c r="B327" s="0" t="s">
        <v>99</v>
      </c>
      <c r="C327" s="17" t="n">
        <f aca="false">C324/C310</f>
        <v>0.0477380302202804</v>
      </c>
      <c r="D327" s="17" t="n">
        <f aca="false">D324/D310</f>
        <v>0.0571000691191153</v>
      </c>
      <c r="E327" s="17" t="n">
        <f aca="false">E324/E310</f>
        <v>0.066869895141216</v>
      </c>
      <c r="F327" s="17" t="n">
        <f aca="false">F324/F310</f>
        <v>0.068789476583622</v>
      </c>
      <c r="G327" s="17" t="n">
        <f aca="false">G324/G310</f>
        <v>0.0693037123851844</v>
      </c>
      <c r="K327" s="4" t="s">
        <v>414</v>
      </c>
    </row>
    <row r="328" customFormat="false" ht="17.15" hidden="false" customHeight="false" outlineLevel="0" collapsed="false">
      <c r="A328" s="4" t="s">
        <v>415</v>
      </c>
      <c r="B328" s="4" t="s">
        <v>176</v>
      </c>
      <c r="C328" s="19" t="n">
        <f aca="false">a25_sh</f>
        <v>0.624345238095238</v>
      </c>
      <c r="D328" s="19" t="n">
        <f aca="false">a26_sh</f>
        <v>0.68420245398773</v>
      </c>
      <c r="E328" s="19" t="n">
        <f aca="false">sh27</f>
        <v>0.745</v>
      </c>
      <c r="F328" s="19" t="n">
        <f aca="false">E328*(1+sh_g)</f>
        <v>0.75245</v>
      </c>
      <c r="G328" s="19" t="n">
        <f aca="false">F328*(1+sh_g)</f>
        <v>0.7599745</v>
      </c>
      <c r="H328" s="31" t="n">
        <f aca="false">G328*(1+sh_g)+conv_sh</f>
        <v>0.91132712</v>
      </c>
      <c r="I328" s="31" t="n">
        <f aca="false">H328*(1+sh_g)</f>
        <v>0.9204403912</v>
      </c>
      <c r="J328" s="31" t="n">
        <f aca="false">I328*(1+sh_g)</f>
        <v>0.929644795112</v>
      </c>
    </row>
    <row r="329" customFormat="false" ht="17.15" hidden="false" customHeight="false" outlineLevel="0" collapsed="false">
      <c r="A329" s="0" t="s">
        <v>299</v>
      </c>
      <c r="B329" s="0" t="s">
        <v>189</v>
      </c>
      <c r="C329" s="26" t="n">
        <f aca="false">C326/C328</f>
        <v>1.68</v>
      </c>
      <c r="D329" s="26" t="n">
        <f aca="false">D326/D328</f>
        <v>3.26</v>
      </c>
      <c r="E329" s="26" t="n">
        <f aca="false">E326/E328</f>
        <v>6.05739255056047</v>
      </c>
      <c r="F329" s="26" t="n">
        <f aca="false">F326/F328</f>
        <v>7.92998744586847</v>
      </c>
      <c r="G329" s="26" t="n">
        <f aca="false">G326/G328</f>
        <v>8.29092474474938</v>
      </c>
      <c r="H329" s="30" t="n">
        <f aca="false">H326/H328</f>
        <v>7.63936650347181</v>
      </c>
      <c r="I329" s="30" t="n">
        <f aca="false">I326/I328</f>
        <v>8.01188269329555</v>
      </c>
      <c r="J329" s="30" t="n">
        <f aca="false">J326/J328</f>
        <v>8.4410331515958</v>
      </c>
    </row>
    <row r="330" customFormat="false" ht="17.15" hidden="false" customHeight="false" outlineLevel="0" collapsed="false">
      <c r="A330" s="0" t="s">
        <v>416</v>
      </c>
      <c r="B330" s="0" t="s">
        <v>99</v>
      </c>
      <c r="D330" s="18" t="n">
        <f aca="false">D329/C329-1</f>
        <v>0.940476190476191</v>
      </c>
      <c r="E330" s="18" t="n">
        <f aca="false">E329/D329-1</f>
        <v>0.858095874405052</v>
      </c>
      <c r="F330" s="18" t="n">
        <f aca="false">F329/E329-1</f>
        <v>0.309142073867201</v>
      </c>
      <c r="G330" s="18" t="n">
        <f aca="false">G329/F329-1</f>
        <v>0.0455154943617164</v>
      </c>
      <c r="H330" s="28" t="n">
        <f aca="false">H329/G329-1</f>
        <v>-0.0785869201973154</v>
      </c>
      <c r="I330" s="28" t="n">
        <f aca="false">I329/H329-1</f>
        <v>0.0487627069148267</v>
      </c>
      <c r="J330" s="28" t="n">
        <f aca="false">J329/I329-1</f>
        <v>0.0535642463486599</v>
      </c>
    </row>
    <row r="331" customFormat="false" ht="17.15" hidden="false" customHeight="false" outlineLevel="0" collapsed="false">
      <c r="A331" s="4" t="s">
        <v>417</v>
      </c>
      <c r="B331" s="0" t="s">
        <v>99</v>
      </c>
      <c r="C331" s="17" t="n">
        <f aca="false">C326/C310</f>
        <v>0.0477380302202804</v>
      </c>
      <c r="D331" s="17" t="n">
        <f aca="false">D326/D310</f>
        <v>0.0571000691191153</v>
      </c>
      <c r="E331" s="17" t="n">
        <f aca="false">E326/E310</f>
        <v>0.0626771868078827</v>
      </c>
      <c r="F331" s="17" t="n">
        <f aca="false">F326/F310</f>
        <v>0.0654769059255365</v>
      </c>
      <c r="G331" s="17" t="n">
        <f aca="false">G326/G310</f>
        <v>0.066135183173533</v>
      </c>
      <c r="H331" s="29" t="n">
        <f aca="false">$G327+(fade_mA-$G327)*1/3</f>
        <v>0.0695738563811672</v>
      </c>
      <c r="I331" s="29" t="n">
        <f aca="false">$G327+(fade_mA-$G327)*2/3</f>
        <v>0.0698440003771501</v>
      </c>
      <c r="J331" s="29" t="n">
        <f aca="false">$G327+(fade_mA-$G327)*3/3</f>
        <v>0.0701141443731329</v>
      </c>
    </row>
    <row r="334" customFormat="false" ht="17.15" hidden="false" customHeight="false" outlineLevel="0" collapsed="false">
      <c r="A334" s="1" t="s">
        <v>687</v>
      </c>
    </row>
    <row r="335" customFormat="false" ht="17.15" hidden="false" customHeight="false" outlineLevel="0" collapsed="false">
      <c r="A335" s="5" t="s">
        <v>16</v>
      </c>
      <c r="B335" s="5" t="s">
        <v>17</v>
      </c>
      <c r="C335" s="14" t="s">
        <v>276</v>
      </c>
      <c r="D335" s="14" t="s">
        <v>280</v>
      </c>
      <c r="E335" s="14" t="s">
        <v>348</v>
      </c>
      <c r="F335" s="14" t="s">
        <v>349</v>
      </c>
      <c r="G335" s="14" t="s">
        <v>350</v>
      </c>
      <c r="H335" s="14" t="s">
        <v>351</v>
      </c>
      <c r="I335" s="14" t="s">
        <v>352</v>
      </c>
      <c r="J335" s="14" t="s">
        <v>353</v>
      </c>
      <c r="K335" s="5" t="s">
        <v>324</v>
      </c>
    </row>
    <row r="336" customFormat="false" ht="17.15" hidden="false" customHeight="false" outlineLevel="0" collapsed="false">
      <c r="A336" s="6" t="s">
        <v>370</v>
      </c>
    </row>
    <row r="337" customFormat="false" ht="17.15" hidden="false" customHeight="false" outlineLevel="0" collapsed="false">
      <c r="A337" s="0" t="s">
        <v>371</v>
      </c>
      <c r="B337" s="4" t="s">
        <v>27</v>
      </c>
      <c r="D337" s="20" t="n">
        <f aca="false">uo_26</f>
        <v>6.65</v>
      </c>
      <c r="E337" s="20" t="n">
        <f aca="false">uo_27*mf</f>
        <v>2.4</v>
      </c>
      <c r="F337" s="20" t="n">
        <f aca="false">uo_28*um28_A*mf</f>
        <v>0.5</v>
      </c>
      <c r="G337" s="20" t="n">
        <f aca="false">uo_29*um29_A*mf</f>
        <v>0.25</v>
      </c>
      <c r="K337" s="8" t="s">
        <v>372</v>
      </c>
    </row>
    <row r="338" customFormat="false" ht="17.15" hidden="false" customHeight="false" outlineLevel="0" collapsed="false">
      <c r="A338" s="0" t="s">
        <v>373</v>
      </c>
      <c r="B338" s="4" t="s">
        <v>27</v>
      </c>
      <c r="D338" s="20" t="n">
        <f aca="false">un_26</f>
        <v>1.7</v>
      </c>
      <c r="E338" s="20" t="n">
        <f aca="false">un_27*mf</f>
        <v>8.8</v>
      </c>
      <c r="F338" s="20" t="n">
        <f aca="false">un_28*um28_A*mf</f>
        <v>11</v>
      </c>
      <c r="G338" s="20" t="n">
        <f aca="false">un_29*um29_A*mf</f>
        <v>12.65</v>
      </c>
      <c r="K338" s="8" t="s">
        <v>374</v>
      </c>
    </row>
    <row r="339" customFormat="false" ht="17.15" hidden="false" customHeight="false" outlineLevel="0" collapsed="false">
      <c r="A339" s="4" t="s">
        <v>375</v>
      </c>
      <c r="B339" s="4" t="s">
        <v>58</v>
      </c>
      <c r="D339" s="24" t="n">
        <f aca="false">v_gb</f>
        <v>59.7222222222222</v>
      </c>
      <c r="E339" s="24" t="n">
        <f aca="false">v_gb</f>
        <v>59.7222222222222</v>
      </c>
      <c r="F339" s="24" t="n">
        <f aca="false">v_gb</f>
        <v>59.7222222222222</v>
      </c>
      <c r="G339" s="24" t="n">
        <f aca="false">v_gb</f>
        <v>59.7222222222222</v>
      </c>
    </row>
    <row r="340" customFormat="false" ht="17.15" hidden="false" customHeight="false" outlineLevel="0" collapsed="false">
      <c r="A340" s="4" t="s">
        <v>376</v>
      </c>
      <c r="B340" s="4" t="s">
        <v>58</v>
      </c>
      <c r="D340" s="24" t="n">
        <f aca="false">v_vr</f>
        <v>116.666666666667</v>
      </c>
      <c r="E340" s="24" t="n">
        <f aca="false">v_vr</f>
        <v>116.666666666667</v>
      </c>
      <c r="F340" s="24" t="n">
        <f aca="false">v_vr*vpg_28_hi</f>
        <v>140</v>
      </c>
      <c r="G340" s="24" t="n">
        <f aca="false">v_vr*vpg_29_hi</f>
        <v>140</v>
      </c>
      <c r="K340" s="4" t="s">
        <v>377</v>
      </c>
    </row>
    <row r="341" customFormat="false" ht="17.15" hidden="false" customHeight="false" outlineLevel="0" collapsed="false">
      <c r="A341" s="4" t="s">
        <v>378</v>
      </c>
      <c r="B341" s="0" t="s">
        <v>117</v>
      </c>
      <c r="D341" s="25" t="n">
        <f aca="false">(D337*D339+D338*D340)</f>
        <v>595.486111111111</v>
      </c>
      <c r="E341" s="25" t="n">
        <f aca="false">(E337*E339+E338*E340)</f>
        <v>1170</v>
      </c>
      <c r="F341" s="25" t="n">
        <f aca="false">(F337*F339+F338*F340)</f>
        <v>1569.86111111111</v>
      </c>
      <c r="G341" s="25" t="n">
        <f aca="false">(G337*G339+G338*G340)</f>
        <v>1785.93055555556</v>
      </c>
      <c r="K341" s="4" t="s">
        <v>379</v>
      </c>
    </row>
    <row r="342" customFormat="false" ht="17.15" hidden="false" customHeight="false" outlineLevel="0" collapsed="false">
      <c r="A342" s="4" t="s">
        <v>380</v>
      </c>
      <c r="B342" s="0" t="s">
        <v>117</v>
      </c>
      <c r="E342" s="25" t="n">
        <f aca="false">0.5*D341+0.5*E341</f>
        <v>882.743055555556</v>
      </c>
      <c r="F342" s="25" t="n">
        <f aca="false">0.5*E341+0.5*F341</f>
        <v>1369.93055555556</v>
      </c>
      <c r="G342" s="25" t="n">
        <f aca="false">0.5*F341+0.5*G341</f>
        <v>1677.89583333333</v>
      </c>
      <c r="K342" s="4" t="s">
        <v>381</v>
      </c>
    </row>
    <row r="343" customFormat="false" ht="17.15" hidden="false" customHeight="false" outlineLevel="0" collapsed="false">
      <c r="A343" s="0" t="s">
        <v>382</v>
      </c>
      <c r="B343" s="0" t="s">
        <v>117</v>
      </c>
      <c r="E343" s="25" t="n">
        <f aca="false">0.5*D341+0.5*(uo_27*v_gb+un_27*v_vr)</f>
        <v>882.743055555556</v>
      </c>
      <c r="K343" s="4" t="s">
        <v>383</v>
      </c>
    </row>
    <row r="344" customFormat="false" ht="17.15" hidden="false" customHeight="false" outlineLevel="0" collapsed="false">
      <c r="A344" s="4" t="s">
        <v>384</v>
      </c>
      <c r="B344" s="0" t="s">
        <v>99</v>
      </c>
      <c r="D344" s="17" t="n">
        <f aca="false">a26_aih2/(0.5*D341)</f>
        <v>0.0499294936443149</v>
      </c>
      <c r="K344" s="8" t="s">
        <v>385</v>
      </c>
    </row>
    <row r="345" customFormat="false" ht="17.15" hidden="false" customHeight="false" outlineLevel="0" collapsed="false">
      <c r="A345" s="0" t="s">
        <v>386</v>
      </c>
      <c r="B345" s="0" t="s">
        <v>117</v>
      </c>
      <c r="E345" s="25" t="n">
        <f aca="false">g27_hi</f>
        <v>72</v>
      </c>
      <c r="K345" s="8" t="s">
        <v>387</v>
      </c>
    </row>
    <row r="346" customFormat="false" ht="17.15" hidden="false" customHeight="false" outlineLevel="0" collapsed="false">
      <c r="A346" s="4" t="s">
        <v>388</v>
      </c>
      <c r="B346" s="0" t="s">
        <v>66</v>
      </c>
      <c r="E346" s="20" t="n">
        <f aca="false">1</f>
        <v>1</v>
      </c>
      <c r="F346" s="20" t="n">
        <f aca="false">rel_28_hi*1</f>
        <v>1</v>
      </c>
      <c r="G346" s="20" t="n">
        <f aca="false">rel_29_hi*1</f>
        <v>1</v>
      </c>
      <c r="K346" s="8" t="s">
        <v>389</v>
      </c>
    </row>
    <row r="347" customFormat="false" ht="17.15" hidden="false" customHeight="false" outlineLevel="0" collapsed="false">
      <c r="A347" s="4" t="s">
        <v>390</v>
      </c>
      <c r="B347" s="0" t="s">
        <v>99</v>
      </c>
      <c r="E347" s="17" t="n">
        <f aca="false">(E345-E351)/E343</f>
        <v>0.0696416435825827</v>
      </c>
      <c r="F347" s="17" t="n">
        <f aca="false">$E347*F346</f>
        <v>0.0696416435825827</v>
      </c>
      <c r="G347" s="17" t="n">
        <f aca="false">$E347*G346</f>
        <v>0.0696416435825827</v>
      </c>
      <c r="K347" s="8" t="s">
        <v>391</v>
      </c>
    </row>
    <row r="348" customFormat="false" ht="17.15" hidden="false" customHeight="false" outlineLevel="0" collapsed="false">
      <c r="A348" s="0" t="s">
        <v>392</v>
      </c>
      <c r="B348" s="0" t="s">
        <v>66</v>
      </c>
      <c r="E348" s="20" t="n">
        <f aca="false">E347/D344</f>
        <v>1.39479971655015</v>
      </c>
      <c r="K348" s="8" t="s">
        <v>393</v>
      </c>
    </row>
    <row r="349" customFormat="false" ht="17.15" hidden="false" customHeight="false" outlineLevel="0" collapsed="false">
      <c r="A349" s="0" t="s">
        <v>394</v>
      </c>
      <c r="B349" s="0" t="s">
        <v>117</v>
      </c>
      <c r="C349" s="26" t="n">
        <f aca="false">a25_ai</f>
        <v>15.3804</v>
      </c>
      <c r="D349" s="26" t="n">
        <f aca="false">a26_ai</f>
        <v>29.911415</v>
      </c>
      <c r="E349" s="26" t="n">
        <f aca="false">E342*E347</f>
        <v>61.47567725</v>
      </c>
      <c r="F349" s="26" t="n">
        <f aca="false">F342*F347</f>
        <v>95.4042154828895</v>
      </c>
      <c r="G349" s="26" t="n">
        <f aca="false">G342*G347</f>
        <v>116.851423593701</v>
      </c>
    </row>
    <row r="350" customFormat="false" ht="17.15" hidden="false" customHeight="false" outlineLevel="0" collapsed="false">
      <c r="A350" s="6" t="s">
        <v>395</v>
      </c>
    </row>
    <row r="351" customFormat="false" ht="17.15" hidden="false" customHeight="false" outlineLevel="0" collapsed="false">
      <c r="A351" s="4" t="s">
        <v>310</v>
      </c>
      <c r="B351" s="0" t="s">
        <v>117</v>
      </c>
      <c r="C351" s="26" t="n">
        <f aca="false">a25_nai</f>
        <v>6.5916</v>
      </c>
      <c r="D351" s="26" t="n">
        <f aca="false">a26_nai</f>
        <v>9.151585</v>
      </c>
      <c r="E351" s="26" t="n">
        <f aca="false">D351*(1+g_nai27)</f>
        <v>10.52432275</v>
      </c>
      <c r="F351" s="26" t="n">
        <f aca="false">E351*(1+g_nai28)</f>
        <v>11.36626857</v>
      </c>
      <c r="G351" s="26" t="n">
        <f aca="false">F351*(1+g_nai29)</f>
        <v>12.0482446842</v>
      </c>
    </row>
    <row r="352" customFormat="false" ht="17.15" hidden="false" customHeight="false" outlineLevel="0" collapsed="false">
      <c r="A352" s="4" t="s">
        <v>282</v>
      </c>
      <c r="B352" s="0" t="s">
        <v>117</v>
      </c>
      <c r="C352" s="26" t="n">
        <f aca="false">C349+C351</f>
        <v>21.972</v>
      </c>
      <c r="D352" s="26" t="n">
        <f aca="false">D349+D351</f>
        <v>39.063</v>
      </c>
      <c r="E352" s="26" t="n">
        <f aca="false">E349+E351</f>
        <v>72</v>
      </c>
      <c r="F352" s="26" t="n">
        <f aca="false">F349+F351</f>
        <v>106.77048405289</v>
      </c>
      <c r="G352" s="26" t="n">
        <f aca="false">G349+G351</f>
        <v>128.899668277901</v>
      </c>
      <c r="H352" s="27" t="n">
        <f aca="false">G352*(1+H353)</f>
        <v>149.288105114281</v>
      </c>
      <c r="I352" s="27" t="n">
        <f aca="false">H352*(1+I353)</f>
        <v>165.573415973724</v>
      </c>
      <c r="J352" s="27" t="n">
        <f aca="false">I352*(1+J353)</f>
        <v>175.507820932148</v>
      </c>
      <c r="K352" s="8" t="s">
        <v>396</v>
      </c>
    </row>
    <row r="353" customFormat="false" ht="15" hidden="false" customHeight="false" outlineLevel="0" collapsed="false">
      <c r="A353" s="4" t="s">
        <v>397</v>
      </c>
      <c r="B353" s="0" t="s">
        <v>99</v>
      </c>
      <c r="D353" s="18" t="n">
        <f aca="false">D352/C352-1</f>
        <v>0.777853631895139</v>
      </c>
      <c r="E353" s="18" t="n">
        <f aca="false">E352/D352-1</f>
        <v>0.843176407341986</v>
      </c>
      <c r="F353" s="18" t="n">
        <f aca="false">F352/E352-1</f>
        <v>0.482923389623466</v>
      </c>
      <c r="G353" s="18" t="n">
        <f aca="false">G352/F352-1</f>
        <v>0.20725937904383</v>
      </c>
      <c r="H353" s="28" t="n">
        <f aca="false">$G353+(fade_gA-$G353)*1/3</f>
        <v>0.158172919362554</v>
      </c>
      <c r="I353" s="28" t="n">
        <f aca="false">$G353+(fade_gA-$G353)*2/3</f>
        <v>0.109086459681277</v>
      </c>
      <c r="J353" s="28" t="n">
        <f aca="false">$G353+(fade_gA-$G353)*3/3</f>
        <v>0.06</v>
      </c>
    </row>
    <row r="354" customFormat="false" ht="17.15" hidden="false" customHeight="false" outlineLevel="0" collapsed="false">
      <c r="A354" s="0" t="s">
        <v>398</v>
      </c>
      <c r="B354" s="0" t="s">
        <v>99</v>
      </c>
      <c r="C354" s="18" t="n">
        <f aca="false">C349/C352</f>
        <v>0.7</v>
      </c>
      <c r="D354" s="18" t="n">
        <f aca="false">D349/D352</f>
        <v>0.765722422752989</v>
      </c>
      <c r="E354" s="18" t="n">
        <f aca="false">E349/E352</f>
        <v>0.853828850694445</v>
      </c>
      <c r="F354" s="18" t="n">
        <f aca="false">F349/F352</f>
        <v>0.89354484368199</v>
      </c>
      <c r="G354" s="18" t="n">
        <f aca="false">G349/G352</f>
        <v>0.906530056708721</v>
      </c>
    </row>
    <row r="355" customFormat="false" ht="17.15" hidden="false" customHeight="false" outlineLevel="0" collapsed="false">
      <c r="A355" s="4" t="s">
        <v>399</v>
      </c>
      <c r="B355" s="4" t="s">
        <v>27</v>
      </c>
      <c r="E355" s="20" t="n">
        <f aca="false">E349/((0.5*(D337*D339+D338*D340)+0.5*(E337*E339+E338*E340))/(0.5*(D337+D338)+0.5*(E337+E338)))</f>
        <v>0.680747066019746</v>
      </c>
      <c r="F355" s="20" t="n">
        <f aca="false">F349/((0.5*(E337*E339+E338*E340)+0.5*(F337*F339+F338*F340))/(0.5*(E337+E338)+0.5*(F337+F338)))</f>
        <v>0.790432654662314</v>
      </c>
      <c r="G355" s="20" t="n">
        <f aca="false">G349/((0.5*(F337*F339+F338*F340)+0.5*(G337*G339+G338*G340))/(0.5*(F337+F338)+0.5*(G337+G338)))</f>
        <v>0.849628051707509</v>
      </c>
      <c r="K355" s="4" t="s">
        <v>400</v>
      </c>
    </row>
    <row r="356" customFormat="false" ht="17.15" hidden="false" customHeight="false" outlineLevel="0" collapsed="false">
      <c r="A356" s="6" t="s">
        <v>401</v>
      </c>
    </row>
    <row r="357" customFormat="false" ht="17.15" hidden="false" customHeight="false" outlineLevel="0" collapsed="false">
      <c r="A357" s="0" t="s">
        <v>402</v>
      </c>
      <c r="B357" s="0" t="s">
        <v>99</v>
      </c>
      <c r="D357" s="17" t="n">
        <f aca="false">(a26_gp-gm_nai*a26_nai)/a26_ai</f>
        <v>0.0954338753281983</v>
      </c>
      <c r="K357" s="8" t="s">
        <v>403</v>
      </c>
    </row>
    <row r="358" customFormat="false" ht="17.15" hidden="false" customHeight="false" outlineLevel="0" collapsed="false">
      <c r="A358" s="0" t="s">
        <v>404</v>
      </c>
      <c r="B358" s="0" t="s">
        <v>99</v>
      </c>
      <c r="D358" s="17" t="n">
        <f aca="false">D357</f>
        <v>0.0954338753281983</v>
      </c>
      <c r="E358" s="17" t="n">
        <f aca="false">$D357+dgm_27_hi</f>
        <v>0.110433875328198</v>
      </c>
      <c r="F358" s="17" t="n">
        <f aca="false">$D357+dgm_28_hi</f>
        <v>0.110433875328198</v>
      </c>
      <c r="G358" s="17" t="n">
        <f aca="false">$D357+dgm_28_hi</f>
        <v>0.110433875328198</v>
      </c>
      <c r="K358" s="8" t="s">
        <v>405</v>
      </c>
    </row>
    <row r="359" customFormat="false" ht="15" hidden="false" customHeight="false" outlineLevel="0" collapsed="false">
      <c r="A359" s="4" t="s">
        <v>406</v>
      </c>
      <c r="B359" s="0" t="s">
        <v>117</v>
      </c>
      <c r="C359" s="26" t="n">
        <f aca="false">a25_gp</f>
        <v>2.4299</v>
      </c>
      <c r="D359" s="26" t="n">
        <f aca="false">a26_gp</f>
        <v>4.2273</v>
      </c>
      <c r="E359" s="26" t="n">
        <f aca="false">E358*E349+gm_nai*E351</f>
        <v>8.36764568964306</v>
      </c>
      <c r="F359" s="26" t="n">
        <f aca="false">F358*F349+gm_nai*F351</f>
        <v>12.240797523922</v>
      </c>
      <c r="G359" s="26" t="n">
        <f aca="false">G358*G349+gm_nai*G351</f>
        <v>14.7115922476992</v>
      </c>
    </row>
    <row r="360" customFormat="false" ht="15" hidden="false" customHeight="false" outlineLevel="0" collapsed="false">
      <c r="A360" s="4" t="s">
        <v>288</v>
      </c>
      <c r="B360" s="0" t="s">
        <v>99</v>
      </c>
      <c r="C360" s="17" t="n">
        <f aca="false">C359/C352</f>
        <v>0.110590751866011</v>
      </c>
      <c r="D360" s="17" t="n">
        <f aca="false">D359/D352</f>
        <v>0.108217494816066</v>
      </c>
      <c r="E360" s="17" t="n">
        <f aca="false">E359/E352</f>
        <v>0.116217301245042</v>
      </c>
      <c r="F360" s="17" t="n">
        <f aca="false">F359/F352</f>
        <v>0.114645893315033</v>
      </c>
      <c r="G360" s="17" t="n">
        <f aca="false">G359/G352</f>
        <v>0.114132118757527</v>
      </c>
    </row>
    <row r="361" customFormat="false" ht="15" hidden="false" customHeight="false" outlineLevel="0" collapsed="false">
      <c r="A361" s="4" t="s">
        <v>407</v>
      </c>
      <c r="B361" s="0" t="s">
        <v>117</v>
      </c>
      <c r="C361" s="26" t="n">
        <f aca="false">a25_opx</f>
        <v>1.1769</v>
      </c>
      <c r="D361" s="26" t="n">
        <f aca="false">a26_opx</f>
        <v>1.4568</v>
      </c>
      <c r="E361" s="26" t="n">
        <f aca="false">D361*(1+MAX(0,phi*E353))</f>
        <v>1.94813575608632</v>
      </c>
      <c r="F361" s="26" t="n">
        <f aca="false">E361*(1+MAX(0,phi*F353))</f>
        <v>2.32445588519667</v>
      </c>
      <c r="G361" s="26" t="n">
        <f aca="false">F361*(1+MAX(0,phi*G353))</f>
        <v>2.51716199854893</v>
      </c>
    </row>
    <row r="362" customFormat="false" ht="15" hidden="false" customHeight="false" outlineLevel="0" collapsed="false">
      <c r="A362" s="4" t="s">
        <v>408</v>
      </c>
      <c r="B362" s="0" t="s">
        <v>117</v>
      </c>
      <c r="C362" s="26" t="n">
        <f aca="false">C361</f>
        <v>1.1769</v>
      </c>
      <c r="D362" s="26" t="n">
        <f aca="false">D361</f>
        <v>1.4568</v>
      </c>
      <c r="E362" s="26" t="n">
        <f aca="false">E361+0*E352</f>
        <v>1.94813575608632</v>
      </c>
      <c r="F362" s="26" t="n">
        <f aca="false">F361+0*F352</f>
        <v>2.32445588519667</v>
      </c>
      <c r="G362" s="26" t="n">
        <f aca="false">G361+0*G352</f>
        <v>2.51716199854893</v>
      </c>
    </row>
    <row r="363" customFormat="false" ht="15" hidden="false" customHeight="false" outlineLevel="0" collapsed="false">
      <c r="A363" s="4" t="s">
        <v>291</v>
      </c>
      <c r="B363" s="0" t="s">
        <v>117</v>
      </c>
      <c r="C363" s="26" t="n">
        <f aca="false">C359-C362</f>
        <v>1.253</v>
      </c>
      <c r="D363" s="26" t="n">
        <f aca="false">D359-D362</f>
        <v>2.7705</v>
      </c>
      <c r="E363" s="26" t="n">
        <f aca="false">E359-E362</f>
        <v>6.41950993355673</v>
      </c>
      <c r="F363" s="26" t="n">
        <f aca="false">F359-F362</f>
        <v>9.91634163872531</v>
      </c>
      <c r="G363" s="26" t="n">
        <f aca="false">G359-G362</f>
        <v>12.1944302491503</v>
      </c>
    </row>
    <row r="364" customFormat="false" ht="15" hidden="false" customHeight="false" outlineLevel="0" collapsed="false">
      <c r="A364" s="4" t="s">
        <v>293</v>
      </c>
      <c r="B364" s="0" t="s">
        <v>99</v>
      </c>
      <c r="C364" s="17" t="n">
        <f aca="false">C363/C352</f>
        <v>0.0570271254323685</v>
      </c>
      <c r="D364" s="17" t="n">
        <f aca="false">D363/D352</f>
        <v>0.0709238921741801</v>
      </c>
      <c r="E364" s="17" t="n">
        <f aca="false">E363/E352</f>
        <v>0.089159860188288</v>
      </c>
      <c r="F364" s="17" t="n">
        <f aca="false">F363/F352</f>
        <v>0.092875308440235</v>
      </c>
      <c r="G364" s="17" t="n">
        <f aca="false">G363/G352</f>
        <v>0.0946040467913367</v>
      </c>
    </row>
    <row r="365" customFormat="false" ht="17.15" hidden="false" customHeight="false" outlineLevel="0" collapsed="false">
      <c r="A365" s="4" t="s">
        <v>167</v>
      </c>
      <c r="B365" s="0" t="s">
        <v>99</v>
      </c>
      <c r="C365" s="18" t="n">
        <f aca="false">a25_ni/a25_oi</f>
        <v>0.837110933758979</v>
      </c>
      <c r="D365" s="18" t="n">
        <f aca="false">a26_ni/a26_oi</f>
        <v>0.805089334055225</v>
      </c>
      <c r="E365" s="18" t="n">
        <f aca="false">nio_f</f>
        <v>0.75</v>
      </c>
      <c r="F365" s="18" t="n">
        <f aca="false">nio_f</f>
        <v>0.75</v>
      </c>
      <c r="G365" s="18" t="n">
        <f aca="false">nio_f</f>
        <v>0.75</v>
      </c>
    </row>
    <row r="366" customFormat="false" ht="15" hidden="false" customHeight="false" outlineLevel="0" collapsed="false">
      <c r="A366" s="4" t="s">
        <v>409</v>
      </c>
      <c r="B366" s="0" t="s">
        <v>117</v>
      </c>
      <c r="C366" s="26" t="n">
        <f aca="false">a25_ni</f>
        <v>1.0489</v>
      </c>
      <c r="D366" s="26" t="n">
        <f aca="false">a26_ni</f>
        <v>2.2305</v>
      </c>
      <c r="E366" s="26" t="n">
        <f aca="false">E363*E365</f>
        <v>4.81463245016755</v>
      </c>
      <c r="F366" s="26" t="n">
        <f aca="false">F363*F365</f>
        <v>7.43725622904398</v>
      </c>
      <c r="G366" s="26" t="n">
        <f aca="false">G363*G365</f>
        <v>9.14582268686272</v>
      </c>
    </row>
    <row r="367" customFormat="false" ht="17.15" hidden="false" customHeight="false" outlineLevel="0" collapsed="false">
      <c r="A367" s="4" t="s">
        <v>410</v>
      </c>
      <c r="B367" s="0" t="s">
        <v>117</v>
      </c>
      <c r="C367" s="16" t="n">
        <f aca="false">0</f>
        <v>0</v>
      </c>
      <c r="D367" s="16" t="n">
        <f aca="false">0</f>
        <v>0</v>
      </c>
      <c r="E367" s="16" t="n">
        <f aca="false">pref_div</f>
        <v>0.301875</v>
      </c>
      <c r="F367" s="16" t="n">
        <f aca="false">pref_div</f>
        <v>0.301875</v>
      </c>
      <c r="G367" s="16" t="n">
        <f aca="false">pref_div</f>
        <v>0.301875</v>
      </c>
      <c r="K367" s="8" t="s">
        <v>411</v>
      </c>
    </row>
    <row r="368" customFormat="false" ht="17.15" hidden="false" customHeight="false" outlineLevel="0" collapsed="false">
      <c r="A368" s="4" t="s">
        <v>359</v>
      </c>
      <c r="B368" s="0" t="s">
        <v>117</v>
      </c>
      <c r="C368" s="26" t="n">
        <f aca="false">C366-C367</f>
        <v>1.0489</v>
      </c>
      <c r="D368" s="26" t="n">
        <f aca="false">D366-D367</f>
        <v>2.2305</v>
      </c>
      <c r="E368" s="26" t="n">
        <f aca="false">E366-E367</f>
        <v>4.51275745016755</v>
      </c>
      <c r="F368" s="26" t="n">
        <f aca="false">F366-F367</f>
        <v>7.13538122904398</v>
      </c>
      <c r="G368" s="26" t="n">
        <f aca="false">G366-G367</f>
        <v>8.84394768686272</v>
      </c>
      <c r="H368" s="27" t="n">
        <f aca="false">H352*H373</f>
        <v>10.5506986925354</v>
      </c>
      <c r="I368" s="27" t="n">
        <f aca="false">I352*I373</f>
        <v>11.6553377260012</v>
      </c>
      <c r="J368" s="27" t="n">
        <f aca="false">J352*J373</f>
        <v>12.3055806954506</v>
      </c>
      <c r="K368" s="4" t="s">
        <v>412</v>
      </c>
    </row>
    <row r="369" customFormat="false" ht="17.15" hidden="false" customHeight="false" outlineLevel="0" collapsed="false">
      <c r="A369" s="4" t="s">
        <v>413</v>
      </c>
      <c r="B369" s="0" t="s">
        <v>99</v>
      </c>
      <c r="C369" s="17" t="n">
        <f aca="false">C366/C352</f>
        <v>0.0477380302202804</v>
      </c>
      <c r="D369" s="17" t="n">
        <f aca="false">D366/D352</f>
        <v>0.0571000691191153</v>
      </c>
      <c r="E369" s="17" t="n">
        <f aca="false">E366/E352</f>
        <v>0.066869895141216</v>
      </c>
      <c r="F369" s="17" t="n">
        <f aca="false">F366/F352</f>
        <v>0.0696564813301763</v>
      </c>
      <c r="G369" s="17" t="n">
        <f aca="false">G366/G352</f>
        <v>0.0709530350935025</v>
      </c>
      <c r="K369" s="4" t="s">
        <v>414</v>
      </c>
    </row>
    <row r="370" customFormat="false" ht="17.15" hidden="false" customHeight="false" outlineLevel="0" collapsed="false">
      <c r="A370" s="4" t="s">
        <v>415</v>
      </c>
      <c r="B370" s="4" t="s">
        <v>176</v>
      </c>
      <c r="C370" s="19" t="n">
        <f aca="false">a25_sh</f>
        <v>0.624345238095238</v>
      </c>
      <c r="D370" s="19" t="n">
        <f aca="false">a26_sh</f>
        <v>0.68420245398773</v>
      </c>
      <c r="E370" s="19" t="n">
        <f aca="false">sh27</f>
        <v>0.745</v>
      </c>
      <c r="F370" s="19" t="n">
        <f aca="false">E370*(1+sh_g)</f>
        <v>0.75245</v>
      </c>
      <c r="G370" s="19" t="n">
        <f aca="false">F370*(1+sh_g)</f>
        <v>0.7599745</v>
      </c>
      <c r="H370" s="31" t="n">
        <f aca="false">G370*(1+sh_g)+conv_sh</f>
        <v>0.91132712</v>
      </c>
      <c r="I370" s="31" t="n">
        <f aca="false">H370*(1+sh_g)</f>
        <v>0.9204403912</v>
      </c>
      <c r="J370" s="31" t="n">
        <f aca="false">I370*(1+sh_g)</f>
        <v>0.929644795112</v>
      </c>
    </row>
    <row r="371" customFormat="false" ht="17.15" hidden="false" customHeight="false" outlineLevel="0" collapsed="false">
      <c r="A371" s="0" t="s">
        <v>299</v>
      </c>
      <c r="B371" s="0" t="s">
        <v>189</v>
      </c>
      <c r="C371" s="26" t="n">
        <f aca="false">C368/C370</f>
        <v>1.68</v>
      </c>
      <c r="D371" s="26" t="n">
        <f aca="false">D368/D370</f>
        <v>3.26</v>
      </c>
      <c r="E371" s="26" t="n">
        <f aca="false">E368/E370</f>
        <v>6.05739255056047</v>
      </c>
      <c r="F371" s="26" t="n">
        <f aca="false">F368/F370</f>
        <v>9.48286428207055</v>
      </c>
      <c r="G371" s="26" t="n">
        <f aca="false">G368/G370</f>
        <v>11.637163729655</v>
      </c>
      <c r="H371" s="30" t="n">
        <f aca="false">H368/H370</f>
        <v>11.5772903724575</v>
      </c>
      <c r="I371" s="30" t="n">
        <f aca="false">I368/I370</f>
        <v>12.6627838558952</v>
      </c>
      <c r="J371" s="30" t="n">
        <f aca="false">J368/J370</f>
        <v>13.2368628966164</v>
      </c>
    </row>
    <row r="372" customFormat="false" ht="17.15" hidden="false" customHeight="false" outlineLevel="0" collapsed="false">
      <c r="A372" s="0" t="s">
        <v>416</v>
      </c>
      <c r="B372" s="0" t="s">
        <v>99</v>
      </c>
      <c r="D372" s="18" t="n">
        <f aca="false">D371/C371-1</f>
        <v>0.940476190476191</v>
      </c>
      <c r="E372" s="18" t="n">
        <f aca="false">E371/D371-1</f>
        <v>0.858095874405052</v>
      </c>
      <c r="F372" s="18" t="n">
        <f aca="false">F371/E371-1</f>
        <v>0.565502681709662</v>
      </c>
      <c r="G372" s="18" t="n">
        <f aca="false">G371/F371-1</f>
        <v>0.227178137691759</v>
      </c>
      <c r="H372" s="28" t="n">
        <f aca="false">H371/G371-1</f>
        <v>-0.00514501287327851</v>
      </c>
      <c r="I372" s="28" t="n">
        <f aca="false">I371/H371-1</f>
        <v>0.0937605820114966</v>
      </c>
      <c r="J372" s="28" t="n">
        <f aca="false">J371/I371-1</f>
        <v>0.0453359267009748</v>
      </c>
    </row>
    <row r="373" customFormat="false" ht="17.15" hidden="false" customHeight="false" outlineLevel="0" collapsed="false">
      <c r="A373" s="4" t="s">
        <v>417</v>
      </c>
      <c r="B373" s="0" t="s">
        <v>99</v>
      </c>
      <c r="C373" s="17" t="n">
        <f aca="false">C368/C352</f>
        <v>0.0477380302202804</v>
      </c>
      <c r="D373" s="17" t="n">
        <f aca="false">D368/D352</f>
        <v>0.0571000691191153</v>
      </c>
      <c r="E373" s="17" t="n">
        <f aca="false">E368/E352</f>
        <v>0.0626771868078827</v>
      </c>
      <c r="F373" s="17" t="n">
        <f aca="false">F368/F352</f>
        <v>0.066829155007946</v>
      </c>
      <c r="G373" s="17" t="n">
        <f aca="false">G368/G352</f>
        <v>0.0686110973365397</v>
      </c>
      <c r="H373" s="29" t="n">
        <f aca="false">$G369+(fade_mA-$G369)*1/3</f>
        <v>0.0706734048533793</v>
      </c>
      <c r="I373" s="29" t="n">
        <f aca="false">$G369+(fade_mA-$G369)*2/3</f>
        <v>0.0703937746132561</v>
      </c>
      <c r="J373" s="29" t="n">
        <f aca="false">$G369+(fade_mA-$G369)*3/3</f>
        <v>0.0701141443731329</v>
      </c>
    </row>
    <row r="376" customFormat="false" ht="17.15" hidden="false" customHeight="false" outlineLevel="0" collapsed="false">
      <c r="A376" s="1" t="s">
        <v>688</v>
      </c>
    </row>
    <row r="377" customFormat="false" ht="17.15" hidden="false" customHeight="false" outlineLevel="0" collapsed="false">
      <c r="A377" s="5" t="s">
        <v>16</v>
      </c>
      <c r="B377" s="5" t="s">
        <v>17</v>
      </c>
      <c r="C377" s="14" t="s">
        <v>276</v>
      </c>
      <c r="D377" s="14" t="s">
        <v>280</v>
      </c>
      <c r="E377" s="14" t="s">
        <v>348</v>
      </c>
      <c r="F377" s="14" t="s">
        <v>349</v>
      </c>
      <c r="G377" s="14" t="s">
        <v>350</v>
      </c>
      <c r="H377" s="14" t="s">
        <v>351</v>
      </c>
      <c r="I377" s="14" t="s">
        <v>352</v>
      </c>
      <c r="J377" s="14" t="s">
        <v>353</v>
      </c>
      <c r="K377" s="5" t="s">
        <v>324</v>
      </c>
    </row>
    <row r="378" customFormat="false" ht="17.15" hidden="false" customHeight="false" outlineLevel="0" collapsed="false">
      <c r="A378" s="6" t="s">
        <v>370</v>
      </c>
    </row>
    <row r="379" customFormat="false" ht="17.15" hidden="false" customHeight="false" outlineLevel="0" collapsed="false">
      <c r="A379" s="0" t="s">
        <v>371</v>
      </c>
      <c r="B379" s="4" t="s">
        <v>27</v>
      </c>
      <c r="D379" s="20" t="n">
        <f aca="false">uo_26</f>
        <v>6.65</v>
      </c>
      <c r="E379" s="20" t="n">
        <f aca="false">uo_27*mf</f>
        <v>2.4</v>
      </c>
      <c r="F379" s="20" t="n">
        <f aca="false">uo_28*um28_A*mf</f>
        <v>0.5</v>
      </c>
      <c r="G379" s="20" t="n">
        <f aca="false">uo_29*um29_A*mf</f>
        <v>0.25</v>
      </c>
      <c r="K379" s="8" t="s">
        <v>372</v>
      </c>
    </row>
    <row r="380" customFormat="false" ht="17.15" hidden="false" customHeight="false" outlineLevel="0" collapsed="false">
      <c r="A380" s="0" t="s">
        <v>373</v>
      </c>
      <c r="B380" s="4" t="s">
        <v>27</v>
      </c>
      <c r="D380" s="20" t="n">
        <f aca="false">un_26</f>
        <v>1.7</v>
      </c>
      <c r="E380" s="20" t="n">
        <f aca="false">un_27*mf</f>
        <v>8.8</v>
      </c>
      <c r="F380" s="20" t="n">
        <f aca="false">un_28*um28_A*mf</f>
        <v>11</v>
      </c>
      <c r="G380" s="20" t="n">
        <f aca="false">un_29*um29_A*mf</f>
        <v>12.65</v>
      </c>
      <c r="K380" s="8" t="s">
        <v>374</v>
      </c>
    </row>
    <row r="381" customFormat="false" ht="17.15" hidden="false" customHeight="false" outlineLevel="0" collapsed="false">
      <c r="A381" s="4" t="s">
        <v>375</v>
      </c>
      <c r="B381" s="4" t="s">
        <v>58</v>
      </c>
      <c r="D381" s="24" t="n">
        <f aca="false">v_gb</f>
        <v>59.7222222222222</v>
      </c>
      <c r="E381" s="24" t="n">
        <f aca="false">v_gb</f>
        <v>59.7222222222222</v>
      </c>
      <c r="F381" s="24" t="n">
        <f aca="false">v_gb</f>
        <v>59.7222222222222</v>
      </c>
      <c r="G381" s="24" t="n">
        <f aca="false">v_gb</f>
        <v>59.7222222222222</v>
      </c>
    </row>
    <row r="382" customFormat="false" ht="17.15" hidden="false" customHeight="false" outlineLevel="0" collapsed="false">
      <c r="A382" s="4" t="s">
        <v>376</v>
      </c>
      <c r="B382" s="4" t="s">
        <v>58</v>
      </c>
      <c r="D382" s="24" t="n">
        <f aca="false">v_vr</f>
        <v>116.666666666667</v>
      </c>
      <c r="E382" s="24" t="n">
        <f aca="false">v_vr</f>
        <v>116.666666666667</v>
      </c>
      <c r="F382" s="24" t="n">
        <f aca="false">v_vr*vpg_28</f>
        <v>116.666666666667</v>
      </c>
      <c r="G382" s="24" t="n">
        <f aca="false">v_vr*vpg_29</f>
        <v>116.666666666667</v>
      </c>
      <c r="K382" s="4" t="s">
        <v>377</v>
      </c>
    </row>
    <row r="383" customFormat="false" ht="17.15" hidden="false" customHeight="false" outlineLevel="0" collapsed="false">
      <c r="A383" s="4" t="s">
        <v>378</v>
      </c>
      <c r="B383" s="0" t="s">
        <v>117</v>
      </c>
      <c r="D383" s="25" t="n">
        <f aca="false">(D379*D381+D380*D382)</f>
        <v>595.486111111111</v>
      </c>
      <c r="E383" s="25" t="n">
        <f aca="false">(E379*E381+E380*E382)</f>
        <v>1170</v>
      </c>
      <c r="F383" s="25" t="n">
        <f aca="false">(F379*F381+F380*F382)</f>
        <v>1313.19444444444</v>
      </c>
      <c r="G383" s="25" t="n">
        <f aca="false">(G379*G381+G380*G382)</f>
        <v>1490.76388888889</v>
      </c>
      <c r="K383" s="4" t="s">
        <v>379</v>
      </c>
    </row>
    <row r="384" customFormat="false" ht="17.15" hidden="false" customHeight="false" outlineLevel="0" collapsed="false">
      <c r="A384" s="4" t="s">
        <v>380</v>
      </c>
      <c r="B384" s="0" t="s">
        <v>117</v>
      </c>
      <c r="E384" s="25" t="n">
        <f aca="false">0.5*D383+0.5*E383</f>
        <v>882.743055555556</v>
      </c>
      <c r="F384" s="25" t="n">
        <f aca="false">0.5*E383+0.5*F383</f>
        <v>1241.59722222222</v>
      </c>
      <c r="G384" s="25" t="n">
        <f aca="false">0.5*F383+0.5*G383</f>
        <v>1401.97916666667</v>
      </c>
      <c r="K384" s="4" t="s">
        <v>381</v>
      </c>
    </row>
    <row r="385" customFormat="false" ht="17.15" hidden="false" customHeight="false" outlineLevel="0" collapsed="false">
      <c r="A385" s="0" t="s">
        <v>382</v>
      </c>
      <c r="B385" s="0" t="s">
        <v>117</v>
      </c>
      <c r="E385" s="25" t="n">
        <f aca="false">0.5*D383+0.5*(uo_27*v_gb+un_27*v_vr)</f>
        <v>882.743055555556</v>
      </c>
      <c r="K385" s="4" t="s">
        <v>383</v>
      </c>
    </row>
    <row r="386" customFormat="false" ht="17.15" hidden="false" customHeight="false" outlineLevel="0" collapsed="false">
      <c r="A386" s="4" t="s">
        <v>384</v>
      </c>
      <c r="B386" s="0" t="s">
        <v>99</v>
      </c>
      <c r="D386" s="17" t="n">
        <f aca="false">a26_aih2/(0.5*D383)</f>
        <v>0.0499294936443149</v>
      </c>
      <c r="K386" s="8" t="s">
        <v>385</v>
      </c>
    </row>
    <row r="387" customFormat="false" ht="17.15" hidden="false" customHeight="false" outlineLevel="0" collapsed="false">
      <c r="A387" s="0" t="s">
        <v>386</v>
      </c>
      <c r="B387" s="0" t="s">
        <v>117</v>
      </c>
      <c r="E387" s="25" t="n">
        <f aca="false">g27_hi</f>
        <v>72</v>
      </c>
      <c r="K387" s="8" t="s">
        <v>387</v>
      </c>
    </row>
    <row r="388" customFormat="false" ht="17.15" hidden="false" customHeight="false" outlineLevel="0" collapsed="false">
      <c r="A388" s="4" t="s">
        <v>388</v>
      </c>
      <c r="B388" s="0" t="s">
        <v>66</v>
      </c>
      <c r="E388" s="20" t="n">
        <f aca="false">1</f>
        <v>1</v>
      </c>
      <c r="F388" s="20" t="n">
        <f aca="false">rel_28_hi*1</f>
        <v>1</v>
      </c>
      <c r="G388" s="20" t="n">
        <f aca="false">rel_29_hi*1</f>
        <v>1</v>
      </c>
      <c r="K388" s="8" t="s">
        <v>389</v>
      </c>
    </row>
    <row r="389" customFormat="false" ht="17.15" hidden="false" customHeight="false" outlineLevel="0" collapsed="false">
      <c r="A389" s="4" t="s">
        <v>390</v>
      </c>
      <c r="B389" s="0" t="s">
        <v>99</v>
      </c>
      <c r="E389" s="17" t="n">
        <f aca="false">(E387-E393)/E385</f>
        <v>0.0696416435825827</v>
      </c>
      <c r="F389" s="17" t="n">
        <f aca="false">$E389*F388</f>
        <v>0.0696416435825827</v>
      </c>
      <c r="G389" s="17" t="n">
        <f aca="false">$E389*G388</f>
        <v>0.0696416435825827</v>
      </c>
      <c r="K389" s="8" t="s">
        <v>391</v>
      </c>
    </row>
    <row r="390" customFormat="false" ht="17.15" hidden="false" customHeight="false" outlineLevel="0" collapsed="false">
      <c r="A390" s="0" t="s">
        <v>392</v>
      </c>
      <c r="B390" s="0" t="s">
        <v>66</v>
      </c>
      <c r="E390" s="20" t="n">
        <f aca="false">E389/D386</f>
        <v>1.39479971655015</v>
      </c>
      <c r="K390" s="8" t="s">
        <v>393</v>
      </c>
    </row>
    <row r="391" customFormat="false" ht="17.15" hidden="false" customHeight="false" outlineLevel="0" collapsed="false">
      <c r="A391" s="0" t="s">
        <v>394</v>
      </c>
      <c r="B391" s="0" t="s">
        <v>117</v>
      </c>
      <c r="C391" s="26" t="n">
        <f aca="false">a25_ai</f>
        <v>15.3804</v>
      </c>
      <c r="D391" s="26" t="n">
        <f aca="false">a26_ai</f>
        <v>29.911415</v>
      </c>
      <c r="E391" s="26" t="n">
        <f aca="false">E384*E389</f>
        <v>61.47567725</v>
      </c>
      <c r="F391" s="26" t="n">
        <f aca="false">F384*F389</f>
        <v>86.4668712231247</v>
      </c>
      <c r="G391" s="26" t="n">
        <f aca="false">G384*G389</f>
        <v>97.6361334352064</v>
      </c>
    </row>
    <row r="392" customFormat="false" ht="17.15" hidden="false" customHeight="false" outlineLevel="0" collapsed="false">
      <c r="A392" s="6" t="s">
        <v>395</v>
      </c>
    </row>
    <row r="393" customFormat="false" ht="17.15" hidden="false" customHeight="false" outlineLevel="0" collapsed="false">
      <c r="A393" s="4" t="s">
        <v>310</v>
      </c>
      <c r="B393" s="0" t="s">
        <v>117</v>
      </c>
      <c r="C393" s="26" t="n">
        <f aca="false">a25_nai</f>
        <v>6.5916</v>
      </c>
      <c r="D393" s="26" t="n">
        <f aca="false">a26_nai</f>
        <v>9.151585</v>
      </c>
      <c r="E393" s="26" t="n">
        <f aca="false">D393*(1+g_nai27)</f>
        <v>10.52432275</v>
      </c>
      <c r="F393" s="26" t="n">
        <f aca="false">E393*(1+g_nai28)</f>
        <v>11.36626857</v>
      </c>
      <c r="G393" s="26" t="n">
        <f aca="false">F393*(1+g_nai29)</f>
        <v>12.0482446842</v>
      </c>
    </row>
    <row r="394" customFormat="false" ht="17.15" hidden="false" customHeight="false" outlineLevel="0" collapsed="false">
      <c r="A394" s="4" t="s">
        <v>282</v>
      </c>
      <c r="B394" s="0" t="s">
        <v>117</v>
      </c>
      <c r="C394" s="26" t="n">
        <f aca="false">C391+C393</f>
        <v>21.972</v>
      </c>
      <c r="D394" s="26" t="n">
        <f aca="false">D391+D393</f>
        <v>39.063</v>
      </c>
      <c r="E394" s="26" t="n">
        <f aca="false">E391+E393</f>
        <v>72</v>
      </c>
      <c r="F394" s="26" t="n">
        <f aca="false">F391+F393</f>
        <v>97.8331397931247</v>
      </c>
      <c r="G394" s="26" t="n">
        <f aca="false">G391+G393</f>
        <v>109.684378119406</v>
      </c>
      <c r="H394" s="27" t="n">
        <f aca="false">G394*(1+H395)</f>
        <v>120.735975578256</v>
      </c>
      <c r="I394" s="27" t="n">
        <f aca="false">H394*(1+I395)</f>
        <v>130.440622954982</v>
      </c>
      <c r="J394" s="27" t="n">
        <f aca="false">I394*(1+J395)</f>
        <v>138.267060332281</v>
      </c>
      <c r="K394" s="8" t="s">
        <v>396</v>
      </c>
    </row>
    <row r="395" customFormat="false" ht="15" hidden="false" customHeight="false" outlineLevel="0" collapsed="false">
      <c r="A395" s="4" t="s">
        <v>397</v>
      </c>
      <c r="B395" s="0" t="s">
        <v>99</v>
      </c>
      <c r="D395" s="18" t="n">
        <f aca="false">D394/C394-1</f>
        <v>0.777853631895139</v>
      </c>
      <c r="E395" s="18" t="n">
        <f aca="false">E394/D394-1</f>
        <v>0.843176407341986</v>
      </c>
      <c r="F395" s="18" t="n">
        <f aca="false">F394/E394-1</f>
        <v>0.358793608237844</v>
      </c>
      <c r="G395" s="18" t="n">
        <f aca="false">G394/F394-1</f>
        <v>0.121137258308809</v>
      </c>
      <c r="H395" s="28" t="n">
        <f aca="false">$G395+(fade_gA-$G395)*1/3</f>
        <v>0.100758172205873</v>
      </c>
      <c r="I395" s="28" t="n">
        <f aca="false">$G395+(fade_gA-$G395)*2/3</f>
        <v>0.0803790861029364</v>
      </c>
      <c r="J395" s="28" t="n">
        <f aca="false">$G395+(fade_gA-$G395)*3/3</f>
        <v>0.06</v>
      </c>
    </row>
    <row r="396" customFormat="false" ht="17.15" hidden="false" customHeight="false" outlineLevel="0" collapsed="false">
      <c r="A396" s="0" t="s">
        <v>398</v>
      </c>
      <c r="B396" s="0" t="s">
        <v>99</v>
      </c>
      <c r="C396" s="18" t="n">
        <f aca="false">C391/C394</f>
        <v>0.7</v>
      </c>
      <c r="D396" s="18" t="n">
        <f aca="false">D391/D394</f>
        <v>0.765722422752989</v>
      </c>
      <c r="E396" s="18" t="n">
        <f aca="false">E391/E394</f>
        <v>0.853828850694445</v>
      </c>
      <c r="F396" s="18" t="n">
        <f aca="false">F391/F394</f>
        <v>0.883819852924737</v>
      </c>
      <c r="G396" s="18" t="n">
        <f aca="false">G391/G394</f>
        <v>0.890155326667542</v>
      </c>
    </row>
    <row r="397" customFormat="false" ht="17.15" hidden="false" customHeight="false" outlineLevel="0" collapsed="false">
      <c r="A397" s="4" t="s">
        <v>399</v>
      </c>
      <c r="B397" s="4" t="s">
        <v>27</v>
      </c>
      <c r="E397" s="20" t="n">
        <f aca="false">E391/((0.5*(D379*D381+D380*D382)+0.5*(E379*E381+E380*E382))/(0.5*(D379+D380)+0.5*(E379+E380)))</f>
        <v>0.680747066019746</v>
      </c>
      <c r="F397" s="20" t="n">
        <f aca="false">F391/((0.5*(E379*E381+E380*E382)+0.5*(F379*F381+F380*F382))/(0.5*(E379+E380)+0.5*(F379+F380)))</f>
        <v>0.790432654662314</v>
      </c>
      <c r="G397" s="20" t="n">
        <f aca="false">G391/((0.5*(F379*F381+F380*F382)+0.5*(G379*G381+G380*G382))/(0.5*(F379+F380)+0.5*(G379+G380)))</f>
        <v>0.849628051707509</v>
      </c>
      <c r="K397" s="4" t="s">
        <v>400</v>
      </c>
    </row>
    <row r="398" customFormat="false" ht="17.15" hidden="false" customHeight="false" outlineLevel="0" collapsed="false">
      <c r="A398" s="6" t="s">
        <v>401</v>
      </c>
    </row>
    <row r="399" customFormat="false" ht="17.15" hidden="false" customHeight="false" outlineLevel="0" collapsed="false">
      <c r="A399" s="0" t="s">
        <v>402</v>
      </c>
      <c r="B399" s="0" t="s">
        <v>99</v>
      </c>
      <c r="D399" s="17" t="n">
        <f aca="false">(a26_gp-gm_nai*a26_nai)/a26_ai</f>
        <v>0.0954338753281983</v>
      </c>
      <c r="K399" s="8" t="s">
        <v>403</v>
      </c>
    </row>
    <row r="400" customFormat="false" ht="17.15" hidden="false" customHeight="false" outlineLevel="0" collapsed="false">
      <c r="A400" s="0" t="s">
        <v>404</v>
      </c>
      <c r="B400" s="0" t="s">
        <v>99</v>
      </c>
      <c r="D400" s="17" t="n">
        <f aca="false">D399</f>
        <v>0.0954338753281983</v>
      </c>
      <c r="E400" s="17" t="n">
        <f aca="false">$D399+dgm_27</f>
        <v>0.100433875328198</v>
      </c>
      <c r="F400" s="17" t="n">
        <f aca="false">$D399+dgm_28</f>
        <v>0.0984338753281983</v>
      </c>
      <c r="G400" s="17" t="n">
        <f aca="false">$D399+dgm_28</f>
        <v>0.0984338753281983</v>
      </c>
      <c r="K400" s="8" t="s">
        <v>405</v>
      </c>
    </row>
    <row r="401" customFormat="false" ht="15" hidden="false" customHeight="false" outlineLevel="0" collapsed="false">
      <c r="A401" s="4" t="s">
        <v>406</v>
      </c>
      <c r="B401" s="0" t="s">
        <v>117</v>
      </c>
      <c r="C401" s="26" t="n">
        <f aca="false">a25_gp</f>
        <v>2.4299</v>
      </c>
      <c r="D401" s="26" t="n">
        <f aca="false">a26_gp</f>
        <v>4.2273</v>
      </c>
      <c r="E401" s="26" t="n">
        <f aca="false">E400*E391+gm_nai*E393</f>
        <v>7.75288891714306</v>
      </c>
      <c r="F401" s="26" t="n">
        <f aca="false">F400*F391+gm_nai*F393</f>
        <v>10.2162095074964</v>
      </c>
      <c r="G401" s="26" t="n">
        <f aca="false">G400*G391+gm_nai*G393</f>
        <v>11.4179396887184</v>
      </c>
    </row>
    <row r="402" customFormat="false" ht="15" hidden="false" customHeight="false" outlineLevel="0" collapsed="false">
      <c r="A402" s="4" t="s">
        <v>288</v>
      </c>
      <c r="B402" s="0" t="s">
        <v>99</v>
      </c>
      <c r="C402" s="17" t="n">
        <f aca="false">C401/C394</f>
        <v>0.110590751866011</v>
      </c>
      <c r="D402" s="17" t="n">
        <f aca="false">D401/D394</f>
        <v>0.108217494816066</v>
      </c>
      <c r="E402" s="17" t="n">
        <f aca="false">E401/E394</f>
        <v>0.107679012738098</v>
      </c>
      <c r="F402" s="17" t="n">
        <f aca="false">F401/F394</f>
        <v>0.10442483527667</v>
      </c>
      <c r="G402" s="17" t="n">
        <f aca="false">G401/G394</f>
        <v>0.104098139447793</v>
      </c>
    </row>
    <row r="403" customFormat="false" ht="15" hidden="false" customHeight="false" outlineLevel="0" collapsed="false">
      <c r="A403" s="4" t="s">
        <v>407</v>
      </c>
      <c r="B403" s="0" t="s">
        <v>117</v>
      </c>
      <c r="C403" s="26" t="n">
        <f aca="false">a25_opx</f>
        <v>1.1769</v>
      </c>
      <c r="D403" s="26" t="n">
        <f aca="false">a26_opx</f>
        <v>1.4568</v>
      </c>
      <c r="E403" s="26" t="n">
        <f aca="false">D403*(1+MAX(0,phi*E395))</f>
        <v>1.94813575608632</v>
      </c>
      <c r="F403" s="26" t="n">
        <f aca="false">E403*(1+MAX(0,phi*F395))</f>
        <v>2.22772721899167</v>
      </c>
      <c r="G403" s="26" t="n">
        <f aca="false">F403*(1+MAX(0,phi*G395))</f>
        <v>2.33567152601909</v>
      </c>
    </row>
    <row r="404" customFormat="false" ht="15" hidden="false" customHeight="false" outlineLevel="0" collapsed="false">
      <c r="A404" s="4" t="s">
        <v>408</v>
      </c>
      <c r="B404" s="0" t="s">
        <v>117</v>
      </c>
      <c r="C404" s="26" t="n">
        <f aca="false">C403</f>
        <v>1.1769</v>
      </c>
      <c r="D404" s="26" t="n">
        <f aca="false">D403</f>
        <v>1.4568</v>
      </c>
      <c r="E404" s="26" t="n">
        <f aca="false">E403+0*E394</f>
        <v>1.94813575608632</v>
      </c>
      <c r="F404" s="26" t="n">
        <f aca="false">F403+0*F394</f>
        <v>2.22772721899167</v>
      </c>
      <c r="G404" s="26" t="n">
        <f aca="false">G403+0*G394</f>
        <v>2.33567152601909</v>
      </c>
    </row>
    <row r="405" customFormat="false" ht="15" hidden="false" customHeight="false" outlineLevel="0" collapsed="false">
      <c r="A405" s="4" t="s">
        <v>291</v>
      </c>
      <c r="B405" s="0" t="s">
        <v>117</v>
      </c>
      <c r="C405" s="26" t="n">
        <f aca="false">C401-C404</f>
        <v>1.253</v>
      </c>
      <c r="D405" s="26" t="n">
        <f aca="false">D401-D404</f>
        <v>2.7705</v>
      </c>
      <c r="E405" s="26" t="n">
        <f aca="false">E401-E404</f>
        <v>5.80475316105673</v>
      </c>
      <c r="F405" s="26" t="n">
        <f aca="false">F401-F404</f>
        <v>7.98848228850476</v>
      </c>
      <c r="G405" s="26" t="n">
        <f aca="false">G401-G404</f>
        <v>9.08226816269934</v>
      </c>
    </row>
    <row r="406" customFormat="false" ht="15" hidden="false" customHeight="false" outlineLevel="0" collapsed="false">
      <c r="A406" s="4" t="s">
        <v>293</v>
      </c>
      <c r="B406" s="0" t="s">
        <v>99</v>
      </c>
      <c r="C406" s="17" t="n">
        <f aca="false">C405/C394</f>
        <v>0.0570271254323685</v>
      </c>
      <c r="D406" s="17" t="n">
        <f aca="false">D405/D394</f>
        <v>0.0709238921741801</v>
      </c>
      <c r="E406" s="17" t="n">
        <f aca="false">E405/E394</f>
        <v>0.0806215716813435</v>
      </c>
      <c r="F406" s="17" t="n">
        <f aca="false">F405/F394</f>
        <v>0.0816541542609896</v>
      </c>
      <c r="G406" s="17" t="n">
        <f aca="false">G405/G394</f>
        <v>0.0828036619108334</v>
      </c>
    </row>
    <row r="407" customFormat="false" ht="17.15" hidden="false" customHeight="false" outlineLevel="0" collapsed="false">
      <c r="A407" s="4" t="s">
        <v>167</v>
      </c>
      <c r="B407" s="0" t="s">
        <v>99</v>
      </c>
      <c r="C407" s="18" t="n">
        <f aca="false">a25_ni/a25_oi</f>
        <v>0.837110933758979</v>
      </c>
      <c r="D407" s="18" t="n">
        <f aca="false">a26_ni/a26_oi</f>
        <v>0.805089334055225</v>
      </c>
      <c r="E407" s="18" t="n">
        <f aca="false">nio_f</f>
        <v>0.75</v>
      </c>
      <c r="F407" s="18" t="n">
        <f aca="false">nio_f</f>
        <v>0.75</v>
      </c>
      <c r="G407" s="18" t="n">
        <f aca="false">nio_f</f>
        <v>0.75</v>
      </c>
    </row>
    <row r="408" customFormat="false" ht="15" hidden="false" customHeight="false" outlineLevel="0" collapsed="false">
      <c r="A408" s="4" t="s">
        <v>409</v>
      </c>
      <c r="B408" s="0" t="s">
        <v>117</v>
      </c>
      <c r="C408" s="26" t="n">
        <f aca="false">a25_ni</f>
        <v>1.0489</v>
      </c>
      <c r="D408" s="26" t="n">
        <f aca="false">a26_ni</f>
        <v>2.2305</v>
      </c>
      <c r="E408" s="26" t="n">
        <f aca="false">E405*E407</f>
        <v>4.35356487079255</v>
      </c>
      <c r="F408" s="26" t="n">
        <f aca="false">F405*F407</f>
        <v>5.99136171637857</v>
      </c>
      <c r="G408" s="26" t="n">
        <f aca="false">G405*G407</f>
        <v>6.8117011220245</v>
      </c>
    </row>
    <row r="409" customFormat="false" ht="17.15" hidden="false" customHeight="false" outlineLevel="0" collapsed="false">
      <c r="A409" s="4" t="s">
        <v>410</v>
      </c>
      <c r="B409" s="0" t="s">
        <v>117</v>
      </c>
      <c r="C409" s="16" t="n">
        <f aca="false">0</f>
        <v>0</v>
      </c>
      <c r="D409" s="16" t="n">
        <f aca="false">0</f>
        <v>0</v>
      </c>
      <c r="E409" s="16" t="n">
        <f aca="false">pref_div</f>
        <v>0.301875</v>
      </c>
      <c r="F409" s="16" t="n">
        <f aca="false">pref_div</f>
        <v>0.301875</v>
      </c>
      <c r="G409" s="16" t="n">
        <f aca="false">pref_div</f>
        <v>0.301875</v>
      </c>
      <c r="K409" s="8" t="s">
        <v>411</v>
      </c>
    </row>
    <row r="410" customFormat="false" ht="17.15" hidden="false" customHeight="false" outlineLevel="0" collapsed="false">
      <c r="A410" s="4" t="s">
        <v>359</v>
      </c>
      <c r="B410" s="0" t="s">
        <v>117</v>
      </c>
      <c r="C410" s="26" t="n">
        <f aca="false">C408-C409</f>
        <v>1.0489</v>
      </c>
      <c r="D410" s="26" t="n">
        <f aca="false">D408-D409</f>
        <v>2.2305</v>
      </c>
      <c r="E410" s="26" t="n">
        <f aca="false">E408-E409</f>
        <v>4.05168987079255</v>
      </c>
      <c r="F410" s="26" t="n">
        <f aca="false">F408-F409</f>
        <v>5.68948671637857</v>
      </c>
      <c r="G410" s="26" t="n">
        <f aca="false">G408-G409</f>
        <v>6.50982612202451</v>
      </c>
      <c r="H410" s="27" t="n">
        <f aca="false">H394*H415</f>
        <v>7.82045699203655</v>
      </c>
      <c r="I410" s="27" t="n">
        <f aca="false">I394*I415</f>
        <v>8.79739542397539</v>
      </c>
      <c r="J410" s="27" t="n">
        <f aca="false">J394*J415</f>
        <v>9.69447663018624</v>
      </c>
      <c r="K410" s="4" t="s">
        <v>412</v>
      </c>
    </row>
    <row r="411" customFormat="false" ht="17.15" hidden="false" customHeight="false" outlineLevel="0" collapsed="false">
      <c r="A411" s="4" t="s">
        <v>413</v>
      </c>
      <c r="B411" s="0" t="s">
        <v>99</v>
      </c>
      <c r="C411" s="17" t="n">
        <f aca="false">C408/C394</f>
        <v>0.0477380302202804</v>
      </c>
      <c r="D411" s="17" t="n">
        <f aca="false">D408/D394</f>
        <v>0.0571000691191153</v>
      </c>
      <c r="E411" s="17" t="n">
        <f aca="false">E408/E394</f>
        <v>0.0604661787610076</v>
      </c>
      <c r="F411" s="17" t="n">
        <f aca="false">F408/F394</f>
        <v>0.0612406156957422</v>
      </c>
      <c r="G411" s="17" t="n">
        <f aca="false">G408/G394</f>
        <v>0.0621027464331251</v>
      </c>
      <c r="K411" s="4" t="s">
        <v>414</v>
      </c>
    </row>
    <row r="412" customFormat="false" ht="17.15" hidden="false" customHeight="false" outlineLevel="0" collapsed="false">
      <c r="A412" s="4" t="s">
        <v>415</v>
      </c>
      <c r="B412" s="4" t="s">
        <v>176</v>
      </c>
      <c r="C412" s="19" t="n">
        <f aca="false">a25_sh</f>
        <v>0.624345238095238</v>
      </c>
      <c r="D412" s="19" t="n">
        <f aca="false">a26_sh</f>
        <v>0.68420245398773</v>
      </c>
      <c r="E412" s="19" t="n">
        <f aca="false">sh27</f>
        <v>0.745</v>
      </c>
      <c r="F412" s="19" t="n">
        <f aca="false">E412*(1+sh_g)</f>
        <v>0.75245</v>
      </c>
      <c r="G412" s="19" t="n">
        <f aca="false">F412*(1+sh_g)</f>
        <v>0.7599745</v>
      </c>
      <c r="H412" s="31" t="n">
        <f aca="false">G412*(1+sh_g)+conv_sh</f>
        <v>0.91132712</v>
      </c>
      <c r="I412" s="31" t="n">
        <f aca="false">H412*(1+sh_g)</f>
        <v>0.9204403912</v>
      </c>
      <c r="J412" s="31" t="n">
        <f aca="false">I412*(1+sh_g)</f>
        <v>0.929644795112</v>
      </c>
    </row>
    <row r="413" customFormat="false" ht="17.15" hidden="false" customHeight="false" outlineLevel="0" collapsed="false">
      <c r="A413" s="0" t="s">
        <v>299</v>
      </c>
      <c r="B413" s="0" t="s">
        <v>189</v>
      </c>
      <c r="C413" s="26" t="n">
        <f aca="false">C410/C412</f>
        <v>1.68</v>
      </c>
      <c r="D413" s="26" t="n">
        <f aca="false">D410/D412</f>
        <v>3.26</v>
      </c>
      <c r="E413" s="26" t="n">
        <f aca="false">E410/E412</f>
        <v>5.43850989368128</v>
      </c>
      <c r="F413" s="26" t="n">
        <f aca="false">F410/F412</f>
        <v>7.56128210031042</v>
      </c>
      <c r="G413" s="26" t="n">
        <f aca="false">G410/G412</f>
        <v>8.5658480936196</v>
      </c>
      <c r="H413" s="30" t="n">
        <f aca="false">H410/H412</f>
        <v>8.58139390391076</v>
      </c>
      <c r="I413" s="30" t="n">
        <f aca="false">I410/I412</f>
        <v>9.55781113919394</v>
      </c>
      <c r="J413" s="30" t="n">
        <f aca="false">J410/J412</f>
        <v>10.4281513553984</v>
      </c>
    </row>
    <row r="414" customFormat="false" ht="17.15" hidden="false" customHeight="false" outlineLevel="0" collapsed="false">
      <c r="A414" s="0" t="s">
        <v>416</v>
      </c>
      <c r="B414" s="0" t="s">
        <v>99</v>
      </c>
      <c r="D414" s="18" t="n">
        <f aca="false">D413/C413-1</f>
        <v>0.940476190476191</v>
      </c>
      <c r="E414" s="18" t="n">
        <f aca="false">E413/D413-1</f>
        <v>0.668254568613888</v>
      </c>
      <c r="F414" s="18" t="n">
        <f aca="false">F413/E413-1</f>
        <v>0.390322394944153</v>
      </c>
      <c r="G414" s="18" t="n">
        <f aca="false">G413/F413-1</f>
        <v>0.132856568500193</v>
      </c>
      <c r="H414" s="28" t="n">
        <f aca="false">H413/G413-1</f>
        <v>0.00181485944196691</v>
      </c>
      <c r="I414" s="28" t="n">
        <f aca="false">I413/H413-1</f>
        <v>0.113783057416606</v>
      </c>
      <c r="J414" s="28" t="n">
        <f aca="false">J413/I413-1</f>
        <v>0.0910606208397864</v>
      </c>
    </row>
    <row r="415" customFormat="false" ht="17.15" hidden="false" customHeight="false" outlineLevel="0" collapsed="false">
      <c r="A415" s="4" t="s">
        <v>417</v>
      </c>
      <c r="B415" s="0" t="s">
        <v>99</v>
      </c>
      <c r="C415" s="17" t="n">
        <f aca="false">C410/C394</f>
        <v>0.0477380302202804</v>
      </c>
      <c r="D415" s="17" t="n">
        <f aca="false">D410/D394</f>
        <v>0.0571000691191153</v>
      </c>
      <c r="E415" s="17" t="n">
        <f aca="false">E410/E394</f>
        <v>0.0562734704276743</v>
      </c>
      <c r="F415" s="17" t="n">
        <f aca="false">F410/F394</f>
        <v>0.0581550048215707</v>
      </c>
      <c r="G415" s="17" t="n">
        <f aca="false">G410/G394</f>
        <v>0.0593505313485725</v>
      </c>
      <c r="H415" s="29" t="n">
        <f aca="false">$G411+(fade_mA-$G411)*1/3</f>
        <v>0.0647732124131277</v>
      </c>
      <c r="I415" s="29" t="n">
        <f aca="false">$G411+(fade_mA-$G411)*2/3</f>
        <v>0.0674436783931303</v>
      </c>
      <c r="J415" s="29" t="n">
        <f aca="false">$G411+(fade_mA-$G411)*3/3</f>
        <v>0.0701141443731329</v>
      </c>
    </row>
    <row r="418" customFormat="false" ht="17.15" hidden="false" customHeight="false" outlineLevel="0" collapsed="false">
      <c r="A418" s="1" t="s">
        <v>689</v>
      </c>
    </row>
    <row r="419" customFormat="false" ht="17.15" hidden="false" customHeight="false" outlineLevel="0" collapsed="false">
      <c r="A419" s="5" t="s">
        <v>16</v>
      </c>
      <c r="B419" s="5" t="s">
        <v>17</v>
      </c>
      <c r="C419" s="14" t="s">
        <v>276</v>
      </c>
      <c r="D419" s="14" t="s">
        <v>280</v>
      </c>
      <c r="E419" s="14" t="s">
        <v>348</v>
      </c>
      <c r="F419" s="14" t="s">
        <v>349</v>
      </c>
      <c r="G419" s="14" t="s">
        <v>350</v>
      </c>
      <c r="H419" s="14" t="s">
        <v>351</v>
      </c>
      <c r="I419" s="14" t="s">
        <v>352</v>
      </c>
      <c r="J419" s="14" t="s">
        <v>353</v>
      </c>
      <c r="K419" s="5" t="s">
        <v>324</v>
      </c>
    </row>
    <row r="420" customFormat="false" ht="17.15" hidden="false" customHeight="false" outlineLevel="0" collapsed="false">
      <c r="A420" s="6" t="s">
        <v>370</v>
      </c>
    </row>
    <row r="421" customFormat="false" ht="17.15" hidden="false" customHeight="false" outlineLevel="0" collapsed="false">
      <c r="A421" s="0" t="s">
        <v>371</v>
      </c>
      <c r="B421" s="4" t="s">
        <v>27</v>
      </c>
      <c r="D421" s="20" t="n">
        <f aca="false">uo_26</f>
        <v>6.65</v>
      </c>
      <c r="E421" s="20" t="n">
        <f aca="false">uo_27*mf</f>
        <v>2.4</v>
      </c>
      <c r="F421" s="20" t="n">
        <f aca="false">uo_28*um28_A*mf</f>
        <v>0.5</v>
      </c>
      <c r="G421" s="20" t="n">
        <f aca="false">uo_29*um29_A*mf</f>
        <v>0.25</v>
      </c>
      <c r="K421" s="8" t="s">
        <v>372</v>
      </c>
    </row>
    <row r="422" customFormat="false" ht="17.15" hidden="false" customHeight="false" outlineLevel="0" collapsed="false">
      <c r="A422" s="0" t="s">
        <v>373</v>
      </c>
      <c r="B422" s="4" t="s">
        <v>27</v>
      </c>
      <c r="D422" s="20" t="n">
        <f aca="false">un_26</f>
        <v>1.7</v>
      </c>
      <c r="E422" s="20" t="n">
        <f aca="false">un_27*mf</f>
        <v>8.8</v>
      </c>
      <c r="F422" s="20" t="n">
        <f aca="false">un_28*um28_A*mf</f>
        <v>11</v>
      </c>
      <c r="G422" s="20" t="n">
        <f aca="false">un_29*um29_A*mf</f>
        <v>12.65</v>
      </c>
      <c r="K422" s="8" t="s">
        <v>374</v>
      </c>
    </row>
    <row r="423" customFormat="false" ht="17.15" hidden="false" customHeight="false" outlineLevel="0" collapsed="false">
      <c r="A423" s="4" t="s">
        <v>375</v>
      </c>
      <c r="B423" s="4" t="s">
        <v>58</v>
      </c>
      <c r="D423" s="24" t="n">
        <f aca="false">v_gb</f>
        <v>59.7222222222222</v>
      </c>
      <c r="E423" s="24" t="n">
        <f aca="false">v_gb</f>
        <v>59.7222222222222</v>
      </c>
      <c r="F423" s="24" t="n">
        <f aca="false">v_gb</f>
        <v>59.7222222222222</v>
      </c>
      <c r="G423" s="24" t="n">
        <f aca="false">v_gb</f>
        <v>59.7222222222222</v>
      </c>
    </row>
    <row r="424" customFormat="false" ht="17.15" hidden="false" customHeight="false" outlineLevel="0" collapsed="false">
      <c r="A424" s="4" t="s">
        <v>376</v>
      </c>
      <c r="B424" s="4" t="s">
        <v>58</v>
      </c>
      <c r="D424" s="24" t="n">
        <f aca="false">v_vr</f>
        <v>116.666666666667</v>
      </c>
      <c r="E424" s="24" t="n">
        <f aca="false">v_vr</f>
        <v>116.666666666667</v>
      </c>
      <c r="F424" s="24" t="n">
        <f aca="false">v_vr*vpg_28</f>
        <v>116.666666666667</v>
      </c>
      <c r="G424" s="24" t="n">
        <f aca="false">v_vr*vpg_29</f>
        <v>116.666666666667</v>
      </c>
      <c r="K424" s="4" t="s">
        <v>377</v>
      </c>
    </row>
    <row r="425" customFormat="false" ht="17.15" hidden="false" customHeight="false" outlineLevel="0" collapsed="false">
      <c r="A425" s="4" t="s">
        <v>378</v>
      </c>
      <c r="B425" s="0" t="s">
        <v>117</v>
      </c>
      <c r="D425" s="25" t="n">
        <f aca="false">(D421*D423+D422*D424)</f>
        <v>595.486111111111</v>
      </c>
      <c r="E425" s="25" t="n">
        <f aca="false">(E421*E423+E422*E424)</f>
        <v>1170</v>
      </c>
      <c r="F425" s="25" t="n">
        <f aca="false">(F421*F423+F422*F424)</f>
        <v>1313.19444444444</v>
      </c>
      <c r="G425" s="25" t="n">
        <f aca="false">(G421*G423+G422*G424)</f>
        <v>1490.76388888889</v>
      </c>
      <c r="K425" s="4" t="s">
        <v>379</v>
      </c>
    </row>
    <row r="426" customFormat="false" ht="17.15" hidden="false" customHeight="false" outlineLevel="0" collapsed="false">
      <c r="A426" s="4" t="s">
        <v>380</v>
      </c>
      <c r="B426" s="0" t="s">
        <v>117</v>
      </c>
      <c r="E426" s="25" t="n">
        <f aca="false">0.5*D425+0.5*E425</f>
        <v>882.743055555556</v>
      </c>
      <c r="F426" s="25" t="n">
        <f aca="false">0.5*E425+0.5*F425</f>
        <v>1241.59722222222</v>
      </c>
      <c r="G426" s="25" t="n">
        <f aca="false">0.5*F425+0.5*G425</f>
        <v>1401.97916666667</v>
      </c>
      <c r="K426" s="4" t="s">
        <v>381</v>
      </c>
    </row>
    <row r="427" customFormat="false" ht="17.15" hidden="false" customHeight="false" outlineLevel="0" collapsed="false">
      <c r="A427" s="0" t="s">
        <v>382</v>
      </c>
      <c r="B427" s="0" t="s">
        <v>117</v>
      </c>
      <c r="E427" s="25" t="n">
        <f aca="false">0.5*D425+0.5*(uo_27*v_gb+un_27*v_vr)</f>
        <v>882.743055555556</v>
      </c>
      <c r="K427" s="4" t="s">
        <v>383</v>
      </c>
    </row>
    <row r="428" customFormat="false" ht="17.15" hidden="false" customHeight="false" outlineLevel="0" collapsed="false">
      <c r="A428" s="4" t="s">
        <v>384</v>
      </c>
      <c r="B428" s="0" t="s">
        <v>99</v>
      </c>
      <c r="D428" s="17" t="n">
        <f aca="false">a26_aih2/(0.5*D425)</f>
        <v>0.0499294936443149</v>
      </c>
      <c r="K428" s="8" t="s">
        <v>385</v>
      </c>
    </row>
    <row r="429" customFormat="false" ht="17.15" hidden="false" customHeight="false" outlineLevel="0" collapsed="false">
      <c r="A429" s="0" t="s">
        <v>386</v>
      </c>
      <c r="B429" s="0" t="s">
        <v>117</v>
      </c>
      <c r="E429" s="25" t="n">
        <f aca="false">g27_hi</f>
        <v>72</v>
      </c>
      <c r="K429" s="8" t="s">
        <v>387</v>
      </c>
    </row>
    <row r="430" customFormat="false" ht="17.15" hidden="false" customHeight="false" outlineLevel="0" collapsed="false">
      <c r="A430" s="4" t="s">
        <v>388</v>
      </c>
      <c r="B430" s="0" t="s">
        <v>66</v>
      </c>
      <c r="E430" s="20" t="n">
        <f aca="false">1</f>
        <v>1</v>
      </c>
      <c r="F430" s="20" t="n">
        <f aca="false">rel_28_hi*1</f>
        <v>1</v>
      </c>
      <c r="G430" s="20" t="n">
        <f aca="false">rel_29_hi*1</f>
        <v>1</v>
      </c>
      <c r="K430" s="8" t="s">
        <v>389</v>
      </c>
    </row>
    <row r="431" customFormat="false" ht="17.15" hidden="false" customHeight="false" outlineLevel="0" collapsed="false">
      <c r="A431" s="4" t="s">
        <v>390</v>
      </c>
      <c r="B431" s="0" t="s">
        <v>99</v>
      </c>
      <c r="E431" s="17" t="n">
        <f aca="false">(E429-E435)/E427</f>
        <v>0.0696416435825827</v>
      </c>
      <c r="F431" s="17" t="n">
        <f aca="false">$E431*F430</f>
        <v>0.0696416435825827</v>
      </c>
      <c r="G431" s="17" t="n">
        <f aca="false">$E431*G430</f>
        <v>0.0696416435825827</v>
      </c>
      <c r="K431" s="8" t="s">
        <v>391</v>
      </c>
    </row>
    <row r="432" customFormat="false" ht="17.15" hidden="false" customHeight="false" outlineLevel="0" collapsed="false">
      <c r="A432" s="0" t="s">
        <v>392</v>
      </c>
      <c r="B432" s="0" t="s">
        <v>66</v>
      </c>
      <c r="E432" s="20" t="n">
        <f aca="false">E431/D428</f>
        <v>1.39479971655015</v>
      </c>
      <c r="K432" s="8" t="s">
        <v>393</v>
      </c>
    </row>
    <row r="433" customFormat="false" ht="17.15" hidden="false" customHeight="false" outlineLevel="0" collapsed="false">
      <c r="A433" s="0" t="s">
        <v>394</v>
      </c>
      <c r="B433" s="0" t="s">
        <v>117</v>
      </c>
      <c r="C433" s="26" t="n">
        <f aca="false">a25_ai</f>
        <v>15.3804</v>
      </c>
      <c r="D433" s="26" t="n">
        <f aca="false">a26_ai</f>
        <v>29.911415</v>
      </c>
      <c r="E433" s="26" t="n">
        <f aca="false">E426*E431</f>
        <v>61.47567725</v>
      </c>
      <c r="F433" s="26" t="n">
        <f aca="false">F426*F431</f>
        <v>86.4668712231247</v>
      </c>
      <c r="G433" s="26" t="n">
        <f aca="false">G426*G431</f>
        <v>97.6361334352064</v>
      </c>
    </row>
    <row r="434" customFormat="false" ht="17.15" hidden="false" customHeight="false" outlineLevel="0" collapsed="false">
      <c r="A434" s="6" t="s">
        <v>395</v>
      </c>
    </row>
    <row r="435" customFormat="false" ht="17.15" hidden="false" customHeight="false" outlineLevel="0" collapsed="false">
      <c r="A435" s="4" t="s">
        <v>310</v>
      </c>
      <c r="B435" s="0" t="s">
        <v>117</v>
      </c>
      <c r="C435" s="26" t="n">
        <f aca="false">a25_nai</f>
        <v>6.5916</v>
      </c>
      <c r="D435" s="26" t="n">
        <f aca="false">a26_nai</f>
        <v>9.151585</v>
      </c>
      <c r="E435" s="26" t="n">
        <f aca="false">D435*(1+g_nai27)</f>
        <v>10.52432275</v>
      </c>
      <c r="F435" s="26" t="n">
        <f aca="false">E435*(1+g_nai28)</f>
        <v>11.36626857</v>
      </c>
      <c r="G435" s="26" t="n">
        <f aca="false">F435*(1+g_nai29)</f>
        <v>12.0482446842</v>
      </c>
    </row>
    <row r="436" customFormat="false" ht="17.15" hidden="false" customHeight="false" outlineLevel="0" collapsed="false">
      <c r="A436" s="4" t="s">
        <v>282</v>
      </c>
      <c r="B436" s="0" t="s">
        <v>117</v>
      </c>
      <c r="C436" s="26" t="n">
        <f aca="false">C433+C435</f>
        <v>21.972</v>
      </c>
      <c r="D436" s="26" t="n">
        <f aca="false">D433+D435</f>
        <v>39.063</v>
      </c>
      <c r="E436" s="26" t="n">
        <f aca="false">E433+E435</f>
        <v>72</v>
      </c>
      <c r="F436" s="26" t="n">
        <f aca="false">F433+F435</f>
        <v>97.8331397931247</v>
      </c>
      <c r="G436" s="26" t="n">
        <f aca="false">G433+G435</f>
        <v>109.684378119406</v>
      </c>
      <c r="H436" s="27" t="n">
        <f aca="false">G436*(1+H437)</f>
        <v>120.735975578256</v>
      </c>
      <c r="I436" s="27" t="n">
        <f aca="false">H436*(1+I437)</f>
        <v>130.440622954982</v>
      </c>
      <c r="J436" s="27" t="n">
        <f aca="false">I436*(1+J437)</f>
        <v>138.267060332281</v>
      </c>
      <c r="K436" s="8" t="s">
        <v>396</v>
      </c>
    </row>
    <row r="437" customFormat="false" ht="15" hidden="false" customHeight="false" outlineLevel="0" collapsed="false">
      <c r="A437" s="4" t="s">
        <v>397</v>
      </c>
      <c r="B437" s="0" t="s">
        <v>99</v>
      </c>
      <c r="D437" s="18" t="n">
        <f aca="false">D436/C436-1</f>
        <v>0.777853631895139</v>
      </c>
      <c r="E437" s="18" t="n">
        <f aca="false">E436/D436-1</f>
        <v>0.843176407341986</v>
      </c>
      <c r="F437" s="18" t="n">
        <f aca="false">F436/E436-1</f>
        <v>0.358793608237844</v>
      </c>
      <c r="G437" s="18" t="n">
        <f aca="false">G436/F436-1</f>
        <v>0.121137258308809</v>
      </c>
      <c r="H437" s="28" t="n">
        <f aca="false">$G437+(fade_gA-$G437)*1/3</f>
        <v>0.100758172205873</v>
      </c>
      <c r="I437" s="28" t="n">
        <f aca="false">$G437+(fade_gA-$G437)*2/3</f>
        <v>0.0803790861029364</v>
      </c>
      <c r="J437" s="28" t="n">
        <f aca="false">$G437+(fade_gA-$G437)*3/3</f>
        <v>0.06</v>
      </c>
    </row>
    <row r="438" customFormat="false" ht="17.15" hidden="false" customHeight="false" outlineLevel="0" collapsed="false">
      <c r="A438" s="0" t="s">
        <v>398</v>
      </c>
      <c r="B438" s="0" t="s">
        <v>99</v>
      </c>
      <c r="C438" s="18" t="n">
        <f aca="false">C433/C436</f>
        <v>0.7</v>
      </c>
      <c r="D438" s="18" t="n">
        <f aca="false">D433/D436</f>
        <v>0.765722422752989</v>
      </c>
      <c r="E438" s="18" t="n">
        <f aca="false">E433/E436</f>
        <v>0.853828850694445</v>
      </c>
      <c r="F438" s="18" t="n">
        <f aca="false">F433/F436</f>
        <v>0.883819852924737</v>
      </c>
      <c r="G438" s="18" t="n">
        <f aca="false">G433/G436</f>
        <v>0.890155326667542</v>
      </c>
    </row>
    <row r="439" customFormat="false" ht="17.15" hidden="false" customHeight="false" outlineLevel="0" collapsed="false">
      <c r="A439" s="4" t="s">
        <v>399</v>
      </c>
      <c r="B439" s="4" t="s">
        <v>27</v>
      </c>
      <c r="E439" s="20" t="n">
        <f aca="false">E433/((0.5*(D421*D423+D422*D424)+0.5*(E421*E423+E422*E424))/(0.5*(D421+D422)+0.5*(E421+E422)))</f>
        <v>0.680747066019746</v>
      </c>
      <c r="F439" s="20" t="n">
        <f aca="false">F433/((0.5*(E421*E423+E422*E424)+0.5*(F421*F423+F422*F424))/(0.5*(E421+E422)+0.5*(F421+F422)))</f>
        <v>0.790432654662314</v>
      </c>
      <c r="G439" s="20" t="n">
        <f aca="false">G433/((0.5*(F421*F423+F422*F424)+0.5*(G421*G423+G422*G424))/(0.5*(F421+F422)+0.5*(G421+G422)))</f>
        <v>0.849628051707509</v>
      </c>
      <c r="K439" s="4" t="s">
        <v>400</v>
      </c>
    </row>
    <row r="440" customFormat="false" ht="17.15" hidden="false" customHeight="false" outlineLevel="0" collapsed="false">
      <c r="A440" s="6" t="s">
        <v>401</v>
      </c>
    </row>
    <row r="441" customFormat="false" ht="17.15" hidden="false" customHeight="false" outlineLevel="0" collapsed="false">
      <c r="A441" s="0" t="s">
        <v>402</v>
      </c>
      <c r="B441" s="0" t="s">
        <v>99</v>
      </c>
      <c r="D441" s="17" t="n">
        <f aca="false">(a26_gp-gm_nai*a26_nai)/a26_ai</f>
        <v>0.0954338753281983</v>
      </c>
      <c r="K441" s="8" t="s">
        <v>403</v>
      </c>
    </row>
    <row r="442" customFormat="false" ht="17.15" hidden="false" customHeight="false" outlineLevel="0" collapsed="false">
      <c r="A442" s="0" t="s">
        <v>404</v>
      </c>
      <c r="B442" s="0" t="s">
        <v>99</v>
      </c>
      <c r="D442" s="17" t="n">
        <f aca="false">D441</f>
        <v>0.0954338753281983</v>
      </c>
      <c r="E442" s="17" t="n">
        <f aca="false">$D441+dgm_27_lo</f>
        <v>0.0904338753281983</v>
      </c>
      <c r="F442" s="17" t="n">
        <f aca="false">$D441+dgm_28_lo</f>
        <v>0.0804338753281983</v>
      </c>
      <c r="G442" s="17" t="n">
        <f aca="false">$D441+dgm_28_lo</f>
        <v>0.0804338753281983</v>
      </c>
      <c r="K442" s="8" t="s">
        <v>405</v>
      </c>
    </row>
    <row r="443" customFormat="false" ht="15" hidden="false" customHeight="false" outlineLevel="0" collapsed="false">
      <c r="A443" s="4" t="s">
        <v>406</v>
      </c>
      <c r="B443" s="0" t="s">
        <v>117</v>
      </c>
      <c r="C443" s="26" t="n">
        <f aca="false">a25_gp</f>
        <v>2.4299</v>
      </c>
      <c r="D443" s="26" t="n">
        <f aca="false">a26_gp</f>
        <v>4.2273</v>
      </c>
      <c r="E443" s="26" t="n">
        <f aca="false">E442*E433+gm_nai*E435</f>
        <v>7.13813214464306</v>
      </c>
      <c r="F443" s="26" t="n">
        <f aca="false">F442*F433+gm_nai*F435</f>
        <v>8.65980582548019</v>
      </c>
      <c r="G443" s="26" t="n">
        <f aca="false">G442*G433+gm_nai*G435</f>
        <v>9.66048928688472</v>
      </c>
    </row>
    <row r="444" customFormat="false" ht="15" hidden="false" customHeight="false" outlineLevel="0" collapsed="false">
      <c r="A444" s="4" t="s">
        <v>288</v>
      </c>
      <c r="B444" s="0" t="s">
        <v>99</v>
      </c>
      <c r="C444" s="17" t="n">
        <f aca="false">C443/C436</f>
        <v>0.110590751866011</v>
      </c>
      <c r="D444" s="17" t="n">
        <f aca="false">D443/D436</f>
        <v>0.108217494816066</v>
      </c>
      <c r="E444" s="17" t="n">
        <f aca="false">E443/E436</f>
        <v>0.0991407242311535</v>
      </c>
      <c r="F444" s="17" t="n">
        <f aca="false">F443/F436</f>
        <v>0.0885160779240243</v>
      </c>
      <c r="G444" s="17" t="n">
        <f aca="false">G443/G436</f>
        <v>0.0880753435677774</v>
      </c>
    </row>
    <row r="445" customFormat="false" ht="15" hidden="false" customHeight="false" outlineLevel="0" collapsed="false">
      <c r="A445" s="4" t="s">
        <v>407</v>
      </c>
      <c r="B445" s="0" t="s">
        <v>117</v>
      </c>
      <c r="C445" s="26" t="n">
        <f aca="false">a25_opx</f>
        <v>1.1769</v>
      </c>
      <c r="D445" s="26" t="n">
        <f aca="false">a26_opx</f>
        <v>1.4568</v>
      </c>
      <c r="E445" s="26" t="n">
        <f aca="false">D445*(1+MAX(0,phi*E437))</f>
        <v>1.94813575608632</v>
      </c>
      <c r="F445" s="26" t="n">
        <f aca="false">E445*(1+MAX(0,phi*F437))</f>
        <v>2.22772721899167</v>
      </c>
      <c r="G445" s="26" t="n">
        <f aca="false">F445*(1+MAX(0,phi*G437))</f>
        <v>2.33567152601909</v>
      </c>
    </row>
    <row r="446" customFormat="false" ht="15" hidden="false" customHeight="false" outlineLevel="0" collapsed="false">
      <c r="A446" s="4" t="s">
        <v>408</v>
      </c>
      <c r="B446" s="0" t="s">
        <v>117</v>
      </c>
      <c r="C446" s="26" t="n">
        <f aca="false">C445</f>
        <v>1.1769</v>
      </c>
      <c r="D446" s="26" t="n">
        <f aca="false">D445</f>
        <v>1.4568</v>
      </c>
      <c r="E446" s="26" t="n">
        <f aca="false">E445+0*E436</f>
        <v>1.94813575608632</v>
      </c>
      <c r="F446" s="26" t="n">
        <f aca="false">F445+0*F436</f>
        <v>2.22772721899167</v>
      </c>
      <c r="G446" s="26" t="n">
        <f aca="false">G445+0*G436</f>
        <v>2.33567152601909</v>
      </c>
    </row>
    <row r="447" customFormat="false" ht="15" hidden="false" customHeight="false" outlineLevel="0" collapsed="false">
      <c r="A447" s="4" t="s">
        <v>291</v>
      </c>
      <c r="B447" s="0" t="s">
        <v>117</v>
      </c>
      <c r="C447" s="26" t="n">
        <f aca="false">C443-C446</f>
        <v>1.253</v>
      </c>
      <c r="D447" s="26" t="n">
        <f aca="false">D443-D446</f>
        <v>2.7705</v>
      </c>
      <c r="E447" s="26" t="n">
        <f aca="false">E443-E446</f>
        <v>5.18999638855673</v>
      </c>
      <c r="F447" s="26" t="n">
        <f aca="false">F443-F446</f>
        <v>6.43207860648852</v>
      </c>
      <c r="G447" s="26" t="n">
        <f aca="false">G443-G446</f>
        <v>7.32481776086562</v>
      </c>
    </row>
    <row r="448" customFormat="false" ht="15" hidden="false" customHeight="false" outlineLevel="0" collapsed="false">
      <c r="A448" s="4" t="s">
        <v>293</v>
      </c>
      <c r="B448" s="0" t="s">
        <v>99</v>
      </c>
      <c r="C448" s="17" t="n">
        <f aca="false">C447/C436</f>
        <v>0.0570271254323685</v>
      </c>
      <c r="D448" s="17" t="n">
        <f aca="false">D447/D436</f>
        <v>0.0709238921741801</v>
      </c>
      <c r="E448" s="17" t="n">
        <f aca="false">E447/E436</f>
        <v>0.0720832831743991</v>
      </c>
      <c r="F448" s="17" t="n">
        <f aca="false">F447/F436</f>
        <v>0.0657453969083443</v>
      </c>
      <c r="G448" s="17" t="n">
        <f aca="false">G447/G436</f>
        <v>0.0667808660308177</v>
      </c>
    </row>
    <row r="449" customFormat="false" ht="17.15" hidden="false" customHeight="false" outlineLevel="0" collapsed="false">
      <c r="A449" s="4" t="s">
        <v>167</v>
      </c>
      <c r="B449" s="0" t="s">
        <v>99</v>
      </c>
      <c r="C449" s="18" t="n">
        <f aca="false">a25_ni/a25_oi</f>
        <v>0.837110933758979</v>
      </c>
      <c r="D449" s="18" t="n">
        <f aca="false">a26_ni/a26_oi</f>
        <v>0.805089334055225</v>
      </c>
      <c r="E449" s="18" t="n">
        <f aca="false">nio_f</f>
        <v>0.75</v>
      </c>
      <c r="F449" s="18" t="n">
        <f aca="false">nio_f</f>
        <v>0.75</v>
      </c>
      <c r="G449" s="18" t="n">
        <f aca="false">nio_f</f>
        <v>0.75</v>
      </c>
    </row>
    <row r="450" customFormat="false" ht="15" hidden="false" customHeight="false" outlineLevel="0" collapsed="false">
      <c r="A450" s="4" t="s">
        <v>409</v>
      </c>
      <c r="B450" s="0" t="s">
        <v>117</v>
      </c>
      <c r="C450" s="26" t="n">
        <f aca="false">a25_ni</f>
        <v>1.0489</v>
      </c>
      <c r="D450" s="26" t="n">
        <f aca="false">a26_ni</f>
        <v>2.2305</v>
      </c>
      <c r="E450" s="26" t="n">
        <f aca="false">E447*E449</f>
        <v>3.89249729141755</v>
      </c>
      <c r="F450" s="26" t="n">
        <f aca="false">F447*F449</f>
        <v>4.82405895486639</v>
      </c>
      <c r="G450" s="26" t="n">
        <f aca="false">G447*G449</f>
        <v>5.49361332064922</v>
      </c>
    </row>
    <row r="451" customFormat="false" ht="17.15" hidden="false" customHeight="false" outlineLevel="0" collapsed="false">
      <c r="A451" s="4" t="s">
        <v>410</v>
      </c>
      <c r="B451" s="0" t="s">
        <v>117</v>
      </c>
      <c r="C451" s="16" t="n">
        <f aca="false">0</f>
        <v>0</v>
      </c>
      <c r="D451" s="16" t="n">
        <f aca="false">0</f>
        <v>0</v>
      </c>
      <c r="E451" s="16" t="n">
        <f aca="false">pref_div</f>
        <v>0.301875</v>
      </c>
      <c r="F451" s="16" t="n">
        <f aca="false">pref_div</f>
        <v>0.301875</v>
      </c>
      <c r="G451" s="16" t="n">
        <f aca="false">pref_div</f>
        <v>0.301875</v>
      </c>
      <c r="K451" s="8" t="s">
        <v>411</v>
      </c>
    </row>
    <row r="452" customFormat="false" ht="17.15" hidden="false" customHeight="false" outlineLevel="0" collapsed="false">
      <c r="A452" s="4" t="s">
        <v>359</v>
      </c>
      <c r="B452" s="0" t="s">
        <v>117</v>
      </c>
      <c r="C452" s="26" t="n">
        <f aca="false">C450-C451</f>
        <v>1.0489</v>
      </c>
      <c r="D452" s="26" t="n">
        <f aca="false">D450-D451</f>
        <v>2.2305</v>
      </c>
      <c r="E452" s="26" t="n">
        <f aca="false">E450-E451</f>
        <v>3.59062229141755</v>
      </c>
      <c r="F452" s="26" t="n">
        <f aca="false">F450-F451</f>
        <v>4.52218395486639</v>
      </c>
      <c r="G452" s="26" t="n">
        <f aca="false">G450-G451</f>
        <v>5.19173832064922</v>
      </c>
      <c r="H452" s="27" t="n">
        <f aca="false">H436*H457</f>
        <v>6.85319304600407</v>
      </c>
      <c r="I452" s="27" t="n">
        <f aca="false">I436*I457</f>
        <v>8.27488955495795</v>
      </c>
      <c r="J452" s="27" t="n">
        <f aca="false">J436*J457</f>
        <v>9.69447663018624</v>
      </c>
      <c r="K452" s="4" t="s">
        <v>412</v>
      </c>
    </row>
    <row r="453" customFormat="false" ht="17.15" hidden="false" customHeight="false" outlineLevel="0" collapsed="false">
      <c r="A453" s="4" t="s">
        <v>413</v>
      </c>
      <c r="B453" s="0" t="s">
        <v>99</v>
      </c>
      <c r="C453" s="17" t="n">
        <f aca="false">C450/C436</f>
        <v>0.0477380302202804</v>
      </c>
      <c r="D453" s="17" t="n">
        <f aca="false">D450/D436</f>
        <v>0.0571000691191153</v>
      </c>
      <c r="E453" s="17" t="n">
        <f aca="false">E450/E436</f>
        <v>0.0540624623807993</v>
      </c>
      <c r="F453" s="17" t="n">
        <f aca="false">F450/F436</f>
        <v>0.0493090476812582</v>
      </c>
      <c r="G453" s="17" t="n">
        <f aca="false">G450/G436</f>
        <v>0.0500856495231133</v>
      </c>
      <c r="K453" s="4" t="s">
        <v>414</v>
      </c>
    </row>
    <row r="454" customFormat="false" ht="17.15" hidden="false" customHeight="false" outlineLevel="0" collapsed="false">
      <c r="A454" s="4" t="s">
        <v>415</v>
      </c>
      <c r="B454" s="4" t="s">
        <v>176</v>
      </c>
      <c r="C454" s="19" t="n">
        <f aca="false">a25_sh</f>
        <v>0.624345238095238</v>
      </c>
      <c r="D454" s="19" t="n">
        <f aca="false">a26_sh</f>
        <v>0.68420245398773</v>
      </c>
      <c r="E454" s="19" t="n">
        <f aca="false">sh27</f>
        <v>0.745</v>
      </c>
      <c r="F454" s="19" t="n">
        <f aca="false">E454*(1+sh_g)</f>
        <v>0.75245</v>
      </c>
      <c r="G454" s="19" t="n">
        <f aca="false">F454*(1+sh_g)</f>
        <v>0.7599745</v>
      </c>
      <c r="H454" s="31" t="n">
        <f aca="false">G454*(1+sh_g)+conv_sh</f>
        <v>0.91132712</v>
      </c>
      <c r="I454" s="31" t="n">
        <f aca="false">H454*(1+sh_g)</f>
        <v>0.9204403912</v>
      </c>
      <c r="J454" s="31" t="n">
        <f aca="false">I454*(1+sh_g)</f>
        <v>0.929644795112</v>
      </c>
    </row>
    <row r="455" customFormat="false" ht="17.15" hidden="false" customHeight="false" outlineLevel="0" collapsed="false">
      <c r="A455" s="0" t="s">
        <v>299</v>
      </c>
      <c r="B455" s="0" t="s">
        <v>189</v>
      </c>
      <c r="C455" s="26" t="n">
        <f aca="false">C452/C454</f>
        <v>1.68</v>
      </c>
      <c r="D455" s="26" t="n">
        <f aca="false">D452/D454</f>
        <v>3.26</v>
      </c>
      <c r="E455" s="26" t="n">
        <f aca="false">E452/E454</f>
        <v>4.81962723680208</v>
      </c>
      <c r="F455" s="26" t="n">
        <f aca="false">F452/F454</f>
        <v>6.00994611584343</v>
      </c>
      <c r="G455" s="26" t="n">
        <f aca="false">G452/G454</f>
        <v>6.83146384602275</v>
      </c>
      <c r="H455" s="30" t="n">
        <f aca="false">H452/H454</f>
        <v>7.52001437859554</v>
      </c>
      <c r="I455" s="30" t="n">
        <f aca="false">I452/I454</f>
        <v>8.99014171267493</v>
      </c>
      <c r="J455" s="30" t="n">
        <f aca="false">J452/J454</f>
        <v>10.4281513553984</v>
      </c>
    </row>
    <row r="456" customFormat="false" ht="17.15" hidden="false" customHeight="false" outlineLevel="0" collapsed="false">
      <c r="A456" s="0" t="s">
        <v>416</v>
      </c>
      <c r="B456" s="0" t="s">
        <v>99</v>
      </c>
      <c r="D456" s="18" t="n">
        <f aca="false">D455/C455-1</f>
        <v>0.940476190476191</v>
      </c>
      <c r="E456" s="18" t="n">
        <f aca="false">E455/D455-1</f>
        <v>0.478413262822724</v>
      </c>
      <c r="F456" s="18" t="n">
        <f aca="false">F455/E455-1</f>
        <v>0.246973224392174</v>
      </c>
      <c r="G456" s="18" t="n">
        <f aca="false">G455/F455-1</f>
        <v>0.136693027582</v>
      </c>
      <c r="H456" s="28" t="n">
        <f aca="false">H455/G455-1</f>
        <v>0.100791067345495</v>
      </c>
      <c r="I456" s="28" t="n">
        <f aca="false">I455/H455-1</f>
        <v>0.195495282331355</v>
      </c>
      <c r="J456" s="28" t="n">
        <f aca="false">J455/I455-1</f>
        <v>0.159954057308801</v>
      </c>
    </row>
    <row r="457" customFormat="false" ht="17.15" hidden="false" customHeight="false" outlineLevel="0" collapsed="false">
      <c r="A457" s="4" t="s">
        <v>417</v>
      </c>
      <c r="B457" s="0" t="s">
        <v>99</v>
      </c>
      <c r="C457" s="17" t="n">
        <f aca="false">C452/C436</f>
        <v>0.0477380302202804</v>
      </c>
      <c r="D457" s="17" t="n">
        <f aca="false">D452/D436</f>
        <v>0.0571000691191153</v>
      </c>
      <c r="E457" s="17" t="n">
        <f aca="false">E452/E436</f>
        <v>0.049869754047466</v>
      </c>
      <c r="F457" s="17" t="n">
        <f aca="false">F452/F436</f>
        <v>0.0462234368070868</v>
      </c>
      <c r="G457" s="17" t="n">
        <f aca="false">G452/G436</f>
        <v>0.0473334344385607</v>
      </c>
      <c r="H457" s="29" t="n">
        <f aca="false">$G453+(fade_mA-$G453)*1/3</f>
        <v>0.0567618144731198</v>
      </c>
      <c r="I457" s="29" t="n">
        <f aca="false">$G453+(fade_mA-$G453)*2/3</f>
        <v>0.0634379794231264</v>
      </c>
      <c r="J457" s="29" t="n">
        <f aca="false">$G453+(fade_mA-$G453)*3/3</f>
        <v>0.0701141443731329</v>
      </c>
    </row>
    <row r="460" customFormat="false" ht="17.15" hidden="false" customHeight="false" outlineLevel="0" collapsed="false">
      <c r="A460" s="1" t="s">
        <v>690</v>
      </c>
    </row>
    <row r="461" customFormat="false" ht="17.15" hidden="false" customHeight="false" outlineLevel="0" collapsed="false">
      <c r="A461" s="5" t="s">
        <v>16</v>
      </c>
      <c r="B461" s="5" t="s">
        <v>17</v>
      </c>
      <c r="C461" s="14" t="s">
        <v>276</v>
      </c>
      <c r="D461" s="14" t="s">
        <v>280</v>
      </c>
      <c r="E461" s="14" t="s">
        <v>348</v>
      </c>
      <c r="F461" s="14" t="s">
        <v>349</v>
      </c>
      <c r="G461" s="14" t="s">
        <v>350</v>
      </c>
      <c r="H461" s="14" t="s">
        <v>351</v>
      </c>
      <c r="I461" s="14" t="s">
        <v>352</v>
      </c>
      <c r="J461" s="14" t="s">
        <v>353</v>
      </c>
      <c r="K461" s="5" t="s">
        <v>324</v>
      </c>
    </row>
    <row r="462" customFormat="false" ht="17.15" hidden="false" customHeight="false" outlineLevel="0" collapsed="false">
      <c r="A462" s="6" t="s">
        <v>370</v>
      </c>
    </row>
    <row r="463" customFormat="false" ht="17.15" hidden="false" customHeight="false" outlineLevel="0" collapsed="false">
      <c r="A463" s="0" t="s">
        <v>371</v>
      </c>
      <c r="B463" s="4" t="s">
        <v>27</v>
      </c>
      <c r="D463" s="20" t="n">
        <f aca="false">uo_26</f>
        <v>6.65</v>
      </c>
      <c r="E463" s="20" t="n">
        <f aca="false">uo_27*mf</f>
        <v>2.4</v>
      </c>
      <c r="F463" s="20" t="n">
        <f aca="false">uo_28*um28_A*mf</f>
        <v>0.5</v>
      </c>
      <c r="G463" s="20" t="n">
        <f aca="false">uo_29*um29_A*mf</f>
        <v>0.25</v>
      </c>
      <c r="K463" s="8" t="s">
        <v>372</v>
      </c>
    </row>
    <row r="464" customFormat="false" ht="17.15" hidden="false" customHeight="false" outlineLevel="0" collapsed="false">
      <c r="A464" s="0" t="s">
        <v>373</v>
      </c>
      <c r="B464" s="4" t="s">
        <v>27</v>
      </c>
      <c r="D464" s="20" t="n">
        <f aca="false">un_26</f>
        <v>1.7</v>
      </c>
      <c r="E464" s="20" t="n">
        <f aca="false">un_27*mf</f>
        <v>8.8</v>
      </c>
      <c r="F464" s="20" t="n">
        <f aca="false">un_28*um28_A*mf</f>
        <v>11</v>
      </c>
      <c r="G464" s="20" t="n">
        <f aca="false">un_29*um29_A*mf</f>
        <v>12.65</v>
      </c>
      <c r="K464" s="8" t="s">
        <v>374</v>
      </c>
    </row>
    <row r="465" customFormat="false" ht="17.15" hidden="false" customHeight="false" outlineLevel="0" collapsed="false">
      <c r="A465" s="4" t="s">
        <v>375</v>
      </c>
      <c r="B465" s="4" t="s">
        <v>58</v>
      </c>
      <c r="D465" s="24" t="n">
        <f aca="false">v_gb</f>
        <v>59.7222222222222</v>
      </c>
      <c r="E465" s="24" t="n">
        <f aca="false">v_gb</f>
        <v>59.7222222222222</v>
      </c>
      <c r="F465" s="24" t="n">
        <f aca="false">v_gb</f>
        <v>59.7222222222222</v>
      </c>
      <c r="G465" s="24" t="n">
        <f aca="false">v_gb</f>
        <v>59.7222222222222</v>
      </c>
    </row>
    <row r="466" customFormat="false" ht="17.15" hidden="false" customHeight="false" outlineLevel="0" collapsed="false">
      <c r="A466" s="4" t="s">
        <v>376</v>
      </c>
      <c r="B466" s="4" t="s">
        <v>58</v>
      </c>
      <c r="D466" s="24" t="n">
        <f aca="false">v_vr</f>
        <v>116.666666666667</v>
      </c>
      <c r="E466" s="24" t="n">
        <f aca="false">v_vr</f>
        <v>116.666666666667</v>
      </c>
      <c r="F466" s="24" t="n">
        <f aca="false">v_vr*vpg_28</f>
        <v>116.666666666667</v>
      </c>
      <c r="G466" s="24" t="n">
        <f aca="false">v_vr*vpg_29</f>
        <v>116.666666666667</v>
      </c>
      <c r="K466" s="4" t="s">
        <v>377</v>
      </c>
    </row>
    <row r="467" customFormat="false" ht="17.15" hidden="false" customHeight="false" outlineLevel="0" collapsed="false">
      <c r="A467" s="4" t="s">
        <v>378</v>
      </c>
      <c r="B467" s="0" t="s">
        <v>117</v>
      </c>
      <c r="D467" s="25" t="n">
        <f aca="false">(D463*D465+D464*D466)</f>
        <v>595.486111111111</v>
      </c>
      <c r="E467" s="25" t="n">
        <f aca="false">(E463*E465+E464*E466)</f>
        <v>1170</v>
      </c>
      <c r="F467" s="25" t="n">
        <f aca="false">(F463*F465+F464*F466)</f>
        <v>1313.19444444444</v>
      </c>
      <c r="G467" s="25" t="n">
        <f aca="false">(G463*G465+G464*G466)</f>
        <v>1490.76388888889</v>
      </c>
      <c r="K467" s="4" t="s">
        <v>379</v>
      </c>
    </row>
    <row r="468" customFormat="false" ht="17.15" hidden="false" customHeight="false" outlineLevel="0" collapsed="false">
      <c r="A468" s="4" t="s">
        <v>380</v>
      </c>
      <c r="B468" s="0" t="s">
        <v>117</v>
      </c>
      <c r="E468" s="25" t="n">
        <f aca="false">0.5*D467+0.5*E467</f>
        <v>882.743055555556</v>
      </c>
      <c r="F468" s="25" t="n">
        <f aca="false">0.5*E467+0.5*F467</f>
        <v>1241.59722222222</v>
      </c>
      <c r="G468" s="25" t="n">
        <f aca="false">0.5*F467+0.5*G467</f>
        <v>1401.97916666667</v>
      </c>
      <c r="K468" s="4" t="s">
        <v>381</v>
      </c>
    </row>
    <row r="469" customFormat="false" ht="17.15" hidden="false" customHeight="false" outlineLevel="0" collapsed="false">
      <c r="A469" s="0" t="s">
        <v>382</v>
      </c>
      <c r="B469" s="0" t="s">
        <v>117</v>
      </c>
      <c r="E469" s="25" t="n">
        <f aca="false">0.5*D467+0.5*(uo_27*v_gb+un_27*v_vr)</f>
        <v>882.743055555556</v>
      </c>
      <c r="K469" s="4" t="s">
        <v>383</v>
      </c>
    </row>
    <row r="470" customFormat="false" ht="17.15" hidden="false" customHeight="false" outlineLevel="0" collapsed="false">
      <c r="A470" s="4" t="s">
        <v>384</v>
      </c>
      <c r="B470" s="0" t="s">
        <v>99</v>
      </c>
      <c r="D470" s="17" t="n">
        <f aca="false">a26_aih2/(0.5*D467)</f>
        <v>0.0499294936443149</v>
      </c>
      <c r="K470" s="8" t="s">
        <v>385</v>
      </c>
    </row>
    <row r="471" customFormat="false" ht="17.15" hidden="false" customHeight="false" outlineLevel="0" collapsed="false">
      <c r="A471" s="0" t="s">
        <v>386</v>
      </c>
      <c r="B471" s="0" t="s">
        <v>117</v>
      </c>
      <c r="E471" s="25" t="n">
        <f aca="false">g27_hi</f>
        <v>72</v>
      </c>
      <c r="K471" s="8" t="s">
        <v>387</v>
      </c>
    </row>
    <row r="472" customFormat="false" ht="17.15" hidden="false" customHeight="false" outlineLevel="0" collapsed="false">
      <c r="A472" s="4" t="s">
        <v>388</v>
      </c>
      <c r="B472" s="0" t="s">
        <v>66</v>
      </c>
      <c r="E472" s="20" t="n">
        <f aca="false">1</f>
        <v>1</v>
      </c>
      <c r="F472" s="20" t="n">
        <f aca="false">rel_28_hi*1</f>
        <v>1</v>
      </c>
      <c r="G472" s="20" t="n">
        <f aca="false">rel_29_hi*1</f>
        <v>1</v>
      </c>
      <c r="K472" s="8" t="s">
        <v>389</v>
      </c>
    </row>
    <row r="473" customFormat="false" ht="17.15" hidden="false" customHeight="false" outlineLevel="0" collapsed="false">
      <c r="A473" s="4" t="s">
        <v>390</v>
      </c>
      <c r="B473" s="0" t="s">
        <v>99</v>
      </c>
      <c r="E473" s="17" t="n">
        <f aca="false">(E471-E477)/E469</f>
        <v>0.0696416435825827</v>
      </c>
      <c r="F473" s="17" t="n">
        <f aca="false">$E473*F472</f>
        <v>0.0696416435825827</v>
      </c>
      <c r="G473" s="17" t="n">
        <f aca="false">$E473*G472</f>
        <v>0.0696416435825827</v>
      </c>
      <c r="K473" s="8" t="s">
        <v>391</v>
      </c>
    </row>
    <row r="474" customFormat="false" ht="17.15" hidden="false" customHeight="false" outlineLevel="0" collapsed="false">
      <c r="A474" s="0" t="s">
        <v>392</v>
      </c>
      <c r="B474" s="0" t="s">
        <v>66</v>
      </c>
      <c r="E474" s="20" t="n">
        <f aca="false">E473/D470</f>
        <v>1.39479971655015</v>
      </c>
      <c r="K474" s="8" t="s">
        <v>393</v>
      </c>
    </row>
    <row r="475" customFormat="false" ht="17.15" hidden="false" customHeight="false" outlineLevel="0" collapsed="false">
      <c r="A475" s="0" t="s">
        <v>394</v>
      </c>
      <c r="B475" s="0" t="s">
        <v>117</v>
      </c>
      <c r="C475" s="26" t="n">
        <f aca="false">a25_ai</f>
        <v>15.3804</v>
      </c>
      <c r="D475" s="26" t="n">
        <f aca="false">a26_ai</f>
        <v>29.911415</v>
      </c>
      <c r="E475" s="26" t="n">
        <f aca="false">E468*E473</f>
        <v>61.47567725</v>
      </c>
      <c r="F475" s="26" t="n">
        <f aca="false">F468*F473</f>
        <v>86.4668712231247</v>
      </c>
      <c r="G475" s="26" t="n">
        <f aca="false">G468*G473</f>
        <v>97.6361334352064</v>
      </c>
    </row>
    <row r="476" customFormat="false" ht="17.15" hidden="false" customHeight="false" outlineLevel="0" collapsed="false">
      <c r="A476" s="6" t="s">
        <v>395</v>
      </c>
    </row>
    <row r="477" customFormat="false" ht="17.15" hidden="false" customHeight="false" outlineLevel="0" collapsed="false">
      <c r="A477" s="4" t="s">
        <v>310</v>
      </c>
      <c r="B477" s="0" t="s">
        <v>117</v>
      </c>
      <c r="C477" s="26" t="n">
        <f aca="false">a25_nai</f>
        <v>6.5916</v>
      </c>
      <c r="D477" s="26" t="n">
        <f aca="false">a26_nai</f>
        <v>9.151585</v>
      </c>
      <c r="E477" s="26" t="n">
        <f aca="false">D477*(1+g_nai27)</f>
        <v>10.52432275</v>
      </c>
      <c r="F477" s="26" t="n">
        <f aca="false">E477*(1+g_nai28)</f>
        <v>11.36626857</v>
      </c>
      <c r="G477" s="26" t="n">
        <f aca="false">F477*(1+g_nai29)</f>
        <v>12.0482446842</v>
      </c>
    </row>
    <row r="478" customFormat="false" ht="17.15" hidden="false" customHeight="false" outlineLevel="0" collapsed="false">
      <c r="A478" s="4" t="s">
        <v>282</v>
      </c>
      <c r="B478" s="0" t="s">
        <v>117</v>
      </c>
      <c r="C478" s="26" t="n">
        <f aca="false">C475+C477</f>
        <v>21.972</v>
      </c>
      <c r="D478" s="26" t="n">
        <f aca="false">D475+D477</f>
        <v>39.063</v>
      </c>
      <c r="E478" s="26" t="n">
        <f aca="false">E475+E477</f>
        <v>72</v>
      </c>
      <c r="F478" s="26" t="n">
        <f aca="false">F475+F477</f>
        <v>97.8331397931247</v>
      </c>
      <c r="G478" s="26" t="n">
        <f aca="false">G475+G477</f>
        <v>109.684378119406</v>
      </c>
      <c r="H478" s="27" t="n">
        <f aca="false">G478*(1+H479)</f>
        <v>120.735975578256</v>
      </c>
      <c r="I478" s="27" t="n">
        <f aca="false">H478*(1+I479)</f>
        <v>130.440622954982</v>
      </c>
      <c r="J478" s="27" t="n">
        <f aca="false">I478*(1+J479)</f>
        <v>138.267060332281</v>
      </c>
      <c r="K478" s="8" t="s">
        <v>396</v>
      </c>
    </row>
    <row r="479" customFormat="false" ht="15" hidden="false" customHeight="false" outlineLevel="0" collapsed="false">
      <c r="A479" s="4" t="s">
        <v>397</v>
      </c>
      <c r="B479" s="0" t="s">
        <v>99</v>
      </c>
      <c r="D479" s="18" t="n">
        <f aca="false">D478/C478-1</f>
        <v>0.777853631895139</v>
      </c>
      <c r="E479" s="18" t="n">
        <f aca="false">E478/D478-1</f>
        <v>0.843176407341986</v>
      </c>
      <c r="F479" s="18" t="n">
        <f aca="false">F478/E478-1</f>
        <v>0.358793608237844</v>
      </c>
      <c r="G479" s="18" t="n">
        <f aca="false">G478/F478-1</f>
        <v>0.121137258308809</v>
      </c>
      <c r="H479" s="28" t="n">
        <f aca="false">$G479+(fade_gA-$G479)*1/3</f>
        <v>0.100758172205873</v>
      </c>
      <c r="I479" s="28" t="n">
        <f aca="false">$G479+(fade_gA-$G479)*2/3</f>
        <v>0.0803790861029364</v>
      </c>
      <c r="J479" s="28" t="n">
        <f aca="false">$G479+(fade_gA-$G479)*3/3</f>
        <v>0.06</v>
      </c>
    </row>
    <row r="480" customFormat="false" ht="17.15" hidden="false" customHeight="false" outlineLevel="0" collapsed="false">
      <c r="A480" s="0" t="s">
        <v>398</v>
      </c>
      <c r="B480" s="0" t="s">
        <v>99</v>
      </c>
      <c r="C480" s="18" t="n">
        <f aca="false">C475/C478</f>
        <v>0.7</v>
      </c>
      <c r="D480" s="18" t="n">
        <f aca="false">D475/D478</f>
        <v>0.765722422752989</v>
      </c>
      <c r="E480" s="18" t="n">
        <f aca="false">E475/E478</f>
        <v>0.853828850694445</v>
      </c>
      <c r="F480" s="18" t="n">
        <f aca="false">F475/F478</f>
        <v>0.883819852924737</v>
      </c>
      <c r="G480" s="18" t="n">
        <f aca="false">G475/G478</f>
        <v>0.890155326667542</v>
      </c>
    </row>
    <row r="481" customFormat="false" ht="17.15" hidden="false" customHeight="false" outlineLevel="0" collapsed="false">
      <c r="A481" s="4" t="s">
        <v>399</v>
      </c>
      <c r="B481" s="4" t="s">
        <v>27</v>
      </c>
      <c r="E481" s="20" t="n">
        <f aca="false">E475/((0.5*(D463*D465+D464*D466)+0.5*(E463*E465+E464*E466))/(0.5*(D463+D464)+0.5*(E463+E464)))</f>
        <v>0.680747066019746</v>
      </c>
      <c r="F481" s="20" t="n">
        <f aca="false">F475/((0.5*(E463*E465+E464*E466)+0.5*(F463*F465+F464*F466))/(0.5*(E463+E464)+0.5*(F463+F464)))</f>
        <v>0.790432654662314</v>
      </c>
      <c r="G481" s="20" t="n">
        <f aca="false">G475/((0.5*(F463*F465+F464*F466)+0.5*(G463*G465+G464*G466))/(0.5*(F463+F464)+0.5*(G463+G464)))</f>
        <v>0.849628051707509</v>
      </c>
      <c r="K481" s="4" t="s">
        <v>400</v>
      </c>
    </row>
    <row r="482" customFormat="false" ht="17.15" hidden="false" customHeight="false" outlineLevel="0" collapsed="false">
      <c r="A482" s="6" t="s">
        <v>401</v>
      </c>
    </row>
    <row r="483" customFormat="false" ht="17.15" hidden="false" customHeight="false" outlineLevel="0" collapsed="false">
      <c r="A483" s="0" t="s">
        <v>402</v>
      </c>
      <c r="B483" s="0" t="s">
        <v>99</v>
      </c>
      <c r="D483" s="17" t="n">
        <f aca="false">(a26_gp-gm_nai_lo*a26_nai)/a26_ai</f>
        <v>0.101553000752388</v>
      </c>
      <c r="K483" s="8" t="s">
        <v>403</v>
      </c>
    </row>
    <row r="484" customFormat="false" ht="17.15" hidden="false" customHeight="false" outlineLevel="0" collapsed="false">
      <c r="A484" s="0" t="s">
        <v>404</v>
      </c>
      <c r="B484" s="0" t="s">
        <v>99</v>
      </c>
      <c r="D484" s="17" t="n">
        <f aca="false">D483</f>
        <v>0.101553000752388</v>
      </c>
      <c r="E484" s="17" t="n">
        <f aca="false">$D483+dgm_27_hi</f>
        <v>0.116553000752388</v>
      </c>
      <c r="F484" s="17" t="n">
        <f aca="false">$D483+dgm_28_hi</f>
        <v>0.116553000752388</v>
      </c>
      <c r="G484" s="17" t="n">
        <f aca="false">$D483+dgm_28_hi</f>
        <v>0.116553000752388</v>
      </c>
      <c r="K484" s="8" t="s">
        <v>405</v>
      </c>
    </row>
    <row r="485" customFormat="false" ht="15" hidden="false" customHeight="false" outlineLevel="0" collapsed="false">
      <c r="A485" s="4" t="s">
        <v>406</v>
      </c>
      <c r="B485" s="0" t="s">
        <v>117</v>
      </c>
      <c r="C485" s="26" t="n">
        <f aca="false">a25_gp</f>
        <v>2.4299</v>
      </c>
      <c r="D485" s="26" t="n">
        <f aca="false">a26_gp</f>
        <v>4.2273</v>
      </c>
      <c r="E485" s="26" t="n">
        <f aca="false">E484*E475+gm_nai_lo*E477</f>
        <v>8.53333661427283</v>
      </c>
      <c r="F485" s="26" t="n">
        <f aca="false">F484*F475+gm_nai_lo*F477</f>
        <v>11.5555882208255</v>
      </c>
      <c r="G485" s="26" t="n">
        <f aca="false">G484*G475+gm_nai_lo*G477</f>
        <v>12.9460561426799</v>
      </c>
    </row>
    <row r="486" customFormat="false" ht="15" hidden="false" customHeight="false" outlineLevel="0" collapsed="false">
      <c r="A486" s="4" t="s">
        <v>288</v>
      </c>
      <c r="B486" s="0" t="s">
        <v>99</v>
      </c>
      <c r="C486" s="17" t="n">
        <f aca="false">C485/C478</f>
        <v>0.110590751866011</v>
      </c>
      <c r="D486" s="17" t="n">
        <f aca="false">D485/D478</f>
        <v>0.108217494816066</v>
      </c>
      <c r="E486" s="17" t="n">
        <f aca="false">E485/E478</f>
        <v>0.118518564087123</v>
      </c>
      <c r="F486" s="17" t="n">
        <f aca="false">F485/F478</f>
        <v>0.118115275102697</v>
      </c>
      <c r="G486" s="17" t="n">
        <f aca="false">G485/G478</f>
        <v>0.118030081992044</v>
      </c>
    </row>
    <row r="487" customFormat="false" ht="15" hidden="false" customHeight="false" outlineLevel="0" collapsed="false">
      <c r="A487" s="4" t="s">
        <v>407</v>
      </c>
      <c r="B487" s="0" t="s">
        <v>117</v>
      </c>
      <c r="C487" s="26" t="n">
        <f aca="false">a25_opx</f>
        <v>1.1769</v>
      </c>
      <c r="D487" s="26" t="n">
        <f aca="false">a26_opx</f>
        <v>1.4568</v>
      </c>
      <c r="E487" s="26" t="n">
        <f aca="false">D487*(1+MAX(0,phi*E479))</f>
        <v>1.94813575608632</v>
      </c>
      <c r="F487" s="26" t="n">
        <f aca="false">E487*(1+MAX(0,phi*F479))</f>
        <v>2.22772721899167</v>
      </c>
      <c r="G487" s="26" t="n">
        <f aca="false">F487*(1+MAX(0,phi*G479))</f>
        <v>2.33567152601909</v>
      </c>
    </row>
    <row r="488" customFormat="false" ht="15" hidden="false" customHeight="false" outlineLevel="0" collapsed="false">
      <c r="A488" s="4" t="s">
        <v>408</v>
      </c>
      <c r="B488" s="0" t="s">
        <v>117</v>
      </c>
      <c r="C488" s="26" t="n">
        <f aca="false">C487</f>
        <v>1.1769</v>
      </c>
      <c r="D488" s="26" t="n">
        <f aca="false">D487</f>
        <v>1.4568</v>
      </c>
      <c r="E488" s="26" t="n">
        <f aca="false">E487+0*E478</f>
        <v>1.94813575608632</v>
      </c>
      <c r="F488" s="26" t="n">
        <f aca="false">F487+0*F478</f>
        <v>2.22772721899167</v>
      </c>
      <c r="G488" s="26" t="n">
        <f aca="false">G487+0*G478</f>
        <v>2.33567152601909</v>
      </c>
    </row>
    <row r="489" customFormat="false" ht="15" hidden="false" customHeight="false" outlineLevel="0" collapsed="false">
      <c r="A489" s="4" t="s">
        <v>291</v>
      </c>
      <c r="B489" s="0" t="s">
        <v>117</v>
      </c>
      <c r="C489" s="26" t="n">
        <f aca="false">C485-C488</f>
        <v>1.253</v>
      </c>
      <c r="D489" s="26" t="n">
        <f aca="false">D485-D488</f>
        <v>2.7705</v>
      </c>
      <c r="E489" s="26" t="n">
        <f aca="false">E485-E488</f>
        <v>6.58520085818651</v>
      </c>
      <c r="F489" s="26" t="n">
        <f aca="false">F485-F488</f>
        <v>9.32786100183385</v>
      </c>
      <c r="G489" s="26" t="n">
        <f aca="false">G485-G488</f>
        <v>10.6103846166608</v>
      </c>
    </row>
    <row r="490" customFormat="false" ht="15" hidden="false" customHeight="false" outlineLevel="0" collapsed="false">
      <c r="A490" s="4" t="s">
        <v>293</v>
      </c>
      <c r="B490" s="0" t="s">
        <v>99</v>
      </c>
      <c r="C490" s="17" t="n">
        <f aca="false">C489/C478</f>
        <v>0.0570271254323685</v>
      </c>
      <c r="D490" s="17" t="n">
        <f aca="false">D489/D478</f>
        <v>0.0709238921741801</v>
      </c>
      <c r="E490" s="17" t="n">
        <f aca="false">E489/E478</f>
        <v>0.0914611230303682</v>
      </c>
      <c r="F490" s="17" t="n">
        <f aca="false">F489/F478</f>
        <v>0.0953445940870168</v>
      </c>
      <c r="G490" s="17" t="n">
        <f aca="false">G489/G478</f>
        <v>0.0967356044550843</v>
      </c>
    </row>
    <row r="491" customFormat="false" ht="17.15" hidden="false" customHeight="false" outlineLevel="0" collapsed="false">
      <c r="A491" s="4" t="s">
        <v>167</v>
      </c>
      <c r="B491" s="0" t="s">
        <v>99</v>
      </c>
      <c r="C491" s="18" t="n">
        <f aca="false">a25_ni/a25_oi</f>
        <v>0.837110933758979</v>
      </c>
      <c r="D491" s="18" t="n">
        <f aca="false">a26_ni/a26_oi</f>
        <v>0.805089334055225</v>
      </c>
      <c r="E491" s="18" t="n">
        <f aca="false">nio_f</f>
        <v>0.75</v>
      </c>
      <c r="F491" s="18" t="n">
        <f aca="false">nio_f</f>
        <v>0.75</v>
      </c>
      <c r="G491" s="18" t="n">
        <f aca="false">nio_f</f>
        <v>0.75</v>
      </c>
    </row>
    <row r="492" customFormat="false" ht="15" hidden="false" customHeight="false" outlineLevel="0" collapsed="false">
      <c r="A492" s="4" t="s">
        <v>409</v>
      </c>
      <c r="B492" s="0" t="s">
        <v>117</v>
      </c>
      <c r="C492" s="26" t="n">
        <f aca="false">a25_ni</f>
        <v>1.0489</v>
      </c>
      <c r="D492" s="26" t="n">
        <f aca="false">a26_ni</f>
        <v>2.2305</v>
      </c>
      <c r="E492" s="26" t="n">
        <f aca="false">E489*E491</f>
        <v>4.93890064363988</v>
      </c>
      <c r="F492" s="26" t="n">
        <f aca="false">F489*F491</f>
        <v>6.99589575137539</v>
      </c>
      <c r="G492" s="26" t="n">
        <f aca="false">G489*G491</f>
        <v>7.9577884624956</v>
      </c>
    </row>
    <row r="493" customFormat="false" ht="17.15" hidden="false" customHeight="false" outlineLevel="0" collapsed="false">
      <c r="A493" s="4" t="s">
        <v>410</v>
      </c>
      <c r="B493" s="0" t="s">
        <v>117</v>
      </c>
      <c r="C493" s="16" t="n">
        <f aca="false">0</f>
        <v>0</v>
      </c>
      <c r="D493" s="16" t="n">
        <f aca="false">0</f>
        <v>0</v>
      </c>
      <c r="E493" s="16" t="n">
        <f aca="false">pref_div</f>
        <v>0.301875</v>
      </c>
      <c r="F493" s="16" t="n">
        <f aca="false">pref_div</f>
        <v>0.301875</v>
      </c>
      <c r="G493" s="16" t="n">
        <f aca="false">pref_div</f>
        <v>0.301875</v>
      </c>
      <c r="K493" s="8" t="s">
        <v>411</v>
      </c>
    </row>
    <row r="494" customFormat="false" ht="17.15" hidden="false" customHeight="false" outlineLevel="0" collapsed="false">
      <c r="A494" s="4" t="s">
        <v>359</v>
      </c>
      <c r="B494" s="0" t="s">
        <v>117</v>
      </c>
      <c r="C494" s="26" t="n">
        <f aca="false">C492-C493</f>
        <v>1.0489</v>
      </c>
      <c r="D494" s="26" t="n">
        <f aca="false">D492-D493</f>
        <v>2.2305</v>
      </c>
      <c r="E494" s="26" t="n">
        <f aca="false">E492-E493</f>
        <v>4.63702564363988</v>
      </c>
      <c r="F494" s="26" t="n">
        <f aca="false">F492-F493</f>
        <v>6.69402075137539</v>
      </c>
      <c r="G494" s="26" t="n">
        <f aca="false">G492-G493</f>
        <v>7.6559134624956</v>
      </c>
      <c r="H494" s="27" t="n">
        <f aca="false">H478*H499</f>
        <v>8.66150032942671</v>
      </c>
      <c r="I494" s="27" t="n">
        <f aca="false">I478*I499</f>
        <v>9.25171824008667</v>
      </c>
      <c r="J494" s="27" t="n">
        <f aca="false">J478*J499</f>
        <v>9.69447663018624</v>
      </c>
      <c r="K494" s="4" t="s">
        <v>412</v>
      </c>
    </row>
    <row r="495" customFormat="false" ht="17.15" hidden="false" customHeight="false" outlineLevel="0" collapsed="false">
      <c r="A495" s="4" t="s">
        <v>413</v>
      </c>
      <c r="B495" s="0" t="s">
        <v>99</v>
      </c>
      <c r="C495" s="17" t="n">
        <f aca="false">C492/C478</f>
        <v>0.0477380302202804</v>
      </c>
      <c r="D495" s="17" t="n">
        <f aca="false">D492/D478</f>
        <v>0.0571000691191153</v>
      </c>
      <c r="E495" s="17" t="n">
        <f aca="false">E492/E478</f>
        <v>0.0685958422727762</v>
      </c>
      <c r="F495" s="17" t="n">
        <f aca="false">F492/F478</f>
        <v>0.0715084455652626</v>
      </c>
      <c r="G495" s="17" t="n">
        <f aca="false">G492/G478</f>
        <v>0.0725517033413133</v>
      </c>
      <c r="K495" s="4" t="s">
        <v>414</v>
      </c>
    </row>
    <row r="496" customFormat="false" ht="17.15" hidden="false" customHeight="false" outlineLevel="0" collapsed="false">
      <c r="A496" s="4" t="s">
        <v>415</v>
      </c>
      <c r="B496" s="4" t="s">
        <v>176</v>
      </c>
      <c r="C496" s="19" t="n">
        <f aca="false">a25_sh</f>
        <v>0.624345238095238</v>
      </c>
      <c r="D496" s="19" t="n">
        <f aca="false">a26_sh</f>
        <v>0.68420245398773</v>
      </c>
      <c r="E496" s="19" t="n">
        <f aca="false">sh27</f>
        <v>0.745</v>
      </c>
      <c r="F496" s="19" t="n">
        <f aca="false">E496*(1+sh_g)</f>
        <v>0.75245</v>
      </c>
      <c r="G496" s="19" t="n">
        <f aca="false">F496*(1+sh_g)</f>
        <v>0.7599745</v>
      </c>
      <c r="H496" s="31" t="n">
        <f aca="false">G496*(1+sh_g)+conv_sh</f>
        <v>0.91132712</v>
      </c>
      <c r="I496" s="31" t="n">
        <f aca="false">H496*(1+sh_g)</f>
        <v>0.9204403912</v>
      </c>
      <c r="J496" s="31" t="n">
        <f aca="false">I496*(1+sh_g)</f>
        <v>0.929644795112</v>
      </c>
    </row>
    <row r="497" customFormat="false" ht="17.15" hidden="false" customHeight="false" outlineLevel="0" collapsed="false">
      <c r="A497" s="0" t="s">
        <v>299</v>
      </c>
      <c r="B497" s="0" t="s">
        <v>189</v>
      </c>
      <c r="C497" s="26" t="n">
        <f aca="false">C494/C496</f>
        <v>1.68</v>
      </c>
      <c r="D497" s="26" t="n">
        <f aca="false">D494/D496</f>
        <v>3.26</v>
      </c>
      <c r="E497" s="26" t="n">
        <f aca="false">E494/E496</f>
        <v>6.22419549481864</v>
      </c>
      <c r="F497" s="26" t="n">
        <f aca="false">F494/F496</f>
        <v>8.89629975596437</v>
      </c>
      <c r="G497" s="26" t="n">
        <f aca="false">G494/G496</f>
        <v>10.0739083515244</v>
      </c>
      <c r="H497" s="30" t="n">
        <f aca="false">H494/H496</f>
        <v>9.50427145131675</v>
      </c>
      <c r="I497" s="30" t="n">
        <f aca="false">I494/I496</f>
        <v>10.0514040111006</v>
      </c>
      <c r="J497" s="30" t="n">
        <f aca="false">J494/J496</f>
        <v>10.4281513553984</v>
      </c>
    </row>
    <row r="498" customFormat="false" ht="17.15" hidden="false" customHeight="false" outlineLevel="0" collapsed="false">
      <c r="A498" s="0" t="s">
        <v>416</v>
      </c>
      <c r="B498" s="0" t="s">
        <v>99</v>
      </c>
      <c r="D498" s="18" t="n">
        <f aca="false">D497/C497-1</f>
        <v>0.940476190476191</v>
      </c>
      <c r="E498" s="18" t="n">
        <f aca="false">E497/D497-1</f>
        <v>0.909262421723508</v>
      </c>
      <c r="F498" s="18" t="n">
        <f aca="false">F497/E497-1</f>
        <v>0.429309179534952</v>
      </c>
      <c r="G498" s="18" t="n">
        <f aca="false">G497/F497-1</f>
        <v>0.132370606641323</v>
      </c>
      <c r="H498" s="28" t="n">
        <f aca="false">H497/G497-1</f>
        <v>-0.0565457695593862</v>
      </c>
      <c r="I498" s="28" t="n">
        <f aca="false">I497/H497-1</f>
        <v>0.0575670173759646</v>
      </c>
      <c r="J498" s="28" t="n">
        <f aca="false">J497/I497-1</f>
        <v>0.0374820615987292</v>
      </c>
    </row>
    <row r="499" customFormat="false" ht="17.15" hidden="false" customHeight="false" outlineLevel="0" collapsed="false">
      <c r="A499" s="4" t="s">
        <v>417</v>
      </c>
      <c r="B499" s="0" t="s">
        <v>99</v>
      </c>
      <c r="C499" s="17" t="n">
        <f aca="false">C494/C478</f>
        <v>0.0477380302202804</v>
      </c>
      <c r="D499" s="17" t="n">
        <f aca="false">D494/D478</f>
        <v>0.0571000691191153</v>
      </c>
      <c r="E499" s="17" t="n">
        <f aca="false">E494/E478</f>
        <v>0.0644031339394428</v>
      </c>
      <c r="F499" s="17" t="n">
        <f aca="false">F494/F478</f>
        <v>0.0684228346910912</v>
      </c>
      <c r="G499" s="17" t="n">
        <f aca="false">G494/G478</f>
        <v>0.0697994882567607</v>
      </c>
      <c r="H499" s="29" t="n">
        <f aca="false">$G495+(fade_mA-$G495)*1/3</f>
        <v>0.0717391836852531</v>
      </c>
      <c r="I499" s="29" t="n">
        <f aca="false">$G495+(fade_mA-$G495)*2/3</f>
        <v>0.0709266640291931</v>
      </c>
      <c r="J499" s="29" t="n">
        <f aca="false">$G495+(fade_mA-$G495)*3/3</f>
        <v>0.0701141443731329</v>
      </c>
    </row>
    <row r="502" customFormat="false" ht="17.15" hidden="false" customHeight="false" outlineLevel="0" collapsed="false">
      <c r="A502" s="1" t="s">
        <v>691</v>
      </c>
    </row>
    <row r="503" customFormat="false" ht="17.15" hidden="false" customHeight="false" outlineLevel="0" collapsed="false">
      <c r="A503" s="5" t="s">
        <v>16</v>
      </c>
      <c r="B503" s="5" t="s">
        <v>17</v>
      </c>
      <c r="C503" s="14" t="s">
        <v>276</v>
      </c>
      <c r="D503" s="14" t="s">
        <v>280</v>
      </c>
      <c r="E503" s="14" t="s">
        <v>348</v>
      </c>
      <c r="F503" s="14" t="s">
        <v>349</v>
      </c>
      <c r="G503" s="14" t="s">
        <v>350</v>
      </c>
      <c r="H503" s="14" t="s">
        <v>351</v>
      </c>
      <c r="I503" s="14" t="s">
        <v>352</v>
      </c>
      <c r="J503" s="14" t="s">
        <v>353</v>
      </c>
      <c r="K503" s="5" t="s">
        <v>324</v>
      </c>
    </row>
    <row r="504" customFormat="false" ht="17.15" hidden="false" customHeight="false" outlineLevel="0" collapsed="false">
      <c r="A504" s="6" t="s">
        <v>370</v>
      </c>
    </row>
    <row r="505" customFormat="false" ht="17.15" hidden="false" customHeight="false" outlineLevel="0" collapsed="false">
      <c r="A505" s="0" t="s">
        <v>371</v>
      </c>
      <c r="B505" s="4" t="s">
        <v>27</v>
      </c>
      <c r="D505" s="20" t="n">
        <f aca="false">uo_26</f>
        <v>6.65</v>
      </c>
      <c r="E505" s="20" t="n">
        <f aca="false">uo_27*mf</f>
        <v>2.4</v>
      </c>
      <c r="F505" s="20" t="n">
        <f aca="false">uo_28*um28_A*mf</f>
        <v>0.5</v>
      </c>
      <c r="G505" s="20" t="n">
        <f aca="false">uo_29*um29_A*mf</f>
        <v>0.25</v>
      </c>
      <c r="K505" s="8" t="s">
        <v>372</v>
      </c>
    </row>
    <row r="506" customFormat="false" ht="17.15" hidden="false" customHeight="false" outlineLevel="0" collapsed="false">
      <c r="A506" s="0" t="s">
        <v>373</v>
      </c>
      <c r="B506" s="4" t="s">
        <v>27</v>
      </c>
      <c r="D506" s="20" t="n">
        <f aca="false">un_26</f>
        <v>1.7</v>
      </c>
      <c r="E506" s="20" t="n">
        <f aca="false">un_27*mf</f>
        <v>8.8</v>
      </c>
      <c r="F506" s="20" t="n">
        <f aca="false">un_28*um28_A*mf</f>
        <v>11</v>
      </c>
      <c r="G506" s="20" t="n">
        <f aca="false">un_29*um29_A*mf</f>
        <v>12.65</v>
      </c>
      <c r="K506" s="8" t="s">
        <v>374</v>
      </c>
    </row>
    <row r="507" customFormat="false" ht="17.15" hidden="false" customHeight="false" outlineLevel="0" collapsed="false">
      <c r="A507" s="4" t="s">
        <v>375</v>
      </c>
      <c r="B507" s="4" t="s">
        <v>58</v>
      </c>
      <c r="D507" s="24" t="n">
        <f aca="false">v_gb</f>
        <v>59.7222222222222</v>
      </c>
      <c r="E507" s="24" t="n">
        <f aca="false">v_gb</f>
        <v>59.7222222222222</v>
      </c>
      <c r="F507" s="24" t="n">
        <f aca="false">v_gb</f>
        <v>59.7222222222222</v>
      </c>
      <c r="G507" s="24" t="n">
        <f aca="false">v_gb</f>
        <v>59.7222222222222</v>
      </c>
    </row>
    <row r="508" customFormat="false" ht="17.15" hidden="false" customHeight="false" outlineLevel="0" collapsed="false">
      <c r="A508" s="4" t="s">
        <v>376</v>
      </c>
      <c r="B508" s="4" t="s">
        <v>58</v>
      </c>
      <c r="D508" s="24" t="n">
        <f aca="false">v_vr</f>
        <v>116.666666666667</v>
      </c>
      <c r="E508" s="24" t="n">
        <f aca="false">v_vr</f>
        <v>116.666666666667</v>
      </c>
      <c r="F508" s="24" t="n">
        <f aca="false">v_vr*vpg_28</f>
        <v>116.666666666667</v>
      </c>
      <c r="G508" s="24" t="n">
        <f aca="false">v_vr*vpg_29</f>
        <v>116.666666666667</v>
      </c>
      <c r="K508" s="4" t="s">
        <v>377</v>
      </c>
    </row>
    <row r="509" customFormat="false" ht="17.15" hidden="false" customHeight="false" outlineLevel="0" collapsed="false">
      <c r="A509" s="4" t="s">
        <v>378</v>
      </c>
      <c r="B509" s="0" t="s">
        <v>117</v>
      </c>
      <c r="D509" s="25" t="n">
        <f aca="false">(D505*D507+D506*D508)</f>
        <v>595.486111111111</v>
      </c>
      <c r="E509" s="25" t="n">
        <f aca="false">(E505*E507+E506*E508)</f>
        <v>1170</v>
      </c>
      <c r="F509" s="25" t="n">
        <f aca="false">(F505*F507+F506*F508)</f>
        <v>1313.19444444444</v>
      </c>
      <c r="G509" s="25" t="n">
        <f aca="false">(G505*G507+G506*G508)</f>
        <v>1490.76388888889</v>
      </c>
      <c r="K509" s="4" t="s">
        <v>379</v>
      </c>
    </row>
    <row r="510" customFormat="false" ht="17.15" hidden="false" customHeight="false" outlineLevel="0" collapsed="false">
      <c r="A510" s="4" t="s">
        <v>380</v>
      </c>
      <c r="B510" s="0" t="s">
        <v>117</v>
      </c>
      <c r="E510" s="25" t="n">
        <f aca="false">0.5*D509+0.5*E509</f>
        <v>882.743055555556</v>
      </c>
      <c r="F510" s="25" t="n">
        <f aca="false">0.5*E509+0.5*F509</f>
        <v>1241.59722222222</v>
      </c>
      <c r="G510" s="25" t="n">
        <f aca="false">0.5*F509+0.5*G509</f>
        <v>1401.97916666667</v>
      </c>
      <c r="K510" s="4" t="s">
        <v>381</v>
      </c>
    </row>
    <row r="511" customFormat="false" ht="17.15" hidden="false" customHeight="false" outlineLevel="0" collapsed="false">
      <c r="A511" s="0" t="s">
        <v>382</v>
      </c>
      <c r="B511" s="0" t="s">
        <v>117</v>
      </c>
      <c r="E511" s="25" t="n">
        <f aca="false">0.5*D509+0.5*(uo_27*v_gb+un_27*v_vr)</f>
        <v>882.743055555556</v>
      </c>
      <c r="K511" s="4" t="s">
        <v>383</v>
      </c>
    </row>
    <row r="512" customFormat="false" ht="17.15" hidden="false" customHeight="false" outlineLevel="0" collapsed="false">
      <c r="A512" s="4" t="s">
        <v>384</v>
      </c>
      <c r="B512" s="0" t="s">
        <v>99</v>
      </c>
      <c r="D512" s="17" t="n">
        <f aca="false">a26_aih2/(0.5*D509)</f>
        <v>0.0499294936443149</v>
      </c>
      <c r="K512" s="8" t="s">
        <v>385</v>
      </c>
    </row>
    <row r="513" customFormat="false" ht="17.15" hidden="false" customHeight="false" outlineLevel="0" collapsed="false">
      <c r="A513" s="0" t="s">
        <v>386</v>
      </c>
      <c r="B513" s="0" t="s">
        <v>117</v>
      </c>
      <c r="E513" s="25" t="n">
        <f aca="false">g27_hi</f>
        <v>72</v>
      </c>
      <c r="K513" s="8" t="s">
        <v>387</v>
      </c>
    </row>
    <row r="514" customFormat="false" ht="17.15" hidden="false" customHeight="false" outlineLevel="0" collapsed="false">
      <c r="A514" s="4" t="s">
        <v>388</v>
      </c>
      <c r="B514" s="0" t="s">
        <v>66</v>
      </c>
      <c r="E514" s="20" t="n">
        <f aca="false">1</f>
        <v>1</v>
      </c>
      <c r="F514" s="20" t="n">
        <f aca="false">rel_28_hi*1</f>
        <v>1</v>
      </c>
      <c r="G514" s="20" t="n">
        <f aca="false">rel_29_hi*1</f>
        <v>1</v>
      </c>
      <c r="K514" s="8" t="s">
        <v>389</v>
      </c>
    </row>
    <row r="515" customFormat="false" ht="17.15" hidden="false" customHeight="false" outlineLevel="0" collapsed="false">
      <c r="A515" s="4" t="s">
        <v>390</v>
      </c>
      <c r="B515" s="0" t="s">
        <v>99</v>
      </c>
      <c r="E515" s="17" t="n">
        <f aca="false">(E513-E519)/E511</f>
        <v>0.0696416435825827</v>
      </c>
      <c r="F515" s="17" t="n">
        <f aca="false">$E515*F514</f>
        <v>0.0696416435825827</v>
      </c>
      <c r="G515" s="17" t="n">
        <f aca="false">$E515*G514</f>
        <v>0.0696416435825827</v>
      </c>
      <c r="K515" s="8" t="s">
        <v>391</v>
      </c>
    </row>
    <row r="516" customFormat="false" ht="17.15" hidden="false" customHeight="false" outlineLevel="0" collapsed="false">
      <c r="A516" s="0" t="s">
        <v>392</v>
      </c>
      <c r="B516" s="0" t="s">
        <v>66</v>
      </c>
      <c r="E516" s="20" t="n">
        <f aca="false">E515/D512</f>
        <v>1.39479971655015</v>
      </c>
      <c r="K516" s="8" t="s">
        <v>393</v>
      </c>
    </row>
    <row r="517" customFormat="false" ht="17.15" hidden="false" customHeight="false" outlineLevel="0" collapsed="false">
      <c r="A517" s="0" t="s">
        <v>394</v>
      </c>
      <c r="B517" s="0" t="s">
        <v>117</v>
      </c>
      <c r="C517" s="26" t="n">
        <f aca="false">a25_ai</f>
        <v>15.3804</v>
      </c>
      <c r="D517" s="26" t="n">
        <f aca="false">a26_ai</f>
        <v>29.911415</v>
      </c>
      <c r="E517" s="26" t="n">
        <f aca="false">E510*E515</f>
        <v>61.47567725</v>
      </c>
      <c r="F517" s="26" t="n">
        <f aca="false">F510*F515</f>
        <v>86.4668712231247</v>
      </c>
      <c r="G517" s="26" t="n">
        <f aca="false">G510*G515</f>
        <v>97.6361334352064</v>
      </c>
    </row>
    <row r="518" customFormat="false" ht="17.15" hidden="false" customHeight="false" outlineLevel="0" collapsed="false">
      <c r="A518" s="6" t="s">
        <v>395</v>
      </c>
    </row>
    <row r="519" customFormat="false" ht="17.15" hidden="false" customHeight="false" outlineLevel="0" collapsed="false">
      <c r="A519" s="4" t="s">
        <v>310</v>
      </c>
      <c r="B519" s="0" t="s">
        <v>117</v>
      </c>
      <c r="C519" s="26" t="n">
        <f aca="false">a25_nai</f>
        <v>6.5916</v>
      </c>
      <c r="D519" s="26" t="n">
        <f aca="false">a26_nai</f>
        <v>9.151585</v>
      </c>
      <c r="E519" s="26" t="n">
        <f aca="false">D519*(1+g_nai27)</f>
        <v>10.52432275</v>
      </c>
      <c r="F519" s="26" t="n">
        <f aca="false">E519*(1+g_nai28)</f>
        <v>11.36626857</v>
      </c>
      <c r="G519" s="26" t="n">
        <f aca="false">F519*(1+g_nai29)</f>
        <v>12.0482446842</v>
      </c>
    </row>
    <row r="520" customFormat="false" ht="17.15" hidden="false" customHeight="false" outlineLevel="0" collapsed="false">
      <c r="A520" s="4" t="s">
        <v>282</v>
      </c>
      <c r="B520" s="0" t="s">
        <v>117</v>
      </c>
      <c r="C520" s="26" t="n">
        <f aca="false">C517+C519</f>
        <v>21.972</v>
      </c>
      <c r="D520" s="26" t="n">
        <f aca="false">D517+D519</f>
        <v>39.063</v>
      </c>
      <c r="E520" s="26" t="n">
        <f aca="false">E517+E519</f>
        <v>72</v>
      </c>
      <c r="F520" s="26" t="n">
        <f aca="false">F517+F519</f>
        <v>97.8331397931247</v>
      </c>
      <c r="G520" s="26" t="n">
        <f aca="false">G517+G519</f>
        <v>109.684378119406</v>
      </c>
      <c r="H520" s="27" t="n">
        <f aca="false">G520*(1+H521)</f>
        <v>120.735975578256</v>
      </c>
      <c r="I520" s="27" t="n">
        <f aca="false">H520*(1+I521)</f>
        <v>130.440622954982</v>
      </c>
      <c r="J520" s="27" t="n">
        <f aca="false">I520*(1+J521)</f>
        <v>138.267060332281</v>
      </c>
      <c r="K520" s="8" t="s">
        <v>396</v>
      </c>
    </row>
    <row r="521" customFormat="false" ht="15" hidden="false" customHeight="false" outlineLevel="0" collapsed="false">
      <c r="A521" s="4" t="s">
        <v>397</v>
      </c>
      <c r="B521" s="0" t="s">
        <v>99</v>
      </c>
      <c r="D521" s="18" t="n">
        <f aca="false">D520/C520-1</f>
        <v>0.777853631895139</v>
      </c>
      <c r="E521" s="18" t="n">
        <f aca="false">E520/D520-1</f>
        <v>0.843176407341986</v>
      </c>
      <c r="F521" s="18" t="n">
        <f aca="false">F520/E520-1</f>
        <v>0.358793608237844</v>
      </c>
      <c r="G521" s="18" t="n">
        <f aca="false">G520/F520-1</f>
        <v>0.121137258308809</v>
      </c>
      <c r="H521" s="28" t="n">
        <f aca="false">$G521+(fade_gA-$G521)*1/3</f>
        <v>0.100758172205873</v>
      </c>
      <c r="I521" s="28" t="n">
        <f aca="false">$G521+(fade_gA-$G521)*2/3</f>
        <v>0.0803790861029364</v>
      </c>
      <c r="J521" s="28" t="n">
        <f aca="false">$G521+(fade_gA-$G521)*3/3</f>
        <v>0.06</v>
      </c>
    </row>
    <row r="522" customFormat="false" ht="17.15" hidden="false" customHeight="false" outlineLevel="0" collapsed="false">
      <c r="A522" s="0" t="s">
        <v>398</v>
      </c>
      <c r="B522" s="0" t="s">
        <v>99</v>
      </c>
      <c r="C522" s="18" t="n">
        <f aca="false">C517/C520</f>
        <v>0.7</v>
      </c>
      <c r="D522" s="18" t="n">
        <f aca="false">D517/D520</f>
        <v>0.765722422752989</v>
      </c>
      <c r="E522" s="18" t="n">
        <f aca="false">E517/E520</f>
        <v>0.853828850694445</v>
      </c>
      <c r="F522" s="18" t="n">
        <f aca="false">F517/F520</f>
        <v>0.883819852924737</v>
      </c>
      <c r="G522" s="18" t="n">
        <f aca="false">G517/G520</f>
        <v>0.890155326667542</v>
      </c>
    </row>
    <row r="523" customFormat="false" ht="17.15" hidden="false" customHeight="false" outlineLevel="0" collapsed="false">
      <c r="A523" s="4" t="s">
        <v>399</v>
      </c>
      <c r="B523" s="4" t="s">
        <v>27</v>
      </c>
      <c r="E523" s="20" t="n">
        <f aca="false">E517/((0.5*(D505*D507+D506*D508)+0.5*(E505*E507+E506*E508))/(0.5*(D505+D506)+0.5*(E505+E506)))</f>
        <v>0.680747066019746</v>
      </c>
      <c r="F523" s="20" t="n">
        <f aca="false">F517/((0.5*(E505*E507+E506*E508)+0.5*(F505*F507+F506*F508))/(0.5*(E505+E506)+0.5*(F505+F506)))</f>
        <v>0.790432654662314</v>
      </c>
      <c r="G523" s="20" t="n">
        <f aca="false">G517/((0.5*(F505*F507+F506*F508)+0.5*(G505*G507+G506*G508))/(0.5*(F505+F506)+0.5*(G505+G506)))</f>
        <v>0.849628051707509</v>
      </c>
      <c r="K523" s="4" t="s">
        <v>400</v>
      </c>
    </row>
    <row r="524" customFormat="false" ht="17.15" hidden="false" customHeight="false" outlineLevel="0" collapsed="false">
      <c r="A524" s="6" t="s">
        <v>401</v>
      </c>
    </row>
    <row r="525" customFormat="false" ht="17.15" hidden="false" customHeight="false" outlineLevel="0" collapsed="false">
      <c r="A525" s="0" t="s">
        <v>402</v>
      </c>
      <c r="B525" s="0" t="s">
        <v>99</v>
      </c>
      <c r="D525" s="17" t="n">
        <f aca="false">(a26_gp-gm_nai_hi*a26_nai)/a26_ai</f>
        <v>0.0862551871919132</v>
      </c>
      <c r="K525" s="8" t="s">
        <v>403</v>
      </c>
    </row>
    <row r="526" customFormat="false" ht="17.15" hidden="false" customHeight="false" outlineLevel="0" collapsed="false">
      <c r="A526" s="0" t="s">
        <v>404</v>
      </c>
      <c r="B526" s="0" t="s">
        <v>99</v>
      </c>
      <c r="D526" s="17" t="n">
        <f aca="false">D525</f>
        <v>0.0862551871919132</v>
      </c>
      <c r="E526" s="17" t="n">
        <f aca="false">$D525+dgm_27_hi</f>
        <v>0.101255187191913</v>
      </c>
      <c r="F526" s="17" t="n">
        <f aca="false">$D525+dgm_28_hi</f>
        <v>0.101255187191913</v>
      </c>
      <c r="G526" s="17" t="n">
        <f aca="false">$D525+dgm_28_hi</f>
        <v>0.101255187191913</v>
      </c>
      <c r="K526" s="8" t="s">
        <v>405</v>
      </c>
    </row>
    <row r="527" customFormat="false" ht="15" hidden="false" customHeight="false" outlineLevel="0" collapsed="false">
      <c r="A527" s="4" t="s">
        <v>406</v>
      </c>
      <c r="B527" s="0" t="s">
        <v>117</v>
      </c>
      <c r="C527" s="26" t="n">
        <f aca="false">a25_gp</f>
        <v>2.4299</v>
      </c>
      <c r="D527" s="26" t="n">
        <f aca="false">a26_gp</f>
        <v>4.2273</v>
      </c>
      <c r="E527" s="26" t="n">
        <f aca="false">E526*E517+gm_nai_hi*E519</f>
        <v>8.11910930269839</v>
      </c>
      <c r="F527" s="26" t="n">
        <f aca="false">F526*F517+gm_nai_hi*F519</f>
        <v>10.8011475741965</v>
      </c>
      <c r="G527" s="26" t="n">
        <f aca="false">G526*G517+gm_nai_hi*G519</f>
        <v>12.0548490108324</v>
      </c>
    </row>
    <row r="528" customFormat="false" ht="15" hidden="false" customHeight="false" outlineLevel="0" collapsed="false">
      <c r="A528" s="4" t="s">
        <v>288</v>
      </c>
      <c r="B528" s="0" t="s">
        <v>99</v>
      </c>
      <c r="C528" s="17" t="n">
        <f aca="false">C527/C520</f>
        <v>0.110590751866011</v>
      </c>
      <c r="D528" s="17" t="n">
        <f aca="false">D527/D520</f>
        <v>0.108217494816066</v>
      </c>
      <c r="E528" s="17" t="n">
        <f aca="false">E527/E520</f>
        <v>0.112765406981922</v>
      </c>
      <c r="F528" s="17" t="n">
        <f aca="false">F527/F520</f>
        <v>0.110403771125371</v>
      </c>
      <c r="G528" s="17" t="n">
        <f aca="false">G527/G520</f>
        <v>0.109904885431443</v>
      </c>
    </row>
    <row r="529" customFormat="false" ht="15" hidden="false" customHeight="false" outlineLevel="0" collapsed="false">
      <c r="A529" s="4" t="s">
        <v>407</v>
      </c>
      <c r="B529" s="0" t="s">
        <v>117</v>
      </c>
      <c r="C529" s="26" t="n">
        <f aca="false">a25_opx</f>
        <v>1.1769</v>
      </c>
      <c r="D529" s="26" t="n">
        <f aca="false">a26_opx</f>
        <v>1.4568</v>
      </c>
      <c r="E529" s="26" t="n">
        <f aca="false">D529*(1+MAX(0,phi*E521))</f>
        <v>1.94813575608632</v>
      </c>
      <c r="F529" s="26" t="n">
        <f aca="false">E529*(1+MAX(0,phi*F521))</f>
        <v>2.22772721899167</v>
      </c>
      <c r="G529" s="26" t="n">
        <f aca="false">F529*(1+MAX(0,phi*G521))</f>
        <v>2.33567152601909</v>
      </c>
    </row>
    <row r="530" customFormat="false" ht="15" hidden="false" customHeight="false" outlineLevel="0" collapsed="false">
      <c r="A530" s="4" t="s">
        <v>408</v>
      </c>
      <c r="B530" s="0" t="s">
        <v>117</v>
      </c>
      <c r="C530" s="26" t="n">
        <f aca="false">C529</f>
        <v>1.1769</v>
      </c>
      <c r="D530" s="26" t="n">
        <f aca="false">D529</f>
        <v>1.4568</v>
      </c>
      <c r="E530" s="26" t="n">
        <f aca="false">E529+0*E520</f>
        <v>1.94813575608632</v>
      </c>
      <c r="F530" s="26" t="n">
        <f aca="false">F529+0*F520</f>
        <v>2.22772721899167</v>
      </c>
      <c r="G530" s="26" t="n">
        <f aca="false">G529+0*G520</f>
        <v>2.33567152601909</v>
      </c>
    </row>
    <row r="531" customFormat="false" ht="15" hidden="false" customHeight="false" outlineLevel="0" collapsed="false">
      <c r="A531" s="4" t="s">
        <v>291</v>
      </c>
      <c r="B531" s="0" t="s">
        <v>117</v>
      </c>
      <c r="C531" s="26" t="n">
        <f aca="false">C527-C530</f>
        <v>1.253</v>
      </c>
      <c r="D531" s="26" t="n">
        <f aca="false">D527-D530</f>
        <v>2.7705</v>
      </c>
      <c r="E531" s="26" t="n">
        <f aca="false">E527-E530</f>
        <v>6.17097354661207</v>
      </c>
      <c r="F531" s="26" t="n">
        <f aca="false">F527-F530</f>
        <v>8.57342035520487</v>
      </c>
      <c r="G531" s="26" t="n">
        <f aca="false">G527-G530</f>
        <v>9.71917748481334</v>
      </c>
    </row>
    <row r="532" customFormat="false" ht="15" hidden="false" customHeight="false" outlineLevel="0" collapsed="false">
      <c r="A532" s="4" t="s">
        <v>293</v>
      </c>
      <c r="B532" s="0" t="s">
        <v>99</v>
      </c>
      <c r="C532" s="17" t="n">
        <f aca="false">C531/C520</f>
        <v>0.0570271254323685</v>
      </c>
      <c r="D532" s="17" t="n">
        <f aca="false">D531/D520</f>
        <v>0.0709238921741801</v>
      </c>
      <c r="E532" s="17" t="n">
        <f aca="false">E531/E520</f>
        <v>0.0857079659251676</v>
      </c>
      <c r="F532" s="17" t="n">
        <f aca="false">F531/F520</f>
        <v>0.0876330901096908</v>
      </c>
      <c r="G532" s="17" t="n">
        <f aca="false">G531/G520</f>
        <v>0.0886104078944833</v>
      </c>
    </row>
    <row r="533" customFormat="false" ht="17.15" hidden="false" customHeight="false" outlineLevel="0" collapsed="false">
      <c r="A533" s="4" t="s">
        <v>167</v>
      </c>
      <c r="B533" s="0" t="s">
        <v>99</v>
      </c>
      <c r="C533" s="18" t="n">
        <f aca="false">a25_ni/a25_oi</f>
        <v>0.837110933758979</v>
      </c>
      <c r="D533" s="18" t="n">
        <f aca="false">a26_ni/a26_oi</f>
        <v>0.805089334055225</v>
      </c>
      <c r="E533" s="18" t="n">
        <f aca="false">nio_f</f>
        <v>0.75</v>
      </c>
      <c r="F533" s="18" t="n">
        <f aca="false">nio_f</f>
        <v>0.75</v>
      </c>
      <c r="G533" s="18" t="n">
        <f aca="false">nio_f</f>
        <v>0.75</v>
      </c>
    </row>
    <row r="534" customFormat="false" ht="15" hidden="false" customHeight="false" outlineLevel="0" collapsed="false">
      <c r="A534" s="4" t="s">
        <v>409</v>
      </c>
      <c r="B534" s="0" t="s">
        <v>117</v>
      </c>
      <c r="C534" s="26" t="n">
        <f aca="false">a25_ni</f>
        <v>1.0489</v>
      </c>
      <c r="D534" s="26" t="n">
        <f aca="false">a26_ni</f>
        <v>2.2305</v>
      </c>
      <c r="E534" s="26" t="n">
        <f aca="false">E531*E533</f>
        <v>4.62823015995905</v>
      </c>
      <c r="F534" s="26" t="n">
        <f aca="false">F531*F533</f>
        <v>6.43006526640366</v>
      </c>
      <c r="G534" s="26" t="n">
        <f aca="false">G531*G533</f>
        <v>7.28938311361</v>
      </c>
    </row>
    <row r="535" customFormat="false" ht="17.15" hidden="false" customHeight="false" outlineLevel="0" collapsed="false">
      <c r="A535" s="4" t="s">
        <v>410</v>
      </c>
      <c r="B535" s="0" t="s">
        <v>117</v>
      </c>
      <c r="C535" s="16" t="n">
        <f aca="false">0</f>
        <v>0</v>
      </c>
      <c r="D535" s="16" t="n">
        <f aca="false">0</f>
        <v>0</v>
      </c>
      <c r="E535" s="16" t="n">
        <f aca="false">pref_div</f>
        <v>0.301875</v>
      </c>
      <c r="F535" s="16" t="n">
        <f aca="false">pref_div</f>
        <v>0.301875</v>
      </c>
      <c r="G535" s="16" t="n">
        <f aca="false">pref_div</f>
        <v>0.301875</v>
      </c>
      <c r="K535" s="8" t="s">
        <v>411</v>
      </c>
    </row>
    <row r="536" customFormat="false" ht="17.15" hidden="false" customHeight="false" outlineLevel="0" collapsed="false">
      <c r="A536" s="4" t="s">
        <v>359</v>
      </c>
      <c r="B536" s="0" t="s">
        <v>117</v>
      </c>
      <c r="C536" s="26" t="n">
        <f aca="false">C534-C535</f>
        <v>1.0489</v>
      </c>
      <c r="D536" s="26" t="n">
        <f aca="false">D534-D535</f>
        <v>2.2305</v>
      </c>
      <c r="E536" s="26" t="n">
        <f aca="false">E534-E535</f>
        <v>4.32635515995905</v>
      </c>
      <c r="F536" s="26" t="n">
        <f aca="false">F534-F535</f>
        <v>6.12819026640366</v>
      </c>
      <c r="G536" s="26" t="n">
        <f aca="false">G534-G535</f>
        <v>6.98750811361</v>
      </c>
      <c r="H536" s="27" t="n">
        <f aca="false">H520*H541</f>
        <v>8.17099856267209</v>
      </c>
      <c r="I536" s="27" t="n">
        <f aca="false">I520*I541</f>
        <v>8.98675431483755</v>
      </c>
      <c r="J536" s="27" t="n">
        <f aca="false">J520*J541</f>
        <v>9.69447663018624</v>
      </c>
      <c r="K536" s="4" t="s">
        <v>412</v>
      </c>
    </row>
    <row r="537" customFormat="false" ht="17.15" hidden="false" customHeight="false" outlineLevel="0" collapsed="false">
      <c r="A537" s="4" t="s">
        <v>413</v>
      </c>
      <c r="B537" s="0" t="s">
        <v>99</v>
      </c>
      <c r="C537" s="17" t="n">
        <f aca="false">C534/C520</f>
        <v>0.0477380302202804</v>
      </c>
      <c r="D537" s="17" t="n">
        <f aca="false">D534/D520</f>
        <v>0.0571000691191153</v>
      </c>
      <c r="E537" s="17" t="n">
        <f aca="false">E534/E520</f>
        <v>0.0642809744438757</v>
      </c>
      <c r="F537" s="17" t="n">
        <f aca="false">F534/F520</f>
        <v>0.0657248175822681</v>
      </c>
      <c r="G537" s="17" t="n">
        <f aca="false">G534/G520</f>
        <v>0.0664578059208625</v>
      </c>
      <c r="K537" s="4" t="s">
        <v>414</v>
      </c>
    </row>
    <row r="538" customFormat="false" ht="17.15" hidden="false" customHeight="false" outlineLevel="0" collapsed="false">
      <c r="A538" s="4" t="s">
        <v>415</v>
      </c>
      <c r="B538" s="4" t="s">
        <v>176</v>
      </c>
      <c r="C538" s="19" t="n">
        <f aca="false">a25_sh</f>
        <v>0.624345238095238</v>
      </c>
      <c r="D538" s="19" t="n">
        <f aca="false">a26_sh</f>
        <v>0.68420245398773</v>
      </c>
      <c r="E538" s="19" t="n">
        <f aca="false">sh27</f>
        <v>0.745</v>
      </c>
      <c r="F538" s="19" t="n">
        <f aca="false">E538*(1+sh_g)</f>
        <v>0.75245</v>
      </c>
      <c r="G538" s="19" t="n">
        <f aca="false">F538*(1+sh_g)</f>
        <v>0.7599745</v>
      </c>
      <c r="H538" s="31" t="n">
        <f aca="false">G538*(1+sh_g)+conv_sh</f>
        <v>0.91132712</v>
      </c>
      <c r="I538" s="31" t="n">
        <f aca="false">H538*(1+sh_g)</f>
        <v>0.9204403912</v>
      </c>
      <c r="J538" s="31" t="n">
        <f aca="false">I538*(1+sh_g)</f>
        <v>0.929644795112</v>
      </c>
    </row>
    <row r="539" customFormat="false" ht="17.15" hidden="false" customHeight="false" outlineLevel="0" collapsed="false">
      <c r="A539" s="0" t="s">
        <v>299</v>
      </c>
      <c r="B539" s="0" t="s">
        <v>189</v>
      </c>
      <c r="C539" s="26" t="n">
        <f aca="false">C536/C538</f>
        <v>1.68</v>
      </c>
      <c r="D539" s="26" t="n">
        <f aca="false">D536/D538</f>
        <v>3.26</v>
      </c>
      <c r="E539" s="26" t="n">
        <f aca="false">E536/E538</f>
        <v>5.80718813417322</v>
      </c>
      <c r="F539" s="26" t="n">
        <f aca="false">F536/F538</f>
        <v>8.14431559094113</v>
      </c>
      <c r="G539" s="26" t="n">
        <f aca="false">G536/G538</f>
        <v>9.19439811942375</v>
      </c>
      <c r="H539" s="30" t="n">
        <f aca="false">H536/H538</f>
        <v>8.96604345832711</v>
      </c>
      <c r="I539" s="30" t="n">
        <f aca="false">I536/I538</f>
        <v>9.76353754219902</v>
      </c>
      <c r="J539" s="30" t="n">
        <f aca="false">J536/J538</f>
        <v>10.4281513553984</v>
      </c>
    </row>
    <row r="540" customFormat="false" ht="17.15" hidden="false" customHeight="false" outlineLevel="0" collapsed="false">
      <c r="A540" s="0" t="s">
        <v>416</v>
      </c>
      <c r="B540" s="0" t="s">
        <v>99</v>
      </c>
      <c r="D540" s="18" t="n">
        <f aca="false">D539/C539-1</f>
        <v>0.940476190476191</v>
      </c>
      <c r="E540" s="18" t="n">
        <f aca="false">E539/D539-1</f>
        <v>0.781346053427368</v>
      </c>
      <c r="F540" s="18" t="n">
        <f aca="false">F539/E539-1</f>
        <v>0.402454234780987</v>
      </c>
      <c r="G540" s="18" t="n">
        <f aca="false">G539/F539-1</f>
        <v>0.128934410357405</v>
      </c>
      <c r="H540" s="28" t="n">
        <f aca="false">H539/G539-1</f>
        <v>-0.0248362816282905</v>
      </c>
      <c r="I540" s="28" t="n">
        <f aca="false">I539/H539-1</f>
        <v>0.0889460426528759</v>
      </c>
      <c r="J540" s="28" t="n">
        <f aca="false">J539/I539-1</f>
        <v>0.0680710050355033</v>
      </c>
    </row>
    <row r="541" customFormat="false" ht="17.15" hidden="false" customHeight="false" outlineLevel="0" collapsed="false">
      <c r="A541" s="4" t="s">
        <v>417</v>
      </c>
      <c r="B541" s="0" t="s">
        <v>99</v>
      </c>
      <c r="C541" s="17" t="n">
        <f aca="false">C536/C520</f>
        <v>0.0477380302202804</v>
      </c>
      <c r="D541" s="17" t="n">
        <f aca="false">D536/D520</f>
        <v>0.0571000691191153</v>
      </c>
      <c r="E541" s="17" t="n">
        <f aca="false">E536/E520</f>
        <v>0.0600882661105424</v>
      </c>
      <c r="F541" s="17" t="n">
        <f aca="false">F536/F520</f>
        <v>0.0626392067080966</v>
      </c>
      <c r="G541" s="17" t="n">
        <f aca="false">G536/G520</f>
        <v>0.0637055908363099</v>
      </c>
      <c r="H541" s="29" t="n">
        <f aca="false">$G537+(fade_mA-$G537)*1/3</f>
        <v>0.0676765854049526</v>
      </c>
      <c r="I541" s="29" t="n">
        <f aca="false">$G537+(fade_mA-$G537)*2/3</f>
        <v>0.0688953648890428</v>
      </c>
      <c r="J541" s="29" t="n">
        <f aca="false">$G537+(fade_mA-$G537)*3/3</f>
        <v>0.0701141443731329</v>
      </c>
    </row>
    <row r="544" customFormat="false" ht="17.15" hidden="false" customHeight="false" outlineLevel="0" collapsed="false">
      <c r="A544" s="1" t="s">
        <v>692</v>
      </c>
    </row>
    <row r="545" customFormat="false" ht="17.15" hidden="false" customHeight="false" outlineLevel="0" collapsed="false">
      <c r="A545" s="5" t="s">
        <v>16</v>
      </c>
      <c r="B545" s="5" t="s">
        <v>17</v>
      </c>
      <c r="C545" s="14" t="s">
        <v>276</v>
      </c>
      <c r="D545" s="14" t="s">
        <v>280</v>
      </c>
      <c r="E545" s="14" t="s">
        <v>348</v>
      </c>
      <c r="F545" s="14" t="s">
        <v>349</v>
      </c>
      <c r="G545" s="14" t="s">
        <v>350</v>
      </c>
      <c r="H545" s="14" t="s">
        <v>351</v>
      </c>
      <c r="I545" s="14" t="s">
        <v>352</v>
      </c>
      <c r="J545" s="14" t="s">
        <v>353</v>
      </c>
      <c r="K545" s="5" t="s">
        <v>324</v>
      </c>
    </row>
    <row r="546" customFormat="false" ht="17.15" hidden="false" customHeight="false" outlineLevel="0" collapsed="false">
      <c r="A546" s="6" t="s">
        <v>370</v>
      </c>
    </row>
    <row r="547" customFormat="false" ht="17.15" hidden="false" customHeight="false" outlineLevel="0" collapsed="false">
      <c r="A547" s="0" t="s">
        <v>371</v>
      </c>
      <c r="B547" s="4" t="s">
        <v>27</v>
      </c>
      <c r="D547" s="20" t="n">
        <f aca="false">uo_26</f>
        <v>6.65</v>
      </c>
      <c r="E547" s="20" t="n">
        <f aca="false">uo_27*mf</f>
        <v>2.4</v>
      </c>
      <c r="F547" s="20" t="n">
        <f aca="false">uo_28*um28_A*mf</f>
        <v>0.5</v>
      </c>
      <c r="G547" s="20" t="n">
        <f aca="false">uo_29*um29_A*mf</f>
        <v>0.25</v>
      </c>
      <c r="K547" s="8" t="s">
        <v>372</v>
      </c>
    </row>
    <row r="548" customFormat="false" ht="17.15" hidden="false" customHeight="false" outlineLevel="0" collapsed="false">
      <c r="A548" s="0" t="s">
        <v>373</v>
      </c>
      <c r="B548" s="4" t="s">
        <v>27</v>
      </c>
      <c r="D548" s="20" t="n">
        <f aca="false">un_26</f>
        <v>1.7</v>
      </c>
      <c r="E548" s="20" t="n">
        <f aca="false">un_27*mf</f>
        <v>8.8</v>
      </c>
      <c r="F548" s="20" t="n">
        <f aca="false">un_28*um28_A*mf</f>
        <v>11</v>
      </c>
      <c r="G548" s="20" t="n">
        <f aca="false">un_29*um29_A*mf</f>
        <v>12.65</v>
      </c>
      <c r="K548" s="8" t="s">
        <v>374</v>
      </c>
    </row>
    <row r="549" customFormat="false" ht="17.15" hidden="false" customHeight="false" outlineLevel="0" collapsed="false">
      <c r="A549" s="4" t="s">
        <v>375</v>
      </c>
      <c r="B549" s="4" t="s">
        <v>58</v>
      </c>
      <c r="D549" s="24" t="n">
        <f aca="false">v_gb</f>
        <v>59.7222222222222</v>
      </c>
      <c r="E549" s="24" t="n">
        <f aca="false">v_gb</f>
        <v>59.7222222222222</v>
      </c>
      <c r="F549" s="24" t="n">
        <f aca="false">v_gb</f>
        <v>59.7222222222222</v>
      </c>
      <c r="G549" s="24" t="n">
        <f aca="false">v_gb</f>
        <v>59.7222222222222</v>
      </c>
    </row>
    <row r="550" customFormat="false" ht="17.15" hidden="false" customHeight="false" outlineLevel="0" collapsed="false">
      <c r="A550" s="4" t="s">
        <v>376</v>
      </c>
      <c r="B550" s="4" t="s">
        <v>58</v>
      </c>
      <c r="D550" s="24" t="n">
        <f aca="false">v_vr</f>
        <v>116.666666666667</v>
      </c>
      <c r="E550" s="24" t="n">
        <f aca="false">v_vr</f>
        <v>116.666666666667</v>
      </c>
      <c r="F550" s="24" t="n">
        <f aca="false">v_vr*vpg_28</f>
        <v>116.666666666667</v>
      </c>
      <c r="G550" s="24" t="n">
        <f aca="false">v_vr*vpg_29</f>
        <v>116.666666666667</v>
      </c>
      <c r="K550" s="4" t="s">
        <v>377</v>
      </c>
    </row>
    <row r="551" customFormat="false" ht="17.15" hidden="false" customHeight="false" outlineLevel="0" collapsed="false">
      <c r="A551" s="4" t="s">
        <v>378</v>
      </c>
      <c r="B551" s="0" t="s">
        <v>117</v>
      </c>
      <c r="D551" s="25" t="n">
        <f aca="false">(D547*D549+D548*D550)</f>
        <v>595.486111111111</v>
      </c>
      <c r="E551" s="25" t="n">
        <f aca="false">(E547*E549+E548*E550)</f>
        <v>1170</v>
      </c>
      <c r="F551" s="25" t="n">
        <f aca="false">(F547*F549+F548*F550)</f>
        <v>1313.19444444444</v>
      </c>
      <c r="G551" s="25" t="n">
        <f aca="false">(G547*G549+G548*G550)</f>
        <v>1490.76388888889</v>
      </c>
      <c r="K551" s="4" t="s">
        <v>379</v>
      </c>
    </row>
    <row r="552" customFormat="false" ht="17.15" hidden="false" customHeight="false" outlineLevel="0" collapsed="false">
      <c r="A552" s="4" t="s">
        <v>380</v>
      </c>
      <c r="B552" s="0" t="s">
        <v>117</v>
      </c>
      <c r="E552" s="25" t="n">
        <f aca="false">0.5*D551+0.5*E551</f>
        <v>882.743055555556</v>
      </c>
      <c r="F552" s="25" t="n">
        <f aca="false">0.5*E551+0.5*F551</f>
        <v>1241.59722222222</v>
      </c>
      <c r="G552" s="25" t="n">
        <f aca="false">0.5*F551+0.5*G551</f>
        <v>1401.97916666667</v>
      </c>
      <c r="K552" s="4" t="s">
        <v>381</v>
      </c>
    </row>
    <row r="553" customFormat="false" ht="17.15" hidden="false" customHeight="false" outlineLevel="0" collapsed="false">
      <c r="A553" s="0" t="s">
        <v>382</v>
      </c>
      <c r="B553" s="0" t="s">
        <v>117</v>
      </c>
      <c r="E553" s="25" t="n">
        <f aca="false">0.5*D551+0.5*(uo_27*v_gb+un_27*v_vr)</f>
        <v>882.743055555556</v>
      </c>
      <c r="K553" s="4" t="s">
        <v>383</v>
      </c>
    </row>
    <row r="554" customFormat="false" ht="17.15" hidden="false" customHeight="false" outlineLevel="0" collapsed="false">
      <c r="A554" s="4" t="s">
        <v>384</v>
      </c>
      <c r="B554" s="0" t="s">
        <v>99</v>
      </c>
      <c r="D554" s="17" t="n">
        <f aca="false">a26_aih2/(0.5*D551)</f>
        <v>0.0499294936443149</v>
      </c>
      <c r="K554" s="8" t="s">
        <v>385</v>
      </c>
    </row>
    <row r="555" customFormat="false" ht="17.15" hidden="false" customHeight="false" outlineLevel="0" collapsed="false">
      <c r="A555" s="0" t="s">
        <v>386</v>
      </c>
      <c r="B555" s="0" t="s">
        <v>117</v>
      </c>
      <c r="E555" s="25" t="n">
        <f aca="false">g27_hi</f>
        <v>72</v>
      </c>
      <c r="K555" s="8" t="s">
        <v>387</v>
      </c>
    </row>
    <row r="556" customFormat="false" ht="17.15" hidden="false" customHeight="false" outlineLevel="0" collapsed="false">
      <c r="A556" s="4" t="s">
        <v>388</v>
      </c>
      <c r="B556" s="0" t="s">
        <v>66</v>
      </c>
      <c r="E556" s="20" t="n">
        <f aca="false">1</f>
        <v>1</v>
      </c>
      <c r="F556" s="20" t="n">
        <f aca="false">rel_28_hi*1</f>
        <v>1</v>
      </c>
      <c r="G556" s="20" t="n">
        <f aca="false">rel_29_hi*1</f>
        <v>1</v>
      </c>
      <c r="K556" s="8" t="s">
        <v>389</v>
      </c>
    </row>
    <row r="557" customFormat="false" ht="17.15" hidden="false" customHeight="false" outlineLevel="0" collapsed="false">
      <c r="A557" s="4" t="s">
        <v>390</v>
      </c>
      <c r="B557" s="0" t="s">
        <v>99</v>
      </c>
      <c r="E557" s="17" t="n">
        <f aca="false">(E555-E561)/E553</f>
        <v>0.0711967254847972</v>
      </c>
      <c r="F557" s="17" t="n">
        <f aca="false">$E557*F556</f>
        <v>0.0711967254847972</v>
      </c>
      <c r="G557" s="17" t="n">
        <f aca="false">$E557*G556</f>
        <v>0.0711967254847972</v>
      </c>
      <c r="K557" s="8" t="s">
        <v>391</v>
      </c>
    </row>
    <row r="558" customFormat="false" ht="17.15" hidden="false" customHeight="false" outlineLevel="0" collapsed="false">
      <c r="A558" s="0" t="s">
        <v>392</v>
      </c>
      <c r="B558" s="0" t="s">
        <v>66</v>
      </c>
      <c r="E558" s="20" t="n">
        <f aca="false">E557/D554</f>
        <v>1.42594527378917</v>
      </c>
      <c r="K558" s="8" t="s">
        <v>393</v>
      </c>
    </row>
    <row r="559" customFormat="false" ht="17.15" hidden="false" customHeight="false" outlineLevel="0" collapsed="false">
      <c r="A559" s="0" t="s">
        <v>394</v>
      </c>
      <c r="B559" s="0" t="s">
        <v>117</v>
      </c>
      <c r="C559" s="26" t="n">
        <f aca="false">a25_ai</f>
        <v>15.3804</v>
      </c>
      <c r="D559" s="26" t="n">
        <f aca="false">a26_ai</f>
        <v>29.911415</v>
      </c>
      <c r="E559" s="26" t="n">
        <f aca="false">E552*E557</f>
        <v>62.848415</v>
      </c>
      <c r="F559" s="26" t="n">
        <f aca="false">F552*F557</f>
        <v>88.3976565932423</v>
      </c>
      <c r="G559" s="26" t="n">
        <f aca="false">G552*G557</f>
        <v>99.8163258645715</v>
      </c>
    </row>
    <row r="560" customFormat="false" ht="17.15" hidden="false" customHeight="false" outlineLevel="0" collapsed="false">
      <c r="A560" s="6" t="s">
        <v>395</v>
      </c>
    </row>
    <row r="561" customFormat="false" ht="17.15" hidden="false" customHeight="false" outlineLevel="0" collapsed="false">
      <c r="A561" s="4" t="s">
        <v>310</v>
      </c>
      <c r="B561" s="0" t="s">
        <v>117</v>
      </c>
      <c r="C561" s="26" t="n">
        <f aca="false">a25_nai</f>
        <v>6.5916</v>
      </c>
      <c r="D561" s="26" t="n">
        <f aca="false">a26_nai</f>
        <v>9.151585</v>
      </c>
      <c r="E561" s="26" t="n">
        <f aca="false">D561*(1+g_nai27_lo)</f>
        <v>9.151585</v>
      </c>
      <c r="F561" s="26" t="n">
        <f aca="false">E561*(1+g_nai28_lo)</f>
        <v>8.69400575</v>
      </c>
      <c r="G561" s="26" t="n">
        <f aca="false">F561*(1+g_nai29_lo)</f>
        <v>8.2593054625</v>
      </c>
    </row>
    <row r="562" customFormat="false" ht="17.15" hidden="false" customHeight="false" outlineLevel="0" collapsed="false">
      <c r="A562" s="4" t="s">
        <v>282</v>
      </c>
      <c r="B562" s="0" t="s">
        <v>117</v>
      </c>
      <c r="C562" s="26" t="n">
        <f aca="false">C559+C561</f>
        <v>21.972</v>
      </c>
      <c r="D562" s="26" t="n">
        <f aca="false">D559+D561</f>
        <v>39.063</v>
      </c>
      <c r="E562" s="26" t="n">
        <f aca="false">E559+E561</f>
        <v>72</v>
      </c>
      <c r="F562" s="26" t="n">
        <f aca="false">F559+F561</f>
        <v>97.0916623432423</v>
      </c>
      <c r="G562" s="26" t="n">
        <f aca="false">G559+G561</f>
        <v>108.075631327071</v>
      </c>
      <c r="H562" s="27" t="n">
        <f aca="false">G562*(1+H563)</f>
        <v>118.388200070788</v>
      </c>
      <c r="I562" s="27" t="n">
        <f aca="false">H562*(1+I563)</f>
        <v>127.588142717971</v>
      </c>
      <c r="J562" s="27" t="n">
        <f aca="false">I562*(1+J563)</f>
        <v>135.243431281049</v>
      </c>
      <c r="K562" s="8" t="s">
        <v>396</v>
      </c>
    </row>
    <row r="563" customFormat="false" ht="15" hidden="false" customHeight="false" outlineLevel="0" collapsed="false">
      <c r="A563" s="4" t="s">
        <v>397</v>
      </c>
      <c r="B563" s="0" t="s">
        <v>99</v>
      </c>
      <c r="D563" s="18" t="n">
        <f aca="false">D562/C562-1</f>
        <v>0.777853631895139</v>
      </c>
      <c r="E563" s="18" t="n">
        <f aca="false">E562/D562-1</f>
        <v>0.843176407341986</v>
      </c>
      <c r="F563" s="18" t="n">
        <f aca="false">F562/E562-1</f>
        <v>0.34849531032281</v>
      </c>
      <c r="G563" s="18" t="n">
        <f aca="false">G562/F562-1</f>
        <v>0.11312988900116</v>
      </c>
      <c r="H563" s="28" t="n">
        <f aca="false">$G563+(fade_gA-$G563)*1/3</f>
        <v>0.0954199260007735</v>
      </c>
      <c r="I563" s="28" t="n">
        <f aca="false">$G563+(fade_gA-$G563)*2/3</f>
        <v>0.0777099630003868</v>
      </c>
      <c r="J563" s="28" t="n">
        <f aca="false">$G563+(fade_gA-$G563)*3/3</f>
        <v>0.06</v>
      </c>
    </row>
    <row r="564" customFormat="false" ht="17.15" hidden="false" customHeight="false" outlineLevel="0" collapsed="false">
      <c r="A564" s="0" t="s">
        <v>398</v>
      </c>
      <c r="B564" s="0" t="s">
        <v>99</v>
      </c>
      <c r="C564" s="18" t="n">
        <f aca="false">C559/C562</f>
        <v>0.7</v>
      </c>
      <c r="D564" s="18" t="n">
        <f aca="false">D559/D562</f>
        <v>0.765722422752989</v>
      </c>
      <c r="E564" s="18" t="n">
        <f aca="false">E559/E562</f>
        <v>0.872894652777778</v>
      </c>
      <c r="F564" s="18" t="n">
        <f aca="false">F559/F562</f>
        <v>0.910455691661096</v>
      </c>
      <c r="G564" s="18" t="n">
        <f aca="false">G559/G562</f>
        <v>0.923578466661882</v>
      </c>
    </row>
    <row r="565" customFormat="false" ht="17.15" hidden="false" customHeight="false" outlineLevel="0" collapsed="false">
      <c r="A565" s="4" t="s">
        <v>399</v>
      </c>
      <c r="B565" s="4" t="s">
        <v>27</v>
      </c>
      <c r="E565" s="20" t="n">
        <f aca="false">E559/((0.5*(D547*D549+D548*D550)+0.5*(E547*E549+E548*E550))/(0.5*(D547+D548)+0.5*(E547+E548)))</f>
        <v>0.695947991613893</v>
      </c>
      <c r="F565" s="20" t="n">
        <f aca="false">F559/((0.5*(E547*E549+E548*E550)+0.5*(F547*F549+F548*F550))/(0.5*(E547+E548)+0.5*(F547+F548)))</f>
        <v>0.808082834252449</v>
      </c>
      <c r="G565" s="20" t="n">
        <f aca="false">G559/((0.5*(F547*F549+F548*F550)+0.5*(G547*G549+G548*G550))/(0.5*(F547+F548)+0.5*(G547+G548)))</f>
        <v>0.868600050914526</v>
      </c>
      <c r="K565" s="4" t="s">
        <v>400</v>
      </c>
    </row>
    <row r="566" customFormat="false" ht="17.15" hidden="false" customHeight="false" outlineLevel="0" collapsed="false">
      <c r="A566" s="6" t="s">
        <v>401</v>
      </c>
    </row>
    <row r="567" customFormat="false" ht="17.15" hidden="false" customHeight="false" outlineLevel="0" collapsed="false">
      <c r="A567" s="0" t="s">
        <v>402</v>
      </c>
      <c r="B567" s="0" t="s">
        <v>99</v>
      </c>
      <c r="D567" s="17" t="n">
        <f aca="false">(a26_gp-gm_nai*a26_nai)/a26_ai</f>
        <v>0.0954338753281983</v>
      </c>
      <c r="K567" s="8" t="s">
        <v>403</v>
      </c>
    </row>
    <row r="568" customFormat="false" ht="17.15" hidden="false" customHeight="false" outlineLevel="0" collapsed="false">
      <c r="A568" s="0" t="s">
        <v>404</v>
      </c>
      <c r="B568" s="0" t="s">
        <v>99</v>
      </c>
      <c r="D568" s="17" t="n">
        <f aca="false">D567</f>
        <v>0.0954338753281983</v>
      </c>
      <c r="E568" s="17" t="n">
        <f aca="false">$D567+dgm_27_hi</f>
        <v>0.110433875328198</v>
      </c>
      <c r="F568" s="17" t="n">
        <f aca="false">$D567+dgm_28_hi</f>
        <v>0.110433875328198</v>
      </c>
      <c r="G568" s="17" t="n">
        <f aca="false">$D567+dgm_28_hi</f>
        <v>0.110433875328198</v>
      </c>
      <c r="K568" s="8" t="s">
        <v>405</v>
      </c>
    </row>
    <row r="569" customFormat="false" ht="15" hidden="false" customHeight="false" outlineLevel="0" collapsed="false">
      <c r="A569" s="4" t="s">
        <v>406</v>
      </c>
      <c r="B569" s="0" t="s">
        <v>117</v>
      </c>
      <c r="C569" s="26" t="n">
        <f aca="false">a25_gp</f>
        <v>2.4299</v>
      </c>
      <c r="D569" s="26" t="n">
        <f aca="false">a26_gp</f>
        <v>4.2273</v>
      </c>
      <c r="E569" s="26" t="n">
        <f aca="false">E568*E559+gm_nai*E561</f>
        <v>8.31333177668487</v>
      </c>
      <c r="F569" s="26" t="n">
        <f aca="false">F568*F559+gm_nai*F561</f>
        <v>11.066196650023</v>
      </c>
      <c r="G569" s="26" t="n">
        <f aca="false">G568*G559+gm_nai*G561</f>
        <v>12.2619995056219</v>
      </c>
    </row>
    <row r="570" customFormat="false" ht="15" hidden="false" customHeight="false" outlineLevel="0" collapsed="false">
      <c r="A570" s="4" t="s">
        <v>288</v>
      </c>
      <c r="B570" s="0" t="s">
        <v>99</v>
      </c>
      <c r="C570" s="17" t="n">
        <f aca="false">C569/C562</f>
        <v>0.110590751866011</v>
      </c>
      <c r="D570" s="17" t="n">
        <f aca="false">D569/D562</f>
        <v>0.108217494816066</v>
      </c>
      <c r="E570" s="17" t="n">
        <f aca="false">E569/E562</f>
        <v>0.115462941342845</v>
      </c>
      <c r="F570" s="17" t="n">
        <f aca="false">F569/F562</f>
        <v>0.113976796595586</v>
      </c>
      <c r="G570" s="17" t="n">
        <f aca="false">G569/G562</f>
        <v>0.113457579243865</v>
      </c>
    </row>
    <row r="571" customFormat="false" ht="15" hidden="false" customHeight="false" outlineLevel="0" collapsed="false">
      <c r="A571" s="4" t="s">
        <v>407</v>
      </c>
      <c r="B571" s="0" t="s">
        <v>117</v>
      </c>
      <c r="C571" s="26" t="n">
        <f aca="false">a25_opx</f>
        <v>1.1769</v>
      </c>
      <c r="D571" s="26" t="n">
        <f aca="false">a26_opx</f>
        <v>1.4568</v>
      </c>
      <c r="E571" s="26" t="n">
        <f aca="false">D571*(1+MAX(0,phi*E563))</f>
        <v>1.94813575608632</v>
      </c>
      <c r="F571" s="26" t="n">
        <f aca="false">E571*(1+MAX(0,phi*F563))</f>
        <v>2.21970222603363</v>
      </c>
      <c r="G571" s="26" t="n">
        <f aca="false">F571*(1+MAX(0,phi*G563))</f>
        <v>2.32014809261235</v>
      </c>
    </row>
    <row r="572" customFormat="false" ht="15" hidden="false" customHeight="false" outlineLevel="0" collapsed="false">
      <c r="A572" s="4" t="s">
        <v>408</v>
      </c>
      <c r="B572" s="0" t="s">
        <v>117</v>
      </c>
      <c r="C572" s="26" t="n">
        <f aca="false">C571</f>
        <v>1.1769</v>
      </c>
      <c r="D572" s="26" t="n">
        <f aca="false">D571</f>
        <v>1.4568</v>
      </c>
      <c r="E572" s="26" t="n">
        <f aca="false">E571+0*E562</f>
        <v>1.94813575608632</v>
      </c>
      <c r="F572" s="26" t="n">
        <f aca="false">F571+0*F562</f>
        <v>2.21970222603363</v>
      </c>
      <c r="G572" s="26" t="n">
        <f aca="false">G571+0*G562</f>
        <v>2.32014809261235</v>
      </c>
    </row>
    <row r="573" customFormat="false" ht="15" hidden="false" customHeight="false" outlineLevel="0" collapsed="false">
      <c r="A573" s="4" t="s">
        <v>291</v>
      </c>
      <c r="B573" s="0" t="s">
        <v>117</v>
      </c>
      <c r="C573" s="26" t="n">
        <f aca="false">C569-C572</f>
        <v>1.253</v>
      </c>
      <c r="D573" s="26" t="n">
        <f aca="false">D569-D572</f>
        <v>2.7705</v>
      </c>
      <c r="E573" s="26" t="n">
        <f aca="false">E569-E572</f>
        <v>6.36519602059855</v>
      </c>
      <c r="F573" s="26" t="n">
        <f aca="false">F569-F572</f>
        <v>8.84649442398938</v>
      </c>
      <c r="G573" s="26" t="n">
        <f aca="false">G569-G572</f>
        <v>9.94185141300955</v>
      </c>
    </row>
    <row r="574" customFormat="false" ht="15" hidden="false" customHeight="false" outlineLevel="0" collapsed="false">
      <c r="A574" s="4" t="s">
        <v>293</v>
      </c>
      <c r="B574" s="0" t="s">
        <v>99</v>
      </c>
      <c r="C574" s="17" t="n">
        <f aca="false">C573/C562</f>
        <v>0.0570271254323685</v>
      </c>
      <c r="D574" s="17" t="n">
        <f aca="false">D573/D562</f>
        <v>0.0709238921741801</v>
      </c>
      <c r="E574" s="17" t="n">
        <f aca="false">E573/E562</f>
        <v>0.0884055002860909</v>
      </c>
      <c r="F574" s="17" t="n">
        <f aca="false">F573/F562</f>
        <v>0.0911148723843547</v>
      </c>
      <c r="G574" s="17" t="n">
        <f aca="false">G573/G562</f>
        <v>0.0919897602348703</v>
      </c>
    </row>
    <row r="575" customFormat="false" ht="17.15" hidden="false" customHeight="false" outlineLevel="0" collapsed="false">
      <c r="A575" s="4" t="s">
        <v>167</v>
      </c>
      <c r="B575" s="0" t="s">
        <v>99</v>
      </c>
      <c r="C575" s="18" t="n">
        <f aca="false">a25_ni/a25_oi</f>
        <v>0.837110933758979</v>
      </c>
      <c r="D575" s="18" t="n">
        <f aca="false">a26_ni/a26_oi</f>
        <v>0.805089334055225</v>
      </c>
      <c r="E575" s="18" t="n">
        <f aca="false">nio_f</f>
        <v>0.75</v>
      </c>
      <c r="F575" s="18" t="n">
        <f aca="false">nio_f</f>
        <v>0.75</v>
      </c>
      <c r="G575" s="18" t="n">
        <f aca="false">nio_f</f>
        <v>0.75</v>
      </c>
    </row>
    <row r="576" customFormat="false" ht="15" hidden="false" customHeight="false" outlineLevel="0" collapsed="false">
      <c r="A576" s="4" t="s">
        <v>409</v>
      </c>
      <c r="B576" s="0" t="s">
        <v>117</v>
      </c>
      <c r="C576" s="26" t="n">
        <f aca="false">a25_ni</f>
        <v>1.0489</v>
      </c>
      <c r="D576" s="26" t="n">
        <f aca="false">a26_ni</f>
        <v>2.2305</v>
      </c>
      <c r="E576" s="26" t="n">
        <f aca="false">E573*E575</f>
        <v>4.77389701544891</v>
      </c>
      <c r="F576" s="26" t="n">
        <f aca="false">F573*F575</f>
        <v>6.63487081799203</v>
      </c>
      <c r="G576" s="26" t="n">
        <f aca="false">G573*G575</f>
        <v>7.45638855975716</v>
      </c>
    </row>
    <row r="577" customFormat="false" ht="17.15" hidden="false" customHeight="false" outlineLevel="0" collapsed="false">
      <c r="A577" s="4" t="s">
        <v>410</v>
      </c>
      <c r="B577" s="0" t="s">
        <v>117</v>
      </c>
      <c r="C577" s="16" t="n">
        <f aca="false">0</f>
        <v>0</v>
      </c>
      <c r="D577" s="16" t="n">
        <f aca="false">0</f>
        <v>0</v>
      </c>
      <c r="E577" s="16" t="n">
        <f aca="false">pref_div</f>
        <v>0.301875</v>
      </c>
      <c r="F577" s="16" t="n">
        <f aca="false">pref_div</f>
        <v>0.301875</v>
      </c>
      <c r="G577" s="16" t="n">
        <f aca="false">pref_div</f>
        <v>0.301875</v>
      </c>
      <c r="K577" s="8" t="s">
        <v>411</v>
      </c>
    </row>
    <row r="578" customFormat="false" ht="17.15" hidden="false" customHeight="false" outlineLevel="0" collapsed="false">
      <c r="A578" s="4" t="s">
        <v>359</v>
      </c>
      <c r="B578" s="0" t="s">
        <v>117</v>
      </c>
      <c r="C578" s="26" t="n">
        <f aca="false">C576-C577</f>
        <v>1.0489</v>
      </c>
      <c r="D578" s="26" t="n">
        <f aca="false">D576-D577</f>
        <v>2.2305</v>
      </c>
      <c r="E578" s="26" t="n">
        <f aca="false">E576-E577</f>
        <v>4.47202201544891</v>
      </c>
      <c r="F578" s="26" t="n">
        <f aca="false">F576-F577</f>
        <v>6.33299581799203</v>
      </c>
      <c r="G578" s="26" t="n">
        <f aca="false">G576-G577</f>
        <v>7.15451355975716</v>
      </c>
      <c r="H578" s="27" t="n">
        <f aca="false">H562*H583</f>
        <v>8.21214685352098</v>
      </c>
      <c r="I578" s="27" t="n">
        <f aca="false">I562*I583</f>
        <v>8.89802297024477</v>
      </c>
      <c r="J578" s="27" t="n">
        <f aca="false">J562*J583</f>
        <v>9.48247746635736</v>
      </c>
      <c r="K578" s="4" t="s">
        <v>412</v>
      </c>
    </row>
    <row r="579" customFormat="false" ht="17.15" hidden="false" customHeight="false" outlineLevel="0" collapsed="false">
      <c r="A579" s="4" t="s">
        <v>413</v>
      </c>
      <c r="B579" s="0" t="s">
        <v>99</v>
      </c>
      <c r="C579" s="17" t="n">
        <f aca="false">C576/C562</f>
        <v>0.0477380302202804</v>
      </c>
      <c r="D579" s="17" t="n">
        <f aca="false">D576/D562</f>
        <v>0.0571000691191153</v>
      </c>
      <c r="E579" s="17" t="n">
        <f aca="false">E576/E562</f>
        <v>0.0663041252145682</v>
      </c>
      <c r="F579" s="17" t="n">
        <f aca="false">F576/F562</f>
        <v>0.068336154288266</v>
      </c>
      <c r="G579" s="17" t="n">
        <f aca="false">G576/G562</f>
        <v>0.0689923201761528</v>
      </c>
      <c r="K579" s="4" t="s">
        <v>414</v>
      </c>
    </row>
    <row r="580" customFormat="false" ht="17.15" hidden="false" customHeight="false" outlineLevel="0" collapsed="false">
      <c r="A580" s="4" t="s">
        <v>415</v>
      </c>
      <c r="B580" s="4" t="s">
        <v>176</v>
      </c>
      <c r="C580" s="19" t="n">
        <f aca="false">a25_sh</f>
        <v>0.624345238095238</v>
      </c>
      <c r="D580" s="19" t="n">
        <f aca="false">a26_sh</f>
        <v>0.68420245398773</v>
      </c>
      <c r="E580" s="19" t="n">
        <f aca="false">sh27</f>
        <v>0.745</v>
      </c>
      <c r="F580" s="19" t="n">
        <f aca="false">E580*(1+sh_g)</f>
        <v>0.75245</v>
      </c>
      <c r="G580" s="19" t="n">
        <f aca="false">F580*(1+sh_g)</f>
        <v>0.7599745</v>
      </c>
      <c r="H580" s="31" t="n">
        <f aca="false">G580*(1+sh_g)+conv_sh</f>
        <v>0.91132712</v>
      </c>
      <c r="I580" s="31" t="n">
        <f aca="false">H580*(1+sh_g)</f>
        <v>0.9204403912</v>
      </c>
      <c r="J580" s="31" t="n">
        <f aca="false">I580*(1+sh_g)</f>
        <v>0.929644795112</v>
      </c>
    </row>
    <row r="581" customFormat="false" ht="17.15" hidden="false" customHeight="false" outlineLevel="0" collapsed="false">
      <c r="A581" s="0" t="s">
        <v>299</v>
      </c>
      <c r="B581" s="0" t="s">
        <v>189</v>
      </c>
      <c r="C581" s="26" t="n">
        <f aca="false">C578/C580</f>
        <v>1.68</v>
      </c>
      <c r="D581" s="26" t="n">
        <f aca="false">D578/D580</f>
        <v>3.26</v>
      </c>
      <c r="E581" s="26" t="n">
        <f aca="false">E578/E580</f>
        <v>6.00271411469652</v>
      </c>
      <c r="F581" s="26" t="n">
        <f aca="false">F578/F580</f>
        <v>8.41650052228325</v>
      </c>
      <c r="G581" s="26" t="n">
        <f aca="false">G578/G580</f>
        <v>9.41414950074925</v>
      </c>
      <c r="H581" s="30" t="n">
        <f aca="false">H578/H580</f>
        <v>9.01119551179491</v>
      </c>
      <c r="I581" s="30" t="n">
        <f aca="false">I578/I580</f>
        <v>9.66713657431331</v>
      </c>
      <c r="J581" s="30" t="n">
        <f aca="false">J578/J580</f>
        <v>10.2001081662754</v>
      </c>
    </row>
    <row r="582" customFormat="false" ht="17.15" hidden="false" customHeight="false" outlineLevel="0" collapsed="false">
      <c r="A582" s="0" t="s">
        <v>416</v>
      </c>
      <c r="B582" s="0" t="s">
        <v>99</v>
      </c>
      <c r="D582" s="18" t="n">
        <f aca="false">D581/C581-1</f>
        <v>0.940476190476191</v>
      </c>
      <c r="E582" s="18" t="n">
        <f aca="false">E581/D581-1</f>
        <v>0.841323348066418</v>
      </c>
      <c r="F582" s="18" t="n">
        <f aca="false">F581/E581-1</f>
        <v>0.402115836514191</v>
      </c>
      <c r="G582" s="18" t="n">
        <f aca="false">G581/F581-1</f>
        <v>0.11853489176703</v>
      </c>
      <c r="H582" s="28" t="n">
        <f aca="false">H581/G581-1</f>
        <v>-0.0428030157076077</v>
      </c>
      <c r="I582" s="28" t="n">
        <f aca="false">I581/H581-1</f>
        <v>0.0727917912401106</v>
      </c>
      <c r="J582" s="28" t="n">
        <f aca="false">J581/I581-1</f>
        <v>0.0551323122276233</v>
      </c>
    </row>
    <row r="583" customFormat="false" ht="17.15" hidden="false" customHeight="false" outlineLevel="0" collapsed="false">
      <c r="A583" s="4" t="s">
        <v>417</v>
      </c>
      <c r="B583" s="0" t="s">
        <v>99</v>
      </c>
      <c r="C583" s="17" t="n">
        <f aca="false">C578/C562</f>
        <v>0.0477380302202804</v>
      </c>
      <c r="D583" s="17" t="n">
        <f aca="false">D578/D562</f>
        <v>0.0571000691191153</v>
      </c>
      <c r="E583" s="17" t="n">
        <f aca="false">E578/E562</f>
        <v>0.0621114168812348</v>
      </c>
      <c r="F583" s="17" t="n">
        <f aca="false">F578/F562</f>
        <v>0.0652269789717203</v>
      </c>
      <c r="G583" s="17" t="n">
        <f aca="false">G578/G562</f>
        <v>0.0661991373254653</v>
      </c>
      <c r="H583" s="29" t="n">
        <f aca="false">$G579+(fade_mA-$G579)*1/3</f>
        <v>0.0693662615751462</v>
      </c>
      <c r="I583" s="29" t="n">
        <f aca="false">$G579+(fade_mA-$G579)*2/3</f>
        <v>0.0697402029741396</v>
      </c>
      <c r="J583" s="29" t="n">
        <f aca="false">$G579+(fade_mA-$G579)*3/3</f>
        <v>0.0701141443731329</v>
      </c>
    </row>
    <row r="586" customFormat="false" ht="17.15" hidden="false" customHeight="false" outlineLevel="0" collapsed="false">
      <c r="A586" s="1" t="s">
        <v>693</v>
      </c>
    </row>
    <row r="587" customFormat="false" ht="17.15" hidden="false" customHeight="false" outlineLevel="0" collapsed="false">
      <c r="A587" s="5" t="s">
        <v>16</v>
      </c>
      <c r="B587" s="5" t="s">
        <v>17</v>
      </c>
      <c r="C587" s="14" t="s">
        <v>276</v>
      </c>
      <c r="D587" s="14" t="s">
        <v>280</v>
      </c>
      <c r="E587" s="14" t="s">
        <v>348</v>
      </c>
      <c r="F587" s="14" t="s">
        <v>349</v>
      </c>
      <c r="G587" s="14" t="s">
        <v>350</v>
      </c>
      <c r="H587" s="14" t="s">
        <v>351</v>
      </c>
      <c r="I587" s="14" t="s">
        <v>352</v>
      </c>
      <c r="J587" s="14" t="s">
        <v>353</v>
      </c>
      <c r="K587" s="5" t="s">
        <v>324</v>
      </c>
    </row>
    <row r="588" customFormat="false" ht="17.15" hidden="false" customHeight="false" outlineLevel="0" collapsed="false">
      <c r="A588" s="6" t="s">
        <v>370</v>
      </c>
    </row>
    <row r="589" customFormat="false" ht="17.15" hidden="false" customHeight="false" outlineLevel="0" collapsed="false">
      <c r="A589" s="0" t="s">
        <v>371</v>
      </c>
      <c r="B589" s="4" t="s">
        <v>27</v>
      </c>
      <c r="D589" s="20" t="n">
        <f aca="false">uo_26</f>
        <v>6.65</v>
      </c>
      <c r="E589" s="20" t="n">
        <f aca="false">uo_27*mf</f>
        <v>2.4</v>
      </c>
      <c r="F589" s="20" t="n">
        <f aca="false">uo_28*um28_A*mf</f>
        <v>0.5</v>
      </c>
      <c r="G589" s="20" t="n">
        <f aca="false">uo_29*um29_A*mf</f>
        <v>0.25</v>
      </c>
      <c r="K589" s="8" t="s">
        <v>372</v>
      </c>
    </row>
    <row r="590" customFormat="false" ht="17.15" hidden="false" customHeight="false" outlineLevel="0" collapsed="false">
      <c r="A590" s="0" t="s">
        <v>373</v>
      </c>
      <c r="B590" s="4" t="s">
        <v>27</v>
      </c>
      <c r="D590" s="20" t="n">
        <f aca="false">un_26</f>
        <v>1.7</v>
      </c>
      <c r="E590" s="20" t="n">
        <f aca="false">un_27*mf</f>
        <v>8.8</v>
      </c>
      <c r="F590" s="20" t="n">
        <f aca="false">un_28*um28_A*mf</f>
        <v>11</v>
      </c>
      <c r="G590" s="20" t="n">
        <f aca="false">un_29*um29_A*mf</f>
        <v>12.65</v>
      </c>
      <c r="K590" s="8" t="s">
        <v>374</v>
      </c>
    </row>
    <row r="591" customFormat="false" ht="17.15" hidden="false" customHeight="false" outlineLevel="0" collapsed="false">
      <c r="A591" s="4" t="s">
        <v>375</v>
      </c>
      <c r="B591" s="4" t="s">
        <v>58</v>
      </c>
      <c r="D591" s="24" t="n">
        <f aca="false">v_gb</f>
        <v>59.7222222222222</v>
      </c>
      <c r="E591" s="24" t="n">
        <f aca="false">v_gb</f>
        <v>59.7222222222222</v>
      </c>
      <c r="F591" s="24" t="n">
        <f aca="false">v_gb</f>
        <v>59.7222222222222</v>
      </c>
      <c r="G591" s="24" t="n">
        <f aca="false">v_gb</f>
        <v>59.7222222222222</v>
      </c>
    </row>
    <row r="592" customFormat="false" ht="17.15" hidden="false" customHeight="false" outlineLevel="0" collapsed="false">
      <c r="A592" s="4" t="s">
        <v>376</v>
      </c>
      <c r="B592" s="4" t="s">
        <v>58</v>
      </c>
      <c r="D592" s="24" t="n">
        <f aca="false">v_vr</f>
        <v>116.666666666667</v>
      </c>
      <c r="E592" s="24" t="n">
        <f aca="false">v_vr</f>
        <v>116.666666666667</v>
      </c>
      <c r="F592" s="24" t="n">
        <f aca="false">v_vr*vpg_28</f>
        <v>116.666666666667</v>
      </c>
      <c r="G592" s="24" t="n">
        <f aca="false">v_vr*vpg_29</f>
        <v>116.666666666667</v>
      </c>
      <c r="K592" s="4" t="s">
        <v>377</v>
      </c>
    </row>
    <row r="593" customFormat="false" ht="17.15" hidden="false" customHeight="false" outlineLevel="0" collapsed="false">
      <c r="A593" s="4" t="s">
        <v>378</v>
      </c>
      <c r="B593" s="0" t="s">
        <v>117</v>
      </c>
      <c r="D593" s="25" t="n">
        <f aca="false">(D589*D591+D590*D592)</f>
        <v>595.486111111111</v>
      </c>
      <c r="E593" s="25" t="n">
        <f aca="false">(E589*E591+E590*E592)</f>
        <v>1170</v>
      </c>
      <c r="F593" s="25" t="n">
        <f aca="false">(F589*F591+F590*F592)</f>
        <v>1313.19444444444</v>
      </c>
      <c r="G593" s="25" t="n">
        <f aca="false">(G589*G591+G590*G592)</f>
        <v>1490.76388888889</v>
      </c>
      <c r="K593" s="4" t="s">
        <v>379</v>
      </c>
    </row>
    <row r="594" customFormat="false" ht="17.15" hidden="false" customHeight="false" outlineLevel="0" collapsed="false">
      <c r="A594" s="4" t="s">
        <v>380</v>
      </c>
      <c r="B594" s="0" t="s">
        <v>117</v>
      </c>
      <c r="E594" s="25" t="n">
        <f aca="false">0.5*D593+0.5*E593</f>
        <v>882.743055555556</v>
      </c>
      <c r="F594" s="25" t="n">
        <f aca="false">0.5*E593+0.5*F593</f>
        <v>1241.59722222222</v>
      </c>
      <c r="G594" s="25" t="n">
        <f aca="false">0.5*F593+0.5*G593</f>
        <v>1401.97916666667</v>
      </c>
      <c r="K594" s="4" t="s">
        <v>381</v>
      </c>
    </row>
    <row r="595" customFormat="false" ht="17.15" hidden="false" customHeight="false" outlineLevel="0" collapsed="false">
      <c r="A595" s="0" t="s">
        <v>382</v>
      </c>
      <c r="B595" s="0" t="s">
        <v>117</v>
      </c>
      <c r="E595" s="25" t="n">
        <f aca="false">0.5*D593+0.5*(uo_27*v_gb+un_27*v_vr)</f>
        <v>882.743055555556</v>
      </c>
      <c r="K595" s="4" t="s">
        <v>383</v>
      </c>
    </row>
    <row r="596" customFormat="false" ht="17.15" hidden="false" customHeight="false" outlineLevel="0" collapsed="false">
      <c r="A596" s="4" t="s">
        <v>384</v>
      </c>
      <c r="B596" s="0" t="s">
        <v>99</v>
      </c>
      <c r="D596" s="17" t="n">
        <f aca="false">a26_aih2/(0.5*D593)</f>
        <v>0.0499294936443149</v>
      </c>
      <c r="K596" s="8" t="s">
        <v>385</v>
      </c>
    </row>
    <row r="597" customFormat="false" ht="17.15" hidden="false" customHeight="false" outlineLevel="0" collapsed="false">
      <c r="A597" s="0" t="s">
        <v>386</v>
      </c>
      <c r="B597" s="0" t="s">
        <v>117</v>
      </c>
      <c r="E597" s="25" t="n">
        <f aca="false">g27_hi</f>
        <v>72</v>
      </c>
      <c r="K597" s="8" t="s">
        <v>387</v>
      </c>
    </row>
    <row r="598" customFormat="false" ht="17.15" hidden="false" customHeight="false" outlineLevel="0" collapsed="false">
      <c r="A598" s="4" t="s">
        <v>388</v>
      </c>
      <c r="B598" s="0" t="s">
        <v>66</v>
      </c>
      <c r="E598" s="20" t="n">
        <f aca="false">1</f>
        <v>1</v>
      </c>
      <c r="F598" s="20" t="n">
        <f aca="false">rel_28_hi*1</f>
        <v>1</v>
      </c>
      <c r="G598" s="20" t="n">
        <f aca="false">rel_29_hi*1</f>
        <v>1</v>
      </c>
      <c r="K598" s="8" t="s">
        <v>389</v>
      </c>
    </row>
    <row r="599" customFormat="false" ht="17.15" hidden="false" customHeight="false" outlineLevel="0" collapsed="false">
      <c r="A599" s="4" t="s">
        <v>390</v>
      </c>
      <c r="B599" s="0" t="s">
        <v>99</v>
      </c>
      <c r="E599" s="17" t="n">
        <f aca="false">(E597-E603)/E595</f>
        <v>0.0680865616803682</v>
      </c>
      <c r="F599" s="17" t="n">
        <f aca="false">$E599*F598</f>
        <v>0.0680865616803682</v>
      </c>
      <c r="G599" s="17" t="n">
        <f aca="false">$E599*G598</f>
        <v>0.0680865616803682</v>
      </c>
      <c r="K599" s="8" t="s">
        <v>391</v>
      </c>
    </row>
    <row r="600" customFormat="false" ht="17.15" hidden="false" customHeight="false" outlineLevel="0" collapsed="false">
      <c r="A600" s="0" t="s">
        <v>392</v>
      </c>
      <c r="B600" s="0" t="s">
        <v>66</v>
      </c>
      <c r="E600" s="20" t="n">
        <f aca="false">E599/D596</f>
        <v>1.36365415931112</v>
      </c>
      <c r="K600" s="8" t="s">
        <v>393</v>
      </c>
    </row>
    <row r="601" customFormat="false" ht="17.15" hidden="false" customHeight="false" outlineLevel="0" collapsed="false">
      <c r="A601" s="0" t="s">
        <v>394</v>
      </c>
      <c r="B601" s="0" t="s">
        <v>117</v>
      </c>
      <c r="C601" s="26" t="n">
        <f aca="false">a25_ai</f>
        <v>15.3804</v>
      </c>
      <c r="D601" s="26" t="n">
        <f aca="false">a26_ai</f>
        <v>29.911415</v>
      </c>
      <c r="E601" s="26" t="n">
        <f aca="false">E594*E599</f>
        <v>60.1029395</v>
      </c>
      <c r="F601" s="26" t="n">
        <f aca="false">F594*F599</f>
        <v>84.5360858530071</v>
      </c>
      <c r="G601" s="26" t="n">
        <f aca="false">G594*G599</f>
        <v>95.4559410058412</v>
      </c>
    </row>
    <row r="602" customFormat="false" ht="17.15" hidden="false" customHeight="false" outlineLevel="0" collapsed="false">
      <c r="A602" s="6" t="s">
        <v>395</v>
      </c>
    </row>
    <row r="603" customFormat="false" ht="17.15" hidden="false" customHeight="false" outlineLevel="0" collapsed="false">
      <c r="A603" s="4" t="s">
        <v>310</v>
      </c>
      <c r="B603" s="0" t="s">
        <v>117</v>
      </c>
      <c r="C603" s="26" t="n">
        <f aca="false">a25_nai</f>
        <v>6.5916</v>
      </c>
      <c r="D603" s="26" t="n">
        <f aca="false">a26_nai</f>
        <v>9.151585</v>
      </c>
      <c r="E603" s="26" t="n">
        <f aca="false">D603*(1+g_nai27_hi)</f>
        <v>11.8970605</v>
      </c>
      <c r="F603" s="26" t="n">
        <f aca="false">E603*(1+g_nai28_hi)</f>
        <v>14.2764726</v>
      </c>
      <c r="G603" s="26" t="n">
        <f aca="false">F603*(1+g_nai29_hi)</f>
        <v>16.41794349</v>
      </c>
    </row>
    <row r="604" customFormat="false" ht="17.15" hidden="false" customHeight="false" outlineLevel="0" collapsed="false">
      <c r="A604" s="4" t="s">
        <v>282</v>
      </c>
      <c r="B604" s="0" t="s">
        <v>117</v>
      </c>
      <c r="C604" s="26" t="n">
        <f aca="false">C601+C603</f>
        <v>21.972</v>
      </c>
      <c r="D604" s="26" t="n">
        <f aca="false">D601+D603</f>
        <v>39.063</v>
      </c>
      <c r="E604" s="26" t="n">
        <f aca="false">E601+E603</f>
        <v>72</v>
      </c>
      <c r="F604" s="26" t="n">
        <f aca="false">F601+F603</f>
        <v>98.8125584530071</v>
      </c>
      <c r="G604" s="26" t="n">
        <f aca="false">G601+G603</f>
        <v>111.873884495841</v>
      </c>
      <c r="H604" s="27" t="n">
        <f aca="false">G604*(1+H605)</f>
        <v>123.969901788113</v>
      </c>
      <c r="I604" s="27" t="n">
        <f aca="false">H604*(1+I605)</f>
        <v>134.390929692321</v>
      </c>
      <c r="J604" s="27" t="n">
        <f aca="false">I604*(1+J605)</f>
        <v>142.45438547386</v>
      </c>
      <c r="K604" s="8" t="s">
        <v>396</v>
      </c>
    </row>
    <row r="605" customFormat="false" ht="15" hidden="false" customHeight="false" outlineLevel="0" collapsed="false">
      <c r="A605" s="4" t="s">
        <v>397</v>
      </c>
      <c r="B605" s="0" t="s">
        <v>99</v>
      </c>
      <c r="D605" s="18" t="n">
        <f aca="false">D604/C604-1</f>
        <v>0.777853631895139</v>
      </c>
      <c r="E605" s="18" t="n">
        <f aca="false">E604/D604-1</f>
        <v>0.843176407341986</v>
      </c>
      <c r="F605" s="18" t="n">
        <f aca="false">F604/E604-1</f>
        <v>0.372396645180654</v>
      </c>
      <c r="G605" s="18" t="n">
        <f aca="false">G604/F604-1</f>
        <v>0.132182854561404</v>
      </c>
      <c r="H605" s="28" t="n">
        <f aca="false">$G605+(fade_gA-$G605)*1/3</f>
        <v>0.108121903040936</v>
      </c>
      <c r="I605" s="28" t="n">
        <f aca="false">$G605+(fade_gA-$G605)*2/3</f>
        <v>0.084060951520468</v>
      </c>
      <c r="J605" s="28" t="n">
        <f aca="false">$G605+(fade_gA-$G605)*3/3</f>
        <v>0.06</v>
      </c>
    </row>
    <row r="606" customFormat="false" ht="17.15" hidden="false" customHeight="false" outlineLevel="0" collapsed="false">
      <c r="A606" s="0" t="s">
        <v>398</v>
      </c>
      <c r="B606" s="0" t="s">
        <v>99</v>
      </c>
      <c r="C606" s="18" t="n">
        <f aca="false">C601/C604</f>
        <v>0.7</v>
      </c>
      <c r="D606" s="18" t="n">
        <f aca="false">D601/D604</f>
        <v>0.765722422752989</v>
      </c>
      <c r="E606" s="18" t="n">
        <f aca="false">E601/E604</f>
        <v>0.834763048611111</v>
      </c>
      <c r="F606" s="18" t="n">
        <f aca="false">F601/F604</f>
        <v>0.855519654348495</v>
      </c>
      <c r="G606" s="18" t="n">
        <f aca="false">G601/G604</f>
        <v>0.853245969209102</v>
      </c>
    </row>
    <row r="607" customFormat="false" ht="17.15" hidden="false" customHeight="false" outlineLevel="0" collapsed="false">
      <c r="A607" s="4" t="s">
        <v>399</v>
      </c>
      <c r="B607" s="4" t="s">
        <v>27</v>
      </c>
      <c r="E607" s="20" t="n">
        <f aca="false">E601/((0.5*(D589*D591+D590*D592)+0.5*(E589*E591+E590*E592))/(0.5*(D589+D590)+0.5*(E589+E590)))</f>
        <v>0.665546140425599</v>
      </c>
      <c r="F607" s="20" t="n">
        <f aca="false">F601/((0.5*(E589*E591+E590*E592)+0.5*(F589*F591+F590*F592))/(0.5*(E589+E590)+0.5*(F589+F590)))</f>
        <v>0.772782475072179</v>
      </c>
      <c r="G607" s="20" t="n">
        <f aca="false">G601/((0.5*(F589*F591+F590*F592)+0.5*(G589*G591+G590*G592))/(0.5*(F589+F590)+0.5*(G589+G590)))</f>
        <v>0.830656052500492</v>
      </c>
      <c r="K607" s="4" t="s">
        <v>400</v>
      </c>
    </row>
    <row r="608" customFormat="false" ht="17.15" hidden="false" customHeight="false" outlineLevel="0" collapsed="false">
      <c r="A608" s="6" t="s">
        <v>401</v>
      </c>
    </row>
    <row r="609" customFormat="false" ht="17.15" hidden="false" customHeight="false" outlineLevel="0" collapsed="false">
      <c r="A609" s="0" t="s">
        <v>402</v>
      </c>
      <c r="B609" s="0" t="s">
        <v>99</v>
      </c>
      <c r="D609" s="17" t="n">
        <f aca="false">(a26_gp-gm_nai*a26_nai)/a26_ai</f>
        <v>0.0954338753281983</v>
      </c>
      <c r="K609" s="8" t="s">
        <v>403</v>
      </c>
    </row>
    <row r="610" customFormat="false" ht="17.15" hidden="false" customHeight="false" outlineLevel="0" collapsed="false">
      <c r="A610" s="0" t="s">
        <v>404</v>
      </c>
      <c r="B610" s="0" t="s">
        <v>99</v>
      </c>
      <c r="D610" s="17" t="n">
        <f aca="false">D609</f>
        <v>0.0954338753281983</v>
      </c>
      <c r="E610" s="17" t="n">
        <f aca="false">$D609+dgm_27_hi</f>
        <v>0.110433875328198</v>
      </c>
      <c r="F610" s="17" t="n">
        <f aca="false">$D609+dgm_28_hi</f>
        <v>0.110433875328198</v>
      </c>
      <c r="G610" s="17" t="n">
        <f aca="false">$D609+dgm_28_hi</f>
        <v>0.110433875328198</v>
      </c>
      <c r="K610" s="8" t="s">
        <v>405</v>
      </c>
    </row>
    <row r="611" customFormat="false" ht="15" hidden="false" customHeight="false" outlineLevel="0" collapsed="false">
      <c r="A611" s="4" t="s">
        <v>406</v>
      </c>
      <c r="B611" s="0" t="s">
        <v>117</v>
      </c>
      <c r="C611" s="26" t="n">
        <f aca="false">a25_gp</f>
        <v>2.4299</v>
      </c>
      <c r="D611" s="26" t="n">
        <f aca="false">a26_gp</f>
        <v>4.2273</v>
      </c>
      <c r="E611" s="26" t="n">
        <f aca="false">E610*E601+gm_nai*E603</f>
        <v>8.42195960260124</v>
      </c>
      <c r="F611" s="26" t="n">
        <f aca="false">F610*F601+gm_nai*F603</f>
        <v>11.4771184558249</v>
      </c>
      <c r="G611" s="26" t="n">
        <f aca="false">G610*G601+gm_nai*G603</f>
        <v>13.0042610118749</v>
      </c>
    </row>
    <row r="612" customFormat="false" ht="15" hidden="false" customHeight="false" outlineLevel="0" collapsed="false">
      <c r="A612" s="4" t="s">
        <v>288</v>
      </c>
      <c r="B612" s="0" t="s">
        <v>99</v>
      </c>
      <c r="C612" s="17" t="n">
        <f aca="false">C611/C604</f>
        <v>0.110590751866011</v>
      </c>
      <c r="D612" s="17" t="n">
        <f aca="false">D611/D604</f>
        <v>0.108217494816066</v>
      </c>
      <c r="E612" s="17" t="n">
        <f aca="false">E611/E604</f>
        <v>0.116971661147239</v>
      </c>
      <c r="F612" s="17" t="n">
        <f aca="false">F611/F604</f>
        <v>0.116150402696871</v>
      </c>
      <c r="G612" s="17" t="n">
        <f aca="false">G611/G604</f>
        <v>0.11624036360656</v>
      </c>
    </row>
    <row r="613" customFormat="false" ht="15" hidden="false" customHeight="false" outlineLevel="0" collapsed="false">
      <c r="A613" s="4" t="s">
        <v>407</v>
      </c>
      <c r="B613" s="0" t="s">
        <v>117</v>
      </c>
      <c r="C613" s="26" t="n">
        <f aca="false">a25_opx</f>
        <v>1.1769</v>
      </c>
      <c r="D613" s="26" t="n">
        <f aca="false">a26_opx</f>
        <v>1.4568</v>
      </c>
      <c r="E613" s="26" t="n">
        <f aca="false">D613*(1+MAX(0,phi*E605))</f>
        <v>1.94813575608632</v>
      </c>
      <c r="F613" s="26" t="n">
        <f aca="false">E613*(1+MAX(0,phi*F605))</f>
        <v>2.23832744405553</v>
      </c>
      <c r="G613" s="26" t="n">
        <f aca="false">F613*(1+MAX(0,phi*G605))</f>
        <v>2.35667484845489</v>
      </c>
    </row>
    <row r="614" customFormat="false" ht="15" hidden="false" customHeight="false" outlineLevel="0" collapsed="false">
      <c r="A614" s="4" t="s">
        <v>408</v>
      </c>
      <c r="B614" s="0" t="s">
        <v>117</v>
      </c>
      <c r="C614" s="26" t="n">
        <f aca="false">C613</f>
        <v>1.1769</v>
      </c>
      <c r="D614" s="26" t="n">
        <f aca="false">D613</f>
        <v>1.4568</v>
      </c>
      <c r="E614" s="26" t="n">
        <f aca="false">E613+0*E604</f>
        <v>1.94813575608632</v>
      </c>
      <c r="F614" s="26" t="n">
        <f aca="false">F613+0*F604</f>
        <v>2.23832744405553</v>
      </c>
      <c r="G614" s="26" t="n">
        <f aca="false">G613+0*G604</f>
        <v>2.35667484845489</v>
      </c>
    </row>
    <row r="615" customFormat="false" ht="15" hidden="false" customHeight="false" outlineLevel="0" collapsed="false">
      <c r="A615" s="4" t="s">
        <v>291</v>
      </c>
      <c r="B615" s="0" t="s">
        <v>117</v>
      </c>
      <c r="C615" s="26" t="n">
        <f aca="false">C611-C614</f>
        <v>1.253</v>
      </c>
      <c r="D615" s="26" t="n">
        <f aca="false">D611-D614</f>
        <v>2.7705</v>
      </c>
      <c r="E615" s="26" t="n">
        <f aca="false">E611-E614</f>
        <v>6.47382384651492</v>
      </c>
      <c r="F615" s="26" t="n">
        <f aca="false">F611-F614</f>
        <v>9.23879101176932</v>
      </c>
      <c r="G615" s="26" t="n">
        <f aca="false">G611-G614</f>
        <v>10.64758616342</v>
      </c>
    </row>
    <row r="616" customFormat="false" ht="15" hidden="false" customHeight="false" outlineLevel="0" collapsed="false">
      <c r="A616" s="4" t="s">
        <v>293</v>
      </c>
      <c r="B616" s="0" t="s">
        <v>99</v>
      </c>
      <c r="C616" s="17" t="n">
        <f aca="false">C615/C604</f>
        <v>0.0570271254323685</v>
      </c>
      <c r="D616" s="17" t="n">
        <f aca="false">D615/D604</f>
        <v>0.0709238921741801</v>
      </c>
      <c r="E616" s="17" t="n">
        <f aca="false">E615/E604</f>
        <v>0.089914220090485</v>
      </c>
      <c r="F616" s="17" t="n">
        <f aca="false">F615/F604</f>
        <v>0.093498145948352</v>
      </c>
      <c r="G616" s="17" t="n">
        <f aca="false">G615/G604</f>
        <v>0.0951749035210791</v>
      </c>
    </row>
    <row r="617" customFormat="false" ht="17.15" hidden="false" customHeight="false" outlineLevel="0" collapsed="false">
      <c r="A617" s="4" t="s">
        <v>167</v>
      </c>
      <c r="B617" s="0" t="s">
        <v>99</v>
      </c>
      <c r="C617" s="18" t="n">
        <f aca="false">a25_ni/a25_oi</f>
        <v>0.837110933758979</v>
      </c>
      <c r="D617" s="18" t="n">
        <f aca="false">a26_ni/a26_oi</f>
        <v>0.805089334055225</v>
      </c>
      <c r="E617" s="18" t="n">
        <f aca="false">nio_f</f>
        <v>0.75</v>
      </c>
      <c r="F617" s="18" t="n">
        <f aca="false">nio_f</f>
        <v>0.75</v>
      </c>
      <c r="G617" s="18" t="n">
        <f aca="false">nio_f</f>
        <v>0.75</v>
      </c>
    </row>
    <row r="618" customFormat="false" ht="15" hidden="false" customHeight="false" outlineLevel="0" collapsed="false">
      <c r="A618" s="4" t="s">
        <v>409</v>
      </c>
      <c r="B618" s="0" t="s">
        <v>117</v>
      </c>
      <c r="C618" s="26" t="n">
        <f aca="false">a25_ni</f>
        <v>1.0489</v>
      </c>
      <c r="D618" s="26" t="n">
        <f aca="false">a26_ni</f>
        <v>2.2305</v>
      </c>
      <c r="E618" s="26" t="n">
        <f aca="false">E615*E617</f>
        <v>4.85536788488619</v>
      </c>
      <c r="F618" s="26" t="n">
        <f aca="false">F615*F617</f>
        <v>6.92909325882699</v>
      </c>
      <c r="G618" s="26" t="n">
        <f aca="false">G615*G617</f>
        <v>7.98568962256502</v>
      </c>
    </row>
    <row r="619" customFormat="false" ht="17.15" hidden="false" customHeight="false" outlineLevel="0" collapsed="false">
      <c r="A619" s="4" t="s">
        <v>410</v>
      </c>
      <c r="B619" s="0" t="s">
        <v>117</v>
      </c>
      <c r="C619" s="16" t="n">
        <f aca="false">0</f>
        <v>0</v>
      </c>
      <c r="D619" s="16" t="n">
        <f aca="false">0</f>
        <v>0</v>
      </c>
      <c r="E619" s="16" t="n">
        <f aca="false">pref_div</f>
        <v>0.301875</v>
      </c>
      <c r="F619" s="16" t="n">
        <f aca="false">pref_div</f>
        <v>0.301875</v>
      </c>
      <c r="G619" s="16" t="n">
        <f aca="false">pref_div</f>
        <v>0.301875</v>
      </c>
      <c r="K619" s="8" t="s">
        <v>411</v>
      </c>
    </row>
    <row r="620" customFormat="false" ht="17.15" hidden="false" customHeight="false" outlineLevel="0" collapsed="false">
      <c r="A620" s="4" t="s">
        <v>359</v>
      </c>
      <c r="B620" s="0" t="s">
        <v>117</v>
      </c>
      <c r="C620" s="26" t="n">
        <f aca="false">C618-C619</f>
        <v>1.0489</v>
      </c>
      <c r="D620" s="26" t="n">
        <f aca="false">D618-D619</f>
        <v>2.2305</v>
      </c>
      <c r="E620" s="26" t="n">
        <f aca="false">E618-E619</f>
        <v>4.55349288488619</v>
      </c>
      <c r="F620" s="26" t="n">
        <f aca="false">F618-F619</f>
        <v>6.62721825882699</v>
      </c>
      <c r="G620" s="26" t="n">
        <f aca="false">G618-G619</f>
        <v>7.68381462256502</v>
      </c>
      <c r="H620" s="27" t="n">
        <f aca="false">H604*H625</f>
        <v>8.79675958506563</v>
      </c>
      <c r="I620" s="27" t="n">
        <f aca="false">I604*I625</f>
        <v>9.47946430648501</v>
      </c>
      <c r="J620" s="27" t="n">
        <f aca="false">J604*J625</f>
        <v>9.98806734970019</v>
      </c>
      <c r="K620" s="4" t="s">
        <v>412</v>
      </c>
    </row>
    <row r="621" customFormat="false" ht="17.15" hidden="false" customHeight="false" outlineLevel="0" collapsed="false">
      <c r="A621" s="4" t="s">
        <v>413</v>
      </c>
      <c r="B621" s="0" t="s">
        <v>99</v>
      </c>
      <c r="C621" s="17" t="n">
        <f aca="false">C618/C604</f>
        <v>0.0477380302202804</v>
      </c>
      <c r="D621" s="17" t="n">
        <f aca="false">D618/D604</f>
        <v>0.0571000691191153</v>
      </c>
      <c r="E621" s="17" t="n">
        <f aca="false">E618/E604</f>
        <v>0.0674356650678638</v>
      </c>
      <c r="F621" s="17" t="n">
        <f aca="false">F618/F604</f>
        <v>0.070123609461264</v>
      </c>
      <c r="G621" s="17" t="n">
        <f aca="false">G618/G604</f>
        <v>0.0713811776408093</v>
      </c>
      <c r="K621" s="4" t="s">
        <v>414</v>
      </c>
    </row>
    <row r="622" customFormat="false" ht="17.15" hidden="false" customHeight="false" outlineLevel="0" collapsed="false">
      <c r="A622" s="4" t="s">
        <v>415</v>
      </c>
      <c r="B622" s="4" t="s">
        <v>176</v>
      </c>
      <c r="C622" s="19" t="n">
        <f aca="false">a25_sh</f>
        <v>0.624345238095238</v>
      </c>
      <c r="D622" s="19" t="n">
        <f aca="false">a26_sh</f>
        <v>0.68420245398773</v>
      </c>
      <c r="E622" s="19" t="n">
        <f aca="false">sh27</f>
        <v>0.745</v>
      </c>
      <c r="F622" s="19" t="n">
        <f aca="false">E622*(1+sh_g)</f>
        <v>0.75245</v>
      </c>
      <c r="G622" s="19" t="n">
        <f aca="false">F622*(1+sh_g)</f>
        <v>0.7599745</v>
      </c>
      <c r="H622" s="31" t="n">
        <f aca="false">G622*(1+sh_g)+conv_sh</f>
        <v>0.91132712</v>
      </c>
      <c r="I622" s="31" t="n">
        <f aca="false">H622*(1+sh_g)</f>
        <v>0.9204403912</v>
      </c>
      <c r="J622" s="31" t="n">
        <f aca="false">I622*(1+sh_g)</f>
        <v>0.929644795112</v>
      </c>
    </row>
    <row r="623" customFormat="false" ht="17.15" hidden="false" customHeight="false" outlineLevel="0" collapsed="false">
      <c r="A623" s="0" t="s">
        <v>299</v>
      </c>
      <c r="B623" s="0" t="s">
        <v>189</v>
      </c>
      <c r="C623" s="26" t="n">
        <f aca="false">C620/C622</f>
        <v>1.68</v>
      </c>
      <c r="D623" s="26" t="n">
        <f aca="false">D620/D622</f>
        <v>3.26</v>
      </c>
      <c r="E623" s="26" t="n">
        <f aca="false">E620/E622</f>
        <v>6.11207098642442</v>
      </c>
      <c r="F623" s="26" t="n">
        <f aca="false">F620/F622</f>
        <v>8.8075197804864</v>
      </c>
      <c r="G623" s="26" t="n">
        <f aca="false">G620/G622</f>
        <v>10.1106216360747</v>
      </c>
      <c r="H623" s="30" t="n">
        <f aca="false">H620/H622</f>
        <v>9.65269154402607</v>
      </c>
      <c r="I623" s="30" t="n">
        <f aca="false">I620/I622</f>
        <v>10.2988356411939</v>
      </c>
      <c r="J623" s="30" t="n">
        <f aca="false">J620/J622</f>
        <v>10.7439609216517</v>
      </c>
    </row>
    <row r="624" customFormat="false" ht="17.15" hidden="false" customHeight="false" outlineLevel="0" collapsed="false">
      <c r="A624" s="0" t="s">
        <v>416</v>
      </c>
      <c r="B624" s="0" t="s">
        <v>99</v>
      </c>
      <c r="D624" s="18" t="n">
        <f aca="false">D623/C623-1</f>
        <v>0.940476190476191</v>
      </c>
      <c r="E624" s="18" t="n">
        <f aca="false">E623/D623-1</f>
        <v>0.874868400743686</v>
      </c>
      <c r="F624" s="18" t="n">
        <f aca="false">F623/E623-1</f>
        <v>0.441004170280233</v>
      </c>
      <c r="G624" s="18" t="n">
        <f aca="false">G623/F623-1</f>
        <v>0.14795332716429</v>
      </c>
      <c r="H624" s="28" t="n">
        <f aca="false">H623/G623-1</f>
        <v>-0.0452919818910732</v>
      </c>
      <c r="I624" s="28" t="n">
        <f aca="false">I623/H623-1</f>
        <v>0.0669392670656412</v>
      </c>
      <c r="J624" s="28" t="n">
        <f aca="false">J623/I623-1</f>
        <v>0.0432209325370068</v>
      </c>
    </row>
    <row r="625" customFormat="false" ht="17.15" hidden="false" customHeight="false" outlineLevel="0" collapsed="false">
      <c r="A625" s="4" t="s">
        <v>417</v>
      </c>
      <c r="B625" s="0" t="s">
        <v>99</v>
      </c>
      <c r="C625" s="17" t="n">
        <f aca="false">C620/C604</f>
        <v>0.0477380302202804</v>
      </c>
      <c r="D625" s="17" t="n">
        <f aca="false">D620/D604</f>
        <v>0.0571000691191153</v>
      </c>
      <c r="E625" s="17" t="n">
        <f aca="false">E620/E604</f>
        <v>0.0632429567345304</v>
      </c>
      <c r="F625" s="17" t="n">
        <f aca="false">F620/F604</f>
        <v>0.0670685828054815</v>
      </c>
      <c r="G625" s="17" t="n">
        <f aca="false">G620/G604</f>
        <v>0.0686828267132412</v>
      </c>
      <c r="H625" s="29" t="n">
        <f aca="false">$G621+(fade_mA-$G621)*1/3</f>
        <v>0.0709588332182505</v>
      </c>
      <c r="I625" s="29" t="n">
        <f aca="false">$G621+(fade_mA-$G621)*2/3</f>
        <v>0.0705364887956917</v>
      </c>
      <c r="J625" s="29" t="n">
        <f aca="false">$G621+(fade_mA-$G621)*3/3</f>
        <v>0.0701141443731329</v>
      </c>
    </row>
    <row r="628" customFormat="false" ht="17.15" hidden="false" customHeight="false" outlineLevel="0" collapsed="false">
      <c r="A628" s="1" t="s">
        <v>694</v>
      </c>
    </row>
    <row r="629" customFormat="false" ht="17.15" hidden="false" customHeight="false" outlineLevel="0" collapsed="false">
      <c r="A629" s="5" t="s">
        <v>16</v>
      </c>
      <c r="B629" s="5" t="s">
        <v>17</v>
      </c>
      <c r="C629" s="14" t="s">
        <v>276</v>
      </c>
      <c r="D629" s="14" t="s">
        <v>280</v>
      </c>
      <c r="E629" s="14" t="s">
        <v>348</v>
      </c>
      <c r="F629" s="14" t="s">
        <v>349</v>
      </c>
      <c r="G629" s="14" t="s">
        <v>350</v>
      </c>
      <c r="H629" s="14" t="s">
        <v>351</v>
      </c>
      <c r="I629" s="14" t="s">
        <v>352</v>
      </c>
      <c r="J629" s="14" t="s">
        <v>353</v>
      </c>
      <c r="K629" s="5" t="s">
        <v>324</v>
      </c>
    </row>
    <row r="630" customFormat="false" ht="17.15" hidden="false" customHeight="false" outlineLevel="0" collapsed="false">
      <c r="A630" s="6" t="s">
        <v>370</v>
      </c>
    </row>
    <row r="631" customFormat="false" ht="17.15" hidden="false" customHeight="false" outlineLevel="0" collapsed="false">
      <c r="A631" s="0" t="s">
        <v>371</v>
      </c>
      <c r="B631" s="4" t="s">
        <v>27</v>
      </c>
      <c r="D631" s="20" t="n">
        <f aca="false">uo_26</f>
        <v>6.65</v>
      </c>
      <c r="E631" s="20" t="n">
        <f aca="false">uo_27*mf</f>
        <v>2.4</v>
      </c>
      <c r="F631" s="20" t="n">
        <f aca="false">uo_28*um28_A*mf</f>
        <v>0.5</v>
      </c>
      <c r="G631" s="20" t="n">
        <f aca="false">uo_29*um29_A*mf</f>
        <v>0.25</v>
      </c>
      <c r="K631" s="8" t="s">
        <v>372</v>
      </c>
    </row>
    <row r="632" customFormat="false" ht="17.15" hidden="false" customHeight="false" outlineLevel="0" collapsed="false">
      <c r="A632" s="0" t="s">
        <v>373</v>
      </c>
      <c r="B632" s="4" t="s">
        <v>27</v>
      </c>
      <c r="D632" s="20" t="n">
        <f aca="false">un_26</f>
        <v>1.7</v>
      </c>
      <c r="E632" s="20" t="n">
        <f aca="false">un_27*mf</f>
        <v>8.8</v>
      </c>
      <c r="F632" s="20" t="n">
        <f aca="false">un_28*um28_A*mf</f>
        <v>11</v>
      </c>
      <c r="G632" s="20" t="n">
        <f aca="false">un_29*um29_A*mf</f>
        <v>12.65</v>
      </c>
      <c r="K632" s="8" t="s">
        <v>374</v>
      </c>
    </row>
    <row r="633" customFormat="false" ht="17.15" hidden="false" customHeight="false" outlineLevel="0" collapsed="false">
      <c r="A633" s="4" t="s">
        <v>375</v>
      </c>
      <c r="B633" s="4" t="s">
        <v>58</v>
      </c>
      <c r="D633" s="24" t="n">
        <f aca="false">v_gb</f>
        <v>59.7222222222222</v>
      </c>
      <c r="E633" s="24" t="n">
        <f aca="false">v_gb</f>
        <v>59.7222222222222</v>
      </c>
      <c r="F633" s="24" t="n">
        <f aca="false">v_gb</f>
        <v>59.7222222222222</v>
      </c>
      <c r="G633" s="24" t="n">
        <f aca="false">v_gb</f>
        <v>59.7222222222222</v>
      </c>
    </row>
    <row r="634" customFormat="false" ht="17.15" hidden="false" customHeight="false" outlineLevel="0" collapsed="false">
      <c r="A634" s="4" t="s">
        <v>376</v>
      </c>
      <c r="B634" s="4" t="s">
        <v>58</v>
      </c>
      <c r="D634" s="24" t="n">
        <f aca="false">v_vr</f>
        <v>116.666666666667</v>
      </c>
      <c r="E634" s="24" t="n">
        <f aca="false">v_vr</f>
        <v>116.666666666667</v>
      </c>
      <c r="F634" s="24" t="n">
        <f aca="false">v_vr*vpg_28</f>
        <v>116.666666666667</v>
      </c>
      <c r="G634" s="24" t="n">
        <f aca="false">v_vr*vpg_29</f>
        <v>116.666666666667</v>
      </c>
      <c r="K634" s="4" t="s">
        <v>377</v>
      </c>
    </row>
    <row r="635" customFormat="false" ht="17.15" hidden="false" customHeight="false" outlineLevel="0" collapsed="false">
      <c r="A635" s="4" t="s">
        <v>378</v>
      </c>
      <c r="B635" s="0" t="s">
        <v>117</v>
      </c>
      <c r="D635" s="25" t="n">
        <f aca="false">(D631*D633+D632*D634)</f>
        <v>595.486111111111</v>
      </c>
      <c r="E635" s="25" t="n">
        <f aca="false">(E631*E633+E632*E634)</f>
        <v>1170</v>
      </c>
      <c r="F635" s="25" t="n">
        <f aca="false">(F631*F633+F632*F634)</f>
        <v>1313.19444444444</v>
      </c>
      <c r="G635" s="25" t="n">
        <f aca="false">(G631*G633+G632*G634)</f>
        <v>1490.76388888889</v>
      </c>
      <c r="K635" s="4" t="s">
        <v>379</v>
      </c>
    </row>
    <row r="636" customFormat="false" ht="17.15" hidden="false" customHeight="false" outlineLevel="0" collapsed="false">
      <c r="A636" s="4" t="s">
        <v>380</v>
      </c>
      <c r="B636" s="0" t="s">
        <v>117</v>
      </c>
      <c r="E636" s="25" t="n">
        <f aca="false">0.5*D635+0.5*E635</f>
        <v>882.743055555556</v>
      </c>
      <c r="F636" s="25" t="n">
        <f aca="false">0.5*E635+0.5*F635</f>
        <v>1241.59722222222</v>
      </c>
      <c r="G636" s="25" t="n">
        <f aca="false">0.5*F635+0.5*G635</f>
        <v>1401.97916666667</v>
      </c>
      <c r="K636" s="4" t="s">
        <v>381</v>
      </c>
    </row>
    <row r="637" customFormat="false" ht="17.15" hidden="false" customHeight="false" outlineLevel="0" collapsed="false">
      <c r="A637" s="0" t="s">
        <v>382</v>
      </c>
      <c r="B637" s="0" t="s">
        <v>117</v>
      </c>
      <c r="E637" s="25" t="n">
        <f aca="false">0.5*D635+0.5*(uo_27*v_gb+un_27*v_vr)</f>
        <v>882.743055555556</v>
      </c>
      <c r="K637" s="4" t="s">
        <v>383</v>
      </c>
    </row>
    <row r="638" customFormat="false" ht="17.15" hidden="false" customHeight="false" outlineLevel="0" collapsed="false">
      <c r="A638" s="4" t="s">
        <v>384</v>
      </c>
      <c r="B638" s="0" t="s">
        <v>99</v>
      </c>
      <c r="D638" s="17" t="n">
        <f aca="false">a26_aih2/(0.5*D635)</f>
        <v>0.0499294936443149</v>
      </c>
      <c r="K638" s="8" t="s">
        <v>385</v>
      </c>
    </row>
    <row r="639" customFormat="false" ht="17.15" hidden="false" customHeight="false" outlineLevel="0" collapsed="false">
      <c r="A639" s="0" t="s">
        <v>386</v>
      </c>
      <c r="B639" s="0" t="s">
        <v>117</v>
      </c>
      <c r="E639" s="25" t="n">
        <f aca="false">g27_hi</f>
        <v>72</v>
      </c>
      <c r="K639" s="8" t="s">
        <v>387</v>
      </c>
    </row>
    <row r="640" customFormat="false" ht="17.15" hidden="false" customHeight="false" outlineLevel="0" collapsed="false">
      <c r="A640" s="4" t="s">
        <v>388</v>
      </c>
      <c r="B640" s="0" t="s">
        <v>66</v>
      </c>
      <c r="E640" s="20" t="n">
        <f aca="false">1</f>
        <v>1</v>
      </c>
      <c r="F640" s="20" t="n">
        <f aca="false">rel_28_hi*1</f>
        <v>1</v>
      </c>
      <c r="G640" s="20" t="n">
        <f aca="false">rel_29_hi*1</f>
        <v>1</v>
      </c>
      <c r="K640" s="8" t="s">
        <v>389</v>
      </c>
    </row>
    <row r="641" customFormat="false" ht="17.15" hidden="false" customHeight="false" outlineLevel="0" collapsed="false">
      <c r="A641" s="4" t="s">
        <v>390</v>
      </c>
      <c r="B641" s="0" t="s">
        <v>99</v>
      </c>
      <c r="E641" s="17" t="n">
        <f aca="false">(E639-E645)/E637</f>
        <v>0.0696416435825827</v>
      </c>
      <c r="F641" s="17" t="n">
        <f aca="false">$E641*F640</f>
        <v>0.0696416435825827</v>
      </c>
      <c r="G641" s="17" t="n">
        <f aca="false">$E641*G640</f>
        <v>0.0696416435825827</v>
      </c>
      <c r="K641" s="8" t="s">
        <v>391</v>
      </c>
    </row>
    <row r="642" customFormat="false" ht="17.15" hidden="false" customHeight="false" outlineLevel="0" collapsed="false">
      <c r="A642" s="0" t="s">
        <v>392</v>
      </c>
      <c r="B642" s="0" t="s">
        <v>66</v>
      </c>
      <c r="E642" s="20" t="n">
        <f aca="false">E641/D638</f>
        <v>1.39479971655015</v>
      </c>
      <c r="K642" s="8" t="s">
        <v>393</v>
      </c>
    </row>
    <row r="643" customFormat="false" ht="17.15" hidden="false" customHeight="false" outlineLevel="0" collapsed="false">
      <c r="A643" s="0" t="s">
        <v>394</v>
      </c>
      <c r="B643" s="0" t="s">
        <v>117</v>
      </c>
      <c r="C643" s="26" t="n">
        <f aca="false">a25_ai</f>
        <v>15.3804</v>
      </c>
      <c r="D643" s="26" t="n">
        <f aca="false">a26_ai</f>
        <v>29.911415</v>
      </c>
      <c r="E643" s="26" t="n">
        <f aca="false">E636*E641</f>
        <v>61.47567725</v>
      </c>
      <c r="F643" s="26" t="n">
        <f aca="false">F636*F641</f>
        <v>86.4668712231247</v>
      </c>
      <c r="G643" s="26" t="n">
        <f aca="false">G636*G641</f>
        <v>97.6361334352064</v>
      </c>
    </row>
    <row r="644" customFormat="false" ht="17.15" hidden="false" customHeight="false" outlineLevel="0" collapsed="false">
      <c r="A644" s="6" t="s">
        <v>395</v>
      </c>
    </row>
    <row r="645" customFormat="false" ht="17.15" hidden="false" customHeight="false" outlineLevel="0" collapsed="false">
      <c r="A645" s="4" t="s">
        <v>310</v>
      </c>
      <c r="B645" s="0" t="s">
        <v>117</v>
      </c>
      <c r="C645" s="26" t="n">
        <f aca="false">a25_nai</f>
        <v>6.5916</v>
      </c>
      <c r="D645" s="26" t="n">
        <f aca="false">a26_nai</f>
        <v>9.151585</v>
      </c>
      <c r="E645" s="26" t="n">
        <f aca="false">D645*(1+g_nai27)</f>
        <v>10.52432275</v>
      </c>
      <c r="F645" s="26" t="n">
        <f aca="false">E645*(1+g_nai28)</f>
        <v>11.36626857</v>
      </c>
      <c r="G645" s="26" t="n">
        <f aca="false">F645*(1+g_nai29)</f>
        <v>12.0482446842</v>
      </c>
    </row>
    <row r="646" customFormat="false" ht="17.15" hidden="false" customHeight="false" outlineLevel="0" collapsed="false">
      <c r="A646" s="4" t="s">
        <v>282</v>
      </c>
      <c r="B646" s="0" t="s">
        <v>117</v>
      </c>
      <c r="C646" s="26" t="n">
        <f aca="false">C643+C645</f>
        <v>21.972</v>
      </c>
      <c r="D646" s="26" t="n">
        <f aca="false">D643+D645</f>
        <v>39.063</v>
      </c>
      <c r="E646" s="26" t="n">
        <f aca="false">E643+E645</f>
        <v>72</v>
      </c>
      <c r="F646" s="26" t="n">
        <f aca="false">F643+F645</f>
        <v>97.8331397931247</v>
      </c>
      <c r="G646" s="26" t="n">
        <f aca="false">G643+G645</f>
        <v>109.684378119406</v>
      </c>
      <c r="H646" s="27" t="n">
        <f aca="false">G646*(1+H647)</f>
        <v>120.735975578256</v>
      </c>
      <c r="I646" s="27" t="n">
        <f aca="false">H646*(1+I647)</f>
        <v>130.440622954982</v>
      </c>
      <c r="J646" s="27" t="n">
        <f aca="false">I646*(1+J647)</f>
        <v>138.267060332281</v>
      </c>
      <c r="K646" s="8" t="s">
        <v>396</v>
      </c>
    </row>
    <row r="647" customFormat="false" ht="15" hidden="false" customHeight="false" outlineLevel="0" collapsed="false">
      <c r="A647" s="4" t="s">
        <v>397</v>
      </c>
      <c r="B647" s="0" t="s">
        <v>99</v>
      </c>
      <c r="D647" s="18" t="n">
        <f aca="false">D646/C646-1</f>
        <v>0.777853631895139</v>
      </c>
      <c r="E647" s="18" t="n">
        <f aca="false">E646/D646-1</f>
        <v>0.843176407341986</v>
      </c>
      <c r="F647" s="18" t="n">
        <f aca="false">F646/E646-1</f>
        <v>0.358793608237844</v>
      </c>
      <c r="G647" s="18" t="n">
        <f aca="false">G646/F646-1</f>
        <v>0.121137258308809</v>
      </c>
      <c r="H647" s="28" t="n">
        <f aca="false">$G647+(fade_gA-$G647)*1/3</f>
        <v>0.100758172205873</v>
      </c>
      <c r="I647" s="28" t="n">
        <f aca="false">$G647+(fade_gA-$G647)*2/3</f>
        <v>0.0803790861029364</v>
      </c>
      <c r="J647" s="28" t="n">
        <f aca="false">$G647+(fade_gA-$G647)*3/3</f>
        <v>0.06</v>
      </c>
    </row>
    <row r="648" customFormat="false" ht="17.15" hidden="false" customHeight="false" outlineLevel="0" collapsed="false">
      <c r="A648" s="0" t="s">
        <v>398</v>
      </c>
      <c r="B648" s="0" t="s">
        <v>99</v>
      </c>
      <c r="C648" s="18" t="n">
        <f aca="false">C643/C646</f>
        <v>0.7</v>
      </c>
      <c r="D648" s="18" t="n">
        <f aca="false">D643/D646</f>
        <v>0.765722422752989</v>
      </c>
      <c r="E648" s="18" t="n">
        <f aca="false">E643/E646</f>
        <v>0.853828850694445</v>
      </c>
      <c r="F648" s="18" t="n">
        <f aca="false">F643/F646</f>
        <v>0.883819852924737</v>
      </c>
      <c r="G648" s="18" t="n">
        <f aca="false">G643/G646</f>
        <v>0.890155326667542</v>
      </c>
    </row>
    <row r="649" customFormat="false" ht="17.15" hidden="false" customHeight="false" outlineLevel="0" collapsed="false">
      <c r="A649" s="4" t="s">
        <v>399</v>
      </c>
      <c r="B649" s="4" t="s">
        <v>27</v>
      </c>
      <c r="E649" s="20" t="n">
        <f aca="false">E643/((0.5*(D631*D633+D632*D634)+0.5*(E631*E633+E632*E634))/(0.5*(D631+D632)+0.5*(E631+E632)))</f>
        <v>0.680747066019746</v>
      </c>
      <c r="F649" s="20" t="n">
        <f aca="false">F643/((0.5*(E631*E633+E632*E634)+0.5*(F631*F633+F632*F634))/(0.5*(E631+E632)+0.5*(F631+F632)))</f>
        <v>0.790432654662314</v>
      </c>
      <c r="G649" s="20" t="n">
        <f aca="false">G643/((0.5*(F631*F633+F632*F634)+0.5*(G631*G633+G632*G634))/(0.5*(F631+F632)+0.5*(G631+G632)))</f>
        <v>0.849628051707509</v>
      </c>
      <c r="K649" s="4" t="s">
        <v>400</v>
      </c>
    </row>
    <row r="650" customFormat="false" ht="17.15" hidden="false" customHeight="false" outlineLevel="0" collapsed="false">
      <c r="A650" s="6" t="s">
        <v>401</v>
      </c>
    </row>
    <row r="651" customFormat="false" ht="17.15" hidden="false" customHeight="false" outlineLevel="0" collapsed="false">
      <c r="A651" s="0" t="s">
        <v>402</v>
      </c>
      <c r="B651" s="0" t="s">
        <v>99</v>
      </c>
      <c r="D651" s="17" t="n">
        <f aca="false">(a26_gp-gm_nai*a26_nai)/a26_ai</f>
        <v>0.0954338753281983</v>
      </c>
      <c r="K651" s="8" t="s">
        <v>403</v>
      </c>
    </row>
    <row r="652" customFormat="false" ht="17.15" hidden="false" customHeight="false" outlineLevel="0" collapsed="false">
      <c r="A652" s="0" t="s">
        <v>404</v>
      </c>
      <c r="B652" s="0" t="s">
        <v>99</v>
      </c>
      <c r="D652" s="17" t="n">
        <f aca="false">D651</f>
        <v>0.0954338753281983</v>
      </c>
      <c r="E652" s="17" t="n">
        <f aca="false">$D651+dgm_27_hi</f>
        <v>0.110433875328198</v>
      </c>
      <c r="F652" s="17" t="n">
        <f aca="false">$D651+dgm_28_hi</f>
        <v>0.110433875328198</v>
      </c>
      <c r="G652" s="17" t="n">
        <f aca="false">$D651+dgm_28_hi</f>
        <v>0.110433875328198</v>
      </c>
      <c r="K652" s="8" t="s">
        <v>405</v>
      </c>
    </row>
    <row r="653" customFormat="false" ht="15" hidden="false" customHeight="false" outlineLevel="0" collapsed="false">
      <c r="A653" s="4" t="s">
        <v>406</v>
      </c>
      <c r="B653" s="0" t="s">
        <v>117</v>
      </c>
      <c r="C653" s="26" t="n">
        <f aca="false">a25_gp</f>
        <v>2.4299</v>
      </c>
      <c r="D653" s="26" t="n">
        <f aca="false">a26_gp</f>
        <v>4.2273</v>
      </c>
      <c r="E653" s="26" t="n">
        <f aca="false">E652*E643+gm_nai*E645</f>
        <v>8.36764568964306</v>
      </c>
      <c r="F653" s="26" t="n">
        <f aca="false">F652*F643+gm_nai*F645</f>
        <v>11.2538119621739</v>
      </c>
      <c r="G653" s="26" t="n">
        <f aca="false">G652*G643+gm_nai*G645</f>
        <v>12.5895732899409</v>
      </c>
    </row>
    <row r="654" customFormat="false" ht="15" hidden="false" customHeight="false" outlineLevel="0" collapsed="false">
      <c r="A654" s="4" t="s">
        <v>288</v>
      </c>
      <c r="B654" s="0" t="s">
        <v>99</v>
      </c>
      <c r="C654" s="17" t="n">
        <f aca="false">C653/C646</f>
        <v>0.110590751866011</v>
      </c>
      <c r="D654" s="17" t="n">
        <f aca="false">D653/D646</f>
        <v>0.108217494816066</v>
      </c>
      <c r="E654" s="17" t="n">
        <f aca="false">E653/E646</f>
        <v>0.116217301245042</v>
      </c>
      <c r="F654" s="17" t="n">
        <f aca="false">F653/F646</f>
        <v>0.115030673511766</v>
      </c>
      <c r="G654" s="17" t="n">
        <f aca="false">G653/G646</f>
        <v>0.114780003367804</v>
      </c>
    </row>
    <row r="655" customFormat="false" ht="15" hidden="false" customHeight="false" outlineLevel="0" collapsed="false">
      <c r="A655" s="4" t="s">
        <v>407</v>
      </c>
      <c r="B655" s="0" t="s">
        <v>117</v>
      </c>
      <c r="C655" s="26" t="n">
        <f aca="false">a25_opx</f>
        <v>1.1769</v>
      </c>
      <c r="D655" s="26" t="n">
        <f aca="false">a26_opx</f>
        <v>1.4568</v>
      </c>
      <c r="E655" s="26" t="n">
        <f aca="false">D655*(1+MAX(0,phi*E647))</f>
        <v>1.94813575608632</v>
      </c>
      <c r="F655" s="26" t="n">
        <f aca="false">E655*(1+MAX(0,phi*F647))</f>
        <v>2.22772721899167</v>
      </c>
      <c r="G655" s="26" t="n">
        <f aca="false">F655*(1+MAX(0,phi*G647))</f>
        <v>2.33567152601909</v>
      </c>
    </row>
    <row r="656" customFormat="false" ht="15" hidden="false" customHeight="false" outlineLevel="0" collapsed="false">
      <c r="A656" s="4" t="s">
        <v>408</v>
      </c>
      <c r="B656" s="0" t="s">
        <v>117</v>
      </c>
      <c r="C656" s="26" t="n">
        <f aca="false">C655</f>
        <v>1.1769</v>
      </c>
      <c r="D656" s="26" t="n">
        <f aca="false">D655</f>
        <v>1.4568</v>
      </c>
      <c r="E656" s="26" t="n">
        <f aca="false">E655+opx_adj_hi*E646</f>
        <v>2.09213575608632</v>
      </c>
      <c r="F656" s="26" t="n">
        <f aca="false">F655+opx_adj_hi*F646</f>
        <v>2.42339349857792</v>
      </c>
      <c r="G656" s="26" t="n">
        <f aca="false">G655+opx_adj_hi*G646</f>
        <v>2.55504028225791</v>
      </c>
    </row>
    <row r="657" customFormat="false" ht="15" hidden="false" customHeight="false" outlineLevel="0" collapsed="false">
      <c r="A657" s="4" t="s">
        <v>291</v>
      </c>
      <c r="B657" s="0" t="s">
        <v>117</v>
      </c>
      <c r="C657" s="26" t="n">
        <f aca="false">C653-C656</f>
        <v>1.253</v>
      </c>
      <c r="D657" s="26" t="n">
        <f aca="false">D653-D656</f>
        <v>2.7705</v>
      </c>
      <c r="E657" s="26" t="n">
        <f aca="false">E653-E656</f>
        <v>6.27550993355673</v>
      </c>
      <c r="F657" s="26" t="n">
        <f aca="false">F653-F656</f>
        <v>8.83041846359601</v>
      </c>
      <c r="G657" s="26" t="n">
        <f aca="false">G653-G656</f>
        <v>10.034533007683</v>
      </c>
    </row>
    <row r="658" customFormat="false" ht="15" hidden="false" customHeight="false" outlineLevel="0" collapsed="false">
      <c r="A658" s="4" t="s">
        <v>293</v>
      </c>
      <c r="B658" s="0" t="s">
        <v>99</v>
      </c>
      <c r="C658" s="17" t="n">
        <f aca="false">C657/C646</f>
        <v>0.0570271254323685</v>
      </c>
      <c r="D658" s="17" t="n">
        <f aca="false">D657/D646</f>
        <v>0.0709238921741801</v>
      </c>
      <c r="E658" s="17" t="n">
        <f aca="false">E657/E646</f>
        <v>0.087159860188288</v>
      </c>
      <c r="F658" s="17" t="n">
        <f aca="false">F657/F646</f>
        <v>0.0902599924960864</v>
      </c>
      <c r="G658" s="17" t="n">
        <f aca="false">G657/G646</f>
        <v>0.0914855258308439</v>
      </c>
    </row>
    <row r="659" customFormat="false" ht="17.15" hidden="false" customHeight="false" outlineLevel="0" collapsed="false">
      <c r="A659" s="4" t="s">
        <v>167</v>
      </c>
      <c r="B659" s="0" t="s">
        <v>99</v>
      </c>
      <c r="C659" s="18" t="n">
        <f aca="false">a25_ni/a25_oi</f>
        <v>0.837110933758979</v>
      </c>
      <c r="D659" s="18" t="n">
        <f aca="false">a26_ni/a26_oi</f>
        <v>0.805089334055225</v>
      </c>
      <c r="E659" s="18" t="n">
        <f aca="false">nio_f</f>
        <v>0.75</v>
      </c>
      <c r="F659" s="18" t="n">
        <f aca="false">nio_f</f>
        <v>0.75</v>
      </c>
      <c r="G659" s="18" t="n">
        <f aca="false">nio_f</f>
        <v>0.75</v>
      </c>
    </row>
    <row r="660" customFormat="false" ht="15" hidden="false" customHeight="false" outlineLevel="0" collapsed="false">
      <c r="A660" s="4" t="s">
        <v>409</v>
      </c>
      <c r="B660" s="0" t="s">
        <v>117</v>
      </c>
      <c r="C660" s="26" t="n">
        <f aca="false">a25_ni</f>
        <v>1.0489</v>
      </c>
      <c r="D660" s="26" t="n">
        <f aca="false">a26_ni</f>
        <v>2.2305</v>
      </c>
      <c r="E660" s="26" t="n">
        <f aca="false">E657*E659</f>
        <v>4.70663245016755</v>
      </c>
      <c r="F660" s="26" t="n">
        <f aca="false">F657*F659</f>
        <v>6.62281384769701</v>
      </c>
      <c r="G660" s="26" t="n">
        <f aca="false">G657*G659</f>
        <v>7.52589975576225</v>
      </c>
    </row>
    <row r="661" customFormat="false" ht="17.15" hidden="false" customHeight="false" outlineLevel="0" collapsed="false">
      <c r="A661" s="4" t="s">
        <v>410</v>
      </c>
      <c r="B661" s="0" t="s">
        <v>117</v>
      </c>
      <c r="C661" s="16" t="n">
        <f aca="false">0</f>
        <v>0</v>
      </c>
      <c r="D661" s="16" t="n">
        <f aca="false">0</f>
        <v>0</v>
      </c>
      <c r="E661" s="16" t="n">
        <f aca="false">pref_div</f>
        <v>0.301875</v>
      </c>
      <c r="F661" s="16" t="n">
        <f aca="false">pref_div</f>
        <v>0.301875</v>
      </c>
      <c r="G661" s="16" t="n">
        <f aca="false">pref_div</f>
        <v>0.301875</v>
      </c>
      <c r="K661" s="8" t="s">
        <v>411</v>
      </c>
    </row>
    <row r="662" customFormat="false" ht="17.15" hidden="false" customHeight="false" outlineLevel="0" collapsed="false">
      <c r="A662" s="4" t="s">
        <v>359</v>
      </c>
      <c r="B662" s="0" t="s">
        <v>117</v>
      </c>
      <c r="C662" s="26" t="n">
        <f aca="false">C660-C661</f>
        <v>1.0489</v>
      </c>
      <c r="D662" s="26" t="n">
        <f aca="false">D660-D661</f>
        <v>2.2305</v>
      </c>
      <c r="E662" s="26" t="n">
        <f aca="false">E660-E661</f>
        <v>4.40475745016755</v>
      </c>
      <c r="F662" s="26" t="n">
        <f aca="false">F660-F661</f>
        <v>6.32093884769701</v>
      </c>
      <c r="G662" s="26" t="n">
        <f aca="false">G660-G661</f>
        <v>7.22402475576225</v>
      </c>
      <c r="H662" s="27" t="n">
        <f aca="false">H646*H667</f>
        <v>8.34456364714661</v>
      </c>
      <c r="I662" s="27" t="n">
        <f aca="false">I646*I667</f>
        <v>9.08051235850953</v>
      </c>
      <c r="J662" s="27" t="n">
        <f aca="false">J646*J667</f>
        <v>9.69447663018624</v>
      </c>
      <c r="K662" s="4" t="s">
        <v>412</v>
      </c>
    </row>
    <row r="663" customFormat="false" ht="17.15" hidden="false" customHeight="false" outlineLevel="0" collapsed="false">
      <c r="A663" s="4" t="s">
        <v>413</v>
      </c>
      <c r="B663" s="0" t="s">
        <v>99</v>
      </c>
      <c r="C663" s="17" t="n">
        <f aca="false">C660/C646</f>
        <v>0.0477380302202804</v>
      </c>
      <c r="D663" s="17" t="n">
        <f aca="false">D660/D646</f>
        <v>0.0571000691191153</v>
      </c>
      <c r="E663" s="17" t="n">
        <f aca="false">E660/E646</f>
        <v>0.065369895141216</v>
      </c>
      <c r="F663" s="17" t="n">
        <f aca="false">F660/F646</f>
        <v>0.0676949943720648</v>
      </c>
      <c r="G663" s="17" t="n">
        <f aca="false">G660/G646</f>
        <v>0.0686141443731329</v>
      </c>
      <c r="K663" s="4" t="s">
        <v>414</v>
      </c>
    </row>
    <row r="664" customFormat="false" ht="17.15" hidden="false" customHeight="false" outlineLevel="0" collapsed="false">
      <c r="A664" s="4" t="s">
        <v>415</v>
      </c>
      <c r="B664" s="4" t="s">
        <v>176</v>
      </c>
      <c r="C664" s="19" t="n">
        <f aca="false">a25_sh</f>
        <v>0.624345238095238</v>
      </c>
      <c r="D664" s="19" t="n">
        <f aca="false">a26_sh</f>
        <v>0.68420245398773</v>
      </c>
      <c r="E664" s="19" t="n">
        <f aca="false">sh27</f>
        <v>0.745</v>
      </c>
      <c r="F664" s="19" t="n">
        <f aca="false">E664*(1+sh_g)</f>
        <v>0.75245</v>
      </c>
      <c r="G664" s="19" t="n">
        <f aca="false">F664*(1+sh_g)</f>
        <v>0.7599745</v>
      </c>
      <c r="H664" s="31" t="n">
        <f aca="false">G664*(1+sh_g)+conv_sh</f>
        <v>0.91132712</v>
      </c>
      <c r="I664" s="31" t="n">
        <f aca="false">H664*(1+sh_g)</f>
        <v>0.9204403912</v>
      </c>
      <c r="J664" s="31" t="n">
        <f aca="false">I664*(1+sh_g)</f>
        <v>0.929644795112</v>
      </c>
    </row>
    <row r="665" customFormat="false" ht="17.15" hidden="false" customHeight="false" outlineLevel="0" collapsed="false">
      <c r="A665" s="0" t="s">
        <v>299</v>
      </c>
      <c r="B665" s="0" t="s">
        <v>189</v>
      </c>
      <c r="C665" s="26" t="n">
        <f aca="false">C662/C664</f>
        <v>1.68</v>
      </c>
      <c r="D665" s="26" t="n">
        <f aca="false">D662/D664</f>
        <v>3.26</v>
      </c>
      <c r="E665" s="26" t="n">
        <f aca="false">E662/E664</f>
        <v>5.91242610760745</v>
      </c>
      <c r="F665" s="26" t="n">
        <f aca="false">F662/F664</f>
        <v>8.40047690570404</v>
      </c>
      <c r="G665" s="26" t="n">
        <f aca="false">G662/G664</f>
        <v>9.50561466965306</v>
      </c>
      <c r="H665" s="30" t="n">
        <f aca="false">H662/H664</f>
        <v>9.15649656859395</v>
      </c>
      <c r="I665" s="30" t="n">
        <f aca="false">I662/I664</f>
        <v>9.86539969923642</v>
      </c>
      <c r="J665" s="30" t="n">
        <f aca="false">J662/J664</f>
        <v>10.4281513553984</v>
      </c>
    </row>
    <row r="666" customFormat="false" ht="17.15" hidden="false" customHeight="false" outlineLevel="0" collapsed="false">
      <c r="A666" s="0" t="s">
        <v>416</v>
      </c>
      <c r="B666" s="0" t="s">
        <v>99</v>
      </c>
      <c r="D666" s="18" t="n">
        <f aca="false">D665/C665-1</f>
        <v>0.940476190476191</v>
      </c>
      <c r="E666" s="18" t="n">
        <f aca="false">E665/D665-1</f>
        <v>0.813627640370383</v>
      </c>
      <c r="F666" s="18" t="n">
        <f aca="false">F665/E665-1</f>
        <v>0.420817233537219</v>
      </c>
      <c r="G666" s="18" t="n">
        <f aca="false">G665/F665-1</f>
        <v>0.131556550461869</v>
      </c>
      <c r="H666" s="28" t="n">
        <f aca="false">H665/G665-1</f>
        <v>-0.0367275671476229</v>
      </c>
      <c r="I666" s="28" t="n">
        <f aca="false">I665/H665-1</f>
        <v>0.0774207826467113</v>
      </c>
      <c r="J666" s="28" t="n">
        <f aca="false">J665/I665-1</f>
        <v>0.057042965649482</v>
      </c>
    </row>
    <row r="667" customFormat="false" ht="17.15" hidden="false" customHeight="false" outlineLevel="0" collapsed="false">
      <c r="A667" s="4" t="s">
        <v>417</v>
      </c>
      <c r="B667" s="0" t="s">
        <v>99</v>
      </c>
      <c r="C667" s="17" t="n">
        <f aca="false">C662/C646</f>
        <v>0.0477380302202804</v>
      </c>
      <c r="D667" s="17" t="n">
        <f aca="false">D662/D646</f>
        <v>0.0571000691191153</v>
      </c>
      <c r="E667" s="17" t="n">
        <f aca="false">E662/E646</f>
        <v>0.0611771868078826</v>
      </c>
      <c r="F667" s="17" t="n">
        <f aca="false">F662/F646</f>
        <v>0.0646093834978934</v>
      </c>
      <c r="G667" s="17" t="n">
        <f aca="false">G662/G646</f>
        <v>0.0658619292885803</v>
      </c>
      <c r="H667" s="29" t="n">
        <f aca="false">$G663+(fade_mA-$G663)*1/3</f>
        <v>0.0691141443731329</v>
      </c>
      <c r="I667" s="29" t="n">
        <f aca="false">$G663+(fade_mA-$G663)*2/3</f>
        <v>0.0696141443731329</v>
      </c>
      <c r="J667" s="29" t="n">
        <f aca="false">$G663+(fade_mA-$G663)*3/3</f>
        <v>0.0701141443731329</v>
      </c>
    </row>
    <row r="670" customFormat="false" ht="17.15" hidden="false" customHeight="false" outlineLevel="0" collapsed="false">
      <c r="A670" s="1" t="s">
        <v>695</v>
      </c>
    </row>
    <row r="671" customFormat="false" ht="17.15" hidden="false" customHeight="false" outlineLevel="0" collapsed="false">
      <c r="A671" s="5" t="s">
        <v>16</v>
      </c>
      <c r="B671" s="5" t="s">
        <v>17</v>
      </c>
      <c r="C671" s="14" t="s">
        <v>276</v>
      </c>
      <c r="D671" s="14" t="s">
        <v>280</v>
      </c>
      <c r="E671" s="14" t="s">
        <v>348</v>
      </c>
      <c r="F671" s="14" t="s">
        <v>349</v>
      </c>
      <c r="G671" s="14" t="s">
        <v>350</v>
      </c>
      <c r="H671" s="14" t="s">
        <v>351</v>
      </c>
      <c r="I671" s="14" t="s">
        <v>352</v>
      </c>
      <c r="J671" s="14" t="s">
        <v>353</v>
      </c>
      <c r="K671" s="5" t="s">
        <v>324</v>
      </c>
    </row>
    <row r="672" customFormat="false" ht="17.15" hidden="false" customHeight="false" outlineLevel="0" collapsed="false">
      <c r="A672" s="6" t="s">
        <v>370</v>
      </c>
    </row>
    <row r="673" customFormat="false" ht="17.15" hidden="false" customHeight="false" outlineLevel="0" collapsed="false">
      <c r="A673" s="0" t="s">
        <v>371</v>
      </c>
      <c r="B673" s="4" t="s">
        <v>27</v>
      </c>
      <c r="D673" s="20" t="n">
        <f aca="false">uo_26</f>
        <v>6.65</v>
      </c>
      <c r="E673" s="20" t="n">
        <f aca="false">uo_27*mf</f>
        <v>2.4</v>
      </c>
      <c r="F673" s="20" t="n">
        <f aca="false">uo_28*um28_A*mf</f>
        <v>0.5</v>
      </c>
      <c r="G673" s="20" t="n">
        <f aca="false">uo_29*um29_A*mf</f>
        <v>0.25</v>
      </c>
      <c r="K673" s="8" t="s">
        <v>372</v>
      </c>
    </row>
    <row r="674" customFormat="false" ht="17.15" hidden="false" customHeight="false" outlineLevel="0" collapsed="false">
      <c r="A674" s="0" t="s">
        <v>373</v>
      </c>
      <c r="B674" s="4" t="s">
        <v>27</v>
      </c>
      <c r="D674" s="20" t="n">
        <f aca="false">un_26</f>
        <v>1.7</v>
      </c>
      <c r="E674" s="20" t="n">
        <f aca="false">un_27*mf</f>
        <v>8.8</v>
      </c>
      <c r="F674" s="20" t="n">
        <f aca="false">un_28*um28_A*mf</f>
        <v>11</v>
      </c>
      <c r="G674" s="20" t="n">
        <f aca="false">un_29*um29_A*mf</f>
        <v>12.65</v>
      </c>
      <c r="K674" s="8" t="s">
        <v>374</v>
      </c>
    </row>
    <row r="675" customFormat="false" ht="17.15" hidden="false" customHeight="false" outlineLevel="0" collapsed="false">
      <c r="A675" s="4" t="s">
        <v>375</v>
      </c>
      <c r="B675" s="4" t="s">
        <v>58</v>
      </c>
      <c r="D675" s="24" t="n">
        <f aca="false">v_gb</f>
        <v>59.7222222222222</v>
      </c>
      <c r="E675" s="24" t="n">
        <f aca="false">v_gb</f>
        <v>59.7222222222222</v>
      </c>
      <c r="F675" s="24" t="n">
        <f aca="false">v_gb</f>
        <v>59.7222222222222</v>
      </c>
      <c r="G675" s="24" t="n">
        <f aca="false">v_gb</f>
        <v>59.7222222222222</v>
      </c>
    </row>
    <row r="676" customFormat="false" ht="17.15" hidden="false" customHeight="false" outlineLevel="0" collapsed="false">
      <c r="A676" s="4" t="s">
        <v>376</v>
      </c>
      <c r="B676" s="4" t="s">
        <v>58</v>
      </c>
      <c r="D676" s="24" t="n">
        <f aca="false">v_vr</f>
        <v>116.666666666667</v>
      </c>
      <c r="E676" s="24" t="n">
        <f aca="false">v_vr</f>
        <v>116.666666666667</v>
      </c>
      <c r="F676" s="24" t="n">
        <f aca="false">v_vr*vpg_28</f>
        <v>116.666666666667</v>
      </c>
      <c r="G676" s="24" t="n">
        <f aca="false">v_vr*vpg_29</f>
        <v>116.666666666667</v>
      </c>
      <c r="K676" s="4" t="s">
        <v>377</v>
      </c>
    </row>
    <row r="677" customFormat="false" ht="17.15" hidden="false" customHeight="false" outlineLevel="0" collapsed="false">
      <c r="A677" s="4" t="s">
        <v>378</v>
      </c>
      <c r="B677" s="0" t="s">
        <v>117</v>
      </c>
      <c r="D677" s="25" t="n">
        <f aca="false">(D673*D675+D674*D676)</f>
        <v>595.486111111111</v>
      </c>
      <c r="E677" s="25" t="n">
        <f aca="false">(E673*E675+E674*E676)</f>
        <v>1170</v>
      </c>
      <c r="F677" s="25" t="n">
        <f aca="false">(F673*F675+F674*F676)</f>
        <v>1313.19444444444</v>
      </c>
      <c r="G677" s="25" t="n">
        <f aca="false">(G673*G675+G674*G676)</f>
        <v>1490.76388888889</v>
      </c>
      <c r="K677" s="4" t="s">
        <v>379</v>
      </c>
    </row>
    <row r="678" customFormat="false" ht="17.15" hidden="false" customHeight="false" outlineLevel="0" collapsed="false">
      <c r="A678" s="4" t="s">
        <v>380</v>
      </c>
      <c r="B678" s="0" t="s">
        <v>117</v>
      </c>
      <c r="E678" s="25" t="n">
        <f aca="false">0.5*D677+0.5*E677</f>
        <v>882.743055555556</v>
      </c>
      <c r="F678" s="25" t="n">
        <f aca="false">0.5*E677+0.5*F677</f>
        <v>1241.59722222222</v>
      </c>
      <c r="G678" s="25" t="n">
        <f aca="false">0.5*F677+0.5*G677</f>
        <v>1401.97916666667</v>
      </c>
      <c r="K678" s="4" t="s">
        <v>381</v>
      </c>
    </row>
    <row r="679" customFormat="false" ht="17.15" hidden="false" customHeight="false" outlineLevel="0" collapsed="false">
      <c r="A679" s="0" t="s">
        <v>382</v>
      </c>
      <c r="B679" s="0" t="s">
        <v>117</v>
      </c>
      <c r="E679" s="25" t="n">
        <f aca="false">0.5*D677+0.5*(uo_27*v_gb+un_27*v_vr)</f>
        <v>882.743055555556</v>
      </c>
      <c r="K679" s="4" t="s">
        <v>383</v>
      </c>
    </row>
    <row r="680" customFormat="false" ht="17.15" hidden="false" customHeight="false" outlineLevel="0" collapsed="false">
      <c r="A680" s="4" t="s">
        <v>384</v>
      </c>
      <c r="B680" s="0" t="s">
        <v>99</v>
      </c>
      <c r="D680" s="17" t="n">
        <f aca="false">a26_aih2/(0.5*D677)</f>
        <v>0.0499294936443149</v>
      </c>
      <c r="K680" s="8" t="s">
        <v>385</v>
      </c>
    </row>
    <row r="681" customFormat="false" ht="17.15" hidden="false" customHeight="false" outlineLevel="0" collapsed="false">
      <c r="A681" s="0" t="s">
        <v>386</v>
      </c>
      <c r="B681" s="0" t="s">
        <v>117</v>
      </c>
      <c r="E681" s="25" t="n">
        <f aca="false">g27_hi</f>
        <v>72</v>
      </c>
      <c r="K681" s="8" t="s">
        <v>387</v>
      </c>
    </row>
    <row r="682" customFormat="false" ht="17.15" hidden="false" customHeight="false" outlineLevel="0" collapsed="false">
      <c r="A682" s="4" t="s">
        <v>388</v>
      </c>
      <c r="B682" s="0" t="s">
        <v>66</v>
      </c>
      <c r="E682" s="20" t="n">
        <f aca="false">1</f>
        <v>1</v>
      </c>
      <c r="F682" s="20" t="n">
        <f aca="false">rel_28_hi*1</f>
        <v>1</v>
      </c>
      <c r="G682" s="20" t="n">
        <f aca="false">rel_29_hi*1</f>
        <v>1</v>
      </c>
      <c r="K682" s="8" t="s">
        <v>389</v>
      </c>
    </row>
    <row r="683" customFormat="false" ht="17.15" hidden="false" customHeight="false" outlineLevel="0" collapsed="false">
      <c r="A683" s="4" t="s">
        <v>390</v>
      </c>
      <c r="B683" s="0" t="s">
        <v>99</v>
      </c>
      <c r="E683" s="17" t="n">
        <f aca="false">(E681-E687)/E679</f>
        <v>0.0696416435825827</v>
      </c>
      <c r="F683" s="17" t="n">
        <f aca="false">$E683*F682</f>
        <v>0.0696416435825827</v>
      </c>
      <c r="G683" s="17" t="n">
        <f aca="false">$E683*G682</f>
        <v>0.0696416435825827</v>
      </c>
      <c r="K683" s="8" t="s">
        <v>391</v>
      </c>
    </row>
    <row r="684" customFormat="false" ht="17.15" hidden="false" customHeight="false" outlineLevel="0" collapsed="false">
      <c r="A684" s="0" t="s">
        <v>392</v>
      </c>
      <c r="B684" s="0" t="s">
        <v>66</v>
      </c>
      <c r="E684" s="20" t="n">
        <f aca="false">E683/D680</f>
        <v>1.39479971655015</v>
      </c>
      <c r="K684" s="8" t="s">
        <v>393</v>
      </c>
    </row>
    <row r="685" customFormat="false" ht="17.15" hidden="false" customHeight="false" outlineLevel="0" collapsed="false">
      <c r="A685" s="0" t="s">
        <v>394</v>
      </c>
      <c r="B685" s="0" t="s">
        <v>117</v>
      </c>
      <c r="C685" s="26" t="n">
        <f aca="false">a25_ai</f>
        <v>15.3804</v>
      </c>
      <c r="D685" s="26" t="n">
        <f aca="false">a26_ai</f>
        <v>29.911415</v>
      </c>
      <c r="E685" s="26" t="n">
        <f aca="false">E678*E683</f>
        <v>61.47567725</v>
      </c>
      <c r="F685" s="26" t="n">
        <f aca="false">F678*F683</f>
        <v>86.4668712231247</v>
      </c>
      <c r="G685" s="26" t="n">
        <f aca="false">G678*G683</f>
        <v>97.6361334352064</v>
      </c>
    </row>
    <row r="686" customFormat="false" ht="17.15" hidden="false" customHeight="false" outlineLevel="0" collapsed="false">
      <c r="A686" s="6" t="s">
        <v>395</v>
      </c>
    </row>
    <row r="687" customFormat="false" ht="17.15" hidden="false" customHeight="false" outlineLevel="0" collapsed="false">
      <c r="A687" s="4" t="s">
        <v>310</v>
      </c>
      <c r="B687" s="0" t="s">
        <v>117</v>
      </c>
      <c r="C687" s="26" t="n">
        <f aca="false">a25_nai</f>
        <v>6.5916</v>
      </c>
      <c r="D687" s="26" t="n">
        <f aca="false">a26_nai</f>
        <v>9.151585</v>
      </c>
      <c r="E687" s="26" t="n">
        <f aca="false">D687*(1+g_nai27)</f>
        <v>10.52432275</v>
      </c>
      <c r="F687" s="26" t="n">
        <f aca="false">E687*(1+g_nai28)</f>
        <v>11.36626857</v>
      </c>
      <c r="G687" s="26" t="n">
        <f aca="false">F687*(1+g_nai29)</f>
        <v>12.0482446842</v>
      </c>
    </row>
    <row r="688" customFormat="false" ht="17.15" hidden="false" customHeight="false" outlineLevel="0" collapsed="false">
      <c r="A688" s="4" t="s">
        <v>282</v>
      </c>
      <c r="B688" s="0" t="s">
        <v>117</v>
      </c>
      <c r="C688" s="26" t="n">
        <f aca="false">C685+C687</f>
        <v>21.972</v>
      </c>
      <c r="D688" s="26" t="n">
        <f aca="false">D685+D687</f>
        <v>39.063</v>
      </c>
      <c r="E688" s="26" t="n">
        <f aca="false">E685+E687</f>
        <v>72</v>
      </c>
      <c r="F688" s="26" t="n">
        <f aca="false">F685+F687</f>
        <v>97.8331397931247</v>
      </c>
      <c r="G688" s="26" t="n">
        <f aca="false">G685+G687</f>
        <v>109.684378119406</v>
      </c>
      <c r="H688" s="27" t="n">
        <f aca="false">G688*(1+H689)</f>
        <v>120.735975578256</v>
      </c>
      <c r="I688" s="27" t="n">
        <f aca="false">H688*(1+I689)</f>
        <v>130.440622954982</v>
      </c>
      <c r="J688" s="27" t="n">
        <f aca="false">I688*(1+J689)</f>
        <v>138.267060332281</v>
      </c>
      <c r="K688" s="8" t="s">
        <v>396</v>
      </c>
    </row>
    <row r="689" customFormat="false" ht="15" hidden="false" customHeight="false" outlineLevel="0" collapsed="false">
      <c r="A689" s="4" t="s">
        <v>397</v>
      </c>
      <c r="B689" s="0" t="s">
        <v>99</v>
      </c>
      <c r="D689" s="18" t="n">
        <f aca="false">D688/C688-1</f>
        <v>0.777853631895139</v>
      </c>
      <c r="E689" s="18" t="n">
        <f aca="false">E688/D688-1</f>
        <v>0.843176407341986</v>
      </c>
      <c r="F689" s="18" t="n">
        <f aca="false">F688/E688-1</f>
        <v>0.358793608237844</v>
      </c>
      <c r="G689" s="18" t="n">
        <f aca="false">G688/F688-1</f>
        <v>0.121137258308809</v>
      </c>
      <c r="H689" s="28" t="n">
        <f aca="false">$G689+(fade_gA-$G689)*1/3</f>
        <v>0.100758172205873</v>
      </c>
      <c r="I689" s="28" t="n">
        <f aca="false">$G689+(fade_gA-$G689)*2/3</f>
        <v>0.0803790861029364</v>
      </c>
      <c r="J689" s="28" t="n">
        <f aca="false">$G689+(fade_gA-$G689)*3/3</f>
        <v>0.06</v>
      </c>
    </row>
    <row r="690" customFormat="false" ht="17.15" hidden="false" customHeight="false" outlineLevel="0" collapsed="false">
      <c r="A690" s="0" t="s">
        <v>398</v>
      </c>
      <c r="B690" s="0" t="s">
        <v>99</v>
      </c>
      <c r="C690" s="18" t="n">
        <f aca="false">C685/C688</f>
        <v>0.7</v>
      </c>
      <c r="D690" s="18" t="n">
        <f aca="false">D685/D688</f>
        <v>0.765722422752989</v>
      </c>
      <c r="E690" s="18" t="n">
        <f aca="false">E685/E688</f>
        <v>0.853828850694445</v>
      </c>
      <c r="F690" s="18" t="n">
        <f aca="false">F685/F688</f>
        <v>0.883819852924737</v>
      </c>
      <c r="G690" s="18" t="n">
        <f aca="false">G685/G688</f>
        <v>0.890155326667542</v>
      </c>
    </row>
    <row r="691" customFormat="false" ht="17.15" hidden="false" customHeight="false" outlineLevel="0" collapsed="false">
      <c r="A691" s="4" t="s">
        <v>399</v>
      </c>
      <c r="B691" s="4" t="s">
        <v>27</v>
      </c>
      <c r="E691" s="20" t="n">
        <f aca="false">E685/((0.5*(D673*D675+D674*D676)+0.5*(E673*E675+E674*E676))/(0.5*(D673+D674)+0.5*(E673+E674)))</f>
        <v>0.680747066019746</v>
      </c>
      <c r="F691" s="20" t="n">
        <f aca="false">F685/((0.5*(E673*E675+E674*E676)+0.5*(F673*F675+F674*F676))/(0.5*(E673+E674)+0.5*(F673+F674)))</f>
        <v>0.790432654662314</v>
      </c>
      <c r="G691" s="20" t="n">
        <f aca="false">G685/((0.5*(F673*F675+F674*F676)+0.5*(G673*G675+G674*G676))/(0.5*(F673+F674)+0.5*(G673+G674)))</f>
        <v>0.849628051707509</v>
      </c>
      <c r="K691" s="4" t="s">
        <v>400</v>
      </c>
    </row>
    <row r="692" customFormat="false" ht="17.15" hidden="false" customHeight="false" outlineLevel="0" collapsed="false">
      <c r="A692" s="6" t="s">
        <v>401</v>
      </c>
    </row>
    <row r="693" customFormat="false" ht="17.15" hidden="false" customHeight="false" outlineLevel="0" collapsed="false">
      <c r="A693" s="0" t="s">
        <v>402</v>
      </c>
      <c r="B693" s="0" t="s">
        <v>99</v>
      </c>
      <c r="D693" s="17" t="n">
        <f aca="false">(a26_gp-gm_nai*a26_nai)/a26_ai</f>
        <v>0.0954338753281983</v>
      </c>
      <c r="K693" s="8" t="s">
        <v>403</v>
      </c>
    </row>
    <row r="694" customFormat="false" ht="17.15" hidden="false" customHeight="false" outlineLevel="0" collapsed="false">
      <c r="A694" s="0" t="s">
        <v>404</v>
      </c>
      <c r="B694" s="0" t="s">
        <v>99</v>
      </c>
      <c r="D694" s="17" t="n">
        <f aca="false">D693</f>
        <v>0.0954338753281983</v>
      </c>
      <c r="E694" s="17" t="n">
        <f aca="false">$D693+dgm_27_hi</f>
        <v>0.110433875328198</v>
      </c>
      <c r="F694" s="17" t="n">
        <f aca="false">$D693+dgm_28_hi</f>
        <v>0.110433875328198</v>
      </c>
      <c r="G694" s="17" t="n">
        <f aca="false">$D693+dgm_28_hi</f>
        <v>0.110433875328198</v>
      </c>
      <c r="K694" s="8" t="s">
        <v>405</v>
      </c>
    </row>
    <row r="695" customFormat="false" ht="15" hidden="false" customHeight="false" outlineLevel="0" collapsed="false">
      <c r="A695" s="4" t="s">
        <v>406</v>
      </c>
      <c r="B695" s="0" t="s">
        <v>117</v>
      </c>
      <c r="C695" s="26" t="n">
        <f aca="false">a25_gp</f>
        <v>2.4299</v>
      </c>
      <c r="D695" s="26" t="n">
        <f aca="false">a26_gp</f>
        <v>4.2273</v>
      </c>
      <c r="E695" s="26" t="n">
        <f aca="false">E694*E685+gm_nai*E687</f>
        <v>8.36764568964306</v>
      </c>
      <c r="F695" s="26" t="n">
        <f aca="false">F694*F685+gm_nai*F687</f>
        <v>11.2538119621739</v>
      </c>
      <c r="G695" s="26" t="n">
        <f aca="false">G694*G685+gm_nai*G687</f>
        <v>12.5895732899409</v>
      </c>
    </row>
    <row r="696" customFormat="false" ht="15" hidden="false" customHeight="false" outlineLevel="0" collapsed="false">
      <c r="A696" s="4" t="s">
        <v>288</v>
      </c>
      <c r="B696" s="0" t="s">
        <v>99</v>
      </c>
      <c r="C696" s="17" t="n">
        <f aca="false">C695/C688</f>
        <v>0.110590751866011</v>
      </c>
      <c r="D696" s="17" t="n">
        <f aca="false">D695/D688</f>
        <v>0.108217494816066</v>
      </c>
      <c r="E696" s="17" t="n">
        <f aca="false">E695/E688</f>
        <v>0.116217301245042</v>
      </c>
      <c r="F696" s="17" t="n">
        <f aca="false">F695/F688</f>
        <v>0.115030673511766</v>
      </c>
      <c r="G696" s="17" t="n">
        <f aca="false">G695/G688</f>
        <v>0.114780003367804</v>
      </c>
    </row>
    <row r="697" customFormat="false" ht="15" hidden="false" customHeight="false" outlineLevel="0" collapsed="false">
      <c r="A697" s="4" t="s">
        <v>407</v>
      </c>
      <c r="B697" s="0" t="s">
        <v>117</v>
      </c>
      <c r="C697" s="26" t="n">
        <f aca="false">a25_opx</f>
        <v>1.1769</v>
      </c>
      <c r="D697" s="26" t="n">
        <f aca="false">a26_opx</f>
        <v>1.4568</v>
      </c>
      <c r="E697" s="26" t="n">
        <f aca="false">D697*(1+MAX(0,phi_hi*E689))</f>
        <v>2.19380363412948</v>
      </c>
      <c r="F697" s="26" t="n">
        <f aca="false">E697*(1+MAX(0,phi_hi*F689))</f>
        <v>2.66607726712225</v>
      </c>
      <c r="G697" s="26" t="n">
        <f aca="false">F697*(1+MAX(0,phi_hi*G689))</f>
        <v>2.85985404146943</v>
      </c>
    </row>
    <row r="698" customFormat="false" ht="15" hidden="false" customHeight="false" outlineLevel="0" collapsed="false">
      <c r="A698" s="4" t="s">
        <v>408</v>
      </c>
      <c r="B698" s="0" t="s">
        <v>117</v>
      </c>
      <c r="C698" s="26" t="n">
        <f aca="false">C697</f>
        <v>1.1769</v>
      </c>
      <c r="D698" s="26" t="n">
        <f aca="false">D697</f>
        <v>1.4568</v>
      </c>
      <c r="E698" s="26" t="n">
        <f aca="false">E697+0*E688</f>
        <v>2.19380363412948</v>
      </c>
      <c r="F698" s="26" t="n">
        <f aca="false">F697+0*F688</f>
        <v>2.66607726712225</v>
      </c>
      <c r="G698" s="26" t="n">
        <f aca="false">G697+0*G688</f>
        <v>2.85985404146943</v>
      </c>
    </row>
    <row r="699" customFormat="false" ht="15" hidden="false" customHeight="false" outlineLevel="0" collapsed="false">
      <c r="A699" s="4" t="s">
        <v>291</v>
      </c>
      <c r="B699" s="0" t="s">
        <v>117</v>
      </c>
      <c r="C699" s="26" t="n">
        <f aca="false">C695-C698</f>
        <v>1.253</v>
      </c>
      <c r="D699" s="26" t="n">
        <f aca="false">D695-D698</f>
        <v>2.7705</v>
      </c>
      <c r="E699" s="26" t="n">
        <f aca="false">E695-E698</f>
        <v>6.17384205551357</v>
      </c>
      <c r="F699" s="26" t="n">
        <f aca="false">F695-F698</f>
        <v>8.58773469505168</v>
      </c>
      <c r="G699" s="26" t="n">
        <f aca="false">G695-G698</f>
        <v>9.72971924847148</v>
      </c>
    </row>
    <row r="700" customFormat="false" ht="15" hidden="false" customHeight="false" outlineLevel="0" collapsed="false">
      <c r="A700" s="4" t="s">
        <v>293</v>
      </c>
      <c r="B700" s="0" t="s">
        <v>99</v>
      </c>
      <c r="C700" s="17" t="n">
        <f aca="false">C699/C688</f>
        <v>0.0570271254323685</v>
      </c>
      <c r="D700" s="17" t="n">
        <f aca="false">D699/D688</f>
        <v>0.0709238921741801</v>
      </c>
      <c r="E700" s="17" t="n">
        <f aca="false">E699/E688</f>
        <v>0.0857478063265774</v>
      </c>
      <c r="F700" s="17" t="n">
        <f aca="false">F699/F688</f>
        <v>0.0877794039239778</v>
      </c>
      <c r="G700" s="17" t="n">
        <f aca="false">G699/G688</f>
        <v>0.088706517876952</v>
      </c>
    </row>
    <row r="701" customFormat="false" ht="17.15" hidden="false" customHeight="false" outlineLevel="0" collapsed="false">
      <c r="A701" s="4" t="s">
        <v>167</v>
      </c>
      <c r="B701" s="0" t="s">
        <v>99</v>
      </c>
      <c r="C701" s="18" t="n">
        <f aca="false">a25_ni/a25_oi</f>
        <v>0.837110933758979</v>
      </c>
      <c r="D701" s="18" t="n">
        <f aca="false">a26_ni/a26_oi</f>
        <v>0.805089334055225</v>
      </c>
      <c r="E701" s="18" t="n">
        <f aca="false">nio_f</f>
        <v>0.75</v>
      </c>
      <c r="F701" s="18" t="n">
        <f aca="false">nio_f</f>
        <v>0.75</v>
      </c>
      <c r="G701" s="18" t="n">
        <f aca="false">nio_f</f>
        <v>0.75</v>
      </c>
    </row>
    <row r="702" customFormat="false" ht="15" hidden="false" customHeight="false" outlineLevel="0" collapsed="false">
      <c r="A702" s="4" t="s">
        <v>409</v>
      </c>
      <c r="B702" s="0" t="s">
        <v>117</v>
      </c>
      <c r="C702" s="26" t="n">
        <f aca="false">a25_ni</f>
        <v>1.0489</v>
      </c>
      <c r="D702" s="26" t="n">
        <f aca="false">a26_ni</f>
        <v>2.2305</v>
      </c>
      <c r="E702" s="26" t="n">
        <f aca="false">E699*E701</f>
        <v>4.63038154163518</v>
      </c>
      <c r="F702" s="26" t="n">
        <f aca="false">F699*F701</f>
        <v>6.44080102128876</v>
      </c>
      <c r="G702" s="26" t="n">
        <f aca="false">G699*G701</f>
        <v>7.29728943635361</v>
      </c>
    </row>
    <row r="703" customFormat="false" ht="17.15" hidden="false" customHeight="false" outlineLevel="0" collapsed="false">
      <c r="A703" s="4" t="s">
        <v>410</v>
      </c>
      <c r="B703" s="0" t="s">
        <v>117</v>
      </c>
      <c r="C703" s="16" t="n">
        <f aca="false">0</f>
        <v>0</v>
      </c>
      <c r="D703" s="16" t="n">
        <f aca="false">0</f>
        <v>0</v>
      </c>
      <c r="E703" s="16" t="n">
        <f aca="false">pref_div</f>
        <v>0.301875</v>
      </c>
      <c r="F703" s="16" t="n">
        <f aca="false">pref_div</f>
        <v>0.301875</v>
      </c>
      <c r="G703" s="16" t="n">
        <f aca="false">pref_div</f>
        <v>0.301875</v>
      </c>
      <c r="K703" s="8" t="s">
        <v>411</v>
      </c>
    </row>
    <row r="704" customFormat="false" ht="17.15" hidden="false" customHeight="false" outlineLevel="0" collapsed="false">
      <c r="A704" s="4" t="s">
        <v>359</v>
      </c>
      <c r="B704" s="0" t="s">
        <v>117</v>
      </c>
      <c r="C704" s="26" t="n">
        <f aca="false">C702-C703</f>
        <v>1.0489</v>
      </c>
      <c r="D704" s="26" t="n">
        <f aca="false">D702-D703</f>
        <v>2.2305</v>
      </c>
      <c r="E704" s="26" t="n">
        <f aca="false">E702-E703</f>
        <v>4.32850654163518</v>
      </c>
      <c r="F704" s="26" t="n">
        <f aca="false">F702-F703</f>
        <v>6.13892602128876</v>
      </c>
      <c r="G704" s="26" t="n">
        <f aca="false">G702-G703</f>
        <v>6.99541443635361</v>
      </c>
      <c r="H704" s="27" t="n">
        <f aca="false">H688*H709</f>
        <v>8.17680052892017</v>
      </c>
      <c r="I704" s="27" t="n">
        <f aca="false">I688*I709</f>
        <v>8.9898884763339</v>
      </c>
      <c r="J704" s="27" t="n">
        <f aca="false">J688*J709</f>
        <v>9.69447663018624</v>
      </c>
      <c r="K704" s="4" t="s">
        <v>412</v>
      </c>
    </row>
    <row r="705" customFormat="false" ht="17.15" hidden="false" customHeight="false" outlineLevel="0" collapsed="false">
      <c r="A705" s="4" t="s">
        <v>413</v>
      </c>
      <c r="B705" s="0" t="s">
        <v>99</v>
      </c>
      <c r="C705" s="17" t="n">
        <f aca="false">C702/C688</f>
        <v>0.0477380302202804</v>
      </c>
      <c r="D705" s="17" t="n">
        <f aca="false">D702/D688</f>
        <v>0.0571000691191153</v>
      </c>
      <c r="E705" s="17" t="n">
        <f aca="false">E702/E688</f>
        <v>0.0643108547449331</v>
      </c>
      <c r="F705" s="17" t="n">
        <f aca="false">F702/F688</f>
        <v>0.0658345529429834</v>
      </c>
      <c r="G705" s="17" t="n">
        <f aca="false">G702/G688</f>
        <v>0.066529888407714</v>
      </c>
      <c r="K705" s="4" t="s">
        <v>414</v>
      </c>
    </row>
    <row r="706" customFormat="false" ht="17.15" hidden="false" customHeight="false" outlineLevel="0" collapsed="false">
      <c r="A706" s="4" t="s">
        <v>415</v>
      </c>
      <c r="B706" s="4" t="s">
        <v>176</v>
      </c>
      <c r="C706" s="19" t="n">
        <f aca="false">a25_sh</f>
        <v>0.624345238095238</v>
      </c>
      <c r="D706" s="19" t="n">
        <f aca="false">a26_sh</f>
        <v>0.68420245398773</v>
      </c>
      <c r="E706" s="19" t="n">
        <f aca="false">sh27</f>
        <v>0.745</v>
      </c>
      <c r="F706" s="19" t="n">
        <f aca="false">E706*(1+sh_g)</f>
        <v>0.75245</v>
      </c>
      <c r="G706" s="19" t="n">
        <f aca="false">F706*(1+sh_g)</f>
        <v>0.7599745</v>
      </c>
      <c r="H706" s="31" t="n">
        <f aca="false">G706*(1+sh_g)+conv_sh</f>
        <v>0.91132712</v>
      </c>
      <c r="I706" s="31" t="n">
        <f aca="false">H706*(1+sh_g)</f>
        <v>0.9204403912</v>
      </c>
      <c r="J706" s="31" t="n">
        <f aca="false">I706*(1+sh_g)</f>
        <v>0.929644795112</v>
      </c>
    </row>
    <row r="707" customFormat="false" ht="17.15" hidden="false" customHeight="false" outlineLevel="0" collapsed="false">
      <c r="A707" s="0" t="s">
        <v>299</v>
      </c>
      <c r="B707" s="0" t="s">
        <v>189</v>
      </c>
      <c r="C707" s="26" t="n">
        <f aca="false">C704/C706</f>
        <v>1.68</v>
      </c>
      <c r="D707" s="26" t="n">
        <f aca="false">D704/D706</f>
        <v>3.26</v>
      </c>
      <c r="E707" s="26" t="n">
        <f aca="false">E704/E706</f>
        <v>5.81007589481232</v>
      </c>
      <c r="F707" s="26" t="n">
        <f aca="false">F704/F706</f>
        <v>8.15858332286366</v>
      </c>
      <c r="G707" s="26" t="n">
        <f aca="false">G704/G706</f>
        <v>9.20480152472696</v>
      </c>
      <c r="H707" s="30" t="n">
        <f aca="false">H704/H706</f>
        <v>8.9724099606738</v>
      </c>
      <c r="I707" s="30" t="n">
        <f aca="false">I704/I706</f>
        <v>9.76694260951931</v>
      </c>
      <c r="J707" s="30" t="n">
        <f aca="false">J704/J706</f>
        <v>10.4281513553984</v>
      </c>
    </row>
    <row r="708" customFormat="false" ht="17.15" hidden="false" customHeight="false" outlineLevel="0" collapsed="false">
      <c r="A708" s="0" t="s">
        <v>416</v>
      </c>
      <c r="B708" s="0" t="s">
        <v>99</v>
      </c>
      <c r="D708" s="18" t="n">
        <f aca="false">D707/C707-1</f>
        <v>0.940476190476191</v>
      </c>
      <c r="E708" s="18" t="n">
        <f aca="false">E707/D707-1</f>
        <v>0.782231869574332</v>
      </c>
      <c r="F708" s="18" t="n">
        <f aca="false">F707/E707-1</f>
        <v>0.404212865816136</v>
      </c>
      <c r="G708" s="18" t="n">
        <f aca="false">G707/F707-1</f>
        <v>0.128235278167886</v>
      </c>
      <c r="H708" s="28" t="n">
        <f aca="false">H707/G707-1</f>
        <v>-0.0252467761992349</v>
      </c>
      <c r="I708" s="28" t="n">
        <f aca="false">I707/H707-1</f>
        <v>0.088552869555443</v>
      </c>
      <c r="J708" s="28" t="n">
        <f aca="false">J707/I707-1</f>
        <v>0.0676986414596743</v>
      </c>
    </row>
    <row r="709" customFormat="false" ht="17.15" hidden="false" customHeight="false" outlineLevel="0" collapsed="false">
      <c r="A709" s="4" t="s">
        <v>417</v>
      </c>
      <c r="B709" s="0" t="s">
        <v>99</v>
      </c>
      <c r="C709" s="17" t="n">
        <f aca="false">C704/C688</f>
        <v>0.0477380302202804</v>
      </c>
      <c r="D709" s="17" t="n">
        <f aca="false">D704/D688</f>
        <v>0.0571000691191153</v>
      </c>
      <c r="E709" s="17" t="n">
        <f aca="false">E704/E688</f>
        <v>0.0601181464115997</v>
      </c>
      <c r="F709" s="17" t="n">
        <f aca="false">F704/F688</f>
        <v>0.0627489420688119</v>
      </c>
      <c r="G709" s="17" t="n">
        <f aca="false">G704/G688</f>
        <v>0.0637776733231614</v>
      </c>
      <c r="H709" s="29" t="n">
        <f aca="false">$G705+(fade_mA-$G705)*1/3</f>
        <v>0.067724640396187</v>
      </c>
      <c r="I709" s="29" t="n">
        <f aca="false">$G705+(fade_mA-$G705)*2/3</f>
        <v>0.06891939238466</v>
      </c>
      <c r="J709" s="29" t="n">
        <f aca="false">$G705+(fade_mA-$G705)*3/3</f>
        <v>0.0701141443731329</v>
      </c>
    </row>
    <row r="712" customFormat="false" ht="17.15" hidden="false" customHeight="false" outlineLevel="0" collapsed="false">
      <c r="A712" s="1" t="s">
        <v>696</v>
      </c>
    </row>
    <row r="713" customFormat="false" ht="17.15" hidden="false" customHeight="false" outlineLevel="0" collapsed="false">
      <c r="A713" s="5" t="s">
        <v>16</v>
      </c>
      <c r="B713" s="5" t="s">
        <v>17</v>
      </c>
      <c r="C713" s="14" t="s">
        <v>276</v>
      </c>
      <c r="D713" s="14" t="s">
        <v>280</v>
      </c>
      <c r="E713" s="14" t="s">
        <v>348</v>
      </c>
      <c r="F713" s="14" t="s">
        <v>349</v>
      </c>
      <c r="G713" s="14" t="s">
        <v>350</v>
      </c>
      <c r="H713" s="14" t="s">
        <v>351</v>
      </c>
      <c r="I713" s="14" t="s">
        <v>352</v>
      </c>
      <c r="J713" s="14" t="s">
        <v>353</v>
      </c>
      <c r="K713" s="5" t="s">
        <v>324</v>
      </c>
    </row>
    <row r="714" customFormat="false" ht="17.15" hidden="false" customHeight="false" outlineLevel="0" collapsed="false">
      <c r="A714" s="6" t="s">
        <v>370</v>
      </c>
    </row>
    <row r="715" customFormat="false" ht="17.15" hidden="false" customHeight="false" outlineLevel="0" collapsed="false">
      <c r="A715" s="0" t="s">
        <v>371</v>
      </c>
      <c r="B715" s="4" t="s">
        <v>27</v>
      </c>
      <c r="D715" s="20" t="n">
        <f aca="false">uo_26</f>
        <v>6.65</v>
      </c>
      <c r="E715" s="20" t="n">
        <f aca="false">uo_27*mf</f>
        <v>2.4</v>
      </c>
      <c r="F715" s="20" t="n">
        <f aca="false">uo_28*um28_A*mf</f>
        <v>0.5</v>
      </c>
      <c r="G715" s="20" t="n">
        <f aca="false">uo_29*um29_A*mf</f>
        <v>0.25</v>
      </c>
      <c r="K715" s="8" t="s">
        <v>372</v>
      </c>
    </row>
    <row r="716" customFormat="false" ht="17.15" hidden="false" customHeight="false" outlineLevel="0" collapsed="false">
      <c r="A716" s="0" t="s">
        <v>373</v>
      </c>
      <c r="B716" s="4" t="s">
        <v>27</v>
      </c>
      <c r="D716" s="20" t="n">
        <f aca="false">un_26</f>
        <v>1.7</v>
      </c>
      <c r="E716" s="20" t="n">
        <f aca="false">un_27*mf</f>
        <v>8.8</v>
      </c>
      <c r="F716" s="20" t="n">
        <f aca="false">un_28*um28_A*mf</f>
        <v>11</v>
      </c>
      <c r="G716" s="20" t="n">
        <f aca="false">un_29*um29_A*mf</f>
        <v>12.65</v>
      </c>
      <c r="K716" s="8" t="s">
        <v>374</v>
      </c>
    </row>
    <row r="717" customFormat="false" ht="17.15" hidden="false" customHeight="false" outlineLevel="0" collapsed="false">
      <c r="A717" s="4" t="s">
        <v>375</v>
      </c>
      <c r="B717" s="4" t="s">
        <v>58</v>
      </c>
      <c r="D717" s="24" t="n">
        <f aca="false">v_gb</f>
        <v>59.7222222222222</v>
      </c>
      <c r="E717" s="24" t="n">
        <f aca="false">v_gb</f>
        <v>59.7222222222222</v>
      </c>
      <c r="F717" s="24" t="n">
        <f aca="false">v_gb</f>
        <v>59.7222222222222</v>
      </c>
      <c r="G717" s="24" t="n">
        <f aca="false">v_gb</f>
        <v>59.7222222222222</v>
      </c>
    </row>
    <row r="718" customFormat="false" ht="17.15" hidden="false" customHeight="false" outlineLevel="0" collapsed="false">
      <c r="A718" s="4" t="s">
        <v>376</v>
      </c>
      <c r="B718" s="4" t="s">
        <v>58</v>
      </c>
      <c r="D718" s="24" t="n">
        <f aca="false">v_vr</f>
        <v>116.666666666667</v>
      </c>
      <c r="E718" s="24" t="n">
        <f aca="false">v_vr</f>
        <v>116.666666666667</v>
      </c>
      <c r="F718" s="24" t="n">
        <f aca="false">v_vr*vpg_28</f>
        <v>116.666666666667</v>
      </c>
      <c r="G718" s="24" t="n">
        <f aca="false">v_vr*vpg_29</f>
        <v>116.666666666667</v>
      </c>
      <c r="K718" s="4" t="s">
        <v>377</v>
      </c>
    </row>
    <row r="719" customFormat="false" ht="17.15" hidden="false" customHeight="false" outlineLevel="0" collapsed="false">
      <c r="A719" s="4" t="s">
        <v>378</v>
      </c>
      <c r="B719" s="0" t="s">
        <v>117</v>
      </c>
      <c r="D719" s="25" t="n">
        <f aca="false">(D715*D717+D716*D718)</f>
        <v>595.486111111111</v>
      </c>
      <c r="E719" s="25" t="n">
        <f aca="false">(E715*E717+E716*E718)</f>
        <v>1170</v>
      </c>
      <c r="F719" s="25" t="n">
        <f aca="false">(F715*F717+F716*F718)</f>
        <v>1313.19444444444</v>
      </c>
      <c r="G719" s="25" t="n">
        <f aca="false">(G715*G717+G716*G718)</f>
        <v>1490.76388888889</v>
      </c>
      <c r="K719" s="4" t="s">
        <v>379</v>
      </c>
    </row>
    <row r="720" customFormat="false" ht="17.15" hidden="false" customHeight="false" outlineLevel="0" collapsed="false">
      <c r="A720" s="4" t="s">
        <v>380</v>
      </c>
      <c r="B720" s="0" t="s">
        <v>117</v>
      </c>
      <c r="E720" s="25" t="n">
        <f aca="false">0.5*D719+0.5*E719</f>
        <v>882.743055555556</v>
      </c>
      <c r="F720" s="25" t="n">
        <f aca="false">0.5*E719+0.5*F719</f>
        <v>1241.59722222222</v>
      </c>
      <c r="G720" s="25" t="n">
        <f aca="false">0.5*F719+0.5*G719</f>
        <v>1401.97916666667</v>
      </c>
      <c r="K720" s="4" t="s">
        <v>381</v>
      </c>
    </row>
    <row r="721" customFormat="false" ht="17.15" hidden="false" customHeight="false" outlineLevel="0" collapsed="false">
      <c r="A721" s="0" t="s">
        <v>382</v>
      </c>
      <c r="B721" s="0" t="s">
        <v>117</v>
      </c>
      <c r="E721" s="25" t="n">
        <f aca="false">0.5*D719+0.5*(uo_27*v_gb+un_27*v_vr)</f>
        <v>882.743055555556</v>
      </c>
      <c r="K721" s="4" t="s">
        <v>383</v>
      </c>
    </row>
    <row r="722" customFormat="false" ht="17.15" hidden="false" customHeight="false" outlineLevel="0" collapsed="false">
      <c r="A722" s="4" t="s">
        <v>384</v>
      </c>
      <c r="B722" s="0" t="s">
        <v>99</v>
      </c>
      <c r="D722" s="17" t="n">
        <f aca="false">a26_aih2/(0.5*D719)</f>
        <v>0.0499294936443149</v>
      </c>
      <c r="K722" s="8" t="s">
        <v>385</v>
      </c>
    </row>
    <row r="723" customFormat="false" ht="17.15" hidden="false" customHeight="false" outlineLevel="0" collapsed="false">
      <c r="A723" s="0" t="s">
        <v>386</v>
      </c>
      <c r="B723" s="0" t="s">
        <v>117</v>
      </c>
      <c r="E723" s="25" t="n">
        <f aca="false">g27_hi</f>
        <v>72</v>
      </c>
      <c r="K723" s="8" t="s">
        <v>387</v>
      </c>
    </row>
    <row r="724" customFormat="false" ht="17.15" hidden="false" customHeight="false" outlineLevel="0" collapsed="false">
      <c r="A724" s="4" t="s">
        <v>388</v>
      </c>
      <c r="B724" s="0" t="s">
        <v>66</v>
      </c>
      <c r="E724" s="20" t="n">
        <f aca="false">1</f>
        <v>1</v>
      </c>
      <c r="F724" s="20" t="n">
        <f aca="false">rel_28_hi*1</f>
        <v>1</v>
      </c>
      <c r="G724" s="20" t="n">
        <f aca="false">rel_29_hi*1</f>
        <v>1</v>
      </c>
      <c r="K724" s="8" t="s">
        <v>389</v>
      </c>
    </row>
    <row r="725" customFormat="false" ht="17.15" hidden="false" customHeight="false" outlineLevel="0" collapsed="false">
      <c r="A725" s="4" t="s">
        <v>390</v>
      </c>
      <c r="B725" s="0" t="s">
        <v>99</v>
      </c>
      <c r="E725" s="17" t="n">
        <f aca="false">(E723-E729)/E721</f>
        <v>0.0696416435825827</v>
      </c>
      <c r="F725" s="17" t="n">
        <f aca="false">$E725*F724</f>
        <v>0.0696416435825827</v>
      </c>
      <c r="G725" s="17" t="n">
        <f aca="false">$E725*G724</f>
        <v>0.0696416435825827</v>
      </c>
      <c r="K725" s="8" t="s">
        <v>391</v>
      </c>
    </row>
    <row r="726" customFormat="false" ht="17.15" hidden="false" customHeight="false" outlineLevel="0" collapsed="false">
      <c r="A726" s="0" t="s">
        <v>392</v>
      </c>
      <c r="B726" s="0" t="s">
        <v>66</v>
      </c>
      <c r="E726" s="20" t="n">
        <f aca="false">E725/D722</f>
        <v>1.39479971655015</v>
      </c>
      <c r="K726" s="8" t="s">
        <v>393</v>
      </c>
    </row>
    <row r="727" customFormat="false" ht="17.15" hidden="false" customHeight="false" outlineLevel="0" collapsed="false">
      <c r="A727" s="0" t="s">
        <v>394</v>
      </c>
      <c r="B727" s="0" t="s">
        <v>117</v>
      </c>
      <c r="C727" s="26" t="n">
        <f aca="false">a25_ai</f>
        <v>15.3804</v>
      </c>
      <c r="D727" s="26" t="n">
        <f aca="false">a26_ai</f>
        <v>29.911415</v>
      </c>
      <c r="E727" s="26" t="n">
        <f aca="false">E720*E725</f>
        <v>61.47567725</v>
      </c>
      <c r="F727" s="26" t="n">
        <f aca="false">F720*F725</f>
        <v>86.4668712231247</v>
      </c>
      <c r="G727" s="26" t="n">
        <f aca="false">G720*G725</f>
        <v>97.6361334352064</v>
      </c>
    </row>
    <row r="728" customFormat="false" ht="17.15" hidden="false" customHeight="false" outlineLevel="0" collapsed="false">
      <c r="A728" s="6" t="s">
        <v>395</v>
      </c>
    </row>
    <row r="729" customFormat="false" ht="17.15" hidden="false" customHeight="false" outlineLevel="0" collapsed="false">
      <c r="A729" s="4" t="s">
        <v>310</v>
      </c>
      <c r="B729" s="0" t="s">
        <v>117</v>
      </c>
      <c r="C729" s="26" t="n">
        <f aca="false">a25_nai</f>
        <v>6.5916</v>
      </c>
      <c r="D729" s="26" t="n">
        <f aca="false">a26_nai</f>
        <v>9.151585</v>
      </c>
      <c r="E729" s="26" t="n">
        <f aca="false">D729*(1+g_nai27)</f>
        <v>10.52432275</v>
      </c>
      <c r="F729" s="26" t="n">
        <f aca="false">E729*(1+g_nai28)</f>
        <v>11.36626857</v>
      </c>
      <c r="G729" s="26" t="n">
        <f aca="false">F729*(1+g_nai29)</f>
        <v>12.0482446842</v>
      </c>
    </row>
    <row r="730" customFormat="false" ht="17.15" hidden="false" customHeight="false" outlineLevel="0" collapsed="false">
      <c r="A730" s="4" t="s">
        <v>282</v>
      </c>
      <c r="B730" s="0" t="s">
        <v>117</v>
      </c>
      <c r="C730" s="26" t="n">
        <f aca="false">C727+C729</f>
        <v>21.972</v>
      </c>
      <c r="D730" s="26" t="n">
        <f aca="false">D727+D729</f>
        <v>39.063</v>
      </c>
      <c r="E730" s="26" t="n">
        <f aca="false">E727+E729</f>
        <v>72</v>
      </c>
      <c r="F730" s="26" t="n">
        <f aca="false">F727+F729</f>
        <v>97.8331397931247</v>
      </c>
      <c r="G730" s="26" t="n">
        <f aca="false">G727+G729</f>
        <v>109.684378119406</v>
      </c>
      <c r="H730" s="27" t="n">
        <f aca="false">G730*(1+H731)</f>
        <v>120.735975578256</v>
      </c>
      <c r="I730" s="27" t="n">
        <f aca="false">H730*(1+I731)</f>
        <v>130.440622954982</v>
      </c>
      <c r="J730" s="27" t="n">
        <f aca="false">I730*(1+J731)</f>
        <v>138.267060332281</v>
      </c>
      <c r="K730" s="8" t="s">
        <v>396</v>
      </c>
    </row>
    <row r="731" customFormat="false" ht="15" hidden="false" customHeight="false" outlineLevel="0" collapsed="false">
      <c r="A731" s="4" t="s">
        <v>397</v>
      </c>
      <c r="B731" s="0" t="s">
        <v>99</v>
      </c>
      <c r="D731" s="18" t="n">
        <f aca="false">D730/C730-1</f>
        <v>0.777853631895139</v>
      </c>
      <c r="E731" s="18" t="n">
        <f aca="false">E730/D730-1</f>
        <v>0.843176407341986</v>
      </c>
      <c r="F731" s="18" t="n">
        <f aca="false">F730/E730-1</f>
        <v>0.358793608237844</v>
      </c>
      <c r="G731" s="18" t="n">
        <f aca="false">G730/F730-1</f>
        <v>0.121137258308809</v>
      </c>
      <c r="H731" s="28" t="n">
        <f aca="false">$G731+(fade_gA-$G731)*1/3</f>
        <v>0.100758172205873</v>
      </c>
      <c r="I731" s="28" t="n">
        <f aca="false">$G731+(fade_gA-$G731)*2/3</f>
        <v>0.0803790861029364</v>
      </c>
      <c r="J731" s="28" t="n">
        <f aca="false">$G731+(fade_gA-$G731)*3/3</f>
        <v>0.06</v>
      </c>
    </row>
    <row r="732" customFormat="false" ht="17.15" hidden="false" customHeight="false" outlineLevel="0" collapsed="false">
      <c r="A732" s="0" t="s">
        <v>398</v>
      </c>
      <c r="B732" s="0" t="s">
        <v>99</v>
      </c>
      <c r="C732" s="18" t="n">
        <f aca="false">C727/C730</f>
        <v>0.7</v>
      </c>
      <c r="D732" s="18" t="n">
        <f aca="false">D727/D730</f>
        <v>0.765722422752989</v>
      </c>
      <c r="E732" s="18" t="n">
        <f aca="false">E727/E730</f>
        <v>0.853828850694445</v>
      </c>
      <c r="F732" s="18" t="n">
        <f aca="false">F727/F730</f>
        <v>0.883819852924737</v>
      </c>
      <c r="G732" s="18" t="n">
        <f aca="false">G727/G730</f>
        <v>0.890155326667542</v>
      </c>
    </row>
    <row r="733" customFormat="false" ht="17.15" hidden="false" customHeight="false" outlineLevel="0" collapsed="false">
      <c r="A733" s="4" t="s">
        <v>399</v>
      </c>
      <c r="B733" s="4" t="s">
        <v>27</v>
      </c>
      <c r="E733" s="20" t="n">
        <f aca="false">E727/((0.5*(D715*D717+D716*D718)+0.5*(E715*E717+E716*E718))/(0.5*(D715+D716)+0.5*(E715+E716)))</f>
        <v>0.680747066019746</v>
      </c>
      <c r="F733" s="20" t="n">
        <f aca="false">F727/((0.5*(E715*E717+E716*E718)+0.5*(F715*F717+F716*F718))/(0.5*(E715+E716)+0.5*(F715+F716)))</f>
        <v>0.790432654662314</v>
      </c>
      <c r="G733" s="20" t="n">
        <f aca="false">G727/((0.5*(F715*F717+F716*F718)+0.5*(G715*G717+G716*G718))/(0.5*(F715+F716)+0.5*(G715+G716)))</f>
        <v>0.849628051707509</v>
      </c>
      <c r="K733" s="4" t="s">
        <v>400</v>
      </c>
    </row>
    <row r="734" customFormat="false" ht="17.15" hidden="false" customHeight="false" outlineLevel="0" collapsed="false">
      <c r="A734" s="6" t="s">
        <v>401</v>
      </c>
    </row>
    <row r="735" customFormat="false" ht="17.15" hidden="false" customHeight="false" outlineLevel="0" collapsed="false">
      <c r="A735" s="0" t="s">
        <v>402</v>
      </c>
      <c r="B735" s="0" t="s">
        <v>99</v>
      </c>
      <c r="D735" s="17" t="n">
        <f aca="false">(a26_gp-gm_nai*a26_nai)/a26_ai</f>
        <v>0.0954338753281983</v>
      </c>
      <c r="K735" s="8" t="s">
        <v>403</v>
      </c>
    </row>
    <row r="736" customFormat="false" ht="17.15" hidden="false" customHeight="false" outlineLevel="0" collapsed="false">
      <c r="A736" s="0" t="s">
        <v>404</v>
      </c>
      <c r="B736" s="0" t="s">
        <v>99</v>
      </c>
      <c r="D736" s="17" t="n">
        <f aca="false">D735</f>
        <v>0.0954338753281983</v>
      </c>
      <c r="E736" s="17" t="n">
        <f aca="false">$D735+dgm_27_hi</f>
        <v>0.110433875328198</v>
      </c>
      <c r="F736" s="17" t="n">
        <f aca="false">$D735+dgm_28_hi</f>
        <v>0.110433875328198</v>
      </c>
      <c r="G736" s="17" t="n">
        <f aca="false">$D735+dgm_28_hi</f>
        <v>0.110433875328198</v>
      </c>
      <c r="K736" s="8" t="s">
        <v>405</v>
      </c>
    </row>
    <row r="737" customFormat="false" ht="15" hidden="false" customHeight="false" outlineLevel="0" collapsed="false">
      <c r="A737" s="4" t="s">
        <v>406</v>
      </c>
      <c r="B737" s="0" t="s">
        <v>117</v>
      </c>
      <c r="C737" s="26" t="n">
        <f aca="false">a25_gp</f>
        <v>2.4299</v>
      </c>
      <c r="D737" s="26" t="n">
        <f aca="false">a26_gp</f>
        <v>4.2273</v>
      </c>
      <c r="E737" s="26" t="n">
        <f aca="false">E736*E727+gm_nai*E729</f>
        <v>8.36764568964306</v>
      </c>
      <c r="F737" s="26" t="n">
        <f aca="false">F736*F727+gm_nai*F729</f>
        <v>11.2538119621739</v>
      </c>
      <c r="G737" s="26" t="n">
        <f aca="false">G736*G727+gm_nai*G729</f>
        <v>12.5895732899409</v>
      </c>
    </row>
    <row r="738" customFormat="false" ht="15" hidden="false" customHeight="false" outlineLevel="0" collapsed="false">
      <c r="A738" s="4" t="s">
        <v>288</v>
      </c>
      <c r="B738" s="0" t="s">
        <v>99</v>
      </c>
      <c r="C738" s="17" t="n">
        <f aca="false">C737/C730</f>
        <v>0.110590751866011</v>
      </c>
      <c r="D738" s="17" t="n">
        <f aca="false">D737/D730</f>
        <v>0.108217494816066</v>
      </c>
      <c r="E738" s="17" t="n">
        <f aca="false">E737/E730</f>
        <v>0.116217301245042</v>
      </c>
      <c r="F738" s="17" t="n">
        <f aca="false">F737/F730</f>
        <v>0.115030673511766</v>
      </c>
      <c r="G738" s="17" t="n">
        <f aca="false">G737/G730</f>
        <v>0.114780003367804</v>
      </c>
    </row>
    <row r="739" customFormat="false" ht="15" hidden="false" customHeight="false" outlineLevel="0" collapsed="false">
      <c r="A739" s="4" t="s">
        <v>407</v>
      </c>
      <c r="B739" s="0" t="s">
        <v>117</v>
      </c>
      <c r="C739" s="26" t="n">
        <f aca="false">a25_opx</f>
        <v>1.1769</v>
      </c>
      <c r="D739" s="26" t="n">
        <f aca="false">a26_opx</f>
        <v>1.4568</v>
      </c>
      <c r="E739" s="26" t="n">
        <f aca="false">D739*(1+MAX(0,phi*E731))</f>
        <v>1.94813575608632</v>
      </c>
      <c r="F739" s="26" t="n">
        <f aca="false">E739*(1+MAX(0,phi*F731))</f>
        <v>2.22772721899167</v>
      </c>
      <c r="G739" s="26" t="n">
        <f aca="false">F739*(1+MAX(0,phi*G731))</f>
        <v>2.33567152601909</v>
      </c>
    </row>
    <row r="740" customFormat="false" ht="15" hidden="false" customHeight="false" outlineLevel="0" collapsed="false">
      <c r="A740" s="4" t="s">
        <v>408</v>
      </c>
      <c r="B740" s="0" t="s">
        <v>117</v>
      </c>
      <c r="C740" s="26" t="n">
        <f aca="false">C739</f>
        <v>1.1769</v>
      </c>
      <c r="D740" s="26" t="n">
        <f aca="false">D739</f>
        <v>1.4568</v>
      </c>
      <c r="E740" s="26" t="n">
        <f aca="false">E739+0*E730</f>
        <v>1.94813575608632</v>
      </c>
      <c r="F740" s="26" t="n">
        <f aca="false">F739+0*F730</f>
        <v>2.22772721899167</v>
      </c>
      <c r="G740" s="26" t="n">
        <f aca="false">G739+0*G730</f>
        <v>2.33567152601909</v>
      </c>
    </row>
    <row r="741" customFormat="false" ht="15" hidden="false" customHeight="false" outlineLevel="0" collapsed="false">
      <c r="A741" s="4" t="s">
        <v>291</v>
      </c>
      <c r="B741" s="0" t="s">
        <v>117</v>
      </c>
      <c r="C741" s="26" t="n">
        <f aca="false">C737-C740</f>
        <v>1.253</v>
      </c>
      <c r="D741" s="26" t="n">
        <f aca="false">D737-D740</f>
        <v>2.7705</v>
      </c>
      <c r="E741" s="26" t="n">
        <f aca="false">E737-E740</f>
        <v>6.41950993355673</v>
      </c>
      <c r="F741" s="26" t="n">
        <f aca="false">F737-F740</f>
        <v>9.02608474318226</v>
      </c>
      <c r="G741" s="26" t="n">
        <f aca="false">G737-G740</f>
        <v>10.2539017639218</v>
      </c>
    </row>
    <row r="742" customFormat="false" ht="15" hidden="false" customHeight="false" outlineLevel="0" collapsed="false">
      <c r="A742" s="4" t="s">
        <v>293</v>
      </c>
      <c r="B742" s="0" t="s">
        <v>99</v>
      </c>
      <c r="C742" s="17" t="n">
        <f aca="false">C741/C730</f>
        <v>0.0570271254323685</v>
      </c>
      <c r="D742" s="17" t="n">
        <f aca="false">D741/D730</f>
        <v>0.0709238921741801</v>
      </c>
      <c r="E742" s="17" t="n">
        <f aca="false">E741/E730</f>
        <v>0.089159860188288</v>
      </c>
      <c r="F742" s="17" t="n">
        <f aca="false">F741/F730</f>
        <v>0.0922599924960864</v>
      </c>
      <c r="G742" s="17" t="n">
        <f aca="false">G741/G730</f>
        <v>0.0934855258308439</v>
      </c>
    </row>
    <row r="743" customFormat="false" ht="17.15" hidden="false" customHeight="false" outlineLevel="0" collapsed="false">
      <c r="A743" s="4" t="s">
        <v>167</v>
      </c>
      <c r="B743" s="0" t="s">
        <v>99</v>
      </c>
      <c r="C743" s="18" t="n">
        <f aca="false">a25_ni/a25_oi</f>
        <v>0.837110933758979</v>
      </c>
      <c r="D743" s="18" t="n">
        <f aca="false">a26_ni/a26_oi</f>
        <v>0.805089334055225</v>
      </c>
      <c r="E743" s="18" t="n">
        <f aca="false">nio_f_lo</f>
        <v>0.68</v>
      </c>
      <c r="F743" s="18" t="n">
        <f aca="false">nio_f_lo</f>
        <v>0.68</v>
      </c>
      <c r="G743" s="18" t="n">
        <f aca="false">nio_f_lo</f>
        <v>0.68</v>
      </c>
    </row>
    <row r="744" customFormat="false" ht="15" hidden="false" customHeight="false" outlineLevel="0" collapsed="false">
      <c r="A744" s="4" t="s">
        <v>409</v>
      </c>
      <c r="B744" s="0" t="s">
        <v>117</v>
      </c>
      <c r="C744" s="26" t="n">
        <f aca="false">a25_ni</f>
        <v>1.0489</v>
      </c>
      <c r="D744" s="26" t="n">
        <f aca="false">a26_ni</f>
        <v>2.2305</v>
      </c>
      <c r="E744" s="26" t="n">
        <f aca="false">E741*E743</f>
        <v>4.36526675481858</v>
      </c>
      <c r="F744" s="26" t="n">
        <f aca="false">F741*F743</f>
        <v>6.13773762536394</v>
      </c>
      <c r="G744" s="26" t="n">
        <f aca="false">G741*G743</f>
        <v>6.97265319946683</v>
      </c>
    </row>
    <row r="745" customFormat="false" ht="17.15" hidden="false" customHeight="false" outlineLevel="0" collapsed="false">
      <c r="A745" s="4" t="s">
        <v>410</v>
      </c>
      <c r="B745" s="0" t="s">
        <v>117</v>
      </c>
      <c r="C745" s="16" t="n">
        <f aca="false">0</f>
        <v>0</v>
      </c>
      <c r="D745" s="16" t="n">
        <f aca="false">0</f>
        <v>0</v>
      </c>
      <c r="E745" s="16" t="n">
        <f aca="false">pref_div</f>
        <v>0.301875</v>
      </c>
      <c r="F745" s="16" t="n">
        <f aca="false">pref_div</f>
        <v>0.301875</v>
      </c>
      <c r="G745" s="16" t="n">
        <f aca="false">pref_div</f>
        <v>0.301875</v>
      </c>
      <c r="K745" s="8" t="s">
        <v>411</v>
      </c>
    </row>
    <row r="746" customFormat="false" ht="17.15" hidden="false" customHeight="false" outlineLevel="0" collapsed="false">
      <c r="A746" s="4" t="s">
        <v>359</v>
      </c>
      <c r="B746" s="0" t="s">
        <v>117</v>
      </c>
      <c r="C746" s="26" t="n">
        <f aca="false">C744-C745</f>
        <v>1.0489</v>
      </c>
      <c r="D746" s="26" t="n">
        <f aca="false">D744-D745</f>
        <v>2.2305</v>
      </c>
      <c r="E746" s="26" t="n">
        <f aca="false">E744-E745</f>
        <v>4.06339175481858</v>
      </c>
      <c r="F746" s="26" t="n">
        <f aca="false">F744-F745</f>
        <v>5.83586262536394</v>
      </c>
      <c r="G746" s="26" t="n">
        <f aca="false">G744-G745</f>
        <v>6.67077819946683</v>
      </c>
      <c r="H746" s="27" t="n">
        <f aca="false">H730*H751</f>
        <v>7.93856986842198</v>
      </c>
      <c r="I746" s="27" t="n">
        <f aca="false">I730*I751</f>
        <v>8.86119876469854</v>
      </c>
      <c r="J746" s="27" t="n">
        <f aca="false">J730*J751</f>
        <v>9.69447663018624</v>
      </c>
      <c r="K746" s="4" t="s">
        <v>412</v>
      </c>
    </row>
    <row r="747" customFormat="false" ht="17.15" hidden="false" customHeight="false" outlineLevel="0" collapsed="false">
      <c r="A747" s="4" t="s">
        <v>413</v>
      </c>
      <c r="B747" s="0" t="s">
        <v>99</v>
      </c>
      <c r="C747" s="17" t="n">
        <f aca="false">C744/C730</f>
        <v>0.0477380302202804</v>
      </c>
      <c r="D747" s="17" t="n">
        <f aca="false">D744/D730</f>
        <v>0.0571000691191153</v>
      </c>
      <c r="E747" s="17" t="n">
        <f aca="false">E744/E730</f>
        <v>0.0606287049280358</v>
      </c>
      <c r="F747" s="17" t="n">
        <f aca="false">F744/F730</f>
        <v>0.0627367948973388</v>
      </c>
      <c r="G747" s="17" t="n">
        <f aca="false">G744/G730</f>
        <v>0.0635701575649739</v>
      </c>
      <c r="K747" s="4" t="s">
        <v>414</v>
      </c>
    </row>
    <row r="748" customFormat="false" ht="17.15" hidden="false" customHeight="false" outlineLevel="0" collapsed="false">
      <c r="A748" s="4" t="s">
        <v>415</v>
      </c>
      <c r="B748" s="4" t="s">
        <v>176</v>
      </c>
      <c r="C748" s="19" t="n">
        <f aca="false">a25_sh</f>
        <v>0.624345238095238</v>
      </c>
      <c r="D748" s="19" t="n">
        <f aca="false">a26_sh</f>
        <v>0.68420245398773</v>
      </c>
      <c r="E748" s="19" t="n">
        <f aca="false">sh27</f>
        <v>0.745</v>
      </c>
      <c r="F748" s="19" t="n">
        <f aca="false">E748*(1+sh_g)</f>
        <v>0.75245</v>
      </c>
      <c r="G748" s="19" t="n">
        <f aca="false">F748*(1+sh_g)</f>
        <v>0.7599745</v>
      </c>
      <c r="H748" s="31" t="n">
        <f aca="false">G748*(1+sh_g)+conv_sh</f>
        <v>0.91132712</v>
      </c>
      <c r="I748" s="31" t="n">
        <f aca="false">H748*(1+sh_g)</f>
        <v>0.9204403912</v>
      </c>
      <c r="J748" s="31" t="n">
        <f aca="false">I748*(1+sh_g)</f>
        <v>0.929644795112</v>
      </c>
    </row>
    <row r="749" customFormat="false" ht="17.15" hidden="false" customHeight="false" outlineLevel="0" collapsed="false">
      <c r="A749" s="0" t="s">
        <v>299</v>
      </c>
      <c r="B749" s="0" t="s">
        <v>189</v>
      </c>
      <c r="C749" s="26" t="n">
        <f aca="false">C746/C748</f>
        <v>1.68</v>
      </c>
      <c r="D749" s="26" t="n">
        <f aca="false">D746/D748</f>
        <v>3.26</v>
      </c>
      <c r="E749" s="26" t="n">
        <f aca="false">E746/E748</f>
        <v>5.45421712056185</v>
      </c>
      <c r="F749" s="26" t="n">
        <f aca="false">F746/F748</f>
        <v>7.75581450643091</v>
      </c>
      <c r="G749" s="26" t="n">
        <f aca="false">G746/G748</f>
        <v>8.77763424886866</v>
      </c>
      <c r="H749" s="30" t="n">
        <f aca="false">H746/H748</f>
        <v>8.71099926053115</v>
      </c>
      <c r="I749" s="30" t="n">
        <f aca="false">I746/I748</f>
        <v>9.6271294148076</v>
      </c>
      <c r="J749" s="30" t="n">
        <f aca="false">J746/J748</f>
        <v>10.4281513553984</v>
      </c>
    </row>
    <row r="750" customFormat="false" ht="17.15" hidden="false" customHeight="false" outlineLevel="0" collapsed="false">
      <c r="A750" s="0" t="s">
        <v>416</v>
      </c>
      <c r="B750" s="0" t="s">
        <v>99</v>
      </c>
      <c r="D750" s="18" t="n">
        <f aca="false">D749/C749-1</f>
        <v>0.940476190476191</v>
      </c>
      <c r="E750" s="18" t="n">
        <f aca="false">E749/D749-1</f>
        <v>0.673072736368666</v>
      </c>
      <c r="F750" s="18" t="n">
        <f aca="false">F749/E749-1</f>
        <v>0.421984921940909</v>
      </c>
      <c r="G750" s="18" t="n">
        <f aca="false">G749/F749-1</f>
        <v>0.131748862945405</v>
      </c>
      <c r="H750" s="28" t="n">
        <f aca="false">H749/G749-1</f>
        <v>-0.00759145191611244</v>
      </c>
      <c r="I750" s="28" t="n">
        <f aca="false">I749/H749-1</f>
        <v>0.105169352777627</v>
      </c>
      <c r="J750" s="28" t="n">
        <f aca="false">J749/I749-1</f>
        <v>0.0832046507403035</v>
      </c>
    </row>
    <row r="751" customFormat="false" ht="17.15" hidden="false" customHeight="false" outlineLevel="0" collapsed="false">
      <c r="A751" s="4" t="s">
        <v>417</v>
      </c>
      <c r="B751" s="0" t="s">
        <v>99</v>
      </c>
      <c r="C751" s="17" t="n">
        <f aca="false">C746/C730</f>
        <v>0.0477380302202804</v>
      </c>
      <c r="D751" s="17" t="n">
        <f aca="false">D746/D730</f>
        <v>0.0571000691191153</v>
      </c>
      <c r="E751" s="17" t="n">
        <f aca="false">E746/E730</f>
        <v>0.0564359965947025</v>
      </c>
      <c r="F751" s="17" t="n">
        <f aca="false">F746/F730</f>
        <v>0.0596511840231673</v>
      </c>
      <c r="G751" s="17" t="n">
        <f aca="false">G746/G730</f>
        <v>0.0608179424804213</v>
      </c>
      <c r="H751" s="29" t="n">
        <f aca="false">$G747+(fade_mA-$G747)*1/3</f>
        <v>0.0657514865010269</v>
      </c>
      <c r="I751" s="29" t="n">
        <f aca="false">$G747+(fade_mA-$G747)*2/3</f>
        <v>0.0679328154370799</v>
      </c>
      <c r="J751" s="29" t="n">
        <f aca="false">$G747+(fade_mA-$G747)*3/3</f>
        <v>0.0701141443731329</v>
      </c>
    </row>
    <row r="754" customFormat="false" ht="17.15" hidden="false" customHeight="false" outlineLevel="0" collapsed="false">
      <c r="A754" s="1" t="s">
        <v>697</v>
      </c>
    </row>
    <row r="755" customFormat="false" ht="17.15" hidden="false" customHeight="false" outlineLevel="0" collapsed="false">
      <c r="A755" s="5" t="s">
        <v>16</v>
      </c>
      <c r="B755" s="5" t="s">
        <v>17</v>
      </c>
      <c r="C755" s="14" t="s">
        <v>276</v>
      </c>
      <c r="D755" s="14" t="s">
        <v>280</v>
      </c>
      <c r="E755" s="14" t="s">
        <v>348</v>
      </c>
      <c r="F755" s="14" t="s">
        <v>349</v>
      </c>
      <c r="G755" s="14" t="s">
        <v>350</v>
      </c>
      <c r="H755" s="14" t="s">
        <v>351</v>
      </c>
      <c r="I755" s="14" t="s">
        <v>352</v>
      </c>
      <c r="J755" s="14" t="s">
        <v>353</v>
      </c>
      <c r="K755" s="5" t="s">
        <v>324</v>
      </c>
    </row>
    <row r="756" customFormat="false" ht="17.15" hidden="false" customHeight="false" outlineLevel="0" collapsed="false">
      <c r="A756" s="6" t="s">
        <v>370</v>
      </c>
    </row>
    <row r="757" customFormat="false" ht="17.15" hidden="false" customHeight="false" outlineLevel="0" collapsed="false">
      <c r="A757" s="0" t="s">
        <v>371</v>
      </c>
      <c r="B757" s="4" t="s">
        <v>27</v>
      </c>
      <c r="D757" s="20" t="n">
        <f aca="false">uo_26</f>
        <v>6.65</v>
      </c>
      <c r="E757" s="20" t="n">
        <f aca="false">uo_27*mf</f>
        <v>2.4</v>
      </c>
      <c r="F757" s="20" t="n">
        <f aca="false">uo_28*um28_A*mf</f>
        <v>0.5</v>
      </c>
      <c r="G757" s="20" t="n">
        <f aca="false">uo_29*um29_A*mf</f>
        <v>0.25</v>
      </c>
      <c r="K757" s="8" t="s">
        <v>372</v>
      </c>
    </row>
    <row r="758" customFormat="false" ht="17.15" hidden="false" customHeight="false" outlineLevel="0" collapsed="false">
      <c r="A758" s="0" t="s">
        <v>373</v>
      </c>
      <c r="B758" s="4" t="s">
        <v>27</v>
      </c>
      <c r="D758" s="20" t="n">
        <f aca="false">un_26</f>
        <v>1.7</v>
      </c>
      <c r="E758" s="20" t="n">
        <f aca="false">un_27*mf</f>
        <v>8.8</v>
      </c>
      <c r="F758" s="20" t="n">
        <f aca="false">un_28*um28_A*mf</f>
        <v>11</v>
      </c>
      <c r="G758" s="20" t="n">
        <f aca="false">un_29*um29_A*mf</f>
        <v>12.65</v>
      </c>
      <c r="K758" s="8" t="s">
        <v>374</v>
      </c>
    </row>
    <row r="759" customFormat="false" ht="17.15" hidden="false" customHeight="false" outlineLevel="0" collapsed="false">
      <c r="A759" s="4" t="s">
        <v>375</v>
      </c>
      <c r="B759" s="4" t="s">
        <v>58</v>
      </c>
      <c r="D759" s="24" t="n">
        <f aca="false">v_gb</f>
        <v>59.7222222222222</v>
      </c>
      <c r="E759" s="24" t="n">
        <f aca="false">v_gb</f>
        <v>59.7222222222222</v>
      </c>
      <c r="F759" s="24" t="n">
        <f aca="false">v_gb</f>
        <v>59.7222222222222</v>
      </c>
      <c r="G759" s="24" t="n">
        <f aca="false">v_gb</f>
        <v>59.7222222222222</v>
      </c>
    </row>
    <row r="760" customFormat="false" ht="17.15" hidden="false" customHeight="false" outlineLevel="0" collapsed="false">
      <c r="A760" s="4" t="s">
        <v>376</v>
      </c>
      <c r="B760" s="4" t="s">
        <v>58</v>
      </c>
      <c r="D760" s="24" t="n">
        <f aca="false">v_vr</f>
        <v>116.666666666667</v>
      </c>
      <c r="E760" s="24" t="n">
        <f aca="false">v_vr</f>
        <v>116.666666666667</v>
      </c>
      <c r="F760" s="24" t="n">
        <f aca="false">v_vr*vpg_28</f>
        <v>116.666666666667</v>
      </c>
      <c r="G760" s="24" t="n">
        <f aca="false">v_vr*vpg_29</f>
        <v>116.666666666667</v>
      </c>
      <c r="K760" s="4" t="s">
        <v>377</v>
      </c>
    </row>
    <row r="761" customFormat="false" ht="17.15" hidden="false" customHeight="false" outlineLevel="0" collapsed="false">
      <c r="A761" s="4" t="s">
        <v>378</v>
      </c>
      <c r="B761" s="0" t="s">
        <v>117</v>
      </c>
      <c r="D761" s="25" t="n">
        <f aca="false">(D757*D759+D758*D760)</f>
        <v>595.486111111111</v>
      </c>
      <c r="E761" s="25" t="n">
        <f aca="false">(E757*E759+E758*E760)</f>
        <v>1170</v>
      </c>
      <c r="F761" s="25" t="n">
        <f aca="false">(F757*F759+F758*F760)</f>
        <v>1313.19444444444</v>
      </c>
      <c r="G761" s="25" t="n">
        <f aca="false">(G757*G759+G758*G760)</f>
        <v>1490.76388888889</v>
      </c>
      <c r="K761" s="4" t="s">
        <v>379</v>
      </c>
    </row>
    <row r="762" customFormat="false" ht="17.15" hidden="false" customHeight="false" outlineLevel="0" collapsed="false">
      <c r="A762" s="4" t="s">
        <v>380</v>
      </c>
      <c r="B762" s="0" t="s">
        <v>117</v>
      </c>
      <c r="E762" s="25" t="n">
        <f aca="false">0.5*D761+0.5*E761</f>
        <v>882.743055555556</v>
      </c>
      <c r="F762" s="25" t="n">
        <f aca="false">0.5*E761+0.5*F761</f>
        <v>1241.59722222222</v>
      </c>
      <c r="G762" s="25" t="n">
        <f aca="false">0.5*F761+0.5*G761</f>
        <v>1401.97916666667</v>
      </c>
      <c r="K762" s="4" t="s">
        <v>381</v>
      </c>
    </row>
    <row r="763" customFormat="false" ht="17.15" hidden="false" customHeight="false" outlineLevel="0" collapsed="false">
      <c r="A763" s="0" t="s">
        <v>382</v>
      </c>
      <c r="B763" s="0" t="s">
        <v>117</v>
      </c>
      <c r="E763" s="25" t="n">
        <f aca="false">0.5*D761+0.5*(uo_27*v_gb+un_27*v_vr)</f>
        <v>882.743055555556</v>
      </c>
      <c r="K763" s="4" t="s">
        <v>383</v>
      </c>
    </row>
    <row r="764" customFormat="false" ht="17.15" hidden="false" customHeight="false" outlineLevel="0" collapsed="false">
      <c r="A764" s="4" t="s">
        <v>384</v>
      </c>
      <c r="B764" s="0" t="s">
        <v>99</v>
      </c>
      <c r="D764" s="17" t="n">
        <f aca="false">a26_aih2/(0.5*D761)</f>
        <v>0.0499294936443149</v>
      </c>
      <c r="K764" s="8" t="s">
        <v>385</v>
      </c>
    </row>
    <row r="765" customFormat="false" ht="17.15" hidden="false" customHeight="false" outlineLevel="0" collapsed="false">
      <c r="A765" s="0" t="s">
        <v>386</v>
      </c>
      <c r="B765" s="0" t="s">
        <v>117</v>
      </c>
      <c r="E765" s="25" t="n">
        <f aca="false">g27_hi</f>
        <v>72</v>
      </c>
      <c r="K765" s="8" t="s">
        <v>387</v>
      </c>
    </row>
    <row r="766" customFormat="false" ht="17.15" hidden="false" customHeight="false" outlineLevel="0" collapsed="false">
      <c r="A766" s="4" t="s">
        <v>388</v>
      </c>
      <c r="B766" s="0" t="s">
        <v>66</v>
      </c>
      <c r="E766" s="20" t="n">
        <f aca="false">1</f>
        <v>1</v>
      </c>
      <c r="F766" s="20" t="n">
        <f aca="false">rel_28_hi*1</f>
        <v>1</v>
      </c>
      <c r="G766" s="20" t="n">
        <f aca="false">rel_29_hi*1</f>
        <v>1</v>
      </c>
      <c r="K766" s="8" t="s">
        <v>389</v>
      </c>
    </row>
    <row r="767" customFormat="false" ht="17.15" hidden="false" customHeight="false" outlineLevel="0" collapsed="false">
      <c r="A767" s="4" t="s">
        <v>390</v>
      </c>
      <c r="B767" s="0" t="s">
        <v>99</v>
      </c>
      <c r="E767" s="17" t="n">
        <f aca="false">(E765-E771)/E763</f>
        <v>0.0696416435825827</v>
      </c>
      <c r="F767" s="17" t="n">
        <f aca="false">$E767*F766</f>
        <v>0.0696416435825827</v>
      </c>
      <c r="G767" s="17" t="n">
        <f aca="false">$E767*G766</f>
        <v>0.0696416435825827</v>
      </c>
      <c r="K767" s="8" t="s">
        <v>391</v>
      </c>
    </row>
    <row r="768" customFormat="false" ht="17.15" hidden="false" customHeight="false" outlineLevel="0" collapsed="false">
      <c r="A768" s="0" t="s">
        <v>392</v>
      </c>
      <c r="B768" s="0" t="s">
        <v>66</v>
      </c>
      <c r="E768" s="20" t="n">
        <f aca="false">E767/D764</f>
        <v>1.39479971655015</v>
      </c>
      <c r="K768" s="8" t="s">
        <v>393</v>
      </c>
    </row>
    <row r="769" customFormat="false" ht="17.15" hidden="false" customHeight="false" outlineLevel="0" collapsed="false">
      <c r="A769" s="0" t="s">
        <v>394</v>
      </c>
      <c r="B769" s="0" t="s">
        <v>117</v>
      </c>
      <c r="C769" s="26" t="n">
        <f aca="false">a25_ai</f>
        <v>15.3804</v>
      </c>
      <c r="D769" s="26" t="n">
        <f aca="false">a26_ai</f>
        <v>29.911415</v>
      </c>
      <c r="E769" s="26" t="n">
        <f aca="false">E762*E767</f>
        <v>61.47567725</v>
      </c>
      <c r="F769" s="26" t="n">
        <f aca="false">F762*F767</f>
        <v>86.4668712231247</v>
      </c>
      <c r="G769" s="26" t="n">
        <f aca="false">G762*G767</f>
        <v>97.6361334352064</v>
      </c>
    </row>
    <row r="770" customFormat="false" ht="17.15" hidden="false" customHeight="false" outlineLevel="0" collapsed="false">
      <c r="A770" s="6" t="s">
        <v>395</v>
      </c>
    </row>
    <row r="771" customFormat="false" ht="17.15" hidden="false" customHeight="false" outlineLevel="0" collapsed="false">
      <c r="A771" s="4" t="s">
        <v>310</v>
      </c>
      <c r="B771" s="0" t="s">
        <v>117</v>
      </c>
      <c r="C771" s="26" t="n">
        <f aca="false">a25_nai</f>
        <v>6.5916</v>
      </c>
      <c r="D771" s="26" t="n">
        <f aca="false">a26_nai</f>
        <v>9.151585</v>
      </c>
      <c r="E771" s="26" t="n">
        <f aca="false">D771*(1+g_nai27)</f>
        <v>10.52432275</v>
      </c>
      <c r="F771" s="26" t="n">
        <f aca="false">E771*(1+g_nai28)</f>
        <v>11.36626857</v>
      </c>
      <c r="G771" s="26" t="n">
        <f aca="false">F771*(1+g_nai29)</f>
        <v>12.0482446842</v>
      </c>
    </row>
    <row r="772" customFormat="false" ht="17.15" hidden="false" customHeight="false" outlineLevel="0" collapsed="false">
      <c r="A772" s="4" t="s">
        <v>282</v>
      </c>
      <c r="B772" s="0" t="s">
        <v>117</v>
      </c>
      <c r="C772" s="26" t="n">
        <f aca="false">C769+C771</f>
        <v>21.972</v>
      </c>
      <c r="D772" s="26" t="n">
        <f aca="false">D769+D771</f>
        <v>39.063</v>
      </c>
      <c r="E772" s="26" t="n">
        <f aca="false">E769+E771</f>
        <v>72</v>
      </c>
      <c r="F772" s="26" t="n">
        <f aca="false">F769+F771</f>
        <v>97.8331397931247</v>
      </c>
      <c r="G772" s="26" t="n">
        <f aca="false">G769+G771</f>
        <v>109.684378119406</v>
      </c>
      <c r="H772" s="27" t="n">
        <f aca="false">G772*(1+H773)</f>
        <v>120.735975578256</v>
      </c>
      <c r="I772" s="27" t="n">
        <f aca="false">H772*(1+I773)</f>
        <v>130.440622954982</v>
      </c>
      <c r="J772" s="27" t="n">
        <f aca="false">I772*(1+J773)</f>
        <v>138.267060332281</v>
      </c>
      <c r="K772" s="8" t="s">
        <v>396</v>
      </c>
    </row>
    <row r="773" customFormat="false" ht="15" hidden="false" customHeight="false" outlineLevel="0" collapsed="false">
      <c r="A773" s="4" t="s">
        <v>397</v>
      </c>
      <c r="B773" s="0" t="s">
        <v>99</v>
      </c>
      <c r="D773" s="18" t="n">
        <f aca="false">D772/C772-1</f>
        <v>0.777853631895139</v>
      </c>
      <c r="E773" s="18" t="n">
        <f aca="false">E772/D772-1</f>
        <v>0.843176407341986</v>
      </c>
      <c r="F773" s="18" t="n">
        <f aca="false">F772/E772-1</f>
        <v>0.358793608237844</v>
      </c>
      <c r="G773" s="18" t="n">
        <f aca="false">G772/F772-1</f>
        <v>0.121137258308809</v>
      </c>
      <c r="H773" s="28" t="n">
        <f aca="false">$G773+(fade_gA-$G773)*1/3</f>
        <v>0.100758172205873</v>
      </c>
      <c r="I773" s="28" t="n">
        <f aca="false">$G773+(fade_gA-$G773)*2/3</f>
        <v>0.0803790861029364</v>
      </c>
      <c r="J773" s="28" t="n">
        <f aca="false">$G773+(fade_gA-$G773)*3/3</f>
        <v>0.06</v>
      </c>
    </row>
    <row r="774" customFormat="false" ht="17.15" hidden="false" customHeight="false" outlineLevel="0" collapsed="false">
      <c r="A774" s="0" t="s">
        <v>398</v>
      </c>
      <c r="B774" s="0" t="s">
        <v>99</v>
      </c>
      <c r="C774" s="18" t="n">
        <f aca="false">C769/C772</f>
        <v>0.7</v>
      </c>
      <c r="D774" s="18" t="n">
        <f aca="false">D769/D772</f>
        <v>0.765722422752989</v>
      </c>
      <c r="E774" s="18" t="n">
        <f aca="false">E769/E772</f>
        <v>0.853828850694445</v>
      </c>
      <c r="F774" s="18" t="n">
        <f aca="false">F769/F772</f>
        <v>0.883819852924737</v>
      </c>
      <c r="G774" s="18" t="n">
        <f aca="false">G769/G772</f>
        <v>0.890155326667542</v>
      </c>
    </row>
    <row r="775" customFormat="false" ht="17.15" hidden="false" customHeight="false" outlineLevel="0" collapsed="false">
      <c r="A775" s="4" t="s">
        <v>399</v>
      </c>
      <c r="B775" s="4" t="s">
        <v>27</v>
      </c>
      <c r="E775" s="20" t="n">
        <f aca="false">E769/((0.5*(D757*D759+D758*D760)+0.5*(E757*E759+E758*E760))/(0.5*(D757+D758)+0.5*(E757+E758)))</f>
        <v>0.680747066019746</v>
      </c>
      <c r="F775" s="20" t="n">
        <f aca="false">F769/((0.5*(E757*E759+E758*E760)+0.5*(F757*F759+F758*F760))/(0.5*(E757+E758)+0.5*(F757+F758)))</f>
        <v>0.790432654662314</v>
      </c>
      <c r="G775" s="20" t="n">
        <f aca="false">G769/((0.5*(F757*F759+F758*F760)+0.5*(G757*G759+G758*G760))/(0.5*(F757+F758)+0.5*(G757+G758)))</f>
        <v>0.849628051707509</v>
      </c>
      <c r="K775" s="4" t="s">
        <v>400</v>
      </c>
    </row>
    <row r="776" customFormat="false" ht="17.15" hidden="false" customHeight="false" outlineLevel="0" collapsed="false">
      <c r="A776" s="6" t="s">
        <v>401</v>
      </c>
    </row>
    <row r="777" customFormat="false" ht="17.15" hidden="false" customHeight="false" outlineLevel="0" collapsed="false">
      <c r="A777" s="0" t="s">
        <v>402</v>
      </c>
      <c r="B777" s="0" t="s">
        <v>99</v>
      </c>
      <c r="D777" s="17" t="n">
        <f aca="false">(a26_gp-gm_nai*a26_nai)/a26_ai</f>
        <v>0.0954338753281983</v>
      </c>
      <c r="K777" s="8" t="s">
        <v>403</v>
      </c>
    </row>
    <row r="778" customFormat="false" ht="17.15" hidden="false" customHeight="false" outlineLevel="0" collapsed="false">
      <c r="A778" s="0" t="s">
        <v>404</v>
      </c>
      <c r="B778" s="0" t="s">
        <v>99</v>
      </c>
      <c r="D778" s="17" t="n">
        <f aca="false">D777</f>
        <v>0.0954338753281983</v>
      </c>
      <c r="E778" s="17" t="n">
        <f aca="false">$D777+dgm_27_hi</f>
        <v>0.110433875328198</v>
      </c>
      <c r="F778" s="17" t="n">
        <f aca="false">$D777+dgm_28_hi</f>
        <v>0.110433875328198</v>
      </c>
      <c r="G778" s="17" t="n">
        <f aca="false">$D777+dgm_28_hi</f>
        <v>0.110433875328198</v>
      </c>
      <c r="K778" s="8" t="s">
        <v>405</v>
      </c>
    </row>
    <row r="779" customFormat="false" ht="15" hidden="false" customHeight="false" outlineLevel="0" collapsed="false">
      <c r="A779" s="4" t="s">
        <v>406</v>
      </c>
      <c r="B779" s="0" t="s">
        <v>117</v>
      </c>
      <c r="C779" s="26" t="n">
        <f aca="false">a25_gp</f>
        <v>2.4299</v>
      </c>
      <c r="D779" s="26" t="n">
        <f aca="false">a26_gp</f>
        <v>4.2273</v>
      </c>
      <c r="E779" s="26" t="n">
        <f aca="false">E778*E769+gm_nai*E771</f>
        <v>8.36764568964306</v>
      </c>
      <c r="F779" s="26" t="n">
        <f aca="false">F778*F769+gm_nai*F771</f>
        <v>11.2538119621739</v>
      </c>
      <c r="G779" s="26" t="n">
        <f aca="false">G778*G769+gm_nai*G771</f>
        <v>12.5895732899409</v>
      </c>
    </row>
    <row r="780" customFormat="false" ht="15" hidden="false" customHeight="false" outlineLevel="0" collapsed="false">
      <c r="A780" s="4" t="s">
        <v>288</v>
      </c>
      <c r="B780" s="0" t="s">
        <v>99</v>
      </c>
      <c r="C780" s="17" t="n">
        <f aca="false">C779/C772</f>
        <v>0.110590751866011</v>
      </c>
      <c r="D780" s="17" t="n">
        <f aca="false">D779/D772</f>
        <v>0.108217494816066</v>
      </c>
      <c r="E780" s="17" t="n">
        <f aca="false">E779/E772</f>
        <v>0.116217301245042</v>
      </c>
      <c r="F780" s="17" t="n">
        <f aca="false">F779/F772</f>
        <v>0.115030673511766</v>
      </c>
      <c r="G780" s="17" t="n">
        <f aca="false">G779/G772</f>
        <v>0.114780003367804</v>
      </c>
    </row>
    <row r="781" customFormat="false" ht="15" hidden="false" customHeight="false" outlineLevel="0" collapsed="false">
      <c r="A781" s="4" t="s">
        <v>407</v>
      </c>
      <c r="B781" s="0" t="s">
        <v>117</v>
      </c>
      <c r="C781" s="26" t="n">
        <f aca="false">a25_opx</f>
        <v>1.1769</v>
      </c>
      <c r="D781" s="26" t="n">
        <f aca="false">a26_opx</f>
        <v>1.4568</v>
      </c>
      <c r="E781" s="26" t="n">
        <f aca="false">D781*(1+MAX(0,phi*E773))</f>
        <v>1.94813575608632</v>
      </c>
      <c r="F781" s="26" t="n">
        <f aca="false">E781*(1+MAX(0,phi*F773))</f>
        <v>2.22772721899167</v>
      </c>
      <c r="G781" s="26" t="n">
        <f aca="false">F781*(1+MAX(0,phi*G773))</f>
        <v>2.33567152601909</v>
      </c>
    </row>
    <row r="782" customFormat="false" ht="15" hidden="false" customHeight="false" outlineLevel="0" collapsed="false">
      <c r="A782" s="4" t="s">
        <v>408</v>
      </c>
      <c r="B782" s="0" t="s">
        <v>117</v>
      </c>
      <c r="C782" s="26" t="n">
        <f aca="false">C781</f>
        <v>1.1769</v>
      </c>
      <c r="D782" s="26" t="n">
        <f aca="false">D781</f>
        <v>1.4568</v>
      </c>
      <c r="E782" s="26" t="n">
        <f aca="false">E781+0*E772</f>
        <v>1.94813575608632</v>
      </c>
      <c r="F782" s="26" t="n">
        <f aca="false">F781+0*F772</f>
        <v>2.22772721899167</v>
      </c>
      <c r="G782" s="26" t="n">
        <f aca="false">G781+0*G772</f>
        <v>2.33567152601909</v>
      </c>
    </row>
    <row r="783" customFormat="false" ht="15" hidden="false" customHeight="false" outlineLevel="0" collapsed="false">
      <c r="A783" s="4" t="s">
        <v>291</v>
      </c>
      <c r="B783" s="0" t="s">
        <v>117</v>
      </c>
      <c r="C783" s="26" t="n">
        <f aca="false">C779-C782</f>
        <v>1.253</v>
      </c>
      <c r="D783" s="26" t="n">
        <f aca="false">D779-D782</f>
        <v>2.7705</v>
      </c>
      <c r="E783" s="26" t="n">
        <f aca="false">E779-E782</f>
        <v>6.41950993355673</v>
      </c>
      <c r="F783" s="26" t="n">
        <f aca="false">F779-F782</f>
        <v>9.02608474318226</v>
      </c>
      <c r="G783" s="26" t="n">
        <f aca="false">G779-G782</f>
        <v>10.2539017639218</v>
      </c>
    </row>
    <row r="784" customFormat="false" ht="15" hidden="false" customHeight="false" outlineLevel="0" collapsed="false">
      <c r="A784" s="4" t="s">
        <v>293</v>
      </c>
      <c r="B784" s="0" t="s">
        <v>99</v>
      </c>
      <c r="C784" s="17" t="n">
        <f aca="false">C783/C772</f>
        <v>0.0570271254323685</v>
      </c>
      <c r="D784" s="17" t="n">
        <f aca="false">D783/D772</f>
        <v>0.0709238921741801</v>
      </c>
      <c r="E784" s="17" t="n">
        <f aca="false">E783/E772</f>
        <v>0.089159860188288</v>
      </c>
      <c r="F784" s="17" t="n">
        <f aca="false">F783/F772</f>
        <v>0.0922599924960864</v>
      </c>
      <c r="G784" s="17" t="n">
        <f aca="false">G783/G772</f>
        <v>0.0934855258308439</v>
      </c>
    </row>
    <row r="785" customFormat="false" ht="17.15" hidden="false" customHeight="false" outlineLevel="0" collapsed="false">
      <c r="A785" s="4" t="s">
        <v>167</v>
      </c>
      <c r="B785" s="0" t="s">
        <v>99</v>
      </c>
      <c r="C785" s="18" t="n">
        <f aca="false">a25_ni/a25_oi</f>
        <v>0.837110933758979</v>
      </c>
      <c r="D785" s="18" t="n">
        <f aca="false">a26_ni/a26_oi</f>
        <v>0.805089334055225</v>
      </c>
      <c r="E785" s="18" t="n">
        <f aca="false">nio_f_hi</f>
        <v>0.8</v>
      </c>
      <c r="F785" s="18" t="n">
        <f aca="false">nio_f_hi</f>
        <v>0.8</v>
      </c>
      <c r="G785" s="18" t="n">
        <f aca="false">nio_f_hi</f>
        <v>0.8</v>
      </c>
    </row>
    <row r="786" customFormat="false" ht="15" hidden="false" customHeight="false" outlineLevel="0" collapsed="false">
      <c r="A786" s="4" t="s">
        <v>409</v>
      </c>
      <c r="B786" s="0" t="s">
        <v>117</v>
      </c>
      <c r="C786" s="26" t="n">
        <f aca="false">a25_ni</f>
        <v>1.0489</v>
      </c>
      <c r="D786" s="26" t="n">
        <f aca="false">a26_ni</f>
        <v>2.2305</v>
      </c>
      <c r="E786" s="26" t="n">
        <f aca="false">E783*E785</f>
        <v>5.13560794684539</v>
      </c>
      <c r="F786" s="26" t="n">
        <f aca="false">F783*F785</f>
        <v>7.22086779454581</v>
      </c>
      <c r="G786" s="26" t="n">
        <f aca="false">G783*G785</f>
        <v>8.20312141113745</v>
      </c>
    </row>
    <row r="787" customFormat="false" ht="17.15" hidden="false" customHeight="false" outlineLevel="0" collapsed="false">
      <c r="A787" s="4" t="s">
        <v>410</v>
      </c>
      <c r="B787" s="0" t="s">
        <v>117</v>
      </c>
      <c r="C787" s="16" t="n">
        <f aca="false">0</f>
        <v>0</v>
      </c>
      <c r="D787" s="16" t="n">
        <f aca="false">0</f>
        <v>0</v>
      </c>
      <c r="E787" s="16" t="n">
        <f aca="false">pref_div</f>
        <v>0.301875</v>
      </c>
      <c r="F787" s="16" t="n">
        <f aca="false">pref_div</f>
        <v>0.301875</v>
      </c>
      <c r="G787" s="16" t="n">
        <f aca="false">pref_div</f>
        <v>0.301875</v>
      </c>
      <c r="K787" s="8" t="s">
        <v>411</v>
      </c>
    </row>
    <row r="788" customFormat="false" ht="17.15" hidden="false" customHeight="false" outlineLevel="0" collapsed="false">
      <c r="A788" s="4" t="s">
        <v>359</v>
      </c>
      <c r="B788" s="0" t="s">
        <v>117</v>
      </c>
      <c r="C788" s="26" t="n">
        <f aca="false">C786-C787</f>
        <v>1.0489</v>
      </c>
      <c r="D788" s="26" t="n">
        <f aca="false">D786-D787</f>
        <v>2.2305</v>
      </c>
      <c r="E788" s="26" t="n">
        <f aca="false">E786-E787</f>
        <v>4.83373294684539</v>
      </c>
      <c r="F788" s="26" t="n">
        <f aca="false">F786-F787</f>
        <v>6.91899279454581</v>
      </c>
      <c r="G788" s="26" t="n">
        <f aca="false">G786-G787</f>
        <v>7.90124641113745</v>
      </c>
      <c r="H788" s="27" t="n">
        <f aca="false">H772*H793</f>
        <v>8.84153516151264</v>
      </c>
      <c r="I788" s="27" t="n">
        <f aca="false">I772*I793</f>
        <v>9.34897117376451</v>
      </c>
      <c r="J788" s="27" t="n">
        <f aca="false">J772*J793</f>
        <v>9.69447663018624</v>
      </c>
      <c r="K788" s="4" t="s">
        <v>412</v>
      </c>
    </row>
    <row r="789" customFormat="false" ht="17.15" hidden="false" customHeight="false" outlineLevel="0" collapsed="false">
      <c r="A789" s="4" t="s">
        <v>413</v>
      </c>
      <c r="B789" s="0" t="s">
        <v>99</v>
      </c>
      <c r="C789" s="17" t="n">
        <f aca="false">C786/C772</f>
        <v>0.0477380302202804</v>
      </c>
      <c r="D789" s="17" t="n">
        <f aca="false">D786/D772</f>
        <v>0.0571000691191153</v>
      </c>
      <c r="E789" s="17" t="n">
        <f aca="false">E786/E772</f>
        <v>0.0713278881506304</v>
      </c>
      <c r="F789" s="17" t="n">
        <f aca="false">F786/F772</f>
        <v>0.0738079939968691</v>
      </c>
      <c r="G789" s="17" t="n">
        <f aca="false">G786/G772</f>
        <v>0.0747884206646751</v>
      </c>
      <c r="K789" s="4" t="s">
        <v>414</v>
      </c>
    </row>
    <row r="790" customFormat="false" ht="17.15" hidden="false" customHeight="false" outlineLevel="0" collapsed="false">
      <c r="A790" s="4" t="s">
        <v>415</v>
      </c>
      <c r="B790" s="4" t="s">
        <v>176</v>
      </c>
      <c r="C790" s="19" t="n">
        <f aca="false">a25_sh</f>
        <v>0.624345238095238</v>
      </c>
      <c r="D790" s="19" t="n">
        <f aca="false">a26_sh</f>
        <v>0.68420245398773</v>
      </c>
      <c r="E790" s="19" t="n">
        <f aca="false">sh27</f>
        <v>0.745</v>
      </c>
      <c r="F790" s="19" t="n">
        <f aca="false">E790*(1+sh_g)</f>
        <v>0.75245</v>
      </c>
      <c r="G790" s="19" t="n">
        <f aca="false">F790*(1+sh_g)</f>
        <v>0.7599745</v>
      </c>
      <c r="H790" s="31" t="n">
        <f aca="false">G790*(1+sh_g)+conv_sh</f>
        <v>0.91132712</v>
      </c>
      <c r="I790" s="31" t="n">
        <f aca="false">H790*(1+sh_g)</f>
        <v>0.9204403912</v>
      </c>
      <c r="J790" s="31" t="n">
        <f aca="false">I790*(1+sh_g)</f>
        <v>0.929644795112</v>
      </c>
    </row>
    <row r="791" customFormat="false" ht="17.15" hidden="false" customHeight="false" outlineLevel="0" collapsed="false">
      <c r="A791" s="0" t="s">
        <v>299</v>
      </c>
      <c r="B791" s="0" t="s">
        <v>189</v>
      </c>
      <c r="C791" s="26" t="n">
        <f aca="false">C788/C790</f>
        <v>1.68</v>
      </c>
      <c r="D791" s="26" t="n">
        <f aca="false">D788/D790</f>
        <v>3.26</v>
      </c>
      <c r="E791" s="26" t="n">
        <f aca="false">E788/E790</f>
        <v>6.48823214341663</v>
      </c>
      <c r="F791" s="26" t="n">
        <f aca="false">F788/F790</f>
        <v>9.19528579247234</v>
      </c>
      <c r="G791" s="26" t="n">
        <f aca="false">G788/G790</f>
        <v>10.3967256942667</v>
      </c>
      <c r="H791" s="30" t="n">
        <f aca="false">H788/H790</f>
        <v>9.70182382097071</v>
      </c>
      <c r="I791" s="30" t="n">
        <f aca="false">I788/I790</f>
        <v>10.1570631440631</v>
      </c>
      <c r="J791" s="30" t="n">
        <f aca="false">J788/J790</f>
        <v>10.4281513553984</v>
      </c>
    </row>
    <row r="792" customFormat="false" ht="17.15" hidden="false" customHeight="false" outlineLevel="0" collapsed="false">
      <c r="A792" s="0" t="s">
        <v>416</v>
      </c>
      <c r="B792" s="0" t="s">
        <v>99</v>
      </c>
      <c r="D792" s="18" t="n">
        <f aca="false">D791/C791-1</f>
        <v>0.940476190476191</v>
      </c>
      <c r="E792" s="18" t="n">
        <f aca="false">E791/D791-1</f>
        <v>0.990255258716757</v>
      </c>
      <c r="F792" s="18" t="n">
        <f aca="false">F791/E791-1</f>
        <v>0.417225153049195</v>
      </c>
      <c r="G792" s="18" t="n">
        <f aca="false">G791/F791-1</f>
        <v>0.130658244769061</v>
      </c>
      <c r="H792" s="28" t="n">
        <f aca="false">H791/G791-1</f>
        <v>-0.0668385310655209</v>
      </c>
      <c r="I792" s="28" t="n">
        <f aca="false">I791/H791-1</f>
        <v>0.0469230663731852</v>
      </c>
      <c r="J792" s="28" t="n">
        <f aca="false">J791/I791-1</f>
        <v>0.0266896254842874</v>
      </c>
    </row>
    <row r="793" customFormat="false" ht="17.15" hidden="false" customHeight="false" outlineLevel="0" collapsed="false">
      <c r="A793" s="4" t="s">
        <v>417</v>
      </c>
      <c r="B793" s="0" t="s">
        <v>99</v>
      </c>
      <c r="C793" s="17" t="n">
        <f aca="false">C788/C772</f>
        <v>0.0477380302202804</v>
      </c>
      <c r="D793" s="17" t="n">
        <f aca="false">D788/D772</f>
        <v>0.0571000691191153</v>
      </c>
      <c r="E793" s="17" t="n">
        <f aca="false">E788/E772</f>
        <v>0.067135179817297</v>
      </c>
      <c r="F793" s="17" t="n">
        <f aca="false">F788/F772</f>
        <v>0.0707223831226977</v>
      </c>
      <c r="G793" s="17" t="n">
        <f aca="false">G788/G772</f>
        <v>0.0720362055801225</v>
      </c>
      <c r="H793" s="29" t="n">
        <f aca="false">$G789+(fade_mA-$G789)*1/3</f>
        <v>0.0732303285674944</v>
      </c>
      <c r="I793" s="29" t="n">
        <f aca="false">$G789+(fade_mA-$G789)*2/3</f>
        <v>0.0716722364703137</v>
      </c>
      <c r="J793" s="29" t="n">
        <f aca="false">$G789+(fade_mA-$G789)*3/3</f>
        <v>0.0701141443731329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698</v>
      </c>
    </row>
    <row r="2" customFormat="false" ht="17.15" hidden="false" customHeight="false" outlineLevel="0" collapsed="false">
      <c r="A2" s="4" t="s">
        <v>699</v>
      </c>
      <c r="B2" s="0" t="s">
        <v>700</v>
      </c>
    </row>
    <row r="3" customFormat="false" ht="17.15" hidden="false" customHeight="false" outlineLevel="0" collapsed="false">
      <c r="A3" s="4" t="s">
        <v>701</v>
      </c>
      <c r="B3" s="0" t="s">
        <v>702</v>
      </c>
    </row>
    <row r="4" customFormat="false" ht="17.15" hidden="false" customHeight="false" outlineLevel="0" collapsed="false">
      <c r="A4" s="4" t="s">
        <v>703</v>
      </c>
      <c r="B4" s="0" t="s">
        <v>704</v>
      </c>
    </row>
    <row r="5" customFormat="false" ht="17.15" hidden="false" customHeight="false" outlineLevel="0" collapsed="false">
      <c r="A5" s="4" t="s">
        <v>705</v>
      </c>
      <c r="B5" s="0" t="s">
        <v>706</v>
      </c>
    </row>
    <row r="6" customFormat="false" ht="17.15" hidden="false" customHeight="false" outlineLevel="0" collapsed="false">
      <c r="A6" s="4" t="s">
        <v>707</v>
      </c>
      <c r="B6" s="0" t="s">
        <v>708</v>
      </c>
    </row>
    <row r="7" customFormat="false" ht="17.15" hidden="false" customHeight="false" outlineLevel="0" collapsed="false">
      <c r="A7" s="4" t="s">
        <v>709</v>
      </c>
      <c r="B7" s="0" t="s">
        <v>710</v>
      </c>
    </row>
    <row r="8" customFormat="false" ht="17.15" hidden="false" customHeight="false" outlineLevel="0" collapsed="false">
      <c r="A8" s="4" t="s">
        <v>711</v>
      </c>
      <c r="B8" s="0" t="s">
        <v>712</v>
      </c>
    </row>
    <row r="9" customFormat="false" ht="17.15" hidden="false" customHeight="false" outlineLevel="0" collapsed="false">
      <c r="A9" s="4" t="s">
        <v>713</v>
      </c>
      <c r="B9" s="0" t="s">
        <v>714</v>
      </c>
    </row>
    <row r="10" customFormat="false" ht="17.15" hidden="false" customHeight="false" outlineLevel="0" collapsed="false">
      <c r="A10" s="4" t="s">
        <v>715</v>
      </c>
      <c r="B10" s="0" t="s">
        <v>716</v>
      </c>
    </row>
    <row r="11" customFormat="false" ht="17.15" hidden="false" customHeight="false" outlineLevel="0" collapsed="false">
      <c r="A11" s="4" t="s">
        <v>717</v>
      </c>
      <c r="B11" s="0" t="s">
        <v>718</v>
      </c>
    </row>
    <row r="12" customFormat="false" ht="17.15" hidden="false" customHeight="false" outlineLevel="0" collapsed="false">
      <c r="A12" s="4" t="s">
        <v>719</v>
      </c>
      <c r="B12" s="0" t="s">
        <v>720</v>
      </c>
    </row>
    <row r="13" customFormat="false" ht="17.15" hidden="false" customHeight="false" outlineLevel="0" collapsed="false">
      <c r="A13" s="4" t="s">
        <v>721</v>
      </c>
      <c r="B13" s="0" t="s">
        <v>722</v>
      </c>
    </row>
    <row r="14" customFormat="false" ht="17.15" hidden="false" customHeight="false" outlineLevel="0" collapsed="false">
      <c r="A14" s="4" t="s">
        <v>723</v>
      </c>
      <c r="B14" s="0" t="s">
        <v>724</v>
      </c>
    </row>
    <row r="15" customFormat="false" ht="17.15" hidden="false" customHeight="false" outlineLevel="0" collapsed="false">
      <c r="A15" s="4" t="s">
        <v>725</v>
      </c>
      <c r="B15" s="0" t="s">
        <v>726</v>
      </c>
    </row>
    <row r="16" customFormat="false" ht="17.15" hidden="false" customHeight="false" outlineLevel="0" collapsed="false">
      <c r="A16" s="4" t="s">
        <v>727</v>
      </c>
      <c r="B16" s="0" t="s">
        <v>728</v>
      </c>
    </row>
    <row r="17" customFormat="false" ht="17.15" hidden="false" customHeight="false" outlineLevel="0" collapsed="false">
      <c r="A17" s="4" t="s">
        <v>729</v>
      </c>
      <c r="B17" s="0" t="s">
        <v>730</v>
      </c>
    </row>
    <row r="18" customFormat="false" ht="17.15" hidden="false" customHeight="false" outlineLevel="0" collapsed="false">
      <c r="A18" s="4" t="s">
        <v>731</v>
      </c>
      <c r="B18" s="0" t="s">
        <v>732</v>
      </c>
    </row>
    <row r="19" customFormat="false" ht="17.15" hidden="false" customHeight="false" outlineLevel="0" collapsed="false">
      <c r="A19" s="4" t="s">
        <v>733</v>
      </c>
      <c r="B19" s="0" t="s">
        <v>734</v>
      </c>
    </row>
    <row r="20" customFormat="false" ht="17.15" hidden="false" customHeight="false" outlineLevel="0" collapsed="false">
      <c r="A20" s="4" t="s">
        <v>735</v>
      </c>
      <c r="B20" s="0" t="s">
        <v>736</v>
      </c>
    </row>
    <row r="21" customFormat="false" ht="17.15" hidden="false" customHeight="false" outlineLevel="0" collapsed="false">
      <c r="A21" s="4" t="s">
        <v>737</v>
      </c>
      <c r="B21" s="0" t="s">
        <v>738</v>
      </c>
    </row>
    <row r="22" customFormat="false" ht="17.15" hidden="false" customHeight="false" outlineLevel="0" collapsed="false">
      <c r="A22" s="4" t="s">
        <v>739</v>
      </c>
      <c r="B22" s="0" t="s">
        <v>740</v>
      </c>
    </row>
    <row r="23" customFormat="false" ht="17.15" hidden="false" customHeight="false" outlineLevel="0" collapsed="false">
      <c r="A23" s="4" t="s">
        <v>741</v>
      </c>
      <c r="B23" s="0" t="s">
        <v>742</v>
      </c>
    </row>
    <row r="24" customFormat="false" ht="17.15" hidden="false" customHeight="false" outlineLevel="0" collapsed="false">
      <c r="A24" s="4" t="s">
        <v>743</v>
      </c>
      <c r="B24" s="0" t="s">
        <v>744</v>
      </c>
    </row>
    <row r="25" customFormat="false" ht="17.15" hidden="false" customHeight="false" outlineLevel="0" collapsed="false">
      <c r="A25" s="4" t="s">
        <v>745</v>
      </c>
      <c r="B25" s="0" t="s">
        <v>746</v>
      </c>
    </row>
    <row r="26" customFormat="false" ht="17.15" hidden="false" customHeight="false" outlineLevel="0" collapsed="false">
      <c r="A26" s="4" t="s">
        <v>747</v>
      </c>
      <c r="B26" s="0" t="s">
        <v>748</v>
      </c>
    </row>
    <row r="27" customFormat="false" ht="17.15" hidden="false" customHeight="false" outlineLevel="0" collapsed="false">
      <c r="A27" s="4" t="s">
        <v>749</v>
      </c>
      <c r="B27" s="0" t="s">
        <v>750</v>
      </c>
    </row>
    <row r="28" customFormat="false" ht="17.15" hidden="false" customHeight="false" outlineLevel="0" collapsed="false">
      <c r="A28" s="4" t="s">
        <v>751</v>
      </c>
      <c r="B28" s="0" t="s">
        <v>752</v>
      </c>
    </row>
    <row r="29" customFormat="false" ht="17.15" hidden="false" customHeight="false" outlineLevel="0" collapsed="false">
      <c r="A29" s="4" t="s">
        <v>753</v>
      </c>
      <c r="B29" s="0" t="s">
        <v>754</v>
      </c>
    </row>
    <row r="30" customFormat="false" ht="17.15" hidden="false" customHeight="false" outlineLevel="0" collapsed="false">
      <c r="A30" s="4" t="s">
        <v>755</v>
      </c>
      <c r="B30" s="4" t="s">
        <v>756</v>
      </c>
    </row>
    <row r="31" customFormat="false" ht="15" hidden="false" customHeight="false" outlineLevel="0" collapsed="false">
      <c r="A31" s="0" t="s">
        <v>757</v>
      </c>
      <c r="B31" s="4" t="s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2026-10-25T05:54:06Z</dcterms:created>
  <dc:creator>openpyxl</dc:creator>
  <dc:description/>
  <dc:language>en-US</dc:language>
  <cp:lastModifiedBy/>
  <dcterms:modified xsi:type="dcterms:W3CDTF">2026-10-25T05:54:06Z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