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Q!$B$20</definedName>
    <definedName function="false" hidden="false" name="a25_gp" vbProcedure="false">Q!$B$9</definedName>
    <definedName function="false" hidden="false" name="a25_mi" vbProcedure="false">Q!$B$18</definedName>
    <definedName function="false" hidden="false" name="a25_ni" vbProcedure="false">Q!$B$17</definedName>
    <definedName function="false" hidden="false" name="a25_nonop" vbProcedure="false">Q!$B$13</definedName>
    <definedName function="false" hidden="false" name="a25_oi" vbProcedure="false">Q!$B$12</definedName>
    <definedName function="false" hidden="false" name="a25_opx" vbProcedure="false">Q!$B$11</definedName>
    <definedName function="false" hidden="false" name="a25_rev" vbProcedure="false">Q!$B$4</definedName>
    <definedName function="false" hidden="false" name="a25_sh" vbProcedure="false">Q!$B$19</definedName>
    <definedName function="false" hidden="false" name="a25_tax" vbProcedure="false">Q!$B$15</definedName>
    <definedName function="false" hidden="false" name="a26_eps" vbProcedure="false">Q!$G$20</definedName>
    <definedName function="false" hidden="false" name="a26_gp" vbProcedure="false">Q!$G$9</definedName>
    <definedName function="false" hidden="false" name="a26_mi" vbProcedure="false">Q!$G$18</definedName>
    <definedName function="false" hidden="false" name="a26_ni" vbProcedure="false">Q!$G$17</definedName>
    <definedName function="false" hidden="false" name="a26_nonop" vbProcedure="false">Q!$G$13</definedName>
    <definedName function="false" hidden="false" name="a26_oi" vbProcedure="false">Q!$G$12</definedName>
    <definedName function="false" hidden="false" name="a26_opx" vbProcedure="false">Q!$G$11</definedName>
    <definedName function="false" hidden="false" name="a26_rev" vbProcedure="false">Q!$G$4</definedName>
    <definedName function="false" hidden="false" name="a26_sh" vbProcedure="false">Q!$G$19</definedName>
    <definedName function="false" hidden="false" name="a26_ship" vbProcedure="false">Q!$G$5</definedName>
    <definedName function="false" hidden="false" name="a26_tax" vbProcedure="false">Q!$G$15</definedName>
    <definedName function="false" hidden="false" name="aig27_A" vbProcedure="false">In!$E$42</definedName>
    <definedName function="false" hidden="false" name="aig27_B" vbProcedure="false">In!$E$43</definedName>
    <definedName function="false" hidden="false" name="aig27_C" vbProcedure="false">In!$E$44</definedName>
    <definedName function="false" hidden="false" name="aig_L" vbProcedure="false">In!$E$45</definedName>
    <definedName function="false" hidden="false" name="ai_26" vbProcedure="false">In!$E$41</definedName>
    <definedName function="false" hidden="false" name="ai_adj" vbProcedure="false">In!$E$46</definedName>
    <definedName function="false" hidden="false" name="ai_adj_hi" vbProcedure="false">In!$F$46</definedName>
    <definedName function="false" hidden="false" name="ai_adj_lo" vbProcedure="false">In!$D$46</definedName>
    <definedName function="false" hidden="false" name="asp27_A" vbProcedure="false">In!$E$30</definedName>
    <definedName function="false" hidden="false" name="asp27_B" vbProcedure="false">In!$E$31</definedName>
    <definedName function="false" hidden="false" name="asp27_C" vbProcedure="false">In!$E$32</definedName>
    <definedName function="false" hidden="false" name="asp28_A" vbProcedure="false">In!$E$33</definedName>
    <definedName function="false" hidden="false" name="asp28_B" vbProcedure="false">In!$E$34</definedName>
    <definedName function="false" hidden="false" name="asp28_C" vbProcedure="false">In!$E$35</definedName>
    <definedName function="false" hidden="false" name="asp29_A" vbProcedure="false">In!$E$36</definedName>
    <definedName function="false" hidden="false" name="asp29_B" vbProcedure="false">In!$E$37</definedName>
    <definedName function="false" hidden="false" name="asp29_C" vbProcedure="false">In!$E$38</definedName>
    <definedName function="false" hidden="false" name="asp_26" vbProcedure="false">In!$E$29</definedName>
    <definedName function="false" hidden="false" name="asp_adj" vbProcedure="false">In!$E$39</definedName>
    <definedName function="false" hidden="false" name="asp_adj_hi" vbProcedure="false">In!$F$39</definedName>
    <definedName function="false" hidden="false" name="asp_adj_lo" vbProcedure="false">In!$D$39</definedName>
    <definedName function="false" hidden="false" name="capg27" vbProcedure="false">In!$E$14</definedName>
    <definedName function="false" hidden="false" name="capg28" vbProcedure="false">In!$E$15</definedName>
    <definedName function="false" hidden="false" name="capg29" vbProcedure="false">In!$E$16</definedName>
    <definedName function="false" hidden="false" name="cap_26" vbProcedure="false">In!$E$13</definedName>
    <definedName function="false" hidden="false" name="cap_adj" vbProcedure="false">In!$E$17</definedName>
    <definedName function="false" hidden="false" name="cap_adj_hi" vbProcedure="false">In!$F$17</definedName>
    <definedName function="false" hidden="false" name="cap_adj_lo" vbProcedure="false">In!$D$17</definedName>
    <definedName function="false" hidden="false" name="cc_g" vbProcedure="false">In!$E$62</definedName>
    <definedName function="false" hidden="false" name="cc_g_hi" vbProcedure="false">In!$F$62</definedName>
    <definedName function="false" hidden="false" name="cc_g_lo" vbProcedure="false">In!$D$62</definedName>
    <definedName function="false" hidden="false" name="cons_eps26" vbProcedure="false">In!$E$80</definedName>
    <definedName function="false" hidden="false" name="cons_feps" vbProcedure="false">In!$E$89</definedName>
    <definedName function="false" hidden="false" name="cons_rev26" vbProcedure="false">In!$E$79</definedName>
    <definedName function="false" hidden="false" name="cons_tp" vbProcedure="false">In!$E$90</definedName>
    <definedName function="false" hidden="false" name="co_ai29" vbProcedure="false">In!$E$84</definedName>
    <definedName function="false" hidden="false" name="co_asp27" vbProcedure="false">In!$E$83</definedName>
    <definedName function="false" hidden="false" name="dag_27" vbProcedure="false">In!$E$58</definedName>
    <definedName function="false" hidden="false" name="dag_28" vbProcedure="false">In!$E$59</definedName>
    <definedName function="false" hidden="false" name="dag_29" vbProcedure="false">In!$E$60</definedName>
    <definedName function="false" hidden="false" name="dag_adj" vbProcedure="false">In!$E$61</definedName>
    <definedName function="false" hidden="false" name="dag_adj_hi" vbProcedure="false">In!$F$61</definedName>
    <definedName function="false" hidden="false" name="dag_adj_lo" vbProcedure="false">In!$D$61</definedName>
    <definedName function="false" hidden="false" name="da_sh" vbProcedure="false">In!$E$57</definedName>
    <definedName function="false" hidden="false" name="da_tot26" vbProcedure="false">In!$E$56</definedName>
    <definedName function="false" hidden="false" name="fade_gA" vbProcedure="false">In!$E$100</definedName>
    <definedName function="false" hidden="false" name="fade_gB" vbProcedure="false">In!$E$101</definedName>
    <definedName function="false" hidden="false" name="fade_gC" vbProcedure="false">In!$E$102</definedName>
    <definedName function="false" hidden="false" name="fade_mA" vbProcedure="false">In!$E$103</definedName>
    <definedName function="false" hidden="false" name="fade_mB" vbProcedure="false">In!$E$104</definedName>
    <definedName function="false" hidden="false" name="fade_mC" vbProcedure="false">In!$E$105</definedName>
    <definedName function="false" hidden="false" name="fpe" vbProcedure="false">In!$E$88</definedName>
    <definedName function="false" hidden="false" name="fx" vbProcedure="false">In!$E$5</definedName>
    <definedName function="false" hidden="false" name="fx_26" vbProcedure="false">In!$E$69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opx_min" vbProcedure="false">In!$E$64</definedName>
    <definedName function="false" hidden="false" name="int28_A" vbProcedure="false">In!$E$49</definedName>
    <definedName function="false" hidden="false" name="int28_B" vbProcedure="false">In!$E$50</definedName>
    <definedName function="false" hidden="false" name="int28_C" vbProcedure="false">In!$E$51</definedName>
    <definedName function="false" hidden="false" name="int29_A" vbProcedure="false">In!$E$52</definedName>
    <definedName function="false" hidden="false" name="int29_B" vbProcedure="false">In!$E$53</definedName>
    <definedName function="false" hidden="false" name="int29_C" vbProcedure="false">In!$E$54</definedName>
    <definedName function="false" hidden="false" name="int_27" vbProcedure="false">In!$E$48</definedName>
    <definedName function="false" hidden="false" name="loc_eps27" vbProcedure="false">In!$E$82</definedName>
    <definedName function="false" hidden="false" name="m_new" vbProcedure="false">In!$E$47</definedName>
    <definedName function="false" hidden="false" name="m_new_hi" vbProcedure="false">In!$F$47</definedName>
    <definedName function="false" hidden="false" name="m_new_lo" vbProcedure="false">In!$D$47</definedName>
    <definedName function="false" hidden="false" name="nim_5" vbProcedure="false">In!$E$91</definedName>
    <definedName function="false" hidden="false" name="nonop_f" vbProcedure="false">In!$E$65</definedName>
    <definedName function="false" hidden="false" name="nonop_f_hi" vbProcedure="false">In!$F$65</definedName>
    <definedName function="false" hidden="false" name="nonop_f_lo" vbProcedure="false">In!$D$65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In!$E$87</definedName>
    <definedName function="false" hidden="false" name="phi" vbProcedure="false">In!$E$63</definedName>
    <definedName function="false" hidden="false" name="phi_hi" vbProcedure="false">In!$F$63</definedName>
    <definedName function="false" hidden="false" name="phi_lo" vbProcedure="false">In!$D$63</definedName>
    <definedName function="false" hidden="false" name="px" vbProcedure="false">In!$E$86</definedName>
    <definedName function="false" hidden="false" name="q4_asp" vbProcedure="false">In!$E$71</definedName>
    <definedName function="false" hidden="false" name="q4_gm" vbProcedure="false">In!$E$73</definedName>
    <definedName function="false" hidden="false" name="q4_nonop" vbProcedure="false">In!$E$75</definedName>
    <definedName function="false" hidden="false" name="q4_opx" vbProcedure="false">In!$E$74</definedName>
    <definedName function="false" hidden="false" name="q4_ship" vbProcedure="false">In!$E$70</definedName>
    <definedName function="false" hidden="false" name="q4_tax" vbProcedure="false">In!$E$76</definedName>
    <definedName function="false" hidden="false" name="q4_ut" vbProcedure="false">In!$E$72</definedName>
    <definedName function="false" hidden="false" name="q_sh" vbProcedure="false">In!$E$77</definedName>
    <definedName function="false" hidden="false" name="rm_factor" vbProcedure="false">Val!$B$154</definedName>
    <definedName function="false" hidden="false" name="sh_g" vbProcedure="false">In!$E$67</definedName>
    <definedName function="false" hidden="false" name="tax" vbProcedure="false">In!$E$66</definedName>
    <definedName function="false" hidden="false" name="tax_hi" vbProcedure="false">In!$F$66</definedName>
    <definedName function="false" hidden="false" name="tax_lo" vbProcedure="false">In!$D$66</definedName>
    <definedName function="false" hidden="false" name="tp_comp_adj" vbProcedure="false">Val!$B$155</definedName>
    <definedName function="false" hidden="false" name="tp_g" vbProcedure="false">In!$E$97</definedName>
    <definedName function="false" hidden="false" name="tp_r" vbProcedure="false">In!$E$96</definedName>
    <definedName function="false" hidden="false" name="tp_roe" vbProcedure="false">In!$E$98</definedName>
    <definedName function="false" hidden="false" name="tp_wA" vbProcedure="false">In!$E$93</definedName>
    <definedName function="false" hidden="false" name="tp_wB" vbProcedure="false">In!$E$94</definedName>
    <definedName function="false" hidden="false" name="tp_wC" vbProcedure="false">In!$E$95</definedName>
    <definedName function="false" hidden="false" name="tp_w_dcf" vbProcedure="false">In!$E$99</definedName>
    <definedName function="false" hidden="false" name="um28_A" vbProcedure="false">In!$E$6</definedName>
    <definedName function="false" hidden="false" name="um28_B" vbProcedure="false">In!$E$8</definedName>
    <definedName function="false" hidden="false" name="um28_C" vbProcedure="false">In!$E$10</definedName>
    <definedName function="false" hidden="false" name="um29_A" vbProcedure="false">In!$E$7</definedName>
    <definedName function="false" hidden="false" name="um29_B" vbProcedure="false">In!$E$9</definedName>
    <definedName function="false" hidden="false" name="um29_C" vbProcedure="false">In!$E$11</definedName>
    <definedName function="false" hidden="false" name="us_eps26" vbProcedure="false">In!$E$81</definedName>
    <definedName function="false" hidden="false" name="ut27_A" vbProcedure="false">In!$E$18</definedName>
    <definedName function="false" hidden="false" name="ut27_B" vbProcedure="false">In!$E$19</definedName>
    <definedName function="false" hidden="false" name="ut27_C" vbProcedure="false">In!$E$20</definedName>
    <definedName function="false" hidden="false" name="ut28_A" vbProcedure="false">In!$E$21</definedName>
    <definedName function="false" hidden="false" name="ut28_B" vbProcedure="false">In!$E$22</definedName>
    <definedName function="false" hidden="false" name="ut28_C" vbProcedure="false">In!$E$23</definedName>
    <definedName function="false" hidden="false" name="ut29_A" vbProcedure="false">In!$E$24</definedName>
    <definedName function="false" hidden="false" name="ut29_B" vbProcedure="false">In!$E$25</definedName>
    <definedName function="false" hidden="false" name="ut29_C" vbProcedure="false">In!$E$26</definedName>
    <definedName function="false" hidden="false" name="ut_adj" vbProcedure="false">In!$E$27</definedName>
    <definedName function="false" hidden="false" name="ut_adj_hi" vbProcedure="false">In!$F$27</definedName>
    <definedName function="false" hidden="false" name="ut_adj_lo" vbProcedure="false">In!$D$27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<sst xmlns="http://schemas.openxmlformats.org/spreadsheetml/2006/main" count="7049" uniqueCount="933">
  <si>
    <r>
      <rPr>
        <b val="true"/>
        <sz val="11"/>
        <rFont val="Noto Sans CJK SC"/>
        <family val="2"/>
      </rPr>
      <t xml:space="preserve">聯電（</t>
    </r>
    <r>
      <rPr>
        <b val="true"/>
        <sz val="11"/>
        <rFont val="Cambria"/>
        <family val="0"/>
        <charset val="1"/>
      </rPr>
      <t xml:space="preserve">2303.TW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ADR UMC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：代工層，成熟製程晶圓代工；樣板 </t>
    </r>
    <r>
      <rPr>
        <b val="true"/>
        <sz val="11"/>
        <rFont val="Cambria"/>
        <family val="0"/>
        <charset val="1"/>
      </rPr>
      <t xml:space="preserve">guc/</t>
    </r>
    <r>
      <rPr>
        <b val="true"/>
        <sz val="11"/>
        <rFont val="Noto Sans CJK SC"/>
        <family val="2"/>
      </rPr>
      <t xml:space="preserve">、營收結構參考 </t>
    </r>
    <r>
      <rPr>
        <b val="true"/>
        <sz val="11"/>
        <rFont val="Cambria"/>
        <family val="0"/>
        <charset val="1"/>
      </rPr>
      <t xml:space="preserve">tsmc/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2026-10-31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</si>
  <si>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（初版）。營收＝成熟製程晶圓（產能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稼動率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美元售價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匯率）＋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相關（先進封裝矽中介層、矽光子）＋</t>
    </r>
    <r>
      <rPr>
        <sz val="11"/>
        <rFont val="Cambria"/>
        <family val="0"/>
        <charset val="1"/>
      </rPr>
      <t xml:space="preserve">Intel 12 </t>
    </r>
    <r>
      <rPr>
        <sz val="11"/>
        <rFont val="Noto Sans CJK SC"/>
        <family val="2"/>
      </rPr>
      <t xml:space="preserve">奈米合作。滾入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實績（</t>
    </r>
    <r>
      <rPr>
        <sz val="11"/>
        <rFont val="Cambria"/>
        <family val="0"/>
        <charset val="1"/>
      </rPr>
      <t xml:space="preserve">2026-10-28 </t>
    </r>
    <r>
      <rPr>
        <sz val="11"/>
        <rFont val="Noto Sans CJK SC"/>
        <family val="2"/>
      </rPr>
      <t xml:space="preserve">財報）與 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指引。本版未做先驗。</t>
    </r>
  </si>
  <si>
    <r>
      <rPr>
        <sz val="11"/>
        <rFont val="Noto Sans CJK SC"/>
        <family val="2"/>
      </rPr>
      <t xml:space="preserve">模型命題：聯電的獲利由成熟製程（</t>
    </r>
    <r>
      <rPr>
        <sz val="11"/>
        <rFont val="Cambria"/>
        <family val="0"/>
        <charset val="1"/>
      </rPr>
      <t xml:space="preserve">22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28 </t>
    </r>
    <r>
      <rPr>
        <sz val="11"/>
        <rFont val="Noto Sans CJK SC"/>
        <family val="2"/>
      </rPr>
      <t xml:space="preserve">奈米以上）的稼動率與價格循環決定。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稼動率回到 </t>
    </r>
    <r>
      <rPr>
        <sz val="11"/>
        <rFont val="Cambria"/>
        <family val="0"/>
        <charset val="1"/>
      </rPr>
      <t xml:space="preserve">92%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34.0%</t>
    </r>
    <r>
      <rPr>
        <sz val="11"/>
        <rFont val="Noto Sans CJK SC"/>
        <family val="2"/>
      </rPr>
      <t xml:space="preserve">，公司估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年平均售價年增約一成；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帶動的周邊（先進封裝矽中介層、矽光子，以及 </t>
    </r>
    <r>
      <rPr>
        <sz val="11"/>
        <rFont val="Cambria"/>
        <family val="0"/>
        <charset val="1"/>
      </rPr>
      <t xml:space="preserve">OLED </t>
    </r>
    <r>
      <rPr>
        <sz val="11"/>
        <rFont val="Noto Sans CJK SC"/>
        <family val="2"/>
      </rPr>
      <t xml:space="preserve">驅動 </t>
    </r>
    <r>
      <rPr>
        <sz val="11"/>
        <rFont val="Cambria"/>
        <family val="0"/>
        <charset val="1"/>
      </rPr>
      <t xml:space="preserve">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Wi-Fi 7</t>
    </r>
    <r>
      <rPr>
        <sz val="11"/>
        <rFont val="Noto Sans CJK SC"/>
        <family val="2"/>
      </rPr>
      <t xml:space="preserve">、車用雷達等 </t>
    </r>
    <r>
      <rPr>
        <sz val="11"/>
        <rFont val="Cambria"/>
        <family val="0"/>
        <charset val="1"/>
      </rPr>
      <t xml:space="preserve">22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28 </t>
    </r>
    <r>
      <rPr>
        <sz val="11"/>
        <rFont val="Noto Sans CJK SC"/>
        <family val="2"/>
      </rPr>
      <t xml:space="preserve">奈米需求）與 </t>
    </r>
    <r>
      <rPr>
        <sz val="11"/>
        <rFont val="Cambria"/>
        <family val="0"/>
        <charset val="1"/>
      </rPr>
      <t xml:space="preserve">Intel 12 </t>
    </r>
    <r>
      <rPr>
        <sz val="11"/>
        <rFont val="Noto Sans CJK SC"/>
        <family val="2"/>
      </rPr>
      <t xml:space="preserve">奈米合作是增量，中國成熟製程擴產是價格的下行風險。</t>
    </r>
  </si>
  <si>
    <r>
      <rPr>
        <sz val="11"/>
        <rFont val="Noto Sans CJK SC"/>
        <family val="2"/>
      </rPr>
      <t xml:space="preserve">核心問題：稼動率與美元售價回升能走多遠（情境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稼動率 </t>
    </r>
    <r>
      <rPr>
        <sz val="11"/>
        <rFont val="Cambria"/>
        <family val="0"/>
        <charset val="1"/>
      </rPr>
      <t xml:space="preserve">95%</t>
    </r>
    <r>
      <rPr>
        <sz val="11"/>
        <rFont val="Noto Sans CJK SC"/>
        <family val="2"/>
      </rPr>
      <t xml:space="preserve">、售價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相關與 </t>
    </r>
    <r>
      <rPr>
        <sz val="11"/>
        <rFont val="Cambria"/>
        <family val="0"/>
        <charset val="1"/>
      </rPr>
      <t xml:space="preserve">Intel </t>
    </r>
    <r>
      <rPr>
        <sz val="11"/>
        <rFont val="Noto Sans CJK SC"/>
        <family val="2"/>
      </rPr>
      <t xml:space="preserve">合作在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能補多少（模型情境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億＋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億美元，不到營收一成）；現價約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，比聯電自己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Bloomberg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15.2 </t>
    </r>
    <r>
      <rPr>
        <sz val="11"/>
        <rFont val="Noto Sans CJK SC"/>
        <family val="2"/>
      </rPr>
      <t xml:space="preserve">倍高多少。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</si>
  <si>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</t>
    </r>
    <r>
      <rPr>
        <sz val="11"/>
        <rFont val="Cambria"/>
        <family val="0"/>
        <charset val="1"/>
      </rPr>
      <t xml:space="preserve">FY2025A </t>
    </r>
    <r>
      <rPr>
        <sz val="11"/>
        <rFont val="Noto Sans CJK SC"/>
        <family val="2"/>
      </rPr>
      <t xml:space="preserve">實績、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錨點（</t>
    </r>
    <r>
      <rPr>
        <sz val="11"/>
        <rFont val="Cambria"/>
        <family val="0"/>
        <charset val="1"/>
      </rPr>
      <t xml:space="preserve">1Q–3Q26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指引）、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驅動因子推導、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：新台幣（基本）；口徑：歸屬母公司淨利（</t>
    </r>
    <r>
      <rPr>
        <sz val="11"/>
        <rFont val="Cambria"/>
        <family val="0"/>
        <charset val="1"/>
      </rPr>
      <t xml:space="preserve">TIFRS</t>
    </r>
    <r>
      <rPr>
        <sz val="11"/>
        <rFont val="Noto Sans CJK SC"/>
        <family val="2"/>
      </rPr>
      <t xml:space="preserve">）。晶圓：千片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吋約當。</t>
    </r>
  </si>
  <si>
    <r>
      <rPr>
        <b val="true"/>
        <sz val="11"/>
        <rFont val="Noto Sans CJK SC"/>
        <family val="2"/>
      </rPr>
      <t xml:space="preserve">驅動因子 → 推導量（行業變數讀 </t>
    </r>
    <r>
      <rPr>
        <b val="true"/>
        <sz val="11"/>
        <rFont val="Cambria"/>
        <family val="0"/>
        <charset val="1"/>
      </rPr>
      <t xml:space="preserve">Siliconomics</t>
    </r>
    <r>
      <rPr>
        <b val="true"/>
        <sz val="11"/>
        <rFont val="Noto Sans CJK SC"/>
        <family val="2"/>
      </rPr>
      <t xml:space="preserve">；成熟製程稼動率與售價為公司層級，待併入 </t>
    </r>
    <r>
      <rPr>
        <b val="true"/>
        <sz val="11"/>
        <rFont val="Cambria"/>
        <family val="0"/>
        <charset val="1"/>
      </rPr>
      <t xml:space="preserve">Siliconomics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</si>
  <si>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成熟製程晶圓：產能（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由各季出貨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稼動率推得約 </t>
    </r>
    <r>
      <rPr>
        <sz val="11"/>
        <rFont val="Cambria"/>
        <family val="0"/>
        <charset val="1"/>
      </rPr>
      <t xml:space="preserve">5,230 </t>
    </r>
    <r>
      <rPr>
        <sz val="11"/>
        <rFont val="Noto Sans CJK SC"/>
        <family val="2"/>
      </rPr>
      <t xml:space="preserve">千片；</t>
    </r>
    <r>
      <rPr>
        <sz val="11"/>
        <rFont val="Cambria"/>
        <family val="0"/>
        <charset val="1"/>
      </rPr>
      <t xml:space="preserve">FY2027–29 </t>
    </r>
    <r>
      <rPr>
        <sz val="11"/>
        <rFont val="Noto Sans CJK SC"/>
        <family val="2"/>
      </rPr>
      <t xml:space="preserve">年增 </t>
    </r>
    <r>
      <rPr>
        <sz val="11"/>
        <rFont val="Cambria"/>
        <family val="0"/>
        <charset val="1"/>
      </rPr>
      <t xml:space="preserve">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7%</t>
    </r>
    <r>
      <rPr>
        <sz val="11"/>
        <rFont val="Noto Sans CJK SC"/>
        <family val="2"/>
      </rPr>
      <t xml:space="preserve">，新加坡 </t>
    </r>
    <r>
      <rPr>
        <sz val="11"/>
        <rFont val="Cambria"/>
        <family val="0"/>
        <charset val="1"/>
      </rPr>
      <t xml:space="preserve">P4 </t>
    </r>
    <r>
      <rPr>
        <sz val="11"/>
        <rFont val="Noto Sans CJK SC"/>
        <family val="2"/>
      </rPr>
      <t xml:space="preserve">與台南新廠）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稼動率（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FY2027 95%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90%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82%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94%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87%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76%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93%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美元售價（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1,878 </t>
    </r>
    <r>
      <rPr>
        <sz val="11"/>
        <rFont val="Noto Sans CJK SC"/>
        <family val="2"/>
      </rPr>
      <t xml:space="preserve">美元；</t>
    </r>
    <r>
      <rPr>
        <sz val="11"/>
        <rFont val="Cambria"/>
        <family val="0"/>
        <charset val="1"/>
      </rPr>
      <t xml:space="preserve">FY2027 +10%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+3%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6%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+2%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Siliconomics fx_twd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</si>
  <si>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新業務：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 </t>
    </r>
    <r>
      <rPr>
        <sz val="11"/>
        <rFont val="Cambria"/>
        <family val="0"/>
        <charset val="1"/>
      </rPr>
      <t xml:space="preserve">FY2026 3 </t>
    </r>
    <r>
      <rPr>
        <sz val="11"/>
        <rFont val="Noto Sans CJK SC"/>
        <family val="2"/>
      </rPr>
      <t xml:space="preserve">億美元（公司）、</t>
    </r>
    <r>
      <rPr>
        <sz val="11"/>
        <rFont val="Cambria"/>
        <family val="0"/>
        <charset val="1"/>
      </rPr>
      <t xml:space="preserve">FY2027 +60%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+40%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+20%</t>
    </r>
    <r>
      <rPr>
        <sz val="11"/>
        <rFont val="Noto Sans CJK SC"/>
        <family val="2"/>
      </rPr>
      <t xml:space="preserve">、之後年增 </t>
    </r>
    <r>
      <rPr>
        <sz val="11"/>
        <rFont val="Cambria"/>
        <family val="0"/>
        <charset val="1"/>
      </rPr>
      <t xml:space="preserve">45% </t>
    </r>
    <r>
      <rPr>
        <sz val="11"/>
        <rFont val="Noto Sans CJK SC"/>
        <family val="2"/>
      </rPr>
      <t xml:space="preserve">再乘 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um28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um29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Intel 12 </t>
    </r>
    <r>
      <rPr>
        <sz val="11"/>
        <rFont val="Noto Sans CJK SC"/>
        <family val="2"/>
      </rPr>
      <t xml:space="preserve">奈米 </t>
    </r>
    <r>
      <rPr>
        <sz val="11"/>
        <rFont val="Cambria"/>
        <family val="0"/>
        <charset val="1"/>
      </rPr>
      <t xml:space="preserve">FY2028 2.5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億美元、</t>
    </r>
    <r>
      <rPr>
        <sz val="11"/>
        <rFont val="Cambria"/>
        <family val="0"/>
        <charset val="1"/>
      </rPr>
      <t xml:space="preserve">FY2029 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 </t>
    </r>
    <r>
      <rPr>
        <sz val="11"/>
        <rFont val="Noto Sans CJK SC"/>
        <family val="2"/>
      </rPr>
      <t xml:space="preserve">億美元；新業務邊際貢獻率 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</si>
  <si>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成本：銷貨成本內折舊（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562 </t>
    </r>
    <r>
      <rPr>
        <sz val="11"/>
        <rFont val="Noto Sans CJK SC"/>
        <family val="2"/>
      </rPr>
      <t xml:space="preserve">億元＝</t>
    </r>
    <r>
      <rPr>
        <sz val="11"/>
        <rFont val="Cambria"/>
        <family val="0"/>
        <charset val="1"/>
      </rPr>
      <t xml:space="preserve">9M26 </t>
    </r>
    <r>
      <rPr>
        <sz val="11"/>
        <rFont val="Noto Sans CJK SC"/>
        <family val="2"/>
      </rPr>
      <t xml:space="preserve">折舊年化 </t>
    </r>
    <r>
      <rPr>
        <sz val="11"/>
        <rFont val="Cambria"/>
        <family val="0"/>
        <charset val="1"/>
      </rPr>
      <t xml:space="preserve">× 0.9</t>
    </r>
    <r>
      <rPr>
        <sz val="11"/>
        <rFont val="Noto Sans CJK SC"/>
        <family val="2"/>
      </rPr>
      <t xml:space="preserve">；年增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）＋每片現金成本（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殘差，年增 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）；營業費用彈性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、年增下限 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；營業外每年 </t>
    </r>
    <r>
      <rPr>
        <sz val="11"/>
        <rFont val="Cambria"/>
        <family val="0"/>
        <charset val="1"/>
      </rPr>
      <t xml:space="preserve">40 </t>
    </r>
    <r>
      <rPr>
        <sz val="11"/>
        <rFont val="Noto Sans CJK SC"/>
        <family val="2"/>
      </rPr>
      <t xml:space="preserve">億元（不外推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一次性約 </t>
    </r>
    <r>
      <rPr>
        <sz val="11"/>
        <rFont val="Cambria"/>
        <family val="0"/>
        <charset val="1"/>
      </rPr>
      <t xml:space="preserve">302 </t>
    </r>
    <r>
      <rPr>
        <sz val="11"/>
        <rFont val="Noto Sans CJK SC"/>
        <family val="2"/>
      </rPr>
      <t xml:space="preserve">億元）、稅率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、股數 </t>
    </r>
    <r>
      <rPr>
        <sz val="11"/>
        <rFont val="Cambria"/>
        <family val="0"/>
        <charset val="1"/>
      </rPr>
      <t xml:space="preserve">124.5 </t>
    </r>
    <r>
      <rPr>
        <sz val="11"/>
        <rFont val="Noto Sans CJK SC"/>
        <family val="2"/>
      </rPr>
      <t xml:space="preserve">億股。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</si>
  <si>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1Q–3Q26 </t>
    </r>
    <r>
      <rPr>
        <sz val="11"/>
        <rFont val="Noto Sans CJK SC"/>
        <family val="2"/>
      </rPr>
      <t xml:space="preserve">實績（公司 </t>
    </r>
    <r>
      <rPr>
        <sz val="11"/>
        <rFont val="Cambria"/>
        <family val="0"/>
        <charset val="1"/>
      </rPr>
      <t xml:space="preserve">6-K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公司指引（出貨 </t>
    </r>
    <r>
      <rPr>
        <sz val="11"/>
        <rFont val="Cambria"/>
        <family val="0"/>
        <charset val="1"/>
      </rPr>
      <t xml:space="preserve">+2%</t>
    </r>
    <r>
      <rPr>
        <sz val="11"/>
        <rFont val="Noto Sans CJK SC"/>
        <family val="2"/>
      </rPr>
      <t xml:space="preserve">、售價持穩、毛利率 </t>
    </r>
    <r>
      <rPr>
        <sz val="11"/>
        <rFont val="Cambria"/>
        <family val="0"/>
        <charset val="1"/>
      </rPr>
      <t xml:space="preserve">34%</t>
    </r>
    <r>
      <rPr>
        <sz val="11"/>
        <rFont val="Noto Sans CJK SC"/>
        <family val="2"/>
      </rPr>
      <t xml:space="preserve">、稼動率 </t>
    </r>
    <r>
      <rPr>
        <sz val="11"/>
        <rFont val="Cambria"/>
        <family val="0"/>
        <charset val="1"/>
      </rPr>
      <t xml:space="preserve">92%</t>
    </r>
    <r>
      <rPr>
        <sz val="11"/>
        <rFont val="Noto Sans CJK SC"/>
        <family val="2"/>
      </rPr>
      <t xml:space="preserve">）。成熟製程售價與每片現金成本以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校準；不用券商數字（只在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</si>
  <si>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，情境價值負值取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目標價（台積電、格芯、中芯港股、高塔、世界先進前瞻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，再乘相對倍數調整係數；不含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</si>
  <si>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</si>
  <si>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 </t>
    </r>
    <r>
      <rPr>
        <sz val="11"/>
        <rFont val="Cambria"/>
        <family val="0"/>
        <charset val="1"/>
      </rPr>
      <t xml:space="preserve">6-K </t>
    </r>
    <r>
      <rPr>
        <sz val="11"/>
        <rFont val="Noto Sans CJK SC"/>
        <family val="2"/>
      </rPr>
      <t xml:space="preserve">財報；法說內容多取自媒體轉述；券商與資料商為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</si>
  <si>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公司不揭露產能、出貨片數（只說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逾 </t>
    </r>
    <r>
      <rPr>
        <sz val="11"/>
        <rFont val="Cambria"/>
        <family val="0"/>
        <charset val="1"/>
      </rPr>
      <t xml:space="preserve">120 </t>
    </r>
    <r>
      <rPr>
        <sz val="11"/>
        <rFont val="Noto Sans CJK SC"/>
        <family val="2"/>
      </rPr>
      <t xml:space="preserve">萬片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吋約當）與售價絕對值，產能與售價為推得；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稼動率與售價為公司層級假設，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尚無成熟製程行業層（待併入）；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相關營收與 </t>
    </r>
    <r>
      <rPr>
        <sz val="11"/>
        <rFont val="Cambria"/>
        <family val="0"/>
        <charset val="1"/>
      </rPr>
      <t xml:space="preserve">Intel 12 </t>
    </r>
    <r>
      <rPr>
        <sz val="11"/>
        <rFont val="Noto Sans CJK SC"/>
        <family val="2"/>
      </rPr>
      <t xml:space="preserve">奈米的金額、毛利率、營收分配方式未揭露，皆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2Q26 </t>
    </r>
    <r>
      <rPr>
        <sz val="11"/>
        <rFont val="Noto Sans CJK SC"/>
        <family val="2"/>
      </rPr>
      <t xml:space="preserve">含約 </t>
    </r>
    <r>
      <rPr>
        <sz val="11"/>
        <rFont val="Cambria"/>
        <family val="0"/>
        <charset val="1"/>
      </rPr>
      <t xml:space="preserve">302 </t>
    </r>
    <r>
      <rPr>
        <sz val="11"/>
        <rFont val="Noto Sans CJK SC"/>
        <family val="2"/>
      </rPr>
      <t xml:space="preserve">億元投資與股利收益，</t>
    </r>
    <r>
      <rPr>
        <sz val="11"/>
        <rFont val="Cambria"/>
        <family val="0"/>
        <charset val="1"/>
      </rPr>
      <t xml:space="preserve">FY2026 EPS </t>
    </r>
    <r>
      <rPr>
        <sz val="11"/>
        <rFont val="Noto Sans CJK SC"/>
        <family val="2"/>
      </rPr>
      <t xml:space="preserve">不能直接外推；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海外可轉債約 </t>
    </r>
    <r>
      <rPr>
        <sz val="11"/>
        <rFont val="Cambria"/>
        <family val="0"/>
        <charset val="1"/>
      </rPr>
      <t xml:space="preserve">18 </t>
    </r>
    <r>
      <rPr>
        <sz val="11"/>
        <rFont val="Noto Sans CJK SC"/>
        <family val="2"/>
      </rPr>
      <t xml:space="preserve">億美元的轉換稀釋未建模；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本模型只有折舊路徑、沒有資本支出推導，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未扣擴產資本支出；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現價為 </t>
    </r>
    <r>
      <rPr>
        <sz val="11"/>
        <rFont val="Cambria"/>
        <family val="0"/>
        <charset val="1"/>
      </rPr>
      <t xml:space="preserve">2026-10-22 </t>
    </r>
    <r>
      <rPr>
        <sz val="11"/>
        <rFont val="Noto Sans CJK SC"/>
        <family val="2"/>
      </rPr>
      <t xml:space="preserve">收盤（</t>
    </r>
    <r>
      <rPr>
        <sz val="11"/>
        <rFont val="Cambria"/>
        <family val="0"/>
        <charset val="1"/>
      </rPr>
      <t xml:space="preserve">10-28 </t>
    </r>
    <r>
      <rPr>
        <sz val="11"/>
        <rFont val="Noto Sans CJK SC"/>
        <family val="2"/>
      </rPr>
      <t xml:space="preserve">法說後股價未取得）。</t>
    </r>
  </si>
  <si>
    <r>
      <rPr>
        <b val="true"/>
        <sz val="11"/>
        <rFont val="Noto Sans CJK SC"/>
        <family val="2"/>
      </rPr>
      <t xml:space="preserve">情境對照表（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讀同字母的行業情境；公司特有變數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</si>
  <si>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r>
      <rPr>
        <sz val="11"/>
        <rFont val="Noto Sans CJK SC"/>
        <family val="2"/>
      </rPr>
      <t xml:space="preserve">行業：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 </t>
    </r>
    <r>
      <rPr>
        <sz val="11"/>
        <rFont val="Cambria"/>
        <family val="0"/>
        <charset val="1"/>
      </rPr>
      <t xml:space="preserve">FY2028–29 </t>
    </r>
    <r>
      <rPr>
        <sz val="11"/>
        <rFont val="Noto Sans CJK SC"/>
        <family val="2"/>
      </rPr>
      <t xml:space="preserve">乘 </t>
    </r>
    <r>
      <rPr>
        <sz val="11"/>
        <rFont val="Cambria"/>
        <family val="0"/>
        <charset val="1"/>
      </rPr>
      <t xml:space="preserve">Siliconomics um28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um29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 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）；匯率 </t>
    </r>
    <r>
      <rPr>
        <sz val="11"/>
        <rFont val="Cambria"/>
        <family val="0"/>
        <charset val="1"/>
      </rPr>
      <t xml:space="preserve">fx_twd 32</t>
    </r>
    <r>
      <rPr>
        <sz val="11"/>
        <rFont val="Noto Sans CJK SC"/>
        <family val="2"/>
      </rPr>
      <t xml:space="preserve">（三情境相同）。成熟製程稼動率與價格：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未建，公司層級（待併入 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）。不讀 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（聯電無設備、網通營收）。</t>
    </r>
  </si>
  <si>
    <r>
      <rPr>
        <sz val="11"/>
        <rFont val="Noto Sans CJK SC"/>
        <family val="2"/>
      </rPr>
      <t xml:space="preserve">公司特有：稼動率 </t>
    </r>
    <r>
      <rPr>
        <sz val="11"/>
        <rFont val="Cambria"/>
        <family val="0"/>
        <charset val="1"/>
      </rPr>
      <t xml:space="preserve">FY2027 95%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90%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82%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94%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87%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76%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93%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80%</t>
    </r>
    <r>
      <rPr>
        <sz val="11"/>
        <rFont val="Noto Sans CJK SC"/>
        <family val="2"/>
      </rPr>
      <t xml:space="preserve">；售價 </t>
    </r>
    <r>
      <rPr>
        <sz val="11"/>
        <rFont val="Cambria"/>
        <family val="0"/>
        <charset val="1"/>
      </rPr>
      <t xml:space="preserve">FY2027 +10%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+3%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6%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+2%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＝中國成熟製程擴產的價格壓力）；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 </t>
    </r>
    <r>
      <rPr>
        <sz val="11"/>
        <rFont val="Cambria"/>
        <family val="0"/>
        <charset val="1"/>
      </rPr>
      <t xml:space="preserve">FY2027 +60%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+40%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+20%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Intel 12 </t>
    </r>
    <r>
      <rPr>
        <sz val="11"/>
        <rFont val="Noto Sans CJK SC"/>
        <family val="2"/>
      </rPr>
      <t xml:space="preserve">奈米 </t>
    </r>
    <r>
      <rPr>
        <sz val="11"/>
        <rFont val="Cambria"/>
        <family val="0"/>
        <charset val="1"/>
      </rPr>
      <t xml:space="preserve">FY2028 2.5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 </t>
    </r>
    <r>
      <rPr>
        <sz val="11"/>
        <rFont val="Noto Sans CJK SC"/>
        <family val="2"/>
      </rPr>
      <t xml:space="preserve">億美元。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</si>
  <si>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：下檔主因有二：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相對倍數調整係數 </t>
    </r>
    <r>
      <rPr>
        <sz val="11"/>
        <color theme="1"/>
        <rFont val="Calibri"/>
        <family val="2"/>
        <charset val="1"/>
      </rPr>
      <t xml:space="preserve">0.5——</t>
    </r>
    <r>
      <rPr>
        <sz val="11"/>
        <color theme="1"/>
        <rFont val="Noto Sans CJK SC"/>
        <family val="2"/>
      </rPr>
      <t xml:space="preserve">聯電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15.2 </t>
    </r>
    <r>
      <rPr>
        <sz val="11"/>
        <color theme="1"/>
        <rFont val="Noto Sans CJK SC"/>
        <family val="2"/>
      </rPr>
      <t xml:space="preserve">倍，只有台積電與中芯（港股）中位數的中位數 </t>
    </r>
    <r>
      <rPr>
        <sz val="11"/>
        <color theme="1"/>
        <rFont val="Calibri"/>
        <family val="2"/>
        <charset val="1"/>
      </rPr>
      <t xml:space="preserve">32.3 </t>
    </r>
    <r>
      <rPr>
        <sz val="11"/>
        <color theme="1"/>
        <rFont val="Noto Sans CJK SC"/>
        <family val="2"/>
      </rPr>
      <t xml:space="preserve">倍的 </t>
    </r>
    <r>
      <rPr>
        <sz val="11"/>
        <color theme="1"/>
        <rFont val="Calibri"/>
        <family val="2"/>
        <charset val="1"/>
      </rPr>
      <t xml:space="preserve">0.47</t>
    </r>
    <r>
      <rPr>
        <sz val="11"/>
        <color theme="1"/>
        <rFont val="Noto Sans CJK SC"/>
        <family val="2"/>
      </rPr>
      <t xml:space="preserve">（觸及下限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；格芯、高塔、世界先進資料不足未納入），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因此由 </t>
    </r>
    <r>
      <rPr>
        <sz val="11"/>
        <color theme="1"/>
        <rFont val="Calibri"/>
        <family val="2"/>
        <charset val="1"/>
      </rPr>
      <t xml:space="preserve">140.7 </t>
    </r>
    <r>
      <rPr>
        <sz val="11"/>
        <color theme="1"/>
        <rFont val="Noto Sans CJK SC"/>
        <family val="2"/>
      </rPr>
      <t xml:space="preserve">減半為 </t>
    </r>
    <r>
      <rPr>
        <sz val="11"/>
        <color theme="1"/>
        <rFont val="Calibri"/>
        <family val="2"/>
        <charset val="1"/>
      </rPr>
      <t xml:space="preserve">70.3</t>
    </r>
    <r>
      <rPr>
        <sz val="11"/>
        <color theme="1"/>
        <rFont val="Noto Sans CJK SC"/>
        <family val="2"/>
      </rPr>
      <t xml:space="preserve">；若不調整，加權目標價約 </t>
    </r>
    <r>
      <rPr>
        <sz val="11"/>
        <color theme="1"/>
        <rFont val="Calibri"/>
        <family val="2"/>
        <charset val="1"/>
      </rPr>
      <t xml:space="preserve">111.6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，中立）。</t>
    </r>
    <r>
      <rPr>
        <sz val="11"/>
        <color theme="1"/>
        <rFont val="Calibri"/>
        <family val="2"/>
        <charset val="1"/>
      </rPr>
      <t xml:space="preserve">(2) DCF 82.5 </t>
    </r>
    <r>
      <rPr>
        <sz val="11"/>
        <color theme="1"/>
        <rFont val="Noto Sans CJK SC"/>
        <family val="2"/>
      </rPr>
      <t xml:space="preserve">偏低：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、再投資率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FY2027–29 EPS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5.95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7.36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一次性投資收益約 </t>
    </r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元）。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因素與倍數因素都只有 −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，與市場共識的差距不在獲利預估，而在相對倍數調整與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</si>
  <si>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：稼動率與售價是承重變數：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稼動率 </t>
    </r>
    <r>
      <rPr>
        <sz val="11"/>
        <color theme="1"/>
        <rFont val="Calibri"/>
        <family val="2"/>
        <charset val="1"/>
      </rPr>
      <t xml:space="preserve">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指引低 </t>
    </r>
    <r>
      <rPr>
        <sz val="11"/>
        <color theme="1"/>
        <rFont val="Calibri"/>
        <family val="2"/>
        <charset val="1"/>
      </rPr>
      <t xml:space="preserve">90% </t>
    </r>
    <r>
      <rPr>
        <sz val="11"/>
        <color theme="1"/>
        <rFont val="Noto Sans CJK SC"/>
        <family val="2"/>
      </rPr>
      <t xml:space="preserve">區間，公司估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年平均售價年增約一成（情境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照用、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持平）；售價 </t>
    </r>
    <r>
      <rPr>
        <sz val="11"/>
        <color theme="1"/>
        <rFont val="Calibri"/>
        <family val="2"/>
        <charset val="1"/>
      </rPr>
      <t xml:space="preserve">±3% </t>
    </r>
    <r>
      <rPr>
        <sz val="11"/>
        <color theme="1"/>
        <rFont val="Noto Sans CJK SC"/>
        <family val="2"/>
      </rPr>
      <t xml:space="preserve">使加權目標價 </t>
    </r>
    <r>
      <rPr>
        <sz val="11"/>
        <color theme="1"/>
        <rFont val="Calibri"/>
        <family val="2"/>
        <charset val="1"/>
      </rPr>
      <t xml:space="preserve">±10.2%</t>
    </r>
    <r>
      <rPr>
        <sz val="11"/>
        <color theme="1"/>
        <rFont val="Noto Sans CJK SC"/>
        <family val="2"/>
      </rPr>
      <t xml:space="preserve">、匯率 </t>
    </r>
    <r>
      <rPr>
        <sz val="11"/>
        <color theme="1"/>
        <rFont val="Calibri"/>
        <family val="2"/>
        <charset val="1"/>
      </rPr>
      <t xml:space="preserve">30.5 </t>
    </r>
    <r>
      <rPr>
        <sz val="11"/>
        <color theme="1"/>
        <rFont val="Noto Sans CJK SC"/>
        <family val="2"/>
      </rPr>
      <t xml:space="preserve">使 −</t>
    </r>
    <r>
      <rPr>
        <sz val="11"/>
        <color theme="1"/>
        <rFont val="Calibri"/>
        <family val="2"/>
        <charset val="1"/>
      </rPr>
      <t xml:space="preserve">16.5%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±30%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±2.9%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下旬的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年售價、折舊與資本支出指引；日期未公告）與 </t>
    </r>
    <r>
      <rPr>
        <sz val="11"/>
        <color theme="1"/>
        <rFont val="Calibri"/>
        <family val="2"/>
        <charset val="1"/>
      </rPr>
      <t xml:space="preserve">Intel 12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年試產進度。</t>
    </r>
  </si>
  <si>
    <r>
      <rPr>
        <sz val="11"/>
        <color theme="1"/>
        <rFont val="Noto Sans CJK SC"/>
        <family val="2"/>
      </rPr>
      <t xml:space="preserve">相對倍數調整（</t>
    </r>
    <r>
      <rPr>
        <sz val="11"/>
        <color theme="1"/>
        <rFont val="Calibri"/>
        <family val="2"/>
        <charset val="1"/>
      </rPr>
      <t xml:space="preserve">tools/relative_multiple.py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節）已含在加權目標價：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（相對倍數調整後）＝同業前瞻倍數中位數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目標價（市場主流同業法）」維持不調整。重點觀察的數字以本版重算值撰寫（第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點第一句為公式）。</t>
    </r>
  </si>
  <si>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</si>
  <si>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）；晶圓：千片（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吋約當）；售價：美元／片；匯率：新台幣／美元。公司財報與法說為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（公司說法）或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（財報數字）；券商、資料商、媒體為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。【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</si>
  <si>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以情境或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區間呈現，不當點估計。行業變數讀 </t>
    </r>
    <r>
      <rPr>
        <sz val="11"/>
        <color theme="1"/>
        <rFont val="Calibri"/>
        <family val="2"/>
        <charset val="1"/>
      </rPr>
      <t xml:space="preserve">Siliconomics 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siliconomics/data/siliconomics_snapshot_v0.10.json</t>
    </r>
    <r>
      <rPr>
        <sz val="11"/>
        <color theme="1"/>
        <rFont val="Noto Sans CJK SC"/>
        <family val="2"/>
      </rPr>
      <t xml:space="preserve">）；成熟製程稼動率與售價屬公司層級，說明欄標「待併入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」。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</si>
  <si>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</si>
  <si>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</si>
  <si>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</si>
  <si>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</si>
  <si>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</si>
  <si>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</si>
  <si>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</si>
  <si>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</si>
  <si>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</si>
  <si>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行業變數（</t>
    </r>
    <r>
      <rPr>
        <b val="true"/>
        <sz val="11"/>
        <rFont val="Cambria"/>
        <family val="0"/>
        <charset val="1"/>
      </rPr>
      <t xml:space="preserve">Siliconomics v0.10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siliconomics/data/siliconomics_snapshot_v0.10.json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讀同字母上游，不自訂行業路徑）</t>
    </r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</si>
  <si>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</si>
  <si>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起；美元售價換算）</t>
    </r>
  </si>
  <si>
    <t xml:space="preserve">NT$/US$</t>
  </si>
  <si>
    <t xml:space="preserve">Assumed</t>
  </si>
  <si>
    <r>
      <rPr>
        <sz val="11"/>
        <color theme="1"/>
        <rFont val="Calibri"/>
        <family val="2"/>
        <charset val="1"/>
      </rPr>
      <t xml:space="preserve">Siliconomics 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siliconomics/data/siliconomics_snapshot_v0.10.json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fx_twd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</si>
  <si>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共用匯率（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）；與台積電、聯發科等台股模型同值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</si>
  <si>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</si>
  <si>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</si>
  <si>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</si>
  <si>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</si>
  <si>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Siliconomics 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siliconomics/data/siliconomics_snapshot_v0.10.json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um28_A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</si>
  <si>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依同字母顆數係數縮放（行業情境；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</si>
  <si>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</si>
  <si>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</si>
  <si>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Siliconomics 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siliconomics/data/siliconomics_snapshot_v0.10.json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um29_A</t>
    </r>
  </si>
  <si>
    <t xml:space="preserve">同上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</si>
  <si>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</si>
  <si>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</si>
  <si>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Siliconomics 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siliconomics/data/siliconomics_snapshot_v0.10.json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um28_B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</si>
  <si>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</si>
  <si>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</si>
  <si>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Siliconomics 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siliconomics/data/siliconomics_snapshot_v0.10.json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um29_B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</si>
  <si>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</si>
  <si>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</si>
  <si>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Siliconomics 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siliconomics/data/siliconomics_snapshot_v0.10.json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um28_C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</si>
  <si>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</si>
  <si>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</si>
  <si>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Siliconomics 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siliconomics/data/siliconomics_snapshot_v0.10.json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um29_C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</si>
  <si>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產能與稼動率（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吋約當；公司層級，待併入 </t>
    </r>
    <r>
      <rPr>
        <b val="true"/>
        <sz val="11"/>
        <rFont val="Cambria"/>
        <family val="0"/>
        <charset val="1"/>
      </rPr>
      <t xml:space="preserve">Siliconomics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尚無成熟製程稼動率）</t>
    </r>
  </si>
  <si>
    <t xml:space="preserve">cap_26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</si>
  <si>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吋約當，千片／年）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</si>
  <si>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</si>
  <si>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頁：各季出貨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稼動率（</t>
    </r>
    <r>
      <rPr>
        <sz val="11"/>
        <color theme="1"/>
        <rFont val="Calibri"/>
        <family val="2"/>
        <charset val="1"/>
      </rPr>
      <t xml:space="preserve">1Q–3Q26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</si>
  <si>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Noto Sans CJK SC"/>
        <family val="2"/>
      </rPr>
      <t xml:space="preserve">公司未揭露產能；以出貨與稼動率推得（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</si>
  <si>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capg27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</si>
  <si>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產能年增</t>
    </r>
  </si>
  <si>
    <t xml:space="preserve">%</t>
  </si>
  <si>
    <r>
      <rPr>
        <sz val="11"/>
        <color theme="1"/>
        <rFont val="Noto Sans CJK SC"/>
        <family val="2"/>
      </rPr>
      <t xml:space="preserve">公司：董事會核准新加坡 </t>
    </r>
    <r>
      <rPr>
        <sz val="11"/>
        <color theme="1"/>
        <rFont val="Calibri"/>
        <family val="2"/>
        <charset val="1"/>
      </rPr>
      <t xml:space="preserve">P4</t>
    </r>
    <r>
      <rPr>
        <sz val="11"/>
        <color theme="1"/>
        <rFont val="Noto Sans CJK SC"/>
        <family val="2"/>
      </rPr>
      <t xml:space="preserve">、台南新廠擴產預算約 </t>
    </r>
    <r>
      <rPr>
        <sz val="11"/>
        <color theme="1"/>
        <rFont val="Calibri"/>
        <family val="2"/>
        <charset val="1"/>
      </rPr>
      <t xml:space="preserve">1,487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）與約 </t>
    </r>
    <r>
      <rPr>
        <sz val="11"/>
        <color theme="1"/>
        <rFont val="Calibri"/>
        <family val="2"/>
        <charset val="1"/>
      </rPr>
      <t xml:space="preserve">1,028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</si>
  <si>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三情境相同（產能為公司已核准的擴產；待併入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）</t>
    </r>
  </si>
  <si>
    <t xml:space="preserve">capg28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</si>
  <si>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產能年增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</si>
  <si>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Fab12i P3 </t>
    </r>
    <r>
      <rPr>
        <sz val="11"/>
        <color theme="1"/>
        <rFont val="Noto Sans CJK SC"/>
        <family val="2"/>
      </rPr>
      <t xml:space="preserve">量產時程：未找到</t>
    </r>
  </si>
  <si>
    <t xml:space="preserve">capg29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</si>
  <si>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產能年增</t>
    </r>
  </si>
  <si>
    <t xml:space="preserve">cap_adj</t>
  </si>
  <si>
    <r>
      <rPr>
        <sz val="11"/>
        <color theme="1"/>
        <rFont val="Noto Sans CJK SC"/>
        <family val="2"/>
      </rPr>
      <t xml:space="preserve">產能係數（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起各年同乘）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</si>
  <si>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</si>
  <si>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±5%</t>
    </r>
    <r>
      <rPr>
        <sz val="11"/>
        <color theme="1"/>
        <rFont val="Noto Sans CJK SC"/>
        <family val="2"/>
      </rPr>
      <t xml:space="preserve">：擴產時程提前或延後</t>
    </r>
  </si>
  <si>
    <t xml:space="preserve">ut27_A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</si>
  <si>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</si>
  <si>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稼動率 </t>
    </r>
    <r>
      <rPr>
        <sz val="11"/>
        <color theme="1"/>
        <rFont val="Calibri"/>
        <family val="2"/>
        <charset val="1"/>
      </rPr>
      <t xml:space="preserve">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指引低 </t>
    </r>
    <r>
      <rPr>
        <sz val="11"/>
        <color theme="1"/>
        <rFont val="Calibri"/>
        <family val="2"/>
        <charset val="1"/>
      </rPr>
      <t xml:space="preserve">90% </t>
    </r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85%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</si>
  <si>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＝中國成熟製程擴產的價格與份額壓力）；待併入 </t>
    </r>
    <r>
      <rPr>
        <sz val="11"/>
        <color theme="1"/>
        <rFont val="Calibri"/>
        <family val="2"/>
        <charset val="1"/>
      </rPr>
      <t xml:space="preserve">Siliconomics</t>
    </r>
  </si>
  <si>
    <t xml:space="preserve">ut27_B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</si>
  <si>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</si>
  <si>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待併入 </t>
    </r>
    <r>
      <rPr>
        <sz val="11"/>
        <color theme="1"/>
        <rFont val="Calibri"/>
        <family val="2"/>
        <charset val="1"/>
      </rPr>
      <t xml:space="preserve">Siliconomics</t>
    </r>
  </si>
  <si>
    <t xml:space="preserve">ut27_C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</si>
  <si>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</si>
  <si>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ut28_A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</si>
  <si>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</si>
  <si>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ut28_B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</si>
  <si>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</si>
  <si>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ut28_C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</si>
  <si>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</si>
  <si>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ut29_A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</si>
  <si>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</si>
  <si>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ut29_B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</si>
  <si>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</si>
  <si>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ut29_C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</si>
  <si>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平均稼動率（情境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</si>
  <si>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ut_adj</t>
  </si>
  <si>
    <r>
      <rPr>
        <sz val="11"/>
        <color theme="1"/>
        <rFont val="Noto Sans CJK SC"/>
        <family val="2"/>
      </rPr>
      <t xml:space="preserve">稼動率調整（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起各年加減，上限 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</si>
  <si>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</si>
  <si>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±3 </t>
    </r>
    <r>
      <rPr>
        <sz val="11"/>
        <color theme="1"/>
        <rFont val="Noto Sans CJK SC"/>
        <family val="2"/>
      </rPr>
      <t xml:space="preserve">個百分點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</si>
  <si>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平均售價（美元，每片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吋約當；公司層級，待併入 </t>
    </r>
    <r>
      <rPr>
        <b val="true"/>
        <sz val="11"/>
        <rFont val="Cambria"/>
        <family val="0"/>
        <charset val="1"/>
      </rPr>
      <t xml:space="preserve">Siliconomics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尚無成熟製程價格）</t>
    </r>
  </si>
  <si>
    <t xml:space="preserve">asp_26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</si>
  <si>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平均售價（成熟製程晶圓；美元／片）</t>
    </r>
  </si>
  <si>
    <r>
      <rPr>
        <sz val="11"/>
        <color theme="1"/>
        <rFont val="Calibri"/>
        <family val="2"/>
        <charset val="1"/>
      </rPr>
      <t xml:space="preserve">US$/</t>
    </r>
    <r>
      <rPr>
        <sz val="11"/>
        <color theme="1"/>
        <rFont val="Noto Sans CJK SC"/>
        <family val="2"/>
      </rPr>
      <t xml:space="preserve">片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</si>
  <si>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</si>
  <si>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Noto Sans CJK SC"/>
        <family val="2"/>
      </rPr>
      <t xml:space="preserve">校準年；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起依情境年增</t>
    </r>
  </si>
  <si>
    <t xml:space="preserve">asp27_A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</si>
  <si>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</si>
  <si>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法說轉述）：公司估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年平均售價年增約一成（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奈米份額與產品組合）；摩根士丹利：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吋代工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年漲價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</si>
  <si>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＝漲價延續；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＝中國成熟製程擴產造成價格壓力；待併入 </t>
    </r>
    <r>
      <rPr>
        <sz val="11"/>
        <color theme="1"/>
        <rFont val="Calibri"/>
        <family val="2"/>
        <charset val="1"/>
      </rPr>
      <t xml:space="preserve">Siliconomics</t>
    </r>
  </si>
  <si>
    <t xml:space="preserve">asp27_B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</si>
  <si>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</si>
  <si>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asp27_C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</si>
  <si>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</si>
  <si>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asp28_A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</si>
  <si>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</si>
  <si>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asp28_B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</si>
  <si>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</si>
  <si>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asp28_C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</si>
  <si>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</si>
  <si>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asp29_A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</si>
  <si>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</si>
  <si>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asp29_B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</si>
  <si>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</si>
  <si>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asp29_C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</si>
  <si>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平均售價年增（美元；情境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</si>
  <si>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asp_adj</t>
  </si>
  <si>
    <r>
      <rPr>
        <sz val="11"/>
        <color theme="1"/>
        <rFont val="Noto Sans CJK SC"/>
        <family val="2"/>
      </rPr>
      <t xml:space="preserve">售價水準調整（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起各年同乘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</si>
  <si>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t xml:space="preserve">±3%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</si>
  <si>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新業務：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相關（先進封裝矽中介層、矽光子）與 </t>
    </r>
    <r>
      <rPr>
        <b val="true"/>
        <sz val="11"/>
        <rFont val="Cambria"/>
        <family val="0"/>
        <charset val="1"/>
      </rPr>
      <t xml:space="preserve">Intel 12 </t>
    </r>
    <r>
      <rPr>
        <b val="true"/>
        <sz val="11"/>
        <rFont val="Noto Sans CJK SC"/>
        <family val="2"/>
      </rPr>
      <t xml:space="preserve">奈米合作（美元營收；毛利以邊際貢獻率計）</t>
    </r>
  </si>
  <si>
    <t xml:space="preserve">ai_26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</si>
  <si>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相關營收（先進封裝、矽光子）</t>
    </r>
  </si>
  <si>
    <t xml:space="preserve">US$B</t>
  </si>
  <si>
    <t xml:space="preserve">Interested-party</t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</si>
  <si>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（摩根士丹利）：公司說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億美元（營收 </t>
    </r>
    <r>
      <rPr>
        <sz val="11"/>
        <color theme="1"/>
        <rFont val="Calibri"/>
        <family val="2"/>
        <charset val="1"/>
      </rPr>
      <t xml:space="preserve">3–5%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</t>
    </r>
  </si>
  <si>
    <t xml:space="preserve">公司未揭露金額與毛利率；本模型把它從晶圓營收拆出</t>
  </si>
  <si>
    <t xml:space="preserve">aig27_A</t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</si>
  <si>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相關營收年增（情境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</si>
  <si>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Finsee 3Q26 </t>
    </r>
    <r>
      <rPr>
        <sz val="11"/>
        <color theme="1"/>
        <rFont val="Noto Sans CJK SC"/>
        <family val="2"/>
      </rPr>
      <t xml:space="preserve">財報摘要：先進封裝與矽光子客戶接洽「強勁」；公司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億美元目標（大摩轉述）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</si>
  <si>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</si>
  <si>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t xml:space="preserve">aig27_B</t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</si>
  <si>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相關營收年增（情境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</si>
  <si>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</si>
  <si>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aig27_C</t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</si>
  <si>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相關營收年增（情境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</si>
  <si>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aig_L</t>
  </si>
  <si>
    <r>
      <rPr>
        <sz val="11"/>
        <color theme="1"/>
        <rFont val="Calibri"/>
        <family val="2"/>
        <charset val="1"/>
      </rPr>
      <t xml:space="preserve">FY2028–29 AI </t>
    </r>
    <r>
      <rPr>
        <sz val="11"/>
        <color theme="1"/>
        <rFont val="Noto Sans CJK SC"/>
        <family val="2"/>
      </rPr>
      <t xml:space="preserve">相關營收年增（情境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再乘同字母顆數係數）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</si>
  <si>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US$1.0B</t>
    </r>
    <r>
      <rPr>
        <sz val="11"/>
        <color theme="1"/>
        <rFont val="Noto Sans CJK SC"/>
        <family val="2"/>
      </rPr>
      <t xml:space="preserve">（公司目標）</t>
    </r>
  </si>
  <si>
    <t xml:space="preserve">ai_adj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</si>
  <si>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</si>
  <si>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±30%</t>
  </si>
  <si>
    <t xml:space="preserve">m_new</t>
  </si>
  <si>
    <r>
      <rPr>
        <sz val="11"/>
        <color theme="1"/>
        <rFont val="Noto Sans CJK SC"/>
        <family val="2"/>
      </rPr>
      <t xml:space="preserve">新業務（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相關、</t>
    </r>
    <r>
      <rPr>
        <sz val="11"/>
        <color theme="1"/>
        <rFont val="Calibri"/>
        <family val="2"/>
        <charset val="1"/>
      </rPr>
      <t xml:space="preserve">Intel 12 </t>
    </r>
    <r>
      <rPr>
        <sz val="11"/>
        <color theme="1"/>
        <rFont val="Noto Sans CJK SC"/>
        <family val="2"/>
      </rPr>
      <t xml:space="preserve">奈米）邊際貢獻率（毛利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</si>
  <si>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公司未揭露；先進封裝中介層、矽光子屬特殊製程</t>
  </si>
  <si>
    <r>
      <rPr>
        <sz val="11"/>
        <color theme="1"/>
        <rFont val="Noto Sans CJK SC"/>
        <family val="2"/>
      </rPr>
      <t xml:space="preserve">成熟製程晶圓的現金成本以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校準，新業務另計</t>
    </r>
  </si>
  <si>
    <t xml:space="preserve">int_27</t>
  </si>
  <si>
    <r>
      <rPr>
        <sz val="11"/>
        <color theme="1"/>
        <rFont val="Calibri"/>
        <family val="2"/>
        <charset val="1"/>
      </rPr>
      <t xml:space="preserve">FY2027 Intel 12 </t>
    </r>
    <r>
      <rPr>
        <sz val="11"/>
        <color theme="1"/>
        <rFont val="Noto Sans CJK SC"/>
        <family val="2"/>
      </rPr>
      <t xml:space="preserve">奈米營收（試產）</t>
    </r>
  </si>
  <si>
    <r>
      <rPr>
        <sz val="11"/>
        <color theme="1"/>
        <rFont val="Calibri"/>
        <family val="2"/>
        <charset val="1"/>
      </rPr>
      <t xml:space="preserve">Finsee 3Q26 </t>
    </r>
    <r>
      <rPr>
        <sz val="11"/>
        <color theme="1"/>
        <rFont val="Noto Sans CJK SC"/>
        <family val="2"/>
      </rPr>
      <t xml:space="preserve">財報摘要：設計套件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年試產（先前說法）；旺得富 </t>
    </r>
    <r>
      <rPr>
        <sz val="11"/>
        <color theme="1"/>
        <rFont val="Calibri"/>
        <family val="2"/>
        <charset val="1"/>
      </rPr>
      <t xml:space="preserve">2026-10-17</t>
    </r>
    <r>
      <rPr>
        <sz val="11"/>
        <color theme="1"/>
        <rFont val="Noto Sans CJK SC"/>
        <family val="2"/>
      </rPr>
      <t xml:space="preserve">：驗證中、未來幾年貢獻營收</t>
    </r>
  </si>
  <si>
    <t xml:space="preserve">三情境相同</t>
  </si>
  <si>
    <t xml:space="preserve">int28_A</t>
  </si>
  <si>
    <r>
      <rPr>
        <sz val="11"/>
        <color theme="1"/>
        <rFont val="Calibri"/>
        <family val="2"/>
        <charset val="1"/>
      </rPr>
      <t xml:space="preserve">FY2028 Intel 12 </t>
    </r>
    <r>
      <rPr>
        <sz val="11"/>
        <color theme="1"/>
        <rFont val="Noto Sans CJK SC"/>
        <family val="2"/>
      </rPr>
      <t xml:space="preserve">奈米營收（情境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</si>
  <si>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營收分配方式未找到；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</si>
  <si>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t xml:space="preserve">int28_B</t>
  </si>
  <si>
    <r>
      <rPr>
        <sz val="11"/>
        <color theme="1"/>
        <rFont val="Calibri"/>
        <family val="2"/>
        <charset val="1"/>
      </rPr>
      <t xml:space="preserve">FY2028 Intel 12 </t>
    </r>
    <r>
      <rPr>
        <sz val="11"/>
        <color theme="1"/>
        <rFont val="Noto Sans CJK SC"/>
        <family val="2"/>
      </rPr>
      <t xml:space="preserve">奈米營收（情境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</si>
  <si>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int28_C</t>
  </si>
  <si>
    <r>
      <rPr>
        <sz val="11"/>
        <color theme="1"/>
        <rFont val="Calibri"/>
        <family val="2"/>
        <charset val="1"/>
      </rPr>
      <t xml:space="preserve">FY2028 Intel 12 </t>
    </r>
    <r>
      <rPr>
        <sz val="11"/>
        <color theme="1"/>
        <rFont val="Noto Sans CJK SC"/>
        <family val="2"/>
      </rPr>
      <t xml:space="preserve">奈米營收（情境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</si>
  <si>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int29_A</t>
  </si>
  <si>
    <r>
      <rPr>
        <sz val="11"/>
        <color theme="1"/>
        <rFont val="Calibri"/>
        <family val="2"/>
        <charset val="1"/>
      </rPr>
      <t xml:space="preserve">FY2029 Intel 12 </t>
    </r>
    <r>
      <rPr>
        <sz val="11"/>
        <color theme="1"/>
        <rFont val="Noto Sans CJK SC"/>
        <family val="2"/>
      </rPr>
      <t xml:space="preserve">奈米營收（情境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</si>
  <si>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int29_B</t>
  </si>
  <si>
    <r>
      <rPr>
        <sz val="11"/>
        <color theme="1"/>
        <rFont val="Calibri"/>
        <family val="2"/>
        <charset val="1"/>
      </rPr>
      <t xml:space="preserve">FY2029 Intel 12 </t>
    </r>
    <r>
      <rPr>
        <sz val="11"/>
        <color theme="1"/>
        <rFont val="Noto Sans CJK SC"/>
        <family val="2"/>
      </rPr>
      <t xml:space="preserve">奈米營收（情境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</si>
  <si>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int29_C</t>
  </si>
  <si>
    <r>
      <rPr>
        <sz val="11"/>
        <color theme="1"/>
        <rFont val="Calibri"/>
        <family val="2"/>
        <charset val="1"/>
      </rPr>
      <t xml:space="preserve">FY2029 Intel 12 </t>
    </r>
    <r>
      <rPr>
        <sz val="11"/>
        <color theme="1"/>
        <rFont val="Noto Sans CJK SC"/>
        <family val="2"/>
      </rPr>
      <t xml:space="preserve">奈米營收（情境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</si>
  <si>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成本：折舊（銷貨成本內）、每片現金成本、營業費用、營業外、稅、股數</t>
    </r>
  </si>
  <si>
    <t xml:space="preserve">da_tot26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</si>
  <si>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折舊與攤銷（全公司）</t>
    </r>
  </si>
  <si>
    <t xml:space="preserve">NT$B</t>
  </si>
  <si>
    <r>
      <rPr>
        <sz val="11"/>
        <color theme="1"/>
        <rFont val="Calibri"/>
        <family val="2"/>
        <charset val="1"/>
      </rPr>
      <t xml:space="preserve">Finsee 3Q26 </t>
    </r>
    <r>
      <rPr>
        <sz val="11"/>
        <color theme="1"/>
        <rFont val="Noto Sans CJK SC"/>
        <family val="2"/>
      </rPr>
      <t xml:space="preserve">財報摘要：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468.1 </t>
    </r>
    <r>
      <rPr>
        <sz val="11"/>
        <color theme="1"/>
        <rFont val="Noto Sans CJK SC"/>
        <family val="2"/>
      </rPr>
      <t xml:space="preserve">億元（年增 </t>
    </r>
    <r>
      <rPr>
        <sz val="11"/>
        <color theme="1"/>
        <rFont val="Calibri"/>
        <family val="2"/>
        <charset val="1"/>
      </rPr>
      <t xml:space="preserve">12.7%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</si>
  <si>
    <t xml:space="preserve">第四季折舊：未找到，以前三季平均推估</t>
  </si>
  <si>
    <t xml:space="preserve">da_sh</t>
  </si>
  <si>
    <t xml:space="preserve">折舊中計入銷貨成本的比例</t>
  </si>
  <si>
    <t xml:space="preserve">公司未揭露拆分；晶圓廠折舊多數計入銷貨成本</t>
  </si>
  <si>
    <t xml:space="preserve">dag_27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</si>
  <si>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銷貨成本內折舊年增</t>
    </r>
  </si>
  <si>
    <r>
      <rPr>
        <sz val="11"/>
        <color theme="1"/>
        <rFont val="Noto Sans CJK SC"/>
        <family val="2"/>
      </rPr>
      <t xml:space="preserve">公司財務長：未來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年折舊與原物料成本上升（優分析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</si>
  <si>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三情境相同（擴產已核准）</t>
  </si>
  <si>
    <t xml:space="preserve">dag_28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</si>
  <si>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銷貨成本內折舊年增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</si>
  <si>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P4</t>
    </r>
    <r>
      <rPr>
        <sz val="11"/>
        <color theme="1"/>
        <rFont val="Noto Sans CJK SC"/>
        <family val="2"/>
      </rPr>
      <t xml:space="preserve">、台南新廠</t>
    </r>
  </si>
  <si>
    <t xml:space="preserve">dag_29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</si>
  <si>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銷貨成本內折舊年增</t>
    </r>
  </si>
  <si>
    <t xml:space="preserve">dag_adj</t>
  </si>
  <si>
    <r>
      <rPr>
        <sz val="11"/>
        <color theme="1"/>
        <rFont val="Noto Sans CJK SC"/>
        <family val="2"/>
      </rPr>
      <t xml:space="preserve">折舊年增調整（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起各年加減）</t>
    </r>
  </si>
  <si>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</t>
    </r>
  </si>
  <si>
    <t xml:space="preserve">cc_g</t>
  </si>
  <si>
    <r>
      <rPr>
        <sz val="11"/>
        <color theme="1"/>
        <rFont val="Noto Sans CJK SC"/>
        <family val="2"/>
      </rPr>
      <t xml:space="preserve">每片現金成本年增（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</si>
  <si>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原物料、電價、人力（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</si>
  <si>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每片現金成本為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），之後依本列成長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</si>
  <si>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</si>
  <si>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</si>
  <si>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250.6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204.8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</si>
  <si>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</si>
  <si>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</si>
  <si>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t xml:space="preserve">研發、新業務投入</t>
  </si>
  <si>
    <t xml:space="preserve">nonop_f</t>
  </si>
  <si>
    <r>
      <rPr>
        <sz val="11"/>
        <color theme="1"/>
        <rFont val="Noto Sans CJK SC"/>
        <family val="2"/>
      </rPr>
      <t xml:space="preserve">營業外淨額（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</si>
  <si>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</si>
  <si>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業外約 </t>
    </r>
    <r>
      <rPr>
        <sz val="11"/>
        <color theme="1"/>
        <rFont val="Calibri"/>
        <family val="2"/>
        <charset val="1"/>
      </rPr>
      <t xml:space="preserve">302 </t>
    </r>
    <r>
      <rPr>
        <sz val="11"/>
        <color theme="1"/>
        <rFont val="Noto Sans CJK SC"/>
        <family val="2"/>
      </rPr>
      <t xml:space="preserve">億（投資與股利收益，優分析）為一次性，不外推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</si>
  <si>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</si>
  <si>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</si>
  <si>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</si>
  <si>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</si>
  <si>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加權股數年變動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</si>
  <si>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推得約 </t>
    </r>
    <r>
      <rPr>
        <sz val="11"/>
        <color theme="1"/>
        <rFont val="Calibri"/>
        <family val="2"/>
        <charset val="1"/>
      </rPr>
      <t xml:space="preserve">124.5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</si>
  <si>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海外可轉債約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億美元（旺得富 </t>
    </r>
    <r>
      <rPr>
        <sz val="11"/>
        <color theme="1"/>
        <rFont val="Calibri"/>
        <family val="2"/>
        <charset val="1"/>
      </rPr>
      <t xml:space="preserve">2026-10-17</t>
    </r>
    <r>
      <rPr>
        <sz val="11"/>
        <color theme="1"/>
        <rFont val="Noto Sans CJK SC"/>
        <family val="2"/>
      </rPr>
      <t xml:space="preserve">）的轉換稀釋未建模：轉換價未找到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</si>
  <si>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2Q26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指引或假設）</t>
    </r>
  </si>
  <si>
    <t xml:space="preserve">fx_26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</si>
  <si>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平均匯率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</si>
  <si>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742.4 </t>
    </r>
    <r>
      <rPr>
        <sz val="11"/>
        <color theme="1"/>
        <rFont val="Noto Sans CJK SC"/>
        <family val="2"/>
      </rPr>
      <t xml:space="preserve">億元＝</t>
    </r>
    <r>
      <rPr>
        <sz val="11"/>
        <color theme="1"/>
        <rFont val="Calibri"/>
        <family val="2"/>
        <charset val="1"/>
      </rPr>
      <t xml:space="preserve">23.2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淨利換算約 </t>
    </r>
    <r>
      <rPr>
        <sz val="11"/>
        <color theme="1"/>
        <rFont val="Calibri"/>
        <family val="2"/>
        <charset val="1"/>
      </rPr>
      <t xml:space="preserve">31.5</t>
    </r>
  </si>
  <si>
    <t xml:space="preserve">實際平均匯率：未找到</t>
  </si>
  <si>
    <t xml:space="preserve">q4_ship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</si>
  <si>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晶圓出貨季增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</si>
  <si>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指引：出貨低個位數成長（</t>
    </r>
    <r>
      <rPr>
        <sz val="11"/>
        <color theme="1"/>
        <rFont val="Calibri"/>
        <family val="2"/>
        <charset val="1"/>
      </rPr>
      <t xml:space="preserve">6-K 2026-10-28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</si>
  <si>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2%</t>
    </r>
  </si>
  <si>
    <t xml:space="preserve">q4_asp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</si>
  <si>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平均售價季變動（美元）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</si>
  <si>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指引：美元平均售價持穩</t>
    </r>
  </si>
  <si>
    <t xml:space="preserve">q4_ut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</si>
  <si>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稼動率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</si>
  <si>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指引：低 </t>
    </r>
    <r>
      <rPr>
        <sz val="11"/>
        <color theme="1"/>
        <rFont val="Calibri"/>
        <family val="2"/>
        <charset val="1"/>
      </rPr>
      <t xml:space="preserve">90% </t>
    </r>
    <r>
      <rPr>
        <sz val="11"/>
        <color theme="1"/>
        <rFont val="Noto Sans CJK SC"/>
        <family val="2"/>
      </rPr>
      <t xml:space="preserve">區間</t>
    </r>
  </si>
  <si>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92%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</si>
  <si>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</si>
  <si>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</si>
  <si>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指引：與上季相當（</t>
    </r>
    <r>
      <rPr>
        <sz val="11"/>
        <color theme="1"/>
        <rFont val="Calibri"/>
        <family val="2"/>
        <charset val="1"/>
      </rPr>
      <t xml:space="preserve">3Q26 34.0%</t>
    </r>
    <r>
      <rPr>
        <sz val="11"/>
        <color theme="1"/>
        <rFont val="Noto Sans CJK SC"/>
        <family val="2"/>
      </rPr>
      <t xml:space="preserve">）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</si>
  <si>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</si>
  <si>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3Q26 × 1.03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</si>
  <si>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</si>
  <si>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q4_nonop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</si>
  <si>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</si>
  <si>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</si>
  <si>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q4_tax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</si>
  <si>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</si>
  <si>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</si>
  <si>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q_sh</t>
  </si>
  <si>
    <r>
      <rPr>
        <sz val="11"/>
        <color theme="1"/>
        <rFont val="Noto Sans CJK SC"/>
        <family val="2"/>
      </rPr>
      <t xml:space="preserve">加權股數（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</si>
  <si>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</si>
  <si>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</si>
  <si>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125.8 </t>
    </r>
    <r>
      <rPr>
        <sz val="11"/>
        <color theme="1"/>
        <rFont val="Noto Sans CJK SC"/>
        <family val="2"/>
      </rPr>
      <t xml:space="preserve">億股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</si>
  <si>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公司說法、共識與券商（只作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</si>
  <si>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</si>
  <si>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（只作對照，不進模型）</t>
    </r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</si>
  <si>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擷取，早於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</si>
  <si>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271.5–291.8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起共識為付費資料：未找到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</si>
  <si>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</si>
  <si>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（只作對照，不進模型）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</si>
  <si>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</si>
  <si>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</si>
  <si>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4.55–8.15</t>
    </r>
  </si>
  <si>
    <t xml:space="preserve">us_eps26</t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</si>
  <si>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（中點）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</si>
  <si>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7.46–7.68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</si>
  <si>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130</t>
    </r>
  </si>
  <si>
    <t xml:space="preserve">loc_eps27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</si>
  <si>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</si>
  <si>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2026-10-17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</si>
  <si>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（強力買進）；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共識：未找到</t>
    </r>
  </si>
  <si>
    <t xml:space="preserve">co_asp27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</si>
  <si>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平均售價年增約一成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</si>
  <si>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法說轉述）</t>
    </r>
  </si>
  <si>
    <t xml:space="preserve">co_ai29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</si>
  <si>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相關營收約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</si>
  <si>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（摩根士丹利）</t>
    </r>
  </si>
  <si>
    <t xml:space="preserve">大摩轉述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</si>
  <si>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</si>
  <si>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</si>
  <si>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</si>
  <si>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stockanalysis.comhistory/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125.50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</si>
  <si>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以後收盤：未找到（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歷史頁只到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法說後股價未取得）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</si>
  <si>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</si>
  <si>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6.81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</si>
  <si>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4Q25 0.81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1Q–3Q26 6.00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）；含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一次性業外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</si>
  <si>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</si>
  <si>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；股價 </t>
    </r>
    <r>
      <rPr>
        <sz val="11"/>
        <color theme="1"/>
        <rFont val="Calibri"/>
        <family val="2"/>
        <charset val="1"/>
      </rPr>
      <t xml:space="preserve">125.5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</si>
  <si>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</si>
  <si>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</si>
  <si>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</si>
  <si>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20.22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125.5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</si>
  <si>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</si>
  <si>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</si>
  <si>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</si>
  <si>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140.69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擷取；中位數 </t>
    </r>
    <r>
      <rPr>
        <sz val="11"/>
        <color theme="1"/>
        <rFont val="Calibri"/>
        <family val="2"/>
        <charset val="1"/>
      </rPr>
      <t xml:space="preserve">135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41–258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</si>
  <si>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2026-10-17</t>
    </r>
    <r>
      <rPr>
        <sz val="11"/>
        <color theme="1"/>
        <rFont val="Noto Sans CJK SC"/>
        <family val="2"/>
      </rPr>
      <t xml:space="preserve">：法人目標價 </t>
    </r>
    <r>
      <rPr>
        <sz val="11"/>
        <color theme="1"/>
        <rFont val="Calibri"/>
        <family val="2"/>
        <charset val="1"/>
      </rPr>
      <t xml:space="preserve">130–185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共識均值 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（口徑不同，未採用）</t>
    </r>
  </si>
  <si>
    <t xml:space="preserve">nim_5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</si>
  <si>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；對照用）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</si>
  <si>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</si>
  <si>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未取得）；收斂法依工作單改用最後一年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</si>
  <si>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</si>
  <si>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</si>
  <si>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</si>
  <si>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</si>
  <si>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</si>
  <si>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</si>
  <si>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</si>
  <si>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</si>
  <si>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</si>
  <si>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</si>
  <si>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</si>
  <si>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</si>
  <si>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美、台、日、韓同一值</t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</si>
  <si>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</si>
  <si>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</si>
  <si>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</si>
  <si>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</si>
  <si>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</si>
  <si>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</si>
  <si>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18.01%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12.77%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10.96%</t>
    </r>
  </si>
  <si>
    <t xml:space="preserve">單一來源</t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</si>
  <si>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</si>
  <si>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</si>
  <si>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</si>
  <si>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</si>
  <si>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</si>
  <si>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</si>
  <si>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</si>
  <si>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</si>
  <si>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</si>
  <si>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</si>
  <si>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</si>
  <si>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</si>
  <si>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</si>
  <si>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</si>
  <si>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</si>
  <si>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」的中點）</t>
    </r>
  </si>
  <si>
    <r>
      <rPr>
        <sz val="11"/>
        <color theme="1"/>
        <rFont val="Noto Sans CJK SC"/>
        <family val="2"/>
      </rPr>
      <t xml:space="preserve">十年平均未找到，依工作單以最後一年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</si>
  <si>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</si>
  <si>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</si>
  <si>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</si>
  <si>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</si>
  <si>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</si>
  <si>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</si>
  <si>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</si>
  <si>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</si>
  <si>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CY2028 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</si>
  <si>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</si>
  <si>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</si>
  <si>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CY2029 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</si>
  <si>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</si>
  <si>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scn_ut27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</si>
  <si>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平均稼動率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</si>
  <si>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ut27_A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ut27_B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ut27_C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</si>
  <si>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scn_ut28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</si>
  <si>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平均稼動率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</si>
  <si>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ut28_A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ut28_B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ut28_C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</si>
  <si>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scn_ut29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</si>
  <si>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平均稼動率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</si>
  <si>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ut29_A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ut29_B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ut29_C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</si>
  <si>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scn_asp27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</si>
  <si>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asp27_A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</si>
  <si>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scn_asp28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</si>
  <si>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asp28_A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</si>
  <si>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scn_asp29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</si>
  <si>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asp29_A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</si>
  <si>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scn_aig27</t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</si>
  <si>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相關營收年增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</si>
  <si>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aig27_A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aig27_B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aig27_C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</si>
  <si>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scn_int28</t>
  </si>
  <si>
    <r>
      <rPr>
        <sz val="11"/>
        <color theme="1"/>
        <rFont val="Calibri"/>
        <family val="2"/>
        <charset val="1"/>
      </rPr>
      <t xml:space="preserve">FY2028 Intel 12 </t>
    </r>
    <r>
      <rPr>
        <sz val="11"/>
        <color theme="1"/>
        <rFont val="Noto Sans CJK SC"/>
        <family val="2"/>
      </rPr>
      <t xml:space="preserve">奈米營收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</si>
  <si>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int28_A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</si>
  <si>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scn_int29</t>
  </si>
  <si>
    <r>
      <rPr>
        <sz val="11"/>
        <color theme="1"/>
        <rFont val="Calibri"/>
        <family val="2"/>
        <charset val="1"/>
      </rPr>
      <t xml:space="preserve">FY2029 Intel 12 </t>
    </r>
    <r>
      <rPr>
        <sz val="11"/>
        <color theme="1"/>
        <rFont val="Noto Sans CJK SC"/>
        <family val="2"/>
      </rPr>
      <t xml:space="preserve">奈米營收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</si>
  <si>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int29_A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</si>
  <si>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</si>
  <si>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</si>
  <si>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</si>
  <si>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</si>
  <si>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</si>
  <si>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</si>
  <si>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</si>
  <si>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</si>
  <si>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</si>
  <si>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為新台幣、基本；股數為十億股；晶圓為千片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吋約當）。藍字＝輸入（公司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）；黑字＝公式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</si>
  <si>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公布；季值＝累計 − 上半年）＋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公司指引（出貨低個位數成長、售價持穩、毛利率與上季相當、稼動率低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</si>
  <si>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</si>
  <si>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</si>
  <si>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</si>
  <si>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</si>
  <si>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</si>
  <si>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</si>
  <si>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</si>
  <si>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</si>
  <si>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</t>
    </r>
  </si>
  <si>
    <r>
      <rPr>
        <sz val="11"/>
        <color theme="1"/>
        <rFont val="Calibri"/>
        <family val="2"/>
        <charset val="1"/>
      </rPr>
      <t xml:space="preserve">1H26 1,297.71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9M26 2,040.10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3Q26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＋出貨季增）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＋售價變動）</t>
    </r>
  </si>
  <si>
    <r>
      <rPr>
        <sz val="11"/>
        <color theme="1"/>
        <rFont val="Noto Sans CJK SC"/>
        <family val="2"/>
      </rPr>
      <t xml:space="preserve">晶圓出貨（千片，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吋約當）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</si>
  <si>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</si>
  <si>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出貨超過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吋約當（創新高，季增 </t>
    </r>
    <r>
      <rPr>
        <sz val="11"/>
        <color theme="1"/>
        <rFont val="Calibri"/>
        <family val="2"/>
        <charset val="1"/>
      </rPr>
      <t xml:space="preserve">7.3%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10.6%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2.7%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</si>
  <si>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取下限 </t>
    </r>
    <r>
      <rPr>
        <sz val="11"/>
        <color theme="1"/>
        <rFont val="Calibri"/>
        <family val="2"/>
        <charset val="1"/>
      </rPr>
      <t xml:space="preserve">1,200 </t>
    </r>
    <r>
      <rPr>
        <sz val="11"/>
        <color theme="1"/>
        <rFont val="Noto Sans CJK SC"/>
        <family val="2"/>
      </rPr>
      <t xml:space="preserve">千片；前兩季以季增率回推（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</si>
  <si>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稼動率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</si>
  <si>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</si>
  <si>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92%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</si>
  <si>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欄＝出貨合計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產能合計</t>
    </r>
  </si>
  <si>
    <r>
      <rPr>
        <sz val="11"/>
        <color theme="1"/>
        <rFont val="Noto Sans CJK SC"/>
        <family val="2"/>
      </rPr>
      <t xml:space="preserve">產能（千片，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吋約當）</t>
    </r>
  </si>
  <si>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稼動率</t>
    </r>
  </si>
  <si>
    <t xml:space="preserve">公司未揭露產能</t>
  </si>
  <si>
    <r>
      <rPr>
        <sz val="11"/>
        <color theme="1"/>
        <rFont val="Noto Sans CJK SC"/>
        <family val="2"/>
      </rPr>
      <t xml:space="preserve">平均售價（全部營收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出貨；美元／片）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</si>
  <si>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</si>
  <si>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相關營收；模型的成熟製程售價另扣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asp_26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</si>
  <si>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</si>
  <si>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401.41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9M26 653.46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</si>
  <si>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</si>
  <si>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29.2%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34.0%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</si>
  <si>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</si>
  <si>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</si>
  <si>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</si>
  <si>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</si>
  <si>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</si>
  <si>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1H26 262.26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9M26 448.69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</si>
  <si>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t xml:space="preserve">營業外淨額</t>
  </si>
  <si>
    <r>
      <rPr>
        <sz val="11"/>
        <color theme="1"/>
        <rFont val="Noto Sans CJK SC"/>
        <family val="2"/>
      </rPr>
      <t xml:space="preserve">稅前 − 營業利益；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含投資與股利收益約 </t>
    </r>
    <r>
      <rPr>
        <sz val="11"/>
        <color theme="1"/>
        <rFont val="Calibri"/>
        <family val="2"/>
        <charset val="1"/>
      </rPr>
      <t xml:space="preserve">302 </t>
    </r>
    <r>
      <rPr>
        <sz val="11"/>
        <color theme="1"/>
        <rFont val="Noto Sans CJK SC"/>
        <family val="2"/>
      </rPr>
      <t xml:space="preserve">億（優分析）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</si>
  <si>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</si>
  <si>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稅前淨利率推得；</t>
    </r>
    <r>
      <rPr>
        <sz val="11"/>
        <color theme="1"/>
        <rFont val="Calibri"/>
        <family val="2"/>
        <charset val="1"/>
      </rPr>
      <t xml:space="preserve">1H26 618.30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9M26 817.41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</si>
  <si>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t xml:space="preserve">所得稅</t>
  </si>
  <si>
    <t xml:space="preserve">稅前 −（歸屬母公司淨利＋非控制權益）</t>
  </si>
  <si>
    <t xml:space="preserve">  有效稅率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</si>
  <si>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</si>
  <si>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1H26 584.31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9M26 748.65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</si>
  <si>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t xml:space="preserve">  非控制權益</t>
  </si>
  <si>
    <r>
      <rPr>
        <sz val="11"/>
        <color theme="1"/>
        <rFont val="Noto Sans CJK SC"/>
        <family val="2"/>
      </rPr>
      <t xml:space="preserve">本期淨利（含非控制權益）− 歸屬母公司；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本期淨利 </t>
    </r>
    <r>
      <rPr>
        <sz val="11"/>
        <color theme="1"/>
        <rFont val="Calibri"/>
        <family val="2"/>
        <charset val="1"/>
      </rPr>
      <t xml:space="preserve">583.41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9M26 747.30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未找到，取 </t>
    </r>
    <r>
      <rPr>
        <sz val="11"/>
        <color theme="1"/>
        <rFont val="Calibri"/>
        <family val="2"/>
        <charset val="1"/>
      </rPr>
      <t xml:space="preserve">0</t>
    </r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</si>
  <si>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</si>
  <si>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</si>
  <si>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</si>
  <si>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</si>
  <si>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</si>
  <si>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3.34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3.31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1Q26 1.29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3.39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1.32</t>
    </r>
  </si>
  <si>
    <t xml:space="preserve">9M26 6.00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</si>
  <si>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</si>
  <si>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</si>
  <si>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營收季增（公司 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</si>
  <si>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</si>
  <si>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</si>
  <si>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EPS </t>
    </r>
    <r>
      <rPr>
        <sz val="11"/>
        <color theme="1"/>
        <rFont val="Noto Sans CJK SC"/>
        <family val="2"/>
      </rPr>
      <t xml:space="preserve">自算 − 公司 </t>
    </r>
    <r>
      <rPr>
        <sz val="11"/>
        <color theme="1"/>
        <rFont val="Calibri"/>
        <family val="2"/>
        <charset val="1"/>
      </rPr>
      <t xml:space="preserve">6.00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</si>
  <si>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營收 自算 − 公司 </t>
    </r>
    <r>
      <rPr>
        <sz val="11"/>
        <color theme="1"/>
        <rFont val="Calibri"/>
        <family val="2"/>
        <charset val="1"/>
      </rPr>
      <t xml:space="preserve">204.01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</si>
  <si>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一次性業外（業外以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水準代入，稅率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；參考）</t>
    </r>
  </si>
  <si>
    <r>
      <rPr>
        <b val="true"/>
        <sz val="11"/>
        <rFont val="Noto Sans CJK SC"/>
        <family val="2"/>
      </rPr>
      <t xml:space="preserve">官方報告分部與製程別（最近完整年度＋最近四季 </t>
    </r>
    <r>
      <rPr>
        <b val="true"/>
        <sz val="11"/>
        <rFont val="Cambria"/>
        <family val="0"/>
        <charset val="1"/>
      </rPr>
      <t xml:space="preserve">4Q25–3Q26</t>
    </r>
    <r>
      <rPr>
        <b val="true"/>
        <sz val="11"/>
        <rFont val="Noto Sans CJK SC"/>
        <family val="2"/>
      </rPr>
      <t xml:space="preserve">；分部原則第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條）</t>
    </r>
  </si>
  <si>
    <t xml:space="preserve">4Q25</t>
  </si>
  <si>
    <t xml:space="preserve">1Q26</t>
  </si>
  <si>
    <t xml:space="preserve">2Q26</t>
  </si>
  <si>
    <t xml:space="preserve">3Q26</t>
  </si>
  <si>
    <t xml:space="preserve">最近四季合計</t>
  </si>
  <si>
    <t xml:space="preserve">晶圓代工營收（單一主要部門）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</si>
  <si>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各季合併營收；</t>
    </r>
    <r>
      <rPr>
        <sz val="11"/>
        <color theme="1"/>
        <rFont val="Calibri"/>
        <family val="2"/>
        <charset val="1"/>
      </rPr>
      <t xml:space="preserve">20-F </t>
    </r>
    <r>
      <rPr>
        <sz val="11"/>
        <color theme="1"/>
        <rFont val="Noto Sans CJK SC"/>
        <family val="2"/>
      </rPr>
      <t xml:space="preserve">部門資訊以晶圓製造為主要部門</t>
    </r>
  </si>
  <si>
    <t xml:space="preserve">其他部門金額：未找到（本模型併入晶圓代工）</t>
  </si>
  <si>
    <r>
      <rPr>
        <sz val="11"/>
        <color theme="1"/>
        <rFont val="Calibri"/>
        <family val="2"/>
        <charset val="1"/>
      </rPr>
      <t xml:space="preserve">  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奈米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</si>
  <si>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奈米占營收 </t>
    </r>
    <r>
      <rPr>
        <sz val="11"/>
        <color theme="1"/>
        <rFont val="Calibri"/>
        <family val="2"/>
        <charset val="1"/>
      </rPr>
      <t xml:space="preserve">4Q25 36%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34%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35%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</si>
  <si>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全年比重：未找到</t>
    </r>
  </si>
  <si>
    <r>
      <rPr>
        <sz val="11"/>
        <color theme="1"/>
        <rFont val="Noto Sans CJK SC"/>
        <family val="2"/>
      </rPr>
      <t xml:space="preserve">  其他製程（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奈米與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奈米以上）</t>
    </r>
  </si>
  <si>
    <t xml:space="preserve">差額</t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</si>
  <si>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奈米以上各製程比重：未找到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</si>
  <si>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</si>
  <si>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</si>
  <si>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t xml:space="preserve">檢查：子列合計 − 分部</t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</si>
  <si>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聯電成熟製程晶圓（千片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吋約當）、稼動率、售價與新業務（三情境）。產能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由出貨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稼動率推得；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乘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同字母顆數係數</t>
    </r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</si>
  <si>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</si>
  <si>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</si>
  <si>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</si>
  <si>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</si>
  <si>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成熟製程晶圓：三情境稼動率、出貨與售價</t>
    </r>
  </si>
  <si>
    <r>
      <rPr>
        <sz val="11"/>
        <color theme="1"/>
        <rFont val="Noto Sans CJK SC"/>
        <family val="2"/>
      </rPr>
      <t xml:space="preserve">稼動率（情境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</si>
  <si>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頁各情境推導區塊</t>
    </r>
  </si>
  <si>
    <r>
      <rPr>
        <sz val="11"/>
        <color theme="1"/>
        <rFont val="Noto Sans CJK SC"/>
        <family val="2"/>
      </rPr>
      <t xml:space="preserve">稼動率（情境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</si>
  <si>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稼動率（情境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</si>
  <si>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晶圓出貨（情境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</si>
  <si>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晶圓出貨（情境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</si>
  <si>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晶圓出貨（情境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</si>
  <si>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平均售價（美元）（情境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</si>
  <si>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平均售價（美元）（情境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</si>
  <si>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平均售價（美元）（情境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</si>
  <si>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</si>
  <si>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</si>
  <si>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</si>
  <si>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新業務：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相關與 </t>
    </r>
    <r>
      <rPr>
        <b val="true"/>
        <sz val="11"/>
        <rFont val="Cambria"/>
        <family val="0"/>
        <charset val="1"/>
      </rPr>
      <t xml:space="preserve">Intel 12 </t>
    </r>
    <r>
      <rPr>
        <b val="true"/>
        <sz val="11"/>
        <rFont val="Noto Sans CJK SC"/>
        <family val="2"/>
      </rPr>
      <t xml:space="preserve">奈米（三情境）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</si>
  <si>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相關營收（美元）（情境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</si>
  <si>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相關營收（美元）（情境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</si>
  <si>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相關營收（美元）（情境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</si>
  <si>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</si>
  <si>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</si>
  <si>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</si>
  <si>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Intel 12 </t>
    </r>
    <r>
      <rPr>
        <sz val="11"/>
        <color theme="1"/>
        <rFont val="Noto Sans CJK SC"/>
        <family val="2"/>
      </rPr>
      <t xml:space="preserve">奈米營收（美元）（情境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</si>
  <si>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Intel 12 </t>
    </r>
    <r>
      <rPr>
        <sz val="11"/>
        <color theme="1"/>
        <rFont val="Noto Sans CJK SC"/>
        <family val="2"/>
      </rPr>
      <t xml:space="preserve">奈米營收（美元）（情境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</si>
  <si>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Intel 12 </t>
    </r>
    <r>
      <rPr>
        <sz val="11"/>
        <color theme="1"/>
        <rFont val="Noto Sans CJK SC"/>
        <family val="2"/>
      </rPr>
      <t xml:space="preserve">奈米營收（美元）（情境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</si>
  <si>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已發生的實績與錨點；不用共識、不用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起的目標）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</si>
  <si>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平均售價（美元／片）</t>
    </r>
  </si>
  <si>
    <r>
      <rPr>
        <sz val="11"/>
        <color theme="1"/>
        <rFont val="Noto Sans CJK SC"/>
        <family val="2"/>
      </rPr>
      <t xml:space="preserve">晶圓營收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</si>
  <si>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每片現金成本（</t>
    </r>
    <r>
      <rPr>
        <sz val="11"/>
        <color theme="1"/>
        <rFont val="Calibri"/>
        <family val="2"/>
        <charset val="1"/>
      </rPr>
      <t xml:space="preserve">NT$K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</si>
  <si>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</si>
  <si>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銷貨成本內折舊（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</si>
  <si>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全公司折舊 </t>
    </r>
    <r>
      <rPr>
        <sz val="11"/>
        <color theme="1"/>
        <rFont val="Calibri"/>
        <family val="2"/>
        <charset val="1"/>
      </rPr>
      <t xml:space="preserve">× da_sh</t>
    </r>
  </si>
  <si>
    <r>
      <rPr>
        <b val="true"/>
        <sz val="11"/>
        <rFont val="Noto Sans CJK SC"/>
        <family val="2"/>
      </rPr>
      <t xml:space="preserve">讀法：聯電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主要由稼動率與美元售價決定；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相關（先進封裝矽中介層、矽光子）與 </t>
    </r>
    <r>
      <rPr>
        <b val="true"/>
        <sz val="11"/>
        <rFont val="Cambria"/>
        <family val="0"/>
        <charset val="1"/>
      </rPr>
      <t xml:space="preserve">Intel 12 </t>
    </r>
    <r>
      <rPr>
        <b val="true"/>
        <sz val="11"/>
        <rFont val="Noto Sans CJK SC"/>
        <family val="2"/>
      </rPr>
      <t xml:space="preserve">奈米在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合計仍低於營收一成，影響在情境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的上緣。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</si>
  <si>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聯電損益（十億新台幣；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</si>
  <si>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</si>
  <si>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</si>
  <si>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</si>
  <si>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</si>
  <si>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</si>
  <si>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</si>
  <si>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</si>
  <si>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</si>
  <si>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Noto Sans CJK SC"/>
        <family val="2"/>
      </rPr>
      <t xml:space="preserve">  成熟製程晶圓營收（不含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相關、</t>
    </r>
    <r>
      <rPr>
        <sz val="11"/>
        <color theme="1"/>
        <rFont val="Calibri"/>
        <family val="2"/>
        <charset val="1"/>
      </rPr>
      <t xml:space="preserve">Intel 12 </t>
    </r>
    <r>
      <rPr>
        <sz val="11"/>
        <color theme="1"/>
        <rFont val="Noto Sans CJK SC"/>
        <family val="2"/>
      </rPr>
      <t xml:space="preserve">奈米）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</si>
  <si>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</si>
  <si>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Calibri"/>
        <family val="2"/>
        <charset val="1"/>
      </rPr>
      <t xml:space="preserve">  Intel 12 </t>
    </r>
    <r>
      <rPr>
        <sz val="11"/>
        <color theme="1"/>
        <rFont val="Noto Sans CJK SC"/>
        <family val="2"/>
      </rPr>
      <t xml:space="preserve">奈米營收</t>
    </r>
  </si>
  <si>
    <t xml:space="preserve">平均售價（美元）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</si>
  <si>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</si>
  <si>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</si>
  <si>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</si>
  <si>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</si>
  <si>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</si>
  <si>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</si>
  <si>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</si>
  <si>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</si>
  <si>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</si>
  <si>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</si>
  <si>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（順利）：稼動率 </t>
    </r>
    <r>
      <rPr>
        <b val="true"/>
        <sz val="11"/>
        <rFont val="Cambria"/>
        <family val="0"/>
        <charset val="1"/>
      </rPr>
      <t xml:space="preserve">95%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94%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93%</t>
    </r>
    <r>
      <rPr>
        <b val="true"/>
        <sz val="11"/>
        <rFont val="Noto Sans CJK SC"/>
        <family val="2"/>
      </rPr>
      <t xml:space="preserve">；售價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+3%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+2%</t>
    </r>
    <r>
      <rPr>
        <b val="true"/>
        <sz val="11"/>
        <rFont val="Noto Sans CJK SC"/>
        <family val="2"/>
      </rPr>
      <t xml:space="preserve">（公司估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年約一成）；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 </t>
    </r>
    <r>
      <rPr>
        <b val="true"/>
        <sz val="11"/>
        <rFont val="Cambria"/>
        <family val="0"/>
        <charset val="1"/>
      </rPr>
      <t xml:space="preserve">FY2027 +60%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+45% ×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Intel 12 </t>
    </r>
    <r>
      <rPr>
        <b val="true"/>
        <sz val="11"/>
        <rFont val="Noto Sans CJK SC"/>
        <family val="2"/>
      </rPr>
      <t xml:space="preserve">奈米 </t>
    </r>
    <r>
      <rPr>
        <b val="true"/>
        <sz val="11"/>
        <rFont val="Cambria"/>
        <family val="0"/>
        <charset val="1"/>
      </rPr>
      <t xml:space="preserve">FY2028 2.5 </t>
    </r>
    <r>
      <rPr>
        <b val="true"/>
        <sz val="11"/>
        <rFont val="Noto Sans CJK SC"/>
        <family val="2"/>
      </rPr>
      <t xml:space="preserve">億、</t>
    </r>
    <r>
      <rPr>
        <b val="true"/>
        <sz val="11"/>
        <rFont val="Cambria"/>
        <family val="0"/>
        <charset val="1"/>
      </rPr>
      <t xml:space="preserve">FY2029 5 </t>
    </r>
    <r>
      <rPr>
        <b val="true"/>
        <sz val="11"/>
        <rFont val="Noto Sans CJK SC"/>
        <family val="2"/>
      </rPr>
      <t xml:space="preserve">億美元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</si>
  <si>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成熟製程晶圓：產能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稼動率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平均售價（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</si>
  <si>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Noto Sans CJK SC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吋約當）</t>
    </r>
  </si>
  <si>
    <t xml:space="preserve">平均稼動率</t>
  </si>
  <si>
    <r>
      <rPr>
        <sz val="11"/>
        <color theme="1"/>
        <rFont val="Noto Sans CJK SC"/>
        <family val="2"/>
      </rPr>
      <t xml:space="preserve">晶圓出貨（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吋約當）</t>
    </r>
  </si>
  <si>
    <t xml:space="preserve">平均售價（成熟製程晶圓）</t>
  </si>
  <si>
    <t xml:space="preserve">平均售價年增（美元）</t>
  </si>
  <si>
    <t xml:space="preserve">匯率</t>
  </si>
  <si>
    <r>
      <rPr>
        <sz val="11"/>
        <color theme="1"/>
        <rFont val="Noto Sans CJK SC"/>
        <family val="2"/>
      </rPr>
      <t xml:space="preserve">成熟製程晶圓營收（不含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相關、</t>
    </r>
    <r>
      <rPr>
        <sz val="11"/>
        <color theme="1"/>
        <rFont val="Calibri"/>
        <family val="2"/>
        <charset val="1"/>
      </rPr>
      <t xml:space="preserve">Intel 12 </t>
    </r>
    <r>
      <rPr>
        <sz val="11"/>
        <color theme="1"/>
        <rFont val="Noto Sans CJK SC"/>
        <family val="2"/>
      </rPr>
      <t xml:space="preserve">奈米）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</si>
  <si>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新業務：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相關（先進封裝矽中介層、矽光子）與 </t>
    </r>
    <r>
      <rPr>
        <b val="true"/>
        <sz val="11"/>
        <rFont val="Cambria"/>
        <family val="0"/>
        <charset val="1"/>
      </rPr>
      <t xml:space="preserve">Intel 12 </t>
    </r>
    <r>
      <rPr>
        <b val="true"/>
        <sz val="11"/>
        <rFont val="Noto Sans CJK SC"/>
        <family val="2"/>
      </rPr>
      <t xml:space="preserve">奈米（美元營收）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</si>
  <si>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相關營收（美元；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同字母顆數係數）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</si>
  <si>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</si>
  <si>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Calibri"/>
        <family val="2"/>
        <charset val="1"/>
      </rPr>
      <t xml:space="preserve">Intel 12 </t>
    </r>
    <r>
      <rPr>
        <sz val="11"/>
        <color theme="1"/>
        <rFont val="Noto Sans CJK SC"/>
        <family val="2"/>
      </rPr>
      <t xml:space="preserve">奈米營收（美元）</t>
    </r>
  </si>
  <si>
    <r>
      <rPr>
        <sz val="11"/>
        <color theme="1"/>
        <rFont val="Calibri"/>
        <family val="2"/>
        <charset val="1"/>
      </rPr>
      <t xml:space="preserve">Intel 12 </t>
    </r>
    <r>
      <rPr>
        <sz val="11"/>
        <color theme="1"/>
        <rFont val="Noto Sans CJK SC"/>
        <family val="2"/>
      </rPr>
      <t xml:space="preserve">奈米營收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</si>
  <si>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</si>
  <si>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</si>
  <si>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</si>
  <si>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成本與損益</t>
    </r>
  </si>
  <si>
    <t xml:space="preserve">銷貨成本內折舊</t>
  </si>
  <si>
    <r>
      <rPr>
        <sz val="11"/>
        <color theme="1"/>
        <rFont val="Noto Sans CJK SC"/>
        <family val="2"/>
      </rPr>
      <t xml:space="preserve">每片現金成本（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殘差，之後年增 </t>
    </r>
    <r>
      <rPr>
        <sz val="11"/>
        <color theme="1"/>
        <rFont val="Calibri"/>
        <family val="2"/>
        <charset val="1"/>
      </rPr>
      <t xml:space="preserve">cc_g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</si>
  <si>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NT$K/</t>
    </r>
    <r>
      <rPr>
        <sz val="11"/>
        <color theme="1"/>
        <rFont val="Noto Sans CJK SC"/>
        <family val="2"/>
      </rPr>
      <t xml:space="preserve">片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</si>
  <si>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毛利等於錨點；含原物料、人力、電力等變動與固定現金成本</t>
    </r>
  </si>
  <si>
    <r>
      <rPr>
        <sz val="11"/>
        <color theme="1"/>
        <rFont val="Noto Sans CJK SC"/>
        <family val="2"/>
      </rPr>
      <t xml:space="preserve">現金成本合計（每片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出貨）</t>
    </r>
  </si>
  <si>
    <r>
      <rPr>
        <sz val="11"/>
        <color theme="1"/>
        <rFont val="Noto Sans CJK SC"/>
        <family val="2"/>
      </rPr>
      <t xml:space="preserve">新業務毛利（邊際貢獻率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相關與 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Noto Sans CJK SC"/>
        <family val="2"/>
      </rPr>
      <t xml:space="preserve">營收）</t>
    </r>
  </si>
  <si>
    <t xml:space="preserve">非控制權益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</si>
  <si>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起假設為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（歷史上接近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</si>
  <si>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</si>
  <si>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</si>
  <si>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</si>
  <si>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（平平）：稼動率 </t>
    </r>
    <r>
      <rPr>
        <b val="true"/>
        <sz val="11"/>
        <rFont val="Cambria"/>
        <family val="0"/>
        <charset val="1"/>
      </rPr>
      <t xml:space="preserve">90%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87%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88%</t>
    </r>
    <r>
      <rPr>
        <b val="true"/>
        <sz val="11"/>
        <rFont val="Noto Sans CJK SC"/>
        <family val="2"/>
      </rPr>
      <t xml:space="preserve">；售價 </t>
    </r>
    <r>
      <rPr>
        <b val="true"/>
        <sz val="11"/>
        <rFont val="Cambria"/>
        <family val="0"/>
        <charset val="1"/>
      </rPr>
      <t xml:space="preserve">+5%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 </t>
    </r>
    <r>
      <rPr>
        <b val="true"/>
        <sz val="11"/>
        <rFont val="Cambria"/>
        <family val="0"/>
        <charset val="1"/>
      </rPr>
      <t xml:space="preserve">+40%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0.8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0.85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Intel 12 </t>
    </r>
    <r>
      <rPr>
        <b val="true"/>
        <sz val="11"/>
        <rFont val="Noto Sans CJK SC"/>
        <family val="2"/>
      </rPr>
      <t xml:space="preserve">奈米 </t>
    </r>
    <r>
      <rPr>
        <b val="true"/>
        <sz val="11"/>
        <rFont val="Cambria"/>
        <family val="0"/>
        <charset val="1"/>
      </rPr>
      <t xml:space="preserve">1.2 </t>
    </r>
    <r>
      <rPr>
        <b val="true"/>
        <sz val="11"/>
        <rFont val="Noto Sans CJK SC"/>
        <family val="2"/>
      </rPr>
      <t xml:space="preserve">億、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億美元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</si>
  <si>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（不如預期）：稼動率 </t>
    </r>
    <r>
      <rPr>
        <b val="true"/>
        <sz val="11"/>
        <rFont val="Cambria"/>
        <family val="0"/>
        <charset val="1"/>
      </rPr>
      <t xml:space="preserve">82%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76%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80%</t>
    </r>
    <r>
      <rPr>
        <b val="true"/>
        <sz val="11"/>
        <rFont val="Noto Sans CJK SC"/>
        <family val="2"/>
      </rPr>
      <t xml:space="preserve">；售價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（中國成熟製程擴產的價格壓力）；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Intel 12 </t>
    </r>
    <r>
      <rPr>
        <b val="true"/>
        <sz val="11"/>
        <rFont val="Noto Sans CJK SC"/>
        <family val="2"/>
      </rPr>
      <t xml:space="preserve">奈米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0.8 </t>
    </r>
    <r>
      <rPr>
        <b val="true"/>
        <sz val="1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</si>
  <si>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</si>
  <si>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循環位置：聯電不是設備股，不套設備市場見頂年；以本模型營收最高的會計年度為見頂年（比照創意、聯發科；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</si>
  <si>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</si>
  <si>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</si>
  <si>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</si>
  <si>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</si>
  <si>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</si>
  <si>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</si>
  <si>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</si>
  <si>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</si>
  <si>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</si>
  <si>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</si>
  <si>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</si>
  <si>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</si>
  <si>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</si>
  <si>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</si>
  <si>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</si>
  <si>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</si>
  <si>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</si>
  <si>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</si>
  <si>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</si>
  <si>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</si>
  <si>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</si>
  <si>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</si>
  <si>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</si>
  <si>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</si>
  <si>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</si>
  <si>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</si>
  <si>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</si>
  <si>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台積電（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</t>
    </r>
  </si>
  <si>
    <t xml:space="preserve">2330.TW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</si>
  <si>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</si>
  <si>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</si>
  <si>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格芯（</t>
    </r>
    <r>
      <rPr>
        <sz val="11"/>
        <color theme="1"/>
        <rFont val="Calibri"/>
        <family val="2"/>
        <charset val="1"/>
      </rPr>
      <t xml:space="preserve">GlobalFoundries</t>
    </r>
    <r>
      <rPr>
        <sz val="11"/>
        <color theme="1"/>
        <rFont val="Noto Sans CJK SC"/>
        <family val="2"/>
      </rPr>
      <t xml:space="preserve">）</t>
    </r>
  </si>
  <si>
    <t xml:space="preserve">GFS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</si>
  <si>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（抄自台積電模型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頁同業表）</t>
    </r>
  </si>
  <si>
    <r>
      <rPr>
        <sz val="11"/>
        <color theme="1"/>
        <rFont val="Noto Sans CJK SC"/>
        <family val="2"/>
      </rPr>
      <t xml:space="preserve">中芯國際（</t>
    </r>
    <r>
      <rPr>
        <sz val="11"/>
        <color theme="1"/>
        <rFont val="Calibri"/>
        <family val="2"/>
        <charset val="1"/>
      </rPr>
      <t xml:space="preserve">SMIC</t>
    </r>
    <r>
      <rPr>
        <sz val="11"/>
        <color theme="1"/>
        <rFont val="Noto Sans CJK SC"/>
        <family val="2"/>
      </rPr>
      <t xml:space="preserve">，港股）</t>
    </r>
  </si>
  <si>
    <t xml:space="preserve">0981.HK</t>
  </si>
  <si>
    <t xml:space="preserve">2026-10-16</t>
  </si>
  <si>
    <r>
      <rPr>
        <sz val="11"/>
        <color theme="1"/>
        <rFont val="Noto Sans CJK SC"/>
        <family val="2"/>
      </rPr>
      <t xml:space="preserve">高塔半導體（</t>
    </r>
    <r>
      <rPr>
        <sz val="11"/>
        <color theme="1"/>
        <rFont val="Calibri"/>
        <family val="2"/>
        <charset val="1"/>
      </rPr>
      <t xml:space="preserve">Tower</t>
    </r>
    <r>
      <rPr>
        <sz val="11"/>
        <color theme="1"/>
        <rFont val="Noto Sans CJK SC"/>
        <family val="2"/>
      </rPr>
      <t xml:space="preserve">）</t>
    </r>
  </si>
  <si>
    <t xml:space="preserve">TSEM</t>
  </si>
  <si>
    <t xml:space="preserve">2026-10-26</t>
  </si>
  <si>
    <r>
      <rPr>
        <sz val="11"/>
        <color theme="1"/>
        <rFont val="Noto Sans CJK SC"/>
        <family val="2"/>
      </rPr>
      <t xml:space="preserve">世界先進（</t>
    </r>
    <r>
      <rPr>
        <sz val="11"/>
        <color theme="1"/>
        <rFont val="Calibri"/>
        <family val="2"/>
        <charset val="1"/>
      </rPr>
      <t xml:space="preserve">VIS</t>
    </r>
    <r>
      <rPr>
        <sz val="11"/>
        <color theme="1"/>
        <rFont val="Noto Sans CJK SC"/>
        <family val="2"/>
      </rPr>
      <t xml:space="preserve">）</t>
    </r>
  </si>
  <si>
    <t xml:space="preserve">5347.TWO</t>
  </si>
  <si>
    <t xml:space="preserve">2026-09-11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</si>
  <si>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（價格日期如左；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月值未取得）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</si>
  <si>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</si>
  <si>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晶圓代工同業（台積電、格芯、中芯港股、高塔、世界先進）；不含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）；華虹（</t>
    </r>
    <r>
      <rPr>
        <sz val="11"/>
        <color theme="1"/>
        <rFont val="Calibri"/>
        <family val="2"/>
        <charset val="1"/>
      </rPr>
      <t xml:space="preserve">1347.HK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133.5 </t>
    </r>
    <r>
      <rPr>
        <sz val="11"/>
        <color theme="1"/>
        <rFont val="Noto Sans CJK SC"/>
        <family val="2"/>
      </rPr>
      <t xml:space="preserve">倍且資料日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，未列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</si>
  <si>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</si>
  <si>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</si>
  <si>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</si>
  <si>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</si>
  <si>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</si>
  <si>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</si>
  <si>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</si>
  <si>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（相對倍數調整後，見第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</si>
  <si>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</si>
  <si>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</si>
  <si>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</si>
  <si>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</si>
  <si>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</si>
  <si>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</si>
  <si>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</si>
  <si>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</si>
  <si>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</si>
  <si>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</si>
  <si>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</si>
  <si>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節兩來源平均）的分位；高於十年最大值記為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</si>
  <si>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</si>
  <si>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明確期＋永續；聯電資本密集，但本模型只有折舊路徑、沒有資本支出推導，未改用淨利＋折舊－資本支出（若擴產資本支出持續高於折舊，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偏高估）；情境價值負值取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：台積電、格芯、中芯（港股）、高塔、世界先進前瞻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中位數，再乘相對倍數調整係數（第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節；聯電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長期低於同業，係數觸及下限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）。主要偏誤：稼動率與售價屬公司層級假設（待併入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相關與 </t>
    </r>
    <r>
      <rPr>
        <sz val="11"/>
        <color theme="1"/>
        <rFont val="Calibri"/>
        <family val="2"/>
        <charset val="1"/>
      </rPr>
      <t xml:space="preserve">Intel 12 </t>
    </r>
    <r>
      <rPr>
        <sz val="11"/>
        <color theme="1"/>
        <rFont val="Noto Sans CJK SC"/>
        <family val="2"/>
      </rPr>
      <t xml:space="preserve">奈米為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路徑；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起只用收斂法。情境對應：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＝順利（稼動率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、售價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＝不如預期（中國成熟製程擴產、稼動率 </t>
    </r>
    <r>
      <rPr>
        <sz val="11"/>
        <color theme="1"/>
        <rFont val="Calibri"/>
        <family val="2"/>
        <charset val="1"/>
      </rPr>
      <t xml:space="preserve">76–82%</t>
    </r>
    <r>
      <rPr>
        <sz val="11"/>
        <color theme="1"/>
        <rFont val="Noto Sans CJK SC"/>
        <family val="2"/>
      </rPr>
      <t xml:space="preserve">、售價下跌）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</si>
  <si>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</si>
  <si>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</si>
  <si>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</si>
  <si>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</si>
  <si>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</si>
  <si>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</si>
  <si>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</si>
  <si>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</si>
  <si>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三情境差在稼動率、售價與新業務；顆數情境係數從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</si>
  <si>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</si>
  <si>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</si>
  <si>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</si>
  <si>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</si>
  <si>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</si>
  <si>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</si>
  <si>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</si>
  <si>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</si>
  <si>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</si>
  <si>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</si>
  <si>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</si>
  <si>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</si>
  <si>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</si>
  <si>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</si>
  <si>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</si>
  <si>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</si>
  <si>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</si>
  <si>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</si>
  <si>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</si>
  <si>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</si>
  <si>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</si>
  <si>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</si>
  <si>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</si>
  <si>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</si>
  <si>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</si>
  <si>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</si>
  <si>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</si>
  <si>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</si>
  <si>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</si>
  <si>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</si>
  <si>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stockanalysis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</si>
  <si>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</si>
  <si>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</si>
  <si>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</si>
  <si>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</si>
  <si>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</si>
  <si>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</si>
  <si>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</si>
  <si>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</si>
  <si>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</si>
  <si>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</si>
  <si>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</si>
  <si>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</si>
  <si>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。十年中位數約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高峰時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倍，典型的成熟製程循環股。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</si>
  <si>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</si>
  <si>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</si>
  <si>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</si>
  <si>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</si>
  <si>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</si>
  <si>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</si>
  <si>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</si>
  <si>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</si>
  <si>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</si>
  <si>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</si>
  <si>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</si>
  <si>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</si>
  <si>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</si>
  <si>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</si>
  <si>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</si>
  <si>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</si>
  <si>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</si>
  <si>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</si>
  <si>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</si>
  <si>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</si>
  <si>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</si>
  <si>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</si>
  <si>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</si>
  <si>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</si>
  <si>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</si>
  <si>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</si>
  <si>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</si>
  <si>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</si>
  <si>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</si>
  <si>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</si>
  <si>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</si>
  <si>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</si>
  <si>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</si>
  <si>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</si>
  <si>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</si>
  <si>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</si>
  <si>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</si>
  <si>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</si>
  <si>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</si>
  <si>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</si>
  <si>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</si>
  <si>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</si>
  <si>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</si>
  <si>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</si>
  <si>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</si>
  <si>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</si>
  <si>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</si>
  <si>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</si>
  <si>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</si>
  <si>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</si>
  <si>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聯電</t>
  </si>
  <si>
    <t xml:space="preserve">2303.TW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</si>
  <si>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</si>
  <si>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2303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</si>
  <si>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</si>
  <si>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2330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</si>
  <si>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GFS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</si>
  <si>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0981 HK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</si>
  <si>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未找到</t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</si>
  <si>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</si>
  <si>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</si>
  <si>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</si>
  <si>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</si>
  <si>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</si>
  <si>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</si>
  <si>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</si>
  <si>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</si>
  <si>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</si>
  <si>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</si>
  <si>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</si>
  <si>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</si>
  <si>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</si>
  <si>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</si>
  <si>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公司說法、共識、券商。只作事後對照，不為對上數字而調參數。券商與資料商數字為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</si>
  <si>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</si>
  <si>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</si>
  <si>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</si>
  <si>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</si>
  <si>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</si>
  <si>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</si>
  <si>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</si>
  <si>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</si>
  <si>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共識與券商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</si>
  <si>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</si>
  <si>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</si>
  <si>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共識資料日早於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</si>
  <si>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</si>
  <si>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</si>
  <si>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4.55–8.15</t>
    </r>
    <r>
      <rPr>
        <sz val="11"/>
        <color theme="1"/>
        <rFont val="Noto Sans CJK SC"/>
        <family val="2"/>
      </rPr>
      <t xml:space="preserve">；模型含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一次性業外（約 </t>
    </r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元）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</si>
  <si>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美系外資中點</t>
    </r>
  </si>
  <si>
    <t xml:space="preserve">7.46–7.68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</si>
  <si>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</si>
  <si>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</si>
  <si>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三欄同值（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</si>
  <si>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r>
      <rPr>
        <b val="true"/>
        <sz val="11"/>
        <rFont val="Cambria"/>
        <family val="0"/>
        <charset val="1"/>
      </rPr>
      <t xml:space="preserve">B. FY2027–29 vs </t>
    </r>
    <r>
      <rPr>
        <b val="true"/>
        <sz val="11"/>
        <rFont val="Noto Sans CJK SC"/>
        <family val="2"/>
      </rPr>
      <t xml:space="preserve">公司說法與券商（校準未使用）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</si>
  <si>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平均售價年增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公司約一成（百分點）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</si>
  <si>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</si>
  <si>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＝公司說法；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低於公司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</si>
  <si>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本土投顧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</si>
  <si>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共識：未找到</t>
    </r>
  </si>
  <si>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公司目標（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</si>
  <si>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（大摩轉述）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</si>
  <si>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乘同字母顆數係數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</si>
  <si>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模型（情境加權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</si>
  <si>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推得</t>
    </r>
  </si>
  <si>
    <t xml:space="preserve">三欄同值（情境加權）</t>
  </si>
  <si>
    <t xml:space="preserve">預留</t>
  </si>
  <si>
    <r>
      <rPr>
        <sz val="11"/>
        <color theme="1"/>
        <rFont val="Noto Sans CJK SC"/>
        <family val="2"/>
      </rPr>
      <t xml:space="preserve">成熟製程稼動率與價格的行業層（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）尚未建立：上線後以本模型稼動率、售價情境對照行業路徑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</si>
  <si>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</si>
  <si>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頁敏感度低／高值），三情境都在本頁下方逐案重算（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恆等於錨點，每片現金成本在每個案例內重算），表內為情境加權後的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（相對倍數調整後）與加權目標價；另列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</si>
  <si>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相對基準＝案例加權目標價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基準加權目標價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。目標價參數（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）三案只改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參數，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收斂法的 </t>
    </r>
    <r>
      <rPr>
        <sz val="11"/>
        <color theme="1"/>
        <rFont val="Calibri"/>
        <family val="2"/>
        <charset val="1"/>
      </rPr>
      <t xml:space="preserve">fade_g </t>
    </r>
    <r>
      <rPr>
        <sz val="11"/>
        <color theme="1"/>
        <rFont val="Noto Sans CJK SC"/>
        <family val="2"/>
      </rPr>
      <t xml:space="preserve">不隨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變動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</si>
  <si>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</si>
  <si>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</si>
  <si>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</si>
  <si>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</si>
  <si>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</si>
  <si>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</si>
  <si>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（調整後）目標價</t>
    </r>
  </si>
  <si>
    <t xml:space="preserve">加權目標價</t>
  </si>
  <si>
    <t xml:space="preserve">相對基準</t>
  </si>
  <si>
    <t xml:space="preserve">基準（三情境加權）</t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</si>
  <si>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頁三個推導區塊</t>
    </r>
  </si>
  <si>
    <t xml:space="preserve">匯率：低</t>
  </si>
  <si>
    <t xml:space="preserve">匯率：高</t>
  </si>
  <si>
    <t xml:space="preserve">產能係數：低</t>
  </si>
  <si>
    <t xml:space="preserve">產能係數：高</t>
  </si>
  <si>
    <t xml:space="preserve">稼動率調整：低</t>
  </si>
  <si>
    <t xml:space="preserve">稼動率調整：高</t>
  </si>
  <si>
    <t xml:space="preserve">售價水準調整：低</t>
  </si>
  <si>
    <t xml:space="preserve">售價水準調整：高</t>
  </si>
  <si>
    <t xml:space="preserve">折舊年增調整：低</t>
  </si>
  <si>
    <t xml:space="preserve">折舊年增調整：高</t>
  </si>
  <si>
    <t xml:space="preserve">每片現金成本年增：低</t>
  </si>
  <si>
    <t xml:space="preserve">每片現金成本年增：高</t>
  </si>
  <si>
    <t xml:space="preserve">營業費用彈性：低</t>
  </si>
  <si>
    <t xml:space="preserve">營業費用彈性：高</t>
  </si>
  <si>
    <t xml:space="preserve">營業外淨額：低</t>
  </si>
  <si>
    <t xml:space="preserve">營業外淨額：高</t>
  </si>
  <si>
    <t xml:space="preserve">稅率：低</t>
  </si>
  <si>
    <t xml:space="preserve">稅率：高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</si>
  <si>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相關營收係數：低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</si>
  <si>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相關營收係數：高</t>
    </r>
  </si>
  <si>
    <t xml:space="preserve">新業務邊際貢獻率：低</t>
  </si>
  <si>
    <t xml:space="preserve">新業務邊際貢獻率：高</t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</si>
  <si>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</si>
  <si>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</si>
  <si>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</si>
  <si>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</si>
  <si>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</si>
  <si>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</si>
  <si>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</si>
  <si>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</si>
  <si>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</si>
  <si>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</si>
  <si>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</si>
  <si>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</si>
  <si>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讀法：稼動率與售價是加權目標價最敏感的兩個輸入（固定成本高，稼動率每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個百分點、售價每 </t>
    </r>
    <r>
      <rPr>
        <sz val="11"/>
        <color theme="1"/>
        <rFont val="Calibri"/>
        <family val="2"/>
        <charset val="1"/>
      </rPr>
      <t xml:space="preserve">3% </t>
    </r>
    <r>
      <rPr>
        <sz val="11"/>
        <color theme="1"/>
        <rFont val="Noto Sans CJK SC"/>
        <family val="2"/>
      </rPr>
      <t xml:space="preserve">都直接落到毛利）；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相關與 </t>
    </r>
    <r>
      <rPr>
        <sz val="11"/>
        <color theme="1"/>
        <rFont val="Calibri"/>
        <family val="2"/>
        <charset val="1"/>
      </rPr>
      <t xml:space="preserve">Intel 12 </t>
    </r>
    <r>
      <rPr>
        <sz val="11"/>
        <color theme="1"/>
        <rFont val="Noto Sans CJK SC"/>
        <family val="2"/>
      </rPr>
      <t xml:space="preserve">奈米的影響小於售價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。</t>
    </r>
  </si>
  <si>
    <t xml:space="preserve">敏感度「逐案推導區塊」：以下每個案例三個情境各一個完整推導區塊（不是案例列）</t>
  </si>
  <si>
    <r>
      <rPr>
        <b val="true"/>
        <sz val="11"/>
        <rFont val="Noto Sans CJK SC"/>
        <family val="2"/>
      </rPr>
      <t xml:space="preserve">案例區塊：匯率：低（情境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</si>
  <si>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</si>
  <si>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</si>
  <si>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</si>
  <si>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</si>
  <si>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</si>
  <si>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案例區塊：產能係數：低（情境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</si>
  <si>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案例區塊：產能係數：低（情境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</si>
  <si>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案例區塊：產能係數：低（情境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</si>
  <si>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案例區塊：產能係數：高（情境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</si>
  <si>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案例區塊：產能係數：高（情境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</si>
  <si>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案例區塊：產能係數：高（情境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</si>
  <si>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案例區塊：稼動率調整：低（情境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</si>
  <si>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案例區塊：稼動率調整：低（情境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</si>
  <si>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案例區塊：稼動率調整：低（情境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</si>
  <si>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案例區塊：稼動率調整：高（情境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</si>
  <si>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案例區塊：稼動率調整：高（情境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</si>
  <si>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案例區塊：稼動率調整：高（情境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</si>
  <si>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案例區塊：售價水準調整：低（情境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</si>
  <si>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案例區塊：售價水準調整：低（情境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</si>
  <si>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案例區塊：售價水準調整：低（情境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</si>
  <si>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案例區塊：售價水準調整：高（情境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</si>
  <si>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案例區塊：售價水準調整：高（情境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</si>
  <si>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案例區塊：售價水準調整：高（情境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</si>
  <si>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案例區塊：折舊年增調整：低（情境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</si>
  <si>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案例區塊：折舊年增調整：低（情境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</si>
  <si>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案例區塊：折舊年增調整：低（情境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</si>
  <si>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案例區塊：折舊年增調整：高（情境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</si>
  <si>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案例區塊：折舊年增調整：高（情境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</si>
  <si>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案例區塊：折舊年增調整：高（情境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</si>
  <si>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案例區塊：每片現金成本年增：低（情境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</si>
  <si>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案例區塊：每片現金成本年增：低（情境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</si>
  <si>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案例區塊：每片現金成本年增：低（情境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</si>
  <si>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案例區塊：每片現金成本年增：高（情境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</si>
  <si>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案例區塊：每片現金成本年增：高（情境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</si>
  <si>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案例區塊：每片現金成本年增：高（情境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</si>
  <si>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</si>
  <si>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</si>
  <si>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</si>
  <si>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</si>
  <si>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</si>
  <si>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</si>
  <si>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案例區塊：營業外淨額：低（情境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</si>
  <si>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案例區塊：營業外淨額：低（情境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</si>
  <si>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案例區塊：營業外淨額：低（情境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</si>
  <si>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案例區塊：營業外淨額：高（情境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</si>
  <si>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案例區塊：營業外淨額：高（情境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</si>
  <si>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案例區塊：營業外淨額：高（情境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</si>
  <si>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</si>
  <si>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</si>
  <si>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</si>
  <si>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</si>
  <si>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</si>
  <si>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</si>
  <si>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相關營收係數：低（情境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</si>
  <si>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相關營收係數：低（情境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</si>
  <si>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相關營收係數：低（情境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</si>
  <si>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相關營收係數：高（情境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</si>
  <si>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相關營收係數：高（情境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</si>
  <si>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相關營收係數：高（情境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</si>
  <si>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案例區塊：新業務邊際貢獻率：低（情境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</si>
  <si>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案例區塊：新業務邊際貢獻率：低（情境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</si>
  <si>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案例區塊：新業務邊際貢獻率：低（情境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</si>
  <si>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案例區塊：新業務邊際貢獻率：高（情境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</si>
  <si>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案例區塊：新業務邊際貢獻率：高（情境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</si>
  <si>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案例區塊：新業務邊際貢獻率：高（情境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</si>
  <si>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來源（公司財報與法說內容部分為媒體轉述；券商、資料商、媒體皆為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</si>
  <si>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6-K 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；營收、毛利率、營業利益、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累計、稼動率 </t>
    </r>
    <r>
      <rPr>
        <sz val="11"/>
        <color theme="1"/>
        <rFont val="Calibri"/>
        <family val="2"/>
        <charset val="1"/>
      </rPr>
      <t xml:space="preserve">92%</t>
    </r>
    <r>
      <rPr>
        <sz val="11"/>
        <color theme="1"/>
        <rFont val="Noto Sans CJK SC"/>
        <family val="2"/>
      </rPr>
      <t xml:space="preserve">、出貨逾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指引、資本預算約 </t>
    </r>
    <r>
      <rPr>
        <sz val="11"/>
        <color theme="1"/>
        <rFont val="Calibri"/>
        <family val="2"/>
        <charset val="1"/>
      </rPr>
      <t xml:space="preserve">1,028 </t>
    </r>
    <r>
      <rPr>
        <sz val="11"/>
        <color theme="1"/>
        <rFont val="Noto Sans CJK SC"/>
        <family val="2"/>
      </rPr>
      <t xml:space="preserve">億元）</t>
    </r>
  </si>
  <si>
    <t xml:space="preserve">https://www.sec.gov/Archives/edgar/data/0001033767/000119312526434992/umc-ex99.htm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</si>
  <si>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6-K 2Q26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累計、稼動率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17.5%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P4</t>
    </r>
    <r>
      <rPr>
        <sz val="11"/>
        <color theme="1"/>
        <rFont val="Noto Sans CJK SC"/>
        <family val="2"/>
      </rPr>
      <t xml:space="preserve">／台南擴產預算 </t>
    </r>
    <r>
      <rPr>
        <sz val="11"/>
        <color theme="1"/>
        <rFont val="Calibri"/>
        <family val="2"/>
        <charset val="1"/>
      </rPr>
      <t xml:space="preserve">1,487 </t>
    </r>
    <r>
      <rPr>
        <sz val="11"/>
        <color theme="1"/>
        <rFont val="Noto Sans CJK SC"/>
        <family val="2"/>
      </rPr>
      <t xml:space="preserve">億元）</t>
    </r>
  </si>
  <si>
    <t xml:space="preserve">https://www.sec.gov/Archives/edgar/data/0001033767/000119312526322027/umc-ex99.htm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</si>
  <si>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6-K 1Q26 </t>
    </r>
    <r>
      <rPr>
        <sz val="11"/>
        <color theme="1"/>
        <rFont val="Noto Sans CJK SC"/>
        <family val="2"/>
      </rPr>
      <t xml:space="preserve">財報（稼動率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</si>
  <si>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https://www.sec.gov/Archives/edgar/data/0001033767/000119312526188788/umc-ex99.htm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</si>
  <si>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6-K 4Q25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618.1 </t>
    </r>
    <r>
      <rPr>
        <sz val="11"/>
        <color theme="1"/>
        <rFont val="Noto Sans CJK SC"/>
        <family val="2"/>
      </rPr>
      <t xml:space="preserve">億、稼動率 </t>
    </r>
    <r>
      <rPr>
        <sz val="11"/>
        <color theme="1"/>
        <rFont val="Calibri"/>
        <family val="2"/>
        <charset val="1"/>
      </rPr>
      <t xml:space="preserve">78%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36%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EPS 3.34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</si>
  <si>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https://www.sec.gov/Archives/edgar/data/1033767/000119312526025557/umc-ex99_1.htm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</si>
  <si>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年平均售價年增約一成、折舊與原物料成本上升）</t>
    </r>
  </si>
  <si>
    <t xml:space="preserve">https://uanalyze.com.tw/articles/9109557881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</si>
  <si>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投資與股利收益約 </t>
    </r>
    <r>
      <rPr>
        <sz val="11"/>
        <color theme="1"/>
        <rFont val="Calibri"/>
        <family val="2"/>
        <charset val="1"/>
      </rPr>
      <t xml:space="preserve">302 </t>
    </r>
    <r>
      <rPr>
        <sz val="11"/>
        <color theme="1"/>
        <rFont val="Noto Sans CJK SC"/>
        <family val="2"/>
      </rPr>
      <t xml:space="preserve">億）</t>
    </r>
  </si>
  <si>
    <t xml:space="preserve">https://uanalyze.com.tw/articles/6783952429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</si>
  <si>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Finsee 3Q26 </t>
    </r>
    <r>
      <rPr>
        <sz val="11"/>
        <color theme="1"/>
        <rFont val="Noto Sans CJK SC"/>
        <family val="2"/>
      </rPr>
      <t xml:space="preserve">財報摘要（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468.1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Intel 12 </t>
    </r>
    <r>
      <rPr>
        <sz val="11"/>
        <color theme="1"/>
        <rFont val="Noto Sans CJK SC"/>
        <family val="2"/>
      </rPr>
      <t xml:space="preserve">奈米先前時程、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億美元目標）</t>
    </r>
  </si>
  <si>
    <t xml:space="preserve">https://finsee.ai/earnings/umc/2026/q3/en/</t>
  </si>
  <si>
    <r>
      <rPr>
        <sz val="11"/>
        <color theme="1"/>
        <rFont val="Noto Sans CJK SC"/>
        <family val="2"/>
      </rPr>
      <t xml:space="preserve">券商轉述：科技新報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（摩根士丹利：目標價 </t>
    </r>
    <r>
      <rPr>
        <sz val="11"/>
        <color theme="1"/>
        <rFont val="Calibri"/>
        <family val="2"/>
        <charset val="1"/>
      </rPr>
      <t xml:space="preserve">188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年漲價）</t>
    </r>
  </si>
  <si>
    <t xml:space="preserve">https://finance.technews.tw/2026/10/06/morgan-stanley-increases-its-support-for-the-two-leading-semiconductor-foundries/</t>
  </si>
  <si>
    <r>
      <rPr>
        <sz val="11"/>
        <color theme="1"/>
        <rFont val="Noto Sans CJK SC"/>
        <family val="2"/>
      </rPr>
      <t xml:space="preserve">媒體：旺得富 </t>
    </r>
    <r>
      <rPr>
        <sz val="11"/>
        <color theme="1"/>
        <rFont val="Calibri"/>
        <family val="2"/>
        <charset val="1"/>
      </rPr>
      <t xml:space="preserve">2026-10-17</t>
    </r>
    <r>
      <rPr>
        <sz val="11"/>
        <color theme="1"/>
        <rFont val="Noto Sans CJK SC"/>
        <family val="2"/>
      </rPr>
      <t xml:space="preserve">（法人目標價 </t>
    </r>
    <r>
      <rPr>
        <sz val="11"/>
        <color theme="1"/>
        <rFont val="Calibri"/>
        <family val="2"/>
        <charset val="1"/>
      </rPr>
      <t xml:space="preserve">130–185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EPS 7.46–7.68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EPS 9.2</t>
    </r>
    <r>
      <rPr>
        <sz val="11"/>
        <color theme="1"/>
        <rFont val="Noto Sans CJK SC"/>
        <family val="2"/>
      </rPr>
      <t xml:space="preserve">、海外可轉債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億美元）</t>
    </r>
  </si>
  <si>
    <t xml:space="preserve">https://wantrich.chinatimes.com/news/20261017900003-420101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</si>
  <si>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（股價、前瞻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</si>
  <si>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https://stockanalysis.com/quote/tpe/2303/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https://stockanalysis.com/quote/tpe/2303/forecast/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https://stockanalysis.com/quote/tpe/2303/financials/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https://stockanalysis.com/quote/tpe/2303/financials/ratios/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https://stockanalysis.com/quote/tpe/2303/history/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</si>
  <si>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0981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TSEM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5347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</si>
  <si>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https://stockanalysis.com/quote/tpe/2330/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https://stockanalysis.com/stocks/gfs/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https://stockanalysis.com/quote/hkg/0981/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https://stockanalysis.com/stocks/tsem/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https://stockanalysis.com/quote/tpex/5347/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</si>
  <si>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</si>
  <si>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https://companiesmarketcap.com/united-microelectronics/pe-ratio/</t>
  </si>
  <si>
    <r>
      <rPr>
        <sz val="11"/>
        <color theme="1"/>
        <rFont val="Noto Sans CJK SC"/>
        <family val="2"/>
      </rPr>
      <t xml:space="preserve">行業層：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快照（匯率 </t>
    </r>
    <r>
      <rPr>
        <sz val="11"/>
        <color theme="1"/>
        <rFont val="Calibri"/>
        <family val="2"/>
        <charset val="1"/>
      </rPr>
      <t xml:space="preserve">fx_twd</t>
    </r>
    <r>
      <rPr>
        <sz val="11"/>
        <color theme="1"/>
        <rFont val="Noto Sans CJK SC"/>
        <family val="2"/>
      </rPr>
      <t xml:space="preserve">、顆數係數 </t>
    </r>
    <r>
      <rPr>
        <sz val="11"/>
        <color theme="1"/>
        <rFont val="Calibri"/>
        <family val="2"/>
        <charset val="1"/>
      </rPr>
      <t xml:space="preserve">um28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；本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</si>
  <si>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siliconomics/data/CURRENT_SNAPSHOT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siliconomics/reader.py</t>
    </r>
  </si>
  <si>
    <r>
      <rPr>
        <sz val="11"/>
        <color theme="1"/>
        <rFont val="Noto Sans CJK SC"/>
        <family val="2"/>
      </rPr>
      <t xml:space="preserve">待補（人工）：產能（公司未揭露）、各製程比重（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奈米以上）、應用別與地區別營收、</t>
    </r>
    <r>
      <rPr>
        <sz val="11"/>
        <color theme="1"/>
        <rFont val="Calibri"/>
        <family val="2"/>
        <charset val="1"/>
      </rPr>
      <t xml:space="preserve">Fab12i P3 </t>
    </r>
    <r>
      <rPr>
        <sz val="11"/>
        <color theme="1"/>
        <rFont val="Noto Sans CJK SC"/>
        <family val="2"/>
      </rPr>
      <t xml:space="preserve">量產時程、</t>
    </r>
    <r>
      <rPr>
        <sz val="11"/>
        <color theme="1"/>
        <rFont val="Calibri"/>
        <family val="2"/>
        <charset val="1"/>
      </rPr>
      <t xml:space="preserve">Intel 12 </t>
    </r>
    <r>
      <rPr>
        <sz val="11"/>
        <color theme="1"/>
        <rFont val="Noto Sans CJK SC"/>
        <family val="2"/>
      </rPr>
      <t xml:space="preserve">奈米營收分配方式、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折舊、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起共識、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淨利率（十年平均）、海外可轉債轉換價、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以後收盤價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</si>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</sst>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.0"/>
    <numFmt numFmtId="166" formatCode="0.00000"/>
    <numFmt numFmtId="167" formatCode="0.00%"/>
    <numFmt numFmtId="168" formatCode="General"/>
    <numFmt numFmtId="169" formatCode="#,##0.000"/>
    <numFmt numFmtId="170" formatCode="0.0%"/>
    <numFmt numFmtId="171" formatCode="#,##0"/>
    <numFmt numFmtId="172" formatCode="#,##0.00"/>
    <numFmt numFmtId="173" formatCode="0.000"/>
    <numFmt numFmtId="174" formatCode="0.00"/>
    <numFmt numFmtId="175" formatCode="0.0000"/>
    <numFmt numFmtId="176" formatCode="0.0"/>
    <numFmt numFmtId="177" formatCode="@"/>
    <numFmt numFmtId="178" formatCode="0%"/>
    <numFmt numFmtId="17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7.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7.15" hidden="false" customHeight="false" outlineLevel="0" collapsed="false">
      <c r="A19" s="1" t="s">
        <v>14</v>
      </c>
    </row>
    <row r="20" customFormat="false" ht="17.15" hidden="false" customHeight="false" outlineLevel="0" collapsed="false">
      <c r="A20" s="2" t="s">
        <v>15</v>
      </c>
    </row>
    <row r="21" customFormat="false" ht="17.15" hidden="false" customHeight="false" outlineLevel="0" collapsed="false">
      <c r="A21" s="2" t="s">
        <v>16</v>
      </c>
    </row>
    <row r="23" customFormat="false" ht="15" hidden="false" customHeight="false" outlineLevel="0" collapsed="false">
      <c r="A23" s="1" t="str">
        <f aca="false">"投資建議："&amp;Val!B135&amp;"（依上檔空間固定規則）"</f>
        <v>投資建議：放空（依上檔空間固定規則）</v>
      </c>
    </row>
    <row r="24" customFormat="false" ht="17.15" hidden="false" customHeight="false" outlineLevel="0" collapsed="false">
      <c r="A24" s="0" t="str">
        <f aca="false">"重點觀察 1：目標價 NT$"&amp;TEXT(Val!$B$39,"#,##0.00")&amp;"（DCF "&amp;TEXT(Val!$B$24,"#,##0.00")&amp;"、Comparable（相對倍數調整後）"&amp;TEXT(tp_comp_adj,"#,##0.00")&amp;"；DCF 權重 "&amp;TEXT(tp_w_dcf,"0%")&amp;"），比現價 "&amp;TEXT(px,"#,##0.00")&amp;"（2026-10-22）"&amp;IF(Val!$B$42&gt;=0,"高 "&amp;TEXT(Val!$B$42,"0.0%"),"低 "&amp;TEXT(-Val!$B$42,"0.0%"))&amp;"，級距 "&amp;Val!$B$134&amp;"、投資建議 "&amp;Val!$B$135&amp;"。相對倍數調整係數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</f>
        <v>重點觀察 1：目標價 NT$76.40（DCF 82.47、Comparable（相對倍數調整後）70.34；DCF 權重 50%），比現價 125.50（2026-10-22）低 39.1%，級距 −25%～−50%、投資建議 放空。相對倍數調整係數 0.50（本公司 10 年前瞻倍數中位數 ÷ 同業的中位數，夾在 0.5–2.0；Val 第 0.5 節），調整前加權上檔空間 −11.1%；Comparable 單獨（市場主流同業法、未調整）為 +12.1%。</v>
      </c>
    </row>
    <row r="25" customFormat="false" ht="17.15" hidden="false" customHeight="false" outlineLevel="0" collapsed="false">
      <c r="A25" s="3" t="s">
        <v>17</v>
      </c>
    </row>
    <row r="26" customFormat="false" ht="17.15" hidden="false" customHeight="false" outlineLevel="0" collapsed="false">
      <c r="A26" s="3" t="s">
        <v>18</v>
      </c>
    </row>
    <row r="28" customFormat="false" ht="17.15" hidden="false" customHeight="false" outlineLevel="0" collapsed="false">
      <c r="A28" s="3" t="s">
        <v>19</v>
      </c>
    </row>
    <row r="30" customFormat="false" ht="17.15" hidden="false" customHeight="false" outlineLevel="0" collapsed="false">
      <c r="A30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3" t="s">
        <v>22</v>
      </c>
    </row>
    <row r="3" customFormat="false" ht="17.1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customFormat="false" ht="17.15" hidden="false" customHeight="false" outlineLevel="0" collapsed="false">
      <c r="A4" s="5" t="s">
        <v>32</v>
      </c>
    </row>
    <row r="5" customFormat="false" ht="17.15" hidden="false" customHeight="false" outlineLevel="0" collapsed="false">
      <c r="A5" s="0" t="s">
        <v>33</v>
      </c>
      <c r="B5" s="3" t="s">
        <v>34</v>
      </c>
      <c r="C5" s="0" t="s">
        <v>35</v>
      </c>
      <c r="D5" s="6" t="n">
        <v>30.5</v>
      </c>
      <c r="E5" s="6" t="n">
        <v>32</v>
      </c>
      <c r="F5" s="6" t="n">
        <v>33</v>
      </c>
      <c r="G5" s="7" t="s">
        <v>36</v>
      </c>
      <c r="H5" s="7" t="s">
        <v>37</v>
      </c>
      <c r="I5" s="7" t="s">
        <v>38</v>
      </c>
    </row>
    <row r="6" customFormat="false" ht="17.15" hidden="false" customHeight="false" outlineLevel="0" collapsed="false">
      <c r="A6" s="0" t="s">
        <v>39</v>
      </c>
      <c r="B6" s="3" t="s">
        <v>40</v>
      </c>
      <c r="C6" s="0" t="s">
        <v>41</v>
      </c>
      <c r="E6" s="6" t="n">
        <v>1</v>
      </c>
      <c r="G6" s="7" t="s">
        <v>42</v>
      </c>
      <c r="H6" s="7" t="s">
        <v>43</v>
      </c>
      <c r="I6" s="7" t="s">
        <v>44</v>
      </c>
    </row>
    <row r="7" customFormat="false" ht="17.15" hidden="false" customHeight="false" outlineLevel="0" collapsed="false">
      <c r="A7" s="0" t="s">
        <v>45</v>
      </c>
      <c r="B7" s="3" t="s">
        <v>46</v>
      </c>
      <c r="C7" s="0" t="s">
        <v>41</v>
      </c>
      <c r="E7" s="6" t="n">
        <v>1</v>
      </c>
      <c r="G7" s="7" t="s">
        <v>42</v>
      </c>
      <c r="H7" s="7" t="s">
        <v>47</v>
      </c>
      <c r="I7" s="3" t="s">
        <v>48</v>
      </c>
    </row>
    <row r="8" customFormat="false" ht="17.15" hidden="false" customHeight="false" outlineLevel="0" collapsed="false">
      <c r="A8" s="0" t="s">
        <v>49</v>
      </c>
      <c r="B8" s="3" t="s">
        <v>50</v>
      </c>
      <c r="C8" s="0" t="s">
        <v>41</v>
      </c>
      <c r="E8" s="6" t="n">
        <v>0.8</v>
      </c>
      <c r="G8" s="7" t="s">
        <v>36</v>
      </c>
      <c r="H8" s="7" t="s">
        <v>51</v>
      </c>
      <c r="I8" s="3" t="s">
        <v>48</v>
      </c>
    </row>
    <row r="9" customFormat="false" ht="17.15" hidden="false" customHeight="false" outlineLevel="0" collapsed="false">
      <c r="A9" s="0" t="s">
        <v>52</v>
      </c>
      <c r="B9" s="3" t="s">
        <v>53</v>
      </c>
      <c r="C9" s="0" t="s">
        <v>41</v>
      </c>
      <c r="E9" s="6" t="n">
        <v>0.85</v>
      </c>
      <c r="G9" s="7" t="s">
        <v>36</v>
      </c>
      <c r="H9" s="7" t="s">
        <v>54</v>
      </c>
      <c r="I9" s="3" t="s">
        <v>48</v>
      </c>
    </row>
    <row r="10" customFormat="false" ht="17.15" hidden="false" customHeight="false" outlineLevel="0" collapsed="false">
      <c r="A10" s="0" t="s">
        <v>55</v>
      </c>
      <c r="B10" s="3" t="s">
        <v>56</v>
      </c>
      <c r="C10" s="0" t="s">
        <v>41</v>
      </c>
      <c r="E10" s="6" t="n">
        <v>0.6</v>
      </c>
      <c r="G10" s="7" t="s">
        <v>36</v>
      </c>
      <c r="H10" s="7" t="s">
        <v>57</v>
      </c>
      <c r="I10" s="3" t="s">
        <v>48</v>
      </c>
    </row>
    <row r="11" customFormat="false" ht="17.15" hidden="false" customHeight="false" outlineLevel="0" collapsed="false">
      <c r="A11" s="0" t="s">
        <v>58</v>
      </c>
      <c r="B11" s="3" t="s">
        <v>59</v>
      </c>
      <c r="C11" s="0" t="s">
        <v>41</v>
      </c>
      <c r="E11" s="6" t="n">
        <v>0.6</v>
      </c>
      <c r="G11" s="7" t="s">
        <v>36</v>
      </c>
      <c r="H11" s="7" t="s">
        <v>60</v>
      </c>
      <c r="I11" s="3" t="s">
        <v>48</v>
      </c>
    </row>
    <row r="12" customFormat="false" ht="17.15" hidden="false" customHeight="false" outlineLevel="0" collapsed="false">
      <c r="A12" s="5" t="s">
        <v>61</v>
      </c>
    </row>
    <row r="13" customFormat="false" ht="17.15" hidden="false" customHeight="false" outlineLevel="0" collapsed="false">
      <c r="A13" s="0" t="s">
        <v>62</v>
      </c>
      <c r="B13" s="0" t="s">
        <v>63</v>
      </c>
      <c r="C13" s="3" t="s">
        <v>64</v>
      </c>
      <c r="E13" s="8" t="n">
        <f aca="false">Q!G7</f>
        <v>5230.46851955216</v>
      </c>
      <c r="G13" s="7" t="s">
        <v>42</v>
      </c>
      <c r="H13" s="7" t="s">
        <v>65</v>
      </c>
      <c r="I13" s="3" t="s">
        <v>66</v>
      </c>
    </row>
    <row r="14" customFormat="false" ht="17.15" hidden="false" customHeight="false" outlineLevel="0" collapsed="false">
      <c r="A14" s="0" t="s">
        <v>67</v>
      </c>
      <c r="B14" s="0" t="s">
        <v>68</v>
      </c>
      <c r="C14" s="0" t="s">
        <v>69</v>
      </c>
      <c r="E14" s="6" t="n">
        <v>0.04</v>
      </c>
      <c r="G14" s="7" t="s">
        <v>36</v>
      </c>
      <c r="H14" s="3" t="s">
        <v>70</v>
      </c>
      <c r="I14" s="3" t="s">
        <v>71</v>
      </c>
    </row>
    <row r="15" customFormat="false" ht="17.15" hidden="false" customHeight="false" outlineLevel="0" collapsed="false">
      <c r="A15" s="0" t="s">
        <v>72</v>
      </c>
      <c r="B15" s="0" t="s">
        <v>73</v>
      </c>
      <c r="C15" s="0" t="s">
        <v>69</v>
      </c>
      <c r="E15" s="6" t="n">
        <v>0.07</v>
      </c>
      <c r="G15" s="7" t="s">
        <v>36</v>
      </c>
      <c r="H15" s="3" t="s">
        <v>74</v>
      </c>
      <c r="I15" s="3" t="s">
        <v>71</v>
      </c>
    </row>
    <row r="16" customFormat="false" ht="17.15" hidden="false" customHeight="false" outlineLevel="0" collapsed="false">
      <c r="A16" s="0" t="s">
        <v>75</v>
      </c>
      <c r="B16" s="0" t="s">
        <v>76</v>
      </c>
      <c r="C16" s="0" t="s">
        <v>69</v>
      </c>
      <c r="E16" s="6" t="n">
        <v>0.07</v>
      </c>
      <c r="G16" s="7" t="s">
        <v>36</v>
      </c>
      <c r="H16" s="3" t="s">
        <v>48</v>
      </c>
      <c r="I16" s="3" t="s">
        <v>71</v>
      </c>
    </row>
    <row r="17" customFormat="false" ht="17.15" hidden="false" customHeight="false" outlineLevel="0" collapsed="false">
      <c r="A17" s="0" t="s">
        <v>77</v>
      </c>
      <c r="B17" s="3" t="s">
        <v>78</v>
      </c>
      <c r="C17" s="0" t="s">
        <v>41</v>
      </c>
      <c r="D17" s="6" t="n">
        <v>0.95</v>
      </c>
      <c r="E17" s="6" t="n">
        <v>1</v>
      </c>
      <c r="F17" s="6" t="n">
        <v>1.05</v>
      </c>
      <c r="G17" s="7" t="s">
        <v>36</v>
      </c>
      <c r="H17" s="3" t="s">
        <v>79</v>
      </c>
      <c r="I17" s="7" t="s">
        <v>80</v>
      </c>
    </row>
    <row r="18" customFormat="false" ht="17.15" hidden="false" customHeight="false" outlineLevel="0" collapsed="false">
      <c r="A18" s="0" t="s">
        <v>81</v>
      </c>
      <c r="B18" s="0" t="s">
        <v>82</v>
      </c>
      <c r="C18" s="0" t="s">
        <v>69</v>
      </c>
      <c r="E18" s="6" t="n">
        <v>0.95</v>
      </c>
      <c r="G18" s="7" t="s">
        <v>36</v>
      </c>
      <c r="H18" s="3" t="s">
        <v>83</v>
      </c>
      <c r="I18" s="7" t="s">
        <v>84</v>
      </c>
    </row>
    <row r="19" customFormat="false" ht="17.15" hidden="false" customHeight="false" outlineLevel="0" collapsed="false">
      <c r="A19" s="0" t="s">
        <v>85</v>
      </c>
      <c r="B19" s="0" t="s">
        <v>86</v>
      </c>
      <c r="C19" s="0" t="s">
        <v>69</v>
      </c>
      <c r="E19" s="6" t="n">
        <v>0.9</v>
      </c>
      <c r="G19" s="7" t="s">
        <v>36</v>
      </c>
      <c r="H19" s="3" t="s">
        <v>48</v>
      </c>
      <c r="I19" s="3" t="s">
        <v>87</v>
      </c>
    </row>
    <row r="20" customFormat="false" ht="17.15" hidden="false" customHeight="false" outlineLevel="0" collapsed="false">
      <c r="A20" s="0" t="s">
        <v>88</v>
      </c>
      <c r="B20" s="0" t="s">
        <v>89</v>
      </c>
      <c r="C20" s="0" t="s">
        <v>69</v>
      </c>
      <c r="E20" s="6" t="n">
        <v>0.82</v>
      </c>
      <c r="G20" s="7" t="s">
        <v>36</v>
      </c>
      <c r="H20" s="3" t="s">
        <v>48</v>
      </c>
      <c r="I20" s="3" t="s">
        <v>87</v>
      </c>
    </row>
    <row r="21" customFormat="false" ht="17.15" hidden="false" customHeight="false" outlineLevel="0" collapsed="false">
      <c r="A21" s="0" t="s">
        <v>90</v>
      </c>
      <c r="B21" s="0" t="s">
        <v>91</v>
      </c>
      <c r="C21" s="0" t="s">
        <v>69</v>
      </c>
      <c r="E21" s="6" t="n">
        <v>0.94</v>
      </c>
      <c r="G21" s="7" t="s">
        <v>36</v>
      </c>
      <c r="H21" s="3" t="s">
        <v>48</v>
      </c>
      <c r="I21" s="7" t="s">
        <v>84</v>
      </c>
    </row>
    <row r="22" customFormat="false" ht="17.15" hidden="false" customHeight="false" outlineLevel="0" collapsed="false">
      <c r="A22" s="0" t="s">
        <v>92</v>
      </c>
      <c r="B22" s="0" t="s">
        <v>93</v>
      </c>
      <c r="C22" s="0" t="s">
        <v>69</v>
      </c>
      <c r="E22" s="6" t="n">
        <v>0.87</v>
      </c>
      <c r="G22" s="7" t="s">
        <v>36</v>
      </c>
      <c r="H22" s="3" t="s">
        <v>48</v>
      </c>
      <c r="I22" s="3" t="s">
        <v>87</v>
      </c>
    </row>
    <row r="23" customFormat="false" ht="17.15" hidden="false" customHeight="false" outlineLevel="0" collapsed="false">
      <c r="A23" s="0" t="s">
        <v>94</v>
      </c>
      <c r="B23" s="0" t="s">
        <v>95</v>
      </c>
      <c r="C23" s="0" t="s">
        <v>69</v>
      </c>
      <c r="E23" s="6" t="n">
        <v>0.76</v>
      </c>
      <c r="G23" s="7" t="s">
        <v>36</v>
      </c>
      <c r="H23" s="3" t="s">
        <v>48</v>
      </c>
      <c r="I23" s="3" t="s">
        <v>87</v>
      </c>
    </row>
    <row r="24" customFormat="false" ht="17.15" hidden="false" customHeight="false" outlineLevel="0" collapsed="false">
      <c r="A24" s="0" t="s">
        <v>96</v>
      </c>
      <c r="B24" s="0" t="s">
        <v>97</v>
      </c>
      <c r="C24" s="0" t="s">
        <v>69</v>
      </c>
      <c r="E24" s="6" t="n">
        <v>0.93</v>
      </c>
      <c r="G24" s="7" t="s">
        <v>36</v>
      </c>
      <c r="H24" s="3" t="s">
        <v>48</v>
      </c>
      <c r="I24" s="7" t="s">
        <v>84</v>
      </c>
    </row>
    <row r="25" customFormat="false" ht="17.15" hidden="false" customHeight="false" outlineLevel="0" collapsed="false">
      <c r="A25" s="0" t="s">
        <v>98</v>
      </c>
      <c r="B25" s="0" t="s">
        <v>99</v>
      </c>
      <c r="C25" s="0" t="s">
        <v>69</v>
      </c>
      <c r="E25" s="6" t="n">
        <v>0.88</v>
      </c>
      <c r="G25" s="7" t="s">
        <v>36</v>
      </c>
      <c r="H25" s="3" t="s">
        <v>48</v>
      </c>
      <c r="I25" s="3" t="s">
        <v>87</v>
      </c>
    </row>
    <row r="26" customFormat="false" ht="17.15" hidden="false" customHeight="false" outlineLevel="0" collapsed="false">
      <c r="A26" s="0" t="s">
        <v>100</v>
      </c>
      <c r="B26" s="0" t="s">
        <v>101</v>
      </c>
      <c r="C26" s="0" t="s">
        <v>69</v>
      </c>
      <c r="E26" s="6" t="n">
        <v>0.8</v>
      </c>
      <c r="G26" s="7" t="s">
        <v>36</v>
      </c>
      <c r="H26" s="3" t="s">
        <v>48</v>
      </c>
      <c r="I26" s="3" t="s">
        <v>87</v>
      </c>
    </row>
    <row r="27" customFormat="false" ht="17.15" hidden="false" customHeight="false" outlineLevel="0" collapsed="false">
      <c r="A27" s="0" t="s">
        <v>102</v>
      </c>
      <c r="B27" s="3" t="s">
        <v>103</v>
      </c>
      <c r="C27" s="0" t="s">
        <v>104</v>
      </c>
      <c r="D27" s="6" t="n">
        <v>-0.03</v>
      </c>
      <c r="E27" s="6" t="n">
        <v>0</v>
      </c>
      <c r="F27" s="6" t="n">
        <v>0.03</v>
      </c>
      <c r="G27" s="7" t="s">
        <v>36</v>
      </c>
      <c r="H27" s="3" t="s">
        <v>79</v>
      </c>
      <c r="I27" s="7" t="s">
        <v>105</v>
      </c>
    </row>
    <row r="28" customFormat="false" ht="17.15" hidden="false" customHeight="false" outlineLevel="0" collapsed="false">
      <c r="A28" s="5" t="s">
        <v>106</v>
      </c>
    </row>
    <row r="29" customFormat="false" ht="17.15" hidden="false" customHeight="false" outlineLevel="0" collapsed="false">
      <c r="A29" s="0" t="s">
        <v>107</v>
      </c>
      <c r="B29" s="0" t="s">
        <v>108</v>
      </c>
      <c r="C29" s="0" t="s">
        <v>109</v>
      </c>
      <c r="E29" s="0" t="n">
        <f aca="false">(a26_rev-ai_26*fx_26)/a26_ship/fx_26*1000000</f>
        <v>1878.17486396824</v>
      </c>
      <c r="G29" s="0" t="s">
        <v>42</v>
      </c>
      <c r="H29" s="3" t="s">
        <v>110</v>
      </c>
      <c r="I29" s="3" t="s">
        <v>111</v>
      </c>
    </row>
    <row r="30" customFormat="false" ht="17.15" hidden="false" customHeight="false" outlineLevel="0" collapsed="false">
      <c r="A30" s="0" t="s">
        <v>112</v>
      </c>
      <c r="B30" s="0" t="s">
        <v>113</v>
      </c>
      <c r="C30" s="0" t="s">
        <v>69</v>
      </c>
      <c r="E30" s="6" t="n">
        <v>0.1</v>
      </c>
      <c r="G30" s="7" t="s">
        <v>36</v>
      </c>
      <c r="H30" s="3" t="s">
        <v>114</v>
      </c>
      <c r="I30" s="7" t="s">
        <v>115</v>
      </c>
    </row>
    <row r="31" customFormat="false" ht="17.15" hidden="false" customHeight="false" outlineLevel="0" collapsed="false">
      <c r="A31" s="0" t="s">
        <v>116</v>
      </c>
      <c r="B31" s="0" t="s">
        <v>117</v>
      </c>
      <c r="C31" s="0" t="s">
        <v>69</v>
      </c>
      <c r="E31" s="6" t="n">
        <v>0.05</v>
      </c>
      <c r="G31" s="7" t="s">
        <v>36</v>
      </c>
      <c r="H31" s="3" t="s">
        <v>48</v>
      </c>
      <c r="I31" s="3" t="s">
        <v>87</v>
      </c>
    </row>
    <row r="32" customFormat="false" ht="17.15" hidden="false" customHeight="false" outlineLevel="0" collapsed="false">
      <c r="A32" s="0" t="s">
        <v>118</v>
      </c>
      <c r="B32" s="0" t="s">
        <v>119</v>
      </c>
      <c r="C32" s="0" t="s">
        <v>69</v>
      </c>
      <c r="E32" s="6" t="n">
        <v>0</v>
      </c>
      <c r="G32" s="7" t="s">
        <v>36</v>
      </c>
      <c r="H32" s="3" t="s">
        <v>48</v>
      </c>
      <c r="I32" s="3" t="s">
        <v>87</v>
      </c>
    </row>
    <row r="33" customFormat="false" ht="17.15" hidden="false" customHeight="false" outlineLevel="0" collapsed="false">
      <c r="A33" s="0" t="s">
        <v>120</v>
      </c>
      <c r="B33" s="0" t="s">
        <v>121</v>
      </c>
      <c r="C33" s="0" t="s">
        <v>69</v>
      </c>
      <c r="E33" s="6" t="n">
        <v>0.03</v>
      </c>
      <c r="G33" s="7" t="s">
        <v>36</v>
      </c>
      <c r="H33" s="3" t="s">
        <v>48</v>
      </c>
      <c r="I33" s="7" t="s">
        <v>115</v>
      </c>
    </row>
    <row r="34" customFormat="false" ht="17.15" hidden="false" customHeight="false" outlineLevel="0" collapsed="false">
      <c r="A34" s="0" t="s">
        <v>122</v>
      </c>
      <c r="B34" s="0" t="s">
        <v>123</v>
      </c>
      <c r="C34" s="0" t="s">
        <v>69</v>
      </c>
      <c r="E34" s="6" t="n">
        <v>0</v>
      </c>
      <c r="G34" s="7" t="s">
        <v>36</v>
      </c>
      <c r="H34" s="3" t="s">
        <v>48</v>
      </c>
      <c r="I34" s="3" t="s">
        <v>87</v>
      </c>
    </row>
    <row r="35" customFormat="false" ht="17.15" hidden="false" customHeight="false" outlineLevel="0" collapsed="false">
      <c r="A35" s="0" t="s">
        <v>124</v>
      </c>
      <c r="B35" s="0" t="s">
        <v>125</v>
      </c>
      <c r="C35" s="0" t="s">
        <v>69</v>
      </c>
      <c r="E35" s="6" t="n">
        <v>-0.06</v>
      </c>
      <c r="G35" s="7" t="s">
        <v>36</v>
      </c>
      <c r="H35" s="3" t="s">
        <v>48</v>
      </c>
      <c r="I35" s="3" t="s">
        <v>87</v>
      </c>
    </row>
    <row r="36" customFormat="false" ht="17.15" hidden="false" customHeight="false" outlineLevel="0" collapsed="false">
      <c r="A36" s="0" t="s">
        <v>126</v>
      </c>
      <c r="B36" s="0" t="s">
        <v>127</v>
      </c>
      <c r="C36" s="0" t="s">
        <v>69</v>
      </c>
      <c r="E36" s="6" t="n">
        <v>0.02</v>
      </c>
      <c r="G36" s="7" t="s">
        <v>36</v>
      </c>
      <c r="H36" s="3" t="s">
        <v>48</v>
      </c>
      <c r="I36" s="7" t="s">
        <v>115</v>
      </c>
    </row>
    <row r="37" customFormat="false" ht="17.15" hidden="false" customHeight="false" outlineLevel="0" collapsed="false">
      <c r="A37" s="0" t="s">
        <v>128</v>
      </c>
      <c r="B37" s="0" t="s">
        <v>129</v>
      </c>
      <c r="C37" s="0" t="s">
        <v>69</v>
      </c>
      <c r="E37" s="6" t="n">
        <v>0</v>
      </c>
      <c r="G37" s="7" t="s">
        <v>36</v>
      </c>
      <c r="H37" s="3" t="s">
        <v>48</v>
      </c>
      <c r="I37" s="3" t="s">
        <v>87</v>
      </c>
    </row>
    <row r="38" customFormat="false" ht="17.15" hidden="false" customHeight="false" outlineLevel="0" collapsed="false">
      <c r="A38" s="0" t="s">
        <v>130</v>
      </c>
      <c r="B38" s="0" t="s">
        <v>131</v>
      </c>
      <c r="C38" s="0" t="s">
        <v>69</v>
      </c>
      <c r="E38" s="6" t="n">
        <v>-0.03</v>
      </c>
      <c r="G38" s="7" t="s">
        <v>36</v>
      </c>
      <c r="H38" s="3" t="s">
        <v>48</v>
      </c>
      <c r="I38" s="3" t="s">
        <v>87</v>
      </c>
    </row>
    <row r="39" customFormat="false" ht="17.15" hidden="false" customHeight="false" outlineLevel="0" collapsed="false">
      <c r="A39" s="0" t="s">
        <v>132</v>
      </c>
      <c r="B39" s="3" t="s">
        <v>133</v>
      </c>
      <c r="C39" s="0" t="s">
        <v>69</v>
      </c>
      <c r="D39" s="6" t="n">
        <v>-0.03</v>
      </c>
      <c r="E39" s="6" t="n">
        <v>0</v>
      </c>
      <c r="F39" s="6" t="n">
        <v>0.03</v>
      </c>
      <c r="G39" s="7" t="s">
        <v>36</v>
      </c>
      <c r="H39" s="3" t="s">
        <v>79</v>
      </c>
      <c r="I39" s="7" t="s">
        <v>134</v>
      </c>
    </row>
    <row r="40" customFormat="false" ht="17.15" hidden="false" customHeight="false" outlineLevel="0" collapsed="false">
      <c r="A40" s="5" t="s">
        <v>135</v>
      </c>
    </row>
    <row r="41" customFormat="false" ht="17.15" hidden="false" customHeight="false" outlineLevel="0" collapsed="false">
      <c r="A41" s="0" t="s">
        <v>136</v>
      </c>
      <c r="B41" s="0" t="s">
        <v>137</v>
      </c>
      <c r="C41" s="0" t="s">
        <v>138</v>
      </c>
      <c r="E41" s="6" t="n">
        <v>0.3</v>
      </c>
      <c r="G41" s="7" t="s">
        <v>139</v>
      </c>
      <c r="H41" s="3" t="s">
        <v>140</v>
      </c>
      <c r="I41" s="3" t="s">
        <v>141</v>
      </c>
    </row>
    <row r="42" customFormat="false" ht="17.15" hidden="false" customHeight="false" outlineLevel="0" collapsed="false">
      <c r="A42" s="0" t="s">
        <v>142</v>
      </c>
      <c r="B42" s="0" t="s">
        <v>143</v>
      </c>
      <c r="C42" s="0" t="s">
        <v>69</v>
      </c>
      <c r="E42" s="6" t="n">
        <v>0.6</v>
      </c>
      <c r="G42" s="7" t="s">
        <v>36</v>
      </c>
      <c r="H42" s="7" t="s">
        <v>144</v>
      </c>
      <c r="I42" s="7" t="s">
        <v>145</v>
      </c>
    </row>
    <row r="43" customFormat="false" ht="17.15" hidden="false" customHeight="false" outlineLevel="0" collapsed="false">
      <c r="A43" s="0" t="s">
        <v>146</v>
      </c>
      <c r="B43" s="0" t="s">
        <v>147</v>
      </c>
      <c r="C43" s="0" t="s">
        <v>69</v>
      </c>
      <c r="E43" s="6" t="n">
        <v>0.4</v>
      </c>
      <c r="G43" s="7" t="s">
        <v>36</v>
      </c>
      <c r="H43" s="3" t="s">
        <v>48</v>
      </c>
      <c r="I43" s="7" t="s">
        <v>148</v>
      </c>
    </row>
    <row r="44" customFormat="false" ht="17.15" hidden="false" customHeight="false" outlineLevel="0" collapsed="false">
      <c r="A44" s="0" t="s">
        <v>149</v>
      </c>
      <c r="B44" s="0" t="s">
        <v>150</v>
      </c>
      <c r="C44" s="0" t="s">
        <v>69</v>
      </c>
      <c r="E44" s="6" t="n">
        <v>0.2</v>
      </c>
      <c r="G44" s="7" t="s">
        <v>36</v>
      </c>
      <c r="H44" s="3" t="s">
        <v>48</v>
      </c>
      <c r="I44" s="7" t="s">
        <v>148</v>
      </c>
    </row>
    <row r="45" customFormat="false" ht="17.15" hidden="false" customHeight="false" outlineLevel="0" collapsed="false">
      <c r="A45" s="0" t="s">
        <v>151</v>
      </c>
      <c r="B45" s="0" t="s">
        <v>152</v>
      </c>
      <c r="C45" s="0" t="s">
        <v>69</v>
      </c>
      <c r="E45" s="6" t="n">
        <v>0.45</v>
      </c>
      <c r="G45" s="7" t="s">
        <v>36</v>
      </c>
      <c r="H45" s="7" t="s">
        <v>144</v>
      </c>
      <c r="I45" s="3" t="s">
        <v>153</v>
      </c>
    </row>
    <row r="46" customFormat="false" ht="17.15" hidden="false" customHeight="false" outlineLevel="0" collapsed="false">
      <c r="A46" s="0" t="s">
        <v>154</v>
      </c>
      <c r="B46" s="0" t="s">
        <v>155</v>
      </c>
      <c r="C46" s="0" t="s">
        <v>41</v>
      </c>
      <c r="D46" s="6" t="n">
        <v>0.7</v>
      </c>
      <c r="E46" s="6" t="n">
        <v>1</v>
      </c>
      <c r="F46" s="6" t="n">
        <v>1.3</v>
      </c>
      <c r="G46" s="7" t="s">
        <v>36</v>
      </c>
      <c r="H46" s="3" t="s">
        <v>79</v>
      </c>
      <c r="I46" s="7" t="s">
        <v>156</v>
      </c>
    </row>
    <row r="47" customFormat="false" ht="17.15" hidden="false" customHeight="false" outlineLevel="0" collapsed="false">
      <c r="A47" s="0" t="s">
        <v>157</v>
      </c>
      <c r="B47" s="3" t="s">
        <v>158</v>
      </c>
      <c r="C47" s="0" t="s">
        <v>69</v>
      </c>
      <c r="D47" s="6" t="n">
        <v>0.35</v>
      </c>
      <c r="E47" s="6" t="n">
        <v>0.45</v>
      </c>
      <c r="F47" s="6" t="n">
        <v>0.55</v>
      </c>
      <c r="G47" s="7" t="s">
        <v>36</v>
      </c>
      <c r="H47" s="3" t="s">
        <v>159</v>
      </c>
      <c r="I47" s="3" t="s">
        <v>160</v>
      </c>
    </row>
    <row r="48" customFormat="false" ht="17.15" hidden="false" customHeight="false" outlineLevel="0" collapsed="false">
      <c r="A48" s="0" t="s">
        <v>161</v>
      </c>
      <c r="B48" s="0" t="s">
        <v>162</v>
      </c>
      <c r="C48" s="0" t="s">
        <v>138</v>
      </c>
      <c r="E48" s="6" t="n">
        <v>0</v>
      </c>
      <c r="G48" s="7" t="s">
        <v>36</v>
      </c>
      <c r="H48" s="7" t="s">
        <v>163</v>
      </c>
      <c r="I48" s="3" t="s">
        <v>164</v>
      </c>
    </row>
    <row r="49" customFormat="false" ht="17.15" hidden="false" customHeight="false" outlineLevel="0" collapsed="false">
      <c r="A49" s="0" t="s">
        <v>165</v>
      </c>
      <c r="B49" s="0" t="s">
        <v>166</v>
      </c>
      <c r="C49" s="0" t="s">
        <v>138</v>
      </c>
      <c r="E49" s="6" t="n">
        <v>0.25</v>
      </c>
      <c r="G49" s="7" t="s">
        <v>36</v>
      </c>
      <c r="H49" s="7" t="s">
        <v>163</v>
      </c>
      <c r="I49" s="3" t="s">
        <v>167</v>
      </c>
    </row>
    <row r="50" customFormat="false" ht="17.15" hidden="false" customHeight="false" outlineLevel="0" collapsed="false">
      <c r="A50" s="0" t="s">
        <v>168</v>
      </c>
      <c r="B50" s="0" t="s">
        <v>169</v>
      </c>
      <c r="C50" s="0" t="s">
        <v>138</v>
      </c>
      <c r="E50" s="6" t="n">
        <v>0.12</v>
      </c>
      <c r="G50" s="7" t="s">
        <v>36</v>
      </c>
      <c r="H50" s="3" t="s">
        <v>48</v>
      </c>
      <c r="I50" s="7" t="s">
        <v>148</v>
      </c>
    </row>
    <row r="51" customFormat="false" ht="17.15" hidden="false" customHeight="false" outlineLevel="0" collapsed="false">
      <c r="A51" s="0" t="s">
        <v>170</v>
      </c>
      <c r="B51" s="0" t="s">
        <v>171</v>
      </c>
      <c r="C51" s="0" t="s">
        <v>138</v>
      </c>
      <c r="E51" s="6" t="n">
        <v>0</v>
      </c>
      <c r="G51" s="7" t="s">
        <v>36</v>
      </c>
      <c r="H51" s="3" t="s">
        <v>48</v>
      </c>
      <c r="I51" s="7" t="s">
        <v>148</v>
      </c>
    </row>
    <row r="52" customFormat="false" ht="17.15" hidden="false" customHeight="false" outlineLevel="0" collapsed="false">
      <c r="A52" s="0" t="s">
        <v>172</v>
      </c>
      <c r="B52" s="0" t="s">
        <v>173</v>
      </c>
      <c r="C52" s="0" t="s">
        <v>138</v>
      </c>
      <c r="E52" s="6" t="n">
        <v>0.5</v>
      </c>
      <c r="G52" s="7" t="s">
        <v>36</v>
      </c>
      <c r="H52" s="3" t="s">
        <v>48</v>
      </c>
      <c r="I52" s="3" t="s">
        <v>167</v>
      </c>
    </row>
    <row r="53" customFormat="false" ht="17.15" hidden="false" customHeight="false" outlineLevel="0" collapsed="false">
      <c r="A53" s="0" t="s">
        <v>174</v>
      </c>
      <c r="B53" s="0" t="s">
        <v>175</v>
      </c>
      <c r="C53" s="0" t="s">
        <v>138</v>
      </c>
      <c r="E53" s="6" t="n">
        <v>0.3</v>
      </c>
      <c r="G53" s="7" t="s">
        <v>36</v>
      </c>
      <c r="H53" s="3" t="s">
        <v>48</v>
      </c>
      <c r="I53" s="7" t="s">
        <v>148</v>
      </c>
    </row>
    <row r="54" customFormat="false" ht="17.15" hidden="false" customHeight="false" outlineLevel="0" collapsed="false">
      <c r="A54" s="0" t="s">
        <v>176</v>
      </c>
      <c r="B54" s="0" t="s">
        <v>177</v>
      </c>
      <c r="C54" s="0" t="s">
        <v>138</v>
      </c>
      <c r="E54" s="6" t="n">
        <v>0.08</v>
      </c>
      <c r="G54" s="7" t="s">
        <v>36</v>
      </c>
      <c r="H54" s="3" t="s">
        <v>48</v>
      </c>
      <c r="I54" s="7" t="s">
        <v>148</v>
      </c>
    </row>
    <row r="55" customFormat="false" ht="17.15" hidden="false" customHeight="false" outlineLevel="0" collapsed="false">
      <c r="A55" s="5" t="s">
        <v>178</v>
      </c>
    </row>
    <row r="56" customFormat="false" ht="17.15" hidden="false" customHeight="false" outlineLevel="0" collapsed="false">
      <c r="A56" s="0" t="s">
        <v>179</v>
      </c>
      <c r="B56" s="0" t="s">
        <v>180</v>
      </c>
      <c r="C56" s="0" t="s">
        <v>181</v>
      </c>
      <c r="E56" s="0" t="n">
        <f aca="false">46.81/3*4</f>
        <v>62.4133333333333</v>
      </c>
      <c r="G56" s="0" t="s">
        <v>42</v>
      </c>
      <c r="H56" s="0" t="s">
        <v>182</v>
      </c>
      <c r="I56" s="3" t="s">
        <v>183</v>
      </c>
    </row>
    <row r="57" customFormat="false" ht="15" hidden="false" customHeight="false" outlineLevel="0" collapsed="false">
      <c r="A57" s="0" t="s">
        <v>184</v>
      </c>
      <c r="B57" s="3" t="s">
        <v>185</v>
      </c>
      <c r="C57" s="0" t="s">
        <v>69</v>
      </c>
      <c r="E57" s="6" t="n">
        <v>0.9</v>
      </c>
      <c r="G57" s="7" t="s">
        <v>36</v>
      </c>
      <c r="H57" s="3" t="s">
        <v>186</v>
      </c>
      <c r="I57" s="7" t="s">
        <v>148</v>
      </c>
    </row>
    <row r="58" customFormat="false" ht="17.15" hidden="false" customHeight="false" outlineLevel="0" collapsed="false">
      <c r="A58" s="0" t="s">
        <v>187</v>
      </c>
      <c r="B58" s="0" t="s">
        <v>188</v>
      </c>
      <c r="C58" s="0" t="s">
        <v>69</v>
      </c>
      <c r="E58" s="6" t="n">
        <v>0.12</v>
      </c>
      <c r="G58" s="7" t="s">
        <v>36</v>
      </c>
      <c r="H58" s="3" t="s">
        <v>189</v>
      </c>
      <c r="I58" s="3" t="s">
        <v>190</v>
      </c>
    </row>
    <row r="59" customFormat="false" ht="17.15" hidden="false" customHeight="false" outlineLevel="0" collapsed="false">
      <c r="A59" s="0" t="s">
        <v>191</v>
      </c>
      <c r="B59" s="0" t="s">
        <v>192</v>
      </c>
      <c r="C59" s="0" t="s">
        <v>69</v>
      </c>
      <c r="E59" s="6" t="n">
        <v>0.1</v>
      </c>
      <c r="G59" s="7" t="s">
        <v>36</v>
      </c>
      <c r="H59" s="3" t="s">
        <v>193</v>
      </c>
      <c r="I59" s="3" t="s">
        <v>190</v>
      </c>
    </row>
    <row r="60" customFormat="false" ht="17.15" hidden="false" customHeight="false" outlineLevel="0" collapsed="false">
      <c r="A60" s="0" t="s">
        <v>194</v>
      </c>
      <c r="B60" s="0" t="s">
        <v>195</v>
      </c>
      <c r="C60" s="0" t="s">
        <v>69</v>
      </c>
      <c r="E60" s="6" t="n">
        <v>0.08</v>
      </c>
      <c r="G60" s="7" t="s">
        <v>36</v>
      </c>
      <c r="H60" s="3" t="s">
        <v>48</v>
      </c>
      <c r="I60" s="3" t="s">
        <v>190</v>
      </c>
    </row>
    <row r="61" customFormat="false" ht="17.15" hidden="false" customHeight="false" outlineLevel="0" collapsed="false">
      <c r="A61" s="0" t="s">
        <v>196</v>
      </c>
      <c r="B61" s="3" t="s">
        <v>197</v>
      </c>
      <c r="C61" s="0" t="s">
        <v>104</v>
      </c>
      <c r="D61" s="6" t="n">
        <v>-0.05</v>
      </c>
      <c r="E61" s="6" t="n">
        <v>0</v>
      </c>
      <c r="F61" s="6" t="n">
        <v>0.05</v>
      </c>
      <c r="G61" s="7" t="s">
        <v>36</v>
      </c>
      <c r="H61" s="3" t="s">
        <v>79</v>
      </c>
      <c r="I61" s="7" t="s">
        <v>198</v>
      </c>
    </row>
    <row r="62" customFormat="false" ht="17.15" hidden="false" customHeight="false" outlineLevel="0" collapsed="false">
      <c r="A62" s="0" t="s">
        <v>199</v>
      </c>
      <c r="B62" s="3" t="s">
        <v>200</v>
      </c>
      <c r="C62" s="0" t="s">
        <v>69</v>
      </c>
      <c r="D62" s="6" t="n">
        <v>0</v>
      </c>
      <c r="E62" s="6" t="n">
        <v>0.02</v>
      </c>
      <c r="F62" s="6" t="n">
        <v>0.04</v>
      </c>
      <c r="G62" s="7" t="s">
        <v>36</v>
      </c>
      <c r="H62" s="3" t="s">
        <v>201</v>
      </c>
      <c r="I62" s="3" t="s">
        <v>202</v>
      </c>
    </row>
    <row r="63" customFormat="false" ht="17.15" hidden="false" customHeight="false" outlineLevel="0" collapsed="false">
      <c r="A63" s="0" t="s">
        <v>203</v>
      </c>
      <c r="B63" s="3" t="s">
        <v>204</v>
      </c>
      <c r="C63" s="0" t="s">
        <v>41</v>
      </c>
      <c r="D63" s="6" t="n">
        <v>0.3</v>
      </c>
      <c r="E63" s="6" t="n">
        <v>0.5</v>
      </c>
      <c r="F63" s="6" t="n">
        <v>0.8</v>
      </c>
      <c r="G63" s="7" t="s">
        <v>36</v>
      </c>
      <c r="H63" s="7" t="s">
        <v>205</v>
      </c>
      <c r="I63" s="7" t="s">
        <v>148</v>
      </c>
    </row>
    <row r="64" customFormat="false" ht="15" hidden="false" customHeight="false" outlineLevel="0" collapsed="false">
      <c r="A64" s="0" t="s">
        <v>206</v>
      </c>
      <c r="B64" s="3" t="s">
        <v>207</v>
      </c>
      <c r="C64" s="0" t="s">
        <v>69</v>
      </c>
      <c r="E64" s="6" t="n">
        <v>0.03</v>
      </c>
      <c r="G64" s="7" t="s">
        <v>36</v>
      </c>
      <c r="H64" s="3" t="s">
        <v>208</v>
      </c>
      <c r="I64" s="7" t="s">
        <v>148</v>
      </c>
    </row>
    <row r="65" customFormat="false" ht="17.15" hidden="false" customHeight="false" outlineLevel="0" collapsed="false">
      <c r="A65" s="0" t="s">
        <v>209</v>
      </c>
      <c r="B65" s="3" t="s">
        <v>210</v>
      </c>
      <c r="C65" s="0" t="s">
        <v>181</v>
      </c>
      <c r="D65" s="6" t="n">
        <v>2</v>
      </c>
      <c r="E65" s="6" t="n">
        <v>4</v>
      </c>
      <c r="F65" s="6" t="n">
        <v>8</v>
      </c>
      <c r="G65" s="7" t="s">
        <v>36</v>
      </c>
      <c r="H65" s="7" t="s">
        <v>211</v>
      </c>
      <c r="I65" s="7" t="s">
        <v>212</v>
      </c>
    </row>
    <row r="66" customFormat="false" ht="17.15" hidden="false" customHeight="false" outlineLevel="0" collapsed="false">
      <c r="A66" s="0" t="s">
        <v>213</v>
      </c>
      <c r="B66" s="3" t="s">
        <v>214</v>
      </c>
      <c r="C66" s="0" t="s">
        <v>69</v>
      </c>
      <c r="D66" s="6" t="n">
        <v>0.12</v>
      </c>
      <c r="E66" s="6" t="n">
        <v>0.15</v>
      </c>
      <c r="F66" s="6" t="n">
        <v>0.2</v>
      </c>
      <c r="G66" s="7" t="s">
        <v>36</v>
      </c>
      <c r="H66" s="7" t="s">
        <v>215</v>
      </c>
      <c r="I66" s="7" t="s">
        <v>148</v>
      </c>
    </row>
    <row r="67" customFormat="false" ht="17.15" hidden="false" customHeight="false" outlineLevel="0" collapsed="false">
      <c r="A67" s="0" t="s">
        <v>216</v>
      </c>
      <c r="B67" s="3" t="s">
        <v>217</v>
      </c>
      <c r="C67" s="0" t="s">
        <v>69</v>
      </c>
      <c r="E67" s="6" t="n">
        <v>0</v>
      </c>
      <c r="G67" s="7" t="s">
        <v>36</v>
      </c>
      <c r="H67" s="7" t="s">
        <v>218</v>
      </c>
      <c r="I67" s="3" t="s">
        <v>219</v>
      </c>
    </row>
    <row r="68" customFormat="false" ht="17.15" hidden="false" customHeight="false" outlineLevel="0" collapsed="false">
      <c r="A68" s="5" t="s">
        <v>220</v>
      </c>
    </row>
    <row r="69" customFormat="false" ht="17.15" hidden="false" customHeight="false" outlineLevel="0" collapsed="false">
      <c r="A69" s="0" t="s">
        <v>221</v>
      </c>
      <c r="B69" s="0" t="s">
        <v>222</v>
      </c>
      <c r="C69" s="0" t="s">
        <v>35</v>
      </c>
      <c r="E69" s="6" t="n">
        <v>31.6</v>
      </c>
      <c r="G69" s="7" t="s">
        <v>36</v>
      </c>
      <c r="H69" s="3" t="s">
        <v>223</v>
      </c>
      <c r="I69" s="3" t="s">
        <v>224</v>
      </c>
    </row>
    <row r="70" customFormat="false" ht="17.15" hidden="false" customHeight="false" outlineLevel="0" collapsed="false">
      <c r="A70" s="0" t="s">
        <v>225</v>
      </c>
      <c r="B70" s="0" t="s">
        <v>226</v>
      </c>
      <c r="C70" s="0" t="s">
        <v>69</v>
      </c>
      <c r="E70" s="6" t="n">
        <v>0.02</v>
      </c>
      <c r="G70" s="7" t="s">
        <v>139</v>
      </c>
      <c r="H70" s="3" t="s">
        <v>227</v>
      </c>
      <c r="I70" s="3" t="s">
        <v>228</v>
      </c>
    </row>
    <row r="71" customFormat="false" ht="17.15" hidden="false" customHeight="false" outlineLevel="0" collapsed="false">
      <c r="A71" s="0" t="s">
        <v>229</v>
      </c>
      <c r="B71" s="0" t="s">
        <v>230</v>
      </c>
      <c r="C71" s="0" t="s">
        <v>69</v>
      </c>
      <c r="E71" s="6" t="n">
        <v>0</v>
      </c>
      <c r="G71" s="7" t="s">
        <v>139</v>
      </c>
      <c r="H71" s="3" t="s">
        <v>231</v>
      </c>
      <c r="I71" s="7" t="s">
        <v>148</v>
      </c>
    </row>
    <row r="72" customFormat="false" ht="17.15" hidden="false" customHeight="false" outlineLevel="0" collapsed="false">
      <c r="A72" s="0" t="s">
        <v>232</v>
      </c>
      <c r="B72" s="0" t="s">
        <v>233</v>
      </c>
      <c r="C72" s="0" t="s">
        <v>69</v>
      </c>
      <c r="E72" s="6" t="n">
        <v>0.92</v>
      </c>
      <c r="G72" s="7" t="s">
        <v>139</v>
      </c>
      <c r="H72" s="3" t="s">
        <v>234</v>
      </c>
      <c r="I72" s="3" t="s">
        <v>235</v>
      </c>
    </row>
    <row r="73" customFormat="false" ht="17.15" hidden="false" customHeight="false" outlineLevel="0" collapsed="false">
      <c r="A73" s="0" t="s">
        <v>236</v>
      </c>
      <c r="B73" s="0" t="s">
        <v>237</v>
      </c>
      <c r="C73" s="0" t="s">
        <v>69</v>
      </c>
      <c r="E73" s="6" t="n">
        <v>0.34</v>
      </c>
      <c r="G73" s="7" t="s">
        <v>139</v>
      </c>
      <c r="H73" s="3" t="s">
        <v>238</v>
      </c>
      <c r="I73" s="7" t="s">
        <v>148</v>
      </c>
    </row>
    <row r="74" customFormat="false" ht="17.15" hidden="false" customHeight="false" outlineLevel="0" collapsed="false">
      <c r="A74" s="0" t="s">
        <v>239</v>
      </c>
      <c r="B74" s="0" t="s">
        <v>240</v>
      </c>
      <c r="C74" s="0" t="s">
        <v>181</v>
      </c>
      <c r="E74" s="0" t="n">
        <f aca="false">Q!E11*1.03</f>
        <v>6.75886000000001</v>
      </c>
      <c r="G74" s="0" t="s">
        <v>36</v>
      </c>
      <c r="H74" s="0" t="s">
        <v>241</v>
      </c>
      <c r="I74" s="0" t="s">
        <v>148</v>
      </c>
    </row>
    <row r="75" customFormat="false" ht="17.15" hidden="false" customHeight="false" outlineLevel="0" collapsed="false">
      <c r="A75" s="0" t="s">
        <v>242</v>
      </c>
      <c r="B75" s="0" t="s">
        <v>243</v>
      </c>
      <c r="C75" s="0" t="s">
        <v>181</v>
      </c>
      <c r="E75" s="6" t="n">
        <v>1.5</v>
      </c>
      <c r="G75" s="7" t="s">
        <v>36</v>
      </c>
      <c r="H75" s="7" t="s">
        <v>244</v>
      </c>
      <c r="I75" s="7" t="s">
        <v>148</v>
      </c>
    </row>
    <row r="76" customFormat="false" ht="17.15" hidden="false" customHeight="false" outlineLevel="0" collapsed="false">
      <c r="A76" s="0" t="s">
        <v>245</v>
      </c>
      <c r="B76" s="0" t="s">
        <v>246</v>
      </c>
      <c r="C76" s="0" t="s">
        <v>69</v>
      </c>
      <c r="E76" s="6" t="n">
        <v>0.17</v>
      </c>
      <c r="G76" s="7" t="s">
        <v>36</v>
      </c>
      <c r="H76" s="7" t="s">
        <v>247</v>
      </c>
      <c r="I76" s="7" t="s">
        <v>148</v>
      </c>
    </row>
    <row r="77" customFormat="false" ht="17.15" hidden="false" customHeight="false" outlineLevel="0" collapsed="false">
      <c r="A77" s="0" t="s">
        <v>248</v>
      </c>
      <c r="B77" s="3" t="s">
        <v>249</v>
      </c>
      <c r="C77" s="3" t="s">
        <v>250</v>
      </c>
      <c r="E77" s="9" t="n">
        <f aca="false">Q!E19</f>
        <v>12.45</v>
      </c>
      <c r="G77" s="7" t="s">
        <v>42</v>
      </c>
      <c r="H77" s="7" t="s">
        <v>251</v>
      </c>
      <c r="I77" s="7" t="s">
        <v>252</v>
      </c>
    </row>
    <row r="78" customFormat="false" ht="17.15" hidden="false" customHeight="false" outlineLevel="0" collapsed="false">
      <c r="A78" s="5" t="s">
        <v>253</v>
      </c>
    </row>
    <row r="79" customFormat="false" ht="17.15" hidden="false" customHeight="false" outlineLevel="0" collapsed="false">
      <c r="A79" s="0" t="s">
        <v>254</v>
      </c>
      <c r="B79" s="3" t="s">
        <v>255</v>
      </c>
      <c r="C79" s="0" t="s">
        <v>181</v>
      </c>
      <c r="E79" s="6" t="n">
        <v>283.2</v>
      </c>
      <c r="G79" s="7" t="s">
        <v>139</v>
      </c>
      <c r="H79" s="7" t="s">
        <v>256</v>
      </c>
      <c r="I79" s="3" t="s">
        <v>257</v>
      </c>
    </row>
    <row r="80" customFormat="false" ht="17.15" hidden="false" customHeight="false" outlineLevel="0" collapsed="false">
      <c r="A80" s="0" t="s">
        <v>258</v>
      </c>
      <c r="B80" s="3" t="s">
        <v>259</v>
      </c>
      <c r="C80" s="0" t="s">
        <v>260</v>
      </c>
      <c r="E80" s="6" t="n">
        <v>7.02</v>
      </c>
      <c r="G80" s="7" t="s">
        <v>139</v>
      </c>
      <c r="H80" s="7" t="s">
        <v>261</v>
      </c>
      <c r="I80" s="3" t="s">
        <v>262</v>
      </c>
    </row>
    <row r="81" customFormat="false" ht="17.15" hidden="false" customHeight="false" outlineLevel="0" collapsed="false">
      <c r="A81" s="0" t="s">
        <v>263</v>
      </c>
      <c r="B81" s="3" t="s">
        <v>264</v>
      </c>
      <c r="C81" s="0" t="s">
        <v>260</v>
      </c>
      <c r="E81" s="6" t="n">
        <v>7.57</v>
      </c>
      <c r="G81" s="7" t="s">
        <v>139</v>
      </c>
      <c r="H81" s="3" t="s">
        <v>265</v>
      </c>
      <c r="I81" s="3" t="s">
        <v>266</v>
      </c>
    </row>
    <row r="82" customFormat="false" ht="17.15" hidden="false" customHeight="false" outlineLevel="0" collapsed="false">
      <c r="A82" s="0" t="s">
        <v>267</v>
      </c>
      <c r="B82" s="3" t="s">
        <v>268</v>
      </c>
      <c r="C82" s="0" t="s">
        <v>260</v>
      </c>
      <c r="E82" s="6" t="n">
        <v>9.2</v>
      </c>
      <c r="G82" s="7" t="s">
        <v>139</v>
      </c>
      <c r="H82" s="3" t="s">
        <v>269</v>
      </c>
      <c r="I82" s="3" t="s">
        <v>270</v>
      </c>
    </row>
    <row r="83" customFormat="false" ht="17.15" hidden="false" customHeight="false" outlineLevel="0" collapsed="false">
      <c r="A83" s="0" t="s">
        <v>271</v>
      </c>
      <c r="B83" s="3" t="s">
        <v>272</v>
      </c>
      <c r="C83" s="0" t="s">
        <v>69</v>
      </c>
      <c r="E83" s="6" t="n">
        <v>0.1</v>
      </c>
      <c r="G83" s="7" t="s">
        <v>139</v>
      </c>
      <c r="H83" s="3" t="s">
        <v>273</v>
      </c>
      <c r="I83" s="7" t="s">
        <v>148</v>
      </c>
    </row>
    <row r="84" customFormat="false" ht="17.15" hidden="false" customHeight="false" outlineLevel="0" collapsed="false">
      <c r="A84" s="0" t="s">
        <v>274</v>
      </c>
      <c r="B84" s="3" t="s">
        <v>275</v>
      </c>
      <c r="C84" s="0" t="s">
        <v>138</v>
      </c>
      <c r="E84" s="6" t="n">
        <v>1</v>
      </c>
      <c r="G84" s="7" t="s">
        <v>139</v>
      </c>
      <c r="H84" s="3" t="s">
        <v>276</v>
      </c>
      <c r="I84" s="3" t="s">
        <v>277</v>
      </c>
    </row>
    <row r="85" customFormat="false" ht="17.15" hidden="false" customHeight="false" outlineLevel="0" collapsed="false">
      <c r="A85" s="5" t="s">
        <v>278</v>
      </c>
    </row>
    <row r="86" customFormat="false" ht="17.15" hidden="false" customHeight="false" outlineLevel="0" collapsed="false">
      <c r="A86" s="0" t="s">
        <v>279</v>
      </c>
      <c r="B86" s="3" t="s">
        <v>280</v>
      </c>
      <c r="C86" s="0" t="s">
        <v>260</v>
      </c>
      <c r="E86" s="6" t="n">
        <v>125.5</v>
      </c>
      <c r="G86" s="7" t="s">
        <v>139</v>
      </c>
      <c r="H86" s="7" t="s">
        <v>281</v>
      </c>
      <c r="I86" s="7" t="s">
        <v>282</v>
      </c>
    </row>
    <row r="87" customFormat="false" ht="17.15" hidden="false" customHeight="false" outlineLevel="0" collapsed="false">
      <c r="A87" s="0" t="s">
        <v>283</v>
      </c>
      <c r="B87" s="3" t="s">
        <v>284</v>
      </c>
      <c r="C87" s="0" t="s">
        <v>41</v>
      </c>
      <c r="E87" s="0" t="n">
        <f aca="false">px/6.81</f>
        <v>18.4287812041116</v>
      </c>
      <c r="G87" s="0" t="s">
        <v>42</v>
      </c>
      <c r="H87" s="0" t="s">
        <v>285</v>
      </c>
      <c r="I87" s="0" t="s">
        <v>148</v>
      </c>
    </row>
    <row r="88" customFormat="false" ht="17.15" hidden="false" customHeight="false" outlineLevel="0" collapsed="false">
      <c r="A88" s="0" t="s">
        <v>286</v>
      </c>
      <c r="B88" s="3" t="s">
        <v>287</v>
      </c>
      <c r="C88" s="0" t="s">
        <v>41</v>
      </c>
      <c r="E88" s="6" t="n">
        <v>20.22</v>
      </c>
      <c r="G88" s="7" t="s">
        <v>139</v>
      </c>
      <c r="H88" s="7" t="s">
        <v>288</v>
      </c>
      <c r="I88" s="7" t="s">
        <v>148</v>
      </c>
    </row>
    <row r="89" customFormat="false" ht="17.15" hidden="false" customHeight="false" outlineLevel="0" collapsed="false">
      <c r="A89" s="0" t="s">
        <v>289</v>
      </c>
      <c r="B89" s="3" t="s">
        <v>290</v>
      </c>
      <c r="C89" s="0" t="s">
        <v>260</v>
      </c>
      <c r="E89" s="0" t="n">
        <f aca="false">125.5/fpe</f>
        <v>6.20672601384768</v>
      </c>
      <c r="G89" s="0" t="s">
        <v>42</v>
      </c>
      <c r="H89" s="0" t="s">
        <v>291</v>
      </c>
      <c r="I89" s="3" t="s">
        <v>292</v>
      </c>
    </row>
    <row r="90" customFormat="false" ht="17.15" hidden="false" customHeight="false" outlineLevel="0" collapsed="false">
      <c r="A90" s="0" t="s">
        <v>293</v>
      </c>
      <c r="B90" s="3" t="s">
        <v>294</v>
      </c>
      <c r="C90" s="0" t="s">
        <v>260</v>
      </c>
      <c r="E90" s="6" t="n">
        <v>140.69</v>
      </c>
      <c r="G90" s="7" t="s">
        <v>139</v>
      </c>
      <c r="H90" s="7" t="s">
        <v>295</v>
      </c>
      <c r="I90" s="3" t="s">
        <v>296</v>
      </c>
    </row>
    <row r="91" customFormat="false" ht="17.15" hidden="false" customHeight="false" outlineLevel="0" collapsed="false">
      <c r="A91" s="0" t="s">
        <v>297</v>
      </c>
      <c r="B91" s="3" t="s">
        <v>298</v>
      </c>
      <c r="C91" s="0" t="s">
        <v>69</v>
      </c>
      <c r="E91" s="0" t="n">
        <f aca="false">AVERAGE(51.246/213.011,89.479/278.705,60.99/222.533,47.211/232.303,41.716/237.553)</f>
        <v>0.242908190666</v>
      </c>
      <c r="G91" s="0" t="s">
        <v>42</v>
      </c>
      <c r="H91" s="0" t="s">
        <v>299</v>
      </c>
      <c r="I91" s="3" t="s">
        <v>300</v>
      </c>
    </row>
    <row r="92" customFormat="false" ht="17.15" hidden="false" customHeight="false" outlineLevel="0" collapsed="false">
      <c r="A92" s="5" t="s">
        <v>301</v>
      </c>
    </row>
    <row r="93" customFormat="false" ht="17.15" hidden="false" customHeight="false" outlineLevel="0" collapsed="false">
      <c r="A93" s="10" t="s">
        <v>302</v>
      </c>
      <c r="B93" s="11" t="s">
        <v>303</v>
      </c>
      <c r="C93" s="10" t="s">
        <v>69</v>
      </c>
      <c r="D93" s="10"/>
      <c r="E93" s="12" t="n">
        <v>0.3</v>
      </c>
      <c r="F93" s="10"/>
      <c r="G93" s="10" t="s">
        <v>36</v>
      </c>
      <c r="H93" s="10" t="s">
        <v>304</v>
      </c>
      <c r="I93" s="11" t="s">
        <v>305</v>
      </c>
    </row>
    <row r="94" customFormat="false" ht="17.15" hidden="false" customHeight="false" outlineLevel="0" collapsed="false">
      <c r="A94" s="10" t="s">
        <v>306</v>
      </c>
      <c r="B94" s="11" t="s">
        <v>307</v>
      </c>
      <c r="C94" s="10" t="s">
        <v>69</v>
      </c>
      <c r="D94" s="10"/>
      <c r="E94" s="12" t="n">
        <v>0.5</v>
      </c>
      <c r="F94" s="10"/>
      <c r="G94" s="10" t="s">
        <v>36</v>
      </c>
      <c r="H94" s="10" t="s">
        <v>304</v>
      </c>
      <c r="I94" s="11" t="s">
        <v>305</v>
      </c>
    </row>
    <row r="95" customFormat="false" ht="17.15" hidden="false" customHeight="false" outlineLevel="0" collapsed="false">
      <c r="A95" s="10" t="s">
        <v>308</v>
      </c>
      <c r="B95" s="11" t="s">
        <v>309</v>
      </c>
      <c r="C95" s="10" t="s">
        <v>69</v>
      </c>
      <c r="D95" s="10"/>
      <c r="E95" s="12" t="n">
        <v>0.2</v>
      </c>
      <c r="F95" s="10"/>
      <c r="G95" s="10" t="s">
        <v>36</v>
      </c>
      <c r="H95" s="10" t="s">
        <v>304</v>
      </c>
      <c r="I95" s="11" t="s">
        <v>305</v>
      </c>
    </row>
    <row r="96" customFormat="false" ht="17.15" hidden="false" customHeight="false" outlineLevel="0" collapsed="false">
      <c r="A96" s="10" t="s">
        <v>310</v>
      </c>
      <c r="B96" s="11" t="s">
        <v>311</v>
      </c>
      <c r="C96" s="10" t="s">
        <v>69</v>
      </c>
      <c r="D96" s="10"/>
      <c r="E96" s="12" t="n">
        <v>0.1</v>
      </c>
      <c r="F96" s="10"/>
      <c r="G96" s="10" t="s">
        <v>36</v>
      </c>
      <c r="H96" s="10" t="s">
        <v>312</v>
      </c>
      <c r="I96" s="11" t="s">
        <v>313</v>
      </c>
    </row>
    <row r="97" customFormat="false" ht="17.15" hidden="false" customHeight="false" outlineLevel="0" collapsed="false">
      <c r="A97" s="10" t="s">
        <v>314</v>
      </c>
      <c r="B97" s="11" t="s">
        <v>315</v>
      </c>
      <c r="C97" s="10" t="s">
        <v>69</v>
      </c>
      <c r="D97" s="10"/>
      <c r="E97" s="12" t="n">
        <v>0.04</v>
      </c>
      <c r="F97" s="10"/>
      <c r="G97" s="10" t="s">
        <v>36</v>
      </c>
      <c r="H97" s="10" t="s">
        <v>316</v>
      </c>
      <c r="I97" s="11" t="s">
        <v>317</v>
      </c>
    </row>
    <row r="98" customFormat="false" ht="17.15" hidden="false" customHeight="false" outlineLevel="0" collapsed="false">
      <c r="A98" s="10" t="s">
        <v>318</v>
      </c>
      <c r="B98" s="10" t="s">
        <v>319</v>
      </c>
      <c r="C98" s="10" t="s">
        <v>69</v>
      </c>
      <c r="D98" s="10"/>
      <c r="E98" s="10" t="n">
        <f aca="false">AVERAGE(0.1801,0.1277,0.1096)</f>
        <v>0.139133333333333</v>
      </c>
      <c r="F98" s="10"/>
      <c r="G98" s="10" t="s">
        <v>42</v>
      </c>
      <c r="H98" s="10" t="s">
        <v>320</v>
      </c>
      <c r="I98" s="11" t="s">
        <v>321</v>
      </c>
    </row>
    <row r="99" customFormat="false" ht="17.15" hidden="false" customHeight="false" outlineLevel="0" collapsed="false">
      <c r="A99" s="10" t="s">
        <v>322</v>
      </c>
      <c r="B99" s="11" t="s">
        <v>323</v>
      </c>
      <c r="C99" s="10" t="s">
        <v>69</v>
      </c>
      <c r="D99" s="10"/>
      <c r="E99" s="12" t="n">
        <v>0.5</v>
      </c>
      <c r="F99" s="10"/>
      <c r="G99" s="10" t="s">
        <v>36</v>
      </c>
      <c r="H99" s="10" t="s">
        <v>324</v>
      </c>
      <c r="I99" s="10" t="s">
        <v>148</v>
      </c>
    </row>
    <row r="100" customFormat="false" ht="17.15" hidden="false" customHeight="false" outlineLevel="0" collapsed="false">
      <c r="A100" s="10" t="s">
        <v>325</v>
      </c>
      <c r="B100" s="11" t="s">
        <v>326</v>
      </c>
      <c r="C100" s="10" t="s">
        <v>69</v>
      </c>
      <c r="D100" s="10"/>
      <c r="E100" s="10" t="n">
        <f aca="false">tp_g+0.02</f>
        <v>0.06</v>
      </c>
      <c r="F100" s="10"/>
      <c r="G100" s="10" t="s">
        <v>36</v>
      </c>
      <c r="H100" s="11" t="s">
        <v>327</v>
      </c>
      <c r="I100" s="10" t="s">
        <v>328</v>
      </c>
    </row>
    <row r="101" customFormat="false" ht="17.15" hidden="false" customHeight="false" outlineLevel="0" collapsed="false">
      <c r="A101" s="10" t="s">
        <v>329</v>
      </c>
      <c r="B101" s="11" t="s">
        <v>330</v>
      </c>
      <c r="C101" s="10" t="s">
        <v>69</v>
      </c>
      <c r="D101" s="10"/>
      <c r="E101" s="10" t="n">
        <f aca="false">tp_g</f>
        <v>0.04</v>
      </c>
      <c r="F101" s="10"/>
      <c r="G101" s="10" t="s">
        <v>36</v>
      </c>
      <c r="H101" s="11" t="s">
        <v>48</v>
      </c>
      <c r="I101" s="10" t="s">
        <v>148</v>
      </c>
    </row>
    <row r="102" customFormat="false" ht="17.15" hidden="false" customHeight="false" outlineLevel="0" collapsed="false">
      <c r="A102" s="10" t="s">
        <v>331</v>
      </c>
      <c r="B102" s="11" t="s">
        <v>332</v>
      </c>
      <c r="C102" s="10" t="s">
        <v>69</v>
      </c>
      <c r="D102" s="10"/>
      <c r="E102" s="10" t="n">
        <f aca="false">tp_g-0.02</f>
        <v>0.02</v>
      </c>
      <c r="F102" s="10"/>
      <c r="G102" s="10" t="s">
        <v>36</v>
      </c>
      <c r="H102" s="11" t="s">
        <v>48</v>
      </c>
      <c r="I102" s="10" t="s">
        <v>148</v>
      </c>
    </row>
    <row r="103" customFormat="false" ht="17.15" hidden="false" customHeight="false" outlineLevel="0" collapsed="false">
      <c r="A103" s="10" t="s">
        <v>333</v>
      </c>
      <c r="B103" s="11" t="s">
        <v>334</v>
      </c>
      <c r="C103" s="10" t="s">
        <v>69</v>
      </c>
      <c r="D103" s="10"/>
      <c r="E103" s="13" t="n">
        <f aca="false">PL!G15</f>
        <v>0.276492221335607</v>
      </c>
      <c r="F103" s="10"/>
      <c r="G103" s="10" t="s">
        <v>42</v>
      </c>
      <c r="H103" s="10" t="s">
        <v>335</v>
      </c>
      <c r="I103" s="10" t="s">
        <v>148</v>
      </c>
    </row>
    <row r="104" customFormat="false" ht="17.15" hidden="false" customHeight="false" outlineLevel="0" collapsed="false">
      <c r="A104" s="10" t="s">
        <v>336</v>
      </c>
      <c r="B104" s="11" t="s">
        <v>337</v>
      </c>
      <c r="C104" s="10" t="s">
        <v>69</v>
      </c>
      <c r="D104" s="10"/>
      <c r="E104" s="14" t="n">
        <f aca="false">PL!G30*0.9</f>
        <v>0.192954919817467</v>
      </c>
      <c r="F104" s="10"/>
      <c r="G104" s="10" t="s">
        <v>36</v>
      </c>
      <c r="H104" s="11" t="s">
        <v>338</v>
      </c>
      <c r="I104" s="10" t="s">
        <v>148</v>
      </c>
    </row>
    <row r="105" customFormat="false" ht="17.15" hidden="false" customHeight="false" outlineLevel="0" collapsed="false">
      <c r="A105" s="10" t="s">
        <v>339</v>
      </c>
      <c r="B105" s="11" t="s">
        <v>340</v>
      </c>
      <c r="C105" s="10" t="s">
        <v>69</v>
      </c>
      <c r="D105" s="10"/>
      <c r="E105" s="14" t="n">
        <f aca="false">PL!G45*0.8</f>
        <v>0.0741852981759193</v>
      </c>
      <c r="F105" s="10"/>
      <c r="G105" s="10" t="s">
        <v>36</v>
      </c>
      <c r="H105" s="11" t="s">
        <v>48</v>
      </c>
      <c r="I105" s="10" t="s">
        <v>148</v>
      </c>
    </row>
    <row r="107" customFormat="false" ht="17.15" hidden="false" customHeight="false" outlineLevel="0" collapsed="false">
      <c r="A107" s="1" t="s">
        <v>341</v>
      </c>
    </row>
    <row r="108" customFormat="false" ht="17.15" hidden="false" customHeight="false" outlineLevel="0" collapsed="false">
      <c r="A108" s="1" t="s">
        <v>23</v>
      </c>
      <c r="B108" s="1" t="s">
        <v>24</v>
      </c>
      <c r="C108" s="1" t="s">
        <v>25</v>
      </c>
      <c r="D108" s="1" t="s">
        <v>342</v>
      </c>
      <c r="E108" s="1" t="s">
        <v>343</v>
      </c>
      <c r="F108" s="1" t="s">
        <v>344</v>
      </c>
      <c r="G108" s="1" t="s">
        <v>29</v>
      </c>
      <c r="H108" s="1" t="s">
        <v>345</v>
      </c>
    </row>
    <row r="109" customFormat="false" ht="17.15" hidden="false" customHeight="false" outlineLevel="0" collapsed="false">
      <c r="A109" s="0" t="s">
        <v>346</v>
      </c>
      <c r="B109" s="0" t="s">
        <v>347</v>
      </c>
      <c r="C109" s="0" t="s">
        <v>41</v>
      </c>
      <c r="D109" s="0" t="n">
        <f aca="false">E6</f>
        <v>1</v>
      </c>
      <c r="E109" s="0" t="n">
        <f aca="false">E8</f>
        <v>0.8</v>
      </c>
      <c r="F109" s="0" t="n">
        <f aca="false">E10</f>
        <v>0.6</v>
      </c>
      <c r="G109" s="0" t="s">
        <v>42</v>
      </c>
      <c r="H109" s="3" t="s">
        <v>348</v>
      </c>
    </row>
    <row r="110" customFormat="false" ht="17.15" hidden="false" customHeight="false" outlineLevel="0" collapsed="false">
      <c r="A110" s="0" t="s">
        <v>349</v>
      </c>
      <c r="B110" s="0" t="s">
        <v>350</v>
      </c>
      <c r="C110" s="0" t="s">
        <v>41</v>
      </c>
      <c r="D110" s="0" t="n">
        <f aca="false">E7</f>
        <v>1</v>
      </c>
      <c r="E110" s="0" t="n">
        <f aca="false">E9</f>
        <v>0.85</v>
      </c>
      <c r="F110" s="0" t="n">
        <f aca="false">E11</f>
        <v>0.6</v>
      </c>
      <c r="G110" s="0" t="s">
        <v>42</v>
      </c>
      <c r="H110" s="3" t="s">
        <v>351</v>
      </c>
    </row>
    <row r="111" customFormat="false" ht="17.15" hidden="false" customHeight="false" outlineLevel="0" collapsed="false">
      <c r="A111" s="0" t="s">
        <v>352</v>
      </c>
      <c r="B111" s="0" t="s">
        <v>353</v>
      </c>
      <c r="C111" s="0" t="s">
        <v>69</v>
      </c>
      <c r="D111" s="0" t="n">
        <f aca="false">E18</f>
        <v>0.95</v>
      </c>
      <c r="E111" s="0" t="n">
        <f aca="false">E19</f>
        <v>0.9</v>
      </c>
      <c r="F111" s="0" t="n">
        <f aca="false">E20</f>
        <v>0.82</v>
      </c>
      <c r="G111" s="0" t="s">
        <v>42</v>
      </c>
      <c r="H111" s="3" t="s">
        <v>354</v>
      </c>
    </row>
    <row r="112" customFormat="false" ht="17.15" hidden="false" customHeight="false" outlineLevel="0" collapsed="false">
      <c r="A112" s="0" t="s">
        <v>355</v>
      </c>
      <c r="B112" s="0" t="s">
        <v>356</v>
      </c>
      <c r="C112" s="0" t="s">
        <v>69</v>
      </c>
      <c r="D112" s="0" t="n">
        <f aca="false">E21</f>
        <v>0.94</v>
      </c>
      <c r="E112" s="0" t="n">
        <f aca="false">E22</f>
        <v>0.87</v>
      </c>
      <c r="F112" s="0" t="n">
        <f aca="false">E23</f>
        <v>0.76</v>
      </c>
      <c r="G112" s="0" t="s">
        <v>42</v>
      </c>
      <c r="H112" s="3" t="s">
        <v>357</v>
      </c>
    </row>
    <row r="113" customFormat="false" ht="17.15" hidden="false" customHeight="false" outlineLevel="0" collapsed="false">
      <c r="A113" s="0" t="s">
        <v>358</v>
      </c>
      <c r="B113" s="0" t="s">
        <v>359</v>
      </c>
      <c r="C113" s="0" t="s">
        <v>69</v>
      </c>
      <c r="D113" s="0" t="n">
        <f aca="false">E24</f>
        <v>0.93</v>
      </c>
      <c r="E113" s="0" t="n">
        <f aca="false">E25</f>
        <v>0.88</v>
      </c>
      <c r="F113" s="0" t="n">
        <f aca="false">E26</f>
        <v>0.8</v>
      </c>
      <c r="G113" s="0" t="s">
        <v>42</v>
      </c>
      <c r="H113" s="3" t="s">
        <v>360</v>
      </c>
    </row>
    <row r="114" customFormat="false" ht="17.15" hidden="false" customHeight="false" outlineLevel="0" collapsed="false">
      <c r="A114" s="0" t="s">
        <v>361</v>
      </c>
      <c r="B114" s="0" t="s">
        <v>119</v>
      </c>
      <c r="C114" s="0" t="s">
        <v>69</v>
      </c>
      <c r="D114" s="0" t="n">
        <f aca="false">E30</f>
        <v>0.1</v>
      </c>
      <c r="E114" s="0" t="n">
        <f aca="false">E31</f>
        <v>0.05</v>
      </c>
      <c r="F114" s="0" t="n">
        <f aca="false">E32</f>
        <v>0</v>
      </c>
      <c r="G114" s="0" t="s">
        <v>42</v>
      </c>
      <c r="H114" s="3" t="s">
        <v>362</v>
      </c>
    </row>
    <row r="115" customFormat="false" ht="17.15" hidden="false" customHeight="false" outlineLevel="0" collapsed="false">
      <c r="A115" s="0" t="s">
        <v>363</v>
      </c>
      <c r="B115" s="0" t="s">
        <v>125</v>
      </c>
      <c r="C115" s="0" t="s">
        <v>69</v>
      </c>
      <c r="D115" s="0" t="n">
        <f aca="false">E33</f>
        <v>0.03</v>
      </c>
      <c r="E115" s="0" t="n">
        <f aca="false">E34</f>
        <v>0</v>
      </c>
      <c r="F115" s="0" t="n">
        <f aca="false">E35</f>
        <v>-0.06</v>
      </c>
      <c r="G115" s="0" t="s">
        <v>42</v>
      </c>
      <c r="H115" s="3" t="s">
        <v>364</v>
      </c>
    </row>
    <row r="116" customFormat="false" ht="17.15" hidden="false" customHeight="false" outlineLevel="0" collapsed="false">
      <c r="A116" s="0" t="s">
        <v>365</v>
      </c>
      <c r="B116" s="0" t="s">
        <v>131</v>
      </c>
      <c r="C116" s="0" t="s">
        <v>69</v>
      </c>
      <c r="D116" s="0" t="n">
        <f aca="false">E36</f>
        <v>0.02</v>
      </c>
      <c r="E116" s="0" t="n">
        <f aca="false">E37</f>
        <v>0</v>
      </c>
      <c r="F116" s="0" t="n">
        <f aca="false">E38</f>
        <v>-0.03</v>
      </c>
      <c r="G116" s="0" t="s">
        <v>42</v>
      </c>
      <c r="H116" s="3" t="s">
        <v>366</v>
      </c>
    </row>
    <row r="117" customFormat="false" ht="17.15" hidden="false" customHeight="false" outlineLevel="0" collapsed="false">
      <c r="A117" s="0" t="s">
        <v>367</v>
      </c>
      <c r="B117" s="0" t="s">
        <v>368</v>
      </c>
      <c r="C117" s="0" t="s">
        <v>69</v>
      </c>
      <c r="D117" s="0" t="n">
        <f aca="false">E42</f>
        <v>0.6</v>
      </c>
      <c r="E117" s="0" t="n">
        <f aca="false">E43</f>
        <v>0.4</v>
      </c>
      <c r="F117" s="0" t="n">
        <f aca="false">E44</f>
        <v>0.2</v>
      </c>
      <c r="G117" s="0" t="s">
        <v>42</v>
      </c>
      <c r="H117" s="3" t="s">
        <v>369</v>
      </c>
    </row>
    <row r="118" customFormat="false" ht="17.15" hidden="false" customHeight="false" outlineLevel="0" collapsed="false">
      <c r="A118" s="0" t="s">
        <v>370</v>
      </c>
      <c r="B118" s="0" t="s">
        <v>371</v>
      </c>
      <c r="C118" s="0" t="s">
        <v>138</v>
      </c>
      <c r="D118" s="0" t="n">
        <f aca="false">E49</f>
        <v>0.25</v>
      </c>
      <c r="E118" s="0" t="n">
        <f aca="false">E50</f>
        <v>0.12</v>
      </c>
      <c r="F118" s="0" t="n">
        <f aca="false">E51</f>
        <v>0</v>
      </c>
      <c r="G118" s="0" t="s">
        <v>42</v>
      </c>
      <c r="H118" s="3" t="s">
        <v>372</v>
      </c>
    </row>
    <row r="119" customFormat="false" ht="17.15" hidden="false" customHeight="false" outlineLevel="0" collapsed="false">
      <c r="A119" s="0" t="s">
        <v>373</v>
      </c>
      <c r="B119" s="0" t="s">
        <v>374</v>
      </c>
      <c r="C119" s="0" t="s">
        <v>138</v>
      </c>
      <c r="D119" s="0" t="n">
        <f aca="false">E52</f>
        <v>0.5</v>
      </c>
      <c r="E119" s="0" t="n">
        <f aca="false">E53</f>
        <v>0.3</v>
      </c>
      <c r="F119" s="0" t="n">
        <f aca="false">E54</f>
        <v>0.08</v>
      </c>
      <c r="G119" s="0" t="s">
        <v>42</v>
      </c>
      <c r="H119" s="3" t="s">
        <v>375</v>
      </c>
    </row>
    <row r="120" customFormat="false" ht="17.15" hidden="false" customHeight="false" outlineLevel="0" collapsed="false">
      <c r="A120" s="0" t="s">
        <v>376</v>
      </c>
      <c r="B120" s="0" t="s">
        <v>377</v>
      </c>
      <c r="C120" s="0" t="s">
        <v>69</v>
      </c>
      <c r="D120" s="0" t="n">
        <f aca="false">E100</f>
        <v>0.06</v>
      </c>
      <c r="E120" s="0" t="n">
        <f aca="false">E101</f>
        <v>0.04</v>
      </c>
      <c r="F120" s="0" t="n">
        <f aca="false">E102</f>
        <v>0.02</v>
      </c>
      <c r="G120" s="0" t="s">
        <v>42</v>
      </c>
      <c r="H120" s="3" t="s">
        <v>378</v>
      </c>
    </row>
    <row r="121" customFormat="false" ht="17.15" hidden="false" customHeight="false" outlineLevel="0" collapsed="false">
      <c r="A121" s="0" t="s">
        <v>379</v>
      </c>
      <c r="B121" s="0" t="s">
        <v>380</v>
      </c>
      <c r="C121" s="0" t="s">
        <v>69</v>
      </c>
      <c r="D121" s="15" t="n">
        <f aca="false">E103</f>
        <v>0.276492221335607</v>
      </c>
      <c r="E121" s="7" t="n">
        <f aca="false">E104</f>
        <v>0.192954919817467</v>
      </c>
      <c r="F121" s="7" t="n">
        <f aca="false">E105</f>
        <v>0.0741852981759193</v>
      </c>
      <c r="G121" s="7" t="s">
        <v>42</v>
      </c>
      <c r="H121" s="3" t="s">
        <v>381</v>
      </c>
    </row>
    <row r="122" customFormat="false" ht="17.15" hidden="false" customHeight="false" outlineLevel="0" collapsed="false">
      <c r="A122" s="0" t="s">
        <v>382</v>
      </c>
      <c r="B122" s="3" t="s">
        <v>383</v>
      </c>
      <c r="C122" s="0" t="s">
        <v>69</v>
      </c>
      <c r="D122" s="0" t="n">
        <f aca="false">E93</f>
        <v>0.3</v>
      </c>
      <c r="E122" s="0" t="n">
        <f aca="false">E94</f>
        <v>0.5</v>
      </c>
      <c r="F122" s="0" t="n">
        <f aca="false">E95</f>
        <v>0.2</v>
      </c>
      <c r="G122" s="0" t="s">
        <v>42</v>
      </c>
      <c r="H122" s="3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385</v>
      </c>
    </row>
    <row r="2" customFormat="false" ht="17.15" hidden="false" customHeight="false" outlineLevel="0" collapsed="false">
      <c r="A2" s="0" t="s">
        <v>386</v>
      </c>
    </row>
    <row r="3" customFormat="false" ht="17.15" hidden="false" customHeight="false" outlineLevel="0" collapsed="false">
      <c r="A3" s="4" t="s">
        <v>24</v>
      </c>
      <c r="B3" s="16" t="s">
        <v>387</v>
      </c>
      <c r="C3" s="16" t="s">
        <v>388</v>
      </c>
      <c r="D3" s="16" t="s">
        <v>389</v>
      </c>
      <c r="E3" s="16" t="s">
        <v>390</v>
      </c>
      <c r="F3" s="16" t="s">
        <v>391</v>
      </c>
      <c r="G3" s="16" t="s">
        <v>392</v>
      </c>
      <c r="H3" s="4" t="s">
        <v>29</v>
      </c>
      <c r="I3" s="4" t="s">
        <v>30</v>
      </c>
      <c r="J3" s="4" t="s">
        <v>31</v>
      </c>
    </row>
    <row r="4" customFormat="false" ht="17.15" hidden="false" customHeight="false" outlineLevel="0" collapsed="false">
      <c r="A4" s="3" t="s">
        <v>393</v>
      </c>
      <c r="B4" s="17" t="n">
        <v>237.553</v>
      </c>
      <c r="C4" s="17" t="n">
        <v>61.038</v>
      </c>
      <c r="D4" s="18" t="n">
        <f aca="false">129.771-C4</f>
        <v>68.733</v>
      </c>
      <c r="E4" s="18" t="n">
        <f aca="false">204.01-129.771</f>
        <v>74.239</v>
      </c>
      <c r="F4" s="18" t="n">
        <f aca="false">E4*(1+q4_ship)*(1+q4_asp)</f>
        <v>75.72378</v>
      </c>
      <c r="G4" s="18" t="n">
        <f aca="false">SUM(C4:F4)</f>
        <v>279.73378</v>
      </c>
      <c r="H4" s="7" t="s">
        <v>394</v>
      </c>
      <c r="I4" s="3" t="s">
        <v>395</v>
      </c>
      <c r="J4" s="7" t="s">
        <v>396</v>
      </c>
    </row>
    <row r="5" customFormat="false" ht="17.15" hidden="false" customHeight="false" outlineLevel="0" collapsed="false">
      <c r="A5" s="3" t="s">
        <v>397</v>
      </c>
      <c r="C5" s="8" t="n">
        <f aca="false">D5/(1+0.106)</f>
        <v>1011.17517093074</v>
      </c>
      <c r="D5" s="8" t="n">
        <f aca="false">E5/(1+0.073)</f>
        <v>1118.35973904939</v>
      </c>
      <c r="E5" s="19" t="n">
        <v>1200</v>
      </c>
      <c r="F5" s="8" t="n">
        <f aca="false">E5*(1+q4_ship)</f>
        <v>1224</v>
      </c>
      <c r="G5" s="8" t="n">
        <f aca="false">SUM(C5:F5)</f>
        <v>4553.53490998013</v>
      </c>
      <c r="H5" s="7" t="s">
        <v>398</v>
      </c>
      <c r="I5" s="3" t="s">
        <v>399</v>
      </c>
      <c r="J5" s="7" t="s">
        <v>400</v>
      </c>
    </row>
    <row r="6" customFormat="false" ht="17.15" hidden="false" customHeight="false" outlineLevel="0" collapsed="false">
      <c r="A6" s="3" t="s">
        <v>401</v>
      </c>
      <c r="C6" s="20" t="n">
        <v>0.79</v>
      </c>
      <c r="D6" s="20" t="n">
        <v>0.85</v>
      </c>
      <c r="E6" s="20" t="n">
        <v>0.92</v>
      </c>
      <c r="F6" s="21" t="n">
        <f aca="false">q4_ut</f>
        <v>0.92</v>
      </c>
      <c r="G6" s="21" t="n">
        <f aca="false">G5/G7</f>
        <v>0.870578781414787</v>
      </c>
      <c r="H6" s="7" t="s">
        <v>402</v>
      </c>
      <c r="I6" s="3" t="s">
        <v>403</v>
      </c>
      <c r="J6" s="7" t="s">
        <v>404</v>
      </c>
    </row>
    <row r="7" customFormat="false" ht="17.15" hidden="false" customHeight="false" outlineLevel="0" collapsed="false">
      <c r="A7" s="3" t="s">
        <v>405</v>
      </c>
      <c r="C7" s="8" t="n">
        <f aca="false">C5/C6</f>
        <v>1279.9685707984</v>
      </c>
      <c r="D7" s="8" t="n">
        <f aca="false">D5/D6</f>
        <v>1315.71734005811</v>
      </c>
      <c r="E7" s="8" t="n">
        <f aca="false">E5/E6</f>
        <v>1304.34782608696</v>
      </c>
      <c r="F7" s="8" t="n">
        <f aca="false">F5/F6</f>
        <v>1330.4347826087</v>
      </c>
      <c r="G7" s="8" t="n">
        <f aca="false">SUM(C7:F7)</f>
        <v>5230.46851955216</v>
      </c>
      <c r="H7" s="7" t="s">
        <v>42</v>
      </c>
      <c r="I7" s="3" t="s">
        <v>406</v>
      </c>
      <c r="J7" s="3" t="s">
        <v>407</v>
      </c>
    </row>
    <row r="8" customFormat="false" ht="17.15" hidden="false" customHeight="false" outlineLevel="0" collapsed="false">
      <c r="A8" s="3" t="s">
        <v>408</v>
      </c>
      <c r="C8" s="22" t="n">
        <f aca="false">C4/C5/fx_26*1000000</f>
        <v>1910.235075</v>
      </c>
      <c r="D8" s="22" t="n">
        <f aca="false">D4/D5/fx_26*1000000</f>
        <v>1944.89738924051</v>
      </c>
      <c r="E8" s="22" t="n">
        <f aca="false">E4/E5/fx_26*1000000</f>
        <v>1957.77953586498</v>
      </c>
      <c r="F8" s="22" t="n">
        <f aca="false">F4/F5/fx_26*1000000</f>
        <v>1957.77953586498</v>
      </c>
      <c r="G8" s="22" t="n">
        <f aca="false">G4/G5/fx_26*1000000</f>
        <v>1944.05774527491</v>
      </c>
      <c r="H8" s="7" t="s">
        <v>42</v>
      </c>
      <c r="I8" s="3" t="s">
        <v>409</v>
      </c>
      <c r="J8" s="3" t="s">
        <v>410</v>
      </c>
    </row>
    <row r="9" customFormat="false" ht="17.15" hidden="false" customHeight="false" outlineLevel="0" collapsed="false">
      <c r="A9" s="3" t="s">
        <v>411</v>
      </c>
      <c r="B9" s="17" t="n">
        <v>68.906</v>
      </c>
      <c r="C9" s="17" t="n">
        <v>17.818</v>
      </c>
      <c r="D9" s="18" t="n">
        <f aca="false">40.141-C9</f>
        <v>22.323</v>
      </c>
      <c r="E9" s="18" t="n">
        <f aca="false">65.346-40.141</f>
        <v>25.205</v>
      </c>
      <c r="F9" s="18" t="n">
        <f aca="false">F4*q4_gm</f>
        <v>25.7460852</v>
      </c>
      <c r="G9" s="18" t="n">
        <f aca="false">SUM(C9:F9)</f>
        <v>91.0920852</v>
      </c>
      <c r="H9" s="7" t="s">
        <v>394</v>
      </c>
      <c r="I9" s="3" t="s">
        <v>395</v>
      </c>
      <c r="J9" s="7" t="s">
        <v>412</v>
      </c>
    </row>
    <row r="10" customFormat="false" ht="17.15" hidden="false" customHeight="false" outlineLevel="0" collapsed="false">
      <c r="A10" s="3" t="s">
        <v>413</v>
      </c>
      <c r="B10" s="15" t="n">
        <f aca="false">B9/B4</f>
        <v>0.290065795843454</v>
      </c>
      <c r="C10" s="15" t="n">
        <f aca="false">C9/C4</f>
        <v>0.291916511025918</v>
      </c>
      <c r="D10" s="15" t="n">
        <f aca="false">D9/D4</f>
        <v>0.324778490681332</v>
      </c>
      <c r="E10" s="15" t="n">
        <f aca="false">E9/E4</f>
        <v>0.339511577472757</v>
      </c>
      <c r="F10" s="15" t="n">
        <f aca="false">F9/F4</f>
        <v>0.34</v>
      </c>
      <c r="G10" s="15" t="n">
        <f aca="false">G9/G4</f>
        <v>0.325638488136828</v>
      </c>
      <c r="H10" s="7" t="s">
        <v>42</v>
      </c>
      <c r="I10" s="7" t="s">
        <v>148</v>
      </c>
      <c r="J10" s="3" t="s">
        <v>414</v>
      </c>
    </row>
    <row r="11" customFormat="false" ht="17.15" hidden="false" customHeight="false" outlineLevel="0" collapsed="false">
      <c r="A11" s="3" t="s">
        <v>415</v>
      </c>
      <c r="B11" s="18" t="n">
        <f aca="false">B9-B12</f>
        <v>25.056</v>
      </c>
      <c r="C11" s="18" t="n">
        <f aca="false">C9-C12</f>
        <v>6.542</v>
      </c>
      <c r="D11" s="18" t="n">
        <f aca="false">D9-D12</f>
        <v>7.373</v>
      </c>
      <c r="E11" s="18" t="n">
        <f aca="false">E9-E12</f>
        <v>6.56200000000001</v>
      </c>
      <c r="F11" s="18" t="n">
        <f aca="false">q4_opx</f>
        <v>6.75886000000001</v>
      </c>
      <c r="G11" s="18" t="n">
        <f aca="false">SUM(C11:F11)</f>
        <v>27.23586</v>
      </c>
      <c r="H11" s="7" t="s">
        <v>416</v>
      </c>
      <c r="I11" s="3" t="s">
        <v>395</v>
      </c>
      <c r="J11" s="3" t="s">
        <v>417</v>
      </c>
    </row>
    <row r="12" customFormat="false" ht="17.15" hidden="false" customHeight="false" outlineLevel="0" collapsed="false">
      <c r="A12" s="3" t="s">
        <v>418</v>
      </c>
      <c r="B12" s="17" t="n">
        <v>43.85</v>
      </c>
      <c r="C12" s="17" t="n">
        <v>11.276</v>
      </c>
      <c r="D12" s="18" t="n">
        <f aca="false">26.226-C12</f>
        <v>14.95</v>
      </c>
      <c r="E12" s="18" t="n">
        <f aca="false">44.869-26.226</f>
        <v>18.643</v>
      </c>
      <c r="F12" s="18" t="n">
        <f aca="false">F9-F11</f>
        <v>18.9872252</v>
      </c>
      <c r="G12" s="18" t="n">
        <f aca="false">SUM(C12:F12)</f>
        <v>63.8562252</v>
      </c>
      <c r="H12" s="7" t="s">
        <v>419</v>
      </c>
      <c r="I12" s="3" t="s">
        <v>395</v>
      </c>
      <c r="J12" s="7" t="s">
        <v>420</v>
      </c>
    </row>
    <row r="13" customFormat="false" ht="17.15" hidden="false" customHeight="false" outlineLevel="0" collapsed="false">
      <c r="A13" s="3" t="s">
        <v>421</v>
      </c>
      <c r="B13" s="18" t="n">
        <f aca="false">B14-B12</f>
        <v>5.805</v>
      </c>
      <c r="C13" s="18" t="n">
        <f aca="false">C14-C12</f>
        <v>5.368</v>
      </c>
      <c r="D13" s="18" t="n">
        <f aca="false">D14-D12</f>
        <v>30.236</v>
      </c>
      <c r="E13" s="18" t="n">
        <f aca="false">E14-E12</f>
        <v>1.268</v>
      </c>
      <c r="F13" s="18" t="n">
        <f aca="false">q4_nonop</f>
        <v>1.5</v>
      </c>
      <c r="G13" s="18" t="n">
        <f aca="false">SUM(C13:F13)</f>
        <v>38.372</v>
      </c>
      <c r="H13" s="7" t="s">
        <v>416</v>
      </c>
      <c r="I13" s="3" t="s">
        <v>395</v>
      </c>
      <c r="J13" s="3" t="s">
        <v>422</v>
      </c>
    </row>
    <row r="14" customFormat="false" ht="17.15" hidden="false" customHeight="false" outlineLevel="0" collapsed="false">
      <c r="A14" s="3" t="s">
        <v>423</v>
      </c>
      <c r="B14" s="17" t="n">
        <v>49.655</v>
      </c>
      <c r="C14" s="17" t="n">
        <v>16.644</v>
      </c>
      <c r="D14" s="18" t="n">
        <f aca="false">61.83-C14</f>
        <v>45.186</v>
      </c>
      <c r="E14" s="18" t="n">
        <f aca="false">81.741-61.83</f>
        <v>19.911</v>
      </c>
      <c r="F14" s="18" t="n">
        <f aca="false">F12+F13</f>
        <v>20.4872252</v>
      </c>
      <c r="G14" s="18" t="n">
        <f aca="false">SUM(C14:F14)</f>
        <v>102.2282252</v>
      </c>
      <c r="H14" s="7" t="s">
        <v>419</v>
      </c>
      <c r="I14" s="3" t="s">
        <v>395</v>
      </c>
      <c r="J14" s="7" t="s">
        <v>424</v>
      </c>
    </row>
    <row r="15" customFormat="false" ht="17.15" hidden="false" customHeight="false" outlineLevel="0" collapsed="false">
      <c r="A15" s="3" t="s">
        <v>425</v>
      </c>
      <c r="B15" s="18" t="n">
        <f aca="false">B14-B17-B18</f>
        <v>7.939</v>
      </c>
      <c r="C15" s="18" t="n">
        <f aca="false">C14-C17-C18</f>
        <v>0.526999999999998</v>
      </c>
      <c r="D15" s="18" t="n">
        <f aca="false">D14-D17-D18</f>
        <v>2.962</v>
      </c>
      <c r="E15" s="18" t="n">
        <f aca="false">E14-E17-E18</f>
        <v>3.522</v>
      </c>
      <c r="F15" s="18" t="n">
        <f aca="false">F14*q4_tax</f>
        <v>3.482828284</v>
      </c>
      <c r="G15" s="18" t="n">
        <f aca="false">SUM(C15:F15)</f>
        <v>10.493828284</v>
      </c>
      <c r="H15" s="7" t="s">
        <v>416</v>
      </c>
      <c r="I15" s="3" t="s">
        <v>395</v>
      </c>
      <c r="J15" s="3" t="s">
        <v>426</v>
      </c>
    </row>
    <row r="16" customFormat="false" ht="15" hidden="false" customHeight="false" outlineLevel="0" collapsed="false">
      <c r="A16" s="3" t="s">
        <v>427</v>
      </c>
      <c r="B16" s="21" t="n">
        <f aca="false">B15/B14</f>
        <v>0.159883194038868</v>
      </c>
      <c r="C16" s="21" t="n">
        <f aca="false">C15/C14</f>
        <v>0.0316630617639989</v>
      </c>
      <c r="D16" s="21" t="n">
        <f aca="false">D15/D14</f>
        <v>0.0655512769441862</v>
      </c>
      <c r="E16" s="21" t="n">
        <f aca="false">E15/E14</f>
        <v>0.176887147807744</v>
      </c>
      <c r="F16" s="21" t="n">
        <f aca="false">F15/F14</f>
        <v>0.17</v>
      </c>
      <c r="G16" s="21" t="n">
        <f aca="false">G15/G14</f>
        <v>0.102650987664804</v>
      </c>
      <c r="H16" s="7" t="s">
        <v>42</v>
      </c>
      <c r="I16" s="7" t="s">
        <v>148</v>
      </c>
      <c r="J16" s="7" t="s">
        <v>148</v>
      </c>
    </row>
    <row r="17" customFormat="false" ht="17.15" hidden="false" customHeight="false" outlineLevel="0" collapsed="false">
      <c r="A17" s="3" t="s">
        <v>428</v>
      </c>
      <c r="B17" s="17" t="n">
        <v>41.716</v>
      </c>
      <c r="C17" s="17" t="n">
        <v>16.171</v>
      </c>
      <c r="D17" s="18" t="n">
        <f aca="false">58.431-C17</f>
        <v>42.26</v>
      </c>
      <c r="E17" s="18" t="n">
        <f aca="false">74.865-58.431</f>
        <v>16.434</v>
      </c>
      <c r="F17" s="18" t="n">
        <f aca="false">F14-F15-F18</f>
        <v>17.004396916</v>
      </c>
      <c r="G17" s="18" t="n">
        <f aca="false">SUM(C17:F17)</f>
        <v>91.869396916</v>
      </c>
      <c r="H17" s="7" t="s">
        <v>419</v>
      </c>
      <c r="I17" s="3" t="s">
        <v>395</v>
      </c>
      <c r="J17" s="7" t="s">
        <v>429</v>
      </c>
    </row>
    <row r="18" customFormat="false" ht="17.15" hidden="false" customHeight="false" outlineLevel="0" collapsed="false">
      <c r="A18" s="3" t="s">
        <v>430</v>
      </c>
      <c r="B18" s="17" t="n">
        <v>0</v>
      </c>
      <c r="C18" s="18" t="n">
        <f aca="false">16.117-C17</f>
        <v>-0.0539999999999985</v>
      </c>
      <c r="D18" s="18" t="n">
        <f aca="false">(58.341-16.117)-D17</f>
        <v>-0.0359999999999943</v>
      </c>
      <c r="E18" s="18" t="n">
        <f aca="false">(74.73-58.341)-E17</f>
        <v>-0.0449999999999946</v>
      </c>
      <c r="F18" s="17" t="n">
        <v>0</v>
      </c>
      <c r="G18" s="18" t="n">
        <f aca="false">SUM(C18:F18)</f>
        <v>-0.134999999999987</v>
      </c>
      <c r="H18" s="7" t="s">
        <v>416</v>
      </c>
      <c r="I18" s="3" t="s">
        <v>395</v>
      </c>
      <c r="J18" s="3" t="s">
        <v>431</v>
      </c>
    </row>
    <row r="19" customFormat="false" ht="17.15" hidden="false" customHeight="false" outlineLevel="0" collapsed="false">
      <c r="A19" s="3" t="s">
        <v>432</v>
      </c>
      <c r="B19" s="9" t="n">
        <f aca="false">41.716/3.34</f>
        <v>12.4898203592814</v>
      </c>
      <c r="C19" s="9" t="n">
        <f aca="false">16.171/1.29</f>
        <v>12.5356589147287</v>
      </c>
      <c r="D19" s="9" t="n">
        <f aca="false">42.26/3.39</f>
        <v>12.4660766961652</v>
      </c>
      <c r="E19" s="9" t="n">
        <f aca="false">16.434/1.32</f>
        <v>12.45</v>
      </c>
      <c r="F19" s="9" t="n">
        <f aca="false">q_sh</f>
        <v>12.45</v>
      </c>
      <c r="G19" s="9" t="n">
        <f aca="false">AVERAGE(C19:F19)</f>
        <v>12.4754339027235</v>
      </c>
      <c r="H19" s="7" t="s">
        <v>42</v>
      </c>
      <c r="I19" s="3" t="s">
        <v>433</v>
      </c>
      <c r="J19" s="7" t="s">
        <v>148</v>
      </c>
    </row>
    <row r="20" customFormat="false" ht="17.15" hidden="false" customHeight="false" outlineLevel="0" collapsed="false">
      <c r="A20" s="0" t="s">
        <v>434</v>
      </c>
      <c r="B20" s="23" t="n">
        <f aca="false">B17/B19</f>
        <v>3.34</v>
      </c>
      <c r="C20" s="23" t="n">
        <f aca="false">C17/C19</f>
        <v>1.29</v>
      </c>
      <c r="D20" s="23" t="n">
        <f aca="false">D17/D19</f>
        <v>3.39</v>
      </c>
      <c r="E20" s="23" t="n">
        <f aca="false">E17/E19</f>
        <v>1.32</v>
      </c>
      <c r="F20" s="23" t="n">
        <f aca="false">F17/F19</f>
        <v>1.36581501333333</v>
      </c>
      <c r="G20" s="23" t="n">
        <f aca="false">G17/G19</f>
        <v>7.36402418002827</v>
      </c>
      <c r="H20" s="7" t="s">
        <v>42</v>
      </c>
      <c r="I20" s="3" t="s">
        <v>435</v>
      </c>
      <c r="J20" s="7" t="s">
        <v>148</v>
      </c>
    </row>
    <row r="21" customFormat="false" ht="17.15" hidden="false" customHeight="false" outlineLevel="0" collapsed="false">
      <c r="A21" s="3" t="s">
        <v>436</v>
      </c>
      <c r="B21" s="24" t="n">
        <v>3.34</v>
      </c>
      <c r="C21" s="24" t="n">
        <v>1.29</v>
      </c>
      <c r="D21" s="24" t="n">
        <v>3.39</v>
      </c>
      <c r="E21" s="24" t="n">
        <v>1.32</v>
      </c>
      <c r="H21" s="7" t="s">
        <v>402</v>
      </c>
      <c r="I21" s="3" t="s">
        <v>437</v>
      </c>
      <c r="J21" s="7" t="s">
        <v>438</v>
      </c>
    </row>
    <row r="23" customFormat="false" ht="17.15" hidden="false" customHeight="false" outlineLevel="0" collapsed="false">
      <c r="A23" s="5" t="s">
        <v>439</v>
      </c>
    </row>
    <row r="24" customFormat="false" ht="17.15" hidden="false" customHeight="false" outlineLevel="0" collapsed="false">
      <c r="A24" s="0" t="s">
        <v>440</v>
      </c>
      <c r="B24" s="21" t="n">
        <f aca="false">G4/B4-1</f>
        <v>0.177563659478096</v>
      </c>
    </row>
    <row r="25" customFormat="false" ht="17.15" hidden="false" customHeight="false" outlineLevel="0" collapsed="false">
      <c r="A25" s="0" t="s">
        <v>441</v>
      </c>
      <c r="B25" s="21" t="n">
        <f aca="false">E4/D4-1</f>
        <v>0.0801070810236715</v>
      </c>
    </row>
    <row r="26" customFormat="false" ht="17.15" hidden="false" customHeight="false" outlineLevel="0" collapsed="false">
      <c r="A26" s="0" t="s">
        <v>442</v>
      </c>
      <c r="B26" s="21" t="n">
        <f aca="false">G10</f>
        <v>0.325638488136828</v>
      </c>
    </row>
    <row r="27" customFormat="false" ht="17.15" hidden="false" customHeight="false" outlineLevel="0" collapsed="false">
      <c r="A27" s="0" t="s">
        <v>443</v>
      </c>
      <c r="B27" s="21" t="n">
        <f aca="false">G12/G4</f>
        <v>0.228274987740129</v>
      </c>
    </row>
    <row r="28" customFormat="false" ht="17.15" hidden="false" customHeight="false" outlineLevel="0" collapsed="false">
      <c r="A28" s="3" t="s">
        <v>444</v>
      </c>
      <c r="B28" s="25" t="n">
        <f aca="false">SUM(C20:E20)-6</f>
        <v>0</v>
      </c>
    </row>
    <row r="29" customFormat="false" ht="17.15" hidden="false" customHeight="false" outlineLevel="0" collapsed="false">
      <c r="A29" s="3" t="s">
        <v>445</v>
      </c>
      <c r="B29" s="25" t="n">
        <f aca="false">SUM(C4:E4)-204.01</f>
        <v>0</v>
      </c>
    </row>
    <row r="30" customFormat="false" ht="17.15" hidden="false" customHeight="false" outlineLevel="0" collapsed="false">
      <c r="A30" s="0" t="s">
        <v>446</v>
      </c>
      <c r="B30" s="26" t="n">
        <f aca="false">G20-(D13-E13)*(1-0.17)/G19</f>
        <v>5.43676135394322</v>
      </c>
    </row>
    <row r="34" customFormat="false" ht="17.15" hidden="false" customHeight="false" outlineLevel="0" collapsed="false">
      <c r="A34" s="1" t="s">
        <v>447</v>
      </c>
    </row>
    <row r="35" customFormat="false" ht="17.15" hidden="false" customHeight="false" outlineLevel="0" collapsed="false">
      <c r="A35" s="4" t="s">
        <v>24</v>
      </c>
      <c r="B35" s="16" t="s">
        <v>387</v>
      </c>
      <c r="C35" s="16" t="s">
        <v>448</v>
      </c>
      <c r="D35" s="16" t="s">
        <v>449</v>
      </c>
      <c r="E35" s="16" t="s">
        <v>450</v>
      </c>
      <c r="F35" s="16" t="s">
        <v>451</v>
      </c>
      <c r="G35" s="4" t="s">
        <v>452</v>
      </c>
      <c r="H35" s="1" t="s">
        <v>29</v>
      </c>
      <c r="I35" s="1" t="s">
        <v>30</v>
      </c>
      <c r="J35" s="1" t="s">
        <v>31</v>
      </c>
    </row>
    <row r="36" customFormat="false" ht="17.15" hidden="false" customHeight="false" outlineLevel="0" collapsed="false">
      <c r="A36" s="3" t="s">
        <v>453</v>
      </c>
      <c r="B36" s="17" t="n">
        <v>237.553</v>
      </c>
      <c r="C36" s="17" t="n">
        <v>61.81</v>
      </c>
      <c r="D36" s="18" t="n">
        <f aca="false">C4</f>
        <v>61.038</v>
      </c>
      <c r="E36" s="18" t="n">
        <f aca="false">D4</f>
        <v>68.733</v>
      </c>
      <c r="F36" s="18" t="n">
        <f aca="false">E4</f>
        <v>74.239</v>
      </c>
      <c r="G36" s="18" t="n">
        <f aca="false">SUM(C36:F36)</f>
        <v>265.82</v>
      </c>
      <c r="H36" s="7" t="s">
        <v>402</v>
      </c>
      <c r="I36" s="3" t="s">
        <v>454</v>
      </c>
      <c r="J36" s="3" t="s">
        <v>455</v>
      </c>
    </row>
    <row r="37" customFormat="false" ht="17.15" hidden="false" customHeight="false" outlineLevel="0" collapsed="false">
      <c r="A37" s="0" t="s">
        <v>456</v>
      </c>
      <c r="C37" s="18" t="n">
        <f aca="false">C36*0.36</f>
        <v>22.2516</v>
      </c>
      <c r="D37" s="18" t="n">
        <f aca="false">D36*0.34</f>
        <v>20.75292</v>
      </c>
      <c r="E37" s="18" t="n">
        <f aca="false">E36*0.37</f>
        <v>25.43121</v>
      </c>
      <c r="F37" s="18" t="n">
        <f aca="false">F36*0.35</f>
        <v>25.98365</v>
      </c>
      <c r="G37" s="18" t="n">
        <f aca="false">SUM(C37:F37)</f>
        <v>94.41938</v>
      </c>
      <c r="H37" s="7" t="s">
        <v>402</v>
      </c>
      <c r="I37" s="3" t="s">
        <v>457</v>
      </c>
      <c r="J37" s="7" t="s">
        <v>458</v>
      </c>
    </row>
    <row r="38" customFormat="false" ht="17.15" hidden="false" customHeight="false" outlineLevel="0" collapsed="false">
      <c r="A38" s="3" t="s">
        <v>459</v>
      </c>
      <c r="C38" s="18" t="n">
        <f aca="false">C36-C37</f>
        <v>39.5584</v>
      </c>
      <c r="D38" s="18" t="n">
        <f aca="false">D36-D37</f>
        <v>40.28508</v>
      </c>
      <c r="E38" s="18" t="n">
        <f aca="false">E36-E37</f>
        <v>43.30179</v>
      </c>
      <c r="F38" s="18" t="n">
        <f aca="false">F36-F37</f>
        <v>48.25535</v>
      </c>
      <c r="G38" s="18" t="n">
        <f aca="false">G36-G37</f>
        <v>171.40062</v>
      </c>
      <c r="H38" s="7" t="s">
        <v>42</v>
      </c>
      <c r="I38" s="3" t="s">
        <v>460</v>
      </c>
      <c r="J38" s="7" t="s">
        <v>461</v>
      </c>
    </row>
    <row r="39" customFormat="false" ht="17.15" hidden="false" customHeight="false" outlineLevel="0" collapsed="false">
      <c r="A39" s="3" t="s">
        <v>462</v>
      </c>
      <c r="B39" s="18" t="n">
        <f aca="false">B36-B4</f>
        <v>0</v>
      </c>
      <c r="C39" s="18" t="n">
        <f aca="false">C36-61.81</f>
        <v>0</v>
      </c>
      <c r="D39" s="18" t="n">
        <f aca="false">D36-C4</f>
        <v>0</v>
      </c>
      <c r="E39" s="18" t="n">
        <f aca="false">E36-D4</f>
        <v>0</v>
      </c>
      <c r="F39" s="18" t="n">
        <f aca="false">F36-E4</f>
        <v>0</v>
      </c>
      <c r="H39" s="7" t="s">
        <v>42</v>
      </c>
      <c r="I39" s="7" t="s">
        <v>148</v>
      </c>
      <c r="J39" s="3" t="s">
        <v>463</v>
      </c>
    </row>
    <row r="40" customFormat="false" ht="17.15" hidden="false" customHeight="false" outlineLevel="0" collapsed="false">
      <c r="A40" s="3" t="s">
        <v>464</v>
      </c>
      <c r="C40" s="18" t="n">
        <f aca="false">C37+C38-C36</f>
        <v>0</v>
      </c>
      <c r="D40" s="18" t="n">
        <f aca="false">D37+D38-D36</f>
        <v>0</v>
      </c>
      <c r="E40" s="18" t="n">
        <f aca="false">E37+E38-E36</f>
        <v>0</v>
      </c>
      <c r="F40" s="18" t="n">
        <f aca="false">F37+F38-F36</f>
        <v>0</v>
      </c>
      <c r="G40" s="18" t="n">
        <f aca="false">G37+G38-G36</f>
        <v>0</v>
      </c>
      <c r="H40" s="7" t="s">
        <v>42</v>
      </c>
      <c r="I40" s="7" t="s">
        <v>148</v>
      </c>
      <c r="J40" s="3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465</v>
      </c>
    </row>
    <row r="3" customFormat="false" ht="15" hidden="false" customHeight="false" outlineLevel="0" collapsed="false">
      <c r="A3" s="4" t="s">
        <v>24</v>
      </c>
      <c r="B3" s="4" t="s">
        <v>25</v>
      </c>
      <c r="C3" s="16" t="s">
        <v>466</v>
      </c>
      <c r="D3" s="16" t="s">
        <v>467</v>
      </c>
      <c r="E3" s="16" t="s">
        <v>468</v>
      </c>
      <c r="F3" s="16" t="s">
        <v>469</v>
      </c>
      <c r="G3" s="4" t="s">
        <v>345</v>
      </c>
    </row>
    <row r="4" customFormat="false" ht="17.15" hidden="false" customHeight="false" outlineLevel="0" collapsed="false">
      <c r="A4" s="5" t="s">
        <v>470</v>
      </c>
    </row>
    <row r="5" customFormat="false" ht="17.15" hidden="false" customHeight="false" outlineLevel="0" collapsed="false">
      <c r="A5" s="3" t="s">
        <v>471</v>
      </c>
      <c r="B5" s="0" t="s">
        <v>69</v>
      </c>
      <c r="C5" s="21" t="n">
        <f aca="false">PL!D64</f>
        <v>0.870578781414787</v>
      </c>
      <c r="D5" s="21" t="n">
        <f aca="false">PL!E64</f>
        <v>0.95</v>
      </c>
      <c r="E5" s="21" t="n">
        <f aca="false">PL!F64</f>
        <v>0.94</v>
      </c>
      <c r="F5" s="21" t="n">
        <f aca="false">PL!G64</f>
        <v>0.93</v>
      </c>
      <c r="G5" s="7" t="s">
        <v>472</v>
      </c>
    </row>
    <row r="6" customFormat="false" ht="17.15" hidden="false" customHeight="false" outlineLevel="0" collapsed="false">
      <c r="A6" s="3" t="s">
        <v>473</v>
      </c>
      <c r="B6" s="0" t="s">
        <v>69</v>
      </c>
      <c r="C6" s="21" t="n">
        <f aca="false">PL!D103</f>
        <v>0.870578781414787</v>
      </c>
      <c r="D6" s="21" t="n">
        <f aca="false">PL!E103</f>
        <v>0.9</v>
      </c>
      <c r="E6" s="21" t="n">
        <f aca="false">PL!F103</f>
        <v>0.87</v>
      </c>
      <c r="F6" s="21" t="n">
        <f aca="false">PL!G103</f>
        <v>0.88</v>
      </c>
      <c r="G6" s="3" t="s">
        <v>48</v>
      </c>
    </row>
    <row r="7" customFormat="false" ht="17.15" hidden="false" customHeight="false" outlineLevel="0" collapsed="false">
      <c r="A7" s="3" t="s">
        <v>474</v>
      </c>
      <c r="B7" s="0" t="s">
        <v>69</v>
      </c>
      <c r="C7" s="21" t="n">
        <f aca="false">PL!D142</f>
        <v>0.870578781414787</v>
      </c>
      <c r="D7" s="21" t="n">
        <f aca="false">PL!E142</f>
        <v>0.82</v>
      </c>
      <c r="E7" s="21" t="n">
        <f aca="false">PL!F142</f>
        <v>0.76</v>
      </c>
      <c r="F7" s="21" t="n">
        <f aca="false">PL!G142</f>
        <v>0.8</v>
      </c>
      <c r="G7" s="3" t="s">
        <v>48</v>
      </c>
    </row>
    <row r="8" customFormat="false" ht="17.15" hidden="false" customHeight="false" outlineLevel="0" collapsed="false">
      <c r="A8" s="3" t="s">
        <v>475</v>
      </c>
      <c r="B8" s="3" t="s">
        <v>64</v>
      </c>
      <c r="C8" s="22" t="n">
        <f aca="false">PL!D65</f>
        <v>4553.53490998013</v>
      </c>
      <c r="D8" s="22" t="n">
        <f aca="false">PL!E65</f>
        <v>5167.70289731754</v>
      </c>
      <c r="E8" s="22" t="n">
        <f aca="false">PL!F65</f>
        <v>5471.23744644419</v>
      </c>
      <c r="F8" s="22" t="n">
        <f aca="false">PL!G65</f>
        <v>5791.94508825172</v>
      </c>
      <c r="G8" s="7" t="s">
        <v>472</v>
      </c>
    </row>
    <row r="9" customFormat="false" ht="17.15" hidden="false" customHeight="false" outlineLevel="0" collapsed="false">
      <c r="A9" s="3" t="s">
        <v>476</v>
      </c>
      <c r="B9" s="3" t="s">
        <v>64</v>
      </c>
      <c r="C9" s="22" t="n">
        <f aca="false">PL!D104</f>
        <v>4553.53490998013</v>
      </c>
      <c r="D9" s="22" t="n">
        <f aca="false">PL!E104</f>
        <v>4895.71853430083</v>
      </c>
      <c r="E9" s="22" t="n">
        <f aca="false">PL!F104</f>
        <v>5063.80487064515</v>
      </c>
      <c r="F9" s="22" t="n">
        <f aca="false">PL!G104</f>
        <v>5480.55019103388</v>
      </c>
      <c r="G9" s="3" t="s">
        <v>48</v>
      </c>
    </row>
    <row r="10" customFormat="false" ht="17.15" hidden="false" customHeight="false" outlineLevel="0" collapsed="false">
      <c r="A10" s="3" t="s">
        <v>477</v>
      </c>
      <c r="B10" s="3" t="s">
        <v>64</v>
      </c>
      <c r="C10" s="22" t="n">
        <f aca="false">PL!D143</f>
        <v>4553.53490998013</v>
      </c>
      <c r="D10" s="22" t="n">
        <f aca="false">PL!E143</f>
        <v>4460.54355347409</v>
      </c>
      <c r="E10" s="22" t="n">
        <f aca="false">PL!F143</f>
        <v>4423.55368010381</v>
      </c>
      <c r="F10" s="22" t="n">
        <f aca="false">PL!G143</f>
        <v>4982.31835548535</v>
      </c>
      <c r="G10" s="3" t="s">
        <v>48</v>
      </c>
    </row>
    <row r="11" customFormat="false" ht="17.15" hidden="false" customHeight="false" outlineLevel="0" collapsed="false">
      <c r="A11" s="3" t="s">
        <v>478</v>
      </c>
      <c r="B11" s="0" t="s">
        <v>109</v>
      </c>
      <c r="C11" s="22" t="n">
        <f aca="false">PL!D66</f>
        <v>1878.17486396824</v>
      </c>
      <c r="D11" s="22" t="n">
        <f aca="false">PL!E66</f>
        <v>2065.99235036507</v>
      </c>
      <c r="E11" s="22" t="n">
        <f aca="false">PL!F66</f>
        <v>2127.97212087602</v>
      </c>
      <c r="F11" s="22" t="n">
        <f aca="false">PL!G66</f>
        <v>2170.53156329354</v>
      </c>
      <c r="G11" s="7" t="s">
        <v>472</v>
      </c>
    </row>
    <row r="12" customFormat="false" ht="17.15" hidden="false" customHeight="false" outlineLevel="0" collapsed="false">
      <c r="A12" s="3" t="s">
        <v>479</v>
      </c>
      <c r="B12" s="0" t="s">
        <v>109</v>
      </c>
      <c r="C12" s="22" t="n">
        <f aca="false">PL!D105</f>
        <v>1878.17486396824</v>
      </c>
      <c r="D12" s="22" t="n">
        <f aca="false">PL!E105</f>
        <v>1972.08360716666</v>
      </c>
      <c r="E12" s="22" t="n">
        <f aca="false">PL!F105</f>
        <v>1972.08360716666</v>
      </c>
      <c r="F12" s="22" t="n">
        <f aca="false">PL!G105</f>
        <v>1972.08360716666</v>
      </c>
      <c r="G12" s="3" t="s">
        <v>48</v>
      </c>
    </row>
    <row r="13" customFormat="false" ht="17.15" hidden="false" customHeight="false" outlineLevel="0" collapsed="false">
      <c r="A13" s="3" t="s">
        <v>480</v>
      </c>
      <c r="B13" s="0" t="s">
        <v>109</v>
      </c>
      <c r="C13" s="22" t="n">
        <f aca="false">PL!D144</f>
        <v>1878.17486396824</v>
      </c>
      <c r="D13" s="22" t="n">
        <f aca="false">PL!E144</f>
        <v>1878.17486396824</v>
      </c>
      <c r="E13" s="22" t="n">
        <f aca="false">PL!F144</f>
        <v>1765.48437213015</v>
      </c>
      <c r="F13" s="22" t="n">
        <f aca="false">PL!G144</f>
        <v>1712.51984096625</v>
      </c>
      <c r="G13" s="3" t="s">
        <v>48</v>
      </c>
    </row>
    <row r="14" customFormat="false" ht="17.15" hidden="false" customHeight="false" outlineLevel="0" collapsed="false">
      <c r="A14" s="3" t="s">
        <v>481</v>
      </c>
      <c r="B14" s="0" t="s">
        <v>181</v>
      </c>
      <c r="C14" s="8" t="n">
        <f aca="false">PL!D69</f>
        <v>270.25378</v>
      </c>
      <c r="D14" s="8" t="n">
        <f aca="false">PL!E69</f>
        <v>341.645908954158</v>
      </c>
      <c r="E14" s="8" t="n">
        <f aca="false">PL!F69</f>
        <v>372.564504087237</v>
      </c>
      <c r="F14" s="8" t="n">
        <f aca="false">PL!G69</f>
        <v>402.291188061227</v>
      </c>
      <c r="G14" s="7" t="s">
        <v>472</v>
      </c>
    </row>
    <row r="15" customFormat="false" ht="17.15" hidden="false" customHeight="false" outlineLevel="0" collapsed="false">
      <c r="A15" s="3" t="s">
        <v>482</v>
      </c>
      <c r="B15" s="0" t="s">
        <v>181</v>
      </c>
      <c r="C15" s="8" t="n">
        <f aca="false">PL!D108</f>
        <v>270.25378</v>
      </c>
      <c r="D15" s="8" t="n">
        <f aca="false">PL!E108</f>
        <v>308.952520537492</v>
      </c>
      <c r="E15" s="8" t="n">
        <f aca="false">PL!F108</f>
        <v>319.559890409279</v>
      </c>
      <c r="F15" s="8" t="n">
        <f aca="false">PL!G108</f>
        <v>345.859302079744</v>
      </c>
      <c r="G15" s="3" t="s">
        <v>48</v>
      </c>
    </row>
    <row r="16" customFormat="false" ht="17.15" hidden="false" customHeight="false" outlineLevel="0" collapsed="false">
      <c r="A16" s="3" t="s">
        <v>483</v>
      </c>
      <c r="B16" s="0" t="s">
        <v>181</v>
      </c>
      <c r="C16" s="8" t="n">
        <f aca="false">PL!D147</f>
        <v>270.25378</v>
      </c>
      <c r="D16" s="8" t="n">
        <f aca="false">PL!E147</f>
        <v>268.08578501666</v>
      </c>
      <c r="E16" s="8" t="n">
        <f aca="false">PL!F147</f>
        <v>249.910876528067</v>
      </c>
      <c r="F16" s="8" t="n">
        <f aca="false">PL!G147</f>
        <v>273.034209208927</v>
      </c>
      <c r="G16" s="3" t="s">
        <v>48</v>
      </c>
    </row>
    <row r="18" customFormat="false" ht="17.15" hidden="false" customHeight="false" outlineLevel="0" collapsed="false">
      <c r="A18" s="5" t="s">
        <v>484</v>
      </c>
    </row>
    <row r="19" customFormat="false" ht="17.15" hidden="false" customHeight="false" outlineLevel="0" collapsed="false">
      <c r="A19" s="0" t="s">
        <v>485</v>
      </c>
      <c r="B19" s="0" t="s">
        <v>138</v>
      </c>
      <c r="C19" s="25" t="n">
        <f aca="false">PL!D71</f>
        <v>0.3</v>
      </c>
      <c r="D19" s="25" t="n">
        <f aca="false">PL!E71</f>
        <v>0.48</v>
      </c>
      <c r="E19" s="25" t="n">
        <f aca="false">PL!F71</f>
        <v>0.696</v>
      </c>
      <c r="F19" s="25" t="n">
        <f aca="false">PL!G71</f>
        <v>1.0092</v>
      </c>
      <c r="G19" s="7" t="s">
        <v>472</v>
      </c>
    </row>
    <row r="20" customFormat="false" ht="17.15" hidden="false" customHeight="false" outlineLevel="0" collapsed="false">
      <c r="A20" s="0" t="s">
        <v>486</v>
      </c>
      <c r="B20" s="0" t="s">
        <v>138</v>
      </c>
      <c r="C20" s="25" t="n">
        <f aca="false">PL!D110</f>
        <v>0.3</v>
      </c>
      <c r="D20" s="25" t="n">
        <f aca="false">PL!E110</f>
        <v>0.42</v>
      </c>
      <c r="E20" s="25" t="n">
        <f aca="false">PL!F110</f>
        <v>0.4872</v>
      </c>
      <c r="F20" s="25" t="n">
        <f aca="false">PL!G110</f>
        <v>0.7505925</v>
      </c>
      <c r="G20" s="3" t="s">
        <v>48</v>
      </c>
    </row>
    <row r="21" customFormat="false" ht="17.15" hidden="false" customHeight="false" outlineLevel="0" collapsed="false">
      <c r="A21" s="0" t="s">
        <v>487</v>
      </c>
      <c r="B21" s="0" t="s">
        <v>138</v>
      </c>
      <c r="C21" s="25" t="n">
        <f aca="false">PL!D149</f>
        <v>0.3</v>
      </c>
      <c r="D21" s="25" t="n">
        <f aca="false">PL!E149</f>
        <v>0.36</v>
      </c>
      <c r="E21" s="25" t="n">
        <f aca="false">PL!F149</f>
        <v>0.3132</v>
      </c>
      <c r="F21" s="25" t="n">
        <f aca="false">PL!G149</f>
        <v>0.45414</v>
      </c>
      <c r="G21" s="3" t="s">
        <v>48</v>
      </c>
    </row>
    <row r="22" customFormat="false" ht="17.15" hidden="false" customHeight="false" outlineLevel="0" collapsed="false">
      <c r="A22" s="0" t="s">
        <v>488</v>
      </c>
      <c r="B22" s="0" t="s">
        <v>69</v>
      </c>
      <c r="C22" s="21" t="n">
        <f aca="false">PL!D76</f>
        <v>0.0338893643806622</v>
      </c>
      <c r="D22" s="21" t="n">
        <f aca="false">PL!E76</f>
        <v>0.0430244979557813</v>
      </c>
      <c r="E22" s="21" t="n">
        <f aca="false">PL!F76</f>
        <v>0.0552879388387723</v>
      </c>
      <c r="F22" s="21" t="n">
        <f aca="false">PL!G76</f>
        <v>0.0716720659862999</v>
      </c>
      <c r="G22" s="7" t="s">
        <v>472</v>
      </c>
    </row>
    <row r="23" customFormat="false" ht="17.15" hidden="false" customHeight="false" outlineLevel="0" collapsed="false">
      <c r="A23" s="0" t="s">
        <v>489</v>
      </c>
      <c r="B23" s="0" t="s">
        <v>69</v>
      </c>
      <c r="C23" s="21" t="n">
        <f aca="false">PL!D115</f>
        <v>0.0338893643806622</v>
      </c>
      <c r="D23" s="21" t="n">
        <f aca="false">PL!E115</f>
        <v>0.0416883120538679</v>
      </c>
      <c r="E23" s="21" t="n">
        <f aca="false">PL!F115</f>
        <v>0.0459906977901254</v>
      </c>
      <c r="F23" s="21" t="n">
        <f aca="false">PL!G115</f>
        <v>0.0632946927404042</v>
      </c>
      <c r="G23" s="3" t="s">
        <v>48</v>
      </c>
    </row>
    <row r="24" customFormat="false" ht="17.15" hidden="false" customHeight="false" outlineLevel="0" collapsed="false">
      <c r="A24" s="0" t="s">
        <v>490</v>
      </c>
      <c r="B24" s="0" t="s">
        <v>69</v>
      </c>
      <c r="C24" s="21" t="n">
        <f aca="false">PL!D154</f>
        <v>0.0338893643806622</v>
      </c>
      <c r="D24" s="21" t="n">
        <f aca="false">PL!E154</f>
        <v>0.0412008642786615</v>
      </c>
      <c r="E24" s="21" t="n">
        <f aca="false">PL!F154</f>
        <v>0.0385575872926674</v>
      </c>
      <c r="F24" s="21" t="n">
        <f aca="false">PL!G154</f>
        <v>0.0500901176642002</v>
      </c>
      <c r="G24" s="3" t="s">
        <v>48</v>
      </c>
    </row>
    <row r="25" customFormat="false" ht="17.15" hidden="false" customHeight="false" outlineLevel="0" collapsed="false">
      <c r="A25" s="0" t="s">
        <v>491</v>
      </c>
      <c r="B25" s="0" t="s">
        <v>138</v>
      </c>
      <c r="C25" s="25" t="n">
        <f aca="false">PL!D73</f>
        <v>0</v>
      </c>
      <c r="D25" s="25" t="n">
        <f aca="false">PL!E73</f>
        <v>0</v>
      </c>
      <c r="E25" s="25" t="n">
        <f aca="false">PL!F73</f>
        <v>0.25</v>
      </c>
      <c r="F25" s="25" t="n">
        <f aca="false">PL!G73</f>
        <v>0.5</v>
      </c>
      <c r="G25" s="7" t="s">
        <v>472</v>
      </c>
    </row>
    <row r="26" customFormat="false" ht="17.15" hidden="false" customHeight="false" outlineLevel="0" collapsed="false">
      <c r="A26" s="0" t="s">
        <v>492</v>
      </c>
      <c r="B26" s="0" t="s">
        <v>138</v>
      </c>
      <c r="C26" s="25" t="n">
        <f aca="false">PL!D112</f>
        <v>0</v>
      </c>
      <c r="D26" s="25" t="n">
        <f aca="false">PL!E112</f>
        <v>0</v>
      </c>
      <c r="E26" s="25" t="n">
        <f aca="false">PL!F112</f>
        <v>0.12</v>
      </c>
      <c r="F26" s="25" t="n">
        <f aca="false">PL!G112</f>
        <v>0.3</v>
      </c>
      <c r="G26" s="3" t="s">
        <v>48</v>
      </c>
    </row>
    <row r="27" customFormat="false" ht="17.15" hidden="false" customHeight="false" outlineLevel="0" collapsed="false">
      <c r="A27" s="0" t="s">
        <v>493</v>
      </c>
      <c r="B27" s="0" t="s">
        <v>138</v>
      </c>
      <c r="C27" s="25" t="n">
        <f aca="false">PL!D151</f>
        <v>0</v>
      </c>
      <c r="D27" s="25" t="n">
        <f aca="false">PL!E151</f>
        <v>0</v>
      </c>
      <c r="E27" s="25" t="n">
        <f aca="false">PL!F151</f>
        <v>0</v>
      </c>
      <c r="F27" s="25" t="n">
        <f aca="false">PL!G151</f>
        <v>0.08</v>
      </c>
      <c r="G27" s="3" t="s">
        <v>48</v>
      </c>
    </row>
    <row r="29" customFormat="false" ht="17.15" hidden="false" customHeight="false" outlineLevel="0" collapsed="false">
      <c r="A29" s="5" t="s">
        <v>494</v>
      </c>
    </row>
    <row r="30" customFormat="false" ht="17.15" hidden="false" customHeight="false" outlineLevel="0" collapsed="false">
      <c r="A30" s="0" t="s">
        <v>495</v>
      </c>
      <c r="C30" s="22" t="n">
        <f aca="false">PL!D66</f>
        <v>1878.17486396824</v>
      </c>
      <c r="G30" s="3" t="s">
        <v>496</v>
      </c>
    </row>
    <row r="31" customFormat="false" ht="17.15" hidden="false" customHeight="false" outlineLevel="0" collapsed="false">
      <c r="A31" s="0" t="s">
        <v>497</v>
      </c>
      <c r="C31" s="23" t="n">
        <f aca="false">PL!D80</f>
        <v>27.9465727870208</v>
      </c>
      <c r="G31" s="3" t="s">
        <v>498</v>
      </c>
    </row>
    <row r="32" customFormat="false" ht="17.15" hidden="false" customHeight="false" outlineLevel="0" collapsed="false">
      <c r="A32" s="0" t="s">
        <v>499</v>
      </c>
      <c r="C32" s="23" t="n">
        <f aca="false">PL!D79</f>
        <v>56.172</v>
      </c>
      <c r="G32" s="3" t="s">
        <v>500</v>
      </c>
    </row>
    <row r="34" customFormat="false" ht="17.15" hidden="false" customHeight="false" outlineLevel="0" collapsed="false">
      <c r="A34" s="1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502</v>
      </c>
    </row>
    <row r="2" customFormat="false" ht="17.15" hidden="false" customHeight="false" outlineLevel="0" collapsed="false">
      <c r="A2" s="3" t="s">
        <v>503</v>
      </c>
    </row>
    <row r="3" customFormat="false" ht="17.15" hidden="false" customHeight="false" outlineLevel="0" collapsed="false">
      <c r="A3" s="4" t="s">
        <v>504</v>
      </c>
      <c r="B3" s="4" t="s">
        <v>25</v>
      </c>
      <c r="C3" s="16" t="s">
        <v>387</v>
      </c>
      <c r="D3" s="16" t="s">
        <v>505</v>
      </c>
      <c r="E3" s="16" t="s">
        <v>467</v>
      </c>
      <c r="F3" s="16" t="s">
        <v>468</v>
      </c>
      <c r="G3" s="16" t="s">
        <v>469</v>
      </c>
      <c r="H3" s="16" t="s">
        <v>506</v>
      </c>
      <c r="I3" s="16" t="s">
        <v>507</v>
      </c>
      <c r="J3" s="16" t="s">
        <v>508</v>
      </c>
      <c r="K3" s="4" t="s">
        <v>345</v>
      </c>
    </row>
    <row r="4" customFormat="false" ht="17.15" hidden="false" customHeight="false" outlineLevel="0" collapsed="false">
      <c r="A4" s="1" t="s">
        <v>509</v>
      </c>
    </row>
    <row r="5" customFormat="false" ht="15" hidden="false" customHeight="false" outlineLevel="0" collapsed="false">
      <c r="A5" s="3" t="s">
        <v>393</v>
      </c>
      <c r="B5" s="0" t="s">
        <v>181</v>
      </c>
      <c r="C5" s="8" t="n">
        <f aca="false">C75</f>
        <v>237.553</v>
      </c>
      <c r="D5" s="8" t="n">
        <f aca="false">D75</f>
        <v>279.73378</v>
      </c>
      <c r="E5" s="8" t="n">
        <f aca="false">E75</f>
        <v>357.005908954158</v>
      </c>
      <c r="F5" s="8" t="n">
        <f aca="false">F75</f>
        <v>402.836504087237</v>
      </c>
      <c r="G5" s="8" t="n">
        <f aca="false">G75</f>
        <v>450.585588061227</v>
      </c>
      <c r="H5" s="27" t="n">
        <f aca="false">H75</f>
        <v>495.203224084546</v>
      </c>
      <c r="I5" s="27" t="n">
        <f aca="false">I75</f>
        <v>534.577190214366</v>
      </c>
      <c r="J5" s="27" t="n">
        <f aca="false">J75</f>
        <v>566.651821627228</v>
      </c>
    </row>
    <row r="6" customFormat="false" ht="15" hidden="false" customHeight="false" outlineLevel="0" collapsed="false">
      <c r="A6" s="3" t="s">
        <v>510</v>
      </c>
      <c r="B6" s="0" t="s">
        <v>69</v>
      </c>
      <c r="D6" s="21" t="n">
        <f aca="false">D77</f>
        <v>0.177563659478096</v>
      </c>
      <c r="E6" s="21" t="n">
        <f aca="false">E77</f>
        <v>0.276234528965926</v>
      </c>
      <c r="F6" s="21" t="n">
        <f aca="false">F77</f>
        <v>0.128374892357772</v>
      </c>
      <c r="G6" s="21" t="n">
        <f aca="false">G77</f>
        <v>0.118532167491082</v>
      </c>
      <c r="H6" s="28" t="n">
        <f aca="false">H77</f>
        <v>0.099021444994055</v>
      </c>
      <c r="I6" s="28" t="n">
        <f aca="false">I77</f>
        <v>0.0795107224970275</v>
      </c>
      <c r="J6" s="28" t="n">
        <f aca="false">J77</f>
        <v>0.06</v>
      </c>
    </row>
    <row r="7" customFormat="false" ht="17.15" hidden="false" customHeight="false" outlineLevel="0" collapsed="false">
      <c r="A7" s="3" t="s">
        <v>511</v>
      </c>
      <c r="B7" s="0" t="s">
        <v>181</v>
      </c>
      <c r="D7" s="8" t="n">
        <f aca="false">D69</f>
        <v>270.25378</v>
      </c>
      <c r="E7" s="8" t="n">
        <f aca="false">E69</f>
        <v>341.645908954158</v>
      </c>
      <c r="F7" s="8" t="n">
        <f aca="false">F69</f>
        <v>372.564504087237</v>
      </c>
      <c r="G7" s="8" t="n">
        <f aca="false">G69</f>
        <v>402.291188061227</v>
      </c>
    </row>
    <row r="8" customFormat="false" ht="17.15" hidden="false" customHeight="false" outlineLevel="0" collapsed="false">
      <c r="A8" s="0" t="s">
        <v>512</v>
      </c>
      <c r="B8" s="0" t="s">
        <v>181</v>
      </c>
      <c r="D8" s="8" t="n">
        <f aca="false">D72</f>
        <v>9.48</v>
      </c>
      <c r="E8" s="8" t="n">
        <f aca="false">E72</f>
        <v>15.36</v>
      </c>
      <c r="F8" s="8" t="n">
        <f aca="false">F72</f>
        <v>22.272</v>
      </c>
      <c r="G8" s="8" t="n">
        <f aca="false">G72</f>
        <v>32.2944</v>
      </c>
    </row>
    <row r="9" customFormat="false" ht="17.15" hidden="false" customHeight="false" outlineLevel="0" collapsed="false">
      <c r="A9" s="0" t="s">
        <v>513</v>
      </c>
      <c r="B9" s="0" t="s">
        <v>181</v>
      </c>
      <c r="D9" s="8" t="n">
        <f aca="false">D74</f>
        <v>0</v>
      </c>
      <c r="E9" s="8" t="n">
        <f aca="false">E74</f>
        <v>0</v>
      </c>
      <c r="F9" s="8" t="n">
        <f aca="false">F74</f>
        <v>8</v>
      </c>
      <c r="G9" s="8" t="n">
        <f aca="false">G74</f>
        <v>16</v>
      </c>
    </row>
    <row r="10" customFormat="false" ht="15" hidden="false" customHeight="false" outlineLevel="0" collapsed="false">
      <c r="A10" s="3" t="s">
        <v>401</v>
      </c>
      <c r="B10" s="0" t="s">
        <v>69</v>
      </c>
      <c r="D10" s="21" t="n">
        <f aca="false">D64</f>
        <v>0.870578781414787</v>
      </c>
      <c r="E10" s="21" t="n">
        <f aca="false">E64</f>
        <v>0.95</v>
      </c>
      <c r="F10" s="21" t="n">
        <f aca="false">F64</f>
        <v>0.94</v>
      </c>
      <c r="G10" s="21" t="n">
        <f aca="false">G64</f>
        <v>0.93</v>
      </c>
    </row>
    <row r="11" customFormat="false" ht="17.15" hidden="false" customHeight="false" outlineLevel="0" collapsed="false">
      <c r="A11" s="3" t="s">
        <v>514</v>
      </c>
      <c r="B11" s="0" t="s">
        <v>109</v>
      </c>
      <c r="D11" s="22" t="n">
        <f aca="false">D66</f>
        <v>1878.17486396824</v>
      </c>
      <c r="E11" s="22" t="n">
        <f aca="false">E66</f>
        <v>2065.99235036507</v>
      </c>
      <c r="F11" s="22" t="n">
        <f aca="false">F66</f>
        <v>2127.97212087602</v>
      </c>
      <c r="G11" s="22" t="n">
        <f aca="false">G66</f>
        <v>2170.53156329354</v>
      </c>
    </row>
    <row r="12" customFormat="false" ht="15" hidden="false" customHeight="false" outlineLevel="0" collapsed="false">
      <c r="A12" s="3" t="s">
        <v>413</v>
      </c>
      <c r="B12" s="0" t="s">
        <v>69</v>
      </c>
      <c r="C12" s="15" t="n">
        <f aca="false">C84</f>
        <v>0.290065795843454</v>
      </c>
      <c r="D12" s="15" t="n">
        <f aca="false">D84</f>
        <v>0.325638488136828</v>
      </c>
      <c r="E12" s="15" t="n">
        <f aca="false">E84</f>
        <v>0.387493003952231</v>
      </c>
      <c r="F12" s="15" t="n">
        <f aca="false">F84</f>
        <v>0.391978901111249</v>
      </c>
      <c r="G12" s="15" t="n">
        <f aca="false">G84</f>
        <v>0.39395623743854</v>
      </c>
    </row>
    <row r="13" customFormat="false" ht="15" hidden="false" customHeight="false" outlineLevel="0" collapsed="false">
      <c r="A13" s="3" t="s">
        <v>515</v>
      </c>
      <c r="B13" s="0" t="s">
        <v>69</v>
      </c>
      <c r="C13" s="15" t="n">
        <f aca="false">C87</f>
        <v>0.184590386145408</v>
      </c>
      <c r="D13" s="15" t="n">
        <f aca="false">D87</f>
        <v>0.228274987740129</v>
      </c>
      <c r="E13" s="15" t="n">
        <f aca="false">E87</f>
        <v>0.300666422930511</v>
      </c>
      <c r="F13" s="15" t="n">
        <f aca="false">F87</f>
        <v>0.31009143787208</v>
      </c>
      <c r="G13" s="15" t="n">
        <f aca="false">G87</f>
        <v>0.316407629526999</v>
      </c>
    </row>
    <row r="14" customFormat="false" ht="15" hidden="false" customHeight="false" outlineLevel="0" collapsed="false">
      <c r="A14" s="3" t="s">
        <v>428</v>
      </c>
      <c r="B14" s="0" t="s">
        <v>181</v>
      </c>
      <c r="C14" s="8" t="n">
        <f aca="false">C92</f>
        <v>41.716</v>
      </c>
      <c r="D14" s="8" t="n">
        <f aca="false">D92</f>
        <v>91.869396916</v>
      </c>
      <c r="E14" s="8" t="n">
        <f aca="false">E92</f>
        <v>94.638736168757</v>
      </c>
      <c r="F14" s="8" t="n">
        <f aca="false">F92</f>
        <v>109.578728162807</v>
      </c>
      <c r="G14" s="8" t="n">
        <f aca="false">G92</f>
        <v>124.58341014486</v>
      </c>
      <c r="H14" s="27" t="n">
        <f aca="false">H92</f>
        <v>136.919839439691</v>
      </c>
      <c r="I14" s="27" t="n">
        <f aca="false">I92</f>
        <v>147.806434797717</v>
      </c>
      <c r="J14" s="27" t="n">
        <f aca="false">J92</f>
        <v>156.674820885581</v>
      </c>
    </row>
    <row r="15" customFormat="false" ht="15" hidden="false" customHeight="false" outlineLevel="0" collapsed="false">
      <c r="A15" s="3" t="s">
        <v>516</v>
      </c>
      <c r="B15" s="0" t="s">
        <v>69</v>
      </c>
      <c r="C15" s="15" t="n">
        <f aca="false">C96</f>
        <v>0.175607127672562</v>
      </c>
      <c r="D15" s="15" t="n">
        <f aca="false">D96</f>
        <v>0.328417243409073</v>
      </c>
      <c r="E15" s="15" t="n">
        <f aca="false">E96</f>
        <v>0.265090111382188</v>
      </c>
      <c r="F15" s="15" t="n">
        <f aca="false">F96</f>
        <v>0.272017870900492</v>
      </c>
      <c r="G15" s="15" t="n">
        <f aca="false">G96</f>
        <v>0.276492221335607</v>
      </c>
      <c r="H15" s="29" t="n">
        <f aca="false">H96</f>
        <v>0.276492221335607</v>
      </c>
      <c r="I15" s="29" t="n">
        <f aca="false">I96</f>
        <v>0.276492221335607</v>
      </c>
      <c r="J15" s="29" t="n">
        <f aca="false">J96</f>
        <v>0.276492221335607</v>
      </c>
    </row>
    <row r="16" customFormat="false" ht="15" hidden="false" customHeight="false" outlineLevel="0" collapsed="false">
      <c r="A16" s="0" t="s">
        <v>517</v>
      </c>
      <c r="B16" s="0" t="s">
        <v>260</v>
      </c>
      <c r="C16" s="23" t="n">
        <f aca="false">C94</f>
        <v>3.34</v>
      </c>
      <c r="D16" s="23" t="n">
        <f aca="false">D94</f>
        <v>7.36402418002826</v>
      </c>
      <c r="E16" s="23" t="n">
        <f aca="false">E94</f>
        <v>7.60150491315317</v>
      </c>
      <c r="F16" s="23" t="n">
        <f aca="false">F94</f>
        <v>8.80150427010501</v>
      </c>
      <c r="G16" s="23" t="n">
        <f aca="false">G94</f>
        <v>10.0066996100289</v>
      </c>
      <c r="H16" s="30" t="n">
        <f aca="false">H94</f>
        <v>10.9975774650354</v>
      </c>
      <c r="I16" s="30" t="n">
        <f aca="false">I94</f>
        <v>11.8720027949974</v>
      </c>
      <c r="J16" s="30" t="n">
        <f aca="false">J94</f>
        <v>12.5843229626972</v>
      </c>
    </row>
    <row r="17" customFormat="false" ht="17.15" hidden="false" customHeight="false" outlineLevel="0" collapsed="false">
      <c r="A17" s="0" t="s">
        <v>518</v>
      </c>
      <c r="B17" s="0" t="s">
        <v>69</v>
      </c>
      <c r="D17" s="21" t="n">
        <f aca="false">D95</f>
        <v>1.2047976586911</v>
      </c>
      <c r="E17" s="21" t="n">
        <f aca="false">E95</f>
        <v>0.0322487715030833</v>
      </c>
      <c r="F17" s="21" t="n">
        <f aca="false">F95</f>
        <v>0.157863392928343</v>
      </c>
      <c r="G17" s="21" t="n">
        <f aca="false">G95</f>
        <v>0.136930609011623</v>
      </c>
      <c r="H17" s="28" t="n">
        <f aca="false">H95</f>
        <v>0.0990214449940552</v>
      </c>
      <c r="I17" s="28" t="n">
        <f aca="false">I95</f>
        <v>0.0795107224970277</v>
      </c>
      <c r="J17" s="28" t="n">
        <f aca="false">J95</f>
        <v>0.0600000000000001</v>
      </c>
    </row>
    <row r="19" customFormat="false" ht="17.15" hidden="false" customHeight="false" outlineLevel="0" collapsed="false">
      <c r="A19" s="1" t="s">
        <v>519</v>
      </c>
    </row>
    <row r="20" customFormat="false" ht="15" hidden="false" customHeight="false" outlineLevel="0" collapsed="false">
      <c r="A20" s="3" t="s">
        <v>393</v>
      </c>
      <c r="B20" s="0" t="s">
        <v>181</v>
      </c>
      <c r="C20" s="8" t="n">
        <f aca="false">C114</f>
        <v>237.553</v>
      </c>
      <c r="D20" s="8" t="n">
        <f aca="false">D114</f>
        <v>279.73378</v>
      </c>
      <c r="E20" s="8" t="n">
        <f aca="false">E114</f>
        <v>322.392520537492</v>
      </c>
      <c r="F20" s="8" t="n">
        <f aca="false">F114</f>
        <v>338.990290409279</v>
      </c>
      <c r="G20" s="8" t="n">
        <f aca="false">G114</f>
        <v>379.478262079744</v>
      </c>
      <c r="H20" s="27" t="n">
        <f aca="false">H114</f>
        <v>414.75379367548</v>
      </c>
      <c r="I20" s="27" t="n">
        <f aca="false">I114</f>
        <v>442.326206375962</v>
      </c>
      <c r="J20" s="27" t="n">
        <f aca="false">J114</f>
        <v>460.019254631001</v>
      </c>
    </row>
    <row r="21" customFormat="false" ht="15" hidden="false" customHeight="false" outlineLevel="0" collapsed="false">
      <c r="A21" s="3" t="s">
        <v>510</v>
      </c>
      <c r="B21" s="0" t="s">
        <v>69</v>
      </c>
      <c r="D21" s="21" t="n">
        <f aca="false">D116</f>
        <v>0.177563659478096</v>
      </c>
      <c r="E21" s="21" t="n">
        <f aca="false">E116</f>
        <v>0.152497637351814</v>
      </c>
      <c r="F21" s="21" t="n">
        <f aca="false">F116</f>
        <v>0.0514831108492078</v>
      </c>
      <c r="G21" s="21" t="n">
        <f aca="false">G116</f>
        <v>0.119436965647547</v>
      </c>
      <c r="H21" s="28" t="n">
        <f aca="false">H116</f>
        <v>0.0929579770983645</v>
      </c>
      <c r="I21" s="28" t="n">
        <f aca="false">I116</f>
        <v>0.0664789885491822</v>
      </c>
      <c r="J21" s="28" t="n">
        <f aca="false">J116</f>
        <v>0.04</v>
      </c>
    </row>
    <row r="22" customFormat="false" ht="17.15" hidden="false" customHeight="false" outlineLevel="0" collapsed="false">
      <c r="A22" s="3" t="s">
        <v>511</v>
      </c>
      <c r="B22" s="0" t="s">
        <v>181</v>
      </c>
      <c r="D22" s="8" t="n">
        <f aca="false">D108</f>
        <v>270.25378</v>
      </c>
      <c r="E22" s="8" t="n">
        <f aca="false">E108</f>
        <v>308.952520537492</v>
      </c>
      <c r="F22" s="8" t="n">
        <f aca="false">F108</f>
        <v>319.559890409279</v>
      </c>
      <c r="G22" s="8" t="n">
        <f aca="false">G108</f>
        <v>345.859302079744</v>
      </c>
    </row>
    <row r="23" customFormat="false" ht="17.15" hidden="false" customHeight="false" outlineLevel="0" collapsed="false">
      <c r="A23" s="0" t="s">
        <v>512</v>
      </c>
      <c r="B23" s="0" t="s">
        <v>181</v>
      </c>
      <c r="D23" s="8" t="n">
        <f aca="false">D111</f>
        <v>9.48</v>
      </c>
      <c r="E23" s="8" t="n">
        <f aca="false">E111</f>
        <v>13.44</v>
      </c>
      <c r="F23" s="8" t="n">
        <f aca="false">F111</f>
        <v>15.5904</v>
      </c>
      <c r="G23" s="8" t="n">
        <f aca="false">G111</f>
        <v>24.01896</v>
      </c>
    </row>
    <row r="24" customFormat="false" ht="17.15" hidden="false" customHeight="false" outlineLevel="0" collapsed="false">
      <c r="A24" s="0" t="s">
        <v>513</v>
      </c>
      <c r="B24" s="0" t="s">
        <v>181</v>
      </c>
      <c r="D24" s="8" t="n">
        <f aca="false">D113</f>
        <v>0</v>
      </c>
      <c r="E24" s="8" t="n">
        <f aca="false">E113</f>
        <v>0</v>
      </c>
      <c r="F24" s="8" t="n">
        <f aca="false">F113</f>
        <v>3.84</v>
      </c>
      <c r="G24" s="8" t="n">
        <f aca="false">G113</f>
        <v>9.6</v>
      </c>
    </row>
    <row r="25" customFormat="false" ht="15" hidden="false" customHeight="false" outlineLevel="0" collapsed="false">
      <c r="A25" s="3" t="s">
        <v>401</v>
      </c>
      <c r="B25" s="0" t="s">
        <v>69</v>
      </c>
      <c r="D25" s="21" t="n">
        <f aca="false">D103</f>
        <v>0.870578781414787</v>
      </c>
      <c r="E25" s="21" t="n">
        <f aca="false">E103</f>
        <v>0.9</v>
      </c>
      <c r="F25" s="21" t="n">
        <f aca="false">F103</f>
        <v>0.87</v>
      </c>
      <c r="G25" s="21" t="n">
        <f aca="false">G103</f>
        <v>0.88</v>
      </c>
    </row>
    <row r="26" customFormat="false" ht="17.15" hidden="false" customHeight="false" outlineLevel="0" collapsed="false">
      <c r="A26" s="3" t="s">
        <v>514</v>
      </c>
      <c r="B26" s="0" t="s">
        <v>109</v>
      </c>
      <c r="D26" s="22" t="n">
        <f aca="false">D105</f>
        <v>1878.17486396824</v>
      </c>
      <c r="E26" s="22" t="n">
        <f aca="false">E105</f>
        <v>1972.08360716666</v>
      </c>
      <c r="F26" s="22" t="n">
        <f aca="false">F105</f>
        <v>1972.08360716666</v>
      </c>
      <c r="G26" s="22" t="n">
        <f aca="false">G105</f>
        <v>1972.08360716666</v>
      </c>
    </row>
    <row r="27" customFormat="false" ht="15" hidden="false" customHeight="false" outlineLevel="0" collapsed="false">
      <c r="A27" s="3" t="s">
        <v>413</v>
      </c>
      <c r="B27" s="0" t="s">
        <v>69</v>
      </c>
      <c r="C27" s="15" t="n">
        <f aca="false">C123</f>
        <v>0.290065795843454</v>
      </c>
      <c r="D27" s="15" t="n">
        <f aca="false">D123</f>
        <v>0.325638488136828</v>
      </c>
      <c r="E27" s="15" t="n">
        <f aca="false">E123</f>
        <v>0.349055725297226</v>
      </c>
      <c r="F27" s="15" t="n">
        <f aca="false">F123</f>
        <v>0.32999891774196</v>
      </c>
      <c r="G27" s="15" t="n">
        <f aca="false">G123</f>
        <v>0.326000878550847</v>
      </c>
    </row>
    <row r="28" customFormat="false" ht="15" hidden="false" customHeight="false" outlineLevel="0" collapsed="false">
      <c r="A28" s="3" t="s">
        <v>515</v>
      </c>
      <c r="B28" s="0" t="s">
        <v>69</v>
      </c>
      <c r="C28" s="15" t="n">
        <f aca="false">C126</f>
        <v>0.184590386145408</v>
      </c>
      <c r="D28" s="15" t="n">
        <f aca="false">D126</f>
        <v>0.228274987740129</v>
      </c>
      <c r="E28" s="15" t="n">
        <f aca="false">E126</f>
        <v>0.258133758181635</v>
      </c>
      <c r="F28" s="15" t="n">
        <f aca="false">F126</f>
        <v>0.240934599767871</v>
      </c>
      <c r="G28" s="15" t="n">
        <f aca="false">G126</f>
        <v>0.241687865122137</v>
      </c>
    </row>
    <row r="29" customFormat="false" ht="15" hidden="false" customHeight="false" outlineLevel="0" collapsed="false">
      <c r="A29" s="3" t="s">
        <v>428</v>
      </c>
      <c r="B29" s="0" t="s">
        <v>181</v>
      </c>
      <c r="C29" s="8" t="n">
        <f aca="false">C131</f>
        <v>41.716</v>
      </c>
      <c r="D29" s="8" t="n">
        <f aca="false">D131</f>
        <v>91.869396916</v>
      </c>
      <c r="E29" s="8" t="n">
        <f aca="false">E131</f>
        <v>74.1373339955938</v>
      </c>
      <c r="F29" s="8" t="n">
        <f aca="false">F131</f>
        <v>72.8233164532109</v>
      </c>
      <c r="G29" s="8" t="n">
        <f aca="false">G131</f>
        <v>81.3579973689653</v>
      </c>
      <c r="H29" s="27" t="n">
        <f aca="false">H131</f>
        <v>85.9568431509864</v>
      </c>
      <c r="I29" s="27" t="n">
        <f aca="false">I131</f>
        <v>88.5100924134915</v>
      </c>
      <c r="J29" s="27" t="n">
        <f aca="false">J131</f>
        <v>88.7629783918157</v>
      </c>
    </row>
    <row r="30" customFormat="false" ht="15" hidden="false" customHeight="false" outlineLevel="0" collapsed="false">
      <c r="A30" s="3" t="s">
        <v>516</v>
      </c>
      <c r="B30" s="0" t="s">
        <v>69</v>
      </c>
      <c r="C30" s="15" t="n">
        <f aca="false">C135</f>
        <v>0.175607127672562</v>
      </c>
      <c r="D30" s="15" t="n">
        <f aca="false">D135</f>
        <v>0.328417243409073</v>
      </c>
      <c r="E30" s="15" t="n">
        <f aca="false">E135</f>
        <v>0.22995984482516</v>
      </c>
      <c r="F30" s="15" t="n">
        <f aca="false">F135</f>
        <v>0.21482419559949</v>
      </c>
      <c r="G30" s="15" t="n">
        <f aca="false">G135</f>
        <v>0.214394355352741</v>
      </c>
      <c r="H30" s="29" t="n">
        <f aca="false">H135</f>
        <v>0.207247876840983</v>
      </c>
      <c r="I30" s="29" t="n">
        <f aca="false">I135</f>
        <v>0.200101398329225</v>
      </c>
      <c r="J30" s="29" t="n">
        <f aca="false">J135</f>
        <v>0.192954919817467</v>
      </c>
    </row>
    <row r="31" customFormat="false" ht="15" hidden="false" customHeight="false" outlineLevel="0" collapsed="false">
      <c r="A31" s="0" t="s">
        <v>517</v>
      </c>
      <c r="B31" s="0" t="s">
        <v>260</v>
      </c>
      <c r="C31" s="23" t="n">
        <f aca="false">C133</f>
        <v>3.34</v>
      </c>
      <c r="D31" s="23" t="n">
        <f aca="false">D133</f>
        <v>7.36402418002826</v>
      </c>
      <c r="E31" s="23" t="n">
        <f aca="false">E133</f>
        <v>5.95480594342119</v>
      </c>
      <c r="F31" s="23" t="n">
        <f aca="false">F133</f>
        <v>5.84926236571975</v>
      </c>
      <c r="G31" s="23" t="n">
        <f aca="false">G133</f>
        <v>6.53477890513778</v>
      </c>
      <c r="H31" s="30" t="n">
        <f aca="false">H133</f>
        <v>6.90416410851297</v>
      </c>
      <c r="I31" s="30" t="n">
        <f aca="false">I133</f>
        <v>7.10924437056156</v>
      </c>
      <c r="J31" s="30" t="n">
        <f aca="false">J133</f>
        <v>7.1295564973346</v>
      </c>
    </row>
    <row r="32" customFormat="false" ht="17.15" hidden="false" customHeight="false" outlineLevel="0" collapsed="false">
      <c r="A32" s="0" t="s">
        <v>518</v>
      </c>
      <c r="B32" s="0" t="s">
        <v>69</v>
      </c>
      <c r="D32" s="21" t="n">
        <f aca="false">D134</f>
        <v>1.2047976586911</v>
      </c>
      <c r="E32" s="21" t="n">
        <f aca="false">E134</f>
        <v>-0.191365237559781</v>
      </c>
      <c r="F32" s="21" t="n">
        <f aca="false">F134</f>
        <v>-0.0177241002820658</v>
      </c>
      <c r="G32" s="21" t="n">
        <f aca="false">G134</f>
        <v>0.117197091967626</v>
      </c>
      <c r="H32" s="28" t="n">
        <f aca="false">H134</f>
        <v>0.0565260445284188</v>
      </c>
      <c r="I32" s="28" t="n">
        <f aca="false">I134</f>
        <v>0.0297038510130037</v>
      </c>
      <c r="J32" s="28" t="n">
        <f aca="false">J134</f>
        <v>0.00285714285714289</v>
      </c>
    </row>
    <row r="34" customFormat="false" ht="17.15" hidden="false" customHeight="false" outlineLevel="0" collapsed="false">
      <c r="A34" s="1" t="s">
        <v>520</v>
      </c>
    </row>
    <row r="35" customFormat="false" ht="15" hidden="false" customHeight="false" outlineLevel="0" collapsed="false">
      <c r="A35" s="3" t="s">
        <v>393</v>
      </c>
      <c r="B35" s="0" t="s">
        <v>181</v>
      </c>
      <c r="C35" s="8" t="n">
        <f aca="false">C153</f>
        <v>237.553</v>
      </c>
      <c r="D35" s="8" t="n">
        <f aca="false">D153</f>
        <v>279.73378</v>
      </c>
      <c r="E35" s="8" t="n">
        <f aca="false">E153</f>
        <v>279.60578501666</v>
      </c>
      <c r="F35" s="8" t="n">
        <f aca="false">F153</f>
        <v>259.933276528067</v>
      </c>
      <c r="G35" s="8" t="n">
        <f aca="false">G153</f>
        <v>290.126689208927</v>
      </c>
      <c r="H35" s="27" t="n">
        <f aca="false">H153</f>
        <v>314.527952983075</v>
      </c>
      <c r="I35" s="27" t="n">
        <f aca="false">I153</f>
        <v>330.900005213497</v>
      </c>
      <c r="J35" s="27" t="n">
        <f aca="false">J153</f>
        <v>337.518005317767</v>
      </c>
    </row>
    <row r="36" customFormat="false" ht="15" hidden="false" customHeight="false" outlineLevel="0" collapsed="false">
      <c r="A36" s="3" t="s">
        <v>510</v>
      </c>
      <c r="B36" s="0" t="s">
        <v>69</v>
      </c>
      <c r="D36" s="21" t="n">
        <f aca="false">D155</f>
        <v>0.177563659478096</v>
      </c>
      <c r="E36" s="21" t="n">
        <f aca="false">E155</f>
        <v>-0.000457559981995259</v>
      </c>
      <c r="F36" s="21" t="n">
        <f aca="false">F155</f>
        <v>-0.0703580166891779</v>
      </c>
      <c r="G36" s="21" t="n">
        <f aca="false">G155</f>
        <v>0.116158319874062</v>
      </c>
      <c r="H36" s="28" t="n">
        <f aca="false">H155</f>
        <v>0.0841055465827078</v>
      </c>
      <c r="I36" s="28" t="n">
        <f aca="false">I155</f>
        <v>0.0520527732913539</v>
      </c>
      <c r="J36" s="28" t="n">
        <f aca="false">J155</f>
        <v>0.02</v>
      </c>
    </row>
    <row r="37" customFormat="false" ht="17.15" hidden="false" customHeight="false" outlineLevel="0" collapsed="false">
      <c r="A37" s="3" t="s">
        <v>511</v>
      </c>
      <c r="B37" s="0" t="s">
        <v>181</v>
      </c>
      <c r="D37" s="8" t="n">
        <f aca="false">D147</f>
        <v>270.25378</v>
      </c>
      <c r="E37" s="8" t="n">
        <f aca="false">E147</f>
        <v>268.08578501666</v>
      </c>
      <c r="F37" s="8" t="n">
        <f aca="false">F147</f>
        <v>249.910876528067</v>
      </c>
      <c r="G37" s="8" t="n">
        <f aca="false">G147</f>
        <v>273.034209208927</v>
      </c>
    </row>
    <row r="38" customFormat="false" ht="17.15" hidden="false" customHeight="false" outlineLevel="0" collapsed="false">
      <c r="A38" s="0" t="s">
        <v>512</v>
      </c>
      <c r="B38" s="0" t="s">
        <v>181</v>
      </c>
      <c r="D38" s="8" t="n">
        <f aca="false">D150</f>
        <v>9.48</v>
      </c>
      <c r="E38" s="8" t="n">
        <f aca="false">E150</f>
        <v>11.52</v>
      </c>
      <c r="F38" s="8" t="n">
        <f aca="false">F150</f>
        <v>10.0224</v>
      </c>
      <c r="G38" s="8" t="n">
        <f aca="false">G150</f>
        <v>14.53248</v>
      </c>
    </row>
    <row r="39" customFormat="false" ht="17.15" hidden="false" customHeight="false" outlineLevel="0" collapsed="false">
      <c r="A39" s="0" t="s">
        <v>513</v>
      </c>
      <c r="B39" s="0" t="s">
        <v>181</v>
      </c>
      <c r="D39" s="8" t="n">
        <f aca="false">D152</f>
        <v>0</v>
      </c>
      <c r="E39" s="8" t="n">
        <f aca="false">E152</f>
        <v>0</v>
      </c>
      <c r="F39" s="8" t="n">
        <f aca="false">F152</f>
        <v>0</v>
      </c>
      <c r="G39" s="8" t="n">
        <f aca="false">G152</f>
        <v>2.56</v>
      </c>
    </row>
    <row r="40" customFormat="false" ht="15" hidden="false" customHeight="false" outlineLevel="0" collapsed="false">
      <c r="A40" s="3" t="s">
        <v>401</v>
      </c>
      <c r="B40" s="0" t="s">
        <v>69</v>
      </c>
      <c r="D40" s="21" t="n">
        <f aca="false">D142</f>
        <v>0.870578781414787</v>
      </c>
      <c r="E40" s="21" t="n">
        <f aca="false">E142</f>
        <v>0.82</v>
      </c>
      <c r="F40" s="21" t="n">
        <f aca="false">F142</f>
        <v>0.76</v>
      </c>
      <c r="G40" s="21" t="n">
        <f aca="false">G142</f>
        <v>0.8</v>
      </c>
    </row>
    <row r="41" customFormat="false" ht="17.15" hidden="false" customHeight="false" outlineLevel="0" collapsed="false">
      <c r="A41" s="3" t="s">
        <v>514</v>
      </c>
      <c r="B41" s="0" t="s">
        <v>109</v>
      </c>
      <c r="D41" s="22" t="n">
        <f aca="false">D144</f>
        <v>1878.17486396824</v>
      </c>
      <c r="E41" s="22" t="n">
        <f aca="false">E144</f>
        <v>1878.17486396824</v>
      </c>
      <c r="F41" s="22" t="n">
        <f aca="false">F144</f>
        <v>1765.48437213015</v>
      </c>
      <c r="G41" s="22" t="n">
        <f aca="false">G144</f>
        <v>1712.51984096625</v>
      </c>
    </row>
    <row r="42" customFormat="false" ht="15" hidden="false" customHeight="false" outlineLevel="0" collapsed="false">
      <c r="A42" s="3" t="s">
        <v>413</v>
      </c>
      <c r="B42" s="0" t="s">
        <v>69</v>
      </c>
      <c r="C42" s="15" t="n">
        <f aca="false">C162</f>
        <v>0.290065795843454</v>
      </c>
      <c r="D42" s="15" t="n">
        <f aca="false">D162</f>
        <v>0.325638488136828</v>
      </c>
      <c r="E42" s="15" t="n">
        <f aca="false">E162</f>
        <v>0.297587196999966</v>
      </c>
      <c r="F42" s="15" t="n">
        <f aca="false">F162</f>
        <v>0.217746309837127</v>
      </c>
      <c r="G42" s="15" t="n">
        <f aca="false">G162</f>
        <v>0.200685992546767</v>
      </c>
    </row>
    <row r="43" customFormat="false" ht="15" hidden="false" customHeight="false" outlineLevel="0" collapsed="false">
      <c r="A43" s="3" t="s">
        <v>515</v>
      </c>
      <c r="B43" s="0" t="s">
        <v>69</v>
      </c>
      <c r="C43" s="15" t="n">
        <f aca="false">C165</f>
        <v>0.184590386145408</v>
      </c>
      <c r="D43" s="15" t="n">
        <f aca="false">D165</f>
        <v>0.228274987740129</v>
      </c>
      <c r="E43" s="15" t="n">
        <f aca="false">E165</f>
        <v>0.197256884455365</v>
      </c>
      <c r="F43" s="15" t="n">
        <f aca="false">F165</f>
        <v>0.106584998519297</v>
      </c>
      <c r="G43" s="15" t="n">
        <f aca="false">G165</f>
        <v>0.0953089462958914</v>
      </c>
    </row>
    <row r="44" customFormat="false" ht="15" hidden="false" customHeight="false" outlineLevel="0" collapsed="false">
      <c r="A44" s="3" t="s">
        <v>428</v>
      </c>
      <c r="B44" s="0" t="s">
        <v>181</v>
      </c>
      <c r="C44" s="8" t="n">
        <f aca="false">C170</f>
        <v>41.716</v>
      </c>
      <c r="D44" s="8" t="n">
        <f aca="false">D170</f>
        <v>91.869396916</v>
      </c>
      <c r="E44" s="8" t="n">
        <f aca="false">E170</f>
        <v>50.2810411238705</v>
      </c>
      <c r="F44" s="8" t="n">
        <f aca="false">F170</f>
        <v>26.949239709781</v>
      </c>
      <c r="G44" s="8" t="n">
        <f aca="false">G170</f>
        <v>26.9039186846957</v>
      </c>
      <c r="H44" s="27" t="n">
        <f aca="false">H170</f>
        <v>27.2222416394961</v>
      </c>
      <c r="I44" s="27" t="n">
        <f aca="false">I170</f>
        <v>26.5935751826079</v>
      </c>
      <c r="J44" s="27" t="n">
        <f aca="false">J170</f>
        <v>25.0388738642401</v>
      </c>
    </row>
    <row r="45" customFormat="false" ht="15" hidden="false" customHeight="false" outlineLevel="0" collapsed="false">
      <c r="A45" s="3" t="s">
        <v>516</v>
      </c>
      <c r="B45" s="0" t="s">
        <v>69</v>
      </c>
      <c r="C45" s="15" t="n">
        <f aca="false">C174</f>
        <v>0.175607127672562</v>
      </c>
      <c r="D45" s="15" t="n">
        <f aca="false">D174</f>
        <v>0.328417243409073</v>
      </c>
      <c r="E45" s="15" t="n">
        <f aca="false">E174</f>
        <v>0.179828329091526</v>
      </c>
      <c r="F45" s="15" t="n">
        <f aca="false">F174</f>
        <v>0.103677528594039</v>
      </c>
      <c r="G45" s="15" t="n">
        <f aca="false">G174</f>
        <v>0.0927316227198991</v>
      </c>
      <c r="H45" s="29" t="n">
        <f aca="false">H174</f>
        <v>0.0865495145385725</v>
      </c>
      <c r="I45" s="29" t="n">
        <f aca="false">I174</f>
        <v>0.0803674063572459</v>
      </c>
      <c r="J45" s="29" t="n">
        <f aca="false">J174</f>
        <v>0.0741852981759193</v>
      </c>
    </row>
    <row r="46" customFormat="false" ht="15" hidden="false" customHeight="false" outlineLevel="0" collapsed="false">
      <c r="A46" s="0" t="s">
        <v>517</v>
      </c>
      <c r="B46" s="0" t="s">
        <v>260</v>
      </c>
      <c r="C46" s="23" t="n">
        <f aca="false">C172</f>
        <v>3.34</v>
      </c>
      <c r="D46" s="23" t="n">
        <f aca="false">D172</f>
        <v>7.36402418002826</v>
      </c>
      <c r="E46" s="23" t="n">
        <f aca="false">E172</f>
        <v>4.03863784127474</v>
      </c>
      <c r="F46" s="23" t="n">
        <f aca="false">F172</f>
        <v>2.16459756705068</v>
      </c>
      <c r="G46" s="23" t="n">
        <f aca="false">G172</f>
        <v>2.16095732407194</v>
      </c>
      <c r="H46" s="30" t="n">
        <f aca="false">H172</f>
        <v>2.18652543289126</v>
      </c>
      <c r="I46" s="30" t="n">
        <f aca="false">I172</f>
        <v>2.13603013514923</v>
      </c>
      <c r="J46" s="30" t="n">
        <f aca="false">J172</f>
        <v>2.0111545272482</v>
      </c>
    </row>
    <row r="47" customFormat="false" ht="17.15" hidden="false" customHeight="false" outlineLevel="0" collapsed="false">
      <c r="A47" s="0" t="s">
        <v>518</v>
      </c>
      <c r="B47" s="0" t="s">
        <v>69</v>
      </c>
      <c r="D47" s="21" t="n">
        <f aca="false">D173</f>
        <v>1.2047976586911</v>
      </c>
      <c r="E47" s="21" t="n">
        <f aca="false">E173</f>
        <v>-0.451571892956599</v>
      </c>
      <c r="F47" s="21" t="n">
        <f aca="false">F173</f>
        <v>-0.464027810335315</v>
      </c>
      <c r="G47" s="21" t="n">
        <f aca="false">G173</f>
        <v>-0.00168171813280726</v>
      </c>
      <c r="H47" s="28" t="n">
        <f aca="false">H173</f>
        <v>0.011831843477194</v>
      </c>
      <c r="I47" s="28" t="n">
        <f aca="false">I173</f>
        <v>-0.0230938533723142</v>
      </c>
      <c r="J47" s="28" t="n">
        <f aca="false">J173</f>
        <v>-0.0584615384615386</v>
      </c>
    </row>
    <row r="49" customFormat="false" ht="17.15" hidden="false" customHeight="false" outlineLevel="0" collapsed="false">
      <c r="A49" s="1" t="s">
        <v>521</v>
      </c>
    </row>
    <row r="50" customFormat="false" ht="17.15" hidden="false" customHeight="false" outlineLevel="0" collapsed="false">
      <c r="A50" s="3" t="s">
        <v>522</v>
      </c>
      <c r="D50" s="31" t="n">
        <f aca="false">ABS(D75-a26_rev)+ABS(D114-a26_rev)+ABS(D153-a26_rev)</f>
        <v>0</v>
      </c>
    </row>
    <row r="51" customFormat="false" ht="17.15" hidden="false" customHeight="false" outlineLevel="0" collapsed="false">
      <c r="A51" s="3" t="s">
        <v>523</v>
      </c>
      <c r="D51" s="31" t="n">
        <f aca="false">ABS(D83-a26_gp)+ABS(D122-a26_gp)+ABS(D161-a26_gp)</f>
        <v>0</v>
      </c>
    </row>
    <row r="52" customFormat="false" ht="17.15" hidden="false" customHeight="false" outlineLevel="0" collapsed="false">
      <c r="A52" s="3" t="s">
        <v>524</v>
      </c>
      <c r="D52" s="31" t="n">
        <f aca="false">ABS(D94-a26_eps)+ABS(D133-a26_eps)+ABS(D172-a26_eps)</f>
        <v>0</v>
      </c>
    </row>
    <row r="60" customFormat="false" ht="17.15" hidden="false" customHeight="false" outlineLevel="0" collapsed="false">
      <c r="A60" s="1" t="s">
        <v>525</v>
      </c>
    </row>
    <row r="61" customFormat="false" ht="17.15" hidden="false" customHeight="false" outlineLevel="0" collapsed="false">
      <c r="A61" s="4" t="s">
        <v>24</v>
      </c>
      <c r="B61" s="4" t="s">
        <v>25</v>
      </c>
      <c r="C61" s="16" t="s">
        <v>387</v>
      </c>
      <c r="D61" s="16" t="s">
        <v>505</v>
      </c>
      <c r="E61" s="16" t="s">
        <v>467</v>
      </c>
      <c r="F61" s="16" t="s">
        <v>468</v>
      </c>
      <c r="G61" s="16" t="s">
        <v>469</v>
      </c>
      <c r="H61" s="16" t="s">
        <v>506</v>
      </c>
      <c r="I61" s="16" t="s">
        <v>507</v>
      </c>
      <c r="J61" s="16" t="s">
        <v>508</v>
      </c>
      <c r="K61" s="4" t="s">
        <v>345</v>
      </c>
    </row>
    <row r="62" customFormat="false" ht="17.15" hidden="false" customHeight="false" outlineLevel="0" collapsed="false">
      <c r="A62" s="5" t="s">
        <v>526</v>
      </c>
    </row>
    <row r="63" customFormat="false" ht="17.15" hidden="false" customHeight="false" outlineLevel="0" collapsed="false">
      <c r="A63" s="3" t="s">
        <v>527</v>
      </c>
      <c r="B63" s="3" t="s">
        <v>64</v>
      </c>
      <c r="D63" s="22" t="n">
        <f aca="false">cap_26</f>
        <v>5230.46851955216</v>
      </c>
      <c r="E63" s="22" t="n">
        <f aca="false">D63*(1+capg27)*cap_adj</f>
        <v>5439.68726033425</v>
      </c>
      <c r="F63" s="22" t="n">
        <f aca="false">E63*(1+capg28)</f>
        <v>5820.46536855765</v>
      </c>
      <c r="G63" s="22" t="n">
        <f aca="false">F63*(1+capg29)</f>
        <v>6227.89794435668</v>
      </c>
    </row>
    <row r="64" customFormat="false" ht="15" hidden="false" customHeight="false" outlineLevel="0" collapsed="false">
      <c r="A64" s="3" t="s">
        <v>528</v>
      </c>
      <c r="B64" s="0" t="s">
        <v>69</v>
      </c>
      <c r="D64" s="21" t="n">
        <f aca="false">a26_ship/cap_26</f>
        <v>0.870578781414787</v>
      </c>
      <c r="E64" s="21" t="n">
        <f aca="false">MIN(0.98,ut27_A+ut_adj)</f>
        <v>0.95</v>
      </c>
      <c r="F64" s="21" t="n">
        <f aca="false">MIN(0.98,ut28_A+ut_adj)</f>
        <v>0.94</v>
      </c>
      <c r="G64" s="21" t="n">
        <f aca="false">MIN(0.98,ut29_A+ut_adj)</f>
        <v>0.93</v>
      </c>
    </row>
    <row r="65" customFormat="false" ht="17.15" hidden="false" customHeight="false" outlineLevel="0" collapsed="false">
      <c r="A65" s="3" t="s">
        <v>529</v>
      </c>
      <c r="B65" s="3" t="s">
        <v>64</v>
      </c>
      <c r="D65" s="22" t="n">
        <f aca="false">D63*D64</f>
        <v>4553.53490998013</v>
      </c>
      <c r="E65" s="22" t="n">
        <f aca="false">E63*E64</f>
        <v>5167.70289731754</v>
      </c>
      <c r="F65" s="22" t="n">
        <f aca="false">F63*F64</f>
        <v>5471.23744644419</v>
      </c>
      <c r="G65" s="22" t="n">
        <f aca="false">G63*G64</f>
        <v>5791.94508825172</v>
      </c>
    </row>
    <row r="66" customFormat="false" ht="17.15" hidden="false" customHeight="false" outlineLevel="0" collapsed="false">
      <c r="A66" s="3" t="s">
        <v>530</v>
      </c>
      <c r="B66" s="0" t="s">
        <v>109</v>
      </c>
      <c r="D66" s="22" t="n">
        <f aca="false">asp_26</f>
        <v>1878.17486396824</v>
      </c>
      <c r="E66" s="22" t="n">
        <f aca="false">D66*(1+asp27_A)*(1+asp_adj)</f>
        <v>2065.99235036507</v>
      </c>
      <c r="F66" s="22" t="n">
        <f aca="false">E66*(1+asp28_A)</f>
        <v>2127.97212087602</v>
      </c>
      <c r="G66" s="22" t="n">
        <f aca="false">F66*(1+asp29_A)</f>
        <v>2170.53156329354</v>
      </c>
    </row>
    <row r="67" customFormat="false" ht="15" hidden="false" customHeight="false" outlineLevel="0" collapsed="false">
      <c r="A67" s="3" t="s">
        <v>531</v>
      </c>
      <c r="B67" s="0" t="s">
        <v>69</v>
      </c>
      <c r="E67" s="21" t="n">
        <f aca="false">E66/D66-1</f>
        <v>0.1</v>
      </c>
      <c r="F67" s="21" t="n">
        <f aca="false">F66/E66-1</f>
        <v>0.03</v>
      </c>
      <c r="G67" s="21" t="n">
        <f aca="false">G66/F66-1</f>
        <v>0.02</v>
      </c>
    </row>
    <row r="68" customFormat="false" ht="15" hidden="false" customHeight="false" outlineLevel="0" collapsed="false">
      <c r="A68" s="3" t="s">
        <v>532</v>
      </c>
      <c r="B68" s="0" t="s">
        <v>35</v>
      </c>
      <c r="D68" s="23" t="n">
        <f aca="false">fx_26</f>
        <v>31.6</v>
      </c>
      <c r="E68" s="23" t="n">
        <f aca="false">fx</f>
        <v>32</v>
      </c>
      <c r="F68" s="23" t="n">
        <f aca="false">fx</f>
        <v>32</v>
      </c>
      <c r="G68" s="23" t="n">
        <f aca="false">fx</f>
        <v>32</v>
      </c>
    </row>
    <row r="69" customFormat="false" ht="17.15" hidden="false" customHeight="false" outlineLevel="0" collapsed="false">
      <c r="A69" s="3" t="s">
        <v>533</v>
      </c>
      <c r="B69" s="0" t="s">
        <v>181</v>
      </c>
      <c r="D69" s="23" t="n">
        <f aca="false">D65*D66*D68/1000000</f>
        <v>270.25378</v>
      </c>
      <c r="E69" s="23" t="n">
        <f aca="false">E65*E66*E68/1000000</f>
        <v>341.645908954158</v>
      </c>
      <c r="F69" s="23" t="n">
        <f aca="false">F65*F66*F68/1000000</f>
        <v>372.564504087237</v>
      </c>
      <c r="G69" s="23" t="n">
        <f aca="false">G65*G66*G68/1000000</f>
        <v>402.291188061227</v>
      </c>
    </row>
    <row r="70" customFormat="false" ht="17.15" hidden="false" customHeight="false" outlineLevel="0" collapsed="false">
      <c r="A70" s="5" t="s">
        <v>534</v>
      </c>
    </row>
    <row r="71" customFormat="false" ht="17.15" hidden="false" customHeight="false" outlineLevel="0" collapsed="false">
      <c r="A71" s="0" t="s">
        <v>535</v>
      </c>
      <c r="B71" s="0" t="s">
        <v>138</v>
      </c>
      <c r="D71" s="25" t="n">
        <f aca="false">ai_26</f>
        <v>0.3</v>
      </c>
      <c r="E71" s="25" t="n">
        <f aca="false">D71*(1+aig27_A)*ai_adj</f>
        <v>0.48</v>
      </c>
      <c r="F71" s="25" t="n">
        <f aca="false">E71*(1+aig_L)*um28_A</f>
        <v>0.696</v>
      </c>
      <c r="G71" s="25" t="n">
        <f aca="false">F71/um28_A*(1+aig_L)*um29_A</f>
        <v>1.0092</v>
      </c>
    </row>
    <row r="72" customFormat="false" ht="17.15" hidden="false" customHeight="false" outlineLevel="0" collapsed="false">
      <c r="A72" s="0" t="s">
        <v>536</v>
      </c>
      <c r="B72" s="0" t="s">
        <v>181</v>
      </c>
      <c r="D72" s="23" t="n">
        <f aca="false">D71*D68</f>
        <v>9.48</v>
      </c>
      <c r="E72" s="23" t="n">
        <f aca="false">E71*E68</f>
        <v>15.36</v>
      </c>
      <c r="F72" s="23" t="n">
        <f aca="false">F71*F68</f>
        <v>22.272</v>
      </c>
      <c r="G72" s="23" t="n">
        <f aca="false">G71*G68</f>
        <v>32.2944</v>
      </c>
    </row>
    <row r="73" customFormat="false" ht="17.15" hidden="false" customHeight="false" outlineLevel="0" collapsed="false">
      <c r="A73" s="0" t="s">
        <v>537</v>
      </c>
      <c r="B73" s="0" t="s">
        <v>138</v>
      </c>
      <c r="D73" s="25" t="n">
        <f aca="false">0</f>
        <v>0</v>
      </c>
      <c r="E73" s="25" t="n">
        <f aca="false">int_27</f>
        <v>0</v>
      </c>
      <c r="F73" s="25" t="n">
        <f aca="false">int28_A</f>
        <v>0.25</v>
      </c>
      <c r="G73" s="25" t="n">
        <f aca="false">int29_A</f>
        <v>0.5</v>
      </c>
    </row>
    <row r="74" customFormat="false" ht="17.15" hidden="false" customHeight="false" outlineLevel="0" collapsed="false">
      <c r="A74" s="0" t="s">
        <v>538</v>
      </c>
      <c r="B74" s="0" t="s">
        <v>181</v>
      </c>
      <c r="D74" s="23" t="n">
        <f aca="false">D73*D68</f>
        <v>0</v>
      </c>
      <c r="E74" s="23" t="n">
        <f aca="false">E73*E68</f>
        <v>0</v>
      </c>
      <c r="F74" s="23" t="n">
        <f aca="false">F73*F68</f>
        <v>8</v>
      </c>
      <c r="G74" s="23" t="n">
        <f aca="false">G73*G68</f>
        <v>16</v>
      </c>
    </row>
    <row r="75" customFormat="false" ht="17.15" hidden="false" customHeight="false" outlineLevel="0" collapsed="false">
      <c r="A75" s="3" t="s">
        <v>393</v>
      </c>
      <c r="B75" s="0" t="s">
        <v>181</v>
      </c>
      <c r="C75" s="23" t="n">
        <f aca="false">a25_rev</f>
        <v>237.553</v>
      </c>
      <c r="D75" s="23" t="n">
        <f aca="false">D69+D72+D74</f>
        <v>279.73378</v>
      </c>
      <c r="E75" s="23" t="n">
        <f aca="false">E69+E72+E74</f>
        <v>357.005908954158</v>
      </c>
      <c r="F75" s="23" t="n">
        <f aca="false">F69+F72+F74</f>
        <v>402.836504087237</v>
      </c>
      <c r="G75" s="23" t="n">
        <f aca="false">G69+G72+G74</f>
        <v>450.585588061227</v>
      </c>
      <c r="H75" s="30" t="n">
        <f aca="false">G75*(1+H77)</f>
        <v>495.203224084546</v>
      </c>
      <c r="I75" s="30" t="n">
        <f aca="false">H75*(1+I77)</f>
        <v>534.577190214366</v>
      </c>
      <c r="J75" s="30" t="n">
        <f aca="false">I75*(1+J77)</f>
        <v>566.651821627228</v>
      </c>
      <c r="K75" s="7" t="s">
        <v>539</v>
      </c>
    </row>
    <row r="76" customFormat="false" ht="17.15" hidden="false" customHeight="false" outlineLevel="0" collapsed="false">
      <c r="A76" s="0" t="s">
        <v>540</v>
      </c>
      <c r="B76" s="0" t="s">
        <v>69</v>
      </c>
      <c r="D76" s="21" t="n">
        <f aca="false">D72/D75</f>
        <v>0.0338893643806622</v>
      </c>
      <c r="E76" s="21" t="n">
        <f aca="false">E72/E75</f>
        <v>0.0430244979557813</v>
      </c>
      <c r="F76" s="21" t="n">
        <f aca="false">F72/F75</f>
        <v>0.0552879388387723</v>
      </c>
      <c r="G76" s="21" t="n">
        <f aca="false">G72/G75</f>
        <v>0.0716720659862999</v>
      </c>
    </row>
    <row r="77" customFormat="false" ht="15" hidden="false" customHeight="false" outlineLevel="0" collapsed="false">
      <c r="A77" s="3" t="s">
        <v>541</v>
      </c>
      <c r="B77" s="0" t="s">
        <v>69</v>
      </c>
      <c r="D77" s="21" t="n">
        <f aca="false">D75/C75-1</f>
        <v>0.177563659478096</v>
      </c>
      <c r="E77" s="21" t="n">
        <f aca="false">E75/D75-1</f>
        <v>0.276234528965926</v>
      </c>
      <c r="F77" s="21" t="n">
        <f aca="false">F75/E75-1</f>
        <v>0.128374892357772</v>
      </c>
      <c r="G77" s="21" t="n">
        <f aca="false">G75/F75-1</f>
        <v>0.118532167491082</v>
      </c>
      <c r="H77" s="28" t="n">
        <f aca="false">$G77+(fade_gA-$G77)*1/3</f>
        <v>0.099021444994055</v>
      </c>
      <c r="I77" s="28" t="n">
        <f aca="false">$G77+(fade_gA-$G77)*2/3</f>
        <v>0.0795107224970275</v>
      </c>
      <c r="J77" s="28" t="n">
        <f aca="false">$G77+(fade_gA-$G77)*3/3</f>
        <v>0.06</v>
      </c>
    </row>
    <row r="78" customFormat="false" ht="17.15" hidden="false" customHeight="false" outlineLevel="0" collapsed="false">
      <c r="A78" s="5" t="s">
        <v>542</v>
      </c>
    </row>
    <row r="79" customFormat="false" ht="15" hidden="false" customHeight="false" outlineLevel="0" collapsed="false">
      <c r="A79" s="3" t="s">
        <v>543</v>
      </c>
      <c r="B79" s="0" t="s">
        <v>181</v>
      </c>
      <c r="D79" s="23" t="n">
        <f aca="false">da_tot26*da_sh</f>
        <v>56.172</v>
      </c>
      <c r="E79" s="23" t="n">
        <f aca="false">D79*(1+dag_27+dag_adj)</f>
        <v>62.91264</v>
      </c>
      <c r="F79" s="23" t="n">
        <f aca="false">E79*(1+dag_28+dag_adj)</f>
        <v>69.203904</v>
      </c>
      <c r="G79" s="23" t="n">
        <f aca="false">F79*(1+dag_29+dag_adj)</f>
        <v>74.74021632</v>
      </c>
    </row>
    <row r="80" customFormat="false" ht="17.15" hidden="false" customHeight="false" outlineLevel="0" collapsed="false">
      <c r="A80" s="3" t="s">
        <v>544</v>
      </c>
      <c r="B80" s="0" t="s">
        <v>545</v>
      </c>
      <c r="D80" s="23" t="n">
        <f aca="false">(D75-a26_gp-D79-(1-m_new)*(D72+D74))/D65*1000</f>
        <v>27.9465727870208</v>
      </c>
      <c r="E80" s="23" t="n">
        <f aca="false">D80*(1+cc_g)</f>
        <v>28.5055042427612</v>
      </c>
      <c r="F80" s="23" t="n">
        <f aca="false">E80*(1+cc_g)</f>
        <v>29.0756143276165</v>
      </c>
      <c r="G80" s="23" t="n">
        <f aca="false">F80*(1+cc_g)</f>
        <v>29.6571266141688</v>
      </c>
      <c r="K80" s="7" t="s">
        <v>546</v>
      </c>
    </row>
    <row r="81" customFormat="false" ht="17.15" hidden="false" customHeight="false" outlineLevel="0" collapsed="false">
      <c r="A81" s="3" t="s">
        <v>547</v>
      </c>
      <c r="B81" s="0" t="s">
        <v>181</v>
      </c>
      <c r="D81" s="23" t="n">
        <f aca="false">D80*D65/1000</f>
        <v>127.2556948</v>
      </c>
      <c r="E81" s="23" t="n">
        <f aca="false">E80*E65/1000</f>
        <v>147.307976864815</v>
      </c>
      <c r="F81" s="23" t="n">
        <f aca="false">F80*F65/1000</f>
        <v>159.079589887624</v>
      </c>
      <c r="G81" s="23" t="n">
        <f aca="false">G80*G65/1000</f>
        <v>171.772448824594</v>
      </c>
    </row>
    <row r="82" customFormat="false" ht="17.15" hidden="false" customHeight="false" outlineLevel="0" collapsed="false">
      <c r="A82" s="3" t="s">
        <v>548</v>
      </c>
      <c r="B82" s="0" t="s">
        <v>181</v>
      </c>
      <c r="D82" s="23" t="n">
        <f aca="false">m_new*(D72+D74)</f>
        <v>4.266</v>
      </c>
      <c r="E82" s="23" t="n">
        <f aca="false">m_new*(E72+E74)</f>
        <v>6.912</v>
      </c>
      <c r="F82" s="23" t="n">
        <f aca="false">m_new*(F72+F74)</f>
        <v>13.6224</v>
      </c>
      <c r="G82" s="23" t="n">
        <f aca="false">m_new*(G72+G74)</f>
        <v>21.73248</v>
      </c>
    </row>
    <row r="83" customFormat="false" ht="15" hidden="false" customHeight="false" outlineLevel="0" collapsed="false">
      <c r="A83" s="3" t="s">
        <v>411</v>
      </c>
      <c r="B83" s="0" t="s">
        <v>181</v>
      </c>
      <c r="C83" s="23" t="n">
        <f aca="false">a25_gp</f>
        <v>68.906</v>
      </c>
      <c r="D83" s="23" t="n">
        <f aca="false">D69-D79-D81+D82</f>
        <v>91.0920852</v>
      </c>
      <c r="E83" s="23" t="n">
        <f aca="false">E69-E79-E81+E82</f>
        <v>138.337292089343</v>
      </c>
      <c r="F83" s="23" t="n">
        <f aca="false">F69-F79-F81+F82</f>
        <v>157.903410199612</v>
      </c>
      <c r="G83" s="23" t="n">
        <f aca="false">G69-G79-G81+G82</f>
        <v>177.511002916633</v>
      </c>
    </row>
    <row r="84" customFormat="false" ht="15" hidden="false" customHeight="false" outlineLevel="0" collapsed="false">
      <c r="A84" s="3" t="s">
        <v>413</v>
      </c>
      <c r="B84" s="0" t="s">
        <v>69</v>
      </c>
      <c r="C84" s="15" t="n">
        <f aca="false">C83/C75</f>
        <v>0.290065795843454</v>
      </c>
      <c r="D84" s="15" t="n">
        <f aca="false">D83/D75</f>
        <v>0.325638488136828</v>
      </c>
      <c r="E84" s="15" t="n">
        <f aca="false">E83/E75</f>
        <v>0.387493003952231</v>
      </c>
      <c r="F84" s="15" t="n">
        <f aca="false">F83/F75</f>
        <v>0.391978901111249</v>
      </c>
      <c r="G84" s="15" t="n">
        <f aca="false">G83/G75</f>
        <v>0.39395623743854</v>
      </c>
    </row>
    <row r="85" customFormat="false" ht="15" hidden="false" customHeight="false" outlineLevel="0" collapsed="false">
      <c r="A85" s="3" t="s">
        <v>415</v>
      </c>
      <c r="B85" s="0" t="s">
        <v>181</v>
      </c>
      <c r="C85" s="23" t="n">
        <f aca="false">a25_opx</f>
        <v>25.056</v>
      </c>
      <c r="D85" s="23" t="n">
        <f aca="false">a26_opx</f>
        <v>27.23586</v>
      </c>
      <c r="E85" s="23" t="n">
        <f aca="false">D85*(1+MAX(g_opx_min,phi*E77))</f>
        <v>30.997602479041</v>
      </c>
      <c r="F85" s="23" t="n">
        <f aca="false">E85*(1+MAX(g_opx_min,phi*F77))</f>
        <v>32.9872594198389</v>
      </c>
      <c r="G85" s="23" t="n">
        <f aca="false">F85*(1+MAX(g_opx_min,phi*G77))</f>
        <v>34.942285099151</v>
      </c>
    </row>
    <row r="86" customFormat="false" ht="15" hidden="false" customHeight="false" outlineLevel="0" collapsed="false">
      <c r="A86" s="3" t="s">
        <v>418</v>
      </c>
      <c r="B86" s="0" t="s">
        <v>181</v>
      </c>
      <c r="C86" s="23" t="n">
        <f aca="false">C83-C85</f>
        <v>43.85</v>
      </c>
      <c r="D86" s="23" t="n">
        <f aca="false">D83-D85</f>
        <v>63.8562252</v>
      </c>
      <c r="E86" s="23" t="n">
        <f aca="false">E83-E85</f>
        <v>107.339689610302</v>
      </c>
      <c r="F86" s="23" t="n">
        <f aca="false">F83-F85</f>
        <v>124.916150779773</v>
      </c>
      <c r="G86" s="23" t="n">
        <f aca="false">G83-G85</f>
        <v>142.568717817482</v>
      </c>
    </row>
    <row r="87" customFormat="false" ht="15" hidden="false" customHeight="false" outlineLevel="0" collapsed="false">
      <c r="A87" s="3" t="s">
        <v>515</v>
      </c>
      <c r="B87" s="0" t="s">
        <v>69</v>
      </c>
      <c r="C87" s="15" t="n">
        <f aca="false">C86/C75</f>
        <v>0.184590386145408</v>
      </c>
      <c r="D87" s="15" t="n">
        <f aca="false">D86/D75</f>
        <v>0.228274987740129</v>
      </c>
      <c r="E87" s="15" t="n">
        <f aca="false">E86/E75</f>
        <v>0.300666422930511</v>
      </c>
      <c r="F87" s="15" t="n">
        <f aca="false">F86/F75</f>
        <v>0.31009143787208</v>
      </c>
      <c r="G87" s="15" t="n">
        <f aca="false">G86/G75</f>
        <v>0.316407629526999</v>
      </c>
    </row>
    <row r="88" customFormat="false" ht="15" hidden="false" customHeight="false" outlineLevel="0" collapsed="false">
      <c r="A88" s="3" t="s">
        <v>421</v>
      </c>
      <c r="B88" s="0" t="s">
        <v>181</v>
      </c>
      <c r="C88" s="23" t="n">
        <f aca="false">a25_nonop</f>
        <v>5.805</v>
      </c>
      <c r="D88" s="23" t="n">
        <f aca="false">a26_nonop</f>
        <v>38.372</v>
      </c>
      <c r="E88" s="23" t="n">
        <f aca="false">nonop_f</f>
        <v>4</v>
      </c>
      <c r="F88" s="23" t="n">
        <f aca="false">nonop_f</f>
        <v>4</v>
      </c>
      <c r="G88" s="23" t="n">
        <f aca="false">nonop_f</f>
        <v>4</v>
      </c>
    </row>
    <row r="89" customFormat="false" ht="15" hidden="false" customHeight="false" outlineLevel="0" collapsed="false">
      <c r="A89" s="3" t="s">
        <v>423</v>
      </c>
      <c r="B89" s="0" t="s">
        <v>181</v>
      </c>
      <c r="C89" s="23" t="n">
        <f aca="false">C86+C88</f>
        <v>49.655</v>
      </c>
      <c r="D89" s="23" t="n">
        <f aca="false">D86+D88</f>
        <v>102.2282252</v>
      </c>
      <c r="E89" s="23" t="n">
        <f aca="false">E86+E88</f>
        <v>111.339689610302</v>
      </c>
      <c r="F89" s="23" t="n">
        <f aca="false">F86+F88</f>
        <v>128.916150779773</v>
      </c>
      <c r="G89" s="23" t="n">
        <f aca="false">G86+G88</f>
        <v>146.568717817482</v>
      </c>
    </row>
    <row r="90" customFormat="false" ht="15" hidden="false" customHeight="false" outlineLevel="0" collapsed="false">
      <c r="A90" s="3" t="s">
        <v>425</v>
      </c>
      <c r="B90" s="0" t="s">
        <v>181</v>
      </c>
      <c r="C90" s="23" t="n">
        <f aca="false">a25_tax</f>
        <v>7.939</v>
      </c>
      <c r="D90" s="23" t="n">
        <f aca="false">a26_tax</f>
        <v>10.493828284</v>
      </c>
      <c r="E90" s="23" t="n">
        <f aca="false">E89*tax</f>
        <v>16.7009534415454</v>
      </c>
      <c r="F90" s="23" t="n">
        <f aca="false">F89*tax</f>
        <v>19.337422616966</v>
      </c>
      <c r="G90" s="23" t="n">
        <f aca="false">G89*tax</f>
        <v>21.9853076726223</v>
      </c>
    </row>
    <row r="91" customFormat="false" ht="17.15" hidden="false" customHeight="false" outlineLevel="0" collapsed="false">
      <c r="A91" s="3" t="s">
        <v>549</v>
      </c>
      <c r="B91" s="0" t="s">
        <v>181</v>
      </c>
      <c r="C91" s="23" t="n">
        <f aca="false">a25_mi</f>
        <v>0</v>
      </c>
      <c r="D91" s="23" t="n">
        <f aca="false">a26_mi</f>
        <v>-0.134999999999987</v>
      </c>
      <c r="E91" s="23" t="n">
        <f aca="false">0</f>
        <v>0</v>
      </c>
      <c r="F91" s="23" t="n">
        <f aca="false">0</f>
        <v>0</v>
      </c>
      <c r="G91" s="23" t="n">
        <f aca="false">0</f>
        <v>0</v>
      </c>
      <c r="K91" s="7" t="s">
        <v>550</v>
      </c>
    </row>
    <row r="92" customFormat="false" ht="15" hidden="false" customHeight="false" outlineLevel="0" collapsed="false">
      <c r="A92" s="3" t="s">
        <v>428</v>
      </c>
      <c r="B92" s="0" t="s">
        <v>181</v>
      </c>
      <c r="C92" s="23" t="n">
        <f aca="false">C89-C90-C91</f>
        <v>41.716</v>
      </c>
      <c r="D92" s="23" t="n">
        <f aca="false">D89-D90-D91</f>
        <v>91.869396916</v>
      </c>
      <c r="E92" s="23" t="n">
        <f aca="false">E89-E90-E91</f>
        <v>94.638736168757</v>
      </c>
      <c r="F92" s="23" t="n">
        <f aca="false">F89-F90-F91</f>
        <v>109.578728162807</v>
      </c>
      <c r="G92" s="23" t="n">
        <f aca="false">G89-G90-G91</f>
        <v>124.58341014486</v>
      </c>
      <c r="H92" s="30" t="n">
        <f aca="false">H75*H96</f>
        <v>136.919839439691</v>
      </c>
      <c r="I92" s="30" t="n">
        <f aca="false">I75*I96</f>
        <v>147.806434797717</v>
      </c>
      <c r="J92" s="30" t="n">
        <f aca="false">J75*J96</f>
        <v>156.674820885581</v>
      </c>
    </row>
    <row r="93" customFormat="false" ht="15" hidden="false" customHeight="false" outlineLevel="0" collapsed="false">
      <c r="A93" s="3" t="s">
        <v>551</v>
      </c>
      <c r="B93" s="3" t="s">
        <v>250</v>
      </c>
      <c r="C93" s="9" t="n">
        <f aca="false">a25_sh</f>
        <v>12.4898203592814</v>
      </c>
      <c r="D93" s="9" t="n">
        <f aca="false">a26_sh</f>
        <v>12.4754339027235</v>
      </c>
      <c r="E93" s="9" t="n">
        <f aca="false">q_sh*(1+sh_g)</f>
        <v>12.45</v>
      </c>
      <c r="F93" s="9" t="n">
        <f aca="false">E93*(1+sh_g)</f>
        <v>12.45</v>
      </c>
      <c r="G93" s="9" t="n">
        <f aca="false">F93*(1+sh_g)</f>
        <v>12.45</v>
      </c>
      <c r="H93" s="32" t="n">
        <f aca="false">G93*(1+sh_g)</f>
        <v>12.45</v>
      </c>
      <c r="I93" s="32" t="n">
        <f aca="false">H93*(1+sh_g)</f>
        <v>12.45</v>
      </c>
      <c r="J93" s="32" t="n">
        <f aca="false">I93*(1+sh_g)</f>
        <v>12.45</v>
      </c>
    </row>
    <row r="94" customFormat="false" ht="17.15" hidden="false" customHeight="false" outlineLevel="0" collapsed="false">
      <c r="A94" s="0" t="s">
        <v>434</v>
      </c>
      <c r="B94" s="0" t="s">
        <v>260</v>
      </c>
      <c r="C94" s="23" t="n">
        <f aca="false">C92/C93</f>
        <v>3.34</v>
      </c>
      <c r="D94" s="23" t="n">
        <f aca="false">D92/D93</f>
        <v>7.36402418002826</v>
      </c>
      <c r="E94" s="23" t="n">
        <f aca="false">E92/E93</f>
        <v>7.60150491315317</v>
      </c>
      <c r="F94" s="23" t="n">
        <f aca="false">F92/F93</f>
        <v>8.80150427010501</v>
      </c>
      <c r="G94" s="23" t="n">
        <f aca="false">G92/G93</f>
        <v>10.0066996100289</v>
      </c>
      <c r="H94" s="30" t="n">
        <f aca="false">H92/H93</f>
        <v>10.9975774650354</v>
      </c>
      <c r="I94" s="30" t="n">
        <f aca="false">I92/I93</f>
        <v>11.8720027949974</v>
      </c>
      <c r="J94" s="30" t="n">
        <f aca="false">J92/J93</f>
        <v>12.5843229626972</v>
      </c>
    </row>
    <row r="95" customFormat="false" ht="17.15" hidden="false" customHeight="false" outlineLevel="0" collapsed="false">
      <c r="A95" s="0" t="s">
        <v>552</v>
      </c>
      <c r="B95" s="0" t="s">
        <v>69</v>
      </c>
      <c r="D95" s="21" t="n">
        <f aca="false">D94/C94-1</f>
        <v>1.2047976586911</v>
      </c>
      <c r="E95" s="21" t="n">
        <f aca="false">E94/D94-1</f>
        <v>0.0322487715030833</v>
      </c>
      <c r="F95" s="21" t="n">
        <f aca="false">F94/E94-1</f>
        <v>0.157863392928343</v>
      </c>
      <c r="G95" s="21" t="n">
        <f aca="false">G94/F94-1</f>
        <v>0.136930609011623</v>
      </c>
      <c r="H95" s="28" t="n">
        <f aca="false">H94/G94-1</f>
        <v>0.0990214449940552</v>
      </c>
      <c r="I95" s="28" t="n">
        <f aca="false">I94/H94-1</f>
        <v>0.0795107224970277</v>
      </c>
      <c r="J95" s="28" t="n">
        <f aca="false">J94/I94-1</f>
        <v>0.0600000000000001</v>
      </c>
    </row>
    <row r="96" customFormat="false" ht="17.15" hidden="false" customHeight="false" outlineLevel="0" collapsed="false">
      <c r="A96" s="3" t="s">
        <v>553</v>
      </c>
      <c r="B96" s="0" t="s">
        <v>69</v>
      </c>
      <c r="C96" s="15" t="n">
        <f aca="false">C92/C75</f>
        <v>0.175607127672562</v>
      </c>
      <c r="D96" s="15" t="n">
        <f aca="false">D92/D75</f>
        <v>0.328417243409073</v>
      </c>
      <c r="E96" s="15" t="n">
        <f aca="false">E92/E75</f>
        <v>0.265090111382188</v>
      </c>
      <c r="F96" s="15" t="n">
        <f aca="false">F92/F75</f>
        <v>0.272017870900492</v>
      </c>
      <c r="G96" s="15" t="n">
        <f aca="false">G92/G75</f>
        <v>0.276492221335607</v>
      </c>
      <c r="H96" s="29" t="n">
        <f aca="false">$G96+(fade_mA-$G96)*1/3</f>
        <v>0.276492221335607</v>
      </c>
      <c r="I96" s="29" t="n">
        <f aca="false">$G96+(fade_mA-$G96)*2/3</f>
        <v>0.276492221335607</v>
      </c>
      <c r="J96" s="29" t="n">
        <f aca="false">$G96+(fade_mA-$G96)*3/3</f>
        <v>0.276492221335607</v>
      </c>
    </row>
    <row r="99" customFormat="false" ht="17.15" hidden="false" customHeight="false" outlineLevel="0" collapsed="false">
      <c r="A99" s="1" t="s">
        <v>554</v>
      </c>
    </row>
    <row r="100" customFormat="false" ht="17.15" hidden="false" customHeight="false" outlineLevel="0" collapsed="false">
      <c r="A100" s="4" t="s">
        <v>24</v>
      </c>
      <c r="B100" s="4" t="s">
        <v>25</v>
      </c>
      <c r="C100" s="16" t="s">
        <v>387</v>
      </c>
      <c r="D100" s="16" t="s">
        <v>505</v>
      </c>
      <c r="E100" s="16" t="s">
        <v>467</v>
      </c>
      <c r="F100" s="16" t="s">
        <v>468</v>
      </c>
      <c r="G100" s="16" t="s">
        <v>469</v>
      </c>
      <c r="H100" s="16" t="s">
        <v>506</v>
      </c>
      <c r="I100" s="16" t="s">
        <v>507</v>
      </c>
      <c r="J100" s="16" t="s">
        <v>508</v>
      </c>
      <c r="K100" s="4" t="s">
        <v>345</v>
      </c>
    </row>
    <row r="101" customFormat="false" ht="17.15" hidden="false" customHeight="false" outlineLevel="0" collapsed="false">
      <c r="A101" s="5" t="s">
        <v>526</v>
      </c>
    </row>
    <row r="102" customFormat="false" ht="17.15" hidden="false" customHeight="false" outlineLevel="0" collapsed="false">
      <c r="A102" s="3" t="s">
        <v>527</v>
      </c>
      <c r="B102" s="3" t="s">
        <v>64</v>
      </c>
      <c r="D102" s="22" t="n">
        <f aca="false">cap_26</f>
        <v>5230.46851955216</v>
      </c>
      <c r="E102" s="22" t="n">
        <f aca="false">D102*(1+capg27)*cap_adj</f>
        <v>5439.68726033425</v>
      </c>
      <c r="F102" s="22" t="n">
        <f aca="false">E102*(1+capg28)</f>
        <v>5820.46536855765</v>
      </c>
      <c r="G102" s="22" t="n">
        <f aca="false">F102*(1+capg29)</f>
        <v>6227.89794435668</v>
      </c>
    </row>
    <row r="103" customFormat="false" ht="15" hidden="false" customHeight="false" outlineLevel="0" collapsed="false">
      <c r="A103" s="3" t="s">
        <v>528</v>
      </c>
      <c r="B103" s="0" t="s">
        <v>69</v>
      </c>
      <c r="D103" s="21" t="n">
        <f aca="false">a26_ship/cap_26</f>
        <v>0.870578781414787</v>
      </c>
      <c r="E103" s="21" t="n">
        <f aca="false">MIN(0.98,ut27_B+ut_adj)</f>
        <v>0.9</v>
      </c>
      <c r="F103" s="21" t="n">
        <f aca="false">MIN(0.98,ut28_B+ut_adj)</f>
        <v>0.87</v>
      </c>
      <c r="G103" s="21" t="n">
        <f aca="false">MIN(0.98,ut29_B+ut_adj)</f>
        <v>0.88</v>
      </c>
    </row>
    <row r="104" customFormat="false" ht="17.15" hidden="false" customHeight="false" outlineLevel="0" collapsed="false">
      <c r="A104" s="3" t="s">
        <v>529</v>
      </c>
      <c r="B104" s="3" t="s">
        <v>64</v>
      </c>
      <c r="D104" s="22" t="n">
        <f aca="false">D102*D103</f>
        <v>4553.53490998013</v>
      </c>
      <c r="E104" s="22" t="n">
        <f aca="false">E102*E103</f>
        <v>4895.71853430083</v>
      </c>
      <c r="F104" s="22" t="n">
        <f aca="false">F102*F103</f>
        <v>5063.80487064515</v>
      </c>
      <c r="G104" s="22" t="n">
        <f aca="false">G102*G103</f>
        <v>5480.55019103388</v>
      </c>
    </row>
    <row r="105" customFormat="false" ht="17.15" hidden="false" customHeight="false" outlineLevel="0" collapsed="false">
      <c r="A105" s="3" t="s">
        <v>530</v>
      </c>
      <c r="B105" s="0" t="s">
        <v>109</v>
      </c>
      <c r="D105" s="22" t="n">
        <f aca="false">asp_26</f>
        <v>1878.17486396824</v>
      </c>
      <c r="E105" s="22" t="n">
        <f aca="false">D105*(1+asp27_B)*(1+asp_adj)</f>
        <v>1972.08360716666</v>
      </c>
      <c r="F105" s="22" t="n">
        <f aca="false">E105*(1+asp28_B)</f>
        <v>1972.08360716666</v>
      </c>
      <c r="G105" s="22" t="n">
        <f aca="false">F105*(1+asp29_B)</f>
        <v>1972.08360716666</v>
      </c>
    </row>
    <row r="106" customFormat="false" ht="15" hidden="false" customHeight="false" outlineLevel="0" collapsed="false">
      <c r="A106" s="3" t="s">
        <v>531</v>
      </c>
      <c r="B106" s="0" t="s">
        <v>69</v>
      </c>
      <c r="E106" s="21" t="n">
        <f aca="false">E105/D105-1</f>
        <v>0.05</v>
      </c>
      <c r="F106" s="21" t="n">
        <f aca="false">F105/E105-1</f>
        <v>0</v>
      </c>
      <c r="G106" s="21" t="n">
        <f aca="false">G105/F105-1</f>
        <v>0</v>
      </c>
    </row>
    <row r="107" customFormat="false" ht="15" hidden="false" customHeight="false" outlineLevel="0" collapsed="false">
      <c r="A107" s="3" t="s">
        <v>532</v>
      </c>
      <c r="B107" s="0" t="s">
        <v>35</v>
      </c>
      <c r="D107" s="23" t="n">
        <f aca="false">fx_26</f>
        <v>31.6</v>
      </c>
      <c r="E107" s="23" t="n">
        <f aca="false">fx</f>
        <v>32</v>
      </c>
      <c r="F107" s="23" t="n">
        <f aca="false">fx</f>
        <v>32</v>
      </c>
      <c r="G107" s="23" t="n">
        <f aca="false">fx</f>
        <v>32</v>
      </c>
    </row>
    <row r="108" customFormat="false" ht="17.15" hidden="false" customHeight="false" outlineLevel="0" collapsed="false">
      <c r="A108" s="3" t="s">
        <v>533</v>
      </c>
      <c r="B108" s="0" t="s">
        <v>181</v>
      </c>
      <c r="D108" s="23" t="n">
        <f aca="false">D104*D105*D107/1000000</f>
        <v>270.25378</v>
      </c>
      <c r="E108" s="23" t="n">
        <f aca="false">E104*E105*E107/1000000</f>
        <v>308.952520537492</v>
      </c>
      <c r="F108" s="23" t="n">
        <f aca="false">F104*F105*F107/1000000</f>
        <v>319.559890409279</v>
      </c>
      <c r="G108" s="23" t="n">
        <f aca="false">G104*G105*G107/1000000</f>
        <v>345.859302079744</v>
      </c>
    </row>
    <row r="109" customFormat="false" ht="17.15" hidden="false" customHeight="false" outlineLevel="0" collapsed="false">
      <c r="A109" s="5" t="s">
        <v>534</v>
      </c>
    </row>
    <row r="110" customFormat="false" ht="17.15" hidden="false" customHeight="false" outlineLevel="0" collapsed="false">
      <c r="A110" s="0" t="s">
        <v>535</v>
      </c>
      <c r="B110" s="0" t="s">
        <v>138</v>
      </c>
      <c r="D110" s="25" t="n">
        <f aca="false">ai_26</f>
        <v>0.3</v>
      </c>
      <c r="E110" s="25" t="n">
        <f aca="false">D110*(1+aig27_B)*ai_adj</f>
        <v>0.42</v>
      </c>
      <c r="F110" s="25" t="n">
        <f aca="false">E110*(1+aig_L)*um28_B</f>
        <v>0.4872</v>
      </c>
      <c r="G110" s="25" t="n">
        <f aca="false">F110/um28_B*(1+aig_L)*um29_B</f>
        <v>0.7505925</v>
      </c>
    </row>
    <row r="111" customFormat="false" ht="17.15" hidden="false" customHeight="false" outlineLevel="0" collapsed="false">
      <c r="A111" s="0" t="s">
        <v>536</v>
      </c>
      <c r="B111" s="0" t="s">
        <v>181</v>
      </c>
      <c r="D111" s="23" t="n">
        <f aca="false">D110*D107</f>
        <v>9.48</v>
      </c>
      <c r="E111" s="23" t="n">
        <f aca="false">E110*E107</f>
        <v>13.44</v>
      </c>
      <c r="F111" s="23" t="n">
        <f aca="false">F110*F107</f>
        <v>15.5904</v>
      </c>
      <c r="G111" s="23" t="n">
        <f aca="false">G110*G107</f>
        <v>24.01896</v>
      </c>
    </row>
    <row r="112" customFormat="false" ht="17.15" hidden="false" customHeight="false" outlineLevel="0" collapsed="false">
      <c r="A112" s="0" t="s">
        <v>537</v>
      </c>
      <c r="B112" s="0" t="s">
        <v>138</v>
      </c>
      <c r="D112" s="25" t="n">
        <f aca="false">0</f>
        <v>0</v>
      </c>
      <c r="E112" s="25" t="n">
        <f aca="false">int_27</f>
        <v>0</v>
      </c>
      <c r="F112" s="25" t="n">
        <f aca="false">int28_B</f>
        <v>0.12</v>
      </c>
      <c r="G112" s="25" t="n">
        <f aca="false">int29_B</f>
        <v>0.3</v>
      </c>
    </row>
    <row r="113" customFormat="false" ht="17.15" hidden="false" customHeight="false" outlineLevel="0" collapsed="false">
      <c r="A113" s="0" t="s">
        <v>538</v>
      </c>
      <c r="B113" s="0" t="s">
        <v>181</v>
      </c>
      <c r="D113" s="23" t="n">
        <f aca="false">D112*D107</f>
        <v>0</v>
      </c>
      <c r="E113" s="23" t="n">
        <f aca="false">E112*E107</f>
        <v>0</v>
      </c>
      <c r="F113" s="23" t="n">
        <f aca="false">F112*F107</f>
        <v>3.84</v>
      </c>
      <c r="G113" s="23" t="n">
        <f aca="false">G112*G107</f>
        <v>9.6</v>
      </c>
    </row>
    <row r="114" customFormat="false" ht="17.15" hidden="false" customHeight="false" outlineLevel="0" collapsed="false">
      <c r="A114" s="3" t="s">
        <v>393</v>
      </c>
      <c r="B114" s="0" t="s">
        <v>181</v>
      </c>
      <c r="C114" s="23" t="n">
        <f aca="false">a25_rev</f>
        <v>237.553</v>
      </c>
      <c r="D114" s="23" t="n">
        <f aca="false">D108+D111+D113</f>
        <v>279.73378</v>
      </c>
      <c r="E114" s="23" t="n">
        <f aca="false">E108+E111+E113</f>
        <v>322.392520537492</v>
      </c>
      <c r="F114" s="23" t="n">
        <f aca="false">F108+F111+F113</f>
        <v>338.990290409279</v>
      </c>
      <c r="G114" s="23" t="n">
        <f aca="false">G108+G111+G113</f>
        <v>379.478262079744</v>
      </c>
      <c r="H114" s="30" t="n">
        <f aca="false">G114*(1+H116)</f>
        <v>414.75379367548</v>
      </c>
      <c r="I114" s="30" t="n">
        <f aca="false">H114*(1+I116)</f>
        <v>442.326206375962</v>
      </c>
      <c r="J114" s="30" t="n">
        <f aca="false">I114*(1+J116)</f>
        <v>460.019254631001</v>
      </c>
      <c r="K114" s="7" t="s">
        <v>539</v>
      </c>
    </row>
    <row r="115" customFormat="false" ht="17.15" hidden="false" customHeight="false" outlineLevel="0" collapsed="false">
      <c r="A115" s="0" t="s">
        <v>540</v>
      </c>
      <c r="B115" s="0" t="s">
        <v>69</v>
      </c>
      <c r="D115" s="21" t="n">
        <f aca="false">D111/D114</f>
        <v>0.0338893643806622</v>
      </c>
      <c r="E115" s="21" t="n">
        <f aca="false">E111/E114</f>
        <v>0.0416883120538679</v>
      </c>
      <c r="F115" s="21" t="n">
        <f aca="false">F111/F114</f>
        <v>0.0459906977901254</v>
      </c>
      <c r="G115" s="21" t="n">
        <f aca="false">G111/G114</f>
        <v>0.0632946927404042</v>
      </c>
    </row>
    <row r="116" customFormat="false" ht="15" hidden="false" customHeight="false" outlineLevel="0" collapsed="false">
      <c r="A116" s="3" t="s">
        <v>541</v>
      </c>
      <c r="B116" s="0" t="s">
        <v>69</v>
      </c>
      <c r="D116" s="21" t="n">
        <f aca="false">D114/C114-1</f>
        <v>0.177563659478096</v>
      </c>
      <c r="E116" s="21" t="n">
        <f aca="false">E114/D114-1</f>
        <v>0.152497637351814</v>
      </c>
      <c r="F116" s="21" t="n">
        <f aca="false">F114/E114-1</f>
        <v>0.0514831108492078</v>
      </c>
      <c r="G116" s="21" t="n">
        <f aca="false">G114/F114-1</f>
        <v>0.119436965647547</v>
      </c>
      <c r="H116" s="28" t="n">
        <f aca="false">$G116+(fade_gB-$G116)*1/3</f>
        <v>0.0929579770983645</v>
      </c>
      <c r="I116" s="28" t="n">
        <f aca="false">$G116+(fade_gB-$G116)*2/3</f>
        <v>0.0664789885491822</v>
      </c>
      <c r="J116" s="28" t="n">
        <f aca="false">$G116+(fade_gB-$G116)*3/3</f>
        <v>0.04</v>
      </c>
    </row>
    <row r="117" customFormat="false" ht="17.15" hidden="false" customHeight="false" outlineLevel="0" collapsed="false">
      <c r="A117" s="5" t="s">
        <v>542</v>
      </c>
    </row>
    <row r="118" customFormat="false" ht="15" hidden="false" customHeight="false" outlineLevel="0" collapsed="false">
      <c r="A118" s="3" t="s">
        <v>543</v>
      </c>
      <c r="B118" s="0" t="s">
        <v>181</v>
      </c>
      <c r="D118" s="23" t="n">
        <f aca="false">da_tot26*da_sh</f>
        <v>56.172</v>
      </c>
      <c r="E118" s="23" t="n">
        <f aca="false">D118*(1+dag_27+dag_adj)</f>
        <v>62.91264</v>
      </c>
      <c r="F118" s="23" t="n">
        <f aca="false">E118*(1+dag_28+dag_adj)</f>
        <v>69.203904</v>
      </c>
      <c r="G118" s="23" t="n">
        <f aca="false">F118*(1+dag_29+dag_adj)</f>
        <v>74.74021632</v>
      </c>
    </row>
    <row r="119" customFormat="false" ht="17.15" hidden="false" customHeight="false" outlineLevel="0" collapsed="false">
      <c r="A119" s="3" t="s">
        <v>544</v>
      </c>
      <c r="B119" s="0" t="s">
        <v>545</v>
      </c>
      <c r="D119" s="23" t="n">
        <f aca="false">(D114-a26_gp-D118-(1-m_new)*(D111+D113))/D104*1000</f>
        <v>27.9465727870208</v>
      </c>
      <c r="E119" s="23" t="n">
        <f aca="false">D119*(1+cc_g)</f>
        <v>28.5055042427612</v>
      </c>
      <c r="F119" s="23" t="n">
        <f aca="false">E119*(1+cc_g)</f>
        <v>29.0756143276165</v>
      </c>
      <c r="G119" s="23" t="n">
        <f aca="false">F119*(1+cc_g)</f>
        <v>29.6571266141688</v>
      </c>
      <c r="K119" s="7" t="s">
        <v>546</v>
      </c>
    </row>
    <row r="120" customFormat="false" ht="17.15" hidden="false" customHeight="false" outlineLevel="0" collapsed="false">
      <c r="A120" s="3" t="s">
        <v>547</v>
      </c>
      <c r="B120" s="0" t="s">
        <v>181</v>
      </c>
      <c r="D120" s="23" t="n">
        <f aca="false">D119*D104/1000</f>
        <v>127.2556948</v>
      </c>
      <c r="E120" s="23" t="n">
        <f aca="false">E119*E104/1000</f>
        <v>139.554925450877</v>
      </c>
      <c r="F120" s="23" t="n">
        <f aca="false">F119*F104/1000</f>
        <v>147.233237449184</v>
      </c>
      <c r="G120" s="23" t="n">
        <f aca="false">G119*G104/1000</f>
        <v>162.537370930799</v>
      </c>
    </row>
    <row r="121" customFormat="false" ht="17.15" hidden="false" customHeight="false" outlineLevel="0" collapsed="false">
      <c r="A121" s="3" t="s">
        <v>548</v>
      </c>
      <c r="B121" s="0" t="s">
        <v>181</v>
      </c>
      <c r="D121" s="23" t="n">
        <f aca="false">m_new*(D111+D113)</f>
        <v>4.266</v>
      </c>
      <c r="E121" s="23" t="n">
        <f aca="false">m_new*(E111+E113)</f>
        <v>6.048</v>
      </c>
      <c r="F121" s="23" t="n">
        <f aca="false">m_new*(F111+F113)</f>
        <v>8.74368</v>
      </c>
      <c r="G121" s="23" t="n">
        <f aca="false">m_new*(G111+G113)</f>
        <v>15.128532</v>
      </c>
    </row>
    <row r="122" customFormat="false" ht="15" hidden="false" customHeight="false" outlineLevel="0" collapsed="false">
      <c r="A122" s="3" t="s">
        <v>411</v>
      </c>
      <c r="B122" s="0" t="s">
        <v>181</v>
      </c>
      <c r="C122" s="23" t="n">
        <f aca="false">a25_gp</f>
        <v>68.906</v>
      </c>
      <c r="D122" s="23" t="n">
        <f aca="false">D108-D118-D120+D121</f>
        <v>91.0920852</v>
      </c>
      <c r="E122" s="23" t="n">
        <f aca="false">E108-E118-E120+E121</f>
        <v>112.532955086615</v>
      </c>
      <c r="F122" s="23" t="n">
        <f aca="false">F108-F118-F120+F121</f>
        <v>111.866428960095</v>
      </c>
      <c r="G122" s="23" t="n">
        <f aca="false">G108-G118-G120+G121</f>
        <v>123.710246828945</v>
      </c>
    </row>
    <row r="123" customFormat="false" ht="15" hidden="false" customHeight="false" outlineLevel="0" collapsed="false">
      <c r="A123" s="3" t="s">
        <v>413</v>
      </c>
      <c r="B123" s="0" t="s">
        <v>69</v>
      </c>
      <c r="C123" s="15" t="n">
        <f aca="false">C122/C114</f>
        <v>0.290065795843454</v>
      </c>
      <c r="D123" s="15" t="n">
        <f aca="false">D122/D114</f>
        <v>0.325638488136828</v>
      </c>
      <c r="E123" s="15" t="n">
        <f aca="false">E122/E114</f>
        <v>0.349055725297226</v>
      </c>
      <c r="F123" s="15" t="n">
        <f aca="false">F122/F114</f>
        <v>0.32999891774196</v>
      </c>
      <c r="G123" s="15" t="n">
        <f aca="false">G122/G114</f>
        <v>0.326000878550847</v>
      </c>
    </row>
    <row r="124" customFormat="false" ht="15" hidden="false" customHeight="false" outlineLevel="0" collapsed="false">
      <c r="A124" s="3" t="s">
        <v>415</v>
      </c>
      <c r="B124" s="0" t="s">
        <v>181</v>
      </c>
      <c r="C124" s="23" t="n">
        <f aca="false">a25_opx</f>
        <v>25.056</v>
      </c>
      <c r="D124" s="23" t="n">
        <f aca="false">a26_opx</f>
        <v>27.23586</v>
      </c>
      <c r="E124" s="23" t="n">
        <f aca="false">D124*(1+MAX(g_opx_min,phi*E116))</f>
        <v>29.3125621506224</v>
      </c>
      <c r="F124" s="23" t="n">
        <f aca="false">E124*(1+MAX(g_opx_min,phi*F116))</f>
        <v>30.1919390151411</v>
      </c>
      <c r="G124" s="23" t="n">
        <f aca="false">F124*(1+MAX(g_opx_min,phi*G116))</f>
        <v>31.9949558066332</v>
      </c>
    </row>
    <row r="125" customFormat="false" ht="15" hidden="false" customHeight="false" outlineLevel="0" collapsed="false">
      <c r="A125" s="3" t="s">
        <v>418</v>
      </c>
      <c r="B125" s="0" t="s">
        <v>181</v>
      </c>
      <c r="C125" s="23" t="n">
        <f aca="false">C122-C124</f>
        <v>43.85</v>
      </c>
      <c r="D125" s="23" t="n">
        <f aca="false">D122-D124</f>
        <v>63.8562252</v>
      </c>
      <c r="E125" s="23" t="n">
        <f aca="false">E122-E124</f>
        <v>83.2203929359927</v>
      </c>
      <c r="F125" s="23" t="n">
        <f aca="false">F122-F124</f>
        <v>81.6744899449539</v>
      </c>
      <c r="G125" s="23" t="n">
        <f aca="false">G122-G124</f>
        <v>91.7152910223122</v>
      </c>
    </row>
    <row r="126" customFormat="false" ht="15" hidden="false" customHeight="false" outlineLevel="0" collapsed="false">
      <c r="A126" s="3" t="s">
        <v>515</v>
      </c>
      <c r="B126" s="0" t="s">
        <v>69</v>
      </c>
      <c r="C126" s="15" t="n">
        <f aca="false">C125/C114</f>
        <v>0.184590386145408</v>
      </c>
      <c r="D126" s="15" t="n">
        <f aca="false">D125/D114</f>
        <v>0.228274987740129</v>
      </c>
      <c r="E126" s="15" t="n">
        <f aca="false">E125/E114</f>
        <v>0.258133758181635</v>
      </c>
      <c r="F126" s="15" t="n">
        <f aca="false">F125/F114</f>
        <v>0.240934599767871</v>
      </c>
      <c r="G126" s="15" t="n">
        <f aca="false">G125/G114</f>
        <v>0.241687865122137</v>
      </c>
    </row>
    <row r="127" customFormat="false" ht="15" hidden="false" customHeight="false" outlineLevel="0" collapsed="false">
      <c r="A127" s="3" t="s">
        <v>421</v>
      </c>
      <c r="B127" s="0" t="s">
        <v>181</v>
      </c>
      <c r="C127" s="23" t="n">
        <f aca="false">a25_nonop</f>
        <v>5.805</v>
      </c>
      <c r="D127" s="23" t="n">
        <f aca="false">a26_nonop</f>
        <v>38.372</v>
      </c>
      <c r="E127" s="23" t="n">
        <f aca="false">nonop_f</f>
        <v>4</v>
      </c>
      <c r="F127" s="23" t="n">
        <f aca="false">nonop_f</f>
        <v>4</v>
      </c>
      <c r="G127" s="23" t="n">
        <f aca="false">nonop_f</f>
        <v>4</v>
      </c>
    </row>
    <row r="128" customFormat="false" ht="15" hidden="false" customHeight="false" outlineLevel="0" collapsed="false">
      <c r="A128" s="3" t="s">
        <v>423</v>
      </c>
      <c r="B128" s="0" t="s">
        <v>181</v>
      </c>
      <c r="C128" s="23" t="n">
        <f aca="false">C125+C127</f>
        <v>49.655</v>
      </c>
      <c r="D128" s="23" t="n">
        <f aca="false">D125+D127</f>
        <v>102.2282252</v>
      </c>
      <c r="E128" s="23" t="n">
        <f aca="false">E125+E127</f>
        <v>87.2203929359927</v>
      </c>
      <c r="F128" s="23" t="n">
        <f aca="false">F125+F127</f>
        <v>85.6744899449539</v>
      </c>
      <c r="G128" s="23" t="n">
        <f aca="false">G125+G127</f>
        <v>95.7152910223122</v>
      </c>
    </row>
    <row r="129" customFormat="false" ht="15" hidden="false" customHeight="false" outlineLevel="0" collapsed="false">
      <c r="A129" s="3" t="s">
        <v>425</v>
      </c>
      <c r="B129" s="0" t="s">
        <v>181</v>
      </c>
      <c r="C129" s="23" t="n">
        <f aca="false">a25_tax</f>
        <v>7.939</v>
      </c>
      <c r="D129" s="23" t="n">
        <f aca="false">a26_tax</f>
        <v>10.493828284</v>
      </c>
      <c r="E129" s="23" t="n">
        <f aca="false">E128*tax</f>
        <v>13.0830589403989</v>
      </c>
      <c r="F129" s="23" t="n">
        <f aca="false">F128*tax</f>
        <v>12.8511734917431</v>
      </c>
      <c r="G129" s="23" t="n">
        <f aca="false">G128*tax</f>
        <v>14.3572936533468</v>
      </c>
    </row>
    <row r="130" customFormat="false" ht="17.15" hidden="false" customHeight="false" outlineLevel="0" collapsed="false">
      <c r="A130" s="3" t="s">
        <v>549</v>
      </c>
      <c r="B130" s="0" t="s">
        <v>181</v>
      </c>
      <c r="C130" s="23" t="n">
        <f aca="false">a25_mi</f>
        <v>0</v>
      </c>
      <c r="D130" s="23" t="n">
        <f aca="false">a26_mi</f>
        <v>-0.134999999999987</v>
      </c>
      <c r="E130" s="23" t="n">
        <f aca="false">0</f>
        <v>0</v>
      </c>
      <c r="F130" s="23" t="n">
        <f aca="false">0</f>
        <v>0</v>
      </c>
      <c r="G130" s="23" t="n">
        <f aca="false">0</f>
        <v>0</v>
      </c>
      <c r="K130" s="7" t="s">
        <v>550</v>
      </c>
    </row>
    <row r="131" customFormat="false" ht="15" hidden="false" customHeight="false" outlineLevel="0" collapsed="false">
      <c r="A131" s="3" t="s">
        <v>428</v>
      </c>
      <c r="B131" s="0" t="s">
        <v>181</v>
      </c>
      <c r="C131" s="23" t="n">
        <f aca="false">C128-C129-C130</f>
        <v>41.716</v>
      </c>
      <c r="D131" s="23" t="n">
        <f aca="false">D128-D129-D130</f>
        <v>91.869396916</v>
      </c>
      <c r="E131" s="23" t="n">
        <f aca="false">E128-E129-E130</f>
        <v>74.1373339955938</v>
      </c>
      <c r="F131" s="23" t="n">
        <f aca="false">F128-F129-F130</f>
        <v>72.8233164532109</v>
      </c>
      <c r="G131" s="23" t="n">
        <f aca="false">G128-G129-G130</f>
        <v>81.3579973689653</v>
      </c>
      <c r="H131" s="30" t="n">
        <f aca="false">H114*H135</f>
        <v>85.9568431509864</v>
      </c>
      <c r="I131" s="30" t="n">
        <f aca="false">I114*I135</f>
        <v>88.5100924134915</v>
      </c>
      <c r="J131" s="30" t="n">
        <f aca="false">J114*J135</f>
        <v>88.7629783918157</v>
      </c>
    </row>
    <row r="132" customFormat="false" ht="15" hidden="false" customHeight="false" outlineLevel="0" collapsed="false">
      <c r="A132" s="3" t="s">
        <v>551</v>
      </c>
      <c r="B132" s="3" t="s">
        <v>250</v>
      </c>
      <c r="C132" s="9" t="n">
        <f aca="false">a25_sh</f>
        <v>12.4898203592814</v>
      </c>
      <c r="D132" s="9" t="n">
        <f aca="false">a26_sh</f>
        <v>12.4754339027235</v>
      </c>
      <c r="E132" s="9" t="n">
        <f aca="false">q_sh*(1+sh_g)</f>
        <v>12.45</v>
      </c>
      <c r="F132" s="9" t="n">
        <f aca="false">E132*(1+sh_g)</f>
        <v>12.45</v>
      </c>
      <c r="G132" s="9" t="n">
        <f aca="false">F132*(1+sh_g)</f>
        <v>12.45</v>
      </c>
      <c r="H132" s="32" t="n">
        <f aca="false">G132*(1+sh_g)</f>
        <v>12.45</v>
      </c>
      <c r="I132" s="32" t="n">
        <f aca="false">H132*(1+sh_g)</f>
        <v>12.45</v>
      </c>
      <c r="J132" s="32" t="n">
        <f aca="false">I132*(1+sh_g)</f>
        <v>12.45</v>
      </c>
    </row>
    <row r="133" customFormat="false" ht="17.15" hidden="false" customHeight="false" outlineLevel="0" collapsed="false">
      <c r="A133" s="0" t="s">
        <v>434</v>
      </c>
      <c r="B133" s="0" t="s">
        <v>260</v>
      </c>
      <c r="C133" s="23" t="n">
        <f aca="false">C131/C132</f>
        <v>3.34</v>
      </c>
      <c r="D133" s="23" t="n">
        <f aca="false">D131/D132</f>
        <v>7.36402418002826</v>
      </c>
      <c r="E133" s="23" t="n">
        <f aca="false">E131/E132</f>
        <v>5.95480594342119</v>
      </c>
      <c r="F133" s="23" t="n">
        <f aca="false">F131/F132</f>
        <v>5.84926236571975</v>
      </c>
      <c r="G133" s="23" t="n">
        <f aca="false">G131/G132</f>
        <v>6.53477890513778</v>
      </c>
      <c r="H133" s="30" t="n">
        <f aca="false">H131/H132</f>
        <v>6.90416410851297</v>
      </c>
      <c r="I133" s="30" t="n">
        <f aca="false">I131/I132</f>
        <v>7.10924437056156</v>
      </c>
      <c r="J133" s="30" t="n">
        <f aca="false">J131/J132</f>
        <v>7.1295564973346</v>
      </c>
    </row>
    <row r="134" customFormat="false" ht="17.15" hidden="false" customHeight="false" outlineLevel="0" collapsed="false">
      <c r="A134" s="0" t="s">
        <v>552</v>
      </c>
      <c r="B134" s="0" t="s">
        <v>69</v>
      </c>
      <c r="D134" s="21" t="n">
        <f aca="false">D133/C133-1</f>
        <v>1.2047976586911</v>
      </c>
      <c r="E134" s="21" t="n">
        <f aca="false">E133/D133-1</f>
        <v>-0.191365237559781</v>
      </c>
      <c r="F134" s="21" t="n">
        <f aca="false">F133/E133-1</f>
        <v>-0.0177241002820658</v>
      </c>
      <c r="G134" s="21" t="n">
        <f aca="false">G133/F133-1</f>
        <v>0.117197091967626</v>
      </c>
      <c r="H134" s="28" t="n">
        <f aca="false">H133/G133-1</f>
        <v>0.0565260445284188</v>
      </c>
      <c r="I134" s="28" t="n">
        <f aca="false">I133/H133-1</f>
        <v>0.0297038510130037</v>
      </c>
      <c r="J134" s="28" t="n">
        <f aca="false">J133/I133-1</f>
        <v>0.00285714285714289</v>
      </c>
    </row>
    <row r="135" customFormat="false" ht="17.15" hidden="false" customHeight="false" outlineLevel="0" collapsed="false">
      <c r="A135" s="3" t="s">
        <v>553</v>
      </c>
      <c r="B135" s="0" t="s">
        <v>69</v>
      </c>
      <c r="C135" s="15" t="n">
        <f aca="false">C131/C114</f>
        <v>0.175607127672562</v>
      </c>
      <c r="D135" s="15" t="n">
        <f aca="false">D131/D114</f>
        <v>0.328417243409073</v>
      </c>
      <c r="E135" s="15" t="n">
        <f aca="false">E131/E114</f>
        <v>0.22995984482516</v>
      </c>
      <c r="F135" s="15" t="n">
        <f aca="false">F131/F114</f>
        <v>0.21482419559949</v>
      </c>
      <c r="G135" s="15" t="n">
        <f aca="false">G131/G114</f>
        <v>0.214394355352741</v>
      </c>
      <c r="H135" s="29" t="n">
        <f aca="false">$G135+(fade_mB-$G135)*1/3</f>
        <v>0.207247876840983</v>
      </c>
      <c r="I135" s="29" t="n">
        <f aca="false">$G135+(fade_mB-$G135)*2/3</f>
        <v>0.200101398329225</v>
      </c>
      <c r="J135" s="29" t="n">
        <f aca="false">$G135+(fade_mB-$G135)*3/3</f>
        <v>0.192954919817467</v>
      </c>
    </row>
    <row r="138" customFormat="false" ht="17.15" hidden="false" customHeight="false" outlineLevel="0" collapsed="false">
      <c r="A138" s="1" t="s">
        <v>555</v>
      </c>
    </row>
    <row r="139" customFormat="false" ht="17.15" hidden="false" customHeight="false" outlineLevel="0" collapsed="false">
      <c r="A139" s="4" t="s">
        <v>24</v>
      </c>
      <c r="B139" s="4" t="s">
        <v>25</v>
      </c>
      <c r="C139" s="16" t="s">
        <v>387</v>
      </c>
      <c r="D139" s="16" t="s">
        <v>505</v>
      </c>
      <c r="E139" s="16" t="s">
        <v>467</v>
      </c>
      <c r="F139" s="16" t="s">
        <v>468</v>
      </c>
      <c r="G139" s="16" t="s">
        <v>469</v>
      </c>
      <c r="H139" s="16" t="s">
        <v>506</v>
      </c>
      <c r="I139" s="16" t="s">
        <v>507</v>
      </c>
      <c r="J139" s="16" t="s">
        <v>508</v>
      </c>
      <c r="K139" s="4" t="s">
        <v>345</v>
      </c>
    </row>
    <row r="140" customFormat="false" ht="17.15" hidden="false" customHeight="false" outlineLevel="0" collapsed="false">
      <c r="A140" s="5" t="s">
        <v>526</v>
      </c>
    </row>
    <row r="141" customFormat="false" ht="17.15" hidden="false" customHeight="false" outlineLevel="0" collapsed="false">
      <c r="A141" s="3" t="s">
        <v>527</v>
      </c>
      <c r="B141" s="3" t="s">
        <v>64</v>
      </c>
      <c r="D141" s="22" t="n">
        <f aca="false">cap_26</f>
        <v>5230.46851955216</v>
      </c>
      <c r="E141" s="22" t="n">
        <f aca="false">D141*(1+capg27)*cap_adj</f>
        <v>5439.68726033425</v>
      </c>
      <c r="F141" s="22" t="n">
        <f aca="false">E141*(1+capg28)</f>
        <v>5820.46536855765</v>
      </c>
      <c r="G141" s="22" t="n">
        <f aca="false">F141*(1+capg29)</f>
        <v>6227.89794435668</v>
      </c>
    </row>
    <row r="142" customFormat="false" ht="15" hidden="false" customHeight="false" outlineLevel="0" collapsed="false">
      <c r="A142" s="3" t="s">
        <v>528</v>
      </c>
      <c r="B142" s="0" t="s">
        <v>69</v>
      </c>
      <c r="D142" s="21" t="n">
        <f aca="false">a26_ship/cap_26</f>
        <v>0.870578781414787</v>
      </c>
      <c r="E142" s="21" t="n">
        <f aca="false">MIN(0.98,ut27_C+ut_adj)</f>
        <v>0.82</v>
      </c>
      <c r="F142" s="21" t="n">
        <f aca="false">MIN(0.98,ut28_C+ut_adj)</f>
        <v>0.76</v>
      </c>
      <c r="G142" s="21" t="n">
        <f aca="false">MIN(0.98,ut29_C+ut_adj)</f>
        <v>0.8</v>
      </c>
    </row>
    <row r="143" customFormat="false" ht="17.15" hidden="false" customHeight="false" outlineLevel="0" collapsed="false">
      <c r="A143" s="3" t="s">
        <v>529</v>
      </c>
      <c r="B143" s="3" t="s">
        <v>64</v>
      </c>
      <c r="D143" s="22" t="n">
        <f aca="false">D141*D142</f>
        <v>4553.53490998013</v>
      </c>
      <c r="E143" s="22" t="n">
        <f aca="false">E141*E142</f>
        <v>4460.54355347409</v>
      </c>
      <c r="F143" s="22" t="n">
        <f aca="false">F141*F142</f>
        <v>4423.55368010381</v>
      </c>
      <c r="G143" s="22" t="n">
        <f aca="false">G141*G142</f>
        <v>4982.31835548535</v>
      </c>
    </row>
    <row r="144" customFormat="false" ht="17.15" hidden="false" customHeight="false" outlineLevel="0" collapsed="false">
      <c r="A144" s="3" t="s">
        <v>530</v>
      </c>
      <c r="B144" s="0" t="s">
        <v>109</v>
      </c>
      <c r="D144" s="22" t="n">
        <f aca="false">asp_26</f>
        <v>1878.17486396824</v>
      </c>
      <c r="E144" s="22" t="n">
        <f aca="false">D144*(1+asp27_C)*(1+asp_adj)</f>
        <v>1878.17486396824</v>
      </c>
      <c r="F144" s="22" t="n">
        <f aca="false">E144*(1+asp28_C)</f>
        <v>1765.48437213015</v>
      </c>
      <c r="G144" s="22" t="n">
        <f aca="false">F144*(1+asp29_C)</f>
        <v>1712.51984096625</v>
      </c>
    </row>
    <row r="145" customFormat="false" ht="15" hidden="false" customHeight="false" outlineLevel="0" collapsed="false">
      <c r="A145" s="3" t="s">
        <v>531</v>
      </c>
      <c r="B145" s="0" t="s">
        <v>69</v>
      </c>
      <c r="E145" s="21" t="n">
        <f aca="false">E144/D144-1</f>
        <v>0</v>
      </c>
      <c r="F145" s="21" t="n">
        <f aca="false">F144/E144-1</f>
        <v>-0.0599999999999999</v>
      </c>
      <c r="G145" s="21" t="n">
        <f aca="false">G144/F144-1</f>
        <v>-0.0299999999999999</v>
      </c>
    </row>
    <row r="146" customFormat="false" ht="15" hidden="false" customHeight="false" outlineLevel="0" collapsed="false">
      <c r="A146" s="3" t="s">
        <v>532</v>
      </c>
      <c r="B146" s="0" t="s">
        <v>35</v>
      </c>
      <c r="D146" s="23" t="n">
        <f aca="false">fx_26</f>
        <v>31.6</v>
      </c>
      <c r="E146" s="23" t="n">
        <f aca="false">fx</f>
        <v>32</v>
      </c>
      <c r="F146" s="23" t="n">
        <f aca="false">fx</f>
        <v>32</v>
      </c>
      <c r="G146" s="23" t="n">
        <f aca="false">fx</f>
        <v>32</v>
      </c>
    </row>
    <row r="147" customFormat="false" ht="17.15" hidden="false" customHeight="false" outlineLevel="0" collapsed="false">
      <c r="A147" s="3" t="s">
        <v>533</v>
      </c>
      <c r="B147" s="0" t="s">
        <v>181</v>
      </c>
      <c r="D147" s="23" t="n">
        <f aca="false">D143*D144*D146/1000000</f>
        <v>270.25378</v>
      </c>
      <c r="E147" s="23" t="n">
        <f aca="false">E143*E144*E146/1000000</f>
        <v>268.08578501666</v>
      </c>
      <c r="F147" s="23" t="n">
        <f aca="false">F143*F144*F146/1000000</f>
        <v>249.910876528067</v>
      </c>
      <c r="G147" s="23" t="n">
        <f aca="false">G143*G144*G146/1000000</f>
        <v>273.034209208927</v>
      </c>
    </row>
    <row r="148" customFormat="false" ht="17.15" hidden="false" customHeight="false" outlineLevel="0" collapsed="false">
      <c r="A148" s="5" t="s">
        <v>534</v>
      </c>
    </row>
    <row r="149" customFormat="false" ht="17.15" hidden="false" customHeight="false" outlineLevel="0" collapsed="false">
      <c r="A149" s="0" t="s">
        <v>535</v>
      </c>
      <c r="B149" s="0" t="s">
        <v>138</v>
      </c>
      <c r="D149" s="25" t="n">
        <f aca="false">ai_26</f>
        <v>0.3</v>
      </c>
      <c r="E149" s="25" t="n">
        <f aca="false">D149*(1+aig27_C)*ai_adj</f>
        <v>0.36</v>
      </c>
      <c r="F149" s="25" t="n">
        <f aca="false">E149*(1+aig_L)*um28_C</f>
        <v>0.3132</v>
      </c>
      <c r="G149" s="25" t="n">
        <f aca="false">F149/um28_C*(1+aig_L)*um29_C</f>
        <v>0.45414</v>
      </c>
    </row>
    <row r="150" customFormat="false" ht="17.15" hidden="false" customHeight="false" outlineLevel="0" collapsed="false">
      <c r="A150" s="0" t="s">
        <v>536</v>
      </c>
      <c r="B150" s="0" t="s">
        <v>181</v>
      </c>
      <c r="D150" s="23" t="n">
        <f aca="false">D149*D146</f>
        <v>9.48</v>
      </c>
      <c r="E150" s="23" t="n">
        <f aca="false">E149*E146</f>
        <v>11.52</v>
      </c>
      <c r="F150" s="23" t="n">
        <f aca="false">F149*F146</f>
        <v>10.0224</v>
      </c>
      <c r="G150" s="23" t="n">
        <f aca="false">G149*G146</f>
        <v>14.53248</v>
      </c>
    </row>
    <row r="151" customFormat="false" ht="17.15" hidden="false" customHeight="false" outlineLevel="0" collapsed="false">
      <c r="A151" s="0" t="s">
        <v>537</v>
      </c>
      <c r="B151" s="0" t="s">
        <v>138</v>
      </c>
      <c r="D151" s="25" t="n">
        <f aca="false">0</f>
        <v>0</v>
      </c>
      <c r="E151" s="25" t="n">
        <f aca="false">int_27</f>
        <v>0</v>
      </c>
      <c r="F151" s="25" t="n">
        <f aca="false">int28_C</f>
        <v>0</v>
      </c>
      <c r="G151" s="25" t="n">
        <f aca="false">int29_C</f>
        <v>0.08</v>
      </c>
    </row>
    <row r="152" customFormat="false" ht="17.15" hidden="false" customHeight="false" outlineLevel="0" collapsed="false">
      <c r="A152" s="0" t="s">
        <v>538</v>
      </c>
      <c r="B152" s="0" t="s">
        <v>181</v>
      </c>
      <c r="D152" s="23" t="n">
        <f aca="false">D151*D146</f>
        <v>0</v>
      </c>
      <c r="E152" s="23" t="n">
        <f aca="false">E151*E146</f>
        <v>0</v>
      </c>
      <c r="F152" s="23" t="n">
        <f aca="false">F151*F146</f>
        <v>0</v>
      </c>
      <c r="G152" s="23" t="n">
        <f aca="false">G151*G146</f>
        <v>2.56</v>
      </c>
    </row>
    <row r="153" customFormat="false" ht="17.15" hidden="false" customHeight="false" outlineLevel="0" collapsed="false">
      <c r="A153" s="3" t="s">
        <v>393</v>
      </c>
      <c r="B153" s="0" t="s">
        <v>181</v>
      </c>
      <c r="C153" s="23" t="n">
        <f aca="false">a25_rev</f>
        <v>237.553</v>
      </c>
      <c r="D153" s="23" t="n">
        <f aca="false">D147+D150+D152</f>
        <v>279.73378</v>
      </c>
      <c r="E153" s="23" t="n">
        <f aca="false">E147+E150+E152</f>
        <v>279.60578501666</v>
      </c>
      <c r="F153" s="23" t="n">
        <f aca="false">F147+F150+F152</f>
        <v>259.933276528067</v>
      </c>
      <c r="G153" s="23" t="n">
        <f aca="false">G147+G150+G152</f>
        <v>290.126689208927</v>
      </c>
      <c r="H153" s="30" t="n">
        <f aca="false">G153*(1+H155)</f>
        <v>314.527952983075</v>
      </c>
      <c r="I153" s="30" t="n">
        <f aca="false">H153*(1+I155)</f>
        <v>330.900005213497</v>
      </c>
      <c r="J153" s="30" t="n">
        <f aca="false">I153*(1+J155)</f>
        <v>337.518005317767</v>
      </c>
      <c r="K153" s="7" t="s">
        <v>539</v>
      </c>
    </row>
    <row r="154" customFormat="false" ht="17.15" hidden="false" customHeight="false" outlineLevel="0" collapsed="false">
      <c r="A154" s="0" t="s">
        <v>540</v>
      </c>
      <c r="B154" s="0" t="s">
        <v>69</v>
      </c>
      <c r="D154" s="21" t="n">
        <f aca="false">D150/D153</f>
        <v>0.0338893643806622</v>
      </c>
      <c r="E154" s="21" t="n">
        <f aca="false">E150/E153</f>
        <v>0.0412008642786615</v>
      </c>
      <c r="F154" s="21" t="n">
        <f aca="false">F150/F153</f>
        <v>0.0385575872926674</v>
      </c>
      <c r="G154" s="21" t="n">
        <f aca="false">G150/G153</f>
        <v>0.0500901176642002</v>
      </c>
    </row>
    <row r="155" customFormat="false" ht="15" hidden="false" customHeight="false" outlineLevel="0" collapsed="false">
      <c r="A155" s="3" t="s">
        <v>541</v>
      </c>
      <c r="B155" s="0" t="s">
        <v>69</v>
      </c>
      <c r="D155" s="21" t="n">
        <f aca="false">D153/C153-1</f>
        <v>0.177563659478096</v>
      </c>
      <c r="E155" s="21" t="n">
        <f aca="false">E153/D153-1</f>
        <v>-0.000457559981995259</v>
      </c>
      <c r="F155" s="21" t="n">
        <f aca="false">F153/E153-1</f>
        <v>-0.0703580166891779</v>
      </c>
      <c r="G155" s="21" t="n">
        <f aca="false">G153/F153-1</f>
        <v>0.116158319874062</v>
      </c>
      <c r="H155" s="28" t="n">
        <f aca="false">$G155+(fade_gC-$G155)*1/3</f>
        <v>0.0841055465827078</v>
      </c>
      <c r="I155" s="28" t="n">
        <f aca="false">$G155+(fade_gC-$G155)*2/3</f>
        <v>0.0520527732913539</v>
      </c>
      <c r="J155" s="28" t="n">
        <f aca="false">$G155+(fade_gC-$G155)*3/3</f>
        <v>0.02</v>
      </c>
    </row>
    <row r="156" customFormat="false" ht="17.15" hidden="false" customHeight="false" outlineLevel="0" collapsed="false">
      <c r="A156" s="5" t="s">
        <v>542</v>
      </c>
    </row>
    <row r="157" customFormat="false" ht="15" hidden="false" customHeight="false" outlineLevel="0" collapsed="false">
      <c r="A157" s="3" t="s">
        <v>543</v>
      </c>
      <c r="B157" s="0" t="s">
        <v>181</v>
      </c>
      <c r="D157" s="23" t="n">
        <f aca="false">da_tot26*da_sh</f>
        <v>56.172</v>
      </c>
      <c r="E157" s="23" t="n">
        <f aca="false">D157*(1+dag_27+dag_adj)</f>
        <v>62.91264</v>
      </c>
      <c r="F157" s="23" t="n">
        <f aca="false">E157*(1+dag_28+dag_adj)</f>
        <v>69.203904</v>
      </c>
      <c r="G157" s="23" t="n">
        <f aca="false">F157*(1+dag_29+dag_adj)</f>
        <v>74.74021632</v>
      </c>
    </row>
    <row r="158" customFormat="false" ht="17.15" hidden="false" customHeight="false" outlineLevel="0" collapsed="false">
      <c r="A158" s="3" t="s">
        <v>544</v>
      </c>
      <c r="B158" s="0" t="s">
        <v>545</v>
      </c>
      <c r="D158" s="23" t="n">
        <f aca="false">(D153-a26_gp-D157-(1-m_new)*(D150+D152))/D143*1000</f>
        <v>27.9465727870208</v>
      </c>
      <c r="E158" s="23" t="n">
        <f aca="false">D158*(1+cc_g)</f>
        <v>28.5055042427612</v>
      </c>
      <c r="F158" s="23" t="n">
        <f aca="false">E158*(1+cc_g)</f>
        <v>29.0756143276165</v>
      </c>
      <c r="G158" s="23" t="n">
        <f aca="false">F158*(1+cc_g)</f>
        <v>29.6571266141688</v>
      </c>
      <c r="K158" s="7" t="s">
        <v>546</v>
      </c>
    </row>
    <row r="159" customFormat="false" ht="17.15" hidden="false" customHeight="false" outlineLevel="0" collapsed="false">
      <c r="A159" s="3" t="s">
        <v>547</v>
      </c>
      <c r="B159" s="0" t="s">
        <v>181</v>
      </c>
      <c r="D159" s="23" t="n">
        <f aca="false">D158*D143/1000</f>
        <v>127.2556948</v>
      </c>
      <c r="E159" s="23" t="n">
        <f aca="false">E158*E143/1000</f>
        <v>127.150043188577</v>
      </c>
      <c r="F159" s="23" t="n">
        <f aca="false">F158*F143/1000</f>
        <v>128.617540760207</v>
      </c>
      <c r="G159" s="23" t="n">
        <f aca="false">G158*G143/1000</f>
        <v>147.761246300726</v>
      </c>
    </row>
    <row r="160" customFormat="false" ht="17.15" hidden="false" customHeight="false" outlineLevel="0" collapsed="false">
      <c r="A160" s="3" t="s">
        <v>548</v>
      </c>
      <c r="B160" s="0" t="s">
        <v>181</v>
      </c>
      <c r="D160" s="23" t="n">
        <f aca="false">m_new*(D150+D152)</f>
        <v>4.266</v>
      </c>
      <c r="E160" s="23" t="n">
        <f aca="false">m_new*(E150+E152)</f>
        <v>5.184</v>
      </c>
      <c r="F160" s="23" t="n">
        <f aca="false">m_new*(F150+F152)</f>
        <v>4.51008</v>
      </c>
      <c r="G160" s="23" t="n">
        <f aca="false">m_new*(G150+G152)</f>
        <v>7.691616</v>
      </c>
    </row>
    <row r="161" customFormat="false" ht="15" hidden="false" customHeight="false" outlineLevel="0" collapsed="false">
      <c r="A161" s="3" t="s">
        <v>411</v>
      </c>
      <c r="B161" s="0" t="s">
        <v>181</v>
      </c>
      <c r="C161" s="23" t="n">
        <f aca="false">a25_gp</f>
        <v>68.906</v>
      </c>
      <c r="D161" s="23" t="n">
        <f aca="false">D147-D157-D159+D160</f>
        <v>91.0920852</v>
      </c>
      <c r="E161" s="23" t="n">
        <f aca="false">E147-E157-E159+E160</f>
        <v>83.2071018280829</v>
      </c>
      <c r="F161" s="23" t="n">
        <f aca="false">F147-F157-F159+F160</f>
        <v>56.59951176786</v>
      </c>
      <c r="G161" s="23" t="n">
        <f aca="false">G147-G157-G159+G160</f>
        <v>58.2243625882008</v>
      </c>
    </row>
    <row r="162" customFormat="false" ht="15" hidden="false" customHeight="false" outlineLevel="0" collapsed="false">
      <c r="A162" s="3" t="s">
        <v>413</v>
      </c>
      <c r="B162" s="0" t="s">
        <v>69</v>
      </c>
      <c r="C162" s="15" t="n">
        <f aca="false">C161/C153</f>
        <v>0.290065795843454</v>
      </c>
      <c r="D162" s="15" t="n">
        <f aca="false">D161/D153</f>
        <v>0.325638488136828</v>
      </c>
      <c r="E162" s="15" t="n">
        <f aca="false">E161/E153</f>
        <v>0.297587196999966</v>
      </c>
      <c r="F162" s="15" t="n">
        <f aca="false">F161/F153</f>
        <v>0.217746309837127</v>
      </c>
      <c r="G162" s="15" t="n">
        <f aca="false">G161/G153</f>
        <v>0.200685992546767</v>
      </c>
    </row>
    <row r="163" customFormat="false" ht="15" hidden="false" customHeight="false" outlineLevel="0" collapsed="false">
      <c r="A163" s="3" t="s">
        <v>415</v>
      </c>
      <c r="B163" s="0" t="s">
        <v>181</v>
      </c>
      <c r="C163" s="23" t="n">
        <f aca="false">a25_opx</f>
        <v>25.056</v>
      </c>
      <c r="D163" s="23" t="n">
        <f aca="false">a26_opx</f>
        <v>27.23586</v>
      </c>
      <c r="E163" s="23" t="n">
        <f aca="false">D163*(1+MAX(g_opx_min,phi*E155))</f>
        <v>28.0529358</v>
      </c>
      <c r="F163" s="23" t="n">
        <f aca="false">E163*(1+MAX(g_opx_min,phi*F155))</f>
        <v>28.894523874</v>
      </c>
      <c r="G163" s="23" t="n">
        <f aca="false">F163*(1+MAX(g_opx_min,phi*G155))</f>
        <v>30.5726935473824</v>
      </c>
    </row>
    <row r="164" customFormat="false" ht="15" hidden="false" customHeight="false" outlineLevel="0" collapsed="false">
      <c r="A164" s="3" t="s">
        <v>418</v>
      </c>
      <c r="B164" s="0" t="s">
        <v>181</v>
      </c>
      <c r="C164" s="23" t="n">
        <f aca="false">C161-C163</f>
        <v>43.85</v>
      </c>
      <c r="D164" s="23" t="n">
        <f aca="false">D161-D163</f>
        <v>63.8562252</v>
      </c>
      <c r="E164" s="23" t="n">
        <f aca="false">E161-E163</f>
        <v>55.1541660280829</v>
      </c>
      <c r="F164" s="23" t="n">
        <f aca="false">F161-F163</f>
        <v>27.70498789386</v>
      </c>
      <c r="G164" s="23" t="n">
        <f aca="false">G161-G163</f>
        <v>27.6516690408184</v>
      </c>
    </row>
    <row r="165" customFormat="false" ht="15" hidden="false" customHeight="false" outlineLevel="0" collapsed="false">
      <c r="A165" s="3" t="s">
        <v>515</v>
      </c>
      <c r="B165" s="0" t="s">
        <v>69</v>
      </c>
      <c r="C165" s="15" t="n">
        <f aca="false">C164/C153</f>
        <v>0.184590386145408</v>
      </c>
      <c r="D165" s="15" t="n">
        <f aca="false">D164/D153</f>
        <v>0.228274987740129</v>
      </c>
      <c r="E165" s="15" t="n">
        <f aca="false">E164/E153</f>
        <v>0.197256884455365</v>
      </c>
      <c r="F165" s="15" t="n">
        <f aca="false">F164/F153</f>
        <v>0.106584998519297</v>
      </c>
      <c r="G165" s="15" t="n">
        <f aca="false">G164/G153</f>
        <v>0.0953089462958914</v>
      </c>
    </row>
    <row r="166" customFormat="false" ht="15" hidden="false" customHeight="false" outlineLevel="0" collapsed="false">
      <c r="A166" s="3" t="s">
        <v>421</v>
      </c>
      <c r="B166" s="0" t="s">
        <v>181</v>
      </c>
      <c r="C166" s="23" t="n">
        <f aca="false">a25_nonop</f>
        <v>5.805</v>
      </c>
      <c r="D166" s="23" t="n">
        <f aca="false">a26_nonop</f>
        <v>38.372</v>
      </c>
      <c r="E166" s="23" t="n">
        <f aca="false">nonop_f</f>
        <v>4</v>
      </c>
      <c r="F166" s="23" t="n">
        <f aca="false">nonop_f</f>
        <v>4</v>
      </c>
      <c r="G166" s="23" t="n">
        <f aca="false">nonop_f</f>
        <v>4</v>
      </c>
    </row>
    <row r="167" customFormat="false" ht="15" hidden="false" customHeight="false" outlineLevel="0" collapsed="false">
      <c r="A167" s="3" t="s">
        <v>423</v>
      </c>
      <c r="B167" s="0" t="s">
        <v>181</v>
      </c>
      <c r="C167" s="23" t="n">
        <f aca="false">C164+C166</f>
        <v>49.655</v>
      </c>
      <c r="D167" s="23" t="n">
        <f aca="false">D164+D166</f>
        <v>102.2282252</v>
      </c>
      <c r="E167" s="23" t="n">
        <f aca="false">E164+E166</f>
        <v>59.1541660280829</v>
      </c>
      <c r="F167" s="23" t="n">
        <f aca="false">F164+F166</f>
        <v>31.70498789386</v>
      </c>
      <c r="G167" s="23" t="n">
        <f aca="false">G164+G166</f>
        <v>31.6516690408184</v>
      </c>
    </row>
    <row r="168" customFormat="false" ht="15" hidden="false" customHeight="false" outlineLevel="0" collapsed="false">
      <c r="A168" s="3" t="s">
        <v>425</v>
      </c>
      <c r="B168" s="0" t="s">
        <v>181</v>
      </c>
      <c r="C168" s="23" t="n">
        <f aca="false">a25_tax</f>
        <v>7.939</v>
      </c>
      <c r="D168" s="23" t="n">
        <f aca="false">a26_tax</f>
        <v>10.493828284</v>
      </c>
      <c r="E168" s="23" t="n">
        <f aca="false">E167*tax</f>
        <v>8.87312490421244</v>
      </c>
      <c r="F168" s="23" t="n">
        <f aca="false">F167*tax</f>
        <v>4.75574818407899</v>
      </c>
      <c r="G168" s="23" t="n">
        <f aca="false">G167*tax</f>
        <v>4.74775035612276</v>
      </c>
    </row>
    <row r="169" customFormat="false" ht="17.15" hidden="false" customHeight="false" outlineLevel="0" collapsed="false">
      <c r="A169" s="3" t="s">
        <v>549</v>
      </c>
      <c r="B169" s="0" t="s">
        <v>181</v>
      </c>
      <c r="C169" s="23" t="n">
        <f aca="false">a25_mi</f>
        <v>0</v>
      </c>
      <c r="D169" s="23" t="n">
        <f aca="false">a26_mi</f>
        <v>-0.134999999999987</v>
      </c>
      <c r="E169" s="23" t="n">
        <f aca="false">0</f>
        <v>0</v>
      </c>
      <c r="F169" s="23" t="n">
        <f aca="false">0</f>
        <v>0</v>
      </c>
      <c r="G169" s="23" t="n">
        <f aca="false">0</f>
        <v>0</v>
      </c>
      <c r="K169" s="7" t="s">
        <v>550</v>
      </c>
    </row>
    <row r="170" customFormat="false" ht="15" hidden="false" customHeight="false" outlineLevel="0" collapsed="false">
      <c r="A170" s="3" t="s">
        <v>428</v>
      </c>
      <c r="B170" s="0" t="s">
        <v>181</v>
      </c>
      <c r="C170" s="23" t="n">
        <f aca="false">C167-C168-C169</f>
        <v>41.716</v>
      </c>
      <c r="D170" s="23" t="n">
        <f aca="false">D167-D168-D169</f>
        <v>91.869396916</v>
      </c>
      <c r="E170" s="23" t="n">
        <f aca="false">E167-E168-E169</f>
        <v>50.2810411238705</v>
      </c>
      <c r="F170" s="23" t="n">
        <f aca="false">F167-F168-F169</f>
        <v>26.949239709781</v>
      </c>
      <c r="G170" s="23" t="n">
        <f aca="false">G167-G168-G169</f>
        <v>26.9039186846957</v>
      </c>
      <c r="H170" s="30" t="n">
        <f aca="false">H153*H174</f>
        <v>27.2222416394961</v>
      </c>
      <c r="I170" s="30" t="n">
        <f aca="false">I153*I174</f>
        <v>26.5935751826079</v>
      </c>
      <c r="J170" s="30" t="n">
        <f aca="false">J153*J174</f>
        <v>25.0388738642401</v>
      </c>
    </row>
    <row r="171" customFormat="false" ht="15" hidden="false" customHeight="false" outlineLevel="0" collapsed="false">
      <c r="A171" s="3" t="s">
        <v>551</v>
      </c>
      <c r="B171" s="3" t="s">
        <v>250</v>
      </c>
      <c r="C171" s="9" t="n">
        <f aca="false">a25_sh</f>
        <v>12.4898203592814</v>
      </c>
      <c r="D171" s="9" t="n">
        <f aca="false">a26_sh</f>
        <v>12.4754339027235</v>
      </c>
      <c r="E171" s="9" t="n">
        <f aca="false">q_sh*(1+sh_g)</f>
        <v>12.45</v>
      </c>
      <c r="F171" s="9" t="n">
        <f aca="false">E171*(1+sh_g)</f>
        <v>12.45</v>
      </c>
      <c r="G171" s="9" t="n">
        <f aca="false">F171*(1+sh_g)</f>
        <v>12.45</v>
      </c>
      <c r="H171" s="32" t="n">
        <f aca="false">G171*(1+sh_g)</f>
        <v>12.45</v>
      </c>
      <c r="I171" s="32" t="n">
        <f aca="false">H171*(1+sh_g)</f>
        <v>12.45</v>
      </c>
      <c r="J171" s="32" t="n">
        <f aca="false">I171*(1+sh_g)</f>
        <v>12.45</v>
      </c>
    </row>
    <row r="172" customFormat="false" ht="17.15" hidden="false" customHeight="false" outlineLevel="0" collapsed="false">
      <c r="A172" s="0" t="s">
        <v>434</v>
      </c>
      <c r="B172" s="0" t="s">
        <v>260</v>
      </c>
      <c r="C172" s="23" t="n">
        <f aca="false">C170/C171</f>
        <v>3.34</v>
      </c>
      <c r="D172" s="23" t="n">
        <f aca="false">D170/D171</f>
        <v>7.36402418002826</v>
      </c>
      <c r="E172" s="23" t="n">
        <f aca="false">E170/E171</f>
        <v>4.03863784127474</v>
      </c>
      <c r="F172" s="23" t="n">
        <f aca="false">F170/F171</f>
        <v>2.16459756705068</v>
      </c>
      <c r="G172" s="23" t="n">
        <f aca="false">G170/G171</f>
        <v>2.16095732407194</v>
      </c>
      <c r="H172" s="30" t="n">
        <f aca="false">H170/H171</f>
        <v>2.18652543289126</v>
      </c>
      <c r="I172" s="30" t="n">
        <f aca="false">I170/I171</f>
        <v>2.13603013514923</v>
      </c>
      <c r="J172" s="30" t="n">
        <f aca="false">J170/J171</f>
        <v>2.0111545272482</v>
      </c>
    </row>
    <row r="173" customFormat="false" ht="17.15" hidden="false" customHeight="false" outlineLevel="0" collapsed="false">
      <c r="A173" s="0" t="s">
        <v>552</v>
      </c>
      <c r="B173" s="0" t="s">
        <v>69</v>
      </c>
      <c r="D173" s="21" t="n">
        <f aca="false">D172/C172-1</f>
        <v>1.2047976586911</v>
      </c>
      <c r="E173" s="21" t="n">
        <f aca="false">E172/D172-1</f>
        <v>-0.451571892956599</v>
      </c>
      <c r="F173" s="21" t="n">
        <f aca="false">F172/E172-1</f>
        <v>-0.464027810335315</v>
      </c>
      <c r="G173" s="21" t="n">
        <f aca="false">G172/F172-1</f>
        <v>-0.00168171813280726</v>
      </c>
      <c r="H173" s="28" t="n">
        <f aca="false">H172/G172-1</f>
        <v>0.011831843477194</v>
      </c>
      <c r="I173" s="28" t="n">
        <f aca="false">I172/H172-1</f>
        <v>-0.0230938533723142</v>
      </c>
      <c r="J173" s="28" t="n">
        <f aca="false">J172/I172-1</f>
        <v>-0.0584615384615386</v>
      </c>
    </row>
    <row r="174" customFormat="false" ht="17.15" hidden="false" customHeight="false" outlineLevel="0" collapsed="false">
      <c r="A174" s="3" t="s">
        <v>553</v>
      </c>
      <c r="B174" s="0" t="s">
        <v>69</v>
      </c>
      <c r="C174" s="15" t="n">
        <f aca="false">C170/C153</f>
        <v>0.175607127672562</v>
      </c>
      <c r="D174" s="15" t="n">
        <f aca="false">D170/D153</f>
        <v>0.328417243409073</v>
      </c>
      <c r="E174" s="15" t="n">
        <f aca="false">E170/E153</f>
        <v>0.179828329091526</v>
      </c>
      <c r="F174" s="15" t="n">
        <f aca="false">F170/F153</f>
        <v>0.103677528594039</v>
      </c>
      <c r="G174" s="15" t="n">
        <f aca="false">G170/G153</f>
        <v>0.0927316227198991</v>
      </c>
      <c r="H174" s="29" t="n">
        <f aca="false">$G174+(fade_mC-$G174)*1/3</f>
        <v>0.0865495145385725</v>
      </c>
      <c r="I174" s="29" t="n">
        <f aca="false">$G174+(fade_mC-$G174)*2/3</f>
        <v>0.0803674063572459</v>
      </c>
      <c r="J174" s="29" t="n">
        <f aca="false">$G174+(fade_mC-$G174)*3/3</f>
        <v>0.0741852981759193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556</v>
      </c>
    </row>
    <row r="2" customFormat="false" ht="17.15" hidden="false" customHeight="false" outlineLevel="0" collapsed="false">
      <c r="A2" s="3" t="s">
        <v>557</v>
      </c>
    </row>
    <row r="4" customFormat="false" ht="17.15" hidden="false" customHeight="false" outlineLevel="0" collapsed="false">
      <c r="A4" s="5" t="s">
        <v>558</v>
      </c>
    </row>
    <row r="5" customFormat="false" ht="17.15" hidden="false" customHeight="false" outlineLevel="0" collapsed="false">
      <c r="A5" s="5" t="s">
        <v>559</v>
      </c>
    </row>
    <row r="6" customFormat="false" ht="17.15" hidden="false" customHeight="false" outlineLevel="0" collapsed="false">
      <c r="A6" s="4" t="s">
        <v>24</v>
      </c>
      <c r="B6" s="16" t="s">
        <v>560</v>
      </c>
      <c r="C6" s="16" t="s">
        <v>561</v>
      </c>
      <c r="D6" s="16" t="s">
        <v>562</v>
      </c>
      <c r="E6" s="4" t="s">
        <v>345</v>
      </c>
    </row>
    <row r="7" customFormat="false" ht="17.15" hidden="false" customHeight="false" outlineLevel="0" collapsed="false">
      <c r="A7" s="3" t="s">
        <v>563</v>
      </c>
      <c r="E7" s="0" t="s">
        <v>564</v>
      </c>
    </row>
    <row r="8" customFormat="false" ht="15" hidden="false" customHeight="false" outlineLevel="0" collapsed="false">
      <c r="A8" s="0" t="s">
        <v>565</v>
      </c>
      <c r="B8" s="23" t="n">
        <f aca="false">PL!E16</f>
        <v>7.60150491315317</v>
      </c>
      <c r="C8" s="23" t="n">
        <f aca="false">PL!E31</f>
        <v>5.95480594342119</v>
      </c>
      <c r="D8" s="23" t="n">
        <f aca="false">PL!E46</f>
        <v>4.03863784127474</v>
      </c>
    </row>
    <row r="9" customFormat="false" ht="15" hidden="false" customHeight="false" outlineLevel="0" collapsed="false">
      <c r="A9" s="0" t="s">
        <v>566</v>
      </c>
      <c r="B9" s="23" t="n">
        <f aca="false">PL!F16</f>
        <v>8.80150427010501</v>
      </c>
      <c r="C9" s="23" t="n">
        <f aca="false">PL!F31</f>
        <v>5.84926236571975</v>
      </c>
      <c r="D9" s="23" t="n">
        <f aca="false">PL!F46</f>
        <v>2.16459756705068</v>
      </c>
    </row>
    <row r="10" customFormat="false" ht="15" hidden="false" customHeight="false" outlineLevel="0" collapsed="false">
      <c r="A10" s="0" t="s">
        <v>567</v>
      </c>
      <c r="B10" s="23" t="n">
        <f aca="false">PL!G16</f>
        <v>10.0066996100289</v>
      </c>
      <c r="C10" s="23" t="n">
        <f aca="false">PL!G31</f>
        <v>6.53477890513778</v>
      </c>
      <c r="D10" s="23" t="n">
        <f aca="false">PL!G46</f>
        <v>2.16095732407194</v>
      </c>
    </row>
    <row r="11" customFormat="false" ht="15" hidden="false" customHeight="false" outlineLevel="0" collapsed="false">
      <c r="A11" s="0" t="s">
        <v>568</v>
      </c>
      <c r="B11" s="23" t="n">
        <f aca="false">PL!H16</f>
        <v>10.9975774650354</v>
      </c>
      <c r="C11" s="23" t="n">
        <f aca="false">PL!H31</f>
        <v>6.90416410851297</v>
      </c>
      <c r="D11" s="23" t="n">
        <f aca="false">PL!H46</f>
        <v>2.18652543289126</v>
      </c>
    </row>
    <row r="12" customFormat="false" ht="15" hidden="false" customHeight="false" outlineLevel="0" collapsed="false">
      <c r="A12" s="0" t="s">
        <v>569</v>
      </c>
      <c r="B12" s="23" t="n">
        <f aca="false">PL!I16</f>
        <v>11.8720027949974</v>
      </c>
      <c r="C12" s="23" t="n">
        <f aca="false">PL!I31</f>
        <v>7.10924437056156</v>
      </c>
      <c r="D12" s="23" t="n">
        <f aca="false">PL!I46</f>
        <v>2.13603013514923</v>
      </c>
    </row>
    <row r="13" customFormat="false" ht="15" hidden="false" customHeight="false" outlineLevel="0" collapsed="false">
      <c r="A13" s="0" t="s">
        <v>570</v>
      </c>
      <c r="B13" s="23" t="n">
        <f aca="false">PL!J16</f>
        <v>12.5843229626972</v>
      </c>
      <c r="C13" s="23" t="n">
        <f aca="false">PL!J31</f>
        <v>7.1295564973346</v>
      </c>
      <c r="D13" s="23" t="n">
        <f aca="false">PL!J46</f>
        <v>2.0111545272482</v>
      </c>
    </row>
    <row r="14" customFormat="false" ht="17.15" hidden="false" customHeight="false" outlineLevel="0" collapsed="false">
      <c r="A14" s="3" t="s">
        <v>571</v>
      </c>
    </row>
    <row r="15" customFormat="false" ht="17.15" hidden="false" customHeight="false" outlineLevel="0" collapsed="false">
      <c r="A15" s="3" t="s">
        <v>572</v>
      </c>
      <c r="B15" s="21" t="n">
        <f aca="false">MIN(tp_g/tp_roe,0.8)</f>
        <v>0.287494010541447</v>
      </c>
      <c r="E15" s="7" t="s">
        <v>573</v>
      </c>
    </row>
    <row r="16" customFormat="false" ht="15" hidden="false" customHeight="false" outlineLevel="0" collapsed="false">
      <c r="A16" s="0" t="s">
        <v>565</v>
      </c>
      <c r="B16" s="23" t="n">
        <f aca="false">B8*(1-$B$15)</f>
        <v>5.41611777952025</v>
      </c>
      <c r="C16" s="23" t="n">
        <f aca="false">C8*(1-$B$15)</f>
        <v>4.24283490075098</v>
      </c>
      <c r="D16" s="23" t="n">
        <f aca="false">D8*(1-$B$15)</f>
        <v>2.87755365116221</v>
      </c>
    </row>
    <row r="17" customFormat="false" ht="15" hidden="false" customHeight="false" outlineLevel="0" collapsed="false">
      <c r="A17" s="0" t="s">
        <v>566</v>
      </c>
      <c r="B17" s="23" t="n">
        <f aca="false">B9*(1-$B$15)</f>
        <v>6.27112450869485</v>
      </c>
      <c r="C17" s="23" t="n">
        <f aca="false">C9*(1-$B$15)</f>
        <v>4.16763446948982</v>
      </c>
      <c r="D17" s="23" t="n">
        <f aca="false">D9*(1-$B$15)</f>
        <v>1.54228873129102</v>
      </c>
    </row>
    <row r="18" customFormat="false" ht="15" hidden="false" customHeight="false" outlineLevel="0" collapsed="false">
      <c r="A18" s="0" t="s">
        <v>567</v>
      </c>
      <c r="B18" s="23" t="n">
        <f aca="false">B10*(1-$B$15)</f>
        <v>7.12983340685814</v>
      </c>
      <c r="C18" s="23" t="n">
        <f aca="false">C10*(1-$B$15)</f>
        <v>4.65606910969807</v>
      </c>
      <c r="D18" s="23" t="n">
        <f aca="false">D10*(1-$B$15)</f>
        <v>1.53969503636558</v>
      </c>
    </row>
    <row r="19" customFormat="false" ht="15" hidden="false" customHeight="false" outlineLevel="0" collapsed="false">
      <c r="A19" s="0" t="s">
        <v>568</v>
      </c>
      <c r="B19" s="23" t="n">
        <f aca="false">B11*(1-$B$15)</f>
        <v>7.83583981337212</v>
      </c>
      <c r="C19" s="23" t="n">
        <f aca="false">C11*(1-$B$15)</f>
        <v>4.91925827952026</v>
      </c>
      <c r="D19" s="23" t="n">
        <f aca="false">D11*(1-$B$15)</f>
        <v>1.55791246703847</v>
      </c>
    </row>
    <row r="20" customFormat="false" ht="15" hidden="false" customHeight="false" outlineLevel="0" collapsed="false">
      <c r="A20" s="0" t="s">
        <v>569</v>
      </c>
      <c r="B20" s="23" t="n">
        <f aca="false">B12*(1-$B$15)</f>
        <v>8.45887309830432</v>
      </c>
      <c r="C20" s="23" t="n">
        <f aca="false">C12*(1-$B$15)</f>
        <v>5.06537919454961</v>
      </c>
      <c r="D20" s="23" t="n">
        <f aca="false">D12*(1-$B$15)</f>
        <v>1.52193426495779</v>
      </c>
    </row>
    <row r="21" customFormat="false" ht="15" hidden="false" customHeight="false" outlineLevel="0" collapsed="false">
      <c r="A21" s="0" t="s">
        <v>570</v>
      </c>
      <c r="B21" s="23" t="n">
        <f aca="false">B13*(1-$B$15)</f>
        <v>8.96640548420258</v>
      </c>
      <c r="C21" s="23" t="n">
        <f aca="false">C13*(1-$B$15)</f>
        <v>5.07985170653404</v>
      </c>
      <c r="D21" s="23" t="n">
        <f aca="false">D13*(1-$B$15)</f>
        <v>1.43295964639102</v>
      </c>
    </row>
    <row r="22" customFormat="false" ht="17.15" hidden="false" customHeight="false" outlineLevel="0" collapsed="false">
      <c r="A22" s="0" t="s">
        <v>574</v>
      </c>
      <c r="B22" s="23" t="n">
        <f aca="false">MAX(0,SUMPRODUCT(B16:B21,1/(1+tp_r)^{1;2;3;4;5;6})+B21*(1+tp_g)/(tp_r-tp_g)/(1+tp_r)^6)</f>
        <v>118.858058304982</v>
      </c>
      <c r="C22" s="23" t="n">
        <f aca="false">MAX(0,SUMPRODUCT(C16:C21,1/(1+tp_r)^{1;2;3;4;5;6})+C21*(1+tp_g)/(tp_r-tp_g)/(1+tp_r)^6)</f>
        <v>69.8745478703874</v>
      </c>
      <c r="D22" s="23" t="n">
        <f aca="false">MAX(0,SUMPRODUCT(D16:D21,1/(1+tp_r)^{1;2;3;4;5;6})+D21*(1+tp_g)/(tp_r-tp_g)/(1+tp_r)^6)</f>
        <v>21.8857022607132</v>
      </c>
      <c r="E22" s="7" t="s">
        <v>575</v>
      </c>
    </row>
    <row r="23" customFormat="false" ht="17.15" hidden="false" customHeight="false" outlineLevel="0" collapsed="false">
      <c r="A23" s="0" t="s">
        <v>576</v>
      </c>
      <c r="B23" s="23" t="n">
        <f aca="false">B22*(1+tp_r)</f>
        <v>130.74386413548</v>
      </c>
      <c r="C23" s="23" t="n">
        <f aca="false">C22*(1+tp_r)</f>
        <v>76.8620026574262</v>
      </c>
      <c r="D23" s="23" t="n">
        <f aca="false">D22*(1+tp_r)</f>
        <v>24.0742724867845</v>
      </c>
    </row>
    <row r="24" customFormat="false" ht="17.15" hidden="false" customHeight="false" outlineLevel="0" collapsed="false">
      <c r="A24" s="0" t="s">
        <v>577</v>
      </c>
      <c r="B24" s="33" t="n">
        <f aca="false">tp_wA*B23+tp_wB*C23+tp_wC*D23</f>
        <v>82.4690150667141</v>
      </c>
      <c r="E24" s="7" t="s">
        <v>578</v>
      </c>
    </row>
    <row r="26" customFormat="false" ht="17.15" hidden="false" customHeight="false" outlineLevel="0" collapsed="false">
      <c r="A26" s="5" t="s">
        <v>579</v>
      </c>
    </row>
    <row r="27" customFormat="false" ht="17.15" hidden="false" customHeight="false" outlineLevel="0" collapsed="false">
      <c r="A27" s="4" t="s">
        <v>580</v>
      </c>
      <c r="B27" s="4" t="s">
        <v>581</v>
      </c>
      <c r="C27" s="4" t="s">
        <v>582</v>
      </c>
      <c r="D27" s="4" t="s">
        <v>583</v>
      </c>
      <c r="E27" s="4" t="s">
        <v>584</v>
      </c>
      <c r="F27" s="4" t="s">
        <v>29</v>
      </c>
    </row>
    <row r="28" customFormat="false" ht="17.15" hidden="false" customHeight="false" outlineLevel="0" collapsed="false">
      <c r="A28" s="3" t="s">
        <v>585</v>
      </c>
      <c r="B28" s="0" t="s">
        <v>586</v>
      </c>
      <c r="C28" s="34" t="n">
        <v>16.81</v>
      </c>
      <c r="D28" s="7" t="s">
        <v>587</v>
      </c>
      <c r="E28" s="7" t="s">
        <v>588</v>
      </c>
      <c r="F28" s="7" t="s">
        <v>139</v>
      </c>
    </row>
    <row r="29" customFormat="false" ht="17.15" hidden="false" customHeight="false" outlineLevel="0" collapsed="false">
      <c r="A29" s="3" t="s">
        <v>589</v>
      </c>
      <c r="B29" s="0" t="s">
        <v>590</v>
      </c>
      <c r="C29" s="34" t="n">
        <v>20.04</v>
      </c>
      <c r="D29" s="7" t="s">
        <v>587</v>
      </c>
      <c r="E29" s="7" t="s">
        <v>591</v>
      </c>
      <c r="F29" s="7" t="s">
        <v>139</v>
      </c>
    </row>
    <row r="30" customFormat="false" ht="17.15" hidden="false" customHeight="false" outlineLevel="0" collapsed="false">
      <c r="A30" s="3" t="s">
        <v>592</v>
      </c>
      <c r="B30" s="0" t="s">
        <v>593</v>
      </c>
      <c r="C30" s="34" t="n">
        <v>37.14</v>
      </c>
      <c r="D30" s="7" t="s">
        <v>594</v>
      </c>
      <c r="E30" s="7" t="s">
        <v>591</v>
      </c>
      <c r="F30" s="7" t="s">
        <v>139</v>
      </c>
    </row>
    <row r="31" customFormat="false" ht="17.15" hidden="false" customHeight="false" outlineLevel="0" collapsed="false">
      <c r="A31" s="3" t="s">
        <v>595</v>
      </c>
      <c r="B31" s="0" t="s">
        <v>596</v>
      </c>
      <c r="C31" s="34" t="n">
        <v>34.63</v>
      </c>
      <c r="D31" s="7" t="s">
        <v>597</v>
      </c>
      <c r="E31" s="7" t="s">
        <v>588</v>
      </c>
      <c r="F31" s="7" t="s">
        <v>139</v>
      </c>
    </row>
    <row r="32" customFormat="false" ht="17.15" hidden="false" customHeight="false" outlineLevel="0" collapsed="false">
      <c r="A32" s="3" t="s">
        <v>598</v>
      </c>
      <c r="B32" s="0" t="s">
        <v>599</v>
      </c>
      <c r="C32" s="34" t="n">
        <v>23.41</v>
      </c>
      <c r="D32" s="7" t="s">
        <v>600</v>
      </c>
      <c r="E32" s="7" t="s">
        <v>601</v>
      </c>
      <c r="F32" s="7" t="s">
        <v>139</v>
      </c>
    </row>
    <row r="33" customFormat="false" ht="17.15" hidden="false" customHeight="false" outlineLevel="0" collapsed="false">
      <c r="A33" s="3" t="s">
        <v>602</v>
      </c>
      <c r="B33" s="35" t="n">
        <f aca="false">MEDIAN(C28:C32)</f>
        <v>23.41</v>
      </c>
      <c r="E33" s="3" t="s">
        <v>603</v>
      </c>
    </row>
    <row r="34" customFormat="false" ht="17.15" hidden="false" customHeight="false" outlineLevel="0" collapsed="false">
      <c r="A34" s="0" t="s">
        <v>604</v>
      </c>
      <c r="B34" s="23" t="n">
        <f aca="false">tp_wA*(2/12*B8+10/12*B9)+tp_wB*(2/12*C8+10/12*C9)+tp_wC*(2/12*D8+10/12*D9)</f>
        <v>6.00926531673651</v>
      </c>
      <c r="E34" s="3" t="s">
        <v>605</v>
      </c>
    </row>
    <row r="35" customFormat="false" ht="17.15" hidden="false" customHeight="false" outlineLevel="0" collapsed="false">
      <c r="A35" s="0" t="s">
        <v>606</v>
      </c>
      <c r="B35" s="33" t="n">
        <f aca="false">B33*B34</f>
        <v>140.676901064802</v>
      </c>
      <c r="E35" s="3" t="s">
        <v>607</v>
      </c>
    </row>
    <row r="37" customFormat="false" ht="17.15" hidden="false" customHeight="false" outlineLevel="0" collapsed="false">
      <c r="A37" s="5" t="s">
        <v>608</v>
      </c>
    </row>
    <row r="38" customFormat="false" ht="15" hidden="false" customHeight="false" outlineLevel="0" collapsed="false">
      <c r="A38" s="4" t="s">
        <v>24</v>
      </c>
      <c r="B38" s="4" t="s">
        <v>609</v>
      </c>
      <c r="C38" s="4"/>
      <c r="D38" s="4"/>
      <c r="E38" s="4" t="s">
        <v>345</v>
      </c>
    </row>
    <row r="39" customFormat="false" ht="17.15" hidden="false" customHeight="false" outlineLevel="0" collapsed="false">
      <c r="A39" s="3" t="s">
        <v>610</v>
      </c>
      <c r="B39" s="33" t="n">
        <f aca="false">tp_w_dcf*B24+(1-tp_w_dcf)*tp_comp_adj</f>
        <v>76.4037327995575</v>
      </c>
      <c r="E39" s="7" t="s">
        <v>611</v>
      </c>
    </row>
    <row r="40" customFormat="false" ht="17.15" hidden="false" customHeight="false" outlineLevel="0" collapsed="false">
      <c r="A40" s="0" t="s">
        <v>612</v>
      </c>
      <c r="B40" s="23" t="n">
        <f aca="false">B35</f>
        <v>140.676901064802</v>
      </c>
    </row>
    <row r="41" customFormat="false" ht="17.15" hidden="false" customHeight="false" outlineLevel="0" collapsed="false">
      <c r="A41" s="3" t="s">
        <v>613</v>
      </c>
      <c r="B41" s="23" t="n">
        <f aca="false">cons_tp</f>
        <v>140.69</v>
      </c>
      <c r="E41" s="7" t="s">
        <v>295</v>
      </c>
    </row>
    <row r="42" customFormat="false" ht="17.15" hidden="false" customHeight="false" outlineLevel="0" collapsed="false">
      <c r="A42" s="3" t="s">
        <v>614</v>
      </c>
      <c r="B42" s="21" t="n">
        <f aca="false">B39/px-1</f>
        <v>-0.391205316338188</v>
      </c>
      <c r="E42" s="3" t="s">
        <v>615</v>
      </c>
    </row>
    <row r="43" customFormat="false" ht="17.15" hidden="false" customHeight="false" outlineLevel="0" collapsed="false">
      <c r="A43" s="3" t="s">
        <v>616</v>
      </c>
      <c r="B43" s="21" t="n">
        <f aca="false">B40/px-1</f>
        <v>0.120931482588061</v>
      </c>
    </row>
    <row r="44" customFormat="false" ht="17.15" hidden="false" customHeight="false" outlineLevel="0" collapsed="false">
      <c r="A44" s="3" t="s">
        <v>617</v>
      </c>
      <c r="B44" s="21" t="n">
        <f aca="false">B34/cons_feps-1</f>
        <v>-0.0318139864190264</v>
      </c>
      <c r="E44" s="3" t="s">
        <v>618</v>
      </c>
    </row>
    <row r="45" customFormat="false" ht="17.15" hidden="false" customHeight="false" outlineLevel="0" collapsed="false">
      <c r="A45" s="3" t="s">
        <v>619</v>
      </c>
      <c r="B45" s="21" t="n">
        <f aca="false">(cons_tp/cons_feps)/B33-1</f>
        <v>-0.0317238351166033</v>
      </c>
      <c r="E45" s="0" t="str">
        <f aca="false">"共識目標價隱含 "&amp;TEXT(cons_tp/cons_feps,"0.0")&amp;"x，同業中位數 "&amp;TEXT(B33,"0.0")&amp;"x"</f>
        <v>共識目標價隱含 22.7x，同業中位數 23.4x</v>
      </c>
    </row>
    <row r="46" customFormat="false" ht="17.15" hidden="false" customHeight="false" outlineLevel="0" collapsed="false">
      <c r="A46" s="3" t="s">
        <v>620</v>
      </c>
      <c r="B46" s="36" t="str">
        <f aca="false">TEXT(D23,"#,##0")&amp;"～"&amp;TEXT(B23,"#,##0")</f>
        <v>24～131</v>
      </c>
      <c r="E46" s="7" t="s">
        <v>621</v>
      </c>
    </row>
    <row r="47" customFormat="false" ht="17.15" hidden="false" customHeight="false" outlineLevel="0" collapsed="false">
      <c r="A47" s="3" t="s">
        <v>622</v>
      </c>
      <c r="B47" s="37" t="n">
        <f aca="false">IF(px/B9&gt;=MAX($B$86:$B$95),1,IF(px/B9&lt;=MIN($B$86:$B$95),0,PERCENTRANK($B$86:$B$95,px/B9)))</f>
        <v>0.801</v>
      </c>
      <c r="C47" s="37" t="n">
        <f aca="false">IF(px/C9&gt;=MAX($B$86:$B$95),1,IF(px/C9&lt;=MIN($B$86:$B$95),0,PERCENTRANK($B$86:$B$95,px/C9)))</f>
        <v>1</v>
      </c>
      <c r="D47" s="37" t="n">
        <f aca="false">IF(px/D9&gt;=MAX($B$86:$B$95),1,IF(px/D9&lt;=MIN($B$86:$B$95),0,PERCENTRANK($B$86:$B$95,px/D9)))</f>
        <v>1</v>
      </c>
      <c r="E47" s="3" t="s">
        <v>623</v>
      </c>
    </row>
    <row r="48" customFormat="false" ht="17.15" hidden="false" customHeight="false" outlineLevel="0" collapsed="false">
      <c r="A48" s="3" t="s">
        <v>624</v>
      </c>
      <c r="B48" s="0" t="s">
        <v>625</v>
      </c>
    </row>
    <row r="51" customFormat="false" ht="17.15" hidden="false" customHeight="false" outlineLevel="0" collapsed="false">
      <c r="A51" s="5" t="s">
        <v>626</v>
      </c>
    </row>
    <row r="52" customFormat="false" ht="15" hidden="false" customHeight="false" outlineLevel="0" collapsed="false">
      <c r="A52" s="4" t="s">
        <v>24</v>
      </c>
      <c r="B52" s="16" t="s">
        <v>627</v>
      </c>
      <c r="C52" s="16" t="s">
        <v>628</v>
      </c>
      <c r="D52" s="16" t="s">
        <v>629</v>
      </c>
      <c r="E52" s="4" t="s">
        <v>345</v>
      </c>
    </row>
    <row r="53" customFormat="false" ht="17.15" hidden="false" customHeight="false" outlineLevel="0" collapsed="false">
      <c r="A53" s="3" t="s">
        <v>630</v>
      </c>
      <c r="B53" s="23" t="n">
        <f aca="false">px</f>
        <v>125.5</v>
      </c>
    </row>
    <row r="54" customFormat="false" ht="17.15" hidden="false" customHeight="false" outlineLevel="0" collapsed="false">
      <c r="A54" s="3" t="s">
        <v>631</v>
      </c>
      <c r="B54" s="35" t="n">
        <f aca="false">px/PL!D16</f>
        <v>17.0423123189037</v>
      </c>
      <c r="C54" s="35" t="n">
        <f aca="false">px/PL!D31</f>
        <v>17.0423123189037</v>
      </c>
      <c r="D54" s="35" t="n">
        <f aca="false">px/PL!D46</f>
        <v>17.0423123189037</v>
      </c>
      <c r="E54" s="7" t="s">
        <v>632</v>
      </c>
    </row>
    <row r="55" customFormat="false" ht="17.15" hidden="false" customHeight="false" outlineLevel="0" collapsed="false">
      <c r="A55" s="3" t="s">
        <v>633</v>
      </c>
      <c r="B55" s="35" t="n">
        <f aca="false">px/PL!E16</f>
        <v>16.5098886909673</v>
      </c>
      <c r="C55" s="35" t="n">
        <f aca="false">px/PL!E31</f>
        <v>21.0754139080974</v>
      </c>
      <c r="D55" s="35" t="n">
        <f aca="false">px/PL!E46</f>
        <v>31.0748338752721</v>
      </c>
      <c r="E55" s="7" t="s">
        <v>634</v>
      </c>
    </row>
    <row r="56" customFormat="false" ht="17.15" hidden="false" customHeight="false" outlineLevel="0" collapsed="false">
      <c r="A56" s="3" t="s">
        <v>635</v>
      </c>
      <c r="B56" s="35" t="n">
        <f aca="false">px/PL!F16</f>
        <v>14.2589262185864</v>
      </c>
      <c r="C56" s="35" t="n">
        <f aca="false">px/PL!F31</f>
        <v>21.45569683034</v>
      </c>
      <c r="D56" s="35" t="n">
        <f aca="false">px/PL!F46</f>
        <v>57.9784445433878</v>
      </c>
    </row>
    <row r="57" customFormat="false" ht="17.15" hidden="false" customHeight="false" outlineLevel="0" collapsed="false">
      <c r="A57" s="3" t="s">
        <v>636</v>
      </c>
      <c r="B57" s="35" t="n">
        <f aca="false">px/PL!G16</f>
        <v>12.5415976186816</v>
      </c>
      <c r="C57" s="35" t="n">
        <f aca="false">px/PL!G31</f>
        <v>19.2049343706685</v>
      </c>
      <c r="D57" s="35" t="n">
        <f aca="false">px/PL!G46</f>
        <v>58.076112194348</v>
      </c>
    </row>
    <row r="58" customFormat="false" ht="17.15" hidden="false" customHeight="false" outlineLevel="0" collapsed="false">
      <c r="A58" s="3" t="s">
        <v>637</v>
      </c>
      <c r="B58" s="26" t="n">
        <f aca="false">0.2*PL!D31+0.8*PL!E31</f>
        <v>6.2366495907426</v>
      </c>
    </row>
    <row r="59" customFormat="false" ht="17.15" hidden="false" customHeight="false" outlineLevel="0" collapsed="false">
      <c r="A59" s="3" t="s">
        <v>638</v>
      </c>
      <c r="B59" s="35" t="n">
        <f aca="false">px/B58</f>
        <v>20.1229840115254</v>
      </c>
    </row>
    <row r="60" customFormat="false" ht="17.15" hidden="false" customHeight="false" outlineLevel="0" collapsed="false">
      <c r="A60" s="3" t="s">
        <v>639</v>
      </c>
      <c r="B60" s="35" t="n">
        <f aca="false">pe_ttm</f>
        <v>18.4287812041116</v>
      </c>
    </row>
    <row r="61" customFormat="false" ht="17.15" hidden="false" customHeight="false" outlineLevel="0" collapsed="false">
      <c r="A61" s="3" t="s">
        <v>287</v>
      </c>
      <c r="B61" s="35" t="n">
        <f aca="false">fpe</f>
        <v>20.22</v>
      </c>
    </row>
    <row r="63" customFormat="false" ht="17.15" hidden="false" customHeight="false" outlineLevel="0" collapsed="false">
      <c r="A63" s="5" t="s">
        <v>640</v>
      </c>
    </row>
    <row r="64" customFormat="false" ht="17.15" hidden="false" customHeight="false" outlineLevel="0" collapsed="false">
      <c r="A64" s="4" t="s">
        <v>641</v>
      </c>
      <c r="B64" s="4" t="s">
        <v>642</v>
      </c>
      <c r="C64" s="16" t="s">
        <v>643</v>
      </c>
      <c r="D64" s="4" t="s">
        <v>644</v>
      </c>
      <c r="E64" s="4" t="s">
        <v>645</v>
      </c>
      <c r="F64" s="4" t="s">
        <v>345</v>
      </c>
    </row>
    <row r="65" customFormat="false" ht="17.15" hidden="false" customHeight="false" outlineLevel="0" collapsed="false">
      <c r="A65" s="0" t="s">
        <v>627</v>
      </c>
      <c r="B65" s="0" t="n">
        <f aca="false">INDEX({2026,2027,2028,2029},MATCH(MAX(PL!D75:G75),PL!D75:G75,0))</f>
        <v>2029</v>
      </c>
      <c r="C65" s="0" t="str">
        <f aca="false">IF(B65=2029,"中段",IF(2027&lt;B65,"中段",IF(2027=B65,"見頂","谷底")))</f>
        <v>中段</v>
      </c>
      <c r="D65" s="35" t="n">
        <f aca="false">IF(C65="見頂",pe_peak,IF(C65="谷底",pe_trough,pe_mid))</f>
        <v>11.4</v>
      </c>
      <c r="E65" s="0" t="str">
        <f aca="false">IF(B65=2029,"是：營收到觀測期末仍在增加","否")</f>
        <v>是：營收到觀測期末仍在增加</v>
      </c>
      <c r="F65" s="7" t="s">
        <v>646</v>
      </c>
    </row>
    <row r="66" customFormat="false" ht="15" hidden="false" customHeight="false" outlineLevel="0" collapsed="false">
      <c r="A66" s="0" t="s">
        <v>628</v>
      </c>
      <c r="B66" s="0" t="n">
        <f aca="false">INDEX({2026,2027,2028,2029},MATCH(MAX(PL!D114:G114),PL!D114:G114,0))</f>
        <v>2029</v>
      </c>
      <c r="C66" s="0" t="str">
        <f aca="false">IF(B66=2029,"中段",IF(2027&lt;B66,"中段",IF(2027=B66,"見頂","谷底")))</f>
        <v>中段</v>
      </c>
      <c r="D66" s="35" t="n">
        <f aca="false">IF(C66="見頂",pe_peak,IF(C66="谷底",pe_trough,pe_mid))</f>
        <v>11.4</v>
      </c>
      <c r="E66" s="0" t="str">
        <f aca="false">IF(B66=2029,"是：營收到觀測期末仍在增加","否")</f>
        <v>是：營收到觀測期末仍在增加</v>
      </c>
      <c r="F66" s="3" t="s">
        <v>48</v>
      </c>
    </row>
    <row r="67" customFormat="false" ht="15" hidden="false" customHeight="false" outlineLevel="0" collapsed="false">
      <c r="A67" s="0" t="s">
        <v>629</v>
      </c>
      <c r="B67" s="0" t="n">
        <f aca="false">INDEX({2026,2027,2028,2029},MATCH(MAX(PL!D153:G153),PL!D153:G153,0))</f>
        <v>2029</v>
      </c>
      <c r="C67" s="0" t="str">
        <f aca="false">IF(B67=2029,"中段",IF(2027&lt;B67,"中段",IF(2027=B67,"見頂","谷底")))</f>
        <v>中段</v>
      </c>
      <c r="D67" s="35" t="n">
        <f aca="false">IF(C67="見頂",pe_peak,IF(C67="谷底",pe_trough,pe_mid))</f>
        <v>11.4</v>
      </c>
      <c r="E67" s="0" t="str">
        <f aca="false">IF(B67=2029,"是：營收到觀測期末仍在增加","否")</f>
        <v>是：營收到觀測期末仍在增加</v>
      </c>
      <c r="F67" s="3" t="s">
        <v>48</v>
      </c>
    </row>
    <row r="69" customFormat="false" ht="17.15" hidden="false" customHeight="false" outlineLevel="0" collapsed="false">
      <c r="A69" s="5" t="s">
        <v>647</v>
      </c>
    </row>
    <row r="70" customFormat="false" ht="17.15" hidden="false" customHeight="false" outlineLevel="0" collapsed="false">
      <c r="A70" s="4" t="s">
        <v>641</v>
      </c>
      <c r="B70" s="16" t="s">
        <v>648</v>
      </c>
      <c r="C70" s="4" t="s">
        <v>649</v>
      </c>
      <c r="D70" s="4" t="s">
        <v>650</v>
      </c>
      <c r="E70" s="4" t="s">
        <v>651</v>
      </c>
      <c r="F70" s="4" t="s">
        <v>652</v>
      </c>
      <c r="G70" s="4" t="s">
        <v>653</v>
      </c>
    </row>
    <row r="71" customFormat="false" ht="15" hidden="false" customHeight="false" outlineLevel="0" collapsed="false">
      <c r="A71" s="10" t="s">
        <v>627</v>
      </c>
      <c r="B71" s="38" t="n">
        <f aca="false">PL!E16</f>
        <v>7.60150491315317</v>
      </c>
      <c r="C71" s="38" t="n">
        <f aca="false">B71</f>
        <v>7.60150491315317</v>
      </c>
      <c r="D71" s="39" t="n">
        <f aca="false">D65</f>
        <v>11.4</v>
      </c>
      <c r="E71" s="33" t="n">
        <f aca="false">C71*D71</f>
        <v>86.6571560099462</v>
      </c>
      <c r="F71" s="40" t="n">
        <f aca="false">E71/px-1</f>
        <v>-0.309504732988477</v>
      </c>
      <c r="G71" s="39" t="n">
        <f aca="false">px/C71</f>
        <v>16.5098886909673</v>
      </c>
    </row>
    <row r="72" customFormat="false" ht="15" hidden="false" customHeight="false" outlineLevel="0" collapsed="false">
      <c r="A72" s="10" t="s">
        <v>628</v>
      </c>
      <c r="B72" s="38" t="n">
        <f aca="false">PL!E31</f>
        <v>5.95480594342119</v>
      </c>
      <c r="C72" s="38" t="n">
        <f aca="false">B72</f>
        <v>5.95480594342119</v>
      </c>
      <c r="D72" s="39" t="n">
        <f aca="false">D66</f>
        <v>11.4</v>
      </c>
      <c r="E72" s="33" t="n">
        <f aca="false">C72*D72</f>
        <v>67.8847877550015</v>
      </c>
      <c r="F72" s="40" t="n">
        <f aca="false">E72/px-1</f>
        <v>-0.459085356533853</v>
      </c>
      <c r="G72" s="39" t="n">
        <f aca="false">px/C72</f>
        <v>21.0754139080974</v>
      </c>
    </row>
    <row r="73" customFormat="false" ht="15" hidden="false" customHeight="false" outlineLevel="0" collapsed="false">
      <c r="A73" s="10" t="s">
        <v>629</v>
      </c>
      <c r="B73" s="38" t="n">
        <f aca="false">PL!E46</f>
        <v>4.03863784127474</v>
      </c>
      <c r="C73" s="38" t="n">
        <f aca="false">B73</f>
        <v>4.03863784127474</v>
      </c>
      <c r="D73" s="39" t="n">
        <f aca="false">D67</f>
        <v>11.4</v>
      </c>
      <c r="E73" s="33" t="n">
        <f aca="false">C73*D73</f>
        <v>46.040471390532</v>
      </c>
      <c r="F73" s="40" t="n">
        <f aca="false">E73/px-1</f>
        <v>-0.633143654258709</v>
      </c>
      <c r="G73" s="39" t="n">
        <f aca="false">px/C73</f>
        <v>31.0748338752721</v>
      </c>
    </row>
    <row r="75" customFormat="false" ht="17.15" hidden="false" customHeight="false" outlineLevel="0" collapsed="false">
      <c r="A75" s="5" t="s">
        <v>654</v>
      </c>
    </row>
    <row r="76" customFormat="false" ht="17.15" hidden="false" customHeight="false" outlineLevel="0" collapsed="false">
      <c r="A76" s="16" t="s">
        <v>655</v>
      </c>
      <c r="B76" s="4" t="s">
        <v>656</v>
      </c>
      <c r="C76" s="4" t="s">
        <v>657</v>
      </c>
      <c r="D76" s="4" t="s">
        <v>658</v>
      </c>
      <c r="E76" s="4" t="s">
        <v>659</v>
      </c>
    </row>
    <row r="77" customFormat="false" ht="15" hidden="false" customHeight="false" outlineLevel="0" collapsed="false">
      <c r="A77" s="41" t="n">
        <v>1</v>
      </c>
      <c r="B77" s="35" t="n">
        <f aca="false">px*A77/PL!F16</f>
        <v>14.2589262185864</v>
      </c>
      <c r="C77" s="35" t="n">
        <f aca="false">px*A77/PL!F31</f>
        <v>21.45569683034</v>
      </c>
      <c r="D77" s="35" t="n">
        <f aca="false">px*A77/PL!F46</f>
        <v>57.9784445433878</v>
      </c>
      <c r="E77" s="35" t="n">
        <f aca="false">pe_mid</f>
        <v>11.4</v>
      </c>
    </row>
    <row r="78" customFormat="false" ht="15" hidden="false" customHeight="false" outlineLevel="0" collapsed="false">
      <c r="A78" s="41" t="n">
        <v>1.1</v>
      </c>
      <c r="B78" s="35" t="n">
        <f aca="false">px*A78/PL!F16</f>
        <v>15.684818840445</v>
      </c>
      <c r="C78" s="35" t="n">
        <f aca="false">px*A78/PL!F31</f>
        <v>23.601266513374</v>
      </c>
      <c r="D78" s="35" t="n">
        <f aca="false">px*A78/PL!F46</f>
        <v>63.7762889977266</v>
      </c>
      <c r="E78" s="35" t="n">
        <f aca="false">pe_mid</f>
        <v>11.4</v>
      </c>
    </row>
    <row r="79" customFormat="false" ht="15" hidden="false" customHeight="false" outlineLevel="0" collapsed="false">
      <c r="A79" s="41" t="n">
        <v>1.21</v>
      </c>
      <c r="B79" s="35" t="n">
        <f aca="false">px*A79/PL!F16</f>
        <v>17.2533007244895</v>
      </c>
      <c r="C79" s="35" t="n">
        <f aca="false">px*A79/PL!F31</f>
        <v>25.9613931647114</v>
      </c>
      <c r="D79" s="35" t="n">
        <f aca="false">px*A79/PL!F46</f>
        <v>70.1539178974993</v>
      </c>
      <c r="E79" s="35" t="n">
        <f aca="false">pe_mid</f>
        <v>11.4</v>
      </c>
    </row>
    <row r="80" customFormat="false" ht="15" hidden="false" customHeight="false" outlineLevel="0" collapsed="false">
      <c r="A80" s="41" t="n">
        <v>1.5</v>
      </c>
      <c r="B80" s="35" t="n">
        <f aca="false">px*A80/PL!F16</f>
        <v>21.3883893278795</v>
      </c>
      <c r="C80" s="35" t="n">
        <f aca="false">px*A80/PL!F31</f>
        <v>32.18354524551</v>
      </c>
      <c r="D80" s="35" t="n">
        <f aca="false">px*A80/PL!F46</f>
        <v>86.9676668150817</v>
      </c>
      <c r="E80" s="35" t="n">
        <f aca="false">pe_mid</f>
        <v>11.4</v>
      </c>
    </row>
    <row r="81" customFormat="false" ht="15" hidden="false" customHeight="false" outlineLevel="0" collapsed="false">
      <c r="A81" s="41" t="n">
        <v>2</v>
      </c>
      <c r="B81" s="35" t="n">
        <f aca="false">px*A81/PL!F16</f>
        <v>28.5178524371727</v>
      </c>
      <c r="C81" s="35" t="n">
        <f aca="false">px*A81/PL!F31</f>
        <v>42.9113936606799</v>
      </c>
      <c r="D81" s="35" t="n">
        <f aca="false">px*A81/PL!F46</f>
        <v>115.956889086776</v>
      </c>
      <c r="E81" s="35" t="n">
        <f aca="false">pe_mid</f>
        <v>11.4</v>
      </c>
    </row>
    <row r="82" customFormat="false" ht="17.15" hidden="false" customHeight="false" outlineLevel="0" collapsed="false">
      <c r="A82" s="3" t="s">
        <v>660</v>
      </c>
    </row>
    <row r="84" customFormat="false" ht="17.15" hidden="false" customHeight="false" outlineLevel="0" collapsed="false">
      <c r="A84" s="5" t="s">
        <v>661</v>
      </c>
    </row>
    <row r="85" customFormat="false" ht="17.15" hidden="false" customHeight="false" outlineLevel="0" collapsed="false">
      <c r="A85" s="4" t="s">
        <v>662</v>
      </c>
      <c r="B85" s="4" t="s">
        <v>663</v>
      </c>
      <c r="C85" s="16" t="s">
        <v>664</v>
      </c>
      <c r="D85" s="16" t="s">
        <v>665</v>
      </c>
    </row>
    <row r="86" customFormat="false" ht="15" hidden="false" customHeight="false" outlineLevel="0" collapsed="false">
      <c r="A86" s="0" t="s">
        <v>666</v>
      </c>
      <c r="B86" s="26" t="n">
        <f aca="false">IF(COUNT(C86:D86)=0,"",AVERAGE(C86:D86))</f>
        <v>10.6</v>
      </c>
      <c r="C86" s="26" t="n">
        <f aca="false">IF(B105="","",B105)</f>
        <v>10.6</v>
      </c>
      <c r="D86" s="26" t="str">
        <f aca="false">IF(C105="","",C105)</f>
        <v/>
      </c>
    </row>
    <row r="87" customFormat="false" ht="15" hidden="false" customHeight="false" outlineLevel="0" collapsed="false">
      <c r="A87" s="0" t="s">
        <v>667</v>
      </c>
      <c r="B87" s="26" t="n">
        <f aca="false">IF(COUNT(C87:D87)=0,"",AVERAGE(C87:D87))</f>
        <v>11.8</v>
      </c>
      <c r="C87" s="26" t="n">
        <f aca="false">IF(B106="","",B106)</f>
        <v>11.8</v>
      </c>
      <c r="D87" s="26" t="str">
        <f aca="false">IF(C106="","",C106)</f>
        <v/>
      </c>
    </row>
    <row r="88" customFormat="false" ht="15" hidden="false" customHeight="false" outlineLevel="0" collapsed="false">
      <c r="A88" s="0" t="s">
        <v>668</v>
      </c>
      <c r="B88" s="26" t="n">
        <f aca="false">IF(COUNT(C88:D88)=0,"",AVERAGE(C88:D88))</f>
        <v>12.8</v>
      </c>
      <c r="C88" s="26" t="n">
        <f aca="false">IF(B107="","",B107)</f>
        <v>12.8</v>
      </c>
      <c r="D88" s="26" t="str">
        <f aca="false">IF(C107="","",C107)</f>
        <v/>
      </c>
    </row>
    <row r="89" customFormat="false" ht="15" hidden="false" customHeight="false" outlineLevel="0" collapsed="false">
      <c r="A89" s="0" t="s">
        <v>669</v>
      </c>
      <c r="B89" s="26" t="n">
        <f aca="false">IF(COUNT(C89:D89)=0,"",AVERAGE(C89:D89))</f>
        <v>14.1</v>
      </c>
      <c r="C89" s="26" t="n">
        <f aca="false">IF(B108="","",B108)</f>
        <v>14.1</v>
      </c>
      <c r="D89" s="26" t="str">
        <f aca="false">IF(C108="","",C108)</f>
        <v/>
      </c>
    </row>
    <row r="90" customFormat="false" ht="15" hidden="false" customHeight="false" outlineLevel="0" collapsed="false">
      <c r="A90" s="0" t="s">
        <v>670</v>
      </c>
      <c r="B90" s="26" t="n">
        <f aca="false">IF(COUNT(C90:D90)=0,"",AVERAGE(C90:D90))</f>
        <v>15.1</v>
      </c>
      <c r="C90" s="26" t="n">
        <f aca="false">IF(B109="","",B109)</f>
        <v>15.1</v>
      </c>
      <c r="D90" s="26" t="str">
        <f aca="false">IF(C109="","",C109)</f>
        <v/>
      </c>
    </row>
    <row r="91" customFormat="false" ht="15" hidden="false" customHeight="false" outlineLevel="0" collapsed="false">
      <c r="A91" s="0" t="s">
        <v>671</v>
      </c>
      <c r="B91" s="26" t="n">
        <f aca="false">IF(COUNT(C91:D91)=0,"",AVERAGE(C91:D91))</f>
        <v>13.355</v>
      </c>
      <c r="C91" s="26" t="n">
        <f aca="false">IF(B110="","",B110)</f>
        <v>10.9</v>
      </c>
      <c r="D91" s="26" t="n">
        <f aca="false">IF(C110="","",C110)</f>
        <v>15.81</v>
      </c>
    </row>
    <row r="92" customFormat="false" ht="15" hidden="false" customHeight="false" outlineLevel="0" collapsed="false">
      <c r="A92" s="0" t="s">
        <v>672</v>
      </c>
      <c r="B92" s="26" t="n">
        <f aca="false">IF(COUNT(C92:D92)=0,"",AVERAGE(C92:D92))</f>
        <v>5.185</v>
      </c>
      <c r="C92" s="26" t="n">
        <f aca="false">IF(B111="","",B111)</f>
        <v>4.68</v>
      </c>
      <c r="D92" s="26" t="n">
        <f aca="false">IF(C111="","",C111)</f>
        <v>5.69</v>
      </c>
    </row>
    <row r="93" customFormat="false" ht="15" hidden="false" customHeight="false" outlineLevel="0" collapsed="false">
      <c r="A93" s="0" t="s">
        <v>673</v>
      </c>
      <c r="B93" s="26" t="n">
        <f aca="false">IF(COUNT(C93:D93)=0,"",AVERAGE(C93:D93))</f>
        <v>10.095</v>
      </c>
      <c r="C93" s="26" t="n">
        <f aca="false">IF(B112="","",B112)</f>
        <v>9.38</v>
      </c>
      <c r="D93" s="26" t="n">
        <f aca="false">IF(C112="","",C112)</f>
        <v>10.81</v>
      </c>
    </row>
    <row r="94" customFormat="false" ht="15" hidden="false" customHeight="false" outlineLevel="0" collapsed="false">
      <c r="A94" s="0" t="s">
        <v>674</v>
      </c>
      <c r="B94" s="26" t="n">
        <f aca="false">IF(COUNT(C94:D94)=0,"",AVERAGE(C94:D94))</f>
        <v>11.025</v>
      </c>
      <c r="C94" s="26" t="n">
        <f aca="false">IF(B113="","",B113)</f>
        <v>10.6</v>
      </c>
      <c r="D94" s="26" t="n">
        <f aca="false">IF(C113="","",C113)</f>
        <v>11.45</v>
      </c>
    </row>
    <row r="95" customFormat="false" ht="15" hidden="false" customHeight="false" outlineLevel="0" collapsed="false">
      <c r="A95" s="0" t="s">
        <v>675</v>
      </c>
      <c r="B95" s="26" t="n">
        <f aca="false">IF(COUNT(C95:D95)=0,"",AVERAGE(C95:D95))</f>
        <v>14.86</v>
      </c>
      <c r="C95" s="26" t="n">
        <f aca="false">IF(B114="","",B114)</f>
        <v>14.9</v>
      </c>
      <c r="D95" s="26" t="n">
        <f aca="false">IF(C114="","",C114)</f>
        <v>14.82</v>
      </c>
    </row>
    <row r="96" customFormat="false" ht="15" hidden="false" customHeight="false" outlineLevel="0" collapsed="false">
      <c r="A96" s="3" t="s">
        <v>676</v>
      </c>
      <c r="B96" s="0" t="n">
        <f aca="false">COUNT($B$86:$B$95)</f>
        <v>10</v>
      </c>
    </row>
    <row r="100" customFormat="false" ht="17.15" hidden="false" customHeight="false" outlineLevel="0" collapsed="false">
      <c r="A100" s="5" t="s">
        <v>677</v>
      </c>
    </row>
    <row r="101" customFormat="false" ht="17.15" hidden="false" customHeight="false" outlineLevel="0" collapsed="false">
      <c r="A101" s="3" t="s">
        <v>678</v>
      </c>
    </row>
    <row r="103" customFormat="false" ht="17.15" hidden="false" customHeight="false" outlineLevel="0" collapsed="false">
      <c r="A103" s="5" t="s">
        <v>679</v>
      </c>
    </row>
    <row r="104" customFormat="false" ht="17.15" hidden="false" customHeight="false" outlineLevel="0" collapsed="false">
      <c r="A104" s="4" t="s">
        <v>662</v>
      </c>
      <c r="B104" s="16" t="s">
        <v>680</v>
      </c>
      <c r="C104" s="16" t="s">
        <v>681</v>
      </c>
      <c r="D104" s="4" t="s">
        <v>682</v>
      </c>
    </row>
    <row r="105" customFormat="false" ht="17.15" hidden="false" customHeight="false" outlineLevel="0" collapsed="false">
      <c r="A105" s="0" t="s">
        <v>666</v>
      </c>
      <c r="B105" s="41" t="n">
        <v>10.6</v>
      </c>
      <c r="D105" s="7" t="s">
        <v>683</v>
      </c>
    </row>
    <row r="106" customFormat="false" ht="15" hidden="false" customHeight="false" outlineLevel="0" collapsed="false">
      <c r="A106" s="0" t="s">
        <v>667</v>
      </c>
      <c r="B106" s="41" t="n">
        <v>11.8</v>
      </c>
    </row>
    <row r="107" customFormat="false" ht="15" hidden="false" customHeight="false" outlineLevel="0" collapsed="false">
      <c r="A107" s="0" t="s">
        <v>668</v>
      </c>
      <c r="B107" s="41" t="n">
        <v>12.8</v>
      </c>
    </row>
    <row r="108" customFormat="false" ht="15" hidden="false" customHeight="false" outlineLevel="0" collapsed="false">
      <c r="A108" s="0" t="s">
        <v>669</v>
      </c>
      <c r="B108" s="41" t="n">
        <v>14.1</v>
      </c>
    </row>
    <row r="109" customFormat="false" ht="15" hidden="false" customHeight="false" outlineLevel="0" collapsed="false">
      <c r="A109" s="0" t="s">
        <v>670</v>
      </c>
      <c r="B109" s="41" t="n">
        <v>15.1</v>
      </c>
    </row>
    <row r="110" customFormat="false" ht="15" hidden="false" customHeight="false" outlineLevel="0" collapsed="false">
      <c r="A110" s="0" t="s">
        <v>671</v>
      </c>
      <c r="B110" s="41" t="n">
        <v>10.9</v>
      </c>
      <c r="C110" s="41" t="n">
        <v>15.81</v>
      </c>
    </row>
    <row r="111" customFormat="false" ht="15" hidden="false" customHeight="false" outlineLevel="0" collapsed="false">
      <c r="A111" s="0" t="s">
        <v>672</v>
      </c>
      <c r="B111" s="41" t="n">
        <v>4.68</v>
      </c>
      <c r="C111" s="41" t="n">
        <v>5.69</v>
      </c>
    </row>
    <row r="112" customFormat="false" ht="15" hidden="false" customHeight="false" outlineLevel="0" collapsed="false">
      <c r="A112" s="0" t="s">
        <v>673</v>
      </c>
      <c r="B112" s="41" t="n">
        <v>9.38</v>
      </c>
      <c r="C112" s="41" t="n">
        <v>10.81</v>
      </c>
    </row>
    <row r="113" customFormat="false" ht="15" hidden="false" customHeight="false" outlineLevel="0" collapsed="false">
      <c r="A113" s="0" t="s">
        <v>674</v>
      </c>
      <c r="B113" s="41" t="n">
        <v>10.6</v>
      </c>
      <c r="C113" s="41" t="n">
        <v>11.45</v>
      </c>
    </row>
    <row r="114" customFormat="false" ht="15" hidden="false" customHeight="false" outlineLevel="0" collapsed="false">
      <c r="A114" s="0" t="s">
        <v>675</v>
      </c>
      <c r="B114" s="41" t="n">
        <v>14.9</v>
      </c>
      <c r="C114" s="41" t="n">
        <v>14.82</v>
      </c>
    </row>
    <row r="115" customFormat="false" ht="17.15" hidden="false" customHeight="false" outlineLevel="0" collapsed="false">
      <c r="A115" s="0" t="s">
        <v>684</v>
      </c>
      <c r="B115" s="26" t="n">
        <f aca="false">PERCENTILE(B105:B114,0.25)</f>
        <v>10.6</v>
      </c>
      <c r="C115" s="26" t="n">
        <f aca="false">PERCENTILE(C105:C114,0.25)</f>
        <v>10.81</v>
      </c>
    </row>
    <row r="116" customFormat="false" ht="15" hidden="false" customHeight="false" outlineLevel="0" collapsed="false">
      <c r="A116" s="3" t="s">
        <v>685</v>
      </c>
      <c r="B116" s="26" t="n">
        <f aca="false">MEDIAN(B105:B114)</f>
        <v>11.35</v>
      </c>
      <c r="C116" s="26" t="n">
        <f aca="false">MEDIAN(C105:C114)</f>
        <v>11.45</v>
      </c>
    </row>
    <row r="117" customFormat="false" ht="17.15" hidden="false" customHeight="false" outlineLevel="0" collapsed="false">
      <c r="A117" s="0" t="s">
        <v>686</v>
      </c>
      <c r="B117" s="26" t="n">
        <f aca="false">PERCENTILE(B105:B114,0.75)</f>
        <v>13.775</v>
      </c>
      <c r="C117" s="26" t="n">
        <f aca="false">PERCENTILE(C105:C114,0.75)</f>
        <v>14.82</v>
      </c>
    </row>
    <row r="118" customFormat="false" ht="15" hidden="false" customHeight="false" outlineLevel="0" collapsed="false">
      <c r="A118" s="3" t="s">
        <v>687</v>
      </c>
      <c r="B118" s="26" t="n">
        <f aca="false">MIN(B105:B114)</f>
        <v>4.68</v>
      </c>
      <c r="C118" s="26" t="n">
        <f aca="false">MIN(C105:C114)</f>
        <v>5.69</v>
      </c>
    </row>
    <row r="119" customFormat="false" ht="15" hidden="false" customHeight="false" outlineLevel="0" collapsed="false">
      <c r="A119" s="3" t="s">
        <v>688</v>
      </c>
      <c r="B119" s="26" t="n">
        <f aca="false">MAX(B105:B114)</f>
        <v>15.1</v>
      </c>
      <c r="C119" s="26" t="n">
        <f aca="false">MAX(C105:C114)</f>
        <v>15.81</v>
      </c>
    </row>
    <row r="120" customFormat="false" ht="17.15" hidden="false" customHeight="false" outlineLevel="0" collapsed="false">
      <c r="A120" s="1" t="s">
        <v>689</v>
      </c>
      <c r="B120" s="26" t="n">
        <f aca="false">ROUND(AVERAGE(B115,C115),2)</f>
        <v>10.71</v>
      </c>
    </row>
    <row r="121" customFormat="false" ht="17.15" hidden="false" customHeight="false" outlineLevel="0" collapsed="false">
      <c r="A121" s="1" t="s">
        <v>690</v>
      </c>
      <c r="B121" s="26" t="n">
        <f aca="false">ROUND(AVERAGE(B116,C116),2)</f>
        <v>11.4</v>
      </c>
    </row>
    <row r="122" customFormat="false" ht="17.15" hidden="false" customHeight="false" outlineLevel="0" collapsed="false">
      <c r="A122" s="1" t="s">
        <v>691</v>
      </c>
      <c r="B122" s="26" t="n">
        <f aca="false">ROUND(AVERAGE(B117,C117),2)</f>
        <v>14.3</v>
      </c>
    </row>
    <row r="123" customFormat="false" ht="17.15" hidden="false" customHeight="false" outlineLevel="0" collapsed="false">
      <c r="A123" s="1" t="s">
        <v>692</v>
      </c>
      <c r="B123" s="26" t="n">
        <f aca="false">ROUND(MIN(B118,C118),2)</f>
        <v>4.68</v>
      </c>
    </row>
    <row r="124" customFormat="false" ht="17.15" hidden="false" customHeight="false" outlineLevel="0" collapsed="false">
      <c r="A124" s="1" t="s">
        <v>693</v>
      </c>
      <c r="B124" s="26" t="n">
        <f aca="false">ROUND(MAX(B119,C119),2)</f>
        <v>15.81</v>
      </c>
    </row>
    <row r="126" customFormat="false" ht="17.15" hidden="false" customHeight="false" outlineLevel="0" collapsed="false">
      <c r="A126" s="5" t="s">
        <v>694</v>
      </c>
    </row>
    <row r="127" customFormat="false" ht="17.15" hidden="false" customHeight="false" outlineLevel="0" collapsed="false">
      <c r="A127" s="4" t="s">
        <v>695</v>
      </c>
      <c r="B127" s="4" t="s">
        <v>696</v>
      </c>
      <c r="C127" s="4" t="s">
        <v>697</v>
      </c>
      <c r="D127" s="4" t="s">
        <v>27</v>
      </c>
      <c r="E127" s="4" t="s">
        <v>698</v>
      </c>
      <c r="F127" s="4" t="s">
        <v>651</v>
      </c>
      <c r="G127" s="4" t="s">
        <v>699</v>
      </c>
      <c r="H127" s="4" t="s">
        <v>700</v>
      </c>
    </row>
    <row r="128" customFormat="false" ht="17.15" hidden="false" customHeight="false" outlineLevel="0" collapsed="false">
      <c r="A128" s="3" t="s">
        <v>701</v>
      </c>
      <c r="B128" s="0" t="s">
        <v>702</v>
      </c>
      <c r="C128" s="26" t="n">
        <f aca="false">B120</f>
        <v>10.71</v>
      </c>
      <c r="D128" s="7" t="s">
        <v>703</v>
      </c>
      <c r="E128" s="26" t="n">
        <f aca="false">C72</f>
        <v>5.95480594342119</v>
      </c>
      <c r="F128" s="8" t="n">
        <f aca="false">C128*E128</f>
        <v>63.7759716540409</v>
      </c>
      <c r="G128" s="21" t="n">
        <f aca="false">F128/px-1</f>
        <v>-0.491824927059435</v>
      </c>
      <c r="H128" s="26" t="n">
        <f aca="false">px/E128</f>
        <v>21.0754139080974</v>
      </c>
    </row>
    <row r="129" customFormat="false" ht="17.15" hidden="false" customHeight="false" outlineLevel="0" collapsed="false">
      <c r="A129" s="3" t="s">
        <v>704</v>
      </c>
      <c r="B129" s="3" t="s">
        <v>705</v>
      </c>
      <c r="C129" s="26" t="n">
        <f aca="false">B121</f>
        <v>11.4</v>
      </c>
      <c r="D129" s="7" t="s">
        <v>703</v>
      </c>
      <c r="E129" s="26" t="n">
        <f aca="false">C72</f>
        <v>5.95480594342119</v>
      </c>
      <c r="F129" s="8" t="n">
        <f aca="false">C129*E129</f>
        <v>67.8847877550015</v>
      </c>
      <c r="G129" s="21" t="n">
        <f aca="false">F129/px-1</f>
        <v>-0.459085356533853</v>
      </c>
      <c r="H129" s="26" t="n">
        <f aca="false">px/E129</f>
        <v>21.0754139080974</v>
      </c>
    </row>
    <row r="130" customFormat="false" ht="17.15" hidden="false" customHeight="false" outlineLevel="0" collapsed="false">
      <c r="A130" s="3" t="s">
        <v>706</v>
      </c>
      <c r="B130" s="0" t="s">
        <v>707</v>
      </c>
      <c r="C130" s="26" t="n">
        <f aca="false">B122</f>
        <v>14.3</v>
      </c>
      <c r="D130" s="7" t="s">
        <v>703</v>
      </c>
      <c r="E130" s="26" t="n">
        <f aca="false">C72</f>
        <v>5.95480594342119</v>
      </c>
      <c r="F130" s="8" t="n">
        <f aca="false">C130*E130</f>
        <v>85.153724990923</v>
      </c>
      <c r="G130" s="21" t="n">
        <f aca="false">F130/px-1</f>
        <v>-0.321484263020534</v>
      </c>
      <c r="H130" s="26" t="n">
        <f aca="false">px/E130</f>
        <v>21.0754139080974</v>
      </c>
    </row>
    <row r="134" customFormat="false" ht="17.15" hidden="false" customHeight="false" outlineLevel="0" collapsed="false">
      <c r="A134" s="3" t="s">
        <v>708</v>
      </c>
      <c r="B134" s="0" t="str">
        <f aca="false">IF(B42&gt;0.5,"大於 50%",IF(B42&gt;0.25,"25%–50%",IF(B42&gt;=0,"0%–25%",IF(B42&gt;=-0.25,"0%～−25%",IF(B42&gt;=-0.5,"−25%～−50%","小於 −50%")))))</f>
        <v>−25%～−50%</v>
      </c>
      <c r="E134" s="3" t="s">
        <v>709</v>
      </c>
    </row>
    <row r="135" customFormat="false" ht="17.15" hidden="false" customHeight="false" outlineLevel="0" collapsed="false">
      <c r="A135" s="3" t="s">
        <v>710</v>
      </c>
      <c r="B135" s="0" t="str">
        <f aca="false">IF(B42&gt;0.5,"強力買進",IF(B42&gt;0.25,"買進",IF(B42&gt;=-0.25,"中立",IF(B42&gt;=-0.5,"放空","強力放空"))))</f>
        <v>放空</v>
      </c>
      <c r="E135" s="3" t="s">
        <v>711</v>
      </c>
    </row>
    <row r="138" customFormat="false" ht="17.15" hidden="false" customHeight="false" outlineLevel="0" collapsed="false">
      <c r="A138" s="5" t="s">
        <v>712</v>
      </c>
    </row>
    <row r="139" customFormat="false" ht="17.15" hidden="false" customHeight="false" outlineLevel="0" collapsed="false">
      <c r="A139" s="3" t="s">
        <v>713</v>
      </c>
    </row>
    <row r="140" customFormat="false" ht="17.15" hidden="false" customHeight="false" outlineLevel="0" collapsed="false">
      <c r="A140" s="4" t="s">
        <v>714</v>
      </c>
      <c r="B140" s="4" t="s">
        <v>581</v>
      </c>
      <c r="C140" s="4" t="s">
        <v>715</v>
      </c>
      <c r="D140" s="16" t="s">
        <v>716</v>
      </c>
      <c r="E140" s="16" t="s">
        <v>717</v>
      </c>
      <c r="F140" s="16" t="s">
        <v>718</v>
      </c>
      <c r="G140" s="16" t="s">
        <v>719</v>
      </c>
      <c r="H140" s="16" t="s">
        <v>720</v>
      </c>
      <c r="I140" s="16" t="s">
        <v>721</v>
      </c>
      <c r="J140" s="16" t="s">
        <v>722</v>
      </c>
      <c r="K140" s="16" t="s">
        <v>723</v>
      </c>
      <c r="L140" s="16" t="s">
        <v>724</v>
      </c>
      <c r="M140" s="16" t="s">
        <v>725</v>
      </c>
      <c r="N140" s="4" t="s">
        <v>726</v>
      </c>
      <c r="O140" s="16" t="s">
        <v>727</v>
      </c>
      <c r="P140" s="4" t="s">
        <v>728</v>
      </c>
      <c r="Q140" s="4" t="s">
        <v>584</v>
      </c>
    </row>
    <row r="141" customFormat="false" ht="17.15" hidden="false" customHeight="false" outlineLevel="0" collapsed="false">
      <c r="A141" s="3" t="s">
        <v>729</v>
      </c>
      <c r="B141" s="0" t="s">
        <v>730</v>
      </c>
      <c r="C141" s="3" t="s">
        <v>731</v>
      </c>
      <c r="D141" s="41" t="n">
        <v>18.5065</v>
      </c>
      <c r="E141" s="41" t="n">
        <v>20.0135</v>
      </c>
      <c r="F141" s="41" t="n">
        <v>20.6125</v>
      </c>
      <c r="G141" s="41" t="n">
        <v>14.4285</v>
      </c>
      <c r="H141" s="41" t="n">
        <v>15.9615</v>
      </c>
      <c r="I141" s="41" t="n">
        <v>7.8765</v>
      </c>
      <c r="J141" s="41" t="n">
        <v>10.0455</v>
      </c>
      <c r="K141" s="41" t="n">
        <v>11.4775</v>
      </c>
      <c r="L141" s="41" t="n">
        <v>12.522</v>
      </c>
      <c r="M141" s="41" t="n">
        <v>17.0705</v>
      </c>
      <c r="N141" s="7" t="n">
        <f aca="false">COUNT(D141:M141)</f>
        <v>10</v>
      </c>
      <c r="O141" s="26" t="n">
        <f aca="false">IF(N141&gt;0,MEDIAN(D141:M141),"")</f>
        <v>15.195</v>
      </c>
      <c r="P141" s="26" t="n">
        <f aca="false">IF(N141&gt;=7,O141,"")</f>
        <v>15.195</v>
      </c>
      <c r="Q141" s="7" t="s">
        <v>732</v>
      </c>
    </row>
    <row r="142" customFormat="false" ht="17.15" hidden="false" customHeight="false" outlineLevel="0" collapsed="false">
      <c r="A142" s="3" t="s">
        <v>585</v>
      </c>
      <c r="B142" s="0" t="s">
        <v>586</v>
      </c>
      <c r="C142" s="3" t="s">
        <v>733</v>
      </c>
      <c r="D142" s="41" t="n">
        <v>14.156</v>
      </c>
      <c r="E142" s="41" t="n">
        <v>16.0605</v>
      </c>
      <c r="F142" s="41" t="n">
        <v>17.9995</v>
      </c>
      <c r="G142" s="41" t="n">
        <v>18.751</v>
      </c>
      <c r="H142" s="41" t="n">
        <v>24.5295</v>
      </c>
      <c r="I142" s="41" t="n">
        <v>16.0195</v>
      </c>
      <c r="J142" s="41" t="n">
        <v>14.927</v>
      </c>
      <c r="K142" s="41" t="n">
        <v>18.821</v>
      </c>
      <c r="L142" s="41" t="n">
        <v>17.7185</v>
      </c>
      <c r="M142" s="41" t="n">
        <v>19.3025</v>
      </c>
      <c r="N142" s="7" t="n">
        <f aca="false">COUNT(D142:M142)</f>
        <v>10</v>
      </c>
      <c r="O142" s="26" t="n">
        <f aca="false">IF(N142&gt;0,MEDIAN(D142:M142),"")</f>
        <v>17.859</v>
      </c>
      <c r="P142" s="26" t="n">
        <f aca="false">IF(N142&gt;=7,O142,"")</f>
        <v>17.859</v>
      </c>
      <c r="Q142" s="7" t="s">
        <v>734</v>
      </c>
    </row>
    <row r="143" customFormat="false" ht="17.15" hidden="false" customHeight="false" outlineLevel="0" collapsed="false">
      <c r="A143" s="3" t="s">
        <v>589</v>
      </c>
      <c r="B143" s="0" t="s">
        <v>590</v>
      </c>
      <c r="C143" s="3" t="s">
        <v>733</v>
      </c>
      <c r="I143" s="41" t="n">
        <v>25.3475</v>
      </c>
      <c r="J143" s="41" t="n">
        <v>24.295</v>
      </c>
      <c r="K143" s="41" t="n">
        <v>28.656</v>
      </c>
      <c r="L143" s="41" t="n">
        <v>19.676</v>
      </c>
      <c r="M143" s="41" t="n">
        <v>22.1005</v>
      </c>
      <c r="N143" s="7" t="n">
        <f aca="false">COUNT(D143:M143)</f>
        <v>5</v>
      </c>
      <c r="O143" s="26" t="n">
        <f aca="false">IF(N143&gt;0,MEDIAN(D143:M143),"")</f>
        <v>24.295</v>
      </c>
      <c r="P143" s="26" t="str">
        <f aca="false">IF(N143&gt;=7,O143,"")</f>
        <v/>
      </c>
      <c r="Q143" s="7" t="s">
        <v>735</v>
      </c>
    </row>
    <row r="144" customFormat="false" ht="17.15" hidden="false" customHeight="false" outlineLevel="0" collapsed="false">
      <c r="A144" s="3" t="s">
        <v>592</v>
      </c>
      <c r="B144" s="0" t="s">
        <v>593</v>
      </c>
      <c r="C144" s="3" t="s">
        <v>733</v>
      </c>
      <c r="D144" s="41" t="n">
        <v>15.6775</v>
      </c>
      <c r="E144" s="41" t="n">
        <v>56.43</v>
      </c>
      <c r="F144" s="41" t="n">
        <v>78.239</v>
      </c>
      <c r="G144" s="41" t="n">
        <v>51.8865</v>
      </c>
      <c r="H144" s="41" t="n">
        <v>41.8545</v>
      </c>
      <c r="I144" s="41" t="n">
        <v>10.7145</v>
      </c>
      <c r="J144" s="41" t="n">
        <v>20.6075</v>
      </c>
      <c r="K144" s="41" t="n">
        <v>28.124</v>
      </c>
      <c r="L144" s="41" t="n">
        <v>51.468</v>
      </c>
      <c r="M144" s="41" t="n">
        <v>64.8</v>
      </c>
      <c r="N144" s="7" t="n">
        <f aca="false">COUNT(D144:M144)</f>
        <v>10</v>
      </c>
      <c r="O144" s="26" t="n">
        <f aca="false">IF(N144&gt;0,MEDIAN(D144:M144),"")</f>
        <v>46.66125</v>
      </c>
      <c r="P144" s="26" t="n">
        <f aca="false">IF(N144&gt;=7,O144,"")</f>
        <v>46.66125</v>
      </c>
      <c r="Q144" s="7" t="s">
        <v>736</v>
      </c>
    </row>
    <row r="145" customFormat="false" ht="17.15" hidden="false" customHeight="false" outlineLevel="0" collapsed="false">
      <c r="A145" s="3" t="s">
        <v>595</v>
      </c>
      <c r="B145" s="0" t="s">
        <v>596</v>
      </c>
      <c r="C145" s="3" t="s">
        <v>733</v>
      </c>
      <c r="N145" s="0" t="n">
        <f aca="false">COUNT(D145:M145)</f>
        <v>0</v>
      </c>
      <c r="O145" s="26" t="str">
        <f aca="false">IF(N145&gt;0,MEDIAN(D145:M145),"")</f>
        <v/>
      </c>
      <c r="P145" s="26" t="str">
        <f aca="false">IF(N145&gt;=7,O145,"")</f>
        <v/>
      </c>
      <c r="Q145" s="3" t="s">
        <v>737</v>
      </c>
    </row>
    <row r="146" customFormat="false" ht="17.15" hidden="false" customHeight="false" outlineLevel="0" collapsed="false">
      <c r="A146" s="3" t="s">
        <v>598</v>
      </c>
      <c r="B146" s="0" t="s">
        <v>599</v>
      </c>
      <c r="C146" s="3" t="s">
        <v>733</v>
      </c>
      <c r="N146" s="0" t="n">
        <f aca="false">COUNT(D146:M146)</f>
        <v>0</v>
      </c>
      <c r="O146" s="26" t="str">
        <f aca="false">IF(N146&gt;0,MEDIAN(D146:M146),"")</f>
        <v/>
      </c>
      <c r="P146" s="26" t="str">
        <f aca="false">IF(N146&gt;=7,O146,"")</f>
        <v/>
      </c>
      <c r="Q146" s="3" t="s">
        <v>737</v>
      </c>
    </row>
    <row r="148" customFormat="false" ht="17.15" hidden="false" customHeight="false" outlineLevel="0" collapsed="false">
      <c r="A148" s="3" t="s">
        <v>738</v>
      </c>
      <c r="B148" s="26" t="n">
        <f aca="false">P141</f>
        <v>15.195</v>
      </c>
      <c r="E148" s="3" t="s">
        <v>739</v>
      </c>
    </row>
    <row r="149" customFormat="false" ht="15" hidden="false" customHeight="false" outlineLevel="0" collapsed="false">
      <c r="A149" s="3" t="s">
        <v>740</v>
      </c>
      <c r="B149" s="42" t="n">
        <f aca="false">COUNT(P142:P146)</f>
        <v>2</v>
      </c>
    </row>
    <row r="150" customFormat="false" ht="17.15" hidden="false" customHeight="false" outlineLevel="0" collapsed="false">
      <c r="A150" s="3" t="s">
        <v>741</v>
      </c>
      <c r="B150" s="26" t="n">
        <f aca="false">IF(B149&gt;0,MEDIAN(P142:P146),"")</f>
        <v>32.260125</v>
      </c>
    </row>
    <row r="151" customFormat="false" ht="17.15" hidden="false" customHeight="false" outlineLevel="0" collapsed="false">
      <c r="A151" s="3" t="s">
        <v>742</v>
      </c>
      <c r="B151" s="26" t="n">
        <f aca="false">IF(AND(ISNUMBER(B148),B149&gt;=2),B148/B150,"")</f>
        <v>0.471014913922373</v>
      </c>
      <c r="E151" s="3" t="s">
        <v>743</v>
      </c>
    </row>
    <row r="152" customFormat="false" ht="17.15" hidden="false" customHeight="false" outlineLevel="0" collapsed="false">
      <c r="A152" s="3" t="s">
        <v>744</v>
      </c>
      <c r="B152" s="41" t="n">
        <v>0.5</v>
      </c>
      <c r="E152" s="7" t="s">
        <v>745</v>
      </c>
    </row>
    <row r="153" customFormat="false" ht="17.15" hidden="false" customHeight="false" outlineLevel="0" collapsed="false">
      <c r="A153" s="3" t="s">
        <v>746</v>
      </c>
      <c r="B153" s="41" t="n">
        <v>2</v>
      </c>
      <c r="E153" s="7" t="s">
        <v>747</v>
      </c>
    </row>
    <row r="154" customFormat="false" ht="17.15" hidden="false" customHeight="false" outlineLevel="0" collapsed="false">
      <c r="A154" s="1" t="s">
        <v>748</v>
      </c>
      <c r="B154" s="38" t="n">
        <f aca="false">IF(ISNUMBER(B151),MIN(MAX(B151,B152),B153),1)</f>
        <v>0.5</v>
      </c>
      <c r="E154" s="3" t="s">
        <v>749</v>
      </c>
    </row>
    <row r="155" customFormat="false" ht="17.15" hidden="false" customHeight="false" outlineLevel="0" collapsed="false">
      <c r="A155" s="5" t="s">
        <v>750</v>
      </c>
      <c r="B155" s="33" t="n">
        <f aca="false">Val!$B$35*B154</f>
        <v>70.3384505324008</v>
      </c>
      <c r="E155" s="3" t="s">
        <v>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752</v>
      </c>
    </row>
    <row r="3" customFormat="false" ht="17.15" hidden="false" customHeight="false" outlineLevel="0" collapsed="false">
      <c r="A3" s="4" t="s">
        <v>24</v>
      </c>
      <c r="B3" s="4" t="s">
        <v>753</v>
      </c>
      <c r="C3" s="4" t="s">
        <v>754</v>
      </c>
      <c r="D3" s="4" t="s">
        <v>755</v>
      </c>
      <c r="E3" s="4" t="s">
        <v>756</v>
      </c>
      <c r="F3" s="4" t="s">
        <v>757</v>
      </c>
      <c r="G3" s="4" t="s">
        <v>758</v>
      </c>
      <c r="H3" s="4" t="s">
        <v>759</v>
      </c>
      <c r="I3" s="4" t="s">
        <v>760</v>
      </c>
      <c r="J3" s="4" t="s">
        <v>345</v>
      </c>
    </row>
    <row r="4" customFormat="false" ht="17.15" hidden="false" customHeight="false" outlineLevel="0" collapsed="false">
      <c r="A4" s="5" t="s">
        <v>761</v>
      </c>
    </row>
    <row r="5" customFormat="false" ht="17.15" hidden="false" customHeight="false" outlineLevel="0" collapsed="false">
      <c r="A5" s="0" t="s">
        <v>762</v>
      </c>
      <c r="B5" s="8" t="n">
        <f aca="false">cons_rev26</f>
        <v>283.2</v>
      </c>
      <c r="C5" s="8" t="n">
        <f aca="false">PL!D75</f>
        <v>279.73378</v>
      </c>
      <c r="D5" s="21" t="n">
        <f aca="false">C5/B5-1</f>
        <v>-0.0122394774011299</v>
      </c>
      <c r="E5" s="8" t="n">
        <f aca="false">PL!D114</f>
        <v>279.73378</v>
      </c>
      <c r="F5" s="21" t="n">
        <f aca="false">E5/B5-1</f>
        <v>-0.0122394774011299</v>
      </c>
      <c r="G5" s="8" t="n">
        <f aca="false">PL!D153</f>
        <v>279.73378</v>
      </c>
      <c r="H5" s="21" t="n">
        <f aca="false">G5/B5-1</f>
        <v>-0.0122394774011299</v>
      </c>
      <c r="I5" s="7" t="s">
        <v>763</v>
      </c>
      <c r="J5" s="3" t="s">
        <v>764</v>
      </c>
    </row>
    <row r="6" customFormat="false" ht="17.15" hidden="false" customHeight="false" outlineLevel="0" collapsed="false">
      <c r="A6" s="0" t="s">
        <v>765</v>
      </c>
      <c r="B6" s="23" t="n">
        <f aca="false">cons_eps26</f>
        <v>7.02</v>
      </c>
      <c r="C6" s="23" t="n">
        <f aca="false">PL!D94</f>
        <v>7.36402418002826</v>
      </c>
      <c r="D6" s="21" t="n">
        <f aca="false">C6/B6-1</f>
        <v>0.0490062934513196</v>
      </c>
      <c r="E6" s="23" t="n">
        <f aca="false">PL!D133</f>
        <v>7.36402418002826</v>
      </c>
      <c r="F6" s="21" t="n">
        <f aca="false">E6/B6-1</f>
        <v>0.0490062934513196</v>
      </c>
      <c r="G6" s="23" t="n">
        <f aca="false">PL!D172</f>
        <v>7.36402418002826</v>
      </c>
      <c r="H6" s="21" t="n">
        <f aca="false">G6/B6-1</f>
        <v>0.0490062934513196</v>
      </c>
      <c r="I6" s="7" t="s">
        <v>766</v>
      </c>
      <c r="J6" s="3" t="s">
        <v>767</v>
      </c>
    </row>
    <row r="7" customFormat="false" ht="17.15" hidden="false" customHeight="false" outlineLevel="0" collapsed="false">
      <c r="A7" s="0" t="s">
        <v>768</v>
      </c>
      <c r="B7" s="23" t="n">
        <f aca="false">us_eps26</f>
        <v>7.57</v>
      </c>
      <c r="C7" s="23" t="n">
        <f aca="false">PL!D94</f>
        <v>7.36402418002826</v>
      </c>
      <c r="D7" s="21" t="n">
        <f aca="false">C7/B7-1</f>
        <v>-0.0272094874467289</v>
      </c>
      <c r="E7" s="23" t="n">
        <f aca="false">PL!D133</f>
        <v>7.36402418002826</v>
      </c>
      <c r="F7" s="21" t="n">
        <f aca="false">E7/B7-1</f>
        <v>-0.0272094874467289</v>
      </c>
      <c r="G7" s="23" t="n">
        <f aca="false">PL!D172</f>
        <v>7.36402418002826</v>
      </c>
      <c r="H7" s="21" t="n">
        <f aca="false">G7/B7-1</f>
        <v>-0.0272094874467289</v>
      </c>
      <c r="I7" s="3" t="s">
        <v>269</v>
      </c>
      <c r="J7" s="7" t="s">
        <v>769</v>
      </c>
    </row>
    <row r="8" customFormat="false" ht="17.15" hidden="false" customHeight="false" outlineLevel="0" collapsed="false">
      <c r="A8" s="0" t="s">
        <v>770</v>
      </c>
      <c r="B8" s="21" t="n">
        <f aca="false">q4_gm</f>
        <v>0.34</v>
      </c>
      <c r="C8" s="21" t="n">
        <f aca="false">Q!F10</f>
        <v>0.34</v>
      </c>
      <c r="D8" s="21" t="n">
        <f aca="false">C8-B8</f>
        <v>0</v>
      </c>
      <c r="E8" s="21" t="n">
        <f aca="false">Q!F10</f>
        <v>0.34</v>
      </c>
      <c r="F8" s="21" t="n">
        <f aca="false">E8-B8</f>
        <v>0</v>
      </c>
      <c r="G8" s="21" t="n">
        <f aca="false">Q!F10</f>
        <v>0.34</v>
      </c>
      <c r="H8" s="21" t="n">
        <f aca="false">G8-B8</f>
        <v>0</v>
      </c>
      <c r="I8" s="3" t="s">
        <v>771</v>
      </c>
      <c r="J8" s="3" t="s">
        <v>772</v>
      </c>
    </row>
    <row r="9" customFormat="false" ht="17.15" hidden="false" customHeight="false" outlineLevel="0" collapsed="false">
      <c r="A9" s="5" t="s">
        <v>773</v>
      </c>
    </row>
    <row r="10" customFormat="false" ht="17.15" hidden="false" customHeight="false" outlineLevel="0" collapsed="false">
      <c r="A10" s="0" t="s">
        <v>774</v>
      </c>
      <c r="B10" s="21" t="n">
        <f aca="false">co_asp27</f>
        <v>0.1</v>
      </c>
      <c r="C10" s="21" t="n">
        <f aca="false">PL!E67</f>
        <v>0.1</v>
      </c>
      <c r="D10" s="21" t="n">
        <f aca="false">C10-B10</f>
        <v>0</v>
      </c>
      <c r="E10" s="21" t="n">
        <f aca="false">PL!E106</f>
        <v>0.05</v>
      </c>
      <c r="F10" s="21" t="n">
        <f aca="false">E10-B10</f>
        <v>-0.05</v>
      </c>
      <c r="G10" s="21" t="n">
        <f aca="false">PL!E145</f>
        <v>0</v>
      </c>
      <c r="H10" s="21" t="n">
        <f aca="false">G10-B10</f>
        <v>-0.1</v>
      </c>
      <c r="I10" s="3" t="s">
        <v>775</v>
      </c>
      <c r="J10" s="7" t="s">
        <v>776</v>
      </c>
    </row>
    <row r="11" customFormat="false" ht="17.15" hidden="false" customHeight="false" outlineLevel="0" collapsed="false">
      <c r="A11" s="0" t="s">
        <v>777</v>
      </c>
      <c r="B11" s="23" t="n">
        <f aca="false">loc_eps27</f>
        <v>9.2</v>
      </c>
      <c r="C11" s="23" t="n">
        <f aca="false">PL!E94</f>
        <v>7.60150491315317</v>
      </c>
      <c r="D11" s="21" t="n">
        <f aca="false">C11/B11-1</f>
        <v>-0.173749465961612</v>
      </c>
      <c r="E11" s="23" t="n">
        <f aca="false">PL!E133</f>
        <v>5.95480594342119</v>
      </c>
      <c r="F11" s="21" t="n">
        <f aca="false">E11/B11-1</f>
        <v>-0.352738484410741</v>
      </c>
      <c r="G11" s="23" t="n">
        <f aca="false">PL!E172</f>
        <v>4.03863784127474</v>
      </c>
      <c r="H11" s="21" t="n">
        <f aca="false">G11/B11-1</f>
        <v>-0.561017625948398</v>
      </c>
      <c r="I11" s="3" t="s">
        <v>269</v>
      </c>
      <c r="J11" s="7" t="s">
        <v>778</v>
      </c>
    </row>
    <row r="12" customFormat="false" ht="17.15" hidden="false" customHeight="false" outlineLevel="0" collapsed="false">
      <c r="A12" s="0" t="s">
        <v>779</v>
      </c>
      <c r="B12" s="25" t="n">
        <f aca="false">co_ai29</f>
        <v>1</v>
      </c>
      <c r="C12" s="25" t="n">
        <f aca="false">PL!G71</f>
        <v>1.0092</v>
      </c>
      <c r="D12" s="21" t="n">
        <f aca="false">C12/B12-1</f>
        <v>0.00919999999999988</v>
      </c>
      <c r="E12" s="25" t="n">
        <f aca="false">PL!G110</f>
        <v>0.7505925</v>
      </c>
      <c r="F12" s="21" t="n">
        <f aca="false">E12/B12-1</f>
        <v>-0.2494075</v>
      </c>
      <c r="G12" s="25" t="n">
        <f aca="false">PL!G149</f>
        <v>0.45414</v>
      </c>
      <c r="H12" s="21" t="n">
        <f aca="false">G12/B12-1</f>
        <v>-0.54586</v>
      </c>
      <c r="I12" s="3" t="s">
        <v>780</v>
      </c>
      <c r="J12" s="7" t="s">
        <v>781</v>
      </c>
    </row>
    <row r="13" customFormat="false" ht="17.15" hidden="false" customHeight="false" outlineLevel="0" collapsed="false">
      <c r="A13" s="3" t="s">
        <v>782</v>
      </c>
      <c r="B13" s="23" t="n">
        <f aca="false">cons_feps</f>
        <v>6.20672601384768</v>
      </c>
      <c r="C13" s="23" t="n">
        <f aca="false">Val!B34</f>
        <v>6.00926531673651</v>
      </c>
      <c r="D13" s="21" t="n">
        <f aca="false">C13/B13-1</f>
        <v>-0.0318139864190264</v>
      </c>
      <c r="E13" s="23" t="n">
        <f aca="false">Val!B34</f>
        <v>6.00926531673651</v>
      </c>
      <c r="F13" s="21" t="n">
        <f aca="false">E13/B13-1</f>
        <v>-0.0318139864190264</v>
      </c>
      <c r="G13" s="23" t="n">
        <f aca="false">Val!B34</f>
        <v>6.00926531673651</v>
      </c>
      <c r="H13" s="21" t="n">
        <f aca="false">G13/B13-1</f>
        <v>-0.0318139864190264</v>
      </c>
      <c r="I13" s="7" t="s">
        <v>783</v>
      </c>
      <c r="J13" s="3" t="s">
        <v>784</v>
      </c>
    </row>
    <row r="14" customFormat="false" ht="15" hidden="false" customHeight="false" outlineLevel="0" collapsed="false">
      <c r="A14" s="1" t="s">
        <v>785</v>
      </c>
    </row>
    <row r="15" customFormat="false" ht="17.15" hidden="false" customHeight="false" outlineLevel="0" collapsed="false">
      <c r="A15" s="3" t="s">
        <v>786</v>
      </c>
      <c r="J15" s="3" t="s">
        <v>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10" min="4" style="0" width="15"/>
  </cols>
  <sheetData>
    <row r="1" customFormat="false" ht="17.15" hidden="false" customHeight="false" outlineLevel="0" collapsed="false">
      <c r="A1" s="0" t="s">
        <v>788</v>
      </c>
    </row>
    <row r="2" customFormat="false" ht="17.15" hidden="false" customHeight="false" outlineLevel="0" collapsed="false">
      <c r="A2" s="3" t="s">
        <v>789</v>
      </c>
    </row>
    <row r="3" customFormat="false" ht="17.15" hidden="false" customHeight="false" outlineLevel="0" collapsed="false">
      <c r="A3" s="4" t="s">
        <v>790</v>
      </c>
      <c r="B3" s="4" t="s">
        <v>791</v>
      </c>
      <c r="C3" s="4" t="s">
        <v>23</v>
      </c>
      <c r="D3" s="16" t="s">
        <v>792</v>
      </c>
      <c r="E3" s="16" t="s">
        <v>793</v>
      </c>
      <c r="F3" s="16" t="s">
        <v>794</v>
      </c>
      <c r="G3" s="16" t="s">
        <v>795</v>
      </c>
      <c r="H3" s="16" t="s">
        <v>796</v>
      </c>
      <c r="I3" s="4" t="s">
        <v>797</v>
      </c>
      <c r="J3" s="4" t="s">
        <v>798</v>
      </c>
    </row>
    <row r="4" customFormat="false" ht="17.15" hidden="false" customHeight="false" outlineLevel="0" collapsed="false">
      <c r="A4" s="3" t="s">
        <v>799</v>
      </c>
      <c r="B4" s="0" t="s">
        <v>800</v>
      </c>
      <c r="C4" s="0" t="s">
        <v>148</v>
      </c>
      <c r="D4" s="23" t="n">
        <f aca="false">PL!E94</f>
        <v>7.60150491315317</v>
      </c>
      <c r="E4" s="23" t="n">
        <f aca="false">PL!F94</f>
        <v>8.80150427010501</v>
      </c>
      <c r="F4" s="21" t="n">
        <f aca="false">E4/E$4-1</f>
        <v>0</v>
      </c>
      <c r="G4" s="23" t="n">
        <f aca="false">(tp_wA*MAX(0,PL!E94*(1-MIN(tp_g/tp_roe,0.8))/(1+tp_r)^1+PL!F94*(1-MIN(tp_g/tp_roe,0.8))/(1+tp_r)^2+PL!G94*(1-MIN(tp_g/tp_roe,0.8))/(1+tp_r)^3+PL!H94*(1-MIN(tp_g/tp_roe,0.8))/(1+tp_r)^4+PL!I94*(1-MIN(tp_g/tp_roe,0.8))/(1+tp_r)^5+PL!J94*(1-MIN(tp_g/tp_roe,0.8))/(1+tp_r)^6+PL!J94*(1-MIN(tp_g/tp_roe,0.8))*(1+tp_g)/(tp_r-tp_g)/(1+tp_r)^6)+tp_wB*MAX(0,PL!E133*(1-MIN(tp_g/tp_roe,0.8))/(1+tp_r)^1+PL!F133*(1-MIN(tp_g/tp_roe,0.8))/(1+tp_r)^2+PL!G133*(1-MIN(tp_g/tp_roe,0.8))/(1+tp_r)^3+PL!H133*(1-MIN(tp_g/tp_roe,0.8))/(1+tp_r)^4+PL!I133*(1-MIN(tp_g/tp_roe,0.8))/(1+tp_r)^5+PL!J133*(1-MIN(tp_g/tp_roe,0.8))/(1+tp_r)^6+PL!J133*(1-MIN(tp_g/tp_roe,0.8))*(1+tp_g)/(tp_r-tp_g)/(1+tp_r)^6)+tp_wC*MAX(0,PL!E172*(1-MIN(tp_g/tp_roe,0.8))/(1+tp_r)^1+PL!F172*(1-MIN(tp_g/tp_roe,0.8))/(1+tp_r)^2+PL!G172*(1-MIN(tp_g/tp_roe,0.8))/(1+tp_r)^3+PL!H172*(1-MIN(tp_g/tp_roe,0.8))/(1+tp_r)^4+PL!I172*(1-MIN(tp_g/tp_roe,0.8))/(1+tp_r)^5+PL!J172*(1-MIN(tp_g/tp_roe,0.8))/(1+tp_r)^6+PL!J172*(1-MIN(tp_g/tp_roe,0.8))*(1+tp_g)/(tp_r-tp_g)/(1+tp_r)^6))*(1+tp_r)</f>
        <v>82.4690150667141</v>
      </c>
      <c r="H4" s="23" t="n">
        <f aca="false">Val!$B$33*(tp_wA*(2/12*PL!E94+10/12*PL!F94)+tp_wB*(2/12*PL!E133+10/12*PL!F133)+tp_wC*(2/12*PL!E172+10/12*PL!F172))*rm_factor</f>
        <v>70.3384505324008</v>
      </c>
      <c r="I4" s="23" t="n">
        <f aca="false">tp_w_dcf*G4+(1-tp_w_dcf)*H4</f>
        <v>76.4037327995575</v>
      </c>
      <c r="J4" s="21" t="n">
        <f aca="false">I4/I$4-1</f>
        <v>0</v>
      </c>
    </row>
    <row r="5" customFormat="false" ht="17.15" hidden="false" customHeight="false" outlineLevel="0" collapsed="false">
      <c r="A5" s="3" t="s">
        <v>801</v>
      </c>
      <c r="B5" s="0" t="str">
        <f aca="false">TEXT(fx_lo,"0.0")&amp;"（基準 "&amp;TEXT(fx,"0.0")&amp;"）"</f>
        <v>30.5（基準 32.0）</v>
      </c>
      <c r="C5" s="0" t="s">
        <v>33</v>
      </c>
      <c r="D5" s="23" t="n">
        <f aca="false">E72</f>
        <v>6.54163480395193</v>
      </c>
      <c r="E5" s="23" t="n">
        <f aca="false">F72</f>
        <v>7.62478016018825</v>
      </c>
      <c r="F5" s="21" t="n">
        <f aca="false">E5/E$4-1</f>
        <v>-0.133695794923782</v>
      </c>
      <c r="G5" s="23" t="n">
        <f aca="false">(tp_wA*MAX(0,E72*(1-MIN(tp_g/tp_roe,0.8))/(1+tp_r)^1+F72*(1-MIN(tp_g/tp_roe,0.8))/(1+tp_r)^2+G72*(1-MIN(tp_g/tp_roe,0.8))/(1+tp_r)^3+H72*(1-MIN(tp_g/tp_roe,0.8))/(1+tp_r)^4+I72*(1-MIN(tp_g/tp_roe,0.8))/(1+tp_r)^5+J72*(1-MIN(tp_g/tp_roe,0.8))/(1+tp_r)^6+J72*(1-MIN(tp_g/tp_roe,0.8))*(1+tp_g)/(tp_r-tp_g)/(1+tp_r)^6)+tp_wB*MAX(0,E111*(1-MIN(tp_g/tp_roe,0.8))/(1+tp_r)^1+F111*(1-MIN(tp_g/tp_roe,0.8))/(1+tp_r)^2+G111*(1-MIN(tp_g/tp_roe,0.8))/(1+tp_r)^3+H111*(1-MIN(tp_g/tp_roe,0.8))/(1+tp_r)^4+I111*(1-MIN(tp_g/tp_roe,0.8))/(1+tp_r)^5+J111*(1-MIN(tp_g/tp_roe,0.8))/(1+tp_r)^6+J111*(1-MIN(tp_g/tp_roe,0.8))*(1+tp_g)/(tp_r-tp_g)/(1+tp_r)^6)+tp_wC*MAX(0,E150*(1-MIN(tp_g/tp_roe,0.8))/(1+tp_r)^1+F150*(1-MIN(tp_g/tp_roe,0.8))/(1+tp_r)^2+G150*(1-MIN(tp_g/tp_roe,0.8))/(1+tp_r)^3+H150*(1-MIN(tp_g/tp_roe,0.8))/(1+tp_r)^4+I150*(1-MIN(tp_g/tp_roe,0.8))/(1+tp_r)^5+J150*(1-MIN(tp_g/tp_roe,0.8))/(1+tp_r)^6+J150*(1-MIN(tp_g/tp_roe,0.8))*(1+tp_g)/(tp_r-tp_g)/(1+tp_r)^6))*(1+tp_r)</f>
        <v>69.0356735536256</v>
      </c>
      <c r="H5" s="23" t="n">
        <f aca="false">Val!$B$33*(tp_wA*(2/12*E72+10/12*F72)+tp_wB*(2/12*E111+10/12*F111)+tp_wC*(2/12*E150+10/12*F150))*rm_factor</f>
        <v>58.5389241683515</v>
      </c>
      <c r="I5" s="23" t="n">
        <f aca="false">tp_w_dcf*G5+(1-tp_w_dcf)*H5</f>
        <v>63.7872988609886</v>
      </c>
      <c r="J5" s="21" t="n">
        <f aca="false">I5/I$4-1</f>
        <v>-0.165128501923691</v>
      </c>
    </row>
    <row r="6" customFormat="false" ht="17.15" hidden="false" customHeight="false" outlineLevel="0" collapsed="false">
      <c r="A6" s="3" t="s">
        <v>802</v>
      </c>
      <c r="B6" s="0" t="str">
        <f aca="false">TEXT(fx_hi,"0.0")&amp;"（基準 "&amp;TEXT(fx,"0.0")&amp;"）"</f>
        <v>33.0（基準 32.0）</v>
      </c>
      <c r="C6" s="0" t="s">
        <v>33</v>
      </c>
      <c r="D6" s="23" t="n">
        <f aca="false">E189</f>
        <v>8.308084985954</v>
      </c>
      <c r="E6" s="23" t="n">
        <f aca="false">F189</f>
        <v>9.58598701004951</v>
      </c>
      <c r="F6" s="21" t="n">
        <f aca="false">E6/E$4-1</f>
        <v>0.089130529949188</v>
      </c>
      <c r="G6" s="23" t="n">
        <f aca="false">(tp_wA*MAX(0,E189*(1-MIN(tp_g/tp_roe,0.8))/(1+tp_r)^1+F189*(1-MIN(tp_g/tp_roe,0.8))/(1+tp_r)^2+G189*(1-MIN(tp_g/tp_roe,0.8))/(1+tp_r)^3+H189*(1-MIN(tp_g/tp_roe,0.8))/(1+tp_r)^4+I189*(1-MIN(tp_g/tp_roe,0.8))/(1+tp_r)^5+J189*(1-MIN(tp_g/tp_roe,0.8))/(1+tp_r)^6+J189*(1-MIN(tp_g/tp_roe,0.8))*(1+tp_g)/(tp_r-tp_g)/(1+tp_r)^6)+tp_wB*MAX(0,E228*(1-MIN(tp_g/tp_roe,0.8))/(1+tp_r)^1+F228*(1-MIN(tp_g/tp_roe,0.8))/(1+tp_r)^2+G228*(1-MIN(tp_g/tp_roe,0.8))/(1+tp_r)^3+H228*(1-MIN(tp_g/tp_roe,0.8))/(1+tp_r)^4+I228*(1-MIN(tp_g/tp_roe,0.8))/(1+tp_r)^5+J228*(1-MIN(tp_g/tp_roe,0.8))/(1+tp_r)^6+J228*(1-MIN(tp_g/tp_roe,0.8))*(1+tp_g)/(tp_r-tp_g)/(1+tp_r)^6)+tp_wC*MAX(0,E267*(1-MIN(tp_g/tp_roe,0.8))/(1+tp_r)^1+F267*(1-MIN(tp_g/tp_roe,0.8))/(1+tp_r)^2+G267*(1-MIN(tp_g/tp_roe,0.8))/(1+tp_r)^3+H267*(1-MIN(tp_g/tp_roe,0.8))/(1+tp_r)^4+I267*(1-MIN(tp_g/tp_roe,0.8))/(1+tp_r)^5+J267*(1-MIN(tp_g/tp_roe,0.8))/(1+tp_r)^6+J267*(1-MIN(tp_g/tp_roe,0.8))*(1+tp_g)/(tp_r-tp_g)/(1+tp_r)^6))*(1+tp_r)</f>
        <v>91.4245760754397</v>
      </c>
      <c r="H6" s="23" t="n">
        <f aca="false">Val!$B$33*(tp_wA*(2/12*E189+10/12*F189)+tp_wB*(2/12*E228+10/12*F228)+tp_wC*(2/12*E267+10/12*F267))*rm_factor</f>
        <v>78.2048014417671</v>
      </c>
      <c r="I6" s="23" t="n">
        <f aca="false">tp_w_dcf*G6+(1-tp_w_dcf)*H6</f>
        <v>84.8146887586034</v>
      </c>
      <c r="J6" s="21" t="n">
        <f aca="false">I6/I$4-1</f>
        <v>0.110085667949127</v>
      </c>
    </row>
    <row r="7" customFormat="false" ht="17.15" hidden="false" customHeight="false" outlineLevel="0" collapsed="false">
      <c r="A7" s="3" t="s">
        <v>803</v>
      </c>
      <c r="B7" s="0" t="str">
        <f aca="false">TEXT(cap_adj_lo,"0.00")&amp;"（基準 "&amp;TEXT(cap_adj,"0.00")&amp;"）"</f>
        <v>0.95（基準 1.00）</v>
      </c>
      <c r="C7" s="0" t="s">
        <v>77</v>
      </c>
      <c r="D7" s="23" t="n">
        <f aca="false">E306</f>
        <v>6.99487796697106</v>
      </c>
      <c r="E7" s="23" t="n">
        <f aca="false">F306</f>
        <v>8.1312003791472</v>
      </c>
      <c r="F7" s="21" t="n">
        <f aca="false">E7/E$4-1</f>
        <v>-0.0761578782884361</v>
      </c>
      <c r="G7" s="23" t="n">
        <f aca="false">(tp_wA*MAX(0,E306*(1-MIN(tp_g/tp_roe,0.8))/(1+tp_r)^1+F306*(1-MIN(tp_g/tp_roe,0.8))/(1+tp_r)^2+G306*(1-MIN(tp_g/tp_roe,0.8))/(1+tp_r)^3+H306*(1-MIN(tp_g/tp_roe,0.8))/(1+tp_r)^4+I306*(1-MIN(tp_g/tp_roe,0.8))/(1+tp_r)^5+J306*(1-MIN(tp_g/tp_roe,0.8))/(1+tp_r)^6+J306*(1-MIN(tp_g/tp_roe,0.8))*(1+tp_g)/(tp_r-tp_g)/(1+tp_r)^6)+tp_wB*MAX(0,E345*(1-MIN(tp_g/tp_roe,0.8))/(1+tp_r)^1+F345*(1-MIN(tp_g/tp_roe,0.8))/(1+tp_r)^2+G345*(1-MIN(tp_g/tp_roe,0.8))/(1+tp_r)^3+H345*(1-MIN(tp_g/tp_roe,0.8))/(1+tp_r)^4+I345*(1-MIN(tp_g/tp_roe,0.8))/(1+tp_r)^5+J345*(1-MIN(tp_g/tp_roe,0.8))/(1+tp_r)^6+J345*(1-MIN(tp_g/tp_roe,0.8))*(1+tp_g)/(tp_r-tp_g)/(1+tp_r)^6)+tp_wC*MAX(0,E384*(1-MIN(tp_g/tp_roe,0.8))/(1+tp_r)^1+F384*(1-MIN(tp_g/tp_roe,0.8))/(1+tp_r)^2+G384*(1-MIN(tp_g/tp_roe,0.8))/(1+tp_r)^3+H384*(1-MIN(tp_g/tp_roe,0.8))/(1+tp_r)^4+I384*(1-MIN(tp_g/tp_roe,0.8))/(1+tp_r)^5+J384*(1-MIN(tp_g/tp_roe,0.8))/(1+tp_r)^6+J384*(1-MIN(tp_g/tp_roe,0.8))*(1+tp_g)/(tp_r-tp_g)/(1+tp_r)^6))*(1+tp_r)</f>
        <v>75.4283883904054</v>
      </c>
      <c r="H7" s="23" t="n">
        <f aca="false">Val!$B$33*(tp_wA*(2/12*E306+10/12*F306)+tp_wB*(2/12*E345+10/12*F345)+tp_wC*(2/12*E384+10/12*F384))*rm_factor</f>
        <v>63.9014185816531</v>
      </c>
      <c r="I7" s="23" t="n">
        <f aca="false">tp_w_dcf*G7+(1-tp_w_dcf)*H7</f>
        <v>69.6649034860292</v>
      </c>
      <c r="J7" s="21" t="n">
        <f aca="false">I7/I$4-1</f>
        <v>-0.0882002628223323</v>
      </c>
    </row>
    <row r="8" customFormat="false" ht="17.15" hidden="false" customHeight="false" outlineLevel="0" collapsed="false">
      <c r="A8" s="3" t="s">
        <v>804</v>
      </c>
      <c r="B8" s="0" t="str">
        <f aca="false">TEXT(cap_adj_hi,"0.00")&amp;"（基準 "&amp;TEXT(cap_adj,"0.00")&amp;"）"</f>
        <v>1.05（基準 1.00）</v>
      </c>
      <c r="C8" s="0" t="s">
        <v>77</v>
      </c>
      <c r="D8" s="23" t="n">
        <f aca="false">E423</f>
        <v>8.20813185933528</v>
      </c>
      <c r="E8" s="23" t="n">
        <f aca="false">F423</f>
        <v>9.47172735177904</v>
      </c>
      <c r="F8" s="21" t="n">
        <f aca="false">E8/E$4-1</f>
        <v>0.0761486969847305</v>
      </c>
      <c r="G8" s="23" t="n">
        <f aca="false">(tp_wA*MAX(0,E423*(1-MIN(tp_g/tp_roe,0.8))/(1+tp_r)^1+F423*(1-MIN(tp_g/tp_roe,0.8))/(1+tp_r)^2+G423*(1-MIN(tp_g/tp_roe,0.8))/(1+tp_r)^3+H423*(1-MIN(tp_g/tp_roe,0.8))/(1+tp_r)^4+I423*(1-MIN(tp_g/tp_roe,0.8))/(1+tp_r)^5+J423*(1-MIN(tp_g/tp_roe,0.8))/(1+tp_r)^6+J423*(1-MIN(tp_g/tp_roe,0.8))*(1+tp_g)/(tp_r-tp_g)/(1+tp_r)^6)+tp_wB*MAX(0,E462*(1-MIN(tp_g/tp_roe,0.8))/(1+tp_r)^1+F462*(1-MIN(tp_g/tp_roe,0.8))/(1+tp_r)^2+G462*(1-MIN(tp_g/tp_roe,0.8))/(1+tp_r)^3+H462*(1-MIN(tp_g/tp_roe,0.8))/(1+tp_r)^4+I462*(1-MIN(tp_g/tp_roe,0.8))/(1+tp_r)^5+J462*(1-MIN(tp_g/tp_roe,0.8))/(1+tp_r)^6+J462*(1-MIN(tp_g/tp_roe,0.8))*(1+tp_g)/(tp_r-tp_g)/(1+tp_r)^6)+tp_wC*MAX(0,E501*(1-MIN(tp_g/tp_roe,0.8))/(1+tp_r)^1+F501*(1-MIN(tp_g/tp_roe,0.8))/(1+tp_r)^2+G501*(1-MIN(tp_g/tp_roe,0.8))/(1+tp_r)^3+H501*(1-MIN(tp_g/tp_roe,0.8))/(1+tp_r)^4+I501*(1-MIN(tp_g/tp_roe,0.8))/(1+tp_r)^5+J501*(1-MIN(tp_g/tp_roe,0.8))/(1+tp_r)^6+J501*(1-MIN(tp_g/tp_roe,0.8))*(1+tp_g)/(tp_r-tp_g)/(1+tp_r)^6))*(1+tp_r)</f>
        <v>89.5002685794725</v>
      </c>
      <c r="H8" s="23" t="n">
        <f aca="false">Val!$B$33*(tp_wA*(2/12*E423+10/12*F423)+tp_wB*(2/12*E462+10/12*F462)+tp_wC*(2/12*E501+10/12*F501))*rm_factor</f>
        <v>76.7752460149819</v>
      </c>
      <c r="I8" s="23" t="n">
        <f aca="false">tp_w_dcf*G8+(1-tp_w_dcf)*H8</f>
        <v>83.1377572972272</v>
      </c>
      <c r="J8" s="21" t="n">
        <f aca="false">I8/I$4-1</f>
        <v>0.0881373756349868</v>
      </c>
    </row>
    <row r="9" customFormat="false" ht="17.15" hidden="false" customHeight="false" outlineLevel="0" collapsed="false">
      <c r="A9" s="3" t="s">
        <v>805</v>
      </c>
      <c r="B9" s="0" t="str">
        <f aca="false">TEXT(ut_adj_lo,"0.0%")&amp;"（基準 "&amp;TEXT(ut_adj,"0.0%")&amp;"）"</f>
        <v>-3.0%（基準 0.0%）</v>
      </c>
      <c r="C9" s="0" t="s">
        <v>102</v>
      </c>
      <c r="D9" s="23" t="n">
        <f aca="false">E540</f>
        <v>7.21837210503815</v>
      </c>
      <c r="E9" s="23" t="n">
        <f aca="false">F540</f>
        <v>8.37364414643004</v>
      </c>
      <c r="F9" s="21" t="n">
        <f aca="false">E9/E$4-1</f>
        <v>-0.0486121588474625</v>
      </c>
      <c r="G9" s="23" t="n">
        <f aca="false">(tp_wA*MAX(0,E540*(1-MIN(tp_g/tp_roe,0.8))/(1+tp_r)^1+F540*(1-MIN(tp_g/tp_roe,0.8))/(1+tp_r)^2+G540*(1-MIN(tp_g/tp_roe,0.8))/(1+tp_r)^3+H540*(1-MIN(tp_g/tp_roe,0.8))/(1+tp_r)^4+I540*(1-MIN(tp_g/tp_roe,0.8))/(1+tp_r)^5+J540*(1-MIN(tp_g/tp_roe,0.8))/(1+tp_r)^6+J540*(1-MIN(tp_g/tp_roe,0.8))*(1+tp_g)/(tp_r-tp_g)/(1+tp_r)^6)+tp_wB*MAX(0,E579*(1-MIN(tp_g/tp_roe,0.8))/(1+tp_r)^1+F579*(1-MIN(tp_g/tp_roe,0.8))/(1+tp_r)^2+G579*(1-MIN(tp_g/tp_roe,0.8))/(1+tp_r)^3+H579*(1-MIN(tp_g/tp_roe,0.8))/(1+tp_r)^4+I579*(1-MIN(tp_g/tp_roe,0.8))/(1+tp_r)^5+J579*(1-MIN(tp_g/tp_roe,0.8))/(1+tp_r)^6+J579*(1-MIN(tp_g/tp_roe,0.8))*(1+tp_g)/(tp_r-tp_g)/(1+tp_r)^6)+tp_wC*MAX(0,E618*(1-MIN(tp_g/tp_roe,0.8))/(1+tp_r)^1+F618*(1-MIN(tp_g/tp_roe,0.8))/(1+tp_r)^2+G618*(1-MIN(tp_g/tp_roe,0.8))/(1+tp_r)^3+H618*(1-MIN(tp_g/tp_roe,0.8))/(1+tp_r)^4+I618*(1-MIN(tp_g/tp_roe,0.8))/(1+tp_r)^5+J618*(1-MIN(tp_g/tp_roe,0.8))/(1+tp_r)^6+J618*(1-MIN(tp_g/tp_roe,0.8))*(1+tp_g)/(tp_r-tp_g)/(1+tp_r)^6))*(1+tp_r)</f>
        <v>77.7106105525921</v>
      </c>
      <c r="H9" s="23" t="n">
        <f aca="false">Val!$B$33*(tp_wA*(2/12*E540+10/12*F540)+tp_wB*(2/12*E579+10/12*F579)+tp_wC*(2/12*E618+10/12*F618))*rm_factor</f>
        <v>65.9378180654927</v>
      </c>
      <c r="I9" s="23" t="n">
        <f aca="false">tp_w_dcf*G9+(1-tp_w_dcf)*H9</f>
        <v>71.8242143090424</v>
      </c>
      <c r="J9" s="21" t="n">
        <f aca="false">I9/I$4-1</f>
        <v>-0.0599384129899683</v>
      </c>
    </row>
    <row r="10" customFormat="false" ht="17.15" hidden="false" customHeight="false" outlineLevel="0" collapsed="false">
      <c r="A10" s="3" t="s">
        <v>806</v>
      </c>
      <c r="B10" s="0" t="str">
        <f aca="false">TEXT(ut_adj_hi,"0.0%")&amp;"（基準 "&amp;TEXT(ut_adj,"0.0%")&amp;"）"</f>
        <v>3.0%（基準 0.0%）</v>
      </c>
      <c r="C10" s="0" t="s">
        <v>102</v>
      </c>
      <c r="D10" s="23" t="n">
        <f aca="false">E657</f>
        <v>7.98463772126819</v>
      </c>
      <c r="E10" s="23" t="n">
        <f aca="false">F657</f>
        <v>9.22934206343852</v>
      </c>
      <c r="F10" s="21" t="n">
        <f aca="false">E10/E$4-1</f>
        <v>0.0486096217423535</v>
      </c>
      <c r="G10" s="23" t="n">
        <f aca="false">(tp_wA*MAX(0,E657*(1-MIN(tp_g/tp_roe,0.8))/(1+tp_r)^1+F657*(1-MIN(tp_g/tp_roe,0.8))/(1+tp_r)^2+G657*(1-MIN(tp_g/tp_roe,0.8))/(1+tp_r)^3+H657*(1-MIN(tp_g/tp_roe,0.8))/(1+tp_r)^4+I657*(1-MIN(tp_g/tp_roe,0.8))/(1+tp_r)^5+J657*(1-MIN(tp_g/tp_roe,0.8))/(1+tp_r)^6+J657*(1-MIN(tp_g/tp_roe,0.8))*(1+tp_g)/(tp_r-tp_g)/(1+tp_r)^6)+tp_wB*MAX(0,E696*(1-MIN(tp_g/tp_roe,0.8))/(1+tp_r)^1+F696*(1-MIN(tp_g/tp_roe,0.8))/(1+tp_r)^2+G696*(1-MIN(tp_g/tp_roe,0.8))/(1+tp_r)^3+H696*(1-MIN(tp_g/tp_roe,0.8))/(1+tp_r)^4+I696*(1-MIN(tp_g/tp_roe,0.8))/(1+tp_r)^5+J696*(1-MIN(tp_g/tp_roe,0.8))/(1+tp_r)^6+J696*(1-MIN(tp_g/tp_roe,0.8))*(1+tp_g)/(tp_r-tp_g)/(1+tp_r)^6)+tp_wC*MAX(0,E735*(1-MIN(tp_g/tp_roe,0.8))/(1+tp_r)^1+F735*(1-MIN(tp_g/tp_roe,0.8))/(1+tp_r)^2+G735*(1-MIN(tp_g/tp_roe,0.8))/(1+tp_r)^3+H735*(1-MIN(tp_g/tp_roe,0.8))/(1+tp_r)^4+I735*(1-MIN(tp_g/tp_roe,0.8))/(1+tp_r)^5+J735*(1-MIN(tp_g/tp_roe,0.8))/(1+tp_r)^6+J735*(1-MIN(tp_g/tp_roe,0.8))*(1+tp_g)/(tp_r-tp_g)/(1+tp_r)^6))*(1+tp_r)</f>
        <v>87.2209343551679</v>
      </c>
      <c r="H10" s="23" t="n">
        <f aca="false">Val!$B$33*(tp_wA*(2/12*E657+10/12*F657)+tp_wB*(2/12*E696+10/12*F696)+tp_wC*(2/12*E735+10/12*F735))*rm_factor</f>
        <v>74.7390176551474</v>
      </c>
      <c r="I10" s="23" t="n">
        <f aca="false">tp_w_dcf*G10+(1-tp_w_dcf)*H10</f>
        <v>80.9799760051576</v>
      </c>
      <c r="J10" s="21" t="n">
        <f aca="false">I10/I$4-1</f>
        <v>0.0598955448630476</v>
      </c>
    </row>
    <row r="11" customFormat="false" ht="17.15" hidden="false" customHeight="false" outlineLevel="0" collapsed="false">
      <c r="A11" s="3" t="s">
        <v>807</v>
      </c>
      <c r="B11" s="0" t="str">
        <f aca="false">TEXT(asp_adj_lo,"0.0%")&amp;"（基準 "&amp;TEXT(asp_adj,"0.0%")&amp;"）"</f>
        <v>-3.0%（基準 0.0%）</v>
      </c>
      <c r="C11" s="0" t="s">
        <v>132</v>
      </c>
      <c r="D11" s="23" t="n">
        <f aca="false">E774</f>
        <v>6.93581361210633</v>
      </c>
      <c r="E11" s="23" t="n">
        <f aca="false">F774</f>
        <v>8.07350673094504</v>
      </c>
      <c r="F11" s="21" t="n">
        <f aca="false">E11/E$4-1</f>
        <v>-0.0827128541688796</v>
      </c>
      <c r="G11" s="23" t="n">
        <f aca="false">(tp_wA*MAX(0,E774*(1-MIN(tp_g/tp_roe,0.8))/(1+tp_r)^1+F774*(1-MIN(tp_g/tp_roe,0.8))/(1+tp_r)^2+G774*(1-MIN(tp_g/tp_roe,0.8))/(1+tp_r)^3+H774*(1-MIN(tp_g/tp_roe,0.8))/(1+tp_r)^4+I774*(1-MIN(tp_g/tp_roe,0.8))/(1+tp_r)^5+J774*(1-MIN(tp_g/tp_roe,0.8))/(1+tp_r)^6+J774*(1-MIN(tp_g/tp_roe,0.8))*(1+tp_g)/(tp_r-tp_g)/(1+tp_r)^6)+tp_wB*MAX(0,E813*(1-MIN(tp_g/tp_roe,0.8))/(1+tp_r)^1+F813*(1-MIN(tp_g/tp_roe,0.8))/(1+tp_r)^2+G813*(1-MIN(tp_g/tp_roe,0.8))/(1+tp_r)^3+H813*(1-MIN(tp_g/tp_roe,0.8))/(1+tp_r)^4+I813*(1-MIN(tp_g/tp_roe,0.8))/(1+tp_r)^5+J813*(1-MIN(tp_g/tp_roe,0.8))/(1+tp_r)^6+J813*(1-MIN(tp_g/tp_roe,0.8))*(1+tp_g)/(tp_r-tp_g)/(1+tp_r)^6)+tp_wC*MAX(0,E852*(1-MIN(tp_g/tp_roe,0.8))/(1+tp_r)^1+F852*(1-MIN(tp_g/tp_roe,0.8))/(1+tp_r)^2+G852*(1-MIN(tp_g/tp_roe,0.8))/(1+tp_r)^3+H852*(1-MIN(tp_g/tp_roe,0.8))/(1+tp_r)^4+I852*(1-MIN(tp_g/tp_roe,0.8))/(1+tp_r)^5+J852*(1-MIN(tp_g/tp_roe,0.8))/(1+tp_r)^6+J852*(1-MIN(tp_g/tp_roe,0.8))*(1+tp_g)/(tp_r-tp_g)/(1+tp_r)^6))*(1+tp_r)</f>
        <v>74.2746903154907</v>
      </c>
      <c r="H11" s="23" t="n">
        <f aca="false">Val!$B$33*(tp_wA*(2/12*E774+10/12*F774)+tp_wB*(2/12*E813+10/12*F813)+tp_wC*(2/12*E852+10/12*F852))*rm_factor</f>
        <v>62.9811588413244</v>
      </c>
      <c r="I11" s="23" t="n">
        <f aca="false">tp_w_dcf*G11+(1-tp_w_dcf)*H11</f>
        <v>68.6279245784075</v>
      </c>
      <c r="J11" s="21" t="n">
        <f aca="false">I11/I$4-1</f>
        <v>-0.101772622046484</v>
      </c>
    </row>
    <row r="12" customFormat="false" ht="17.15" hidden="false" customHeight="false" outlineLevel="0" collapsed="false">
      <c r="A12" s="3" t="s">
        <v>808</v>
      </c>
      <c r="B12" s="0" t="str">
        <f aca="false">TEXT(asp_adj_hi,"0.0%")&amp;"（基準 "&amp;TEXT(asp_adj,"0.0%")&amp;"）"</f>
        <v>3.0%（基準 0.0%）</v>
      </c>
      <c r="C12" s="0" t="s">
        <v>132</v>
      </c>
      <c r="D12" s="23" t="n">
        <f aca="false">E891</f>
        <v>8.26719621420001</v>
      </c>
      <c r="E12" s="23" t="n">
        <f aca="false">F891</f>
        <v>9.52947276058504</v>
      </c>
      <c r="F12" s="21" t="n">
        <f aca="false">E12/E$4-1</f>
        <v>0.0827095537466969</v>
      </c>
      <c r="G12" s="23" t="n">
        <f aca="false">(tp_wA*MAX(0,E891*(1-MIN(tp_g/tp_roe,0.8))/(1+tp_r)^1+F891*(1-MIN(tp_g/tp_roe,0.8))/(1+tp_r)^2+G891*(1-MIN(tp_g/tp_roe,0.8))/(1+tp_r)^3+H891*(1-MIN(tp_g/tp_roe,0.8))/(1+tp_r)^4+I891*(1-MIN(tp_g/tp_roe,0.8))/(1+tp_r)^5+J891*(1-MIN(tp_g/tp_roe,0.8))/(1+tp_r)^6+J891*(1-MIN(tp_g/tp_roe,0.8))*(1+tp_g)/(tp_r-tp_g)/(1+tp_r)^6)+tp_wB*MAX(0,E930*(1-MIN(tp_g/tp_roe,0.8))/(1+tp_r)^1+F930*(1-MIN(tp_g/tp_roe,0.8))/(1+tp_r)^2+G930*(1-MIN(tp_g/tp_roe,0.8))/(1+tp_r)^3+H930*(1-MIN(tp_g/tp_roe,0.8))/(1+tp_r)^4+I930*(1-MIN(tp_g/tp_roe,0.8))/(1+tp_r)^5+J930*(1-MIN(tp_g/tp_roe,0.8))/(1+tp_r)^6+J930*(1-MIN(tp_g/tp_roe,0.8))*(1+tp_g)/(tp_r-tp_g)/(1+tp_r)^6)+tp_wC*MAX(0,E969*(1-MIN(tp_g/tp_roe,0.8))/(1+tp_r)^1+F969*(1-MIN(tp_g/tp_roe,0.8))/(1+tp_r)^2+G969*(1-MIN(tp_g/tp_roe,0.8))/(1+tp_r)^3+H969*(1-MIN(tp_g/tp_roe,0.8))/(1+tp_r)^4+I969*(1-MIN(tp_g/tp_roe,0.8))/(1+tp_r)^5+J969*(1-MIN(tp_g/tp_roe,0.8))/(1+tp_r)^6+J969*(1-MIN(tp_g/tp_roe,0.8))*(1+tp_g)/(tp_r-tp_g)/(1+tp_r)^6))*(1+tp_r)</f>
        <v>90.6538552580056</v>
      </c>
      <c r="H12" s="23" t="n">
        <f aca="false">Val!$B$33*(tp_wA*(2/12*E891+10/12*F891)+tp_wB*(2/12*E930+10/12*F930)+tp_wC*(2/12*E969+10/12*F969))*rm_factor</f>
        <v>77.6956572197776</v>
      </c>
      <c r="I12" s="23" t="n">
        <f aca="false">tp_w_dcf*G12+(1-tp_w_dcf)*H12</f>
        <v>84.1747562388916</v>
      </c>
      <c r="J12" s="21" t="n">
        <f aca="false">I12/I$4-1</f>
        <v>0.101709997072017</v>
      </c>
    </row>
    <row r="13" customFormat="false" ht="17.15" hidden="false" customHeight="false" outlineLevel="0" collapsed="false">
      <c r="A13" s="3" t="s">
        <v>809</v>
      </c>
      <c r="B13" s="0" t="str">
        <f aca="false">TEXT(dag_adj_lo,"0.0%")&amp;"（基準 "&amp;TEXT(dag_adj,"0.0%")&amp;"）"</f>
        <v>-5.0%（基準 0.0%）</v>
      </c>
      <c r="C13" s="0" t="s">
        <v>196</v>
      </c>
      <c r="D13" s="23" t="n">
        <f aca="false">E1008</f>
        <v>7.79325672038209</v>
      </c>
      <c r="E13" s="23" t="n">
        <f aca="false">F1008</f>
        <v>9.21760569179175</v>
      </c>
      <c r="F13" s="21" t="n">
        <f aca="false">E13/E$4-1</f>
        <v>0.0472761710858984</v>
      </c>
      <c r="G13" s="23" t="n">
        <f aca="false">(tp_wA*MAX(0,E1008*(1-MIN(tp_g/tp_roe,0.8))/(1+tp_r)^1+F1008*(1-MIN(tp_g/tp_roe,0.8))/(1+tp_r)^2+G1008*(1-MIN(tp_g/tp_roe,0.8))/(1+tp_r)^3+H1008*(1-MIN(tp_g/tp_roe,0.8))/(1+tp_r)^4+I1008*(1-MIN(tp_g/tp_roe,0.8))/(1+tp_r)^5+J1008*(1-MIN(tp_g/tp_roe,0.8))/(1+tp_r)^6+J1008*(1-MIN(tp_g/tp_roe,0.8))*(1+tp_g)/(tp_r-tp_g)/(1+tp_r)^6)+tp_wB*MAX(0,E1047*(1-MIN(tp_g/tp_roe,0.8))/(1+tp_r)^1+F1047*(1-MIN(tp_g/tp_roe,0.8))/(1+tp_r)^2+G1047*(1-MIN(tp_g/tp_roe,0.8))/(1+tp_r)^3+H1047*(1-MIN(tp_g/tp_roe,0.8))/(1+tp_r)^4+I1047*(1-MIN(tp_g/tp_roe,0.8))/(1+tp_r)^5+J1047*(1-MIN(tp_g/tp_roe,0.8))/(1+tp_r)^6+J1047*(1-MIN(tp_g/tp_roe,0.8))*(1+tp_g)/(tp_r-tp_g)/(1+tp_r)^6)+tp_wC*MAX(0,E1086*(1-MIN(tp_g/tp_roe,0.8))/(1+tp_r)^1+F1086*(1-MIN(tp_g/tp_roe,0.8))/(1+tp_r)^2+G1086*(1-MIN(tp_g/tp_roe,0.8))/(1+tp_r)^3+H1086*(1-MIN(tp_g/tp_roe,0.8))/(1+tp_r)^4+I1086*(1-MIN(tp_g/tp_roe,0.8))/(1+tp_r)^5+J1086*(1-MIN(tp_g/tp_roe,0.8))/(1+tp_r)^6+J1086*(1-MIN(tp_g/tp_roe,0.8))*(1+tp_g)/(tp_r-tp_g)/(1+tp_r)^6))*(1+tp_r)</f>
        <v>89.9787205121067</v>
      </c>
      <c r="H13" s="23" t="n">
        <f aca="false">Val!$B$33*(tp_wA*(2/12*E1008+10/12*F1008)+tp_wB*(2/12*E1047+10/12*F1047)+tp_wC*(2/12*E1086+10/12*F1086))*rm_factor</f>
        <v>74.7712489670394</v>
      </c>
      <c r="I13" s="23" t="n">
        <f aca="false">tp_w_dcf*G13+(1-tp_w_dcf)*H13</f>
        <v>82.3749847395731</v>
      </c>
      <c r="J13" s="21" t="n">
        <f aca="false">I13/I$4-1</f>
        <v>0.0781539294118125</v>
      </c>
    </row>
    <row r="14" customFormat="false" ht="17.15" hidden="false" customHeight="false" outlineLevel="0" collapsed="false">
      <c r="A14" s="3" t="s">
        <v>810</v>
      </c>
      <c r="B14" s="0" t="str">
        <f aca="false">TEXT(dag_adj_hi,"0.0%")&amp;"（基準 "&amp;TEXT(dag_adj,"0.0%")&amp;"）"</f>
        <v>5.0%（基準 0.0%）</v>
      </c>
      <c r="C14" s="0" t="s">
        <v>196</v>
      </c>
      <c r="D14" s="23" t="n">
        <f aca="false">E1125</f>
        <v>7.40975310592426</v>
      </c>
      <c r="E14" s="23" t="n">
        <f aca="false">F1125</f>
        <v>8.36622766769537</v>
      </c>
      <c r="F14" s="21" t="n">
        <f aca="false">E14/E$4-1</f>
        <v>-0.0494547964815616</v>
      </c>
      <c r="G14" s="23" t="n">
        <f aca="false">(tp_wA*MAX(0,E1125*(1-MIN(tp_g/tp_roe,0.8))/(1+tp_r)^1+F1125*(1-MIN(tp_g/tp_roe,0.8))/(1+tp_r)^2+G1125*(1-MIN(tp_g/tp_roe,0.8))/(1+tp_r)^3+H1125*(1-MIN(tp_g/tp_roe,0.8))/(1+tp_r)^4+I1125*(1-MIN(tp_g/tp_roe,0.8))/(1+tp_r)^5+J1125*(1-MIN(tp_g/tp_roe,0.8))/(1+tp_r)^6+J1125*(1-MIN(tp_g/tp_roe,0.8))*(1+tp_g)/(tp_r-tp_g)/(1+tp_r)^6)+tp_wB*MAX(0,E1164*(1-MIN(tp_g/tp_roe,0.8))/(1+tp_r)^1+F1164*(1-MIN(tp_g/tp_roe,0.8))/(1+tp_r)^2+G1164*(1-MIN(tp_g/tp_roe,0.8))/(1+tp_r)^3+H1164*(1-MIN(tp_g/tp_roe,0.8))/(1+tp_r)^4+I1164*(1-MIN(tp_g/tp_roe,0.8))/(1+tp_r)^5+J1164*(1-MIN(tp_g/tp_roe,0.8))/(1+tp_r)^6+J1164*(1-MIN(tp_g/tp_roe,0.8))*(1+tp_g)/(tp_r-tp_g)/(1+tp_r)^6)+tp_wC*MAX(0,E1203*(1-MIN(tp_g/tp_roe,0.8))/(1+tp_r)^1+F1203*(1-MIN(tp_g/tp_roe,0.8))/(1+tp_r)^2+G1203*(1-MIN(tp_g/tp_roe,0.8))/(1+tp_r)^3+H1203*(1-MIN(tp_g/tp_roe,0.8))/(1+tp_r)^4+I1203*(1-MIN(tp_g/tp_roe,0.8))/(1+tp_r)^5+J1203*(1-MIN(tp_g/tp_roe,0.8))/(1+tp_r)^6+J1203*(1-MIN(tp_g/tp_roe,0.8))*(1+tp_g)/(tp_r-tp_g)/(1+tp_r)^6))*(1+tp_r)</f>
        <v>74.2707696055783</v>
      </c>
      <c r="H14" s="23" t="n">
        <f aca="false">Val!$B$33*(tp_wA*(2/12*E1125+10/12*F1125)+tp_wB*(2/12*E1164+10/12*F1164)+tp_wC*(2/12*E1203+10/12*F1203))*rm_factor</f>
        <v>65.7186141891277</v>
      </c>
      <c r="I14" s="23" t="n">
        <f aca="false">tp_w_dcf*G14+(1-tp_w_dcf)*H14</f>
        <v>69.994691897353</v>
      </c>
      <c r="J14" s="21" t="n">
        <f aca="false">I14/I$4-1</f>
        <v>-0.0838838714728553</v>
      </c>
    </row>
    <row r="15" customFormat="false" ht="17.15" hidden="false" customHeight="false" outlineLevel="0" collapsed="false">
      <c r="A15" s="3" t="s">
        <v>811</v>
      </c>
      <c r="B15" s="0" t="str">
        <f aca="false">TEXT(cc_g_lo,"0.0%")&amp;"（基準 "&amp;TEXT(cc_g,"0.0%")&amp;"）"</f>
        <v>0.0%（基準 2.0%）</v>
      </c>
      <c r="C15" s="0" t="s">
        <v>199</v>
      </c>
      <c r="D15" s="23" t="n">
        <f aca="false">E1242</f>
        <v>7.79870434670714</v>
      </c>
      <c r="E15" s="23" t="n">
        <f aca="false">F1242</f>
        <v>9.22324452730767</v>
      </c>
      <c r="F15" s="21" t="n">
        <f aca="false">E15/E$4-1</f>
        <v>0.0479168383335495</v>
      </c>
      <c r="G15" s="23" t="n">
        <f aca="false">(tp_wA*MAX(0,E1242*(1-MIN(tp_g/tp_roe,0.8))/(1+tp_r)^1+F1242*(1-MIN(tp_g/tp_roe,0.8))/(1+tp_r)^2+G1242*(1-MIN(tp_g/tp_roe,0.8))/(1+tp_r)^3+H1242*(1-MIN(tp_g/tp_roe,0.8))/(1+tp_r)^4+I1242*(1-MIN(tp_g/tp_roe,0.8))/(1+tp_r)^5+J1242*(1-MIN(tp_g/tp_roe,0.8))/(1+tp_r)^6+J1242*(1-MIN(tp_g/tp_roe,0.8))*(1+tp_g)/(tp_r-tp_g)/(1+tp_r)^6)+tp_wB*MAX(0,E1281*(1-MIN(tp_g/tp_roe,0.8))/(1+tp_r)^1+F1281*(1-MIN(tp_g/tp_roe,0.8))/(1+tp_r)^2+G1281*(1-MIN(tp_g/tp_roe,0.8))/(1+tp_r)^3+H1281*(1-MIN(tp_g/tp_roe,0.8))/(1+tp_r)^4+I1281*(1-MIN(tp_g/tp_roe,0.8))/(1+tp_r)^5+J1281*(1-MIN(tp_g/tp_roe,0.8))/(1+tp_r)^6+J1281*(1-MIN(tp_g/tp_roe,0.8))*(1+tp_g)/(tp_r-tp_g)/(1+tp_r)^6)+tp_wC*MAX(0,E1320*(1-MIN(tp_g/tp_roe,0.8))/(1+tp_r)^1+F1320*(1-MIN(tp_g/tp_roe,0.8))/(1+tp_r)^2+G1320*(1-MIN(tp_g/tp_roe,0.8))/(1+tp_r)^3+H1320*(1-MIN(tp_g/tp_roe,0.8))/(1+tp_r)^4+I1320*(1-MIN(tp_g/tp_roe,0.8))/(1+tp_r)^5+J1320*(1-MIN(tp_g/tp_roe,0.8))/(1+tp_r)^6+J1320*(1-MIN(tp_g/tp_roe,0.8))*(1+tp_g)/(tp_r-tp_g)/(1+tp_r)^6))*(1+tp_r)</f>
        <v>89.7171562769531</v>
      </c>
      <c r="H15" s="23" t="n">
        <f aca="false">Val!$B$33*(tp_wA*(2/12*E1242+10/12*F1242)+tp_wB*(2/12*E1281+10/12*F1281)+tp_wC*(2/12*E1320+10/12*F1320))*rm_factor</f>
        <v>74.505508522015</v>
      </c>
      <c r="I15" s="23" t="n">
        <f aca="false">tp_w_dcf*G15+(1-tp_w_dcf)*H15</f>
        <v>82.1113323994841</v>
      </c>
      <c r="J15" s="21" t="n">
        <f aca="false">I15/I$4-1</f>
        <v>0.0747031511523173</v>
      </c>
    </row>
    <row r="16" customFormat="false" ht="17.15" hidden="false" customHeight="false" outlineLevel="0" collapsed="false">
      <c r="A16" s="3" t="s">
        <v>812</v>
      </c>
      <c r="B16" s="0" t="str">
        <f aca="false">TEXT(cc_g_hi,"0.0%")&amp;"（基準 "&amp;TEXT(cc_g,"0.0%")&amp;"）"</f>
        <v>4.0%（基準 2.0%）</v>
      </c>
      <c r="C16" s="0" t="s">
        <v>199</v>
      </c>
      <c r="D16" s="23" t="n">
        <f aca="false">E1359</f>
        <v>7.4043054795992</v>
      </c>
      <c r="E16" s="23" t="n">
        <f aca="false">F1359</f>
        <v>8.3714127206805</v>
      </c>
      <c r="F16" s="21" t="n">
        <f aca="false">E16/E$4-1</f>
        <v>-0.0488656866173823</v>
      </c>
      <c r="G16" s="23" t="n">
        <f aca="false">(tp_wA*MAX(0,E1359*(1-MIN(tp_g/tp_roe,0.8))/(1+tp_r)^1+F1359*(1-MIN(tp_g/tp_roe,0.8))/(1+tp_r)^2+G1359*(1-MIN(tp_g/tp_roe,0.8))/(1+tp_r)^3+H1359*(1-MIN(tp_g/tp_roe,0.8))/(1+tp_r)^4+I1359*(1-MIN(tp_g/tp_roe,0.8))/(1+tp_r)^5+J1359*(1-MIN(tp_g/tp_roe,0.8))/(1+tp_r)^6+J1359*(1-MIN(tp_g/tp_roe,0.8))*(1+tp_g)/(tp_r-tp_g)/(1+tp_r)^6)+tp_wB*MAX(0,E1398*(1-MIN(tp_g/tp_roe,0.8))/(1+tp_r)^1+F1398*(1-MIN(tp_g/tp_roe,0.8))/(1+tp_r)^2+G1398*(1-MIN(tp_g/tp_roe,0.8))/(1+tp_r)^3+H1398*(1-MIN(tp_g/tp_roe,0.8))/(1+tp_r)^4+I1398*(1-MIN(tp_g/tp_roe,0.8))/(1+tp_r)^5+J1398*(1-MIN(tp_g/tp_roe,0.8))/(1+tp_r)^6+J1398*(1-MIN(tp_g/tp_roe,0.8))*(1+tp_g)/(tp_r-tp_g)/(1+tp_r)^6)+tp_wC*MAX(0,E1437*(1-MIN(tp_g/tp_roe,0.8))/(1+tp_r)^1+F1437*(1-MIN(tp_g/tp_roe,0.8))/(1+tp_r)^2+G1437*(1-MIN(tp_g/tp_roe,0.8))/(1+tp_r)^3+H1437*(1-MIN(tp_g/tp_roe,0.8))/(1+tp_r)^4+I1437*(1-MIN(tp_g/tp_roe,0.8))/(1+tp_r)^5+J1437*(1-MIN(tp_g/tp_roe,0.8))/(1+tp_r)^6+J1437*(1-MIN(tp_g/tp_roe,0.8))*(1+tp_g)/(tp_r-tp_g)/(1+tp_r)^6))*(1+tp_r)</f>
        <v>74.9414034387981</v>
      </c>
      <c r="H16" s="23" t="n">
        <f aca="false">Val!$B$33*(tp_wA*(2/12*E1359+10/12*F1359)+tp_wB*(2/12*E1398+10/12*F1398)+tp_wC*(2/12*E1437+10/12*F1437))*rm_factor</f>
        <v>66.0960854685209</v>
      </c>
      <c r="I16" s="23" t="n">
        <f aca="false">tp_w_dcf*G16+(1-tp_w_dcf)*H16</f>
        <v>70.5187444536595</v>
      </c>
      <c r="J16" s="21" t="n">
        <f aca="false">I16/I$4-1</f>
        <v>-0.0770248799405787</v>
      </c>
    </row>
    <row r="17" customFormat="false" ht="17.15" hidden="false" customHeight="false" outlineLevel="0" collapsed="false">
      <c r="A17" s="3" t="s">
        <v>813</v>
      </c>
      <c r="B17" s="0" t="str">
        <f aca="false">TEXT(phi_lo,"0.00")&amp;"（基準 "&amp;TEXT(phi,"0.00")&amp;"）"</f>
        <v>0.30（基準 0.50）</v>
      </c>
      <c r="C17" s="0" t="s">
        <v>203</v>
      </c>
      <c r="D17" s="23" t="n">
        <f aca="false">E1476</f>
        <v>7.70423522984987</v>
      </c>
      <c r="E17" s="23" t="n">
        <f aca="false">F1476</f>
        <v>8.96252699764712</v>
      </c>
      <c r="F17" s="21" t="n">
        <f aca="false">E17/E$4-1</f>
        <v>0.0182949098927372</v>
      </c>
      <c r="G17" s="23" t="n">
        <f aca="false">(tp_wA*MAX(0,E1476*(1-MIN(tp_g/tp_roe,0.8))/(1+tp_r)^1+F1476*(1-MIN(tp_g/tp_roe,0.8))/(1+tp_r)^2+G1476*(1-MIN(tp_g/tp_roe,0.8))/(1+tp_r)^3+H1476*(1-MIN(tp_g/tp_roe,0.8))/(1+tp_r)^4+I1476*(1-MIN(tp_g/tp_roe,0.8))/(1+tp_r)^5+J1476*(1-MIN(tp_g/tp_roe,0.8))/(1+tp_r)^6+J1476*(1-MIN(tp_g/tp_roe,0.8))*(1+tp_g)/(tp_r-tp_g)/(1+tp_r)^6)+tp_wB*MAX(0,E1515*(1-MIN(tp_g/tp_roe,0.8))/(1+tp_r)^1+F1515*(1-MIN(tp_g/tp_roe,0.8))/(1+tp_r)^2+G1515*(1-MIN(tp_g/tp_roe,0.8))/(1+tp_r)^3+H1515*(1-MIN(tp_g/tp_roe,0.8))/(1+tp_r)^4+I1515*(1-MIN(tp_g/tp_roe,0.8))/(1+tp_r)^5+J1515*(1-MIN(tp_g/tp_roe,0.8))/(1+tp_r)^6+J1515*(1-MIN(tp_g/tp_roe,0.8))*(1+tp_g)/(tp_r-tp_g)/(1+tp_r)^6)+tp_wC*MAX(0,E1554*(1-MIN(tp_g/tp_roe,0.8))/(1+tp_r)^1+F1554*(1-MIN(tp_g/tp_roe,0.8))/(1+tp_r)^2+G1554*(1-MIN(tp_g/tp_roe,0.8))/(1+tp_r)^3+H1554*(1-MIN(tp_g/tp_roe,0.8))/(1+tp_r)^4+I1554*(1-MIN(tp_g/tp_roe,0.8))/(1+tp_r)^5+J1554*(1-MIN(tp_g/tp_roe,0.8))/(1+tp_r)^6+J1554*(1-MIN(tp_g/tp_roe,0.8))*(1+tp_g)/(tp_r-tp_g)/(1+tp_r)^6))*(1+tp_r)</f>
        <v>84.0128303140348</v>
      </c>
      <c r="H17" s="23" t="n">
        <f aca="false">Val!$B$33*(tp_wA*(2/12*E1476+10/12*F1476)+tp_wB*(2/12*E1515+10/12*F1515)+tp_wC*(2/12*E1554+10/12*F1554))*rm_factor</f>
        <v>71.2099777664587</v>
      </c>
      <c r="I17" s="23" t="n">
        <f aca="false">tp_w_dcf*G17+(1-tp_w_dcf)*H17</f>
        <v>77.6114040402468</v>
      </c>
      <c r="J17" s="21" t="n">
        <f aca="false">I17/I$4-1</f>
        <v>0.015806442911076</v>
      </c>
    </row>
    <row r="18" customFormat="false" ht="17.15" hidden="false" customHeight="false" outlineLevel="0" collapsed="false">
      <c r="A18" s="3" t="s">
        <v>814</v>
      </c>
      <c r="B18" s="0" t="str">
        <f aca="false">TEXT(phi_hi,"0.00")&amp;"（基準 "&amp;TEXT(phi,"0.00")&amp;"）"</f>
        <v>0.80（基準 0.50）</v>
      </c>
      <c r="C18" s="0" t="s">
        <v>203</v>
      </c>
      <c r="D18" s="23" t="n">
        <f aca="false">E1593</f>
        <v>7.44740943810812</v>
      </c>
      <c r="E18" s="23" t="n">
        <f aca="false">F1593</f>
        <v>8.55007918378097</v>
      </c>
      <c r="F18" s="21" t="n">
        <f aca="false">E18/E$4-1</f>
        <v>-0.0285661494453876</v>
      </c>
      <c r="G18" s="23" t="n">
        <f aca="false">(tp_wA*MAX(0,E1593*(1-MIN(tp_g/tp_roe,0.8))/(1+tp_r)^1+F1593*(1-MIN(tp_g/tp_roe,0.8))/(1+tp_r)^2+G1593*(1-MIN(tp_g/tp_roe,0.8))/(1+tp_r)^3+H1593*(1-MIN(tp_g/tp_roe,0.8))/(1+tp_r)^4+I1593*(1-MIN(tp_g/tp_roe,0.8))/(1+tp_r)^5+J1593*(1-MIN(tp_g/tp_roe,0.8))/(1+tp_r)^6+J1593*(1-MIN(tp_g/tp_roe,0.8))*(1+tp_g)/(tp_r-tp_g)/(1+tp_r)^6)+tp_wB*MAX(0,E1632*(1-MIN(tp_g/tp_roe,0.8))/(1+tp_r)^1+F1632*(1-MIN(tp_g/tp_roe,0.8))/(1+tp_r)^2+G1632*(1-MIN(tp_g/tp_roe,0.8))/(1+tp_r)^3+H1632*(1-MIN(tp_g/tp_roe,0.8))/(1+tp_r)^4+I1632*(1-MIN(tp_g/tp_roe,0.8))/(1+tp_r)^5+J1632*(1-MIN(tp_g/tp_roe,0.8))/(1+tp_r)^6+J1632*(1-MIN(tp_g/tp_roe,0.8))*(1+tp_g)/(tp_r-tp_g)/(1+tp_r)^6)+tp_wC*MAX(0,E1671*(1-MIN(tp_g/tp_roe,0.8))/(1+tp_r)^1+F1671*(1-MIN(tp_g/tp_roe,0.8))/(1+tp_r)^2+G1671*(1-MIN(tp_g/tp_roe,0.8))/(1+tp_r)^3+H1671*(1-MIN(tp_g/tp_roe,0.8))/(1+tp_r)^4+I1671*(1-MIN(tp_g/tp_roe,0.8))/(1+tp_r)^5+J1671*(1-MIN(tp_g/tp_roe,0.8))/(1+tp_r)^6+J1671*(1-MIN(tp_g/tp_roe,0.8))*(1+tp_g)/(tp_r-tp_g)/(1+tp_r)^6))*(1+tp_r)</f>
        <v>79.8914219624458</v>
      </c>
      <c r="H18" s="23" t="n">
        <f aca="false">Val!$B$33*(tp_wA*(2/12*E1593+10/12*F1593)+tp_wB*(2/12*E1632+10/12*F1632)+tp_wC*(2/12*E1671+10/12*F1671))*rm_factor</f>
        <v>68.8883913936969</v>
      </c>
      <c r="I18" s="23" t="n">
        <f aca="false">tp_w_dcf*G18+(1-tp_w_dcf)*H18</f>
        <v>74.3899066780714</v>
      </c>
      <c r="J18" s="21" t="n">
        <f aca="false">I18/I$4-1</f>
        <v>-0.0263576928468835</v>
      </c>
    </row>
    <row r="19" customFormat="false" ht="17.15" hidden="false" customHeight="false" outlineLevel="0" collapsed="false">
      <c r="A19" s="3" t="s">
        <v>815</v>
      </c>
      <c r="B19" s="0" t="str">
        <f aca="false">TEXT(nonop_f_lo,"0.0")&amp;"（基準 "&amp;TEXT(nonop_f,"0.0")&amp;"）"</f>
        <v>2.0（基準 4.0）</v>
      </c>
      <c r="C19" s="0" t="s">
        <v>209</v>
      </c>
      <c r="D19" s="23" t="n">
        <f aca="false">E1710</f>
        <v>7.46495872841422</v>
      </c>
      <c r="E19" s="23" t="n">
        <f aca="false">F1710</f>
        <v>8.66495808536605</v>
      </c>
      <c r="F19" s="21" t="n">
        <f aca="false">E19/E$4-1</f>
        <v>-0.0155139599491814</v>
      </c>
      <c r="G19" s="23" t="n">
        <f aca="false">(tp_wA*MAX(0,E1710*(1-MIN(tp_g/tp_roe,0.8))/(1+tp_r)^1+F1710*(1-MIN(tp_g/tp_roe,0.8))/(1+tp_r)^2+G1710*(1-MIN(tp_g/tp_roe,0.8))/(1+tp_r)^3+H1710*(1-MIN(tp_g/tp_roe,0.8))/(1+tp_r)^4+I1710*(1-MIN(tp_g/tp_roe,0.8))/(1+tp_r)^5+J1710*(1-MIN(tp_g/tp_roe,0.8))/(1+tp_r)^6+J1710*(1-MIN(tp_g/tp_roe,0.8))*(1+tp_g)/(tp_r-tp_g)/(1+tp_r)^6)+tp_wB*MAX(0,E1749*(1-MIN(tp_g/tp_roe,0.8))/(1+tp_r)^1+F1749*(1-MIN(tp_g/tp_roe,0.8))/(1+tp_r)^2+G1749*(1-MIN(tp_g/tp_roe,0.8))/(1+tp_r)^3+H1749*(1-MIN(tp_g/tp_roe,0.8))/(1+tp_r)^4+I1749*(1-MIN(tp_g/tp_roe,0.8))/(1+tp_r)^5+J1749*(1-MIN(tp_g/tp_roe,0.8))/(1+tp_r)^6+J1749*(1-MIN(tp_g/tp_roe,0.8))*(1+tp_g)/(tp_r-tp_g)/(1+tp_r)^6)+tp_wC*MAX(0,E1788*(1-MIN(tp_g/tp_roe,0.8))/(1+tp_r)^1+F1788*(1-MIN(tp_g/tp_roe,0.8))/(1+tp_r)^2+G1788*(1-MIN(tp_g/tp_roe,0.8))/(1+tp_r)^3+H1788*(1-MIN(tp_g/tp_roe,0.8))/(1+tp_r)^4+I1788*(1-MIN(tp_g/tp_roe,0.8))/(1+tp_r)^5+J1788*(1-MIN(tp_g/tp_roe,0.8))/(1+tp_r)^6+J1788*(1-MIN(tp_g/tp_roe,0.8))*(1+tp_g)/(tp_r-tp_g)/(1+tp_r)^6))*(1+tp_r)</f>
        <v>80.8242984283379</v>
      </c>
      <c r="H19" s="23" t="n">
        <f aca="false">Val!$B$33*(tp_wA*(2/12*E1710+10/12*F1710)+tp_wB*(2/12*E1749+10/12*F1749)+tp_wC*(2/12*E1788+10/12*F1788))*rm_factor</f>
        <v>68.7401774400313</v>
      </c>
      <c r="I19" s="23" t="n">
        <f aca="false">tp_w_dcf*G19+(1-tp_w_dcf)*H19</f>
        <v>74.7822379341846</v>
      </c>
      <c r="J19" s="21" t="n">
        <f aca="false">I19/I$4-1</f>
        <v>-0.0212227178693842</v>
      </c>
    </row>
    <row r="20" customFormat="false" ht="17.15" hidden="false" customHeight="false" outlineLevel="0" collapsed="false">
      <c r="A20" s="3" t="s">
        <v>816</v>
      </c>
      <c r="B20" s="0" t="str">
        <f aca="false">TEXT(nonop_f_hi,"0.0")&amp;"（基準 "&amp;TEXT(nonop_f,"0.0")&amp;"）"</f>
        <v>8.0（基準 4.0）</v>
      </c>
      <c r="C20" s="0" t="s">
        <v>209</v>
      </c>
      <c r="D20" s="23" t="n">
        <f aca="false">E1827</f>
        <v>7.87459728263108</v>
      </c>
      <c r="E20" s="23" t="n">
        <f aca="false">F1827</f>
        <v>9.07459663958292</v>
      </c>
      <c r="F20" s="21" t="n">
        <f aca="false">E20/E$4-1</f>
        <v>0.0310279198983625</v>
      </c>
      <c r="G20" s="23" t="n">
        <f aca="false">(tp_wA*MAX(0,E1827*(1-MIN(tp_g/tp_roe,0.8))/(1+tp_r)^1+F1827*(1-MIN(tp_g/tp_roe,0.8))/(1+tp_r)^2+G1827*(1-MIN(tp_g/tp_roe,0.8))/(1+tp_r)^3+H1827*(1-MIN(tp_g/tp_roe,0.8))/(1+tp_r)^4+I1827*(1-MIN(tp_g/tp_roe,0.8))/(1+tp_r)^5+J1827*(1-MIN(tp_g/tp_roe,0.8))/(1+tp_r)^6+J1827*(1-MIN(tp_g/tp_roe,0.8))*(1+tp_g)/(tp_r-tp_g)/(1+tp_r)^6)+tp_wB*MAX(0,E1866*(1-MIN(tp_g/tp_roe,0.8))/(1+tp_r)^1+F1866*(1-MIN(tp_g/tp_roe,0.8))/(1+tp_r)^2+G1866*(1-MIN(tp_g/tp_roe,0.8))/(1+tp_r)^3+H1866*(1-MIN(tp_g/tp_roe,0.8))/(1+tp_r)^4+I1866*(1-MIN(tp_g/tp_roe,0.8))/(1+tp_r)^5+J1866*(1-MIN(tp_g/tp_roe,0.8))/(1+tp_r)^6+J1866*(1-MIN(tp_g/tp_roe,0.8))*(1+tp_g)/(tp_r-tp_g)/(1+tp_r)^6)+tp_wC*MAX(0,E1905*(1-MIN(tp_g/tp_roe,0.8))/(1+tp_r)^1+F1905*(1-MIN(tp_g/tp_roe,0.8))/(1+tp_r)^2+G1905*(1-MIN(tp_g/tp_roe,0.8))/(1+tp_r)^3+H1905*(1-MIN(tp_g/tp_roe,0.8))/(1+tp_r)^4+I1905*(1-MIN(tp_g/tp_roe,0.8))/(1+tp_r)^5+J1905*(1-MIN(tp_g/tp_roe,0.8))/(1+tp_r)^6+J1905*(1-MIN(tp_g/tp_roe,0.8))*(1+tp_g)/(tp_r-tp_g)/(1+tp_r)^6))*(1+tp_r)</f>
        <v>85.7584483434664</v>
      </c>
      <c r="H20" s="23" t="n">
        <f aca="false">Val!$B$33*(tp_wA*(2/12*E1827+10/12*F1827)+tp_wB*(2/12*E1866+10/12*F1866)+tp_wC*(2/12*E1905+10/12*F1905))*rm_factor</f>
        <v>73.5349967171398</v>
      </c>
      <c r="I20" s="23" t="n">
        <f aca="false">tp_w_dcf*G20+(1-tp_w_dcf)*H20</f>
        <v>79.6467225303031</v>
      </c>
      <c r="J20" s="21" t="n">
        <f aca="false">I20/I$4-1</f>
        <v>0.0424454357387685</v>
      </c>
    </row>
    <row r="21" customFormat="false" ht="17.15" hidden="false" customHeight="false" outlineLevel="0" collapsed="false">
      <c r="A21" s="3" t="s">
        <v>817</v>
      </c>
      <c r="B21" s="0" t="str">
        <f aca="false">TEXT(tax_lo,"0%")&amp;"（基準 "&amp;TEXT(tax,"0%")&amp;"）"</f>
        <v>12%（基準 15%）</v>
      </c>
      <c r="C21" s="0" t="s">
        <v>213</v>
      </c>
      <c r="D21" s="23" t="n">
        <f aca="false">E1944</f>
        <v>7.8697933218527</v>
      </c>
      <c r="E21" s="23" t="n">
        <f aca="false">F1944</f>
        <v>9.11214559728518</v>
      </c>
      <c r="F21" s="21" t="n">
        <f aca="false">E21/E$4-1</f>
        <v>0.0352941176470589</v>
      </c>
      <c r="G21" s="23" t="n">
        <f aca="false">(tp_wA*MAX(0,E1944*(1-MIN(tp_g/tp_roe,0.8))/(1+tp_r)^1+F1944*(1-MIN(tp_g/tp_roe,0.8))/(1+tp_r)^2+G1944*(1-MIN(tp_g/tp_roe,0.8))/(1+tp_r)^3+H1944*(1-MIN(tp_g/tp_roe,0.8))/(1+tp_r)^4+I1944*(1-MIN(tp_g/tp_roe,0.8))/(1+tp_r)^5+J1944*(1-MIN(tp_g/tp_roe,0.8))/(1+tp_r)^6+J1944*(1-MIN(tp_g/tp_roe,0.8))*(1+tp_g)/(tp_r-tp_g)/(1+tp_r)^6)+tp_wB*MAX(0,E1983*(1-MIN(tp_g/tp_roe,0.8))/(1+tp_r)^1+F1983*(1-MIN(tp_g/tp_roe,0.8))/(1+tp_r)^2+G1983*(1-MIN(tp_g/tp_roe,0.8))/(1+tp_r)^3+H1983*(1-MIN(tp_g/tp_roe,0.8))/(1+tp_r)^4+I1983*(1-MIN(tp_g/tp_roe,0.8))/(1+tp_r)^5+J1983*(1-MIN(tp_g/tp_roe,0.8))/(1+tp_r)^6+J1983*(1-MIN(tp_g/tp_roe,0.8))*(1+tp_g)/(tp_r-tp_g)/(1+tp_r)^6)+tp_wC*MAX(0,E2022*(1-MIN(tp_g/tp_roe,0.8))/(1+tp_r)^1+F2022*(1-MIN(tp_g/tp_roe,0.8))/(1+tp_r)^2+G2022*(1-MIN(tp_g/tp_roe,0.8))/(1+tp_r)^3+H2022*(1-MIN(tp_g/tp_roe,0.8))/(1+tp_r)^4+I2022*(1-MIN(tp_g/tp_roe,0.8))/(1+tp_r)^5+J2022*(1-MIN(tp_g/tp_roe,0.8))/(1+tp_r)^6+J2022*(1-MIN(tp_g/tp_roe,0.8))*(1+tp_g)/(tp_r-tp_g)/(1+tp_r)^6))*(1+tp_r)</f>
        <v>85.3796861867157</v>
      </c>
      <c r="H21" s="23" t="n">
        <f aca="false">Val!$B$33*(tp_wA*(2/12*E1944+10/12*F1944)+tp_wB*(2/12*E1983+10/12*F1983)+tp_wC*(2/12*E2022+10/12*F2022))*rm_factor</f>
        <v>72.8209840806032</v>
      </c>
      <c r="I21" s="23" t="n">
        <f aca="false">tp_w_dcf*G21+(1-tp_w_dcf)*H21</f>
        <v>79.1003351336595</v>
      </c>
      <c r="J21" s="21" t="n">
        <f aca="false">I21/I$4-1</f>
        <v>0.0352941176470587</v>
      </c>
    </row>
    <row r="22" customFormat="false" ht="17.15" hidden="false" customHeight="false" outlineLevel="0" collapsed="false">
      <c r="A22" s="3" t="s">
        <v>818</v>
      </c>
      <c r="B22" s="0" t="str">
        <f aca="false">TEXT(tax_hi,"0%")&amp;"（基準 "&amp;TEXT(tax,"0%")&amp;"）"</f>
        <v>20%（基準 15%）</v>
      </c>
      <c r="C22" s="0" t="s">
        <v>213</v>
      </c>
      <c r="D22" s="23" t="n">
        <f aca="false">E2061</f>
        <v>7.15435756532063</v>
      </c>
      <c r="E22" s="23" t="n">
        <f aca="false">F2061</f>
        <v>8.28376872480471</v>
      </c>
      <c r="F22" s="21" t="n">
        <f aca="false">E22/E$4-1</f>
        <v>-0.0588235294117646</v>
      </c>
      <c r="G22" s="23" t="n">
        <f aca="false">(tp_wA*MAX(0,E2061*(1-MIN(tp_g/tp_roe,0.8))/(1+tp_r)^1+F2061*(1-MIN(tp_g/tp_roe,0.8))/(1+tp_r)^2+G2061*(1-MIN(tp_g/tp_roe,0.8))/(1+tp_r)^3+H2061*(1-MIN(tp_g/tp_roe,0.8))/(1+tp_r)^4+I2061*(1-MIN(tp_g/tp_roe,0.8))/(1+tp_r)^5+J2061*(1-MIN(tp_g/tp_roe,0.8))/(1+tp_r)^6+J2061*(1-MIN(tp_g/tp_roe,0.8))*(1+tp_g)/(tp_r-tp_g)/(1+tp_r)^6)+tp_wB*MAX(0,E2100*(1-MIN(tp_g/tp_roe,0.8))/(1+tp_r)^1+F2100*(1-MIN(tp_g/tp_roe,0.8))/(1+tp_r)^2+G2100*(1-MIN(tp_g/tp_roe,0.8))/(1+tp_r)^3+H2100*(1-MIN(tp_g/tp_roe,0.8))/(1+tp_r)^4+I2100*(1-MIN(tp_g/tp_roe,0.8))/(1+tp_r)^5+J2100*(1-MIN(tp_g/tp_roe,0.8))/(1+tp_r)^6+J2100*(1-MIN(tp_g/tp_roe,0.8))*(1+tp_g)/(tp_r-tp_g)/(1+tp_r)^6)+tp_wC*MAX(0,E2139*(1-MIN(tp_g/tp_roe,0.8))/(1+tp_r)^1+F2139*(1-MIN(tp_g/tp_roe,0.8))/(1+tp_r)^2+G2139*(1-MIN(tp_g/tp_roe,0.8))/(1+tp_r)^3+H2139*(1-MIN(tp_g/tp_roe,0.8))/(1+tp_r)^4+I2139*(1-MIN(tp_g/tp_roe,0.8))/(1+tp_r)^5+J2139*(1-MIN(tp_g/tp_roe,0.8))/(1+tp_r)^6+J2139*(1-MIN(tp_g/tp_roe,0.8))*(1+tp_g)/(tp_r-tp_g)/(1+tp_r)^6))*(1+tp_r)</f>
        <v>77.617896533378</v>
      </c>
      <c r="H22" s="23" t="n">
        <f aca="false">Val!$B$33*(tp_wA*(2/12*E2061+10/12*F2061)+tp_wB*(2/12*E2100+10/12*F2100)+tp_wC*(2/12*E2139+10/12*F2139))*rm_factor</f>
        <v>66.2008946187302</v>
      </c>
      <c r="I22" s="23" t="n">
        <f aca="false">tp_w_dcf*G22+(1-tp_w_dcf)*H22</f>
        <v>71.9093955760541</v>
      </c>
      <c r="J22" s="21" t="n">
        <f aca="false">I22/I$4-1</f>
        <v>-0.0588235294117647</v>
      </c>
    </row>
    <row r="23" customFormat="false" ht="17.15" hidden="false" customHeight="false" outlineLevel="0" collapsed="false">
      <c r="A23" s="0" t="s">
        <v>819</v>
      </c>
      <c r="B23" s="0" t="str">
        <f aca="false">TEXT(ai_adj_lo,"0.00")&amp;"（基準 "&amp;TEXT(ai_adj,"0.00")&amp;"）"</f>
        <v>0.70（基準 1.00）</v>
      </c>
      <c r="C23" s="0" t="s">
        <v>154</v>
      </c>
      <c r="D23" s="23" t="n">
        <f aca="false">E2178</f>
        <v>7.47524922473365</v>
      </c>
      <c r="E23" s="23" t="n">
        <f aca="false">F2178</f>
        <v>8.61694261636586</v>
      </c>
      <c r="F23" s="21" t="n">
        <f aca="false">E23/E$4-1</f>
        <v>-0.020969330704755</v>
      </c>
      <c r="G23" s="23" t="n">
        <f aca="false">(tp_wA*MAX(0,E2178*(1-MIN(tp_g/tp_roe,0.8))/(1+tp_r)^1+F2178*(1-MIN(tp_g/tp_roe,0.8))/(1+tp_r)^2+G2178*(1-MIN(tp_g/tp_roe,0.8))/(1+tp_r)^3+H2178*(1-MIN(tp_g/tp_roe,0.8))/(1+tp_r)^4+I2178*(1-MIN(tp_g/tp_roe,0.8))/(1+tp_r)^5+J2178*(1-MIN(tp_g/tp_roe,0.8))/(1+tp_r)^6+J2178*(1-MIN(tp_g/tp_roe,0.8))*(1+tp_g)/(tp_r-tp_g)/(1+tp_r)^6)+tp_wB*MAX(0,E2217*(1-MIN(tp_g/tp_roe,0.8))/(1+tp_r)^1+F2217*(1-MIN(tp_g/tp_roe,0.8))/(1+tp_r)^2+G2217*(1-MIN(tp_g/tp_roe,0.8))/(1+tp_r)^3+H2217*(1-MIN(tp_g/tp_roe,0.8))/(1+tp_r)^4+I2217*(1-MIN(tp_g/tp_roe,0.8))/(1+tp_r)^5+J2217*(1-MIN(tp_g/tp_roe,0.8))/(1+tp_r)^6+J2217*(1-MIN(tp_g/tp_roe,0.8))*(1+tp_g)/(tp_r-tp_g)/(1+tp_r)^6)+tp_wC*MAX(0,E2256*(1-MIN(tp_g/tp_roe,0.8))/(1+tp_r)^1+F2256*(1-MIN(tp_g/tp_roe,0.8))/(1+tp_r)^2+G2256*(1-MIN(tp_g/tp_roe,0.8))/(1+tp_r)^3+H2256*(1-MIN(tp_g/tp_roe,0.8))/(1+tp_r)^4+I2256*(1-MIN(tp_g/tp_roe,0.8))/(1+tp_r)^5+J2256*(1-MIN(tp_g/tp_roe,0.8))/(1+tp_r)^6+J2256*(1-MIN(tp_g/tp_roe,0.8))*(1+tp_g)/(tp_r-tp_g)/(1+tp_r)^6))*(1+tp_r)</f>
        <v>79.6889461677817</v>
      </c>
      <c r="H23" s="23" t="n">
        <f aca="false">Val!$B$33*(tp_wA*(2/12*E2178+10/12*F2178)+tp_wB*(2/12*E2217+10/12*F2217)+tp_wC*(2/12*E2256+10/12*F2256))*rm_factor</f>
        <v>68.7615998088238</v>
      </c>
      <c r="I23" s="23" t="n">
        <f aca="false">tp_w_dcf*G23+(1-tp_w_dcf)*H23</f>
        <v>74.2252729883027</v>
      </c>
      <c r="J23" s="21" t="n">
        <f aca="false">I23/I$4-1</f>
        <v>-0.0285124787943259</v>
      </c>
    </row>
    <row r="24" customFormat="false" ht="17.15" hidden="false" customHeight="false" outlineLevel="0" collapsed="false">
      <c r="A24" s="0" t="s">
        <v>820</v>
      </c>
      <c r="B24" s="0" t="str">
        <f aca="false">TEXT(ai_adj_hi,"0.00")&amp;"（基準 "&amp;TEXT(ai_adj,"0.00")&amp;"）"</f>
        <v>1.30（基準 1.00）</v>
      </c>
      <c r="C24" s="0" t="s">
        <v>154</v>
      </c>
      <c r="D24" s="23" t="n">
        <f aca="false">E2295</f>
        <v>7.7277606015727</v>
      </c>
      <c r="E24" s="23" t="n">
        <f aca="false">F2295</f>
        <v>8.98611574996852</v>
      </c>
      <c r="F24" s="21" t="n">
        <f aca="false">E24/E$4-1</f>
        <v>0.0209749917966371</v>
      </c>
      <c r="G24" s="23" t="n">
        <f aca="false">(tp_wA*MAX(0,E2295*(1-MIN(tp_g/tp_roe,0.8))/(1+tp_r)^1+F2295*(1-MIN(tp_g/tp_roe,0.8))/(1+tp_r)^2+G2295*(1-MIN(tp_g/tp_roe,0.8))/(1+tp_r)^3+H2295*(1-MIN(tp_g/tp_roe,0.8))/(1+tp_r)^4+I2295*(1-MIN(tp_g/tp_roe,0.8))/(1+tp_r)^5+J2295*(1-MIN(tp_g/tp_roe,0.8))/(1+tp_r)^6+J2295*(1-MIN(tp_g/tp_roe,0.8))*(1+tp_g)/(tp_r-tp_g)/(1+tp_r)^6)+tp_wB*MAX(0,E2334*(1-MIN(tp_g/tp_roe,0.8))/(1+tp_r)^1+F2334*(1-MIN(tp_g/tp_roe,0.8))/(1+tp_r)^2+G2334*(1-MIN(tp_g/tp_roe,0.8))/(1+tp_r)^3+H2334*(1-MIN(tp_g/tp_roe,0.8))/(1+tp_r)^4+I2334*(1-MIN(tp_g/tp_roe,0.8))/(1+tp_r)^5+J2334*(1-MIN(tp_g/tp_roe,0.8))/(1+tp_r)^6+J2334*(1-MIN(tp_g/tp_roe,0.8))*(1+tp_g)/(tp_r-tp_g)/(1+tp_r)^6)+tp_wC*MAX(0,E2373*(1-MIN(tp_g/tp_roe,0.8))/(1+tp_r)^1+F2373*(1-MIN(tp_g/tp_roe,0.8))/(1+tp_r)^2+G2373*(1-MIN(tp_g/tp_roe,0.8))/(1+tp_r)^3+H2373*(1-MIN(tp_g/tp_roe,0.8))/(1+tp_r)^4+I2373*(1-MIN(tp_g/tp_roe,0.8))/(1+tp_r)^5+J2373*(1-MIN(tp_g/tp_roe,0.8))/(1+tp_r)^6+J2373*(1-MIN(tp_g/tp_roe,0.8))*(1+tp_g)/(tp_r-tp_g)/(1+tp_r)^6))*(1+tp_r)</f>
        <v>85.2615482718886</v>
      </c>
      <c r="H24" s="23" t="n">
        <f aca="false">Val!$B$33*(tp_wA*(2/12*E2295+10/12*F2295)+tp_wB*(2/12*E2334+10/12*F2334)+tp_wC*(2/12*E2373+10/12*F2373))*rm_factor</f>
        <v>71.9154470596743</v>
      </c>
      <c r="I24" s="23" t="n">
        <f aca="false">tp_w_dcf*G24+(1-tp_w_dcf)*H24</f>
        <v>78.5884976657815</v>
      </c>
      <c r="J24" s="21" t="n">
        <f aca="false">I24/I$4-1</f>
        <v>0.0285950016598753</v>
      </c>
    </row>
    <row r="25" customFormat="false" ht="17.15" hidden="false" customHeight="false" outlineLevel="0" collapsed="false">
      <c r="A25" s="3" t="s">
        <v>821</v>
      </c>
      <c r="B25" s="0" t="str">
        <f aca="false">TEXT(m_new_lo,"0%")&amp;"（基準 "&amp;TEXT(m_new,"0%")&amp;"）"</f>
        <v>35%（基準 45%）</v>
      </c>
      <c r="C25" s="0" t="s">
        <v>157</v>
      </c>
      <c r="D25" s="23" t="n">
        <f aca="false">E2412</f>
        <v>7.57155902716388</v>
      </c>
      <c r="E25" s="23" t="n">
        <f aca="false">F2412</f>
        <v>8.67573665084026</v>
      </c>
      <c r="F25" s="21" t="n">
        <f aca="false">E25/E$4-1</f>
        <v>-0.0142893323010623</v>
      </c>
      <c r="G25" s="23" t="n">
        <f aca="false">(tp_wA*MAX(0,E2412*(1-MIN(tp_g/tp_roe,0.8))/(1+tp_r)^1+F2412*(1-MIN(tp_g/tp_roe,0.8))/(1+tp_r)^2+G2412*(1-MIN(tp_g/tp_roe,0.8))/(1+tp_r)^3+H2412*(1-MIN(tp_g/tp_roe,0.8))/(1+tp_r)^4+I2412*(1-MIN(tp_g/tp_roe,0.8))/(1+tp_r)^5+J2412*(1-MIN(tp_g/tp_roe,0.8))/(1+tp_r)^6+J2412*(1-MIN(tp_g/tp_roe,0.8))*(1+tp_g)/(tp_r-tp_g)/(1+tp_r)^6)+tp_wB*MAX(0,E2451*(1-MIN(tp_g/tp_roe,0.8))/(1+tp_r)^1+F2451*(1-MIN(tp_g/tp_roe,0.8))/(1+tp_r)^2+G2451*(1-MIN(tp_g/tp_roe,0.8))/(1+tp_r)^3+H2451*(1-MIN(tp_g/tp_roe,0.8))/(1+tp_r)^4+I2451*(1-MIN(tp_g/tp_roe,0.8))/(1+tp_r)^5+J2451*(1-MIN(tp_g/tp_roe,0.8))/(1+tp_r)^6+J2451*(1-MIN(tp_g/tp_roe,0.8))*(1+tp_g)/(tp_r-tp_g)/(1+tp_r)^6)+tp_wC*MAX(0,E2490*(1-MIN(tp_g/tp_roe,0.8))/(1+tp_r)^1+F2490*(1-MIN(tp_g/tp_roe,0.8))/(1+tp_r)^2+G2490*(1-MIN(tp_g/tp_roe,0.8))/(1+tp_r)^3+H2490*(1-MIN(tp_g/tp_roe,0.8))/(1+tp_r)^4+I2490*(1-MIN(tp_g/tp_roe,0.8))/(1+tp_r)^5+J2490*(1-MIN(tp_g/tp_roe,0.8))/(1+tp_r)^6+J2490*(1-MIN(tp_g/tp_roe,0.8))*(1+tp_g)/(tp_r-tp_g)/(1+tp_r)^6))*(1+tp_r)</f>
        <v>80.690950694963</v>
      </c>
      <c r="H25" s="23" t="n">
        <f aca="false">Val!$B$33*(tp_wA*(2/12*E2412+10/12*F2412)+tp_wB*(2/12*E2451+10/12*F2451)+tp_wC*(2/12*E2490+10/12*F2490))*rm_factor</f>
        <v>69.6395317806038</v>
      </c>
      <c r="I25" s="23" t="n">
        <f aca="false">tp_w_dcf*G25+(1-tp_w_dcf)*H25</f>
        <v>75.1652412377834</v>
      </c>
      <c r="J25" s="21" t="n">
        <f aca="false">I25/I$4-1</f>
        <v>-0.0162098305461493</v>
      </c>
    </row>
    <row r="26" customFormat="false" ht="17.15" hidden="false" customHeight="false" outlineLevel="0" collapsed="false">
      <c r="A26" s="3" t="s">
        <v>822</v>
      </c>
      <c r="B26" s="0" t="str">
        <f aca="false">TEXT(m_new_hi,"0%")&amp;"（基準 "&amp;TEXT(m_new,"0%")&amp;"）"</f>
        <v>55%（基準 45%）</v>
      </c>
      <c r="C26" s="0" t="s">
        <v>157</v>
      </c>
      <c r="D26" s="23" t="n">
        <f aca="false">E2529</f>
        <v>7.63145079914246</v>
      </c>
      <c r="E26" s="23" t="n">
        <f aca="false">F2529</f>
        <v>8.92727188936975</v>
      </c>
      <c r="F26" s="21" t="n">
        <f aca="false">E26/E$4-1</f>
        <v>0.0142893323010622</v>
      </c>
      <c r="G26" s="23" t="n">
        <f aca="false">(tp_wA*MAX(0,E2529*(1-MIN(tp_g/tp_roe,0.8))/(1+tp_r)^1+F2529*(1-MIN(tp_g/tp_roe,0.8))/(1+tp_r)^2+G2529*(1-MIN(tp_g/tp_roe,0.8))/(1+tp_r)^3+H2529*(1-MIN(tp_g/tp_roe,0.8))/(1+tp_r)^4+I2529*(1-MIN(tp_g/tp_roe,0.8))/(1+tp_r)^5+J2529*(1-MIN(tp_g/tp_roe,0.8))/(1+tp_r)^6+J2529*(1-MIN(tp_g/tp_roe,0.8))*(1+tp_g)/(tp_r-tp_g)/(1+tp_r)^6)+tp_wB*MAX(0,E2568*(1-MIN(tp_g/tp_roe,0.8))/(1+tp_r)^1+F2568*(1-MIN(tp_g/tp_roe,0.8))/(1+tp_r)^2+G2568*(1-MIN(tp_g/tp_roe,0.8))/(1+tp_r)^3+H2568*(1-MIN(tp_g/tp_roe,0.8))/(1+tp_r)^4+I2568*(1-MIN(tp_g/tp_roe,0.8))/(1+tp_r)^5+J2568*(1-MIN(tp_g/tp_roe,0.8))/(1+tp_r)^6+J2568*(1-MIN(tp_g/tp_roe,0.8))*(1+tp_g)/(tp_r-tp_g)/(1+tp_r)^6)+tp_wC*MAX(0,E2607*(1-MIN(tp_g/tp_roe,0.8))/(1+tp_r)^1+F2607*(1-MIN(tp_g/tp_roe,0.8))/(1+tp_r)^2+G2607*(1-MIN(tp_g/tp_roe,0.8))/(1+tp_r)^3+H2607*(1-MIN(tp_g/tp_roe,0.8))/(1+tp_r)^4+I2607*(1-MIN(tp_g/tp_roe,0.8))/(1+tp_r)^5+J2607*(1-MIN(tp_g/tp_roe,0.8))/(1+tp_r)^6+J2607*(1-MIN(tp_g/tp_roe,0.8))*(1+tp_g)/(tp_r-tp_g)/(1+tp_r)^6))*(1+tp_r)</f>
        <v>84.2470794384652</v>
      </c>
      <c r="H26" s="23" t="n">
        <f aca="false">Val!$B$33*(tp_wA*(2/12*E2529+10/12*F2529)+tp_wB*(2/12*E2568+10/12*F2568)+tp_wC*(2/12*E2607+10/12*F2607))*rm_factor</f>
        <v>71.0373692841979</v>
      </c>
      <c r="I26" s="23" t="n">
        <f aca="false">tp_w_dcf*G26+(1-tp_w_dcf)*H26</f>
        <v>77.6422243613316</v>
      </c>
      <c r="J26" s="21" t="n">
        <f aca="false">I26/I$4-1</f>
        <v>0.0162098305461496</v>
      </c>
    </row>
    <row r="27" customFormat="false" ht="17.15" hidden="false" customHeight="false" outlineLevel="0" collapsed="false">
      <c r="A27" s="3" t="s">
        <v>823</v>
      </c>
      <c r="B27" s="0" t="s">
        <v>824</v>
      </c>
      <c r="C27" s="0" t="s">
        <v>310</v>
      </c>
      <c r="D27" s="23" t="n">
        <f aca="false">PL!E94</f>
        <v>7.60150491315317</v>
      </c>
      <c r="E27" s="23" t="n">
        <f aca="false">PL!F94</f>
        <v>8.80150427010501</v>
      </c>
      <c r="F27" s="21" t="n">
        <f aca="false">E27/E$4-1</f>
        <v>0</v>
      </c>
      <c r="G27" s="23" t="n">
        <f aca="false">(tp_wA*MAX(0,PL!E94*(1-MIN(tp_g/tp_roe,0.8))/(1+(tp_r+0.01))^1+PL!F94*(1-MIN(tp_g/tp_roe,0.8))/(1+(tp_r+0.01))^2+PL!G94*(1-MIN(tp_g/tp_roe,0.8))/(1+(tp_r+0.01))^3+PL!H94*(1-MIN(tp_g/tp_roe,0.8))/(1+(tp_r+0.01))^4+PL!I94*(1-MIN(tp_g/tp_roe,0.8))/(1+(tp_r+0.01))^5+PL!J94*(1-MIN(tp_g/tp_roe,0.8))/(1+(tp_r+0.01))^6+PL!J94*(1-MIN(tp_g/tp_roe,0.8))*(1+tp_g)/((tp_r+0.01)-tp_g)/(1+(tp_r+0.01))^6)+tp_wB*MAX(0,PL!E133*(1-MIN(tp_g/tp_roe,0.8))/(1+(tp_r+0.01))^1+PL!F133*(1-MIN(tp_g/tp_roe,0.8))/(1+(tp_r+0.01))^2+PL!G133*(1-MIN(tp_g/tp_roe,0.8))/(1+(tp_r+0.01))^3+PL!H133*(1-MIN(tp_g/tp_roe,0.8))/(1+(tp_r+0.01))^4+PL!I133*(1-MIN(tp_g/tp_roe,0.8))/(1+(tp_r+0.01))^5+PL!J133*(1-MIN(tp_g/tp_roe,0.8))/(1+(tp_r+0.01))^6+PL!J133*(1-MIN(tp_g/tp_roe,0.8))*(1+tp_g)/((tp_r+0.01)-tp_g)/(1+(tp_r+0.01))^6)+tp_wC*MAX(0,PL!E172*(1-MIN(tp_g/tp_roe,0.8))/(1+(tp_r+0.01))^1+PL!F172*(1-MIN(tp_g/tp_roe,0.8))/(1+(tp_r+0.01))^2+PL!G172*(1-MIN(tp_g/tp_roe,0.8))/(1+(tp_r+0.01))^3+PL!H172*(1-MIN(tp_g/tp_roe,0.8))/(1+(tp_r+0.01))^4+PL!I172*(1-MIN(tp_g/tp_roe,0.8))/(1+(tp_r+0.01))^5+PL!J172*(1-MIN(tp_g/tp_roe,0.8))/(1+(tp_r+0.01))^6+PL!J172*(1-MIN(tp_g/tp_roe,0.8))*(1+tp_g)/((tp_r+0.01)-tp_g)/(1+(tp_r+0.01))^6))*(1+(tp_r+0.01))</f>
        <v>71.2450780582273</v>
      </c>
      <c r="H27" s="23" t="n">
        <f aca="false">Val!$B$33*(tp_wA*(2/12*PL!E94+10/12*PL!F94)+tp_wB*(2/12*PL!E133+10/12*PL!F133)+tp_wC*(2/12*PL!E172+10/12*PL!F172))*rm_factor</f>
        <v>70.3384505324008</v>
      </c>
      <c r="I27" s="23" t="n">
        <f aca="false">tp_w_dcf*G27+(1-tp_w_dcf)*H27</f>
        <v>70.7917642953141</v>
      </c>
      <c r="J27" s="21" t="n">
        <f aca="false">I27/I$4-1</f>
        <v>-0.0734514963943737</v>
      </c>
    </row>
    <row r="28" customFormat="false" ht="17.15" hidden="false" customHeight="false" outlineLevel="0" collapsed="false">
      <c r="A28" s="3" t="s">
        <v>825</v>
      </c>
      <c r="B28" s="0" t="s">
        <v>826</v>
      </c>
      <c r="C28" s="0" t="s">
        <v>310</v>
      </c>
      <c r="D28" s="23" t="n">
        <f aca="false">PL!E94</f>
        <v>7.60150491315317</v>
      </c>
      <c r="E28" s="23" t="n">
        <f aca="false">PL!F94</f>
        <v>8.80150427010501</v>
      </c>
      <c r="F28" s="21" t="n">
        <f aca="false">E28/E$4-1</f>
        <v>0</v>
      </c>
      <c r="G28" s="23" t="n">
        <f aca="false">(tp_wA*MAX(0,PL!E94*(1-MIN(tp_g/tp_roe,0.8))/(1+(tp_r-0.01))^1+PL!F94*(1-MIN(tp_g/tp_roe,0.8))/(1+(tp_r-0.01))^2+PL!G94*(1-MIN(tp_g/tp_roe,0.8))/(1+(tp_r-0.01))^3+PL!H94*(1-MIN(tp_g/tp_roe,0.8))/(1+(tp_r-0.01))^4+PL!I94*(1-MIN(tp_g/tp_roe,0.8))/(1+(tp_r-0.01))^5+PL!J94*(1-MIN(tp_g/tp_roe,0.8))/(1+(tp_r-0.01))^6+PL!J94*(1-MIN(tp_g/tp_roe,0.8))*(1+tp_g)/((tp_r-0.01)-tp_g)/(1+(tp_r-0.01))^6)+tp_wB*MAX(0,PL!E133*(1-MIN(tp_g/tp_roe,0.8))/(1+(tp_r-0.01))^1+PL!F133*(1-MIN(tp_g/tp_roe,0.8))/(1+(tp_r-0.01))^2+PL!G133*(1-MIN(tp_g/tp_roe,0.8))/(1+(tp_r-0.01))^3+PL!H133*(1-MIN(tp_g/tp_roe,0.8))/(1+(tp_r-0.01))^4+PL!I133*(1-MIN(tp_g/tp_roe,0.8))/(1+(tp_r-0.01))^5+PL!J133*(1-MIN(tp_g/tp_roe,0.8))/(1+(tp_r-0.01))^6+PL!J133*(1-MIN(tp_g/tp_roe,0.8))*(1+tp_g)/((tp_r-0.01)-tp_g)/(1+(tp_r-0.01))^6)+tp_wC*MAX(0,PL!E172*(1-MIN(tp_g/tp_roe,0.8))/(1+(tp_r-0.01))^1+PL!F172*(1-MIN(tp_g/tp_roe,0.8))/(1+(tp_r-0.01))^2+PL!G172*(1-MIN(tp_g/tp_roe,0.8))/(1+(tp_r-0.01))^3+PL!H172*(1-MIN(tp_g/tp_roe,0.8))/(1+(tp_r-0.01))^4+PL!I172*(1-MIN(tp_g/tp_roe,0.8))/(1+(tp_r-0.01))^5+PL!J172*(1-MIN(tp_g/tp_roe,0.8))/(1+(tp_r-0.01))^6+PL!J172*(1-MIN(tp_g/tp_roe,0.8))*(1+tp_g)/((tp_r-0.01)-tp_g)/(1+(tp_r-0.01))^6))*(1+(tp_r-0.01))</f>
        <v>98.1838575751479</v>
      </c>
      <c r="H28" s="23" t="n">
        <f aca="false">Val!$B$33*(tp_wA*(2/12*PL!E94+10/12*PL!F94)+tp_wB*(2/12*PL!E133+10/12*PL!F133)+tp_wC*(2/12*PL!E172+10/12*PL!F172))*rm_factor</f>
        <v>70.3384505324008</v>
      </c>
      <c r="I28" s="23" t="n">
        <f aca="false">tp_w_dcf*G28+(1-tp_w_dcf)*H28</f>
        <v>84.2611540537744</v>
      </c>
      <c r="J28" s="21" t="n">
        <f aca="false">I28/I$4-1</f>
        <v>0.102840803273717</v>
      </c>
    </row>
    <row r="29" customFormat="false" ht="17.15" hidden="false" customHeight="false" outlineLevel="0" collapsed="false">
      <c r="A29" s="3" t="s">
        <v>827</v>
      </c>
      <c r="B29" s="0" t="s">
        <v>828</v>
      </c>
      <c r="C29" s="0" t="s">
        <v>314</v>
      </c>
      <c r="D29" s="23" t="n">
        <f aca="false">PL!E94</f>
        <v>7.60150491315317</v>
      </c>
      <c r="E29" s="23" t="n">
        <f aca="false">PL!F94</f>
        <v>8.80150427010501</v>
      </c>
      <c r="F29" s="21" t="n">
        <f aca="false">E29/E$4-1</f>
        <v>0</v>
      </c>
      <c r="G29" s="23" t="n">
        <f aca="false">(tp_wA*MAX(0,PL!E94*(1-MIN((tp_g+0.01)/tp_roe,0.8))/(1+tp_r)^1+PL!F94*(1-MIN((tp_g+0.01)/tp_roe,0.8))/(1+tp_r)^2+PL!G94*(1-MIN((tp_g+0.01)/tp_roe,0.8))/(1+tp_r)^3+PL!H94*(1-MIN((tp_g+0.01)/tp_roe,0.8))/(1+tp_r)^4+PL!I94*(1-MIN((tp_g+0.01)/tp_roe,0.8))/(1+tp_r)^5+PL!J94*(1-MIN((tp_g+0.01)/tp_roe,0.8))/(1+tp_r)^6+PL!J94*(1-MIN((tp_g+0.01)/tp_roe,0.8))*(1+(tp_g+0.01))/(tp_r-(tp_g+0.01))/(1+tp_r)^6)+tp_wB*MAX(0,PL!E133*(1-MIN((tp_g+0.01)/tp_roe,0.8))/(1+tp_r)^1+PL!F133*(1-MIN((tp_g+0.01)/tp_roe,0.8))/(1+tp_r)^2+PL!G133*(1-MIN((tp_g+0.01)/tp_roe,0.8))/(1+tp_r)^3+PL!H133*(1-MIN((tp_g+0.01)/tp_roe,0.8))/(1+tp_r)^4+PL!I133*(1-MIN((tp_g+0.01)/tp_roe,0.8))/(1+tp_r)^5+PL!J133*(1-MIN((tp_g+0.01)/tp_roe,0.8))/(1+tp_r)^6+PL!J133*(1-MIN((tp_g+0.01)/tp_roe,0.8))*(1+(tp_g+0.01))/(tp_r-(tp_g+0.01))/(1+tp_r)^6)+tp_wC*MAX(0,PL!E172*(1-MIN((tp_g+0.01)/tp_roe,0.8))/(1+tp_r)^1+PL!F172*(1-MIN((tp_g+0.01)/tp_roe,0.8))/(1+tp_r)^2+PL!G172*(1-MIN((tp_g+0.01)/tp_roe,0.8))/(1+tp_r)^3+PL!H172*(1-MIN((tp_g+0.01)/tp_roe,0.8))/(1+tp_r)^4+PL!I172*(1-MIN((tp_g+0.01)/tp_roe,0.8))/(1+tp_r)^5+PL!J172*(1-MIN((tp_g+0.01)/tp_roe,0.8))/(1+tp_r)^6+PL!J172*(1-MIN((tp_g+0.01)/tp_roe,0.8))*(1+(tp_g+0.01))/(tp_r-(tp_g+0.01))/(1+tp_r)^6))*(1+tp_r)</f>
        <v>85.4424427073694</v>
      </c>
      <c r="H29" s="23" t="n">
        <f aca="false">Val!$B$33*(tp_wA*(2/12*PL!E94+10/12*PL!F94)+tp_wB*(2/12*PL!E133+10/12*PL!F133)+tp_wC*(2/12*PL!E172+10/12*PL!F172))*rm_factor</f>
        <v>70.3384505324008</v>
      </c>
      <c r="I29" s="23" t="n">
        <f aca="false">tp_w_dcf*G29+(1-tp_w_dcf)*H29</f>
        <v>77.8904466198851</v>
      </c>
      <c r="J29" s="21" t="n">
        <f aca="false">I29/I$4-1</f>
        <v>0.0194586542548647</v>
      </c>
    </row>
    <row r="30" customFormat="false" ht="17.15" hidden="false" customHeight="false" outlineLevel="0" collapsed="false">
      <c r="A30" s="3" t="s">
        <v>829</v>
      </c>
      <c r="B30" s="0" t="s">
        <v>830</v>
      </c>
      <c r="C30" s="0" t="s">
        <v>314</v>
      </c>
      <c r="D30" s="23" t="n">
        <f aca="false">PL!E94</f>
        <v>7.60150491315317</v>
      </c>
      <c r="E30" s="23" t="n">
        <f aca="false">PL!F94</f>
        <v>8.80150427010501</v>
      </c>
      <c r="F30" s="21" t="n">
        <f aca="false">E30/E$4-1</f>
        <v>0</v>
      </c>
      <c r="G30" s="23" t="n">
        <f aca="false">(tp_wA*MAX(0,PL!E94*(1-MIN((tp_g-0.01)/tp_roe,0.8))/(1+tp_r)^1+PL!F94*(1-MIN((tp_g-0.01)/tp_roe,0.8))/(1+tp_r)^2+PL!G94*(1-MIN((tp_g-0.01)/tp_roe,0.8))/(1+tp_r)^3+PL!H94*(1-MIN((tp_g-0.01)/tp_roe,0.8))/(1+tp_r)^4+PL!I94*(1-MIN((tp_g-0.01)/tp_roe,0.8))/(1+tp_r)^5+PL!J94*(1-MIN((tp_g-0.01)/tp_roe,0.8))/(1+tp_r)^6+PL!J94*(1-MIN((tp_g-0.01)/tp_roe,0.8))*(1+(tp_g-0.01))/(tp_r-(tp_g-0.01))/(1+tp_r)^6)+tp_wB*MAX(0,PL!E133*(1-MIN((tp_g-0.01)/tp_roe,0.8))/(1+tp_r)^1+PL!F133*(1-MIN((tp_g-0.01)/tp_roe,0.8))/(1+tp_r)^2+PL!G133*(1-MIN((tp_g-0.01)/tp_roe,0.8))/(1+tp_r)^3+PL!H133*(1-MIN((tp_g-0.01)/tp_roe,0.8))/(1+tp_r)^4+PL!I133*(1-MIN((tp_g-0.01)/tp_roe,0.8))/(1+tp_r)^5+PL!J133*(1-MIN((tp_g-0.01)/tp_roe,0.8))/(1+tp_r)^6+PL!J133*(1-MIN((tp_g-0.01)/tp_roe,0.8))*(1+(tp_g-0.01))/(tp_r-(tp_g-0.01))/(1+tp_r)^6)+tp_wC*MAX(0,PL!E172*(1-MIN((tp_g-0.01)/tp_roe,0.8))/(1+tp_r)^1+PL!F172*(1-MIN((tp_g-0.01)/tp_roe,0.8))/(1+tp_r)^2+PL!G172*(1-MIN((tp_g-0.01)/tp_roe,0.8))/(1+tp_r)^3+PL!H172*(1-MIN((tp_g-0.01)/tp_roe,0.8))/(1+tp_r)^4+PL!I172*(1-MIN((tp_g-0.01)/tp_roe,0.8))/(1+tp_r)^5+PL!J172*(1-MIN((tp_g-0.01)/tp_roe,0.8))/(1+tp_r)^6+PL!J172*(1-MIN((tp_g-0.01)/tp_roe,0.8))*(1+(tp_g-0.01))/(tp_r-(tp_g-0.01))/(1+tp_r)^6))*(1+tp_r)</f>
        <v>80.9121179812354</v>
      </c>
      <c r="H30" s="23" t="n">
        <f aca="false">Val!$B$33*(tp_wA*(2/12*PL!E94+10/12*PL!F94)+tp_wB*(2/12*PL!E133+10/12*PL!F133)+tp_wC*(2/12*PL!E172+10/12*PL!F172))*rm_factor</f>
        <v>70.3384505324008</v>
      </c>
      <c r="I30" s="23" t="n">
        <f aca="false">tp_w_dcf*G30+(1-tp_w_dcf)*H30</f>
        <v>75.6252842568181</v>
      </c>
      <c r="J30" s="21" t="n">
        <f aca="false">I30/I$4-1</f>
        <v>-0.0101886192495538</v>
      </c>
    </row>
    <row r="31" customFormat="false" ht="17.15" hidden="false" customHeight="false" outlineLevel="0" collapsed="false">
      <c r="A31" s="0" t="s">
        <v>831</v>
      </c>
      <c r="B31" s="0" t="s">
        <v>832</v>
      </c>
      <c r="C31" s="0" t="s">
        <v>322</v>
      </c>
      <c r="D31" s="23" t="n">
        <f aca="false">PL!E94</f>
        <v>7.60150491315317</v>
      </c>
      <c r="E31" s="23" t="n">
        <f aca="false">PL!F94</f>
        <v>8.80150427010501</v>
      </c>
      <c r="F31" s="21" t="n">
        <f aca="false">E31/E$4-1</f>
        <v>0</v>
      </c>
      <c r="G31" s="23" t="n">
        <f aca="false">(tp_wA*MAX(0,PL!E94*(1-MIN(tp_g/tp_roe,0.8))/(1+tp_r)^1+PL!F94*(1-MIN(tp_g/tp_roe,0.8))/(1+tp_r)^2+PL!G94*(1-MIN(tp_g/tp_roe,0.8))/(1+tp_r)^3+PL!H94*(1-MIN(tp_g/tp_roe,0.8))/(1+tp_r)^4+PL!I94*(1-MIN(tp_g/tp_roe,0.8))/(1+tp_r)^5+PL!J94*(1-MIN(tp_g/tp_roe,0.8))/(1+tp_r)^6+PL!J94*(1-MIN(tp_g/tp_roe,0.8))*(1+tp_g)/(tp_r-tp_g)/(1+tp_r)^6)+tp_wB*MAX(0,PL!E133*(1-MIN(tp_g/tp_roe,0.8))/(1+tp_r)^1+PL!F133*(1-MIN(tp_g/tp_roe,0.8))/(1+tp_r)^2+PL!G133*(1-MIN(tp_g/tp_roe,0.8))/(1+tp_r)^3+PL!H133*(1-MIN(tp_g/tp_roe,0.8))/(1+tp_r)^4+PL!I133*(1-MIN(tp_g/tp_roe,0.8))/(1+tp_r)^5+PL!J133*(1-MIN(tp_g/tp_roe,0.8))/(1+tp_r)^6+PL!J133*(1-MIN(tp_g/tp_roe,0.8))*(1+tp_g)/(tp_r-tp_g)/(1+tp_r)^6)+tp_wC*MAX(0,PL!E172*(1-MIN(tp_g/tp_roe,0.8))/(1+tp_r)^1+PL!F172*(1-MIN(tp_g/tp_roe,0.8))/(1+tp_r)^2+PL!G172*(1-MIN(tp_g/tp_roe,0.8))/(1+tp_r)^3+PL!H172*(1-MIN(tp_g/tp_roe,0.8))/(1+tp_r)^4+PL!I172*(1-MIN(tp_g/tp_roe,0.8))/(1+tp_r)^5+PL!J172*(1-MIN(tp_g/tp_roe,0.8))/(1+tp_r)^6+PL!J172*(1-MIN(tp_g/tp_roe,0.8))*(1+tp_g)/(tp_r-tp_g)/(1+tp_r)^6))*(1+tp_r)</f>
        <v>82.4690150667141</v>
      </c>
      <c r="H31" s="23" t="n">
        <f aca="false">Val!$B$33*(tp_wA*(2/12*PL!E94+10/12*PL!F94)+tp_wB*(2/12*PL!E133+10/12*PL!F133)+tp_wC*(2/12*PL!E172+10/12*PL!F172))*rm_factor</f>
        <v>70.3384505324008</v>
      </c>
      <c r="I31" s="23" t="n">
        <f aca="false">0.3*G31+(1-0.3)*H31</f>
        <v>73.9776198926948</v>
      </c>
      <c r="J31" s="21" t="n">
        <f aca="false">I31/I$4-1</f>
        <v>-0.0317538530902343</v>
      </c>
    </row>
    <row r="32" customFormat="false" ht="17.15" hidden="false" customHeight="false" outlineLevel="0" collapsed="false">
      <c r="A32" s="0" t="s">
        <v>833</v>
      </c>
      <c r="B32" s="0" t="s">
        <v>834</v>
      </c>
      <c r="C32" s="0" t="s">
        <v>322</v>
      </c>
      <c r="D32" s="23" t="n">
        <f aca="false">PL!E94</f>
        <v>7.60150491315317</v>
      </c>
      <c r="E32" s="23" t="n">
        <f aca="false">PL!F94</f>
        <v>8.80150427010501</v>
      </c>
      <c r="F32" s="21" t="n">
        <f aca="false">E32/E$4-1</f>
        <v>0</v>
      </c>
      <c r="G32" s="23" t="n">
        <f aca="false">(tp_wA*MAX(0,PL!E94*(1-MIN(tp_g/tp_roe,0.8))/(1+tp_r)^1+PL!F94*(1-MIN(tp_g/tp_roe,0.8))/(1+tp_r)^2+PL!G94*(1-MIN(tp_g/tp_roe,0.8))/(1+tp_r)^3+PL!H94*(1-MIN(tp_g/tp_roe,0.8))/(1+tp_r)^4+PL!I94*(1-MIN(tp_g/tp_roe,0.8))/(1+tp_r)^5+PL!J94*(1-MIN(tp_g/tp_roe,0.8))/(1+tp_r)^6+PL!J94*(1-MIN(tp_g/tp_roe,0.8))*(1+tp_g)/(tp_r-tp_g)/(1+tp_r)^6)+tp_wB*MAX(0,PL!E133*(1-MIN(tp_g/tp_roe,0.8))/(1+tp_r)^1+PL!F133*(1-MIN(tp_g/tp_roe,0.8))/(1+tp_r)^2+PL!G133*(1-MIN(tp_g/tp_roe,0.8))/(1+tp_r)^3+PL!H133*(1-MIN(tp_g/tp_roe,0.8))/(1+tp_r)^4+PL!I133*(1-MIN(tp_g/tp_roe,0.8))/(1+tp_r)^5+PL!J133*(1-MIN(tp_g/tp_roe,0.8))/(1+tp_r)^6+PL!J133*(1-MIN(tp_g/tp_roe,0.8))*(1+tp_g)/(tp_r-tp_g)/(1+tp_r)^6)+tp_wC*MAX(0,PL!E172*(1-MIN(tp_g/tp_roe,0.8))/(1+tp_r)^1+PL!F172*(1-MIN(tp_g/tp_roe,0.8))/(1+tp_r)^2+PL!G172*(1-MIN(tp_g/tp_roe,0.8))/(1+tp_r)^3+PL!H172*(1-MIN(tp_g/tp_roe,0.8))/(1+tp_r)^4+PL!I172*(1-MIN(tp_g/tp_roe,0.8))/(1+tp_r)^5+PL!J172*(1-MIN(tp_g/tp_roe,0.8))/(1+tp_r)^6+PL!J172*(1-MIN(tp_g/tp_roe,0.8))*(1+tp_g)/(tp_r-tp_g)/(1+tp_r)^6))*(1+tp_r)</f>
        <v>82.4690150667141</v>
      </c>
      <c r="H32" s="23" t="n">
        <f aca="false">Val!$B$33*(tp_wA*(2/12*PL!E94+10/12*PL!F94)+tp_wB*(2/12*PL!E133+10/12*PL!F133)+tp_wC*(2/12*PL!E172+10/12*PL!F172))*rm_factor</f>
        <v>70.3384505324008</v>
      </c>
      <c r="I32" s="23" t="n">
        <f aca="false">0.7*G32+(1-0.7)*H32</f>
        <v>78.8298457064201</v>
      </c>
      <c r="J32" s="21" t="n">
        <f aca="false">I32/I$4-1</f>
        <v>0.0317538530902342</v>
      </c>
    </row>
    <row r="34" customFormat="false" ht="17.15" hidden="false" customHeight="false" outlineLevel="0" collapsed="false">
      <c r="A34" s="3" t="s">
        <v>835</v>
      </c>
    </row>
    <row r="36" customFormat="false" ht="15" hidden="false" customHeight="false" outlineLevel="0" collapsed="false">
      <c r="A36" s="1" t="s">
        <v>836</v>
      </c>
    </row>
    <row r="38" customFormat="false" ht="17.15" hidden="false" customHeight="false" outlineLevel="0" collapsed="false">
      <c r="A38" s="1" t="s">
        <v>837</v>
      </c>
    </row>
    <row r="39" customFormat="false" ht="17.15" hidden="false" customHeight="false" outlineLevel="0" collapsed="false">
      <c r="A39" s="4" t="s">
        <v>24</v>
      </c>
      <c r="B39" s="4" t="s">
        <v>25</v>
      </c>
      <c r="C39" s="16" t="s">
        <v>387</v>
      </c>
      <c r="D39" s="16" t="s">
        <v>505</v>
      </c>
      <c r="E39" s="16" t="s">
        <v>467</v>
      </c>
      <c r="F39" s="16" t="s">
        <v>468</v>
      </c>
      <c r="G39" s="16" t="s">
        <v>469</v>
      </c>
      <c r="H39" s="16" t="s">
        <v>506</v>
      </c>
      <c r="I39" s="16" t="s">
        <v>507</v>
      </c>
      <c r="J39" s="16" t="s">
        <v>508</v>
      </c>
      <c r="K39" s="4" t="s">
        <v>345</v>
      </c>
    </row>
    <row r="40" customFormat="false" ht="17.15" hidden="false" customHeight="false" outlineLevel="0" collapsed="false">
      <c r="A40" s="5" t="s">
        <v>526</v>
      </c>
    </row>
    <row r="41" customFormat="false" ht="17.15" hidden="false" customHeight="false" outlineLevel="0" collapsed="false">
      <c r="A41" s="3" t="s">
        <v>527</v>
      </c>
      <c r="B41" s="3" t="s">
        <v>64</v>
      </c>
      <c r="D41" s="22" t="n">
        <f aca="false">cap_26</f>
        <v>5230.46851955216</v>
      </c>
      <c r="E41" s="22" t="n">
        <f aca="false">D41*(1+capg27)*cap_adj</f>
        <v>5439.68726033425</v>
      </c>
      <c r="F41" s="22" t="n">
        <f aca="false">E41*(1+capg28)</f>
        <v>5820.46536855765</v>
      </c>
      <c r="G41" s="22" t="n">
        <f aca="false">F41*(1+capg29)</f>
        <v>6227.89794435668</v>
      </c>
    </row>
    <row r="42" customFormat="false" ht="15" hidden="false" customHeight="false" outlineLevel="0" collapsed="false">
      <c r="A42" s="3" t="s">
        <v>528</v>
      </c>
      <c r="B42" s="0" t="s">
        <v>69</v>
      </c>
      <c r="D42" s="21" t="n">
        <f aca="false">a26_ship/cap_26</f>
        <v>0.870578781414787</v>
      </c>
      <c r="E42" s="21" t="n">
        <f aca="false">MIN(0.98,ut27_A+ut_adj)</f>
        <v>0.95</v>
      </c>
      <c r="F42" s="21" t="n">
        <f aca="false">MIN(0.98,ut28_A+ut_adj)</f>
        <v>0.94</v>
      </c>
      <c r="G42" s="21" t="n">
        <f aca="false">MIN(0.98,ut29_A+ut_adj)</f>
        <v>0.93</v>
      </c>
    </row>
    <row r="43" customFormat="false" ht="17.15" hidden="false" customHeight="false" outlineLevel="0" collapsed="false">
      <c r="A43" s="3" t="s">
        <v>529</v>
      </c>
      <c r="B43" s="3" t="s">
        <v>64</v>
      </c>
      <c r="D43" s="22" t="n">
        <f aca="false">D41*D42</f>
        <v>4553.53490998013</v>
      </c>
      <c r="E43" s="22" t="n">
        <f aca="false">E41*E42</f>
        <v>5167.70289731754</v>
      </c>
      <c r="F43" s="22" t="n">
        <f aca="false">F41*F42</f>
        <v>5471.23744644419</v>
      </c>
      <c r="G43" s="22" t="n">
        <f aca="false">G41*G42</f>
        <v>5791.94508825172</v>
      </c>
    </row>
    <row r="44" customFormat="false" ht="17.15" hidden="false" customHeight="false" outlineLevel="0" collapsed="false">
      <c r="A44" s="3" t="s">
        <v>530</v>
      </c>
      <c r="B44" s="0" t="s">
        <v>109</v>
      </c>
      <c r="D44" s="22" t="n">
        <f aca="false">asp_26</f>
        <v>1878.17486396824</v>
      </c>
      <c r="E44" s="22" t="n">
        <f aca="false">D44*(1+asp27_A)*(1+asp_adj)</f>
        <v>2065.99235036507</v>
      </c>
      <c r="F44" s="22" t="n">
        <f aca="false">E44*(1+asp28_A)</f>
        <v>2127.97212087602</v>
      </c>
      <c r="G44" s="22" t="n">
        <f aca="false">F44*(1+asp29_A)</f>
        <v>2170.53156329354</v>
      </c>
    </row>
    <row r="45" customFormat="false" ht="15" hidden="false" customHeight="false" outlineLevel="0" collapsed="false">
      <c r="A45" s="3" t="s">
        <v>531</v>
      </c>
      <c r="B45" s="0" t="s">
        <v>69</v>
      </c>
      <c r="E45" s="21" t="n">
        <f aca="false">E44/D44-1</f>
        <v>0.1</v>
      </c>
      <c r="F45" s="21" t="n">
        <f aca="false">F44/E44-1</f>
        <v>0.03</v>
      </c>
      <c r="G45" s="21" t="n">
        <f aca="false">G44/F44-1</f>
        <v>0.02</v>
      </c>
    </row>
    <row r="46" customFormat="false" ht="15" hidden="false" customHeight="false" outlineLevel="0" collapsed="false">
      <c r="A46" s="3" t="s">
        <v>532</v>
      </c>
      <c r="B46" s="0" t="s">
        <v>35</v>
      </c>
      <c r="D46" s="23" t="n">
        <f aca="false">fx_26</f>
        <v>31.6</v>
      </c>
      <c r="E46" s="23" t="n">
        <f aca="false">fx_lo</f>
        <v>30.5</v>
      </c>
      <c r="F46" s="23" t="n">
        <f aca="false">fx_lo</f>
        <v>30.5</v>
      </c>
      <c r="G46" s="23" t="n">
        <f aca="false">fx_lo</f>
        <v>30.5</v>
      </c>
    </row>
    <row r="47" customFormat="false" ht="17.15" hidden="false" customHeight="false" outlineLevel="0" collapsed="false">
      <c r="A47" s="3" t="s">
        <v>533</v>
      </c>
      <c r="B47" s="0" t="s">
        <v>181</v>
      </c>
      <c r="D47" s="23" t="n">
        <f aca="false">D43*D44*D46/1000000</f>
        <v>270.25378</v>
      </c>
      <c r="E47" s="23" t="n">
        <f aca="false">E43*E44*E46/1000000</f>
        <v>325.631256971932</v>
      </c>
      <c r="F47" s="23" t="n">
        <f aca="false">F43*F44*F46/1000000</f>
        <v>355.100542958147</v>
      </c>
      <c r="G47" s="23" t="n">
        <f aca="false">G43*G44*G46/1000000</f>
        <v>383.433788620857</v>
      </c>
    </row>
    <row r="48" customFormat="false" ht="17.15" hidden="false" customHeight="false" outlineLevel="0" collapsed="false">
      <c r="A48" s="5" t="s">
        <v>534</v>
      </c>
    </row>
    <row r="49" customFormat="false" ht="17.15" hidden="false" customHeight="false" outlineLevel="0" collapsed="false">
      <c r="A49" s="0" t="s">
        <v>535</v>
      </c>
      <c r="B49" s="0" t="s">
        <v>138</v>
      </c>
      <c r="D49" s="25" t="n">
        <f aca="false">ai_26</f>
        <v>0.3</v>
      </c>
      <c r="E49" s="25" t="n">
        <f aca="false">D49*(1+aig27_A)*ai_adj</f>
        <v>0.48</v>
      </c>
      <c r="F49" s="25" t="n">
        <f aca="false">E49*(1+aig_L)*um28_A</f>
        <v>0.696</v>
      </c>
      <c r="G49" s="25" t="n">
        <f aca="false">F49/um28_A*(1+aig_L)*um29_A</f>
        <v>1.0092</v>
      </c>
    </row>
    <row r="50" customFormat="false" ht="17.15" hidden="false" customHeight="false" outlineLevel="0" collapsed="false">
      <c r="A50" s="0" t="s">
        <v>536</v>
      </c>
      <c r="B50" s="0" t="s">
        <v>181</v>
      </c>
      <c r="D50" s="23" t="n">
        <f aca="false">D49*D46</f>
        <v>9.48</v>
      </c>
      <c r="E50" s="23" t="n">
        <f aca="false">E49*E46</f>
        <v>14.64</v>
      </c>
      <c r="F50" s="23" t="n">
        <f aca="false">F49*F46</f>
        <v>21.228</v>
      </c>
      <c r="G50" s="23" t="n">
        <f aca="false">G49*G46</f>
        <v>30.7806</v>
      </c>
    </row>
    <row r="51" customFormat="false" ht="17.15" hidden="false" customHeight="false" outlineLevel="0" collapsed="false">
      <c r="A51" s="0" t="s">
        <v>537</v>
      </c>
      <c r="B51" s="0" t="s">
        <v>138</v>
      </c>
      <c r="D51" s="25" t="n">
        <f aca="false">0</f>
        <v>0</v>
      </c>
      <c r="E51" s="25" t="n">
        <f aca="false">int_27</f>
        <v>0</v>
      </c>
      <c r="F51" s="25" t="n">
        <f aca="false">int28_A</f>
        <v>0.25</v>
      </c>
      <c r="G51" s="25" t="n">
        <f aca="false">int29_A</f>
        <v>0.5</v>
      </c>
    </row>
    <row r="52" customFormat="false" ht="17.15" hidden="false" customHeight="false" outlineLevel="0" collapsed="false">
      <c r="A52" s="0" t="s">
        <v>538</v>
      </c>
      <c r="B52" s="0" t="s">
        <v>181</v>
      </c>
      <c r="D52" s="23" t="n">
        <f aca="false">D51*D46</f>
        <v>0</v>
      </c>
      <c r="E52" s="23" t="n">
        <f aca="false">E51*E46</f>
        <v>0</v>
      </c>
      <c r="F52" s="23" t="n">
        <f aca="false">F51*F46</f>
        <v>7.625</v>
      </c>
      <c r="G52" s="23" t="n">
        <f aca="false">G51*G46</f>
        <v>15.25</v>
      </c>
    </row>
    <row r="53" customFormat="false" ht="17.15" hidden="false" customHeight="false" outlineLevel="0" collapsed="false">
      <c r="A53" s="3" t="s">
        <v>393</v>
      </c>
      <c r="B53" s="0" t="s">
        <v>181</v>
      </c>
      <c r="C53" s="23" t="n">
        <f aca="false">a25_rev</f>
        <v>237.553</v>
      </c>
      <c r="D53" s="23" t="n">
        <f aca="false">D47+D50+D52</f>
        <v>279.73378</v>
      </c>
      <c r="E53" s="23" t="n">
        <f aca="false">E47+E50+E52</f>
        <v>340.271256971932</v>
      </c>
      <c r="F53" s="23" t="n">
        <f aca="false">F47+F50+F52</f>
        <v>383.953542958147</v>
      </c>
      <c r="G53" s="23" t="n">
        <f aca="false">G47+G50+G52</f>
        <v>429.464388620857</v>
      </c>
      <c r="H53" s="30" t="n">
        <f aca="false">G53*(1+H55)</f>
        <v>471.990572955583</v>
      </c>
      <c r="I53" s="30" t="n">
        <f aca="false">H53*(1+I55)</f>
        <v>509.518884423067</v>
      </c>
      <c r="J53" s="30" t="n">
        <f aca="false">I53*(1+J55)</f>
        <v>540.090017488451</v>
      </c>
      <c r="K53" s="7" t="s">
        <v>539</v>
      </c>
    </row>
    <row r="54" customFormat="false" ht="17.15" hidden="false" customHeight="false" outlineLevel="0" collapsed="false">
      <c r="A54" s="0" t="s">
        <v>540</v>
      </c>
      <c r="B54" s="0" t="s">
        <v>69</v>
      </c>
      <c r="D54" s="21" t="n">
        <f aca="false">D50/D53</f>
        <v>0.0338893643806622</v>
      </c>
      <c r="E54" s="21" t="n">
        <f aca="false">E50/E53</f>
        <v>0.0430244979557813</v>
      </c>
      <c r="F54" s="21" t="n">
        <f aca="false">F50/F53</f>
        <v>0.0552879388387723</v>
      </c>
      <c r="G54" s="21" t="n">
        <f aca="false">G50/G53</f>
        <v>0.0716720659862999</v>
      </c>
    </row>
    <row r="55" customFormat="false" ht="15" hidden="false" customHeight="false" outlineLevel="0" collapsed="false">
      <c r="A55" s="3" t="s">
        <v>541</v>
      </c>
      <c r="B55" s="0" t="s">
        <v>69</v>
      </c>
      <c r="D55" s="21" t="n">
        <f aca="false">D53/C53-1</f>
        <v>0.177563659478096</v>
      </c>
      <c r="E55" s="21" t="n">
        <f aca="false">E53/D53-1</f>
        <v>0.216411035420648</v>
      </c>
      <c r="F55" s="21" t="n">
        <f aca="false">F53/E53-1</f>
        <v>0.128374892357772</v>
      </c>
      <c r="G55" s="21" t="n">
        <f aca="false">G53/F53-1</f>
        <v>0.118532167491082</v>
      </c>
      <c r="H55" s="28" t="n">
        <f aca="false">$G55+(fade_gA-$G55)*1/3</f>
        <v>0.099021444994055</v>
      </c>
      <c r="I55" s="28" t="n">
        <f aca="false">$G55+(fade_gA-$G55)*2/3</f>
        <v>0.0795107224970275</v>
      </c>
      <c r="J55" s="28" t="n">
        <f aca="false">$G55+(fade_gA-$G55)*3/3</f>
        <v>0.06</v>
      </c>
    </row>
    <row r="56" customFormat="false" ht="17.15" hidden="false" customHeight="false" outlineLevel="0" collapsed="false">
      <c r="A56" s="5" t="s">
        <v>542</v>
      </c>
    </row>
    <row r="57" customFormat="false" ht="15" hidden="false" customHeight="false" outlineLevel="0" collapsed="false">
      <c r="A57" s="3" t="s">
        <v>543</v>
      </c>
      <c r="B57" s="0" t="s">
        <v>181</v>
      </c>
      <c r="D57" s="23" t="n">
        <f aca="false">da_tot26*da_sh</f>
        <v>56.172</v>
      </c>
      <c r="E57" s="23" t="n">
        <f aca="false">D57*(1+dag_27+dag_adj)</f>
        <v>62.91264</v>
      </c>
      <c r="F57" s="23" t="n">
        <f aca="false">E57*(1+dag_28+dag_adj)</f>
        <v>69.203904</v>
      </c>
      <c r="G57" s="23" t="n">
        <f aca="false">F57*(1+dag_29+dag_adj)</f>
        <v>74.74021632</v>
      </c>
    </row>
    <row r="58" customFormat="false" ht="17.15" hidden="false" customHeight="false" outlineLevel="0" collapsed="false">
      <c r="A58" s="3" t="s">
        <v>544</v>
      </c>
      <c r="B58" s="0" t="s">
        <v>545</v>
      </c>
      <c r="D58" s="23" t="n">
        <f aca="false">(D53-a26_gp-D57-(1-m_new)*(D50+D52))/D43*1000</f>
        <v>27.9465727870208</v>
      </c>
      <c r="E58" s="23" t="n">
        <f aca="false">D58*(1+cc_g)</f>
        <v>28.5055042427612</v>
      </c>
      <c r="F58" s="23" t="n">
        <f aca="false">E58*(1+cc_g)</f>
        <v>29.0756143276165</v>
      </c>
      <c r="G58" s="23" t="n">
        <f aca="false">F58*(1+cc_g)</f>
        <v>29.6571266141688</v>
      </c>
      <c r="K58" s="7" t="s">
        <v>546</v>
      </c>
    </row>
    <row r="59" customFormat="false" ht="17.15" hidden="false" customHeight="false" outlineLevel="0" collapsed="false">
      <c r="A59" s="3" t="s">
        <v>547</v>
      </c>
      <c r="B59" s="0" t="s">
        <v>181</v>
      </c>
      <c r="D59" s="23" t="n">
        <f aca="false">D58*D43/1000</f>
        <v>127.2556948</v>
      </c>
      <c r="E59" s="23" t="n">
        <f aca="false">E58*E43/1000</f>
        <v>147.307976864815</v>
      </c>
      <c r="F59" s="23" t="n">
        <f aca="false">F58*F43/1000</f>
        <v>159.079589887624</v>
      </c>
      <c r="G59" s="23" t="n">
        <f aca="false">G58*G43/1000</f>
        <v>171.772448824594</v>
      </c>
    </row>
    <row r="60" customFormat="false" ht="17.15" hidden="false" customHeight="false" outlineLevel="0" collapsed="false">
      <c r="A60" s="3" t="s">
        <v>548</v>
      </c>
      <c r="B60" s="0" t="s">
        <v>181</v>
      </c>
      <c r="D60" s="23" t="n">
        <f aca="false">m_new*(D50+D52)</f>
        <v>4.266</v>
      </c>
      <c r="E60" s="23" t="n">
        <f aca="false">m_new*(E50+E52)</f>
        <v>6.588</v>
      </c>
      <c r="F60" s="23" t="n">
        <f aca="false">m_new*(F50+F52)</f>
        <v>12.98385</v>
      </c>
      <c r="G60" s="23" t="n">
        <f aca="false">m_new*(G50+G52)</f>
        <v>20.71377</v>
      </c>
    </row>
    <row r="61" customFormat="false" ht="15" hidden="false" customHeight="false" outlineLevel="0" collapsed="false">
      <c r="A61" s="3" t="s">
        <v>411</v>
      </c>
      <c r="B61" s="0" t="s">
        <v>181</v>
      </c>
      <c r="C61" s="23" t="n">
        <f aca="false">a25_gp</f>
        <v>68.906</v>
      </c>
      <c r="D61" s="23" t="n">
        <f aca="false">D47-D57-D59+D60</f>
        <v>91.0920852</v>
      </c>
      <c r="E61" s="23" t="n">
        <f aca="false">E47-E57-E59+E60</f>
        <v>121.998640107117</v>
      </c>
      <c r="F61" s="23" t="n">
        <f aca="false">F47-F57-F59+F60</f>
        <v>139.800899070523</v>
      </c>
      <c r="G61" s="23" t="n">
        <f aca="false">G47-G57-G59+G60</f>
        <v>157.634893476263</v>
      </c>
    </row>
    <row r="62" customFormat="false" ht="15" hidden="false" customHeight="false" outlineLevel="0" collapsed="false">
      <c r="A62" s="3" t="s">
        <v>413</v>
      </c>
      <c r="B62" s="0" t="s">
        <v>69</v>
      </c>
      <c r="C62" s="15" t="n">
        <f aca="false">C61/C53</f>
        <v>0.290065795843454</v>
      </c>
      <c r="D62" s="15" t="n">
        <f aca="false">D61/D53</f>
        <v>0.325638488136828</v>
      </c>
      <c r="E62" s="15" t="n">
        <f aca="false">E61/E53</f>
        <v>0.358533486468358</v>
      </c>
      <c r="F62" s="15" t="n">
        <f aca="false">F61/F53</f>
        <v>0.364108891907691</v>
      </c>
      <c r="G62" s="15" t="n">
        <f aca="false">G61/G53</f>
        <v>0.367049975860576</v>
      </c>
    </row>
    <row r="63" customFormat="false" ht="15" hidden="false" customHeight="false" outlineLevel="0" collapsed="false">
      <c r="A63" s="3" t="s">
        <v>415</v>
      </c>
      <c r="B63" s="0" t="s">
        <v>181</v>
      </c>
      <c r="C63" s="23" t="n">
        <f aca="false">a25_opx</f>
        <v>25.056</v>
      </c>
      <c r="D63" s="23" t="n">
        <f aca="false">a26_opx</f>
        <v>27.23586</v>
      </c>
      <c r="E63" s="23" t="n">
        <f aca="false">D63*(1+MAX(g_opx_min,phi*E55))</f>
        <v>30.1829303315859</v>
      </c>
      <c r="F63" s="23" t="n">
        <f aca="false">E63*(1+MAX(g_opx_min,phi*F55))</f>
        <v>32.1202955477657</v>
      </c>
      <c r="G63" s="23" t="n">
        <f aca="false">F63*(1+MAX(g_opx_min,phi*G55))</f>
        <v>34.0239396736311</v>
      </c>
    </row>
    <row r="64" customFormat="false" ht="15" hidden="false" customHeight="false" outlineLevel="0" collapsed="false">
      <c r="A64" s="3" t="s">
        <v>418</v>
      </c>
      <c r="B64" s="0" t="s">
        <v>181</v>
      </c>
      <c r="C64" s="23" t="n">
        <f aca="false">C61-C63</f>
        <v>43.85</v>
      </c>
      <c r="D64" s="23" t="n">
        <f aca="false">D61-D63</f>
        <v>63.8562252</v>
      </c>
      <c r="E64" s="23" t="n">
        <f aca="false">E61-E63</f>
        <v>91.8157097755312</v>
      </c>
      <c r="F64" s="23" t="n">
        <f aca="false">F61-F63</f>
        <v>107.680603522757</v>
      </c>
      <c r="G64" s="23" t="n">
        <f aca="false">G61-G63</f>
        <v>123.610953802632</v>
      </c>
    </row>
    <row r="65" customFormat="false" ht="15" hidden="false" customHeight="false" outlineLevel="0" collapsed="false">
      <c r="A65" s="3" t="s">
        <v>515</v>
      </c>
      <c r="B65" s="0" t="s">
        <v>69</v>
      </c>
      <c r="C65" s="15" t="n">
        <f aca="false">C64/C53</f>
        <v>0.184590386145408</v>
      </c>
      <c r="D65" s="15" t="n">
        <f aca="false">D64/D53</f>
        <v>0.228274987740129</v>
      </c>
      <c r="E65" s="15" t="n">
        <f aca="false">E64/E53</f>
        <v>0.269830930160242</v>
      </c>
      <c r="F65" s="15" t="n">
        <f aca="false">F64/F53</f>
        <v>0.280452167970996</v>
      </c>
      <c r="G65" s="15" t="n">
        <f aca="false">G64/G53</f>
        <v>0.287825852568556</v>
      </c>
    </row>
    <row r="66" customFormat="false" ht="15" hidden="false" customHeight="false" outlineLevel="0" collapsed="false">
      <c r="A66" s="3" t="s">
        <v>421</v>
      </c>
      <c r="B66" s="0" t="s">
        <v>181</v>
      </c>
      <c r="C66" s="23" t="n">
        <f aca="false">a25_nonop</f>
        <v>5.805</v>
      </c>
      <c r="D66" s="23" t="n">
        <f aca="false">a26_nonop</f>
        <v>38.372</v>
      </c>
      <c r="E66" s="23" t="n">
        <f aca="false">nonop_f</f>
        <v>4</v>
      </c>
      <c r="F66" s="23" t="n">
        <f aca="false">nonop_f</f>
        <v>4</v>
      </c>
      <c r="G66" s="23" t="n">
        <f aca="false">nonop_f</f>
        <v>4</v>
      </c>
    </row>
    <row r="67" customFormat="false" ht="15" hidden="false" customHeight="false" outlineLevel="0" collapsed="false">
      <c r="A67" s="3" t="s">
        <v>423</v>
      </c>
      <c r="B67" s="0" t="s">
        <v>181</v>
      </c>
      <c r="C67" s="23" t="n">
        <f aca="false">C64+C66</f>
        <v>49.655</v>
      </c>
      <c r="D67" s="23" t="n">
        <f aca="false">D64+D66</f>
        <v>102.2282252</v>
      </c>
      <c r="E67" s="23" t="n">
        <f aca="false">E64+E66</f>
        <v>95.8157097755312</v>
      </c>
      <c r="F67" s="23" t="n">
        <f aca="false">F64+F66</f>
        <v>111.680603522757</v>
      </c>
      <c r="G67" s="23" t="n">
        <f aca="false">G64+G66</f>
        <v>127.610953802632</v>
      </c>
    </row>
    <row r="68" customFormat="false" ht="15" hidden="false" customHeight="false" outlineLevel="0" collapsed="false">
      <c r="A68" s="3" t="s">
        <v>425</v>
      </c>
      <c r="B68" s="0" t="s">
        <v>181</v>
      </c>
      <c r="C68" s="23" t="n">
        <f aca="false">a25_tax</f>
        <v>7.939</v>
      </c>
      <c r="D68" s="23" t="n">
        <f aca="false">a26_tax</f>
        <v>10.493828284</v>
      </c>
      <c r="E68" s="23" t="n">
        <f aca="false">E67*tax</f>
        <v>14.3723564663297</v>
      </c>
      <c r="F68" s="23" t="n">
        <f aca="false">F67*tax</f>
        <v>16.7520905284136</v>
      </c>
      <c r="G68" s="23" t="n">
        <f aca="false">G67*tax</f>
        <v>19.1416430703948</v>
      </c>
    </row>
    <row r="69" customFormat="false" ht="17.15" hidden="false" customHeight="false" outlineLevel="0" collapsed="false">
      <c r="A69" s="3" t="s">
        <v>549</v>
      </c>
      <c r="B69" s="0" t="s">
        <v>181</v>
      </c>
      <c r="C69" s="23" t="n">
        <f aca="false">a25_mi</f>
        <v>0</v>
      </c>
      <c r="D69" s="23" t="n">
        <f aca="false">a26_mi</f>
        <v>-0.134999999999987</v>
      </c>
      <c r="E69" s="23" t="n">
        <f aca="false">0</f>
        <v>0</v>
      </c>
      <c r="F69" s="23" t="n">
        <f aca="false">0</f>
        <v>0</v>
      </c>
      <c r="G69" s="23" t="n">
        <f aca="false">0</f>
        <v>0</v>
      </c>
      <c r="K69" s="7" t="s">
        <v>550</v>
      </c>
    </row>
    <row r="70" customFormat="false" ht="15" hidden="false" customHeight="false" outlineLevel="0" collapsed="false">
      <c r="A70" s="3" t="s">
        <v>428</v>
      </c>
      <c r="B70" s="0" t="s">
        <v>181</v>
      </c>
      <c r="C70" s="23" t="n">
        <f aca="false">C67-C68-C69</f>
        <v>41.716</v>
      </c>
      <c r="D70" s="23" t="n">
        <f aca="false">D67-D68-D69</f>
        <v>91.869396916</v>
      </c>
      <c r="E70" s="23" t="n">
        <f aca="false">E67-E68-E69</f>
        <v>81.4433533092015</v>
      </c>
      <c r="F70" s="23" t="n">
        <f aca="false">F67-F68-F69</f>
        <v>94.9285129943437</v>
      </c>
      <c r="G70" s="23" t="n">
        <f aca="false">G67-G68-G69</f>
        <v>108.469310732237</v>
      </c>
      <c r="H70" s="30" t="n">
        <f aca="false">H53*H74</f>
        <v>119.210098618452</v>
      </c>
      <c r="I70" s="30" t="n">
        <f aca="false">I53*I74</f>
        <v>128.688579688547</v>
      </c>
      <c r="J70" s="30" t="n">
        <f aca="false">J53*J74</f>
        <v>136.40989446986</v>
      </c>
    </row>
    <row r="71" customFormat="false" ht="15" hidden="false" customHeight="false" outlineLevel="0" collapsed="false">
      <c r="A71" s="3" t="s">
        <v>551</v>
      </c>
      <c r="B71" s="3" t="s">
        <v>250</v>
      </c>
      <c r="C71" s="9" t="n">
        <f aca="false">a25_sh</f>
        <v>12.4898203592814</v>
      </c>
      <c r="D71" s="9" t="n">
        <f aca="false">a26_sh</f>
        <v>12.4754339027235</v>
      </c>
      <c r="E71" s="9" t="n">
        <f aca="false">q_sh*(1+sh_g)</f>
        <v>12.45</v>
      </c>
      <c r="F71" s="9" t="n">
        <f aca="false">E71*(1+sh_g)</f>
        <v>12.45</v>
      </c>
      <c r="G71" s="9" t="n">
        <f aca="false">F71*(1+sh_g)</f>
        <v>12.45</v>
      </c>
      <c r="H71" s="32" t="n">
        <f aca="false">G71*(1+sh_g)</f>
        <v>12.45</v>
      </c>
      <c r="I71" s="32" t="n">
        <f aca="false">H71*(1+sh_g)</f>
        <v>12.45</v>
      </c>
      <c r="J71" s="32" t="n">
        <f aca="false">I71*(1+sh_g)</f>
        <v>12.45</v>
      </c>
    </row>
    <row r="72" customFormat="false" ht="17.15" hidden="false" customHeight="false" outlineLevel="0" collapsed="false">
      <c r="A72" s="0" t="s">
        <v>434</v>
      </c>
      <c r="B72" s="0" t="s">
        <v>260</v>
      </c>
      <c r="C72" s="23" t="n">
        <f aca="false">C70/C71</f>
        <v>3.34</v>
      </c>
      <c r="D72" s="23" t="n">
        <f aca="false">D70/D71</f>
        <v>7.36402418002826</v>
      </c>
      <c r="E72" s="23" t="n">
        <f aca="false">E70/E71</f>
        <v>6.54163480395193</v>
      </c>
      <c r="F72" s="23" t="n">
        <f aca="false">F70/F71</f>
        <v>7.62478016018825</v>
      </c>
      <c r="G72" s="23" t="n">
        <f aca="false">G70/G71</f>
        <v>8.71239443632425</v>
      </c>
      <c r="H72" s="30" t="n">
        <f aca="false">H70/H71</f>
        <v>9.57510832276725</v>
      </c>
      <c r="I72" s="30" t="n">
        <f aca="false">I70/I71</f>
        <v>10.3364321034978</v>
      </c>
      <c r="J72" s="30" t="n">
        <f aca="false">J70/J71</f>
        <v>10.9566180297076</v>
      </c>
    </row>
    <row r="73" customFormat="false" ht="17.15" hidden="false" customHeight="false" outlineLevel="0" collapsed="false">
      <c r="A73" s="0" t="s">
        <v>552</v>
      </c>
      <c r="B73" s="0" t="s">
        <v>69</v>
      </c>
      <c r="D73" s="21" t="n">
        <f aca="false">D72/C72-1</f>
        <v>1.2047976586911</v>
      </c>
      <c r="E73" s="21" t="n">
        <f aca="false">E72/D72-1</f>
        <v>-0.111676626253714</v>
      </c>
      <c r="F73" s="21" t="n">
        <f aca="false">F72/E72-1</f>
        <v>0.165577166671238</v>
      </c>
      <c r="G73" s="21" t="n">
        <f aca="false">G72/F72-1</f>
        <v>0.14264205043115</v>
      </c>
      <c r="H73" s="28" t="n">
        <f aca="false">H72/G72-1</f>
        <v>0.099021444994055</v>
      </c>
      <c r="I73" s="28" t="n">
        <f aca="false">I72/H72-1</f>
        <v>0.0795107224970275</v>
      </c>
      <c r="J73" s="28" t="n">
        <f aca="false">J72/I72-1</f>
        <v>0.0599999999999998</v>
      </c>
    </row>
    <row r="74" customFormat="false" ht="17.15" hidden="false" customHeight="false" outlineLevel="0" collapsed="false">
      <c r="A74" s="3" t="s">
        <v>553</v>
      </c>
      <c r="B74" s="0" t="s">
        <v>69</v>
      </c>
      <c r="C74" s="15" t="n">
        <f aca="false">C70/C53</f>
        <v>0.175607127672562</v>
      </c>
      <c r="D74" s="15" t="n">
        <f aca="false">D70/D53</f>
        <v>0.328417243409073</v>
      </c>
      <c r="E74" s="15" t="n">
        <f aca="false">E70/E53</f>
        <v>0.23934831884998</v>
      </c>
      <c r="F74" s="15" t="n">
        <f aca="false">F70/F53</f>
        <v>0.247239580765351</v>
      </c>
      <c r="G74" s="15" t="n">
        <f aca="false">G70/G53</f>
        <v>0.25256881270311</v>
      </c>
      <c r="H74" s="29" t="n">
        <f aca="false">$G74+($G$74*1-$G74)*1/3</f>
        <v>0.25256881270311</v>
      </c>
      <c r="I74" s="29" t="n">
        <f aca="false">$G74+($G$74*1-$G74)*2/3</f>
        <v>0.25256881270311</v>
      </c>
      <c r="J74" s="29" t="n">
        <f aca="false">$G74+($G$74*1-$G74)*3/3</f>
        <v>0.25256881270311</v>
      </c>
    </row>
    <row r="77" customFormat="false" ht="17.15" hidden="false" customHeight="false" outlineLevel="0" collapsed="false">
      <c r="A77" s="1" t="s">
        <v>838</v>
      </c>
    </row>
    <row r="78" customFormat="false" ht="17.15" hidden="false" customHeight="false" outlineLevel="0" collapsed="false">
      <c r="A78" s="4" t="s">
        <v>24</v>
      </c>
      <c r="B78" s="4" t="s">
        <v>25</v>
      </c>
      <c r="C78" s="16" t="s">
        <v>387</v>
      </c>
      <c r="D78" s="16" t="s">
        <v>505</v>
      </c>
      <c r="E78" s="16" t="s">
        <v>467</v>
      </c>
      <c r="F78" s="16" t="s">
        <v>468</v>
      </c>
      <c r="G78" s="16" t="s">
        <v>469</v>
      </c>
      <c r="H78" s="16" t="s">
        <v>506</v>
      </c>
      <c r="I78" s="16" t="s">
        <v>507</v>
      </c>
      <c r="J78" s="16" t="s">
        <v>508</v>
      </c>
      <c r="K78" s="4" t="s">
        <v>345</v>
      </c>
    </row>
    <row r="79" customFormat="false" ht="17.15" hidden="false" customHeight="false" outlineLevel="0" collapsed="false">
      <c r="A79" s="5" t="s">
        <v>526</v>
      </c>
    </row>
    <row r="80" customFormat="false" ht="17.15" hidden="false" customHeight="false" outlineLevel="0" collapsed="false">
      <c r="A80" s="3" t="s">
        <v>527</v>
      </c>
      <c r="B80" s="3" t="s">
        <v>64</v>
      </c>
      <c r="D80" s="22" t="n">
        <f aca="false">cap_26</f>
        <v>5230.46851955216</v>
      </c>
      <c r="E80" s="22" t="n">
        <f aca="false">D80*(1+capg27)*cap_adj</f>
        <v>5439.68726033425</v>
      </c>
      <c r="F80" s="22" t="n">
        <f aca="false">E80*(1+capg28)</f>
        <v>5820.46536855765</v>
      </c>
      <c r="G80" s="22" t="n">
        <f aca="false">F80*(1+capg29)</f>
        <v>6227.89794435668</v>
      </c>
    </row>
    <row r="81" customFormat="false" ht="15" hidden="false" customHeight="false" outlineLevel="0" collapsed="false">
      <c r="A81" s="3" t="s">
        <v>528</v>
      </c>
      <c r="B81" s="0" t="s">
        <v>69</v>
      </c>
      <c r="D81" s="21" t="n">
        <f aca="false">a26_ship/cap_26</f>
        <v>0.870578781414787</v>
      </c>
      <c r="E81" s="21" t="n">
        <f aca="false">MIN(0.98,ut27_B+ut_adj)</f>
        <v>0.9</v>
      </c>
      <c r="F81" s="21" t="n">
        <f aca="false">MIN(0.98,ut28_B+ut_adj)</f>
        <v>0.87</v>
      </c>
      <c r="G81" s="21" t="n">
        <f aca="false">MIN(0.98,ut29_B+ut_adj)</f>
        <v>0.88</v>
      </c>
    </row>
    <row r="82" customFormat="false" ht="17.15" hidden="false" customHeight="false" outlineLevel="0" collapsed="false">
      <c r="A82" s="3" t="s">
        <v>529</v>
      </c>
      <c r="B82" s="3" t="s">
        <v>64</v>
      </c>
      <c r="D82" s="22" t="n">
        <f aca="false">D80*D81</f>
        <v>4553.53490998013</v>
      </c>
      <c r="E82" s="22" t="n">
        <f aca="false">E80*E81</f>
        <v>4895.71853430083</v>
      </c>
      <c r="F82" s="22" t="n">
        <f aca="false">F80*F81</f>
        <v>5063.80487064515</v>
      </c>
      <c r="G82" s="22" t="n">
        <f aca="false">G80*G81</f>
        <v>5480.55019103388</v>
      </c>
    </row>
    <row r="83" customFormat="false" ht="17.15" hidden="false" customHeight="false" outlineLevel="0" collapsed="false">
      <c r="A83" s="3" t="s">
        <v>530</v>
      </c>
      <c r="B83" s="0" t="s">
        <v>109</v>
      </c>
      <c r="D83" s="22" t="n">
        <f aca="false">asp_26</f>
        <v>1878.17486396824</v>
      </c>
      <c r="E83" s="22" t="n">
        <f aca="false">D83*(1+asp27_B)*(1+asp_adj)</f>
        <v>1972.08360716666</v>
      </c>
      <c r="F83" s="22" t="n">
        <f aca="false">E83*(1+asp28_B)</f>
        <v>1972.08360716666</v>
      </c>
      <c r="G83" s="22" t="n">
        <f aca="false">F83*(1+asp29_B)</f>
        <v>1972.08360716666</v>
      </c>
    </row>
    <row r="84" customFormat="false" ht="15" hidden="false" customHeight="false" outlineLevel="0" collapsed="false">
      <c r="A84" s="3" t="s">
        <v>531</v>
      </c>
      <c r="B84" s="0" t="s">
        <v>69</v>
      </c>
      <c r="E84" s="21" t="n">
        <f aca="false">E83/D83-1</f>
        <v>0.05</v>
      </c>
      <c r="F84" s="21" t="n">
        <f aca="false">F83/E83-1</f>
        <v>0</v>
      </c>
      <c r="G84" s="21" t="n">
        <f aca="false">G83/F83-1</f>
        <v>0</v>
      </c>
    </row>
    <row r="85" customFormat="false" ht="15" hidden="false" customHeight="false" outlineLevel="0" collapsed="false">
      <c r="A85" s="3" t="s">
        <v>532</v>
      </c>
      <c r="B85" s="0" t="s">
        <v>35</v>
      </c>
      <c r="D85" s="23" t="n">
        <f aca="false">fx_26</f>
        <v>31.6</v>
      </c>
      <c r="E85" s="23" t="n">
        <f aca="false">fx_lo</f>
        <v>30.5</v>
      </c>
      <c r="F85" s="23" t="n">
        <f aca="false">fx_lo</f>
        <v>30.5</v>
      </c>
      <c r="G85" s="23" t="n">
        <f aca="false">fx_lo</f>
        <v>30.5</v>
      </c>
    </row>
    <row r="86" customFormat="false" ht="17.15" hidden="false" customHeight="false" outlineLevel="0" collapsed="false">
      <c r="A86" s="3" t="s">
        <v>533</v>
      </c>
      <c r="B86" s="0" t="s">
        <v>181</v>
      </c>
      <c r="D86" s="23" t="n">
        <f aca="false">D82*D83*D85/1000000</f>
        <v>270.25378</v>
      </c>
      <c r="E86" s="23" t="n">
        <f aca="false">E82*E83*E85/1000000</f>
        <v>294.470371137297</v>
      </c>
      <c r="F86" s="23" t="n">
        <f aca="false">F82*F83*F85/1000000</f>
        <v>304.580520546344</v>
      </c>
      <c r="G86" s="23" t="n">
        <f aca="false">G82*G83*G85/1000000</f>
        <v>329.647147294756</v>
      </c>
    </row>
    <row r="87" customFormat="false" ht="17.15" hidden="false" customHeight="false" outlineLevel="0" collapsed="false">
      <c r="A87" s="5" t="s">
        <v>534</v>
      </c>
    </row>
    <row r="88" customFormat="false" ht="17.15" hidden="false" customHeight="false" outlineLevel="0" collapsed="false">
      <c r="A88" s="0" t="s">
        <v>535</v>
      </c>
      <c r="B88" s="0" t="s">
        <v>138</v>
      </c>
      <c r="D88" s="25" t="n">
        <f aca="false">ai_26</f>
        <v>0.3</v>
      </c>
      <c r="E88" s="25" t="n">
        <f aca="false">D88*(1+aig27_B)*ai_adj</f>
        <v>0.42</v>
      </c>
      <c r="F88" s="25" t="n">
        <f aca="false">E88*(1+aig_L)*um28_B</f>
        <v>0.4872</v>
      </c>
      <c r="G88" s="25" t="n">
        <f aca="false">F88/um28_B*(1+aig_L)*um29_B</f>
        <v>0.7505925</v>
      </c>
    </row>
    <row r="89" customFormat="false" ht="17.15" hidden="false" customHeight="false" outlineLevel="0" collapsed="false">
      <c r="A89" s="0" t="s">
        <v>536</v>
      </c>
      <c r="B89" s="0" t="s">
        <v>181</v>
      </c>
      <c r="D89" s="23" t="n">
        <f aca="false">D88*D85</f>
        <v>9.48</v>
      </c>
      <c r="E89" s="23" t="n">
        <f aca="false">E88*E85</f>
        <v>12.81</v>
      </c>
      <c r="F89" s="23" t="n">
        <f aca="false">F88*F85</f>
        <v>14.8596</v>
      </c>
      <c r="G89" s="23" t="n">
        <f aca="false">G88*G85</f>
        <v>22.89307125</v>
      </c>
    </row>
    <row r="90" customFormat="false" ht="17.15" hidden="false" customHeight="false" outlineLevel="0" collapsed="false">
      <c r="A90" s="0" t="s">
        <v>537</v>
      </c>
      <c r="B90" s="0" t="s">
        <v>138</v>
      </c>
      <c r="D90" s="25" t="n">
        <f aca="false">0</f>
        <v>0</v>
      </c>
      <c r="E90" s="25" t="n">
        <f aca="false">int_27</f>
        <v>0</v>
      </c>
      <c r="F90" s="25" t="n">
        <f aca="false">int28_B</f>
        <v>0.12</v>
      </c>
      <c r="G90" s="25" t="n">
        <f aca="false">int29_B</f>
        <v>0.3</v>
      </c>
    </row>
    <row r="91" customFormat="false" ht="17.15" hidden="false" customHeight="false" outlineLevel="0" collapsed="false">
      <c r="A91" s="0" t="s">
        <v>538</v>
      </c>
      <c r="B91" s="0" t="s">
        <v>181</v>
      </c>
      <c r="D91" s="23" t="n">
        <f aca="false">D90*D85</f>
        <v>0</v>
      </c>
      <c r="E91" s="23" t="n">
        <f aca="false">E90*E85</f>
        <v>0</v>
      </c>
      <c r="F91" s="23" t="n">
        <f aca="false">F90*F85</f>
        <v>3.66</v>
      </c>
      <c r="G91" s="23" t="n">
        <f aca="false">G90*G85</f>
        <v>9.15</v>
      </c>
    </row>
    <row r="92" customFormat="false" ht="17.15" hidden="false" customHeight="false" outlineLevel="0" collapsed="false">
      <c r="A92" s="3" t="s">
        <v>393</v>
      </c>
      <c r="B92" s="0" t="s">
        <v>181</v>
      </c>
      <c r="C92" s="23" t="n">
        <f aca="false">a25_rev</f>
        <v>237.553</v>
      </c>
      <c r="D92" s="23" t="n">
        <f aca="false">D86+D89+D91</f>
        <v>279.73378</v>
      </c>
      <c r="E92" s="23" t="n">
        <f aca="false">E86+E89+E91</f>
        <v>307.280371137297</v>
      </c>
      <c r="F92" s="23" t="n">
        <f aca="false">F86+F89+F91</f>
        <v>323.100120546344</v>
      </c>
      <c r="G92" s="23" t="n">
        <f aca="false">G86+G89+G91</f>
        <v>361.690218544756</v>
      </c>
      <c r="H92" s="30" t="n">
        <f aca="false">G92*(1+H94)</f>
        <v>395.312209596942</v>
      </c>
      <c r="I92" s="30" t="n">
        <f aca="false">H92*(1+I94)</f>
        <v>421.592165452089</v>
      </c>
      <c r="J92" s="30" t="n">
        <f aca="false">I92*(1+J94)</f>
        <v>438.455852070172</v>
      </c>
      <c r="K92" s="7" t="s">
        <v>539</v>
      </c>
    </row>
    <row r="93" customFormat="false" ht="17.15" hidden="false" customHeight="false" outlineLevel="0" collapsed="false">
      <c r="A93" s="0" t="s">
        <v>540</v>
      </c>
      <c r="B93" s="0" t="s">
        <v>69</v>
      </c>
      <c r="D93" s="21" t="n">
        <f aca="false">D89/D92</f>
        <v>0.0338893643806622</v>
      </c>
      <c r="E93" s="21" t="n">
        <f aca="false">E89/E92</f>
        <v>0.0416883120538679</v>
      </c>
      <c r="F93" s="21" t="n">
        <f aca="false">F89/F92</f>
        <v>0.0459906977901254</v>
      </c>
      <c r="G93" s="21" t="n">
        <f aca="false">G89/G92</f>
        <v>0.0632946927404042</v>
      </c>
    </row>
    <row r="94" customFormat="false" ht="15" hidden="false" customHeight="false" outlineLevel="0" collapsed="false">
      <c r="A94" s="3" t="s">
        <v>541</v>
      </c>
      <c r="B94" s="0" t="s">
        <v>69</v>
      </c>
      <c r="D94" s="21" t="n">
        <f aca="false">D92/C92-1</f>
        <v>0.177563659478096</v>
      </c>
      <c r="E94" s="21" t="n">
        <f aca="false">E92/D92-1</f>
        <v>0.0984743106009476</v>
      </c>
      <c r="F94" s="21" t="n">
        <f aca="false">F92/E92-1</f>
        <v>0.0514831108492082</v>
      </c>
      <c r="G94" s="21" t="n">
        <f aca="false">G92/F92-1</f>
        <v>0.119436965647546</v>
      </c>
      <c r="H94" s="28" t="n">
        <f aca="false">$G94+(fade_gB-$G94)*1/3</f>
        <v>0.092957977098364</v>
      </c>
      <c r="I94" s="28" t="n">
        <f aca="false">$G94+(fade_gB-$G94)*2/3</f>
        <v>0.066478988549182</v>
      </c>
      <c r="J94" s="28" t="n">
        <f aca="false">$G94+(fade_gB-$G94)*3/3</f>
        <v>0.04</v>
      </c>
    </row>
    <row r="95" customFormat="false" ht="17.15" hidden="false" customHeight="false" outlineLevel="0" collapsed="false">
      <c r="A95" s="5" t="s">
        <v>542</v>
      </c>
    </row>
    <row r="96" customFormat="false" ht="15" hidden="false" customHeight="false" outlineLevel="0" collapsed="false">
      <c r="A96" s="3" t="s">
        <v>543</v>
      </c>
      <c r="B96" s="0" t="s">
        <v>181</v>
      </c>
      <c r="D96" s="23" t="n">
        <f aca="false">da_tot26*da_sh</f>
        <v>56.172</v>
      </c>
      <c r="E96" s="23" t="n">
        <f aca="false">D96*(1+dag_27+dag_adj)</f>
        <v>62.91264</v>
      </c>
      <c r="F96" s="23" t="n">
        <f aca="false">E96*(1+dag_28+dag_adj)</f>
        <v>69.203904</v>
      </c>
      <c r="G96" s="23" t="n">
        <f aca="false">F96*(1+dag_29+dag_adj)</f>
        <v>74.74021632</v>
      </c>
    </row>
    <row r="97" customFormat="false" ht="17.15" hidden="false" customHeight="false" outlineLevel="0" collapsed="false">
      <c r="A97" s="3" t="s">
        <v>544</v>
      </c>
      <c r="B97" s="0" t="s">
        <v>545</v>
      </c>
      <c r="D97" s="23" t="n">
        <f aca="false">(D92-a26_gp-D96-(1-m_new)*(D89+D91))/D82*1000</f>
        <v>27.9465727870208</v>
      </c>
      <c r="E97" s="23" t="n">
        <f aca="false">D97*(1+cc_g)</f>
        <v>28.5055042427612</v>
      </c>
      <c r="F97" s="23" t="n">
        <f aca="false">E97*(1+cc_g)</f>
        <v>29.0756143276165</v>
      </c>
      <c r="G97" s="23" t="n">
        <f aca="false">F97*(1+cc_g)</f>
        <v>29.6571266141688</v>
      </c>
      <c r="K97" s="7" t="s">
        <v>546</v>
      </c>
    </row>
    <row r="98" customFormat="false" ht="17.15" hidden="false" customHeight="false" outlineLevel="0" collapsed="false">
      <c r="A98" s="3" t="s">
        <v>547</v>
      </c>
      <c r="B98" s="0" t="s">
        <v>181</v>
      </c>
      <c r="D98" s="23" t="n">
        <f aca="false">D97*D82/1000</f>
        <v>127.2556948</v>
      </c>
      <c r="E98" s="23" t="n">
        <f aca="false">E97*E82/1000</f>
        <v>139.554925450877</v>
      </c>
      <c r="F98" s="23" t="n">
        <f aca="false">F97*F82/1000</f>
        <v>147.233237449184</v>
      </c>
      <c r="G98" s="23" t="n">
        <f aca="false">G97*G82/1000</f>
        <v>162.537370930799</v>
      </c>
    </row>
    <row r="99" customFormat="false" ht="17.15" hidden="false" customHeight="false" outlineLevel="0" collapsed="false">
      <c r="A99" s="3" t="s">
        <v>548</v>
      </c>
      <c r="B99" s="0" t="s">
        <v>181</v>
      </c>
      <c r="D99" s="23" t="n">
        <f aca="false">m_new*(D89+D91)</f>
        <v>4.266</v>
      </c>
      <c r="E99" s="23" t="n">
        <f aca="false">m_new*(E89+E91)</f>
        <v>5.7645</v>
      </c>
      <c r="F99" s="23" t="n">
        <f aca="false">m_new*(F89+F91)</f>
        <v>8.33382</v>
      </c>
      <c r="G99" s="23" t="n">
        <f aca="false">m_new*(G89+G91)</f>
        <v>14.4193820625</v>
      </c>
    </row>
    <row r="100" customFormat="false" ht="15" hidden="false" customHeight="false" outlineLevel="0" collapsed="false">
      <c r="A100" s="3" t="s">
        <v>411</v>
      </c>
      <c r="B100" s="0" t="s">
        <v>181</v>
      </c>
      <c r="C100" s="23" t="n">
        <f aca="false">a25_gp</f>
        <v>68.906</v>
      </c>
      <c r="D100" s="23" t="n">
        <f aca="false">D86-D96-D98+D99</f>
        <v>91.0920852</v>
      </c>
      <c r="E100" s="23" t="n">
        <f aca="false">E86-E96-E98+E99</f>
        <v>97.7673056864201</v>
      </c>
      <c r="F100" s="23" t="n">
        <f aca="false">F86-F96-F98+F99</f>
        <v>96.4771990971601</v>
      </c>
      <c r="G100" s="23" t="n">
        <f aca="false">G86-G96-G98+G99</f>
        <v>106.788942106457</v>
      </c>
    </row>
    <row r="101" customFormat="false" ht="15" hidden="false" customHeight="false" outlineLevel="0" collapsed="false">
      <c r="A101" s="3" t="s">
        <v>413</v>
      </c>
      <c r="B101" s="0" t="s">
        <v>69</v>
      </c>
      <c r="C101" s="15" t="n">
        <f aca="false">C100/C92</f>
        <v>0.290065795843454</v>
      </c>
      <c r="D101" s="15" t="n">
        <f aca="false">D100/D92</f>
        <v>0.325638488136828</v>
      </c>
      <c r="E101" s="15" t="n">
        <f aca="false">E100/E92</f>
        <v>0.318169707113301</v>
      </c>
      <c r="F101" s="15" t="n">
        <f aca="false">F100/F92</f>
        <v>0.298598462092872</v>
      </c>
      <c r="G101" s="15" t="n">
        <f aca="false">G100/G92</f>
        <v>0.295249737568568</v>
      </c>
    </row>
    <row r="102" customFormat="false" ht="15" hidden="false" customHeight="false" outlineLevel="0" collapsed="false">
      <c r="A102" s="3" t="s">
        <v>415</v>
      </c>
      <c r="B102" s="0" t="s">
        <v>181</v>
      </c>
      <c r="C102" s="23" t="n">
        <f aca="false">a25_opx</f>
        <v>25.056</v>
      </c>
      <c r="D102" s="23" t="n">
        <f aca="false">a26_opx</f>
        <v>27.23586</v>
      </c>
      <c r="E102" s="23" t="n">
        <f aca="false">D102*(1+MAX(g_opx_min,phi*E94))</f>
        <v>28.576876268562</v>
      </c>
      <c r="F102" s="23" t="n">
        <f aca="false">E102*(1+MAX(g_opx_min,phi*F94))</f>
        <v>29.4341825566188</v>
      </c>
      <c r="G102" s="23" t="n">
        <f aca="false">F102*(1+MAX(g_opx_min,phi*G94))</f>
        <v>31.1919472820581</v>
      </c>
    </row>
    <row r="103" customFormat="false" ht="15" hidden="false" customHeight="false" outlineLevel="0" collapsed="false">
      <c r="A103" s="3" t="s">
        <v>418</v>
      </c>
      <c r="B103" s="0" t="s">
        <v>181</v>
      </c>
      <c r="C103" s="23" t="n">
        <f aca="false">C100-C102</f>
        <v>43.85</v>
      </c>
      <c r="D103" s="23" t="n">
        <f aca="false">D100-D102</f>
        <v>63.8562252</v>
      </c>
      <c r="E103" s="23" t="n">
        <f aca="false">E100-E102</f>
        <v>69.1904294178581</v>
      </c>
      <c r="F103" s="23" t="n">
        <f aca="false">F100-F102</f>
        <v>67.0430165405413</v>
      </c>
      <c r="G103" s="23" t="n">
        <f aca="false">G100-G102</f>
        <v>75.5969948243993</v>
      </c>
    </row>
    <row r="104" customFormat="false" ht="15" hidden="false" customHeight="false" outlineLevel="0" collapsed="false">
      <c r="A104" s="3" t="s">
        <v>515</v>
      </c>
      <c r="B104" s="0" t="s">
        <v>69</v>
      </c>
      <c r="C104" s="15" t="n">
        <f aca="false">C103/C92</f>
        <v>0.184590386145408</v>
      </c>
      <c r="D104" s="15" t="n">
        <f aca="false">D103/D92</f>
        <v>0.228274987740129</v>
      </c>
      <c r="E104" s="15" t="n">
        <f aca="false">E103/E92</f>
        <v>0.225170352280468</v>
      </c>
      <c r="F104" s="15" t="n">
        <f aca="false">F103/F92</f>
        <v>0.207499200022505</v>
      </c>
      <c r="G104" s="15" t="n">
        <f aca="false">G103/G92</f>
        <v>0.209010337986358</v>
      </c>
    </row>
    <row r="105" customFormat="false" ht="15" hidden="false" customHeight="false" outlineLevel="0" collapsed="false">
      <c r="A105" s="3" t="s">
        <v>421</v>
      </c>
      <c r="B105" s="0" t="s">
        <v>181</v>
      </c>
      <c r="C105" s="23" t="n">
        <f aca="false">a25_nonop</f>
        <v>5.805</v>
      </c>
      <c r="D105" s="23" t="n">
        <f aca="false">a26_nonop</f>
        <v>38.372</v>
      </c>
      <c r="E105" s="23" t="n">
        <f aca="false">nonop_f</f>
        <v>4</v>
      </c>
      <c r="F105" s="23" t="n">
        <f aca="false">nonop_f</f>
        <v>4</v>
      </c>
      <c r="G105" s="23" t="n">
        <f aca="false">nonop_f</f>
        <v>4</v>
      </c>
    </row>
    <row r="106" customFormat="false" ht="15" hidden="false" customHeight="false" outlineLevel="0" collapsed="false">
      <c r="A106" s="3" t="s">
        <v>423</v>
      </c>
      <c r="B106" s="0" t="s">
        <v>181</v>
      </c>
      <c r="C106" s="23" t="n">
        <f aca="false">C103+C105</f>
        <v>49.655</v>
      </c>
      <c r="D106" s="23" t="n">
        <f aca="false">D103+D105</f>
        <v>102.2282252</v>
      </c>
      <c r="E106" s="23" t="n">
        <f aca="false">E103+E105</f>
        <v>73.1904294178581</v>
      </c>
      <c r="F106" s="23" t="n">
        <f aca="false">F103+F105</f>
        <v>71.0430165405413</v>
      </c>
      <c r="G106" s="23" t="n">
        <f aca="false">G103+G105</f>
        <v>79.5969948243993</v>
      </c>
    </row>
    <row r="107" customFormat="false" ht="15" hidden="false" customHeight="false" outlineLevel="0" collapsed="false">
      <c r="A107" s="3" t="s">
        <v>425</v>
      </c>
      <c r="B107" s="0" t="s">
        <v>181</v>
      </c>
      <c r="C107" s="23" t="n">
        <f aca="false">a25_tax</f>
        <v>7.939</v>
      </c>
      <c r="D107" s="23" t="n">
        <f aca="false">a26_tax</f>
        <v>10.493828284</v>
      </c>
      <c r="E107" s="23" t="n">
        <f aca="false">E106*tax</f>
        <v>10.9785644126787</v>
      </c>
      <c r="F107" s="23" t="n">
        <f aca="false">F106*tax</f>
        <v>10.6564524810812</v>
      </c>
      <c r="G107" s="23" t="n">
        <f aca="false">G106*tax</f>
        <v>11.9395492236599</v>
      </c>
    </row>
    <row r="108" customFormat="false" ht="17.15" hidden="false" customHeight="false" outlineLevel="0" collapsed="false">
      <c r="A108" s="3" t="s">
        <v>549</v>
      </c>
      <c r="B108" s="0" t="s">
        <v>181</v>
      </c>
      <c r="C108" s="23" t="n">
        <f aca="false">a25_mi</f>
        <v>0</v>
      </c>
      <c r="D108" s="23" t="n">
        <f aca="false">a26_mi</f>
        <v>-0.134999999999987</v>
      </c>
      <c r="E108" s="23" t="n">
        <f aca="false">0</f>
        <v>0</v>
      </c>
      <c r="F108" s="23" t="n">
        <f aca="false">0</f>
        <v>0</v>
      </c>
      <c r="G108" s="23" t="n">
        <f aca="false">0</f>
        <v>0</v>
      </c>
      <c r="K108" s="7" t="s">
        <v>550</v>
      </c>
    </row>
    <row r="109" customFormat="false" ht="15" hidden="false" customHeight="false" outlineLevel="0" collapsed="false">
      <c r="A109" s="3" t="s">
        <v>428</v>
      </c>
      <c r="B109" s="0" t="s">
        <v>181</v>
      </c>
      <c r="C109" s="23" t="n">
        <f aca="false">C106-C107-C108</f>
        <v>41.716</v>
      </c>
      <c r="D109" s="23" t="n">
        <f aca="false">D106-D107-D108</f>
        <v>91.869396916</v>
      </c>
      <c r="E109" s="23" t="n">
        <f aca="false">E106-E107-E108</f>
        <v>62.2118650051794</v>
      </c>
      <c r="F109" s="23" t="n">
        <f aca="false">F106-F107-F108</f>
        <v>60.3865640594601</v>
      </c>
      <c r="G109" s="23" t="n">
        <f aca="false">G106-G107-G108</f>
        <v>67.6574456007394</v>
      </c>
      <c r="H109" s="30" t="n">
        <f aca="false">H92*H113</f>
        <v>71.4818533834458</v>
      </c>
      <c r="I109" s="30" t="n">
        <f aca="false">I92*I113</f>
        <v>73.6051397064811</v>
      </c>
      <c r="J109" s="30" t="n">
        <f aca="false">J92*J113</f>
        <v>73.8154401056425</v>
      </c>
    </row>
    <row r="110" customFormat="false" ht="15" hidden="false" customHeight="false" outlineLevel="0" collapsed="false">
      <c r="A110" s="3" t="s">
        <v>551</v>
      </c>
      <c r="B110" s="3" t="s">
        <v>250</v>
      </c>
      <c r="C110" s="9" t="n">
        <f aca="false">a25_sh</f>
        <v>12.4898203592814</v>
      </c>
      <c r="D110" s="9" t="n">
        <f aca="false">a26_sh</f>
        <v>12.4754339027235</v>
      </c>
      <c r="E110" s="9" t="n">
        <f aca="false">q_sh*(1+sh_g)</f>
        <v>12.45</v>
      </c>
      <c r="F110" s="9" t="n">
        <f aca="false">E110*(1+sh_g)</f>
        <v>12.45</v>
      </c>
      <c r="G110" s="9" t="n">
        <f aca="false">F110*(1+sh_g)</f>
        <v>12.45</v>
      </c>
      <c r="H110" s="32" t="n">
        <f aca="false">G110*(1+sh_g)</f>
        <v>12.45</v>
      </c>
      <c r="I110" s="32" t="n">
        <f aca="false">H110*(1+sh_g)</f>
        <v>12.45</v>
      </c>
      <c r="J110" s="32" t="n">
        <f aca="false">I110*(1+sh_g)</f>
        <v>12.45</v>
      </c>
    </row>
    <row r="111" customFormat="false" ht="17.15" hidden="false" customHeight="false" outlineLevel="0" collapsed="false">
      <c r="A111" s="0" t="s">
        <v>434</v>
      </c>
      <c r="B111" s="0" t="s">
        <v>260</v>
      </c>
      <c r="C111" s="23" t="n">
        <f aca="false">C109/C110</f>
        <v>3.34</v>
      </c>
      <c r="D111" s="23" t="n">
        <f aca="false">D109/D110</f>
        <v>7.36402418002826</v>
      </c>
      <c r="E111" s="23" t="n">
        <f aca="false">E109/E110</f>
        <v>4.99693694820718</v>
      </c>
      <c r="F111" s="23" t="n">
        <f aca="false">F109/F110</f>
        <v>4.85032643047872</v>
      </c>
      <c r="G111" s="23" t="n">
        <f aca="false">G109/G110</f>
        <v>5.43433297997907</v>
      </c>
      <c r="H111" s="30" t="n">
        <f aca="false">H109/H110</f>
        <v>5.74151432798762</v>
      </c>
      <c r="I111" s="30" t="n">
        <f aca="false">I109/I110</f>
        <v>5.91205941417519</v>
      </c>
      <c r="J111" s="30" t="n">
        <f aca="false">J109/J110</f>
        <v>5.9289510125014</v>
      </c>
    </row>
    <row r="112" customFormat="false" ht="17.15" hidden="false" customHeight="false" outlineLevel="0" collapsed="false">
      <c r="A112" s="0" t="s">
        <v>552</v>
      </c>
      <c r="B112" s="0" t="s">
        <v>69</v>
      </c>
      <c r="D112" s="21" t="n">
        <f aca="false">D111/C111-1</f>
        <v>1.2047976586911</v>
      </c>
      <c r="E112" s="21" t="n">
        <f aca="false">E111/D111-1</f>
        <v>-0.321439361679553</v>
      </c>
      <c r="F112" s="21" t="n">
        <f aca="false">F111/E111-1</f>
        <v>-0.0293400775811394</v>
      </c>
      <c r="G112" s="21" t="n">
        <f aca="false">G111/F111-1</f>
        <v>0.120405617615865</v>
      </c>
      <c r="H112" s="28" t="n">
        <f aca="false">H111/G111-1</f>
        <v>0.0565260445284186</v>
      </c>
      <c r="I112" s="28" t="n">
        <f aca="false">I111/H111-1</f>
        <v>0.0297038510130037</v>
      </c>
      <c r="J112" s="28" t="n">
        <f aca="false">J111/I111-1</f>
        <v>0.00285714285714289</v>
      </c>
    </row>
    <row r="113" customFormat="false" ht="17.15" hidden="false" customHeight="false" outlineLevel="0" collapsed="false">
      <c r="A113" s="3" t="s">
        <v>553</v>
      </c>
      <c r="B113" s="0" t="s">
        <v>69</v>
      </c>
      <c r="C113" s="15" t="n">
        <f aca="false">C109/C92</f>
        <v>0.175607127672562</v>
      </c>
      <c r="D113" s="15" t="n">
        <f aca="false">D109/D92</f>
        <v>0.328417243409073</v>
      </c>
      <c r="E113" s="15" t="n">
        <f aca="false">E109/E92</f>
        <v>0.202459612942157</v>
      </c>
      <c r="F113" s="15" t="n">
        <f aca="false">F109/F92</f>
        <v>0.18689737396987</v>
      </c>
      <c r="G113" s="15" t="n">
        <f aca="false">G109/G92</f>
        <v>0.187059096795473</v>
      </c>
      <c r="H113" s="29" t="n">
        <f aca="false">$G113+($G$113*0.9-$G113)*1/3</f>
        <v>0.180823793568957</v>
      </c>
      <c r="I113" s="29" t="n">
        <f aca="false">$G113+($G$113*0.9-$G113)*2/3</f>
        <v>0.174588490342442</v>
      </c>
      <c r="J113" s="29" t="n">
        <f aca="false">$G113+($G$113*0.9-$G113)*3/3</f>
        <v>0.168353187115926</v>
      </c>
    </row>
    <row r="116" customFormat="false" ht="17.15" hidden="false" customHeight="false" outlineLevel="0" collapsed="false">
      <c r="A116" s="1" t="s">
        <v>839</v>
      </c>
    </row>
    <row r="117" customFormat="false" ht="17.15" hidden="false" customHeight="false" outlineLevel="0" collapsed="false">
      <c r="A117" s="4" t="s">
        <v>24</v>
      </c>
      <c r="B117" s="4" t="s">
        <v>25</v>
      </c>
      <c r="C117" s="16" t="s">
        <v>387</v>
      </c>
      <c r="D117" s="16" t="s">
        <v>505</v>
      </c>
      <c r="E117" s="16" t="s">
        <v>467</v>
      </c>
      <c r="F117" s="16" t="s">
        <v>468</v>
      </c>
      <c r="G117" s="16" t="s">
        <v>469</v>
      </c>
      <c r="H117" s="16" t="s">
        <v>506</v>
      </c>
      <c r="I117" s="16" t="s">
        <v>507</v>
      </c>
      <c r="J117" s="16" t="s">
        <v>508</v>
      </c>
      <c r="K117" s="4" t="s">
        <v>345</v>
      </c>
    </row>
    <row r="118" customFormat="false" ht="17.15" hidden="false" customHeight="false" outlineLevel="0" collapsed="false">
      <c r="A118" s="5" t="s">
        <v>526</v>
      </c>
    </row>
    <row r="119" customFormat="false" ht="17.15" hidden="false" customHeight="false" outlineLevel="0" collapsed="false">
      <c r="A119" s="3" t="s">
        <v>527</v>
      </c>
      <c r="B119" s="3" t="s">
        <v>64</v>
      </c>
      <c r="D119" s="22" t="n">
        <f aca="false">cap_26</f>
        <v>5230.46851955216</v>
      </c>
      <c r="E119" s="22" t="n">
        <f aca="false">D119*(1+capg27)*cap_adj</f>
        <v>5439.68726033425</v>
      </c>
      <c r="F119" s="22" t="n">
        <f aca="false">E119*(1+capg28)</f>
        <v>5820.46536855765</v>
      </c>
      <c r="G119" s="22" t="n">
        <f aca="false">F119*(1+capg29)</f>
        <v>6227.89794435668</v>
      </c>
    </row>
    <row r="120" customFormat="false" ht="15" hidden="false" customHeight="false" outlineLevel="0" collapsed="false">
      <c r="A120" s="3" t="s">
        <v>528</v>
      </c>
      <c r="B120" s="0" t="s">
        <v>69</v>
      </c>
      <c r="D120" s="21" t="n">
        <f aca="false">a26_ship/cap_26</f>
        <v>0.870578781414787</v>
      </c>
      <c r="E120" s="21" t="n">
        <f aca="false">MIN(0.98,ut27_C+ut_adj)</f>
        <v>0.82</v>
      </c>
      <c r="F120" s="21" t="n">
        <f aca="false">MIN(0.98,ut28_C+ut_adj)</f>
        <v>0.76</v>
      </c>
      <c r="G120" s="21" t="n">
        <f aca="false">MIN(0.98,ut29_C+ut_adj)</f>
        <v>0.8</v>
      </c>
    </row>
    <row r="121" customFormat="false" ht="17.15" hidden="false" customHeight="false" outlineLevel="0" collapsed="false">
      <c r="A121" s="3" t="s">
        <v>529</v>
      </c>
      <c r="B121" s="3" t="s">
        <v>64</v>
      </c>
      <c r="D121" s="22" t="n">
        <f aca="false">D119*D120</f>
        <v>4553.53490998013</v>
      </c>
      <c r="E121" s="22" t="n">
        <f aca="false">E119*E120</f>
        <v>4460.54355347409</v>
      </c>
      <c r="F121" s="22" t="n">
        <f aca="false">F119*F120</f>
        <v>4423.55368010381</v>
      </c>
      <c r="G121" s="22" t="n">
        <f aca="false">G119*G120</f>
        <v>4982.31835548535</v>
      </c>
    </row>
    <row r="122" customFormat="false" ht="17.15" hidden="false" customHeight="false" outlineLevel="0" collapsed="false">
      <c r="A122" s="3" t="s">
        <v>530</v>
      </c>
      <c r="B122" s="0" t="s">
        <v>109</v>
      </c>
      <c r="D122" s="22" t="n">
        <f aca="false">asp_26</f>
        <v>1878.17486396824</v>
      </c>
      <c r="E122" s="22" t="n">
        <f aca="false">D122*(1+asp27_C)*(1+asp_adj)</f>
        <v>1878.17486396824</v>
      </c>
      <c r="F122" s="22" t="n">
        <f aca="false">E122*(1+asp28_C)</f>
        <v>1765.48437213015</v>
      </c>
      <c r="G122" s="22" t="n">
        <f aca="false">F122*(1+asp29_C)</f>
        <v>1712.51984096625</v>
      </c>
    </row>
    <row r="123" customFormat="false" ht="15" hidden="false" customHeight="false" outlineLevel="0" collapsed="false">
      <c r="A123" s="3" t="s">
        <v>531</v>
      </c>
      <c r="B123" s="0" t="s">
        <v>69</v>
      </c>
      <c r="E123" s="21" t="n">
        <f aca="false">E122/D122-1</f>
        <v>0</v>
      </c>
      <c r="F123" s="21" t="n">
        <f aca="false">F122/E122-1</f>
        <v>-0.0599999999999999</v>
      </c>
      <c r="G123" s="21" t="n">
        <f aca="false">G122/F122-1</f>
        <v>-0.0299999999999999</v>
      </c>
    </row>
    <row r="124" customFormat="false" ht="15" hidden="false" customHeight="false" outlineLevel="0" collapsed="false">
      <c r="A124" s="3" t="s">
        <v>532</v>
      </c>
      <c r="B124" s="0" t="s">
        <v>35</v>
      </c>
      <c r="D124" s="23" t="n">
        <f aca="false">fx_26</f>
        <v>31.6</v>
      </c>
      <c r="E124" s="23" t="n">
        <f aca="false">fx_lo</f>
        <v>30.5</v>
      </c>
      <c r="F124" s="23" t="n">
        <f aca="false">fx_lo</f>
        <v>30.5</v>
      </c>
      <c r="G124" s="23" t="n">
        <f aca="false">fx_lo</f>
        <v>30.5</v>
      </c>
    </row>
    <row r="125" customFormat="false" ht="17.15" hidden="false" customHeight="false" outlineLevel="0" collapsed="false">
      <c r="A125" s="3" t="s">
        <v>533</v>
      </c>
      <c r="B125" s="0" t="s">
        <v>181</v>
      </c>
      <c r="D125" s="23" t="n">
        <f aca="false">D121*D122*D124/1000000</f>
        <v>270.25378</v>
      </c>
      <c r="E125" s="23" t="n">
        <f aca="false">E121*E122*E124/1000000</f>
        <v>255.519263844004</v>
      </c>
      <c r="F125" s="23" t="n">
        <f aca="false">F121*F122*F124/1000000</f>
        <v>238.196304190814</v>
      </c>
      <c r="G125" s="23" t="n">
        <f aca="false">G121*G122*G124/1000000</f>
        <v>260.235730652259</v>
      </c>
    </row>
    <row r="126" customFormat="false" ht="17.15" hidden="false" customHeight="false" outlineLevel="0" collapsed="false">
      <c r="A126" s="5" t="s">
        <v>534</v>
      </c>
    </row>
    <row r="127" customFormat="false" ht="17.15" hidden="false" customHeight="false" outlineLevel="0" collapsed="false">
      <c r="A127" s="0" t="s">
        <v>535</v>
      </c>
      <c r="B127" s="0" t="s">
        <v>138</v>
      </c>
      <c r="D127" s="25" t="n">
        <f aca="false">ai_26</f>
        <v>0.3</v>
      </c>
      <c r="E127" s="25" t="n">
        <f aca="false">D127*(1+aig27_C)*ai_adj</f>
        <v>0.36</v>
      </c>
      <c r="F127" s="25" t="n">
        <f aca="false">E127*(1+aig_L)*um28_C</f>
        <v>0.3132</v>
      </c>
      <c r="G127" s="25" t="n">
        <f aca="false">F127/um28_C*(1+aig_L)*um29_C</f>
        <v>0.45414</v>
      </c>
    </row>
    <row r="128" customFormat="false" ht="17.15" hidden="false" customHeight="false" outlineLevel="0" collapsed="false">
      <c r="A128" s="0" t="s">
        <v>536</v>
      </c>
      <c r="B128" s="0" t="s">
        <v>181</v>
      </c>
      <c r="D128" s="23" t="n">
        <f aca="false">D127*D124</f>
        <v>9.48</v>
      </c>
      <c r="E128" s="23" t="n">
        <f aca="false">E127*E124</f>
        <v>10.98</v>
      </c>
      <c r="F128" s="23" t="n">
        <f aca="false">F127*F124</f>
        <v>9.5526</v>
      </c>
      <c r="G128" s="23" t="n">
        <f aca="false">G127*G124</f>
        <v>13.85127</v>
      </c>
    </row>
    <row r="129" customFormat="false" ht="17.15" hidden="false" customHeight="false" outlineLevel="0" collapsed="false">
      <c r="A129" s="0" t="s">
        <v>537</v>
      </c>
      <c r="B129" s="0" t="s">
        <v>138</v>
      </c>
      <c r="D129" s="25" t="n">
        <f aca="false">0</f>
        <v>0</v>
      </c>
      <c r="E129" s="25" t="n">
        <f aca="false">int_27</f>
        <v>0</v>
      </c>
      <c r="F129" s="25" t="n">
        <f aca="false">int28_C</f>
        <v>0</v>
      </c>
      <c r="G129" s="25" t="n">
        <f aca="false">int29_C</f>
        <v>0.08</v>
      </c>
    </row>
    <row r="130" customFormat="false" ht="17.15" hidden="false" customHeight="false" outlineLevel="0" collapsed="false">
      <c r="A130" s="0" t="s">
        <v>538</v>
      </c>
      <c r="B130" s="0" t="s">
        <v>181</v>
      </c>
      <c r="D130" s="23" t="n">
        <f aca="false">D129*D124</f>
        <v>0</v>
      </c>
      <c r="E130" s="23" t="n">
        <f aca="false">E129*E124</f>
        <v>0</v>
      </c>
      <c r="F130" s="23" t="n">
        <f aca="false">F129*F124</f>
        <v>0</v>
      </c>
      <c r="G130" s="23" t="n">
        <f aca="false">G129*G124</f>
        <v>2.44</v>
      </c>
    </row>
    <row r="131" customFormat="false" ht="17.15" hidden="false" customHeight="false" outlineLevel="0" collapsed="false">
      <c r="A131" s="3" t="s">
        <v>393</v>
      </c>
      <c r="B131" s="0" t="s">
        <v>181</v>
      </c>
      <c r="C131" s="23" t="n">
        <f aca="false">a25_rev</f>
        <v>237.553</v>
      </c>
      <c r="D131" s="23" t="n">
        <f aca="false">D125+D128+D130</f>
        <v>279.73378</v>
      </c>
      <c r="E131" s="23" t="n">
        <f aca="false">E125+E128+E130</f>
        <v>266.499263844004</v>
      </c>
      <c r="F131" s="23" t="n">
        <f aca="false">F125+F128+F130</f>
        <v>247.748904190814</v>
      </c>
      <c r="G131" s="23" t="n">
        <f aca="false">G125+G128+G130</f>
        <v>276.527000652259</v>
      </c>
      <c r="H131" s="30" t="n">
        <f aca="false">G131*(1+H133)</f>
        <v>299.784455186994</v>
      </c>
      <c r="I131" s="30" t="n">
        <f aca="false">H131*(1+I133)</f>
        <v>315.389067469114</v>
      </c>
      <c r="J131" s="30" t="n">
        <f aca="false">I131*(1+J133)</f>
        <v>321.696848818496</v>
      </c>
      <c r="K131" s="7" t="s">
        <v>539</v>
      </c>
    </row>
    <row r="132" customFormat="false" ht="17.15" hidden="false" customHeight="false" outlineLevel="0" collapsed="false">
      <c r="A132" s="0" t="s">
        <v>540</v>
      </c>
      <c r="B132" s="0" t="s">
        <v>69</v>
      </c>
      <c r="D132" s="21" t="n">
        <f aca="false">D128/D131</f>
        <v>0.0338893643806622</v>
      </c>
      <c r="E132" s="21" t="n">
        <f aca="false">E128/E131</f>
        <v>0.0412008642786615</v>
      </c>
      <c r="F132" s="21" t="n">
        <f aca="false">F128/F131</f>
        <v>0.0385575872926674</v>
      </c>
      <c r="G132" s="21" t="n">
        <f aca="false">G128/G131</f>
        <v>0.0500901176642002</v>
      </c>
    </row>
    <row r="133" customFormat="false" ht="15" hidden="false" customHeight="false" outlineLevel="0" collapsed="false">
      <c r="A133" s="3" t="s">
        <v>541</v>
      </c>
      <c r="B133" s="0" t="s">
        <v>69</v>
      </c>
      <c r="D133" s="21" t="n">
        <f aca="false">D131/C131-1</f>
        <v>0.177563659478096</v>
      </c>
      <c r="E133" s="21" t="n">
        <f aca="false">E131/D131-1</f>
        <v>-0.0473111118578392</v>
      </c>
      <c r="F133" s="21" t="n">
        <f aca="false">F131/E131-1</f>
        <v>-0.0703580166891779</v>
      </c>
      <c r="G133" s="21" t="n">
        <f aca="false">G131/F131-1</f>
        <v>0.116158319874061</v>
      </c>
      <c r="H133" s="28" t="n">
        <f aca="false">$G133+(fade_gC-$G133)*1/3</f>
        <v>0.0841055465827076</v>
      </c>
      <c r="I133" s="28" t="n">
        <f aca="false">$G133+(fade_gC-$G133)*2/3</f>
        <v>0.0520527732913538</v>
      </c>
      <c r="J133" s="28" t="n">
        <f aca="false">$G133+(fade_gC-$G133)*3/3</f>
        <v>0.02</v>
      </c>
    </row>
    <row r="134" customFormat="false" ht="17.15" hidden="false" customHeight="false" outlineLevel="0" collapsed="false">
      <c r="A134" s="5" t="s">
        <v>542</v>
      </c>
    </row>
    <row r="135" customFormat="false" ht="15" hidden="false" customHeight="false" outlineLevel="0" collapsed="false">
      <c r="A135" s="3" t="s">
        <v>543</v>
      </c>
      <c r="B135" s="0" t="s">
        <v>181</v>
      </c>
      <c r="D135" s="23" t="n">
        <f aca="false">da_tot26*da_sh</f>
        <v>56.172</v>
      </c>
      <c r="E135" s="23" t="n">
        <f aca="false">D135*(1+dag_27+dag_adj)</f>
        <v>62.91264</v>
      </c>
      <c r="F135" s="23" t="n">
        <f aca="false">E135*(1+dag_28+dag_adj)</f>
        <v>69.203904</v>
      </c>
      <c r="G135" s="23" t="n">
        <f aca="false">F135*(1+dag_29+dag_adj)</f>
        <v>74.74021632</v>
      </c>
    </row>
    <row r="136" customFormat="false" ht="17.15" hidden="false" customHeight="false" outlineLevel="0" collapsed="false">
      <c r="A136" s="3" t="s">
        <v>544</v>
      </c>
      <c r="B136" s="0" t="s">
        <v>545</v>
      </c>
      <c r="D136" s="23" t="n">
        <f aca="false">(D131-a26_gp-D135-(1-m_new)*(D128+D130))/D121*1000</f>
        <v>27.9465727870208</v>
      </c>
      <c r="E136" s="23" t="n">
        <f aca="false">D136*(1+cc_g)</f>
        <v>28.5055042427612</v>
      </c>
      <c r="F136" s="23" t="n">
        <f aca="false">E136*(1+cc_g)</f>
        <v>29.0756143276165</v>
      </c>
      <c r="G136" s="23" t="n">
        <f aca="false">F136*(1+cc_g)</f>
        <v>29.6571266141688</v>
      </c>
      <c r="K136" s="7" t="s">
        <v>546</v>
      </c>
    </row>
    <row r="137" customFormat="false" ht="17.15" hidden="false" customHeight="false" outlineLevel="0" collapsed="false">
      <c r="A137" s="3" t="s">
        <v>547</v>
      </c>
      <c r="B137" s="0" t="s">
        <v>181</v>
      </c>
      <c r="D137" s="23" t="n">
        <f aca="false">D136*D121/1000</f>
        <v>127.2556948</v>
      </c>
      <c r="E137" s="23" t="n">
        <f aca="false">E136*E121/1000</f>
        <v>127.150043188577</v>
      </c>
      <c r="F137" s="23" t="n">
        <f aca="false">F136*F121/1000</f>
        <v>128.617540760207</v>
      </c>
      <c r="G137" s="23" t="n">
        <f aca="false">G136*G121/1000</f>
        <v>147.761246300726</v>
      </c>
    </row>
    <row r="138" customFormat="false" ht="17.15" hidden="false" customHeight="false" outlineLevel="0" collapsed="false">
      <c r="A138" s="3" t="s">
        <v>548</v>
      </c>
      <c r="B138" s="0" t="s">
        <v>181</v>
      </c>
      <c r="D138" s="23" t="n">
        <f aca="false">m_new*(D128+D130)</f>
        <v>4.266</v>
      </c>
      <c r="E138" s="23" t="n">
        <f aca="false">m_new*(E128+E130)</f>
        <v>4.941</v>
      </c>
      <c r="F138" s="23" t="n">
        <f aca="false">m_new*(F128+F130)</f>
        <v>4.29867</v>
      </c>
      <c r="G138" s="23" t="n">
        <f aca="false">m_new*(G128+G130)</f>
        <v>7.3310715</v>
      </c>
    </row>
    <row r="139" customFormat="false" ht="15" hidden="false" customHeight="false" outlineLevel="0" collapsed="false">
      <c r="A139" s="3" t="s">
        <v>411</v>
      </c>
      <c r="B139" s="0" t="s">
        <v>181</v>
      </c>
      <c r="C139" s="23" t="n">
        <f aca="false">a25_gp</f>
        <v>68.906</v>
      </c>
      <c r="D139" s="23" t="n">
        <f aca="false">D125-D135-D137+D138</f>
        <v>91.0920852</v>
      </c>
      <c r="E139" s="23" t="n">
        <f aca="false">E125-E135-E137+E138</f>
        <v>70.397580655427</v>
      </c>
      <c r="F139" s="23" t="n">
        <f aca="false">F125-F135-F137+F138</f>
        <v>44.6735294306068</v>
      </c>
      <c r="G139" s="23" t="n">
        <f aca="false">G125-G135-G137+G138</f>
        <v>45.0653395315323</v>
      </c>
    </row>
    <row r="140" customFormat="false" ht="15" hidden="false" customHeight="false" outlineLevel="0" collapsed="false">
      <c r="A140" s="3" t="s">
        <v>413</v>
      </c>
      <c r="B140" s="0" t="s">
        <v>69</v>
      </c>
      <c r="C140" s="15" t="n">
        <f aca="false">C139/C131</f>
        <v>0.290065795843454</v>
      </c>
      <c r="D140" s="15" t="n">
        <f aca="false">D139/D131</f>
        <v>0.325638488136828</v>
      </c>
      <c r="E140" s="15" t="n">
        <f aca="false">E139/E131</f>
        <v>0.264156754656682</v>
      </c>
      <c r="F140" s="15" t="n">
        <f aca="false">F139/F131</f>
        <v>0.180317768009984</v>
      </c>
      <c r="G140" s="15" t="n">
        <f aca="false">G139/G131</f>
        <v>0.16296903891929</v>
      </c>
    </row>
    <row r="141" customFormat="false" ht="15" hidden="false" customHeight="false" outlineLevel="0" collapsed="false">
      <c r="A141" s="3" t="s">
        <v>415</v>
      </c>
      <c r="B141" s="0" t="s">
        <v>181</v>
      </c>
      <c r="C141" s="23" t="n">
        <f aca="false">a25_opx</f>
        <v>25.056</v>
      </c>
      <c r="D141" s="23" t="n">
        <f aca="false">a26_opx</f>
        <v>27.23586</v>
      </c>
      <c r="E141" s="23" t="n">
        <f aca="false">D141*(1+MAX(g_opx_min,phi*E133))</f>
        <v>28.0529358</v>
      </c>
      <c r="F141" s="23" t="n">
        <f aca="false">E141*(1+MAX(g_opx_min,phi*F133))</f>
        <v>28.894523874</v>
      </c>
      <c r="G141" s="23" t="n">
        <f aca="false">F141*(1+MAX(g_opx_min,phi*G133))</f>
        <v>30.5726935473824</v>
      </c>
    </row>
    <row r="142" customFormat="false" ht="15" hidden="false" customHeight="false" outlineLevel="0" collapsed="false">
      <c r="A142" s="3" t="s">
        <v>418</v>
      </c>
      <c r="B142" s="0" t="s">
        <v>181</v>
      </c>
      <c r="C142" s="23" t="n">
        <f aca="false">C139-C141</f>
        <v>43.85</v>
      </c>
      <c r="D142" s="23" t="n">
        <f aca="false">D139-D141</f>
        <v>63.8562252</v>
      </c>
      <c r="E142" s="23" t="n">
        <f aca="false">E139-E141</f>
        <v>42.344644855427</v>
      </c>
      <c r="F142" s="23" t="n">
        <f aca="false">F139-F141</f>
        <v>15.7790055566068</v>
      </c>
      <c r="G142" s="23" t="n">
        <f aca="false">G139-G141</f>
        <v>14.4926459841499</v>
      </c>
    </row>
    <row r="143" customFormat="false" ht="15" hidden="false" customHeight="false" outlineLevel="0" collapsed="false">
      <c r="A143" s="3" t="s">
        <v>515</v>
      </c>
      <c r="B143" s="0" t="s">
        <v>69</v>
      </c>
      <c r="C143" s="15" t="n">
        <f aca="false">C142/C131</f>
        <v>0.184590386145408</v>
      </c>
      <c r="D143" s="15" t="n">
        <f aca="false">D142/D131</f>
        <v>0.228274987740129</v>
      </c>
      <c r="E143" s="15" t="n">
        <f aca="false">E142/E131</f>
        <v>0.158892164445953</v>
      </c>
      <c r="F143" s="15" t="n">
        <f aca="false">F142/F131</f>
        <v>0.0636895069552113</v>
      </c>
      <c r="G143" s="15" t="n">
        <f aca="false">G142/G131</f>
        <v>0.0524095149839451</v>
      </c>
    </row>
    <row r="144" customFormat="false" ht="15" hidden="false" customHeight="false" outlineLevel="0" collapsed="false">
      <c r="A144" s="3" t="s">
        <v>421</v>
      </c>
      <c r="B144" s="0" t="s">
        <v>181</v>
      </c>
      <c r="C144" s="23" t="n">
        <f aca="false">a25_nonop</f>
        <v>5.805</v>
      </c>
      <c r="D144" s="23" t="n">
        <f aca="false">a26_nonop</f>
        <v>38.372</v>
      </c>
      <c r="E144" s="23" t="n">
        <f aca="false">nonop_f</f>
        <v>4</v>
      </c>
      <c r="F144" s="23" t="n">
        <f aca="false">nonop_f</f>
        <v>4</v>
      </c>
      <c r="G144" s="23" t="n">
        <f aca="false">nonop_f</f>
        <v>4</v>
      </c>
    </row>
    <row r="145" customFormat="false" ht="15" hidden="false" customHeight="false" outlineLevel="0" collapsed="false">
      <c r="A145" s="3" t="s">
        <v>423</v>
      </c>
      <c r="B145" s="0" t="s">
        <v>181</v>
      </c>
      <c r="C145" s="23" t="n">
        <f aca="false">C142+C144</f>
        <v>49.655</v>
      </c>
      <c r="D145" s="23" t="n">
        <f aca="false">D142+D144</f>
        <v>102.2282252</v>
      </c>
      <c r="E145" s="23" t="n">
        <f aca="false">E142+E144</f>
        <v>46.344644855427</v>
      </c>
      <c r="F145" s="23" t="n">
        <f aca="false">F142+F144</f>
        <v>19.7790055566068</v>
      </c>
      <c r="G145" s="23" t="n">
        <f aca="false">G142+G144</f>
        <v>18.4926459841499</v>
      </c>
    </row>
    <row r="146" customFormat="false" ht="15" hidden="false" customHeight="false" outlineLevel="0" collapsed="false">
      <c r="A146" s="3" t="s">
        <v>425</v>
      </c>
      <c r="B146" s="0" t="s">
        <v>181</v>
      </c>
      <c r="C146" s="23" t="n">
        <f aca="false">a25_tax</f>
        <v>7.939</v>
      </c>
      <c r="D146" s="23" t="n">
        <f aca="false">a26_tax</f>
        <v>10.493828284</v>
      </c>
      <c r="E146" s="23" t="n">
        <f aca="false">E145*tax</f>
        <v>6.95169672831405</v>
      </c>
      <c r="F146" s="23" t="n">
        <f aca="false">F145*tax</f>
        <v>2.96685083349102</v>
      </c>
      <c r="G146" s="23" t="n">
        <f aca="false">G145*tax</f>
        <v>2.77389689762249</v>
      </c>
    </row>
    <row r="147" customFormat="false" ht="17.15" hidden="false" customHeight="false" outlineLevel="0" collapsed="false">
      <c r="A147" s="3" t="s">
        <v>549</v>
      </c>
      <c r="B147" s="0" t="s">
        <v>181</v>
      </c>
      <c r="C147" s="23" t="n">
        <f aca="false">a25_mi</f>
        <v>0</v>
      </c>
      <c r="D147" s="23" t="n">
        <f aca="false">a26_mi</f>
        <v>-0.134999999999987</v>
      </c>
      <c r="E147" s="23" t="n">
        <f aca="false">0</f>
        <v>0</v>
      </c>
      <c r="F147" s="23" t="n">
        <f aca="false">0</f>
        <v>0</v>
      </c>
      <c r="G147" s="23" t="n">
        <f aca="false">0</f>
        <v>0</v>
      </c>
      <c r="K147" s="7" t="s">
        <v>550</v>
      </c>
    </row>
    <row r="148" customFormat="false" ht="15" hidden="false" customHeight="false" outlineLevel="0" collapsed="false">
      <c r="A148" s="3" t="s">
        <v>428</v>
      </c>
      <c r="B148" s="0" t="s">
        <v>181</v>
      </c>
      <c r="C148" s="23" t="n">
        <f aca="false">C145-C146-C147</f>
        <v>41.716</v>
      </c>
      <c r="D148" s="23" t="n">
        <f aca="false">D145-D146-D147</f>
        <v>91.869396916</v>
      </c>
      <c r="E148" s="23" t="n">
        <f aca="false">E145-E146-E147</f>
        <v>39.3929481271129</v>
      </c>
      <c r="F148" s="23" t="n">
        <f aca="false">F145-F146-F147</f>
        <v>16.8121547231158</v>
      </c>
      <c r="G148" s="23" t="n">
        <f aca="false">G145-G146-G147</f>
        <v>15.7187490865274</v>
      </c>
      <c r="H148" s="30" t="n">
        <f aca="false">H131*H152</f>
        <v>15.9047308653765</v>
      </c>
      <c r="I148" s="30" t="n">
        <f aca="false">I131*I152</f>
        <v>15.5374293428454</v>
      </c>
      <c r="J148" s="30" t="n">
        <f aca="false">J131*J152</f>
        <v>14.6290873197252</v>
      </c>
    </row>
    <row r="149" customFormat="false" ht="15" hidden="false" customHeight="false" outlineLevel="0" collapsed="false">
      <c r="A149" s="3" t="s">
        <v>551</v>
      </c>
      <c r="B149" s="3" t="s">
        <v>250</v>
      </c>
      <c r="C149" s="9" t="n">
        <f aca="false">a25_sh</f>
        <v>12.4898203592814</v>
      </c>
      <c r="D149" s="9" t="n">
        <f aca="false">a26_sh</f>
        <v>12.4754339027235</v>
      </c>
      <c r="E149" s="9" t="n">
        <f aca="false">q_sh*(1+sh_g)</f>
        <v>12.45</v>
      </c>
      <c r="F149" s="9" t="n">
        <f aca="false">E149*(1+sh_g)</f>
        <v>12.45</v>
      </c>
      <c r="G149" s="9" t="n">
        <f aca="false">F149*(1+sh_g)</f>
        <v>12.45</v>
      </c>
      <c r="H149" s="32" t="n">
        <f aca="false">G149*(1+sh_g)</f>
        <v>12.45</v>
      </c>
      <c r="I149" s="32" t="n">
        <f aca="false">H149*(1+sh_g)</f>
        <v>12.45</v>
      </c>
      <c r="J149" s="32" t="n">
        <f aca="false">I149*(1+sh_g)</f>
        <v>12.45</v>
      </c>
    </row>
    <row r="150" customFormat="false" ht="17.15" hidden="false" customHeight="false" outlineLevel="0" collapsed="false">
      <c r="A150" s="0" t="s">
        <v>434</v>
      </c>
      <c r="B150" s="0" t="s">
        <v>260</v>
      </c>
      <c r="C150" s="23" t="n">
        <f aca="false">C148/C149</f>
        <v>3.34</v>
      </c>
      <c r="D150" s="23" t="n">
        <f aca="false">D148/D149</f>
        <v>7.36402418002826</v>
      </c>
      <c r="E150" s="23" t="n">
        <f aca="false">E148/E149</f>
        <v>3.16409221904522</v>
      </c>
      <c r="F150" s="23" t="n">
        <f aca="false">F148/F149</f>
        <v>1.35037387334263</v>
      </c>
      <c r="G150" s="23" t="n">
        <f aca="false">G148/G149</f>
        <v>1.26255012743192</v>
      </c>
      <c r="H150" s="30" t="n">
        <f aca="false">H148/H149</f>
        <v>1.27748842292181</v>
      </c>
      <c r="I150" s="30" t="n">
        <f aca="false">I148/I149</f>
        <v>1.24798629259802</v>
      </c>
      <c r="J150" s="30" t="n">
        <f aca="false">J148/J149</f>
        <v>1.17502709395383</v>
      </c>
    </row>
    <row r="151" customFormat="false" ht="17.15" hidden="false" customHeight="false" outlineLevel="0" collapsed="false">
      <c r="A151" s="0" t="s">
        <v>552</v>
      </c>
      <c r="B151" s="0" t="s">
        <v>69</v>
      </c>
      <c r="D151" s="21" t="n">
        <f aca="false">D150/C150-1</f>
        <v>1.2047976586911</v>
      </c>
      <c r="E151" s="21" t="n">
        <f aca="false">E150/D150-1</f>
        <v>-0.570331093204929</v>
      </c>
      <c r="F151" s="21" t="n">
        <f aca="false">F150/E150-1</f>
        <v>-0.573219179512373</v>
      </c>
      <c r="G151" s="21" t="n">
        <f aca="false">G150/F150-1</f>
        <v>-0.0650366151511191</v>
      </c>
      <c r="H151" s="28" t="n">
        <f aca="false">H150/G150-1</f>
        <v>0.0118318434771938</v>
      </c>
      <c r="I151" s="28" t="n">
        <f aca="false">I150/H150-1</f>
        <v>-0.0230938533723141</v>
      </c>
      <c r="J151" s="28" t="n">
        <f aca="false">J150/I150-1</f>
        <v>-0.0584615384615386</v>
      </c>
    </row>
    <row r="152" customFormat="false" ht="17.15" hidden="false" customHeight="false" outlineLevel="0" collapsed="false">
      <c r="A152" s="3" t="s">
        <v>553</v>
      </c>
      <c r="B152" s="0" t="s">
        <v>69</v>
      </c>
      <c r="C152" s="15" t="n">
        <f aca="false">C148/C131</f>
        <v>0.175607127672562</v>
      </c>
      <c r="D152" s="15" t="n">
        <f aca="false">D148/D131</f>
        <v>0.328417243409073</v>
      </c>
      <c r="E152" s="15" t="n">
        <f aca="false">E148/E131</f>
        <v>0.147816348754238</v>
      </c>
      <c r="F152" s="15" t="n">
        <f aca="false">F148/F131</f>
        <v>0.0678596532163356</v>
      </c>
      <c r="G152" s="15" t="n">
        <f aca="false">G148/G131</f>
        <v>0.0568434512704033</v>
      </c>
      <c r="H152" s="29" t="n">
        <f aca="false">$G152+($G$152*0.8-$G152)*1/3</f>
        <v>0.0530538878523764</v>
      </c>
      <c r="I152" s="29" t="n">
        <f aca="false">$G152+($G$152*0.8-$G152)*2/3</f>
        <v>0.0492643244343495</v>
      </c>
      <c r="J152" s="29" t="n">
        <f aca="false">$G152+($G$152*0.8-$G152)*3/3</f>
        <v>0.0454747610163226</v>
      </c>
    </row>
    <row r="155" customFormat="false" ht="17.15" hidden="false" customHeight="false" outlineLevel="0" collapsed="false">
      <c r="A155" s="1" t="s">
        <v>840</v>
      </c>
    </row>
    <row r="156" customFormat="false" ht="17.15" hidden="false" customHeight="false" outlineLevel="0" collapsed="false">
      <c r="A156" s="4" t="s">
        <v>24</v>
      </c>
      <c r="B156" s="4" t="s">
        <v>25</v>
      </c>
      <c r="C156" s="16" t="s">
        <v>387</v>
      </c>
      <c r="D156" s="16" t="s">
        <v>505</v>
      </c>
      <c r="E156" s="16" t="s">
        <v>467</v>
      </c>
      <c r="F156" s="16" t="s">
        <v>468</v>
      </c>
      <c r="G156" s="16" t="s">
        <v>469</v>
      </c>
      <c r="H156" s="16" t="s">
        <v>506</v>
      </c>
      <c r="I156" s="16" t="s">
        <v>507</v>
      </c>
      <c r="J156" s="16" t="s">
        <v>508</v>
      </c>
      <c r="K156" s="4" t="s">
        <v>345</v>
      </c>
    </row>
    <row r="157" customFormat="false" ht="17.15" hidden="false" customHeight="false" outlineLevel="0" collapsed="false">
      <c r="A157" s="5" t="s">
        <v>526</v>
      </c>
    </row>
    <row r="158" customFormat="false" ht="17.15" hidden="false" customHeight="false" outlineLevel="0" collapsed="false">
      <c r="A158" s="3" t="s">
        <v>527</v>
      </c>
      <c r="B158" s="3" t="s">
        <v>64</v>
      </c>
      <c r="D158" s="22" t="n">
        <f aca="false">cap_26</f>
        <v>5230.46851955216</v>
      </c>
      <c r="E158" s="22" t="n">
        <f aca="false">D158*(1+capg27)*cap_adj</f>
        <v>5439.68726033425</v>
      </c>
      <c r="F158" s="22" t="n">
        <f aca="false">E158*(1+capg28)</f>
        <v>5820.46536855765</v>
      </c>
      <c r="G158" s="22" t="n">
        <f aca="false">F158*(1+capg29)</f>
        <v>6227.89794435668</v>
      </c>
    </row>
    <row r="159" customFormat="false" ht="15" hidden="false" customHeight="false" outlineLevel="0" collapsed="false">
      <c r="A159" s="3" t="s">
        <v>528</v>
      </c>
      <c r="B159" s="0" t="s">
        <v>69</v>
      </c>
      <c r="D159" s="21" t="n">
        <f aca="false">a26_ship/cap_26</f>
        <v>0.870578781414787</v>
      </c>
      <c r="E159" s="21" t="n">
        <f aca="false">MIN(0.98,ut27_A+ut_adj)</f>
        <v>0.95</v>
      </c>
      <c r="F159" s="21" t="n">
        <f aca="false">MIN(0.98,ut28_A+ut_adj)</f>
        <v>0.94</v>
      </c>
      <c r="G159" s="21" t="n">
        <f aca="false">MIN(0.98,ut29_A+ut_adj)</f>
        <v>0.93</v>
      </c>
    </row>
    <row r="160" customFormat="false" ht="17.15" hidden="false" customHeight="false" outlineLevel="0" collapsed="false">
      <c r="A160" s="3" t="s">
        <v>529</v>
      </c>
      <c r="B160" s="3" t="s">
        <v>64</v>
      </c>
      <c r="D160" s="22" t="n">
        <f aca="false">D158*D159</f>
        <v>4553.53490998013</v>
      </c>
      <c r="E160" s="22" t="n">
        <f aca="false">E158*E159</f>
        <v>5167.70289731754</v>
      </c>
      <c r="F160" s="22" t="n">
        <f aca="false">F158*F159</f>
        <v>5471.23744644419</v>
      </c>
      <c r="G160" s="22" t="n">
        <f aca="false">G158*G159</f>
        <v>5791.94508825172</v>
      </c>
    </row>
    <row r="161" customFormat="false" ht="17.15" hidden="false" customHeight="false" outlineLevel="0" collapsed="false">
      <c r="A161" s="3" t="s">
        <v>530</v>
      </c>
      <c r="B161" s="0" t="s">
        <v>109</v>
      </c>
      <c r="D161" s="22" t="n">
        <f aca="false">asp_26</f>
        <v>1878.17486396824</v>
      </c>
      <c r="E161" s="22" t="n">
        <f aca="false">D161*(1+asp27_A)*(1+asp_adj)</f>
        <v>2065.99235036507</v>
      </c>
      <c r="F161" s="22" t="n">
        <f aca="false">E161*(1+asp28_A)</f>
        <v>2127.97212087602</v>
      </c>
      <c r="G161" s="22" t="n">
        <f aca="false">F161*(1+asp29_A)</f>
        <v>2170.53156329354</v>
      </c>
    </row>
    <row r="162" customFormat="false" ht="15" hidden="false" customHeight="false" outlineLevel="0" collapsed="false">
      <c r="A162" s="3" t="s">
        <v>531</v>
      </c>
      <c r="B162" s="0" t="s">
        <v>69</v>
      </c>
      <c r="E162" s="21" t="n">
        <f aca="false">E161/D161-1</f>
        <v>0.1</v>
      </c>
      <c r="F162" s="21" t="n">
        <f aca="false">F161/E161-1</f>
        <v>0.03</v>
      </c>
      <c r="G162" s="21" t="n">
        <f aca="false">G161/F161-1</f>
        <v>0.02</v>
      </c>
    </row>
    <row r="163" customFormat="false" ht="15" hidden="false" customHeight="false" outlineLevel="0" collapsed="false">
      <c r="A163" s="3" t="s">
        <v>532</v>
      </c>
      <c r="B163" s="0" t="s">
        <v>35</v>
      </c>
      <c r="D163" s="23" t="n">
        <f aca="false">fx_26</f>
        <v>31.6</v>
      </c>
      <c r="E163" s="23" t="n">
        <f aca="false">fx_hi</f>
        <v>33</v>
      </c>
      <c r="F163" s="23" t="n">
        <f aca="false">fx_hi</f>
        <v>33</v>
      </c>
      <c r="G163" s="23" t="n">
        <f aca="false">fx_hi</f>
        <v>33</v>
      </c>
    </row>
    <row r="164" customFormat="false" ht="17.15" hidden="false" customHeight="false" outlineLevel="0" collapsed="false">
      <c r="A164" s="3" t="s">
        <v>533</v>
      </c>
      <c r="B164" s="0" t="s">
        <v>181</v>
      </c>
      <c r="D164" s="23" t="n">
        <f aca="false">D160*D161*D163/1000000</f>
        <v>270.25378</v>
      </c>
      <c r="E164" s="23" t="n">
        <f aca="false">E160*E161*E163/1000000</f>
        <v>352.322343608975</v>
      </c>
      <c r="F164" s="23" t="n">
        <f aca="false">F160*F161*F163/1000000</f>
        <v>384.207144839963</v>
      </c>
      <c r="G164" s="23" t="n">
        <f aca="false">G160*G161*G163/1000000</f>
        <v>414.86278768814</v>
      </c>
    </row>
    <row r="165" customFormat="false" ht="17.15" hidden="false" customHeight="false" outlineLevel="0" collapsed="false">
      <c r="A165" s="5" t="s">
        <v>534</v>
      </c>
    </row>
    <row r="166" customFormat="false" ht="17.15" hidden="false" customHeight="false" outlineLevel="0" collapsed="false">
      <c r="A166" s="0" t="s">
        <v>535</v>
      </c>
      <c r="B166" s="0" t="s">
        <v>138</v>
      </c>
      <c r="D166" s="25" t="n">
        <f aca="false">ai_26</f>
        <v>0.3</v>
      </c>
      <c r="E166" s="25" t="n">
        <f aca="false">D166*(1+aig27_A)*ai_adj</f>
        <v>0.48</v>
      </c>
      <c r="F166" s="25" t="n">
        <f aca="false">E166*(1+aig_L)*um28_A</f>
        <v>0.696</v>
      </c>
      <c r="G166" s="25" t="n">
        <f aca="false">F166/um28_A*(1+aig_L)*um29_A</f>
        <v>1.0092</v>
      </c>
    </row>
    <row r="167" customFormat="false" ht="17.15" hidden="false" customHeight="false" outlineLevel="0" collapsed="false">
      <c r="A167" s="0" t="s">
        <v>536</v>
      </c>
      <c r="B167" s="0" t="s">
        <v>181</v>
      </c>
      <c r="D167" s="23" t="n">
        <f aca="false">D166*D163</f>
        <v>9.48</v>
      </c>
      <c r="E167" s="23" t="n">
        <f aca="false">E166*E163</f>
        <v>15.84</v>
      </c>
      <c r="F167" s="23" t="n">
        <f aca="false">F166*F163</f>
        <v>22.968</v>
      </c>
      <c r="G167" s="23" t="n">
        <f aca="false">G166*G163</f>
        <v>33.3036</v>
      </c>
    </row>
    <row r="168" customFormat="false" ht="17.15" hidden="false" customHeight="false" outlineLevel="0" collapsed="false">
      <c r="A168" s="0" t="s">
        <v>537</v>
      </c>
      <c r="B168" s="0" t="s">
        <v>138</v>
      </c>
      <c r="D168" s="25" t="n">
        <f aca="false">0</f>
        <v>0</v>
      </c>
      <c r="E168" s="25" t="n">
        <f aca="false">int_27</f>
        <v>0</v>
      </c>
      <c r="F168" s="25" t="n">
        <f aca="false">int28_A</f>
        <v>0.25</v>
      </c>
      <c r="G168" s="25" t="n">
        <f aca="false">int29_A</f>
        <v>0.5</v>
      </c>
    </row>
    <row r="169" customFormat="false" ht="17.15" hidden="false" customHeight="false" outlineLevel="0" collapsed="false">
      <c r="A169" s="0" t="s">
        <v>538</v>
      </c>
      <c r="B169" s="0" t="s">
        <v>181</v>
      </c>
      <c r="D169" s="23" t="n">
        <f aca="false">D168*D163</f>
        <v>0</v>
      </c>
      <c r="E169" s="23" t="n">
        <f aca="false">E168*E163</f>
        <v>0</v>
      </c>
      <c r="F169" s="23" t="n">
        <f aca="false">F168*F163</f>
        <v>8.25</v>
      </c>
      <c r="G169" s="23" t="n">
        <f aca="false">G168*G163</f>
        <v>16.5</v>
      </c>
    </row>
    <row r="170" customFormat="false" ht="17.15" hidden="false" customHeight="false" outlineLevel="0" collapsed="false">
      <c r="A170" s="3" t="s">
        <v>393</v>
      </c>
      <c r="B170" s="0" t="s">
        <v>181</v>
      </c>
      <c r="C170" s="23" t="n">
        <f aca="false">a25_rev</f>
        <v>237.553</v>
      </c>
      <c r="D170" s="23" t="n">
        <f aca="false">D164+D167+D169</f>
        <v>279.73378</v>
      </c>
      <c r="E170" s="23" t="n">
        <f aca="false">E164+E167+E169</f>
        <v>368.162343608975</v>
      </c>
      <c r="F170" s="23" t="n">
        <f aca="false">F164+F167+F169</f>
        <v>415.425144839963</v>
      </c>
      <c r="G170" s="23" t="n">
        <f aca="false">G164+G167+G169</f>
        <v>464.66638768814</v>
      </c>
      <c r="H170" s="30" t="n">
        <f aca="false">G170*(1+H172)</f>
        <v>510.678324837188</v>
      </c>
      <c r="I170" s="30" t="n">
        <f aca="false">H170*(1+I172)</f>
        <v>551.282727408564</v>
      </c>
      <c r="J170" s="30" t="n">
        <f aca="false">I170*(1+J172)</f>
        <v>584.359691053078</v>
      </c>
      <c r="K170" s="7" t="s">
        <v>539</v>
      </c>
    </row>
    <row r="171" customFormat="false" ht="17.15" hidden="false" customHeight="false" outlineLevel="0" collapsed="false">
      <c r="A171" s="0" t="s">
        <v>540</v>
      </c>
      <c r="B171" s="0" t="s">
        <v>69</v>
      </c>
      <c r="D171" s="21" t="n">
        <f aca="false">D167/D170</f>
        <v>0.0338893643806622</v>
      </c>
      <c r="E171" s="21" t="n">
        <f aca="false">E167/E170</f>
        <v>0.0430244979557813</v>
      </c>
      <c r="F171" s="21" t="n">
        <f aca="false">F167/F170</f>
        <v>0.0552879388387723</v>
      </c>
      <c r="G171" s="21" t="n">
        <f aca="false">G167/G170</f>
        <v>0.0716720659862999</v>
      </c>
    </row>
    <row r="172" customFormat="false" ht="15" hidden="false" customHeight="false" outlineLevel="0" collapsed="false">
      <c r="A172" s="3" t="s">
        <v>541</v>
      </c>
      <c r="B172" s="0" t="s">
        <v>69</v>
      </c>
      <c r="D172" s="21" t="n">
        <f aca="false">D170/C170-1</f>
        <v>0.177563659478096</v>
      </c>
      <c r="E172" s="21" t="n">
        <f aca="false">E170/D170-1</f>
        <v>0.316116857996111</v>
      </c>
      <c r="F172" s="21" t="n">
        <f aca="false">F170/E170-1</f>
        <v>0.128374892357772</v>
      </c>
      <c r="G172" s="21" t="n">
        <f aca="false">G170/F170-1</f>
        <v>0.118532167491082</v>
      </c>
      <c r="H172" s="28" t="n">
        <f aca="false">$G172+(fade_gA-$G172)*1/3</f>
        <v>0.099021444994055</v>
      </c>
      <c r="I172" s="28" t="n">
        <f aca="false">$G172+(fade_gA-$G172)*2/3</f>
        <v>0.0795107224970275</v>
      </c>
      <c r="J172" s="28" t="n">
        <f aca="false">$G172+(fade_gA-$G172)*3/3</f>
        <v>0.06</v>
      </c>
    </row>
    <row r="173" customFormat="false" ht="17.15" hidden="false" customHeight="false" outlineLevel="0" collapsed="false">
      <c r="A173" s="5" t="s">
        <v>542</v>
      </c>
    </row>
    <row r="174" customFormat="false" ht="15" hidden="false" customHeight="false" outlineLevel="0" collapsed="false">
      <c r="A174" s="3" t="s">
        <v>543</v>
      </c>
      <c r="B174" s="0" t="s">
        <v>181</v>
      </c>
      <c r="D174" s="23" t="n">
        <f aca="false">da_tot26*da_sh</f>
        <v>56.172</v>
      </c>
      <c r="E174" s="23" t="n">
        <f aca="false">D174*(1+dag_27+dag_adj)</f>
        <v>62.91264</v>
      </c>
      <c r="F174" s="23" t="n">
        <f aca="false">E174*(1+dag_28+dag_adj)</f>
        <v>69.203904</v>
      </c>
      <c r="G174" s="23" t="n">
        <f aca="false">F174*(1+dag_29+dag_adj)</f>
        <v>74.74021632</v>
      </c>
    </row>
    <row r="175" customFormat="false" ht="17.15" hidden="false" customHeight="false" outlineLevel="0" collapsed="false">
      <c r="A175" s="3" t="s">
        <v>544</v>
      </c>
      <c r="B175" s="0" t="s">
        <v>545</v>
      </c>
      <c r="D175" s="23" t="n">
        <f aca="false">(D170-a26_gp-D174-(1-m_new)*(D167+D169))/D160*1000</f>
        <v>27.9465727870208</v>
      </c>
      <c r="E175" s="23" t="n">
        <f aca="false">D175*(1+cc_g)</f>
        <v>28.5055042427612</v>
      </c>
      <c r="F175" s="23" t="n">
        <f aca="false">E175*(1+cc_g)</f>
        <v>29.0756143276165</v>
      </c>
      <c r="G175" s="23" t="n">
        <f aca="false">F175*(1+cc_g)</f>
        <v>29.6571266141688</v>
      </c>
      <c r="K175" s="7" t="s">
        <v>546</v>
      </c>
    </row>
    <row r="176" customFormat="false" ht="17.15" hidden="false" customHeight="false" outlineLevel="0" collapsed="false">
      <c r="A176" s="3" t="s">
        <v>547</v>
      </c>
      <c r="B176" s="0" t="s">
        <v>181</v>
      </c>
      <c r="D176" s="23" t="n">
        <f aca="false">D175*D160/1000</f>
        <v>127.2556948</v>
      </c>
      <c r="E176" s="23" t="n">
        <f aca="false">E175*E160/1000</f>
        <v>147.307976864815</v>
      </c>
      <c r="F176" s="23" t="n">
        <f aca="false">F175*F160/1000</f>
        <v>159.079589887624</v>
      </c>
      <c r="G176" s="23" t="n">
        <f aca="false">G175*G160/1000</f>
        <v>171.772448824594</v>
      </c>
    </row>
    <row r="177" customFormat="false" ht="17.15" hidden="false" customHeight="false" outlineLevel="0" collapsed="false">
      <c r="A177" s="3" t="s">
        <v>548</v>
      </c>
      <c r="B177" s="0" t="s">
        <v>181</v>
      </c>
      <c r="D177" s="23" t="n">
        <f aca="false">m_new*(D167+D169)</f>
        <v>4.266</v>
      </c>
      <c r="E177" s="23" t="n">
        <f aca="false">m_new*(E167+E169)</f>
        <v>7.128</v>
      </c>
      <c r="F177" s="23" t="n">
        <f aca="false">m_new*(F167+F169)</f>
        <v>14.0481</v>
      </c>
      <c r="G177" s="23" t="n">
        <f aca="false">m_new*(G167+G169)</f>
        <v>22.41162</v>
      </c>
    </row>
    <row r="178" customFormat="false" ht="15" hidden="false" customHeight="false" outlineLevel="0" collapsed="false">
      <c r="A178" s="3" t="s">
        <v>411</v>
      </c>
      <c r="B178" s="0" t="s">
        <v>181</v>
      </c>
      <c r="C178" s="23" t="n">
        <f aca="false">a25_gp</f>
        <v>68.906</v>
      </c>
      <c r="D178" s="23" t="n">
        <f aca="false">D164-D174-D176+D177</f>
        <v>91.0920852</v>
      </c>
      <c r="E178" s="23" t="n">
        <f aca="false">E164-E174-E176+E177</f>
        <v>149.229726744161</v>
      </c>
      <c r="F178" s="23" t="n">
        <f aca="false">F164-F174-F176+F177</f>
        <v>169.971750952338</v>
      </c>
      <c r="G178" s="23" t="n">
        <f aca="false">G164-G174-G176+G177</f>
        <v>190.761742543546</v>
      </c>
    </row>
    <row r="179" customFormat="false" ht="15" hidden="false" customHeight="false" outlineLevel="0" collapsed="false">
      <c r="A179" s="3" t="s">
        <v>413</v>
      </c>
      <c r="B179" s="0" t="s">
        <v>69</v>
      </c>
      <c r="C179" s="15" t="n">
        <f aca="false">C178/C170</f>
        <v>0.290065795843454</v>
      </c>
      <c r="D179" s="15" t="n">
        <f aca="false">D178/D170</f>
        <v>0.325638488136828</v>
      </c>
      <c r="E179" s="15" t="n">
        <f aca="false">E178/E170</f>
        <v>0.405336747048355</v>
      </c>
      <c r="F179" s="15" t="n">
        <f aca="false">F178/F170</f>
        <v>0.409151331024553</v>
      </c>
      <c r="G179" s="15" t="n">
        <f aca="false">G178/G170</f>
        <v>0.410534843057285</v>
      </c>
    </row>
    <row r="180" customFormat="false" ht="15" hidden="false" customHeight="false" outlineLevel="0" collapsed="false">
      <c r="A180" s="3" t="s">
        <v>415</v>
      </c>
      <c r="B180" s="0" t="s">
        <v>181</v>
      </c>
      <c r="C180" s="23" t="n">
        <f aca="false">a25_opx</f>
        <v>25.056</v>
      </c>
      <c r="D180" s="23" t="n">
        <f aca="false">a26_opx</f>
        <v>27.23586</v>
      </c>
      <c r="E180" s="23" t="n">
        <f aca="false">D180*(1+MAX(g_opx_min,phi*E172))</f>
        <v>31.540717244011</v>
      </c>
      <c r="F180" s="23" t="n">
        <f aca="false">E180*(1+MAX(g_opx_min,phi*F172))</f>
        <v>33.5652353345544</v>
      </c>
      <c r="G180" s="23" t="n">
        <f aca="false">F180*(1+MAX(g_opx_min,phi*G172))</f>
        <v>35.5545153828309</v>
      </c>
    </row>
    <row r="181" customFormat="false" ht="15" hidden="false" customHeight="false" outlineLevel="0" collapsed="false">
      <c r="A181" s="3" t="s">
        <v>418</v>
      </c>
      <c r="B181" s="0" t="s">
        <v>181</v>
      </c>
      <c r="C181" s="23" t="n">
        <f aca="false">C178-C180</f>
        <v>43.85</v>
      </c>
      <c r="D181" s="23" t="n">
        <f aca="false">D178-D180</f>
        <v>63.8562252</v>
      </c>
      <c r="E181" s="23" t="n">
        <f aca="false">E178-E180</f>
        <v>117.68900950015</v>
      </c>
      <c r="F181" s="23" t="n">
        <f aca="false">F178-F180</f>
        <v>136.406515617784</v>
      </c>
      <c r="G181" s="23" t="n">
        <f aca="false">G178-G180</f>
        <v>155.207227160715</v>
      </c>
    </row>
    <row r="182" customFormat="false" ht="15" hidden="false" customHeight="false" outlineLevel="0" collapsed="false">
      <c r="A182" s="3" t="s">
        <v>515</v>
      </c>
      <c r="B182" s="0" t="s">
        <v>69</v>
      </c>
      <c r="C182" s="15" t="n">
        <f aca="false">C181/C170</f>
        <v>0.184590386145408</v>
      </c>
      <c r="D182" s="15" t="n">
        <f aca="false">D181/D170</f>
        <v>0.228274987740129</v>
      </c>
      <c r="E182" s="15" t="n">
        <f aca="false">E181/E170</f>
        <v>0.319666069990979</v>
      </c>
      <c r="F182" s="15" t="n">
        <f aca="false">F181/F170</f>
        <v>0.328354018316183</v>
      </c>
      <c r="G182" s="15" t="n">
        <f aca="false">G181/G170</f>
        <v>0.334018623410485</v>
      </c>
    </row>
    <row r="183" customFormat="false" ht="15" hidden="false" customHeight="false" outlineLevel="0" collapsed="false">
      <c r="A183" s="3" t="s">
        <v>421</v>
      </c>
      <c r="B183" s="0" t="s">
        <v>181</v>
      </c>
      <c r="C183" s="23" t="n">
        <f aca="false">a25_nonop</f>
        <v>5.805</v>
      </c>
      <c r="D183" s="23" t="n">
        <f aca="false">a26_nonop</f>
        <v>38.372</v>
      </c>
      <c r="E183" s="23" t="n">
        <f aca="false">nonop_f</f>
        <v>4</v>
      </c>
      <c r="F183" s="23" t="n">
        <f aca="false">nonop_f</f>
        <v>4</v>
      </c>
      <c r="G183" s="23" t="n">
        <f aca="false">nonop_f</f>
        <v>4</v>
      </c>
    </row>
    <row r="184" customFormat="false" ht="15" hidden="false" customHeight="false" outlineLevel="0" collapsed="false">
      <c r="A184" s="3" t="s">
        <v>423</v>
      </c>
      <c r="B184" s="0" t="s">
        <v>181</v>
      </c>
      <c r="C184" s="23" t="n">
        <f aca="false">C181+C183</f>
        <v>49.655</v>
      </c>
      <c r="D184" s="23" t="n">
        <f aca="false">D181+D183</f>
        <v>102.2282252</v>
      </c>
      <c r="E184" s="23" t="n">
        <f aca="false">E181+E183</f>
        <v>121.68900950015</v>
      </c>
      <c r="F184" s="23" t="n">
        <f aca="false">F181+F183</f>
        <v>140.406515617784</v>
      </c>
      <c r="G184" s="23" t="n">
        <f aca="false">G181+G183</f>
        <v>159.207227160715</v>
      </c>
    </row>
    <row r="185" customFormat="false" ht="15" hidden="false" customHeight="false" outlineLevel="0" collapsed="false">
      <c r="A185" s="3" t="s">
        <v>425</v>
      </c>
      <c r="B185" s="0" t="s">
        <v>181</v>
      </c>
      <c r="C185" s="23" t="n">
        <f aca="false">a25_tax</f>
        <v>7.939</v>
      </c>
      <c r="D185" s="23" t="n">
        <f aca="false">a26_tax</f>
        <v>10.493828284</v>
      </c>
      <c r="E185" s="23" t="n">
        <f aca="false">E184*tax</f>
        <v>18.2533514250225</v>
      </c>
      <c r="F185" s="23" t="n">
        <f aca="false">F184*tax</f>
        <v>21.0609773426676</v>
      </c>
      <c r="G185" s="23" t="n">
        <f aca="false">G184*tax</f>
        <v>23.8810840741073</v>
      </c>
    </row>
    <row r="186" customFormat="false" ht="17.15" hidden="false" customHeight="false" outlineLevel="0" collapsed="false">
      <c r="A186" s="3" t="s">
        <v>549</v>
      </c>
      <c r="B186" s="0" t="s">
        <v>181</v>
      </c>
      <c r="C186" s="23" t="n">
        <f aca="false">a25_mi</f>
        <v>0</v>
      </c>
      <c r="D186" s="23" t="n">
        <f aca="false">a26_mi</f>
        <v>-0.134999999999987</v>
      </c>
      <c r="E186" s="23" t="n">
        <f aca="false">0</f>
        <v>0</v>
      </c>
      <c r="F186" s="23" t="n">
        <f aca="false">0</f>
        <v>0</v>
      </c>
      <c r="G186" s="23" t="n">
        <f aca="false">0</f>
        <v>0</v>
      </c>
      <c r="K186" s="7" t="s">
        <v>550</v>
      </c>
    </row>
    <row r="187" customFormat="false" ht="15" hidden="false" customHeight="false" outlineLevel="0" collapsed="false">
      <c r="A187" s="3" t="s">
        <v>428</v>
      </c>
      <c r="B187" s="0" t="s">
        <v>181</v>
      </c>
      <c r="C187" s="23" t="n">
        <f aca="false">C184-C185-C186</f>
        <v>41.716</v>
      </c>
      <c r="D187" s="23" t="n">
        <f aca="false">D184-D185-D186</f>
        <v>91.869396916</v>
      </c>
      <c r="E187" s="23" t="n">
        <f aca="false">E184-E185-E186</f>
        <v>103.435658075127</v>
      </c>
      <c r="F187" s="23" t="n">
        <f aca="false">F184-F185-F186</f>
        <v>119.345538275116</v>
      </c>
      <c r="G187" s="23" t="n">
        <f aca="false">G184-G185-G186</f>
        <v>135.326143086608</v>
      </c>
      <c r="H187" s="30" t="n">
        <f aca="false">H170*H191</f>
        <v>148.726333320516</v>
      </c>
      <c r="I187" s="30" t="n">
        <f aca="false">I170*I191</f>
        <v>160.551671537164</v>
      </c>
      <c r="J187" s="30" t="n">
        <f aca="false">J170*J191</f>
        <v>170.184771829394</v>
      </c>
    </row>
    <row r="188" customFormat="false" ht="15" hidden="false" customHeight="false" outlineLevel="0" collapsed="false">
      <c r="A188" s="3" t="s">
        <v>551</v>
      </c>
      <c r="B188" s="3" t="s">
        <v>250</v>
      </c>
      <c r="C188" s="9" t="n">
        <f aca="false">a25_sh</f>
        <v>12.4898203592814</v>
      </c>
      <c r="D188" s="9" t="n">
        <f aca="false">a26_sh</f>
        <v>12.4754339027235</v>
      </c>
      <c r="E188" s="9" t="n">
        <f aca="false">q_sh*(1+sh_g)</f>
        <v>12.45</v>
      </c>
      <c r="F188" s="9" t="n">
        <f aca="false">E188*(1+sh_g)</f>
        <v>12.45</v>
      </c>
      <c r="G188" s="9" t="n">
        <f aca="false">F188*(1+sh_g)</f>
        <v>12.45</v>
      </c>
      <c r="H188" s="32" t="n">
        <f aca="false">G188*(1+sh_g)</f>
        <v>12.45</v>
      </c>
      <c r="I188" s="32" t="n">
        <f aca="false">H188*(1+sh_g)</f>
        <v>12.45</v>
      </c>
      <c r="J188" s="32" t="n">
        <f aca="false">I188*(1+sh_g)</f>
        <v>12.45</v>
      </c>
    </row>
    <row r="189" customFormat="false" ht="17.15" hidden="false" customHeight="false" outlineLevel="0" collapsed="false">
      <c r="A189" s="0" t="s">
        <v>434</v>
      </c>
      <c r="B189" s="0" t="s">
        <v>260</v>
      </c>
      <c r="C189" s="23" t="n">
        <f aca="false">C187/C188</f>
        <v>3.34</v>
      </c>
      <c r="D189" s="23" t="n">
        <f aca="false">D187/D188</f>
        <v>7.36402418002826</v>
      </c>
      <c r="E189" s="23" t="n">
        <f aca="false">E187/E188</f>
        <v>8.308084985954</v>
      </c>
      <c r="F189" s="23" t="n">
        <f aca="false">F187/F188</f>
        <v>9.58598701004951</v>
      </c>
      <c r="G189" s="23" t="n">
        <f aca="false">G187/G188</f>
        <v>10.869569725832</v>
      </c>
      <c r="H189" s="30" t="n">
        <f aca="false">H187/H188</f>
        <v>11.9458902265475</v>
      </c>
      <c r="I189" s="30" t="n">
        <f aca="false">I187/I188</f>
        <v>12.8957165893305</v>
      </c>
      <c r="J189" s="30" t="n">
        <f aca="false">J187/J188</f>
        <v>13.6694595846903</v>
      </c>
    </row>
    <row r="190" customFormat="false" ht="17.15" hidden="false" customHeight="false" outlineLevel="0" collapsed="false">
      <c r="A190" s="0" t="s">
        <v>552</v>
      </c>
      <c r="B190" s="0" t="s">
        <v>69</v>
      </c>
      <c r="D190" s="21" t="n">
        <f aca="false">D189/C189-1</f>
        <v>1.2047976586911</v>
      </c>
      <c r="E190" s="21" t="n">
        <f aca="false">E189/D189-1</f>
        <v>0.128199036674281</v>
      </c>
      <c r="F190" s="21" t="n">
        <f aca="false">F189/E189-1</f>
        <v>0.153814269624827</v>
      </c>
      <c r="G190" s="21" t="n">
        <f aca="false">G189/F189-1</f>
        <v>0.133901987811668</v>
      </c>
      <c r="H190" s="28" t="n">
        <f aca="false">H189/G189-1</f>
        <v>0.099021444994055</v>
      </c>
      <c r="I190" s="28" t="n">
        <f aca="false">I189/H189-1</f>
        <v>0.0795107224970273</v>
      </c>
      <c r="J190" s="28" t="n">
        <f aca="false">J189/I189-1</f>
        <v>0.0600000000000001</v>
      </c>
    </row>
    <row r="191" customFormat="false" ht="17.15" hidden="false" customHeight="false" outlineLevel="0" collapsed="false">
      <c r="A191" s="3" t="s">
        <v>553</v>
      </c>
      <c r="B191" s="0" t="s">
        <v>69</v>
      </c>
      <c r="C191" s="15" t="n">
        <f aca="false">C187/C170</f>
        <v>0.175607127672562</v>
      </c>
      <c r="D191" s="15" t="n">
        <f aca="false">D187/D170</f>
        <v>0.328417243409073</v>
      </c>
      <c r="E191" s="15" t="n">
        <f aca="false">E187/E170</f>
        <v>0.28095121587173</v>
      </c>
      <c r="F191" s="15" t="n">
        <f aca="false">F187/F170</f>
        <v>0.287285302195881</v>
      </c>
      <c r="G191" s="15" t="n">
        <f aca="false">G187/G170</f>
        <v>0.291232907462702</v>
      </c>
      <c r="H191" s="29" t="n">
        <f aca="false">$G191+($G$191*1-$G191)*1/3</f>
        <v>0.291232907462702</v>
      </c>
      <c r="I191" s="29" t="n">
        <f aca="false">$G191+($G$191*1-$G191)*2/3</f>
        <v>0.291232907462702</v>
      </c>
      <c r="J191" s="29" t="n">
        <f aca="false">$G191+($G$191*1-$G191)*3/3</f>
        <v>0.291232907462702</v>
      </c>
    </row>
    <row r="194" customFormat="false" ht="17.15" hidden="false" customHeight="false" outlineLevel="0" collapsed="false">
      <c r="A194" s="1" t="s">
        <v>841</v>
      </c>
    </row>
    <row r="195" customFormat="false" ht="17.15" hidden="false" customHeight="false" outlineLevel="0" collapsed="false">
      <c r="A195" s="4" t="s">
        <v>24</v>
      </c>
      <c r="B195" s="4" t="s">
        <v>25</v>
      </c>
      <c r="C195" s="16" t="s">
        <v>387</v>
      </c>
      <c r="D195" s="16" t="s">
        <v>505</v>
      </c>
      <c r="E195" s="16" t="s">
        <v>467</v>
      </c>
      <c r="F195" s="16" t="s">
        <v>468</v>
      </c>
      <c r="G195" s="16" t="s">
        <v>469</v>
      </c>
      <c r="H195" s="16" t="s">
        <v>506</v>
      </c>
      <c r="I195" s="16" t="s">
        <v>507</v>
      </c>
      <c r="J195" s="16" t="s">
        <v>508</v>
      </c>
      <c r="K195" s="4" t="s">
        <v>345</v>
      </c>
    </row>
    <row r="196" customFormat="false" ht="17.15" hidden="false" customHeight="false" outlineLevel="0" collapsed="false">
      <c r="A196" s="5" t="s">
        <v>526</v>
      </c>
    </row>
    <row r="197" customFormat="false" ht="17.15" hidden="false" customHeight="false" outlineLevel="0" collapsed="false">
      <c r="A197" s="3" t="s">
        <v>527</v>
      </c>
      <c r="B197" s="3" t="s">
        <v>64</v>
      </c>
      <c r="D197" s="22" t="n">
        <f aca="false">cap_26</f>
        <v>5230.46851955216</v>
      </c>
      <c r="E197" s="22" t="n">
        <f aca="false">D197*(1+capg27)*cap_adj</f>
        <v>5439.68726033425</v>
      </c>
      <c r="F197" s="22" t="n">
        <f aca="false">E197*(1+capg28)</f>
        <v>5820.46536855765</v>
      </c>
      <c r="G197" s="22" t="n">
        <f aca="false">F197*(1+capg29)</f>
        <v>6227.89794435668</v>
      </c>
    </row>
    <row r="198" customFormat="false" ht="15" hidden="false" customHeight="false" outlineLevel="0" collapsed="false">
      <c r="A198" s="3" t="s">
        <v>528</v>
      </c>
      <c r="B198" s="0" t="s">
        <v>69</v>
      </c>
      <c r="D198" s="21" t="n">
        <f aca="false">a26_ship/cap_26</f>
        <v>0.870578781414787</v>
      </c>
      <c r="E198" s="21" t="n">
        <f aca="false">MIN(0.98,ut27_B+ut_adj)</f>
        <v>0.9</v>
      </c>
      <c r="F198" s="21" t="n">
        <f aca="false">MIN(0.98,ut28_B+ut_adj)</f>
        <v>0.87</v>
      </c>
      <c r="G198" s="21" t="n">
        <f aca="false">MIN(0.98,ut29_B+ut_adj)</f>
        <v>0.88</v>
      </c>
    </row>
    <row r="199" customFormat="false" ht="17.15" hidden="false" customHeight="false" outlineLevel="0" collapsed="false">
      <c r="A199" s="3" t="s">
        <v>529</v>
      </c>
      <c r="B199" s="3" t="s">
        <v>64</v>
      </c>
      <c r="D199" s="22" t="n">
        <f aca="false">D197*D198</f>
        <v>4553.53490998013</v>
      </c>
      <c r="E199" s="22" t="n">
        <f aca="false">E197*E198</f>
        <v>4895.71853430083</v>
      </c>
      <c r="F199" s="22" t="n">
        <f aca="false">F197*F198</f>
        <v>5063.80487064515</v>
      </c>
      <c r="G199" s="22" t="n">
        <f aca="false">G197*G198</f>
        <v>5480.55019103388</v>
      </c>
    </row>
    <row r="200" customFormat="false" ht="17.15" hidden="false" customHeight="false" outlineLevel="0" collapsed="false">
      <c r="A200" s="3" t="s">
        <v>530</v>
      </c>
      <c r="B200" s="0" t="s">
        <v>109</v>
      </c>
      <c r="D200" s="22" t="n">
        <f aca="false">asp_26</f>
        <v>1878.17486396824</v>
      </c>
      <c r="E200" s="22" t="n">
        <f aca="false">D200*(1+asp27_B)*(1+asp_adj)</f>
        <v>1972.08360716666</v>
      </c>
      <c r="F200" s="22" t="n">
        <f aca="false">E200*(1+asp28_B)</f>
        <v>1972.08360716666</v>
      </c>
      <c r="G200" s="22" t="n">
        <f aca="false">F200*(1+asp29_B)</f>
        <v>1972.08360716666</v>
      </c>
    </row>
    <row r="201" customFormat="false" ht="15" hidden="false" customHeight="false" outlineLevel="0" collapsed="false">
      <c r="A201" s="3" t="s">
        <v>531</v>
      </c>
      <c r="B201" s="0" t="s">
        <v>69</v>
      </c>
      <c r="E201" s="21" t="n">
        <f aca="false">E200/D200-1</f>
        <v>0.05</v>
      </c>
      <c r="F201" s="21" t="n">
        <f aca="false">F200/E200-1</f>
        <v>0</v>
      </c>
      <c r="G201" s="21" t="n">
        <f aca="false">G200/F200-1</f>
        <v>0</v>
      </c>
    </row>
    <row r="202" customFormat="false" ht="15" hidden="false" customHeight="false" outlineLevel="0" collapsed="false">
      <c r="A202" s="3" t="s">
        <v>532</v>
      </c>
      <c r="B202" s="0" t="s">
        <v>35</v>
      </c>
      <c r="D202" s="23" t="n">
        <f aca="false">fx_26</f>
        <v>31.6</v>
      </c>
      <c r="E202" s="23" t="n">
        <f aca="false">fx_hi</f>
        <v>33</v>
      </c>
      <c r="F202" s="23" t="n">
        <f aca="false">fx_hi</f>
        <v>33</v>
      </c>
      <c r="G202" s="23" t="n">
        <f aca="false">fx_hi</f>
        <v>33</v>
      </c>
    </row>
    <row r="203" customFormat="false" ht="17.15" hidden="false" customHeight="false" outlineLevel="0" collapsed="false">
      <c r="A203" s="3" t="s">
        <v>533</v>
      </c>
      <c r="B203" s="0" t="s">
        <v>181</v>
      </c>
      <c r="D203" s="23" t="n">
        <f aca="false">D199*D200*D202/1000000</f>
        <v>270.25378</v>
      </c>
      <c r="E203" s="23" t="n">
        <f aca="false">E199*E200*E202/1000000</f>
        <v>318.607286804289</v>
      </c>
      <c r="F203" s="23" t="n">
        <f aca="false">F199*F200*F202/1000000</f>
        <v>329.546136984569</v>
      </c>
      <c r="G203" s="23" t="n">
        <f aca="false">G199*G200*G202/1000000</f>
        <v>356.667405269736</v>
      </c>
    </row>
    <row r="204" customFormat="false" ht="17.15" hidden="false" customHeight="false" outlineLevel="0" collapsed="false">
      <c r="A204" s="5" t="s">
        <v>534</v>
      </c>
    </row>
    <row r="205" customFormat="false" ht="17.15" hidden="false" customHeight="false" outlineLevel="0" collapsed="false">
      <c r="A205" s="0" t="s">
        <v>535</v>
      </c>
      <c r="B205" s="0" t="s">
        <v>138</v>
      </c>
      <c r="D205" s="25" t="n">
        <f aca="false">ai_26</f>
        <v>0.3</v>
      </c>
      <c r="E205" s="25" t="n">
        <f aca="false">D205*(1+aig27_B)*ai_adj</f>
        <v>0.42</v>
      </c>
      <c r="F205" s="25" t="n">
        <f aca="false">E205*(1+aig_L)*um28_B</f>
        <v>0.4872</v>
      </c>
      <c r="G205" s="25" t="n">
        <f aca="false">F205/um28_B*(1+aig_L)*um29_B</f>
        <v>0.7505925</v>
      </c>
    </row>
    <row r="206" customFormat="false" ht="17.15" hidden="false" customHeight="false" outlineLevel="0" collapsed="false">
      <c r="A206" s="0" t="s">
        <v>536</v>
      </c>
      <c r="B206" s="0" t="s">
        <v>181</v>
      </c>
      <c r="D206" s="23" t="n">
        <f aca="false">D205*D202</f>
        <v>9.48</v>
      </c>
      <c r="E206" s="23" t="n">
        <f aca="false">E205*E202</f>
        <v>13.86</v>
      </c>
      <c r="F206" s="23" t="n">
        <f aca="false">F205*F202</f>
        <v>16.0776</v>
      </c>
      <c r="G206" s="23" t="n">
        <f aca="false">G205*G202</f>
        <v>24.7695525</v>
      </c>
    </row>
    <row r="207" customFormat="false" ht="17.15" hidden="false" customHeight="false" outlineLevel="0" collapsed="false">
      <c r="A207" s="0" t="s">
        <v>537</v>
      </c>
      <c r="B207" s="0" t="s">
        <v>138</v>
      </c>
      <c r="D207" s="25" t="n">
        <f aca="false">0</f>
        <v>0</v>
      </c>
      <c r="E207" s="25" t="n">
        <f aca="false">int_27</f>
        <v>0</v>
      </c>
      <c r="F207" s="25" t="n">
        <f aca="false">int28_B</f>
        <v>0.12</v>
      </c>
      <c r="G207" s="25" t="n">
        <f aca="false">int29_B</f>
        <v>0.3</v>
      </c>
    </row>
    <row r="208" customFormat="false" ht="17.15" hidden="false" customHeight="false" outlineLevel="0" collapsed="false">
      <c r="A208" s="0" t="s">
        <v>538</v>
      </c>
      <c r="B208" s="0" t="s">
        <v>181</v>
      </c>
      <c r="D208" s="23" t="n">
        <f aca="false">D207*D202</f>
        <v>0</v>
      </c>
      <c r="E208" s="23" t="n">
        <f aca="false">E207*E202</f>
        <v>0</v>
      </c>
      <c r="F208" s="23" t="n">
        <f aca="false">F207*F202</f>
        <v>3.96</v>
      </c>
      <c r="G208" s="23" t="n">
        <f aca="false">G207*G202</f>
        <v>9.9</v>
      </c>
    </row>
    <row r="209" customFormat="false" ht="17.15" hidden="false" customHeight="false" outlineLevel="0" collapsed="false">
      <c r="A209" s="3" t="s">
        <v>393</v>
      </c>
      <c r="B209" s="0" t="s">
        <v>181</v>
      </c>
      <c r="C209" s="23" t="n">
        <f aca="false">a25_rev</f>
        <v>237.553</v>
      </c>
      <c r="D209" s="23" t="n">
        <f aca="false">D203+D206+D208</f>
        <v>279.73378</v>
      </c>
      <c r="E209" s="23" t="n">
        <f aca="false">E203+E206+E208</f>
        <v>332.467286804289</v>
      </c>
      <c r="F209" s="23" t="n">
        <f aca="false">F203+F206+F208</f>
        <v>349.583736984569</v>
      </c>
      <c r="G209" s="23" t="n">
        <f aca="false">G203+G206+G208</f>
        <v>391.336957769736</v>
      </c>
      <c r="H209" s="30" t="n">
        <f aca="false">G209*(1+H211)</f>
        <v>427.714849727839</v>
      </c>
      <c r="I209" s="30" t="n">
        <f aca="false">H209*(1+I211)</f>
        <v>456.148900325211</v>
      </c>
      <c r="J209" s="30" t="n">
        <f aca="false">I209*(1+J211)</f>
        <v>474.394856338219</v>
      </c>
      <c r="K209" s="7" t="s">
        <v>539</v>
      </c>
    </row>
    <row r="210" customFormat="false" ht="17.15" hidden="false" customHeight="false" outlineLevel="0" collapsed="false">
      <c r="A210" s="0" t="s">
        <v>540</v>
      </c>
      <c r="B210" s="0" t="s">
        <v>69</v>
      </c>
      <c r="D210" s="21" t="n">
        <f aca="false">D206/D209</f>
        <v>0.0338893643806622</v>
      </c>
      <c r="E210" s="21" t="n">
        <f aca="false">E206/E209</f>
        <v>0.0416883120538679</v>
      </c>
      <c r="F210" s="21" t="n">
        <f aca="false">F206/F209</f>
        <v>0.0459906977901254</v>
      </c>
      <c r="G210" s="21" t="n">
        <f aca="false">G206/G209</f>
        <v>0.0632946927404042</v>
      </c>
    </row>
    <row r="211" customFormat="false" ht="15" hidden="false" customHeight="false" outlineLevel="0" collapsed="false">
      <c r="A211" s="3" t="s">
        <v>541</v>
      </c>
      <c r="B211" s="0" t="s">
        <v>69</v>
      </c>
      <c r="D211" s="21" t="n">
        <f aca="false">D209/C209-1</f>
        <v>0.177563659478096</v>
      </c>
      <c r="E211" s="21" t="n">
        <f aca="false">E209/D209-1</f>
        <v>0.188513188519058</v>
      </c>
      <c r="F211" s="21" t="n">
        <f aca="false">F209/E209-1</f>
        <v>0.051483110849208</v>
      </c>
      <c r="G211" s="21" t="n">
        <f aca="false">G209/F209-1</f>
        <v>0.119436965647546</v>
      </c>
      <c r="H211" s="28" t="n">
        <f aca="false">$G211+(fade_gB-$G211)*1/3</f>
        <v>0.0929579770983642</v>
      </c>
      <c r="I211" s="28" t="n">
        <f aca="false">$G211+(fade_gB-$G211)*2/3</f>
        <v>0.0664789885491821</v>
      </c>
      <c r="J211" s="28" t="n">
        <f aca="false">$G211+(fade_gB-$G211)*3/3</f>
        <v>0.04</v>
      </c>
    </row>
    <row r="212" customFormat="false" ht="17.15" hidden="false" customHeight="false" outlineLevel="0" collapsed="false">
      <c r="A212" s="5" t="s">
        <v>542</v>
      </c>
    </row>
    <row r="213" customFormat="false" ht="15" hidden="false" customHeight="false" outlineLevel="0" collapsed="false">
      <c r="A213" s="3" t="s">
        <v>543</v>
      </c>
      <c r="B213" s="0" t="s">
        <v>181</v>
      </c>
      <c r="D213" s="23" t="n">
        <f aca="false">da_tot26*da_sh</f>
        <v>56.172</v>
      </c>
      <c r="E213" s="23" t="n">
        <f aca="false">D213*(1+dag_27+dag_adj)</f>
        <v>62.91264</v>
      </c>
      <c r="F213" s="23" t="n">
        <f aca="false">E213*(1+dag_28+dag_adj)</f>
        <v>69.203904</v>
      </c>
      <c r="G213" s="23" t="n">
        <f aca="false">F213*(1+dag_29+dag_adj)</f>
        <v>74.74021632</v>
      </c>
    </row>
    <row r="214" customFormat="false" ht="17.15" hidden="false" customHeight="false" outlineLevel="0" collapsed="false">
      <c r="A214" s="3" t="s">
        <v>544</v>
      </c>
      <c r="B214" s="0" t="s">
        <v>545</v>
      </c>
      <c r="D214" s="23" t="n">
        <f aca="false">(D209-a26_gp-D213-(1-m_new)*(D206+D208))/D199*1000</f>
        <v>27.9465727870208</v>
      </c>
      <c r="E214" s="23" t="n">
        <f aca="false">D214*(1+cc_g)</f>
        <v>28.5055042427612</v>
      </c>
      <c r="F214" s="23" t="n">
        <f aca="false">E214*(1+cc_g)</f>
        <v>29.0756143276165</v>
      </c>
      <c r="G214" s="23" t="n">
        <f aca="false">F214*(1+cc_g)</f>
        <v>29.6571266141688</v>
      </c>
      <c r="K214" s="7" t="s">
        <v>546</v>
      </c>
    </row>
    <row r="215" customFormat="false" ht="17.15" hidden="false" customHeight="false" outlineLevel="0" collapsed="false">
      <c r="A215" s="3" t="s">
        <v>547</v>
      </c>
      <c r="B215" s="0" t="s">
        <v>181</v>
      </c>
      <c r="D215" s="23" t="n">
        <f aca="false">D214*D199/1000</f>
        <v>127.2556948</v>
      </c>
      <c r="E215" s="23" t="n">
        <f aca="false">E214*E199/1000</f>
        <v>139.554925450877</v>
      </c>
      <c r="F215" s="23" t="n">
        <f aca="false">F214*F199/1000</f>
        <v>147.233237449184</v>
      </c>
      <c r="G215" s="23" t="n">
        <f aca="false">G214*G199/1000</f>
        <v>162.537370930799</v>
      </c>
    </row>
    <row r="216" customFormat="false" ht="17.15" hidden="false" customHeight="false" outlineLevel="0" collapsed="false">
      <c r="A216" s="3" t="s">
        <v>548</v>
      </c>
      <c r="B216" s="0" t="s">
        <v>181</v>
      </c>
      <c r="D216" s="23" t="n">
        <f aca="false">m_new*(D206+D208)</f>
        <v>4.266</v>
      </c>
      <c r="E216" s="23" t="n">
        <f aca="false">m_new*(E206+E208)</f>
        <v>6.237</v>
      </c>
      <c r="F216" s="23" t="n">
        <f aca="false">m_new*(F206+F208)</f>
        <v>9.01692</v>
      </c>
      <c r="G216" s="23" t="n">
        <f aca="false">m_new*(G206+G208)</f>
        <v>15.601298625</v>
      </c>
    </row>
    <row r="217" customFormat="false" ht="15" hidden="false" customHeight="false" outlineLevel="0" collapsed="false">
      <c r="A217" s="3" t="s">
        <v>411</v>
      </c>
      <c r="B217" s="0" t="s">
        <v>181</v>
      </c>
      <c r="C217" s="23" t="n">
        <f aca="false">a25_gp</f>
        <v>68.906</v>
      </c>
      <c r="D217" s="23" t="n">
        <f aca="false">D203-D213-D215+D216</f>
        <v>91.0920852</v>
      </c>
      <c r="E217" s="23" t="n">
        <f aca="false">E203-E213-E215+E216</f>
        <v>122.376721353412</v>
      </c>
      <c r="F217" s="23" t="n">
        <f aca="false">F203-F213-F215+F216</f>
        <v>122.125915535385</v>
      </c>
      <c r="G217" s="23" t="n">
        <f aca="false">G203-G213-G215+G216</f>
        <v>134.991116643937</v>
      </c>
    </row>
    <row r="218" customFormat="false" ht="15" hidden="false" customHeight="false" outlineLevel="0" collapsed="false">
      <c r="A218" s="3" t="s">
        <v>413</v>
      </c>
      <c r="B218" s="0" t="s">
        <v>69</v>
      </c>
      <c r="C218" s="15" t="n">
        <f aca="false">C217/C209</f>
        <v>0.290065795843454</v>
      </c>
      <c r="D218" s="15" t="n">
        <f aca="false">D217/D209</f>
        <v>0.325638488136828</v>
      </c>
      <c r="E218" s="15" t="n">
        <f aca="false">E217/E209</f>
        <v>0.36808650417823</v>
      </c>
      <c r="F218" s="15" t="n">
        <f aca="false">F217/F209</f>
        <v>0.349346673242914</v>
      </c>
      <c r="G218" s="15" t="n">
        <f aca="false">G217/G209</f>
        <v>0.344948551277302</v>
      </c>
    </row>
    <row r="219" customFormat="false" ht="15" hidden="false" customHeight="false" outlineLevel="0" collapsed="false">
      <c r="A219" s="3" t="s">
        <v>415</v>
      </c>
      <c r="B219" s="0" t="s">
        <v>181</v>
      </c>
      <c r="C219" s="23" t="n">
        <f aca="false">a25_opx</f>
        <v>25.056</v>
      </c>
      <c r="D219" s="23" t="n">
        <f aca="false">a26_opx</f>
        <v>27.23586</v>
      </c>
      <c r="E219" s="23" t="n">
        <f aca="false">D219*(1+MAX(g_opx_min,phi*E211))</f>
        <v>29.8030194053293</v>
      </c>
      <c r="F219" s="23" t="n">
        <f aca="false">E219*(1+MAX(g_opx_min,phi*F211))</f>
        <v>30.6971099874892</v>
      </c>
      <c r="G219" s="23" t="n">
        <f aca="false">F219*(1+MAX(g_opx_min,phi*G211))</f>
        <v>32.5302948230166</v>
      </c>
    </row>
    <row r="220" customFormat="false" ht="15" hidden="false" customHeight="false" outlineLevel="0" collapsed="false">
      <c r="A220" s="3" t="s">
        <v>418</v>
      </c>
      <c r="B220" s="0" t="s">
        <v>181</v>
      </c>
      <c r="C220" s="23" t="n">
        <f aca="false">C217-C219</f>
        <v>43.85</v>
      </c>
      <c r="D220" s="23" t="n">
        <f aca="false">D217-D219</f>
        <v>63.8562252</v>
      </c>
      <c r="E220" s="23" t="n">
        <f aca="false">E217-E219</f>
        <v>92.5737019480823</v>
      </c>
      <c r="F220" s="23" t="n">
        <f aca="false">F217-F219</f>
        <v>91.4288055478958</v>
      </c>
      <c r="G220" s="23" t="n">
        <f aca="false">G217-G219</f>
        <v>102.460821820921</v>
      </c>
    </row>
    <row r="221" customFormat="false" ht="15" hidden="false" customHeight="false" outlineLevel="0" collapsed="false">
      <c r="A221" s="3" t="s">
        <v>515</v>
      </c>
      <c r="B221" s="0" t="s">
        <v>69</v>
      </c>
      <c r="C221" s="15" t="n">
        <f aca="false">C220/C209</f>
        <v>0.184590386145408</v>
      </c>
      <c r="D221" s="15" t="n">
        <f aca="false">D220/D209</f>
        <v>0.228274987740129</v>
      </c>
      <c r="E221" s="15" t="n">
        <f aca="false">E220/E209</f>
        <v>0.278444543635889</v>
      </c>
      <c r="F221" s="15" t="n">
        <f aca="false">F220/F209</f>
        <v>0.261536209711985</v>
      </c>
      <c r="G221" s="15" t="n">
        <f aca="false">G220/G209</f>
        <v>0.261822503054284</v>
      </c>
    </row>
    <row r="222" customFormat="false" ht="15" hidden="false" customHeight="false" outlineLevel="0" collapsed="false">
      <c r="A222" s="3" t="s">
        <v>421</v>
      </c>
      <c r="B222" s="0" t="s">
        <v>181</v>
      </c>
      <c r="C222" s="23" t="n">
        <f aca="false">a25_nonop</f>
        <v>5.805</v>
      </c>
      <c r="D222" s="23" t="n">
        <f aca="false">a26_nonop</f>
        <v>38.372</v>
      </c>
      <c r="E222" s="23" t="n">
        <f aca="false">nonop_f</f>
        <v>4</v>
      </c>
      <c r="F222" s="23" t="n">
        <f aca="false">nonop_f</f>
        <v>4</v>
      </c>
      <c r="G222" s="23" t="n">
        <f aca="false">nonop_f</f>
        <v>4</v>
      </c>
    </row>
    <row r="223" customFormat="false" ht="15" hidden="false" customHeight="false" outlineLevel="0" collapsed="false">
      <c r="A223" s="3" t="s">
        <v>423</v>
      </c>
      <c r="B223" s="0" t="s">
        <v>181</v>
      </c>
      <c r="C223" s="23" t="n">
        <f aca="false">C220+C222</f>
        <v>49.655</v>
      </c>
      <c r="D223" s="23" t="n">
        <f aca="false">D220+D222</f>
        <v>102.2282252</v>
      </c>
      <c r="E223" s="23" t="n">
        <f aca="false">E220+E222</f>
        <v>96.5737019480823</v>
      </c>
      <c r="F223" s="23" t="n">
        <f aca="false">F220+F222</f>
        <v>95.4288055478958</v>
      </c>
      <c r="G223" s="23" t="n">
        <f aca="false">G220+G222</f>
        <v>106.460821820921</v>
      </c>
    </row>
    <row r="224" customFormat="false" ht="15" hidden="false" customHeight="false" outlineLevel="0" collapsed="false">
      <c r="A224" s="3" t="s">
        <v>425</v>
      </c>
      <c r="B224" s="0" t="s">
        <v>181</v>
      </c>
      <c r="C224" s="23" t="n">
        <f aca="false">a25_tax</f>
        <v>7.939</v>
      </c>
      <c r="D224" s="23" t="n">
        <f aca="false">a26_tax</f>
        <v>10.493828284</v>
      </c>
      <c r="E224" s="23" t="n">
        <f aca="false">E223*tax</f>
        <v>14.4860552922123</v>
      </c>
      <c r="F224" s="23" t="n">
        <f aca="false">F223*tax</f>
        <v>14.3143208321844</v>
      </c>
      <c r="G224" s="23" t="n">
        <f aca="false">G223*tax</f>
        <v>15.9691232731381</v>
      </c>
    </row>
    <row r="225" customFormat="false" ht="17.15" hidden="false" customHeight="false" outlineLevel="0" collapsed="false">
      <c r="A225" s="3" t="s">
        <v>549</v>
      </c>
      <c r="B225" s="0" t="s">
        <v>181</v>
      </c>
      <c r="C225" s="23" t="n">
        <f aca="false">a25_mi</f>
        <v>0</v>
      </c>
      <c r="D225" s="23" t="n">
        <f aca="false">a26_mi</f>
        <v>-0.134999999999987</v>
      </c>
      <c r="E225" s="23" t="n">
        <f aca="false">0</f>
        <v>0</v>
      </c>
      <c r="F225" s="23" t="n">
        <f aca="false">0</f>
        <v>0</v>
      </c>
      <c r="G225" s="23" t="n">
        <f aca="false">0</f>
        <v>0</v>
      </c>
      <c r="K225" s="7" t="s">
        <v>550</v>
      </c>
    </row>
    <row r="226" customFormat="false" ht="15" hidden="false" customHeight="false" outlineLevel="0" collapsed="false">
      <c r="A226" s="3" t="s">
        <v>428</v>
      </c>
      <c r="B226" s="0" t="s">
        <v>181</v>
      </c>
      <c r="C226" s="23" t="n">
        <f aca="false">C223-C224-C225</f>
        <v>41.716</v>
      </c>
      <c r="D226" s="23" t="n">
        <f aca="false">D223-D224-D225</f>
        <v>91.869396916</v>
      </c>
      <c r="E226" s="23" t="n">
        <f aca="false">E223-E224-E225</f>
        <v>82.08764665587</v>
      </c>
      <c r="F226" s="23" t="n">
        <f aca="false">F223-F224-F225</f>
        <v>81.1144847157114</v>
      </c>
      <c r="G226" s="23" t="n">
        <f aca="false">G223-G224-G225</f>
        <v>90.4916985477827</v>
      </c>
      <c r="H226" s="30" t="n">
        <f aca="false">H209*H230</f>
        <v>95.6068363293469</v>
      </c>
      <c r="I226" s="30" t="n">
        <f aca="false">I209*I230</f>
        <v>98.4467275514984</v>
      </c>
      <c r="J226" s="30" t="n">
        <f aca="false">J209*J230</f>
        <v>98.7280039159313</v>
      </c>
    </row>
    <row r="227" customFormat="false" ht="15" hidden="false" customHeight="false" outlineLevel="0" collapsed="false">
      <c r="A227" s="3" t="s">
        <v>551</v>
      </c>
      <c r="B227" s="3" t="s">
        <v>250</v>
      </c>
      <c r="C227" s="9" t="n">
        <f aca="false">a25_sh</f>
        <v>12.4898203592814</v>
      </c>
      <c r="D227" s="9" t="n">
        <f aca="false">a26_sh</f>
        <v>12.4754339027235</v>
      </c>
      <c r="E227" s="9" t="n">
        <f aca="false">q_sh*(1+sh_g)</f>
        <v>12.45</v>
      </c>
      <c r="F227" s="9" t="n">
        <f aca="false">E227*(1+sh_g)</f>
        <v>12.45</v>
      </c>
      <c r="G227" s="9" t="n">
        <f aca="false">F227*(1+sh_g)</f>
        <v>12.45</v>
      </c>
      <c r="H227" s="32" t="n">
        <f aca="false">G227*(1+sh_g)</f>
        <v>12.45</v>
      </c>
      <c r="I227" s="32" t="n">
        <f aca="false">H227*(1+sh_g)</f>
        <v>12.45</v>
      </c>
      <c r="J227" s="32" t="n">
        <f aca="false">I227*(1+sh_g)</f>
        <v>12.45</v>
      </c>
    </row>
    <row r="228" customFormat="false" ht="17.15" hidden="false" customHeight="false" outlineLevel="0" collapsed="false">
      <c r="A228" s="0" t="s">
        <v>434</v>
      </c>
      <c r="B228" s="0" t="s">
        <v>260</v>
      </c>
      <c r="C228" s="23" t="n">
        <f aca="false">C226/C227</f>
        <v>3.34</v>
      </c>
      <c r="D228" s="23" t="n">
        <f aca="false">D226/D227</f>
        <v>7.36402418002826</v>
      </c>
      <c r="E228" s="23" t="n">
        <f aca="false">E226/E227</f>
        <v>6.59338527356385</v>
      </c>
      <c r="F228" s="23" t="n">
        <f aca="false">F226/F227</f>
        <v>6.51521965588044</v>
      </c>
      <c r="G228" s="23" t="n">
        <f aca="false">G226/G227</f>
        <v>7.26840952191026</v>
      </c>
      <c r="H228" s="30" t="n">
        <f aca="false">H226/H227</f>
        <v>7.67926396219654</v>
      </c>
      <c r="I228" s="30" t="n">
        <f aca="false">I226/I227</f>
        <v>7.90736767481915</v>
      </c>
      <c r="J228" s="30" t="n">
        <f aca="false">J226/J227</f>
        <v>7.92996015389006</v>
      </c>
    </row>
    <row r="229" customFormat="false" ht="17.15" hidden="false" customHeight="false" outlineLevel="0" collapsed="false">
      <c r="A229" s="0" t="s">
        <v>552</v>
      </c>
      <c r="B229" s="0" t="s">
        <v>69</v>
      </c>
      <c r="D229" s="21" t="n">
        <f aca="false">D228/C228-1</f>
        <v>1.2047976586911</v>
      </c>
      <c r="E229" s="21" t="n">
        <f aca="false">E228/D228-1</f>
        <v>-0.104649154813266</v>
      </c>
      <c r="F229" s="21" t="n">
        <f aca="false">F228/E228-1</f>
        <v>-0.0118551570157476</v>
      </c>
      <c r="G229" s="21" t="n">
        <f aca="false">G228/F228-1</f>
        <v>0.115604677326575</v>
      </c>
      <c r="H229" s="28" t="n">
        <f aca="false">H228/G228-1</f>
        <v>0.0565260445284186</v>
      </c>
      <c r="I229" s="28" t="n">
        <f aca="false">I228/H228-1</f>
        <v>0.0297038510130034</v>
      </c>
      <c r="J229" s="28" t="n">
        <f aca="false">J228/I228-1</f>
        <v>0.00285714285714311</v>
      </c>
    </row>
    <row r="230" customFormat="false" ht="17.15" hidden="false" customHeight="false" outlineLevel="0" collapsed="false">
      <c r="A230" s="3" t="s">
        <v>553</v>
      </c>
      <c r="B230" s="0" t="s">
        <v>69</v>
      </c>
      <c r="C230" s="15" t="n">
        <f aca="false">C226/C209</f>
        <v>0.175607127672562</v>
      </c>
      <c r="D230" s="15" t="n">
        <f aca="false">D226/D209</f>
        <v>0.328417243409073</v>
      </c>
      <c r="E230" s="15" t="n">
        <f aca="false">E226/E209</f>
        <v>0.24690443214701</v>
      </c>
      <c r="F230" s="15" t="n">
        <f aca="false">F226/F209</f>
        <v>0.232031631149054</v>
      </c>
      <c r="G230" s="15" t="n">
        <f aca="false">G226/G209</f>
        <v>0.231237292443583</v>
      </c>
      <c r="H230" s="29" t="n">
        <f aca="false">$G230+($G$230*0.9-$G230)*1/3</f>
        <v>0.223529382695464</v>
      </c>
      <c r="I230" s="29" t="n">
        <f aca="false">$G230+($G$230*0.9-$G230)*2/3</f>
        <v>0.215821472947344</v>
      </c>
      <c r="J230" s="29" t="n">
        <f aca="false">$G230+($G$230*0.9-$G230)*3/3</f>
        <v>0.208113563199225</v>
      </c>
    </row>
    <row r="233" customFormat="false" ht="17.15" hidden="false" customHeight="false" outlineLevel="0" collapsed="false">
      <c r="A233" s="1" t="s">
        <v>842</v>
      </c>
    </row>
    <row r="234" customFormat="false" ht="17.15" hidden="false" customHeight="false" outlineLevel="0" collapsed="false">
      <c r="A234" s="4" t="s">
        <v>24</v>
      </c>
      <c r="B234" s="4" t="s">
        <v>25</v>
      </c>
      <c r="C234" s="16" t="s">
        <v>387</v>
      </c>
      <c r="D234" s="16" t="s">
        <v>505</v>
      </c>
      <c r="E234" s="16" t="s">
        <v>467</v>
      </c>
      <c r="F234" s="16" t="s">
        <v>468</v>
      </c>
      <c r="G234" s="16" t="s">
        <v>469</v>
      </c>
      <c r="H234" s="16" t="s">
        <v>506</v>
      </c>
      <c r="I234" s="16" t="s">
        <v>507</v>
      </c>
      <c r="J234" s="16" t="s">
        <v>508</v>
      </c>
      <c r="K234" s="4" t="s">
        <v>345</v>
      </c>
    </row>
    <row r="235" customFormat="false" ht="17.15" hidden="false" customHeight="false" outlineLevel="0" collapsed="false">
      <c r="A235" s="5" t="s">
        <v>526</v>
      </c>
    </row>
    <row r="236" customFormat="false" ht="17.15" hidden="false" customHeight="false" outlineLevel="0" collapsed="false">
      <c r="A236" s="3" t="s">
        <v>527</v>
      </c>
      <c r="B236" s="3" t="s">
        <v>64</v>
      </c>
      <c r="D236" s="22" t="n">
        <f aca="false">cap_26</f>
        <v>5230.46851955216</v>
      </c>
      <c r="E236" s="22" t="n">
        <f aca="false">D236*(1+capg27)*cap_adj</f>
        <v>5439.68726033425</v>
      </c>
      <c r="F236" s="22" t="n">
        <f aca="false">E236*(1+capg28)</f>
        <v>5820.46536855765</v>
      </c>
      <c r="G236" s="22" t="n">
        <f aca="false">F236*(1+capg29)</f>
        <v>6227.89794435668</v>
      </c>
    </row>
    <row r="237" customFormat="false" ht="15" hidden="false" customHeight="false" outlineLevel="0" collapsed="false">
      <c r="A237" s="3" t="s">
        <v>528</v>
      </c>
      <c r="B237" s="0" t="s">
        <v>69</v>
      </c>
      <c r="D237" s="21" t="n">
        <f aca="false">a26_ship/cap_26</f>
        <v>0.870578781414787</v>
      </c>
      <c r="E237" s="21" t="n">
        <f aca="false">MIN(0.98,ut27_C+ut_adj)</f>
        <v>0.82</v>
      </c>
      <c r="F237" s="21" t="n">
        <f aca="false">MIN(0.98,ut28_C+ut_adj)</f>
        <v>0.76</v>
      </c>
      <c r="G237" s="21" t="n">
        <f aca="false">MIN(0.98,ut29_C+ut_adj)</f>
        <v>0.8</v>
      </c>
    </row>
    <row r="238" customFormat="false" ht="17.15" hidden="false" customHeight="false" outlineLevel="0" collapsed="false">
      <c r="A238" s="3" t="s">
        <v>529</v>
      </c>
      <c r="B238" s="3" t="s">
        <v>64</v>
      </c>
      <c r="D238" s="22" t="n">
        <f aca="false">D236*D237</f>
        <v>4553.53490998013</v>
      </c>
      <c r="E238" s="22" t="n">
        <f aca="false">E236*E237</f>
        <v>4460.54355347409</v>
      </c>
      <c r="F238" s="22" t="n">
        <f aca="false">F236*F237</f>
        <v>4423.55368010381</v>
      </c>
      <c r="G238" s="22" t="n">
        <f aca="false">G236*G237</f>
        <v>4982.31835548535</v>
      </c>
    </row>
    <row r="239" customFormat="false" ht="17.15" hidden="false" customHeight="false" outlineLevel="0" collapsed="false">
      <c r="A239" s="3" t="s">
        <v>530</v>
      </c>
      <c r="B239" s="0" t="s">
        <v>109</v>
      </c>
      <c r="D239" s="22" t="n">
        <f aca="false">asp_26</f>
        <v>1878.17486396824</v>
      </c>
      <c r="E239" s="22" t="n">
        <f aca="false">D239*(1+asp27_C)*(1+asp_adj)</f>
        <v>1878.17486396824</v>
      </c>
      <c r="F239" s="22" t="n">
        <f aca="false">E239*(1+asp28_C)</f>
        <v>1765.48437213015</v>
      </c>
      <c r="G239" s="22" t="n">
        <f aca="false">F239*(1+asp29_C)</f>
        <v>1712.51984096625</v>
      </c>
    </row>
    <row r="240" customFormat="false" ht="15" hidden="false" customHeight="false" outlineLevel="0" collapsed="false">
      <c r="A240" s="3" t="s">
        <v>531</v>
      </c>
      <c r="B240" s="0" t="s">
        <v>69</v>
      </c>
      <c r="E240" s="21" t="n">
        <f aca="false">E239/D239-1</f>
        <v>0</v>
      </c>
      <c r="F240" s="21" t="n">
        <f aca="false">F239/E239-1</f>
        <v>-0.0599999999999999</v>
      </c>
      <c r="G240" s="21" t="n">
        <f aca="false">G239/F239-1</f>
        <v>-0.0299999999999999</v>
      </c>
    </row>
    <row r="241" customFormat="false" ht="15" hidden="false" customHeight="false" outlineLevel="0" collapsed="false">
      <c r="A241" s="3" t="s">
        <v>532</v>
      </c>
      <c r="B241" s="0" t="s">
        <v>35</v>
      </c>
      <c r="D241" s="23" t="n">
        <f aca="false">fx_26</f>
        <v>31.6</v>
      </c>
      <c r="E241" s="23" t="n">
        <f aca="false">fx_hi</f>
        <v>33</v>
      </c>
      <c r="F241" s="23" t="n">
        <f aca="false">fx_hi</f>
        <v>33</v>
      </c>
      <c r="G241" s="23" t="n">
        <f aca="false">fx_hi</f>
        <v>33</v>
      </c>
    </row>
    <row r="242" customFormat="false" ht="17.15" hidden="false" customHeight="false" outlineLevel="0" collapsed="false">
      <c r="A242" s="3" t="s">
        <v>533</v>
      </c>
      <c r="B242" s="0" t="s">
        <v>181</v>
      </c>
      <c r="D242" s="23" t="n">
        <f aca="false">D238*D239*D241/1000000</f>
        <v>270.25378</v>
      </c>
      <c r="E242" s="23" t="n">
        <f aca="false">E238*E239*E241/1000000</f>
        <v>276.46346579843</v>
      </c>
      <c r="F242" s="23" t="n">
        <f aca="false">F238*F239*F241/1000000</f>
        <v>257.720591419569</v>
      </c>
      <c r="G242" s="23" t="n">
        <f aca="false">G238*G239*G241/1000000</f>
        <v>281.566528246706</v>
      </c>
    </row>
    <row r="243" customFormat="false" ht="17.15" hidden="false" customHeight="false" outlineLevel="0" collapsed="false">
      <c r="A243" s="5" t="s">
        <v>534</v>
      </c>
    </row>
    <row r="244" customFormat="false" ht="17.15" hidden="false" customHeight="false" outlineLevel="0" collapsed="false">
      <c r="A244" s="0" t="s">
        <v>535</v>
      </c>
      <c r="B244" s="0" t="s">
        <v>138</v>
      </c>
      <c r="D244" s="25" t="n">
        <f aca="false">ai_26</f>
        <v>0.3</v>
      </c>
      <c r="E244" s="25" t="n">
        <f aca="false">D244*(1+aig27_C)*ai_adj</f>
        <v>0.36</v>
      </c>
      <c r="F244" s="25" t="n">
        <f aca="false">E244*(1+aig_L)*um28_C</f>
        <v>0.3132</v>
      </c>
      <c r="G244" s="25" t="n">
        <f aca="false">F244/um28_C*(1+aig_L)*um29_C</f>
        <v>0.45414</v>
      </c>
    </row>
    <row r="245" customFormat="false" ht="17.15" hidden="false" customHeight="false" outlineLevel="0" collapsed="false">
      <c r="A245" s="0" t="s">
        <v>536</v>
      </c>
      <c r="B245" s="0" t="s">
        <v>181</v>
      </c>
      <c r="D245" s="23" t="n">
        <f aca="false">D244*D241</f>
        <v>9.48</v>
      </c>
      <c r="E245" s="23" t="n">
        <f aca="false">E244*E241</f>
        <v>11.88</v>
      </c>
      <c r="F245" s="23" t="n">
        <f aca="false">F244*F241</f>
        <v>10.3356</v>
      </c>
      <c r="G245" s="23" t="n">
        <f aca="false">G244*G241</f>
        <v>14.98662</v>
      </c>
    </row>
    <row r="246" customFormat="false" ht="17.15" hidden="false" customHeight="false" outlineLevel="0" collapsed="false">
      <c r="A246" s="0" t="s">
        <v>537</v>
      </c>
      <c r="B246" s="0" t="s">
        <v>138</v>
      </c>
      <c r="D246" s="25" t="n">
        <f aca="false">0</f>
        <v>0</v>
      </c>
      <c r="E246" s="25" t="n">
        <f aca="false">int_27</f>
        <v>0</v>
      </c>
      <c r="F246" s="25" t="n">
        <f aca="false">int28_C</f>
        <v>0</v>
      </c>
      <c r="G246" s="25" t="n">
        <f aca="false">int29_C</f>
        <v>0.08</v>
      </c>
    </row>
    <row r="247" customFormat="false" ht="17.15" hidden="false" customHeight="false" outlineLevel="0" collapsed="false">
      <c r="A247" s="0" t="s">
        <v>538</v>
      </c>
      <c r="B247" s="0" t="s">
        <v>181</v>
      </c>
      <c r="D247" s="23" t="n">
        <f aca="false">D246*D241</f>
        <v>0</v>
      </c>
      <c r="E247" s="23" t="n">
        <f aca="false">E246*E241</f>
        <v>0</v>
      </c>
      <c r="F247" s="23" t="n">
        <f aca="false">F246*F241</f>
        <v>0</v>
      </c>
      <c r="G247" s="23" t="n">
        <f aca="false">G246*G241</f>
        <v>2.64</v>
      </c>
    </row>
    <row r="248" customFormat="false" ht="17.15" hidden="false" customHeight="false" outlineLevel="0" collapsed="false">
      <c r="A248" s="3" t="s">
        <v>393</v>
      </c>
      <c r="B248" s="0" t="s">
        <v>181</v>
      </c>
      <c r="C248" s="23" t="n">
        <f aca="false">a25_rev</f>
        <v>237.553</v>
      </c>
      <c r="D248" s="23" t="n">
        <f aca="false">D242+D245+D247</f>
        <v>279.73378</v>
      </c>
      <c r="E248" s="23" t="n">
        <f aca="false">E242+E245+E247</f>
        <v>288.34346579843</v>
      </c>
      <c r="F248" s="23" t="n">
        <f aca="false">F242+F245+F247</f>
        <v>268.056191419569</v>
      </c>
      <c r="G248" s="23" t="n">
        <f aca="false">G242+G245+G247</f>
        <v>299.193148246706</v>
      </c>
      <c r="H248" s="30" t="n">
        <f aca="false">G248*(1+H250)</f>
        <v>324.356951513796</v>
      </c>
      <c r="I248" s="30" t="n">
        <f aca="false">H248*(1+I250)</f>
        <v>341.240630376419</v>
      </c>
      <c r="J248" s="30" t="n">
        <f aca="false">I248*(1+J250)</f>
        <v>348.065442983947</v>
      </c>
      <c r="K248" s="7" t="s">
        <v>539</v>
      </c>
    </row>
    <row r="249" customFormat="false" ht="17.15" hidden="false" customHeight="false" outlineLevel="0" collapsed="false">
      <c r="A249" s="0" t="s">
        <v>540</v>
      </c>
      <c r="B249" s="0" t="s">
        <v>69</v>
      </c>
      <c r="D249" s="21" t="n">
        <f aca="false">D245/D248</f>
        <v>0.0338893643806622</v>
      </c>
      <c r="E249" s="21" t="n">
        <f aca="false">E245/E248</f>
        <v>0.0412008642786615</v>
      </c>
      <c r="F249" s="21" t="n">
        <f aca="false">F245/F248</f>
        <v>0.0385575872926674</v>
      </c>
      <c r="G249" s="21" t="n">
        <f aca="false">G245/G248</f>
        <v>0.0500901176642002</v>
      </c>
    </row>
    <row r="250" customFormat="false" ht="15" hidden="false" customHeight="false" outlineLevel="0" collapsed="false">
      <c r="A250" s="3" t="s">
        <v>541</v>
      </c>
      <c r="B250" s="0" t="s">
        <v>69</v>
      </c>
      <c r="D250" s="21" t="n">
        <f aca="false">D248/C248-1</f>
        <v>0.177563659478096</v>
      </c>
      <c r="E250" s="21" t="n">
        <f aca="false">E248/D248-1</f>
        <v>0.0307781412685675</v>
      </c>
      <c r="F250" s="21" t="n">
        <f aca="false">F248/E248-1</f>
        <v>-0.0703580166891779</v>
      </c>
      <c r="G250" s="21" t="n">
        <f aca="false">G248/F248-1</f>
        <v>0.116158319874062</v>
      </c>
      <c r="H250" s="28" t="n">
        <f aca="false">$G250+(fade_gC-$G250)*1/3</f>
        <v>0.0841055465827078</v>
      </c>
      <c r="I250" s="28" t="n">
        <f aca="false">$G250+(fade_gC-$G250)*2/3</f>
        <v>0.0520527732913539</v>
      </c>
      <c r="J250" s="28" t="n">
        <f aca="false">$G250+(fade_gC-$G250)*3/3</f>
        <v>0.02</v>
      </c>
    </row>
    <row r="251" customFormat="false" ht="17.15" hidden="false" customHeight="false" outlineLevel="0" collapsed="false">
      <c r="A251" s="5" t="s">
        <v>542</v>
      </c>
    </row>
    <row r="252" customFormat="false" ht="15" hidden="false" customHeight="false" outlineLevel="0" collapsed="false">
      <c r="A252" s="3" t="s">
        <v>543</v>
      </c>
      <c r="B252" s="0" t="s">
        <v>181</v>
      </c>
      <c r="D252" s="23" t="n">
        <f aca="false">da_tot26*da_sh</f>
        <v>56.172</v>
      </c>
      <c r="E252" s="23" t="n">
        <f aca="false">D252*(1+dag_27+dag_adj)</f>
        <v>62.91264</v>
      </c>
      <c r="F252" s="23" t="n">
        <f aca="false">E252*(1+dag_28+dag_adj)</f>
        <v>69.203904</v>
      </c>
      <c r="G252" s="23" t="n">
        <f aca="false">F252*(1+dag_29+dag_adj)</f>
        <v>74.74021632</v>
      </c>
    </row>
    <row r="253" customFormat="false" ht="17.15" hidden="false" customHeight="false" outlineLevel="0" collapsed="false">
      <c r="A253" s="3" t="s">
        <v>544</v>
      </c>
      <c r="B253" s="0" t="s">
        <v>545</v>
      </c>
      <c r="D253" s="23" t="n">
        <f aca="false">(D248-a26_gp-D252-(1-m_new)*(D245+D247))/D238*1000</f>
        <v>27.9465727870208</v>
      </c>
      <c r="E253" s="23" t="n">
        <f aca="false">D253*(1+cc_g)</f>
        <v>28.5055042427612</v>
      </c>
      <c r="F253" s="23" t="n">
        <f aca="false">E253*(1+cc_g)</f>
        <v>29.0756143276165</v>
      </c>
      <c r="G253" s="23" t="n">
        <f aca="false">F253*(1+cc_g)</f>
        <v>29.6571266141688</v>
      </c>
      <c r="K253" s="7" t="s">
        <v>546</v>
      </c>
    </row>
    <row r="254" customFormat="false" ht="17.15" hidden="false" customHeight="false" outlineLevel="0" collapsed="false">
      <c r="A254" s="3" t="s">
        <v>547</v>
      </c>
      <c r="B254" s="0" t="s">
        <v>181</v>
      </c>
      <c r="D254" s="23" t="n">
        <f aca="false">D253*D238/1000</f>
        <v>127.2556948</v>
      </c>
      <c r="E254" s="23" t="n">
        <f aca="false">E253*E238/1000</f>
        <v>127.150043188577</v>
      </c>
      <c r="F254" s="23" t="n">
        <f aca="false">F253*F238/1000</f>
        <v>128.617540760207</v>
      </c>
      <c r="G254" s="23" t="n">
        <f aca="false">G253*G238/1000</f>
        <v>147.761246300726</v>
      </c>
    </row>
    <row r="255" customFormat="false" ht="17.15" hidden="false" customHeight="false" outlineLevel="0" collapsed="false">
      <c r="A255" s="3" t="s">
        <v>548</v>
      </c>
      <c r="B255" s="0" t="s">
        <v>181</v>
      </c>
      <c r="D255" s="23" t="n">
        <f aca="false">m_new*(D245+D247)</f>
        <v>4.266</v>
      </c>
      <c r="E255" s="23" t="n">
        <f aca="false">m_new*(E245+E247)</f>
        <v>5.346</v>
      </c>
      <c r="F255" s="23" t="n">
        <f aca="false">m_new*(F245+F247)</f>
        <v>4.65102</v>
      </c>
      <c r="G255" s="23" t="n">
        <f aca="false">m_new*(G245+G247)</f>
        <v>7.931979</v>
      </c>
    </row>
    <row r="256" customFormat="false" ht="15" hidden="false" customHeight="false" outlineLevel="0" collapsed="false">
      <c r="A256" s="3" t="s">
        <v>411</v>
      </c>
      <c r="B256" s="0" t="s">
        <v>181</v>
      </c>
      <c r="C256" s="23" t="n">
        <f aca="false">a25_gp</f>
        <v>68.906</v>
      </c>
      <c r="D256" s="23" t="n">
        <f aca="false">D242-D252-D254+D255</f>
        <v>91.0920852</v>
      </c>
      <c r="E256" s="23" t="n">
        <f aca="false">E242-E252-E254+E255</f>
        <v>91.7467826098535</v>
      </c>
      <c r="F256" s="23" t="n">
        <f aca="false">F242-F252-F254+F255</f>
        <v>64.550166659362</v>
      </c>
      <c r="G256" s="23" t="n">
        <f aca="false">G242-G252-G254+G255</f>
        <v>66.9970446259798</v>
      </c>
    </row>
    <row r="257" customFormat="false" ht="15" hidden="false" customHeight="false" outlineLevel="0" collapsed="false">
      <c r="A257" s="3" t="s">
        <v>413</v>
      </c>
      <c r="B257" s="0" t="s">
        <v>69</v>
      </c>
      <c r="C257" s="15" t="n">
        <f aca="false">C256/C248</f>
        <v>0.290065795843454</v>
      </c>
      <c r="D257" s="15" t="n">
        <f aca="false">D256/D248</f>
        <v>0.325638488136828</v>
      </c>
      <c r="E257" s="15" t="n">
        <f aca="false">E256/E248</f>
        <v>0.318185752383202</v>
      </c>
      <c r="F257" s="15" t="n">
        <f aca="false">F256/F248</f>
        <v>0.240808340659912</v>
      </c>
      <c r="G257" s="15" t="n">
        <f aca="false">G256/G248</f>
        <v>0.223925731650566</v>
      </c>
    </row>
    <row r="258" customFormat="false" ht="15" hidden="false" customHeight="false" outlineLevel="0" collapsed="false">
      <c r="A258" s="3" t="s">
        <v>415</v>
      </c>
      <c r="B258" s="0" t="s">
        <v>181</v>
      </c>
      <c r="C258" s="23" t="n">
        <f aca="false">a25_opx</f>
        <v>25.056</v>
      </c>
      <c r="D258" s="23" t="n">
        <f aca="false">a26_opx</f>
        <v>27.23586</v>
      </c>
      <c r="E258" s="23" t="n">
        <f aca="false">D258*(1+MAX(g_opx_min,phi*E250))</f>
        <v>28.0529358</v>
      </c>
      <c r="F258" s="23" t="n">
        <f aca="false">E258*(1+MAX(g_opx_min,phi*F250))</f>
        <v>28.894523874</v>
      </c>
      <c r="G258" s="23" t="n">
        <f aca="false">F258*(1+MAX(g_opx_min,phi*G250))</f>
        <v>30.5726935473824</v>
      </c>
    </row>
    <row r="259" customFormat="false" ht="15" hidden="false" customHeight="false" outlineLevel="0" collapsed="false">
      <c r="A259" s="3" t="s">
        <v>418</v>
      </c>
      <c r="B259" s="0" t="s">
        <v>181</v>
      </c>
      <c r="C259" s="23" t="n">
        <f aca="false">C256-C258</f>
        <v>43.85</v>
      </c>
      <c r="D259" s="23" t="n">
        <f aca="false">D256-D258</f>
        <v>63.8562252</v>
      </c>
      <c r="E259" s="23" t="n">
        <f aca="false">E256-E258</f>
        <v>63.6938468098535</v>
      </c>
      <c r="F259" s="23" t="n">
        <f aca="false">F256-F258</f>
        <v>35.655642785362</v>
      </c>
      <c r="G259" s="23" t="n">
        <f aca="false">G256-G258</f>
        <v>36.4243510785974</v>
      </c>
    </row>
    <row r="260" customFormat="false" ht="15" hidden="false" customHeight="false" outlineLevel="0" collapsed="false">
      <c r="A260" s="3" t="s">
        <v>515</v>
      </c>
      <c r="B260" s="0" t="s">
        <v>69</v>
      </c>
      <c r="C260" s="15" t="n">
        <f aca="false">C259/C248</f>
        <v>0.184590386145408</v>
      </c>
      <c r="D260" s="15" t="n">
        <f aca="false">D259/D248</f>
        <v>0.228274987740129</v>
      </c>
      <c r="E260" s="15" t="n">
        <f aca="false">E259/E248</f>
        <v>0.220895752339952</v>
      </c>
      <c r="F260" s="15" t="n">
        <f aca="false">F259/F248</f>
        <v>0.13301555392747</v>
      </c>
      <c r="G260" s="15" t="n">
        <f aca="false">G259/G248</f>
        <v>0.121741929225475</v>
      </c>
    </row>
    <row r="261" customFormat="false" ht="15" hidden="false" customHeight="false" outlineLevel="0" collapsed="false">
      <c r="A261" s="3" t="s">
        <v>421</v>
      </c>
      <c r="B261" s="0" t="s">
        <v>181</v>
      </c>
      <c r="C261" s="23" t="n">
        <f aca="false">a25_nonop</f>
        <v>5.805</v>
      </c>
      <c r="D261" s="23" t="n">
        <f aca="false">a26_nonop</f>
        <v>38.372</v>
      </c>
      <c r="E261" s="23" t="n">
        <f aca="false">nonop_f</f>
        <v>4</v>
      </c>
      <c r="F261" s="23" t="n">
        <f aca="false">nonop_f</f>
        <v>4</v>
      </c>
      <c r="G261" s="23" t="n">
        <f aca="false">nonop_f</f>
        <v>4</v>
      </c>
    </row>
    <row r="262" customFormat="false" ht="15" hidden="false" customHeight="false" outlineLevel="0" collapsed="false">
      <c r="A262" s="3" t="s">
        <v>423</v>
      </c>
      <c r="B262" s="0" t="s">
        <v>181</v>
      </c>
      <c r="C262" s="23" t="n">
        <f aca="false">C259+C261</f>
        <v>49.655</v>
      </c>
      <c r="D262" s="23" t="n">
        <f aca="false">D259+D261</f>
        <v>102.2282252</v>
      </c>
      <c r="E262" s="23" t="n">
        <f aca="false">E259+E261</f>
        <v>67.6938468098535</v>
      </c>
      <c r="F262" s="23" t="n">
        <f aca="false">F259+F261</f>
        <v>39.655642785362</v>
      </c>
      <c r="G262" s="23" t="n">
        <f aca="false">G259+G261</f>
        <v>40.4243510785974</v>
      </c>
    </row>
    <row r="263" customFormat="false" ht="15" hidden="false" customHeight="false" outlineLevel="0" collapsed="false">
      <c r="A263" s="3" t="s">
        <v>425</v>
      </c>
      <c r="B263" s="0" t="s">
        <v>181</v>
      </c>
      <c r="C263" s="23" t="n">
        <f aca="false">a25_tax</f>
        <v>7.939</v>
      </c>
      <c r="D263" s="23" t="n">
        <f aca="false">a26_tax</f>
        <v>10.493828284</v>
      </c>
      <c r="E263" s="23" t="n">
        <f aca="false">E262*tax</f>
        <v>10.154077021478</v>
      </c>
      <c r="F263" s="23" t="n">
        <f aca="false">F262*tax</f>
        <v>5.9483464178043</v>
      </c>
      <c r="G263" s="23" t="n">
        <f aca="false">G262*tax</f>
        <v>6.06365266178961</v>
      </c>
    </row>
    <row r="264" customFormat="false" ht="17.15" hidden="false" customHeight="false" outlineLevel="0" collapsed="false">
      <c r="A264" s="3" t="s">
        <v>549</v>
      </c>
      <c r="B264" s="0" t="s">
        <v>181</v>
      </c>
      <c r="C264" s="23" t="n">
        <f aca="false">a25_mi</f>
        <v>0</v>
      </c>
      <c r="D264" s="23" t="n">
        <f aca="false">a26_mi</f>
        <v>-0.134999999999987</v>
      </c>
      <c r="E264" s="23" t="n">
        <f aca="false">0</f>
        <v>0</v>
      </c>
      <c r="F264" s="23" t="n">
        <f aca="false">0</f>
        <v>0</v>
      </c>
      <c r="G264" s="23" t="n">
        <f aca="false">0</f>
        <v>0</v>
      </c>
      <c r="K264" s="7" t="s">
        <v>550</v>
      </c>
    </row>
    <row r="265" customFormat="false" ht="15" hidden="false" customHeight="false" outlineLevel="0" collapsed="false">
      <c r="A265" s="3" t="s">
        <v>428</v>
      </c>
      <c r="B265" s="0" t="s">
        <v>181</v>
      </c>
      <c r="C265" s="23" t="n">
        <f aca="false">C262-C263-C264</f>
        <v>41.716</v>
      </c>
      <c r="D265" s="23" t="n">
        <f aca="false">D262-D263-D264</f>
        <v>91.869396916</v>
      </c>
      <c r="E265" s="23" t="n">
        <f aca="false">E262-E263-E264</f>
        <v>57.5397697883755</v>
      </c>
      <c r="F265" s="23" t="n">
        <f aca="false">F262-F263-F264</f>
        <v>33.7072963675577</v>
      </c>
      <c r="G265" s="23" t="n">
        <f aca="false">G262-G263-G264</f>
        <v>34.3606984168078</v>
      </c>
      <c r="H265" s="30" t="n">
        <f aca="false">H248*H269</f>
        <v>34.7672488222425</v>
      </c>
      <c r="I265" s="30" t="n">
        <f aca="false">I248*I269</f>
        <v>33.9643390757829</v>
      </c>
      <c r="J265" s="30" t="n">
        <f aca="false">J248*J269</f>
        <v>31.9787315605833</v>
      </c>
    </row>
    <row r="266" customFormat="false" ht="15" hidden="false" customHeight="false" outlineLevel="0" collapsed="false">
      <c r="A266" s="3" t="s">
        <v>551</v>
      </c>
      <c r="B266" s="3" t="s">
        <v>250</v>
      </c>
      <c r="C266" s="9" t="n">
        <f aca="false">a25_sh</f>
        <v>12.4898203592814</v>
      </c>
      <c r="D266" s="9" t="n">
        <f aca="false">a26_sh</f>
        <v>12.4754339027235</v>
      </c>
      <c r="E266" s="9" t="n">
        <f aca="false">q_sh*(1+sh_g)</f>
        <v>12.45</v>
      </c>
      <c r="F266" s="9" t="n">
        <f aca="false">E266*(1+sh_g)</f>
        <v>12.45</v>
      </c>
      <c r="G266" s="9" t="n">
        <f aca="false">F266*(1+sh_g)</f>
        <v>12.45</v>
      </c>
      <c r="H266" s="32" t="n">
        <f aca="false">G266*(1+sh_g)</f>
        <v>12.45</v>
      </c>
      <c r="I266" s="32" t="n">
        <f aca="false">H266*(1+sh_g)</f>
        <v>12.45</v>
      </c>
      <c r="J266" s="32" t="n">
        <f aca="false">I266*(1+sh_g)</f>
        <v>12.45</v>
      </c>
    </row>
    <row r="267" customFormat="false" ht="17.15" hidden="false" customHeight="false" outlineLevel="0" collapsed="false">
      <c r="A267" s="0" t="s">
        <v>434</v>
      </c>
      <c r="B267" s="0" t="s">
        <v>260</v>
      </c>
      <c r="C267" s="23" t="n">
        <f aca="false">C265/C266</f>
        <v>3.34</v>
      </c>
      <c r="D267" s="23" t="n">
        <f aca="false">D265/D266</f>
        <v>7.36402418002826</v>
      </c>
      <c r="E267" s="23" t="n">
        <f aca="false">E265/E266</f>
        <v>4.62166825609442</v>
      </c>
      <c r="F267" s="23" t="n">
        <f aca="false">F265/F266</f>
        <v>2.70741336285604</v>
      </c>
      <c r="G267" s="23" t="n">
        <f aca="false">G265/G266</f>
        <v>2.75989545516528</v>
      </c>
      <c r="H267" s="30" t="n">
        <f aca="false">H265/H266</f>
        <v>2.79255010620422</v>
      </c>
      <c r="I267" s="30" t="n">
        <f aca="false">I265/I266</f>
        <v>2.7280593635167</v>
      </c>
      <c r="J267" s="30" t="n">
        <f aca="false">J265/J266</f>
        <v>2.56857281611111</v>
      </c>
    </row>
    <row r="268" customFormat="false" ht="17.15" hidden="false" customHeight="false" outlineLevel="0" collapsed="false">
      <c r="A268" s="0" t="s">
        <v>552</v>
      </c>
      <c r="B268" s="0" t="s">
        <v>69</v>
      </c>
      <c r="D268" s="21" t="n">
        <f aca="false">D267/C267-1</f>
        <v>1.2047976586911</v>
      </c>
      <c r="E268" s="21" t="n">
        <f aca="false">E267/D267-1</f>
        <v>-0.372399092791045</v>
      </c>
      <c r="F268" s="21" t="n">
        <f aca="false">F267/E267-1</f>
        <v>-0.414191323817784</v>
      </c>
      <c r="G268" s="21" t="n">
        <f aca="false">G267/F267-1</f>
        <v>0.0193845878982728</v>
      </c>
      <c r="H268" s="28" t="n">
        <f aca="false">H267/G267-1</f>
        <v>0.011831843477194</v>
      </c>
      <c r="I268" s="28" t="n">
        <f aca="false">I267/H267-1</f>
        <v>-0.0230938533723142</v>
      </c>
      <c r="J268" s="28" t="n">
        <f aca="false">J267/I267-1</f>
        <v>-0.0584615384615386</v>
      </c>
    </row>
    <row r="269" customFormat="false" ht="17.15" hidden="false" customHeight="false" outlineLevel="0" collapsed="false">
      <c r="A269" s="3" t="s">
        <v>553</v>
      </c>
      <c r="B269" s="0" t="s">
        <v>69</v>
      </c>
      <c r="C269" s="15" t="n">
        <f aca="false">C265/C248</f>
        <v>0.175607127672562</v>
      </c>
      <c r="D269" s="15" t="n">
        <f aca="false">D265/D248</f>
        <v>0.328417243409073</v>
      </c>
      <c r="E269" s="15" t="n">
        <f aca="false">E265/E248</f>
        <v>0.199552882632684</v>
      </c>
      <c r="F269" s="15" t="n">
        <f aca="false">F265/F248</f>
        <v>0.12574712857424</v>
      </c>
      <c r="G269" s="15" t="n">
        <f aca="false">G265/G248</f>
        <v>0.114844536441306</v>
      </c>
      <c r="H269" s="29" t="n">
        <f aca="false">$G269+($G$269*0.8-$G269)*1/3</f>
        <v>0.107188234011885</v>
      </c>
      <c r="I269" s="29" t="n">
        <f aca="false">$G269+($G$269*0.8-$G269)*2/3</f>
        <v>0.0995319315824649</v>
      </c>
      <c r="J269" s="29" t="n">
        <f aca="false">$G269+($G$269*0.8-$G269)*3/3</f>
        <v>0.0918756291530445</v>
      </c>
    </row>
    <row r="272" customFormat="false" ht="17.15" hidden="false" customHeight="false" outlineLevel="0" collapsed="false">
      <c r="A272" s="1" t="s">
        <v>843</v>
      </c>
    </row>
    <row r="273" customFormat="false" ht="17.15" hidden="false" customHeight="false" outlineLevel="0" collapsed="false">
      <c r="A273" s="4" t="s">
        <v>24</v>
      </c>
      <c r="B273" s="4" t="s">
        <v>25</v>
      </c>
      <c r="C273" s="16" t="s">
        <v>387</v>
      </c>
      <c r="D273" s="16" t="s">
        <v>505</v>
      </c>
      <c r="E273" s="16" t="s">
        <v>467</v>
      </c>
      <c r="F273" s="16" t="s">
        <v>468</v>
      </c>
      <c r="G273" s="16" t="s">
        <v>469</v>
      </c>
      <c r="H273" s="16" t="s">
        <v>506</v>
      </c>
      <c r="I273" s="16" t="s">
        <v>507</v>
      </c>
      <c r="J273" s="16" t="s">
        <v>508</v>
      </c>
      <c r="K273" s="4" t="s">
        <v>345</v>
      </c>
    </row>
    <row r="274" customFormat="false" ht="17.15" hidden="false" customHeight="false" outlineLevel="0" collapsed="false">
      <c r="A274" s="5" t="s">
        <v>526</v>
      </c>
    </row>
    <row r="275" customFormat="false" ht="17.15" hidden="false" customHeight="false" outlineLevel="0" collapsed="false">
      <c r="A275" s="3" t="s">
        <v>527</v>
      </c>
      <c r="B275" s="3" t="s">
        <v>64</v>
      </c>
      <c r="D275" s="22" t="n">
        <f aca="false">cap_26</f>
        <v>5230.46851955216</v>
      </c>
      <c r="E275" s="22" t="n">
        <f aca="false">D275*(1+capg27)*cap_adj_lo</f>
        <v>5167.70289731754</v>
      </c>
      <c r="F275" s="22" t="n">
        <f aca="false">E275*(1+capg28)</f>
        <v>5529.44210012977</v>
      </c>
      <c r="G275" s="22" t="n">
        <f aca="false">F275*(1+capg29)</f>
        <v>5916.50304713885</v>
      </c>
    </row>
    <row r="276" customFormat="false" ht="15" hidden="false" customHeight="false" outlineLevel="0" collapsed="false">
      <c r="A276" s="3" t="s">
        <v>528</v>
      </c>
      <c r="B276" s="0" t="s">
        <v>69</v>
      </c>
      <c r="D276" s="21" t="n">
        <f aca="false">a26_ship/cap_26</f>
        <v>0.870578781414787</v>
      </c>
      <c r="E276" s="21" t="n">
        <f aca="false">MIN(0.98,ut27_A+ut_adj)</f>
        <v>0.95</v>
      </c>
      <c r="F276" s="21" t="n">
        <f aca="false">MIN(0.98,ut28_A+ut_adj)</f>
        <v>0.94</v>
      </c>
      <c r="G276" s="21" t="n">
        <f aca="false">MIN(0.98,ut29_A+ut_adj)</f>
        <v>0.93</v>
      </c>
    </row>
    <row r="277" customFormat="false" ht="17.15" hidden="false" customHeight="false" outlineLevel="0" collapsed="false">
      <c r="A277" s="3" t="s">
        <v>529</v>
      </c>
      <c r="B277" s="3" t="s">
        <v>64</v>
      </c>
      <c r="D277" s="22" t="n">
        <f aca="false">D275*D276</f>
        <v>4553.53490998013</v>
      </c>
      <c r="E277" s="22" t="n">
        <f aca="false">E275*E276</f>
        <v>4909.31775245166</v>
      </c>
      <c r="F277" s="22" t="n">
        <f aca="false">F275*F276</f>
        <v>5197.67557412198</v>
      </c>
      <c r="G277" s="22" t="n">
        <f aca="false">G275*G276</f>
        <v>5502.34783383913</v>
      </c>
    </row>
    <row r="278" customFormat="false" ht="17.15" hidden="false" customHeight="false" outlineLevel="0" collapsed="false">
      <c r="A278" s="3" t="s">
        <v>530</v>
      </c>
      <c r="B278" s="0" t="s">
        <v>109</v>
      </c>
      <c r="D278" s="22" t="n">
        <f aca="false">asp_26</f>
        <v>1878.17486396824</v>
      </c>
      <c r="E278" s="22" t="n">
        <f aca="false">D278*(1+asp27_A)*(1+asp_adj)</f>
        <v>2065.99235036507</v>
      </c>
      <c r="F278" s="22" t="n">
        <f aca="false">E278*(1+asp28_A)</f>
        <v>2127.97212087602</v>
      </c>
      <c r="G278" s="22" t="n">
        <f aca="false">F278*(1+asp29_A)</f>
        <v>2170.53156329354</v>
      </c>
    </row>
    <row r="279" customFormat="false" ht="15" hidden="false" customHeight="false" outlineLevel="0" collapsed="false">
      <c r="A279" s="3" t="s">
        <v>531</v>
      </c>
      <c r="B279" s="0" t="s">
        <v>69</v>
      </c>
      <c r="E279" s="21" t="n">
        <f aca="false">E278/D278-1</f>
        <v>0.1</v>
      </c>
      <c r="F279" s="21" t="n">
        <f aca="false">F278/E278-1</f>
        <v>0.03</v>
      </c>
      <c r="G279" s="21" t="n">
        <f aca="false">G278/F278-1</f>
        <v>0.02</v>
      </c>
    </row>
    <row r="280" customFormat="false" ht="15" hidden="false" customHeight="false" outlineLevel="0" collapsed="false">
      <c r="A280" s="3" t="s">
        <v>532</v>
      </c>
      <c r="B280" s="0" t="s">
        <v>35</v>
      </c>
      <c r="D280" s="23" t="n">
        <f aca="false">fx_26</f>
        <v>31.6</v>
      </c>
      <c r="E280" s="23" t="n">
        <f aca="false">fx</f>
        <v>32</v>
      </c>
      <c r="F280" s="23" t="n">
        <f aca="false">fx</f>
        <v>32</v>
      </c>
      <c r="G280" s="23" t="n">
        <f aca="false">fx</f>
        <v>32</v>
      </c>
    </row>
    <row r="281" customFormat="false" ht="17.15" hidden="false" customHeight="false" outlineLevel="0" collapsed="false">
      <c r="A281" s="3" t="s">
        <v>533</v>
      </c>
      <c r="B281" s="0" t="s">
        <v>181</v>
      </c>
      <c r="D281" s="23" t="n">
        <f aca="false">D277*D278*D280/1000000</f>
        <v>270.25378</v>
      </c>
      <c r="E281" s="23" t="n">
        <f aca="false">E277*E278*E280/1000000</f>
        <v>324.56361350645</v>
      </c>
      <c r="F281" s="23" t="n">
        <f aca="false">F277*F278*F280/1000000</f>
        <v>353.936278882875</v>
      </c>
      <c r="G281" s="23" t="n">
        <f aca="false">G277*G278*G280/1000000</f>
        <v>382.176628658166</v>
      </c>
    </row>
    <row r="282" customFormat="false" ht="17.15" hidden="false" customHeight="false" outlineLevel="0" collapsed="false">
      <c r="A282" s="5" t="s">
        <v>534</v>
      </c>
    </row>
    <row r="283" customFormat="false" ht="17.15" hidden="false" customHeight="false" outlineLevel="0" collapsed="false">
      <c r="A283" s="0" t="s">
        <v>535</v>
      </c>
      <c r="B283" s="0" t="s">
        <v>138</v>
      </c>
      <c r="D283" s="25" t="n">
        <f aca="false">ai_26</f>
        <v>0.3</v>
      </c>
      <c r="E283" s="25" t="n">
        <f aca="false">D283*(1+aig27_A)*ai_adj</f>
        <v>0.48</v>
      </c>
      <c r="F283" s="25" t="n">
        <f aca="false">E283*(1+aig_L)*um28_A</f>
        <v>0.696</v>
      </c>
      <c r="G283" s="25" t="n">
        <f aca="false">F283/um28_A*(1+aig_L)*um29_A</f>
        <v>1.0092</v>
      </c>
    </row>
    <row r="284" customFormat="false" ht="17.15" hidden="false" customHeight="false" outlineLevel="0" collapsed="false">
      <c r="A284" s="0" t="s">
        <v>536</v>
      </c>
      <c r="B284" s="0" t="s">
        <v>181</v>
      </c>
      <c r="D284" s="23" t="n">
        <f aca="false">D283*D280</f>
        <v>9.48</v>
      </c>
      <c r="E284" s="23" t="n">
        <f aca="false">E283*E280</f>
        <v>15.36</v>
      </c>
      <c r="F284" s="23" t="n">
        <f aca="false">F283*F280</f>
        <v>22.272</v>
      </c>
      <c r="G284" s="23" t="n">
        <f aca="false">G283*G280</f>
        <v>32.2944</v>
      </c>
    </row>
    <row r="285" customFormat="false" ht="17.15" hidden="false" customHeight="false" outlineLevel="0" collapsed="false">
      <c r="A285" s="0" t="s">
        <v>537</v>
      </c>
      <c r="B285" s="0" t="s">
        <v>138</v>
      </c>
      <c r="D285" s="25" t="n">
        <f aca="false">0</f>
        <v>0</v>
      </c>
      <c r="E285" s="25" t="n">
        <f aca="false">int_27</f>
        <v>0</v>
      </c>
      <c r="F285" s="25" t="n">
        <f aca="false">int28_A</f>
        <v>0.25</v>
      </c>
      <c r="G285" s="25" t="n">
        <f aca="false">int29_A</f>
        <v>0.5</v>
      </c>
    </row>
    <row r="286" customFormat="false" ht="17.15" hidden="false" customHeight="false" outlineLevel="0" collapsed="false">
      <c r="A286" s="0" t="s">
        <v>538</v>
      </c>
      <c r="B286" s="0" t="s">
        <v>181</v>
      </c>
      <c r="D286" s="23" t="n">
        <f aca="false">D285*D280</f>
        <v>0</v>
      </c>
      <c r="E286" s="23" t="n">
        <f aca="false">E285*E280</f>
        <v>0</v>
      </c>
      <c r="F286" s="23" t="n">
        <f aca="false">F285*F280</f>
        <v>8</v>
      </c>
      <c r="G286" s="23" t="n">
        <f aca="false">G285*G280</f>
        <v>16</v>
      </c>
    </row>
    <row r="287" customFormat="false" ht="17.15" hidden="false" customHeight="false" outlineLevel="0" collapsed="false">
      <c r="A287" s="3" t="s">
        <v>393</v>
      </c>
      <c r="B287" s="0" t="s">
        <v>181</v>
      </c>
      <c r="C287" s="23" t="n">
        <f aca="false">a25_rev</f>
        <v>237.553</v>
      </c>
      <c r="D287" s="23" t="n">
        <f aca="false">D281+D284+D286</f>
        <v>279.73378</v>
      </c>
      <c r="E287" s="23" t="n">
        <f aca="false">E281+E284+E286</f>
        <v>339.92361350645</v>
      </c>
      <c r="F287" s="23" t="n">
        <f aca="false">F281+F284+F286</f>
        <v>384.208278882875</v>
      </c>
      <c r="G287" s="23" t="n">
        <f aca="false">G281+G284+G286</f>
        <v>430.471028658166</v>
      </c>
      <c r="H287" s="30" t="n">
        <f aca="false">G287*(1+H289)</f>
        <v>473.635966084894</v>
      </c>
      <c r="I287" s="30" t="n">
        <f aca="false">H287*(1+I289)</f>
        <v>511.591668507851</v>
      </c>
      <c r="J287" s="30" t="n">
        <f aca="false">I287*(1+J289)</f>
        <v>542.287168618322</v>
      </c>
      <c r="K287" s="7" t="s">
        <v>539</v>
      </c>
    </row>
    <row r="288" customFormat="false" ht="17.15" hidden="false" customHeight="false" outlineLevel="0" collapsed="false">
      <c r="A288" s="0" t="s">
        <v>540</v>
      </c>
      <c r="B288" s="0" t="s">
        <v>69</v>
      </c>
      <c r="D288" s="21" t="n">
        <f aca="false">D284/D287</f>
        <v>0.0338893643806622</v>
      </c>
      <c r="E288" s="21" t="n">
        <f aca="false">E284/E287</f>
        <v>0.0451866224930812</v>
      </c>
      <c r="F288" s="21" t="n">
        <f aca="false">F284/F287</f>
        <v>0.0579685582641742</v>
      </c>
      <c r="G288" s="21" t="n">
        <f aca="false">G284/G287</f>
        <v>0.0750210765650498</v>
      </c>
    </row>
    <row r="289" customFormat="false" ht="15" hidden="false" customHeight="false" outlineLevel="0" collapsed="false">
      <c r="A289" s="3" t="s">
        <v>541</v>
      </c>
      <c r="B289" s="0" t="s">
        <v>69</v>
      </c>
      <c r="D289" s="21" t="n">
        <f aca="false">D287/C287-1</f>
        <v>0.177563659478096</v>
      </c>
      <c r="E289" s="21" t="n">
        <f aca="false">E287/D287-1</f>
        <v>0.215168270011759</v>
      </c>
      <c r="F289" s="21" t="n">
        <f aca="false">F287/E287-1</f>
        <v>0.130278284934696</v>
      </c>
      <c r="G289" s="21" t="n">
        <f aca="false">G287/F287-1</f>
        <v>0.12041060101517</v>
      </c>
      <c r="H289" s="28" t="n">
        <f aca="false">$G289+(fade_gA-$G289)*1/3</f>
        <v>0.100273734010113</v>
      </c>
      <c r="I289" s="28" t="n">
        <f aca="false">$G289+(fade_gA-$G289)*2/3</f>
        <v>0.0801368670050566</v>
      </c>
      <c r="J289" s="28" t="n">
        <f aca="false">$G289+(fade_gA-$G289)*3/3</f>
        <v>0.06</v>
      </c>
    </row>
    <row r="290" customFormat="false" ht="17.15" hidden="false" customHeight="false" outlineLevel="0" collapsed="false">
      <c r="A290" s="5" t="s">
        <v>542</v>
      </c>
    </row>
    <row r="291" customFormat="false" ht="15" hidden="false" customHeight="false" outlineLevel="0" collapsed="false">
      <c r="A291" s="3" t="s">
        <v>543</v>
      </c>
      <c r="B291" s="0" t="s">
        <v>181</v>
      </c>
      <c r="D291" s="23" t="n">
        <f aca="false">da_tot26*da_sh</f>
        <v>56.172</v>
      </c>
      <c r="E291" s="23" t="n">
        <f aca="false">D291*(1+dag_27+dag_adj)</f>
        <v>62.91264</v>
      </c>
      <c r="F291" s="23" t="n">
        <f aca="false">E291*(1+dag_28+dag_adj)</f>
        <v>69.203904</v>
      </c>
      <c r="G291" s="23" t="n">
        <f aca="false">F291*(1+dag_29+dag_adj)</f>
        <v>74.74021632</v>
      </c>
    </row>
    <row r="292" customFormat="false" ht="17.15" hidden="false" customHeight="false" outlineLevel="0" collapsed="false">
      <c r="A292" s="3" t="s">
        <v>544</v>
      </c>
      <c r="B292" s="0" t="s">
        <v>545</v>
      </c>
      <c r="D292" s="23" t="n">
        <f aca="false">(D287-a26_gp-D291-(1-m_new)*(D284+D286))/D277*1000</f>
        <v>27.9465727870208</v>
      </c>
      <c r="E292" s="23" t="n">
        <f aca="false">D292*(1+cc_g)</f>
        <v>28.5055042427612</v>
      </c>
      <c r="F292" s="23" t="n">
        <f aca="false">E292*(1+cc_g)</f>
        <v>29.0756143276165</v>
      </c>
      <c r="G292" s="23" t="n">
        <f aca="false">F292*(1+cc_g)</f>
        <v>29.6571266141688</v>
      </c>
      <c r="K292" s="7" t="s">
        <v>546</v>
      </c>
    </row>
    <row r="293" customFormat="false" ht="17.15" hidden="false" customHeight="false" outlineLevel="0" collapsed="false">
      <c r="A293" s="3" t="s">
        <v>547</v>
      </c>
      <c r="B293" s="0" t="s">
        <v>181</v>
      </c>
      <c r="D293" s="23" t="n">
        <f aca="false">D292*D277/1000</f>
        <v>127.2556948</v>
      </c>
      <c r="E293" s="23" t="n">
        <f aca="false">E292*E277/1000</f>
        <v>139.942578021574</v>
      </c>
      <c r="F293" s="23" t="n">
        <f aca="false">F292*F277/1000</f>
        <v>151.125610393243</v>
      </c>
      <c r="G293" s="23" t="n">
        <f aca="false">G292*G277/1000</f>
        <v>163.183826383365</v>
      </c>
    </row>
    <row r="294" customFormat="false" ht="17.15" hidden="false" customHeight="false" outlineLevel="0" collapsed="false">
      <c r="A294" s="3" t="s">
        <v>548</v>
      </c>
      <c r="B294" s="0" t="s">
        <v>181</v>
      </c>
      <c r="D294" s="23" t="n">
        <f aca="false">m_new*(D284+D286)</f>
        <v>4.266</v>
      </c>
      <c r="E294" s="23" t="n">
        <f aca="false">m_new*(E284+E286)</f>
        <v>6.912</v>
      </c>
      <c r="F294" s="23" t="n">
        <f aca="false">m_new*(F284+F286)</f>
        <v>13.6224</v>
      </c>
      <c r="G294" s="23" t="n">
        <f aca="false">m_new*(G284+G286)</f>
        <v>21.73248</v>
      </c>
    </row>
    <row r="295" customFormat="false" ht="15" hidden="false" customHeight="false" outlineLevel="0" collapsed="false">
      <c r="A295" s="3" t="s">
        <v>411</v>
      </c>
      <c r="B295" s="0" t="s">
        <v>181</v>
      </c>
      <c r="C295" s="23" t="n">
        <f aca="false">a25_gp</f>
        <v>68.906</v>
      </c>
      <c r="D295" s="23" t="n">
        <f aca="false">D281-D291-D293+D294</f>
        <v>91.0920852</v>
      </c>
      <c r="E295" s="23" t="n">
        <f aca="false">E281-E291-E293+E294</f>
        <v>128.620395484876</v>
      </c>
      <c r="F295" s="23" t="n">
        <f aca="false">F281-F291-F293+F294</f>
        <v>147.229164489632</v>
      </c>
      <c r="G295" s="23" t="n">
        <f aca="false">G281-G291-G293+G294</f>
        <v>165.985065954801</v>
      </c>
    </row>
    <row r="296" customFormat="false" ht="15" hidden="false" customHeight="false" outlineLevel="0" collapsed="false">
      <c r="A296" s="3" t="s">
        <v>413</v>
      </c>
      <c r="B296" s="0" t="s">
        <v>69</v>
      </c>
      <c r="C296" s="15" t="n">
        <f aca="false">C295/C287</f>
        <v>0.290065795843454</v>
      </c>
      <c r="D296" s="15" t="n">
        <f aca="false">D295/D287</f>
        <v>0.325638488136828</v>
      </c>
      <c r="E296" s="15" t="n">
        <f aca="false">E295/E287</f>
        <v>0.378380290083718</v>
      </c>
      <c r="F296" s="15" t="n">
        <f aca="false">F295/F287</f>
        <v>0.383201436777249</v>
      </c>
      <c r="G296" s="15" t="n">
        <f aca="false">G295/G287</f>
        <v>0.385589400690212</v>
      </c>
    </row>
    <row r="297" customFormat="false" ht="15" hidden="false" customHeight="false" outlineLevel="0" collapsed="false">
      <c r="A297" s="3" t="s">
        <v>415</v>
      </c>
      <c r="B297" s="0" t="s">
        <v>181</v>
      </c>
      <c r="C297" s="23" t="n">
        <f aca="false">a25_opx</f>
        <v>25.056</v>
      </c>
      <c r="D297" s="23" t="n">
        <f aca="false">a26_opx</f>
        <v>27.23586</v>
      </c>
      <c r="E297" s="23" t="n">
        <f aca="false">D297*(1+MAX(g_opx_min,phi*E289))</f>
        <v>30.1660064392412</v>
      </c>
      <c r="F297" s="23" t="n">
        <f aca="false">E297*(1+MAX(g_opx_min,phi*F289))</f>
        <v>32.1309942303579</v>
      </c>
      <c r="G297" s="23" t="n">
        <f aca="false">F297*(1+MAX(g_opx_min,phi*G289))</f>
        <v>34.0654503936041</v>
      </c>
    </row>
    <row r="298" customFormat="false" ht="15" hidden="false" customHeight="false" outlineLevel="0" collapsed="false">
      <c r="A298" s="3" t="s">
        <v>418</v>
      </c>
      <c r="B298" s="0" t="s">
        <v>181</v>
      </c>
      <c r="C298" s="23" t="n">
        <f aca="false">C295-C297</f>
        <v>43.85</v>
      </c>
      <c r="D298" s="23" t="n">
        <f aca="false">D295-D297</f>
        <v>63.8562252</v>
      </c>
      <c r="E298" s="23" t="n">
        <f aca="false">E295-E297</f>
        <v>98.4543890456349</v>
      </c>
      <c r="F298" s="23" t="n">
        <f aca="false">F295-F297</f>
        <v>115.098170259274</v>
      </c>
      <c r="G298" s="23" t="n">
        <f aca="false">G295-G297</f>
        <v>131.919615561197</v>
      </c>
    </row>
    <row r="299" customFormat="false" ht="15" hidden="false" customHeight="false" outlineLevel="0" collapsed="false">
      <c r="A299" s="3" t="s">
        <v>515</v>
      </c>
      <c r="B299" s="0" t="s">
        <v>69</v>
      </c>
      <c r="C299" s="15" t="n">
        <f aca="false">C298/C287</f>
        <v>0.184590386145408</v>
      </c>
      <c r="D299" s="15" t="n">
        <f aca="false">D298/D287</f>
        <v>0.228274987740129</v>
      </c>
      <c r="E299" s="15" t="n">
        <f aca="false">E298/E287</f>
        <v>0.289636804075004</v>
      </c>
      <c r="F299" s="15" t="n">
        <f aca="false">F298/F287</f>
        <v>0.299572332470121</v>
      </c>
      <c r="G299" s="15" t="n">
        <f aca="false">G298/G287</f>
        <v>0.306454109054465</v>
      </c>
    </row>
    <row r="300" customFormat="false" ht="15" hidden="false" customHeight="false" outlineLevel="0" collapsed="false">
      <c r="A300" s="3" t="s">
        <v>421</v>
      </c>
      <c r="B300" s="0" t="s">
        <v>181</v>
      </c>
      <c r="C300" s="23" t="n">
        <f aca="false">a25_nonop</f>
        <v>5.805</v>
      </c>
      <c r="D300" s="23" t="n">
        <f aca="false">a26_nonop</f>
        <v>38.372</v>
      </c>
      <c r="E300" s="23" t="n">
        <f aca="false">nonop_f</f>
        <v>4</v>
      </c>
      <c r="F300" s="23" t="n">
        <f aca="false">nonop_f</f>
        <v>4</v>
      </c>
      <c r="G300" s="23" t="n">
        <f aca="false">nonop_f</f>
        <v>4</v>
      </c>
    </row>
    <row r="301" customFormat="false" ht="15" hidden="false" customHeight="false" outlineLevel="0" collapsed="false">
      <c r="A301" s="3" t="s">
        <v>423</v>
      </c>
      <c r="B301" s="0" t="s">
        <v>181</v>
      </c>
      <c r="C301" s="23" t="n">
        <f aca="false">C298+C300</f>
        <v>49.655</v>
      </c>
      <c r="D301" s="23" t="n">
        <f aca="false">D298+D300</f>
        <v>102.2282252</v>
      </c>
      <c r="E301" s="23" t="n">
        <f aca="false">E298+E300</f>
        <v>102.454389045635</v>
      </c>
      <c r="F301" s="23" t="n">
        <f aca="false">F298+F300</f>
        <v>119.098170259274</v>
      </c>
      <c r="G301" s="23" t="n">
        <f aca="false">G298+G300</f>
        <v>135.919615561197</v>
      </c>
    </row>
    <row r="302" customFormat="false" ht="15" hidden="false" customHeight="false" outlineLevel="0" collapsed="false">
      <c r="A302" s="3" t="s">
        <v>425</v>
      </c>
      <c r="B302" s="0" t="s">
        <v>181</v>
      </c>
      <c r="C302" s="23" t="n">
        <f aca="false">a25_tax</f>
        <v>7.939</v>
      </c>
      <c r="D302" s="23" t="n">
        <f aca="false">a26_tax</f>
        <v>10.493828284</v>
      </c>
      <c r="E302" s="23" t="n">
        <f aca="false">E301*tax</f>
        <v>15.3681583568452</v>
      </c>
      <c r="F302" s="23" t="n">
        <f aca="false">F301*tax</f>
        <v>17.8647255388911</v>
      </c>
      <c r="G302" s="23" t="n">
        <f aca="false">G301*tax</f>
        <v>20.3879423341796</v>
      </c>
    </row>
    <row r="303" customFormat="false" ht="17.15" hidden="false" customHeight="false" outlineLevel="0" collapsed="false">
      <c r="A303" s="3" t="s">
        <v>549</v>
      </c>
      <c r="B303" s="0" t="s">
        <v>181</v>
      </c>
      <c r="C303" s="23" t="n">
        <f aca="false">a25_mi</f>
        <v>0</v>
      </c>
      <c r="D303" s="23" t="n">
        <f aca="false">a26_mi</f>
        <v>-0.134999999999987</v>
      </c>
      <c r="E303" s="23" t="n">
        <f aca="false">0</f>
        <v>0</v>
      </c>
      <c r="F303" s="23" t="n">
        <f aca="false">0</f>
        <v>0</v>
      </c>
      <c r="G303" s="23" t="n">
        <f aca="false">0</f>
        <v>0</v>
      </c>
      <c r="K303" s="7" t="s">
        <v>550</v>
      </c>
    </row>
    <row r="304" customFormat="false" ht="15" hidden="false" customHeight="false" outlineLevel="0" collapsed="false">
      <c r="A304" s="3" t="s">
        <v>428</v>
      </c>
      <c r="B304" s="0" t="s">
        <v>181</v>
      </c>
      <c r="C304" s="23" t="n">
        <f aca="false">C301-C302-C303</f>
        <v>41.716</v>
      </c>
      <c r="D304" s="23" t="n">
        <f aca="false">D301-D302-D303</f>
        <v>91.869396916</v>
      </c>
      <c r="E304" s="23" t="n">
        <f aca="false">E301-E302-E303</f>
        <v>87.0862306887897</v>
      </c>
      <c r="F304" s="23" t="n">
        <f aca="false">F301-F302-F303</f>
        <v>101.233444720383</v>
      </c>
      <c r="G304" s="23" t="n">
        <f aca="false">G301-G302-G303</f>
        <v>115.531673227017</v>
      </c>
      <c r="H304" s="30" t="n">
        <f aca="false">H287*H308</f>
        <v>127.116465497927</v>
      </c>
      <c r="I304" s="30" t="n">
        <f aca="false">I287*I308</f>
        <v>137.303180787687</v>
      </c>
      <c r="J304" s="30" t="n">
        <f aca="false">J287*J308</f>
        <v>145.541371634948</v>
      </c>
    </row>
    <row r="305" customFormat="false" ht="15" hidden="false" customHeight="false" outlineLevel="0" collapsed="false">
      <c r="A305" s="3" t="s">
        <v>551</v>
      </c>
      <c r="B305" s="3" t="s">
        <v>250</v>
      </c>
      <c r="C305" s="9" t="n">
        <f aca="false">a25_sh</f>
        <v>12.4898203592814</v>
      </c>
      <c r="D305" s="9" t="n">
        <f aca="false">a26_sh</f>
        <v>12.4754339027235</v>
      </c>
      <c r="E305" s="9" t="n">
        <f aca="false">q_sh*(1+sh_g)</f>
        <v>12.45</v>
      </c>
      <c r="F305" s="9" t="n">
        <f aca="false">E305*(1+sh_g)</f>
        <v>12.45</v>
      </c>
      <c r="G305" s="9" t="n">
        <f aca="false">F305*(1+sh_g)</f>
        <v>12.45</v>
      </c>
      <c r="H305" s="32" t="n">
        <f aca="false">G305*(1+sh_g)</f>
        <v>12.45</v>
      </c>
      <c r="I305" s="32" t="n">
        <f aca="false">H305*(1+sh_g)</f>
        <v>12.45</v>
      </c>
      <c r="J305" s="32" t="n">
        <f aca="false">I305*(1+sh_g)</f>
        <v>12.45</v>
      </c>
    </row>
    <row r="306" customFormat="false" ht="17.15" hidden="false" customHeight="false" outlineLevel="0" collapsed="false">
      <c r="A306" s="0" t="s">
        <v>434</v>
      </c>
      <c r="B306" s="0" t="s">
        <v>260</v>
      </c>
      <c r="C306" s="23" t="n">
        <f aca="false">C304/C305</f>
        <v>3.34</v>
      </c>
      <c r="D306" s="23" t="n">
        <f aca="false">D304/D305</f>
        <v>7.36402418002826</v>
      </c>
      <c r="E306" s="23" t="n">
        <f aca="false">E304/E305</f>
        <v>6.99487796697106</v>
      </c>
      <c r="F306" s="23" t="n">
        <f aca="false">F304/F305</f>
        <v>8.1312003791472</v>
      </c>
      <c r="G306" s="23" t="n">
        <f aca="false">G304/G305</f>
        <v>9.27965246803353</v>
      </c>
      <c r="H306" s="30" t="n">
        <f aca="false">H304/H305</f>
        <v>10.2101578713194</v>
      </c>
      <c r="I306" s="30" t="n">
        <f aca="false">I304/I305</f>
        <v>11.028367934754</v>
      </c>
      <c r="J306" s="30" t="n">
        <f aca="false">J304/J305</f>
        <v>11.6900700108392</v>
      </c>
    </row>
    <row r="307" customFormat="false" ht="17.15" hidden="false" customHeight="false" outlineLevel="0" collapsed="false">
      <c r="A307" s="0" t="s">
        <v>552</v>
      </c>
      <c r="B307" s="0" t="s">
        <v>69</v>
      </c>
      <c r="D307" s="21" t="n">
        <f aca="false">D306/C306-1</f>
        <v>1.2047976586911</v>
      </c>
      <c r="E307" s="21" t="n">
        <f aca="false">E306/D306-1</f>
        <v>-0.0501283271255892</v>
      </c>
      <c r="F307" s="21" t="n">
        <f aca="false">F306/E306-1</f>
        <v>0.162450641389559</v>
      </c>
      <c r="G307" s="21" t="n">
        <f aca="false">G306/F306-1</f>
        <v>0.141240165699469</v>
      </c>
      <c r="H307" s="28" t="n">
        <f aca="false">H306/G306-1</f>
        <v>0.100273734010113</v>
      </c>
      <c r="I307" s="28" t="n">
        <f aca="false">I306/H306-1</f>
        <v>0.0801368670050566</v>
      </c>
      <c r="J307" s="28" t="n">
        <f aca="false">J306/I306-1</f>
        <v>0.0600000000000001</v>
      </c>
    </row>
    <row r="308" customFormat="false" ht="17.15" hidden="false" customHeight="false" outlineLevel="0" collapsed="false">
      <c r="A308" s="3" t="s">
        <v>553</v>
      </c>
      <c r="B308" s="0" t="s">
        <v>69</v>
      </c>
      <c r="C308" s="15" t="n">
        <f aca="false">C304/C287</f>
        <v>0.175607127672562</v>
      </c>
      <c r="D308" s="15" t="n">
        <f aca="false">D304/D287</f>
        <v>0.328417243409073</v>
      </c>
      <c r="E308" s="15" t="n">
        <f aca="false">E304/E287</f>
        <v>0.25619353063019</v>
      </c>
      <c r="F308" s="15" t="n">
        <f aca="false">F304/F287</f>
        <v>0.263485849432317</v>
      </c>
      <c r="G308" s="15" t="n">
        <f aca="false">G304/G287</f>
        <v>0.2683843174932</v>
      </c>
      <c r="H308" s="29" t="n">
        <f aca="false">$G308+($G$308*1-$G308)*1/3</f>
        <v>0.2683843174932</v>
      </c>
      <c r="I308" s="29" t="n">
        <f aca="false">$G308+($G$308*1-$G308)*2/3</f>
        <v>0.2683843174932</v>
      </c>
      <c r="J308" s="29" t="n">
        <f aca="false">$G308+($G$308*1-$G308)*3/3</f>
        <v>0.2683843174932</v>
      </c>
    </row>
    <row r="311" customFormat="false" ht="17.15" hidden="false" customHeight="false" outlineLevel="0" collapsed="false">
      <c r="A311" s="1" t="s">
        <v>844</v>
      </c>
    </row>
    <row r="312" customFormat="false" ht="17.15" hidden="false" customHeight="false" outlineLevel="0" collapsed="false">
      <c r="A312" s="4" t="s">
        <v>24</v>
      </c>
      <c r="B312" s="4" t="s">
        <v>25</v>
      </c>
      <c r="C312" s="16" t="s">
        <v>387</v>
      </c>
      <c r="D312" s="16" t="s">
        <v>505</v>
      </c>
      <c r="E312" s="16" t="s">
        <v>467</v>
      </c>
      <c r="F312" s="16" t="s">
        <v>468</v>
      </c>
      <c r="G312" s="16" t="s">
        <v>469</v>
      </c>
      <c r="H312" s="16" t="s">
        <v>506</v>
      </c>
      <c r="I312" s="16" t="s">
        <v>507</v>
      </c>
      <c r="J312" s="16" t="s">
        <v>508</v>
      </c>
      <c r="K312" s="4" t="s">
        <v>345</v>
      </c>
    </row>
    <row r="313" customFormat="false" ht="17.15" hidden="false" customHeight="false" outlineLevel="0" collapsed="false">
      <c r="A313" s="5" t="s">
        <v>526</v>
      </c>
    </row>
    <row r="314" customFormat="false" ht="17.15" hidden="false" customHeight="false" outlineLevel="0" collapsed="false">
      <c r="A314" s="3" t="s">
        <v>527</v>
      </c>
      <c r="B314" s="3" t="s">
        <v>64</v>
      </c>
      <c r="D314" s="22" t="n">
        <f aca="false">cap_26</f>
        <v>5230.46851955216</v>
      </c>
      <c r="E314" s="22" t="n">
        <f aca="false">D314*(1+capg27)*cap_adj_lo</f>
        <v>5167.70289731754</v>
      </c>
      <c r="F314" s="22" t="n">
        <f aca="false">E314*(1+capg28)</f>
        <v>5529.44210012977</v>
      </c>
      <c r="G314" s="22" t="n">
        <f aca="false">F314*(1+capg29)</f>
        <v>5916.50304713885</v>
      </c>
    </row>
    <row r="315" customFormat="false" ht="15" hidden="false" customHeight="false" outlineLevel="0" collapsed="false">
      <c r="A315" s="3" t="s">
        <v>528</v>
      </c>
      <c r="B315" s="0" t="s">
        <v>69</v>
      </c>
      <c r="D315" s="21" t="n">
        <f aca="false">a26_ship/cap_26</f>
        <v>0.870578781414787</v>
      </c>
      <c r="E315" s="21" t="n">
        <f aca="false">MIN(0.98,ut27_B+ut_adj)</f>
        <v>0.9</v>
      </c>
      <c r="F315" s="21" t="n">
        <f aca="false">MIN(0.98,ut28_B+ut_adj)</f>
        <v>0.87</v>
      </c>
      <c r="G315" s="21" t="n">
        <f aca="false">MIN(0.98,ut29_B+ut_adj)</f>
        <v>0.88</v>
      </c>
    </row>
    <row r="316" customFormat="false" ht="17.15" hidden="false" customHeight="false" outlineLevel="0" collapsed="false">
      <c r="A316" s="3" t="s">
        <v>529</v>
      </c>
      <c r="B316" s="3" t="s">
        <v>64</v>
      </c>
      <c r="D316" s="22" t="n">
        <f aca="false">D314*D315</f>
        <v>4553.53490998013</v>
      </c>
      <c r="E316" s="22" t="n">
        <f aca="false">E314*E315</f>
        <v>4650.93260758578</v>
      </c>
      <c r="F316" s="22" t="n">
        <f aca="false">F314*F315</f>
        <v>4810.6146271129</v>
      </c>
      <c r="G316" s="22" t="n">
        <f aca="false">G314*G315</f>
        <v>5206.52268148219</v>
      </c>
    </row>
    <row r="317" customFormat="false" ht="17.15" hidden="false" customHeight="false" outlineLevel="0" collapsed="false">
      <c r="A317" s="3" t="s">
        <v>530</v>
      </c>
      <c r="B317" s="0" t="s">
        <v>109</v>
      </c>
      <c r="D317" s="22" t="n">
        <f aca="false">asp_26</f>
        <v>1878.17486396824</v>
      </c>
      <c r="E317" s="22" t="n">
        <f aca="false">D317*(1+asp27_B)*(1+asp_adj)</f>
        <v>1972.08360716666</v>
      </c>
      <c r="F317" s="22" t="n">
        <f aca="false">E317*(1+asp28_B)</f>
        <v>1972.08360716666</v>
      </c>
      <c r="G317" s="22" t="n">
        <f aca="false">F317*(1+asp29_B)</f>
        <v>1972.08360716666</v>
      </c>
    </row>
    <row r="318" customFormat="false" ht="15" hidden="false" customHeight="false" outlineLevel="0" collapsed="false">
      <c r="A318" s="3" t="s">
        <v>531</v>
      </c>
      <c r="B318" s="0" t="s">
        <v>69</v>
      </c>
      <c r="E318" s="21" t="n">
        <f aca="false">E317/D317-1</f>
        <v>0.05</v>
      </c>
      <c r="F318" s="21" t="n">
        <f aca="false">F317/E317-1</f>
        <v>0</v>
      </c>
      <c r="G318" s="21" t="n">
        <f aca="false">G317/F317-1</f>
        <v>0</v>
      </c>
    </row>
    <row r="319" customFormat="false" ht="15" hidden="false" customHeight="false" outlineLevel="0" collapsed="false">
      <c r="A319" s="3" t="s">
        <v>532</v>
      </c>
      <c r="B319" s="0" t="s">
        <v>35</v>
      </c>
      <c r="D319" s="23" t="n">
        <f aca="false">fx_26</f>
        <v>31.6</v>
      </c>
      <c r="E319" s="23" t="n">
        <f aca="false">fx</f>
        <v>32</v>
      </c>
      <c r="F319" s="23" t="n">
        <f aca="false">fx</f>
        <v>32</v>
      </c>
      <c r="G319" s="23" t="n">
        <f aca="false">fx</f>
        <v>32</v>
      </c>
    </row>
    <row r="320" customFormat="false" ht="17.15" hidden="false" customHeight="false" outlineLevel="0" collapsed="false">
      <c r="A320" s="3" t="s">
        <v>533</v>
      </c>
      <c r="B320" s="0" t="s">
        <v>181</v>
      </c>
      <c r="D320" s="23" t="n">
        <f aca="false">D316*D317*D319/1000000</f>
        <v>270.25378</v>
      </c>
      <c r="E320" s="23" t="n">
        <f aca="false">E316*E317*E319/1000000</f>
        <v>293.504894510618</v>
      </c>
      <c r="F320" s="23" t="n">
        <f aca="false">F316*F317*F319/1000000</f>
        <v>303.581895888815</v>
      </c>
      <c r="G320" s="23" t="n">
        <f aca="false">G316*G317*G319/1000000</f>
        <v>328.566336975757</v>
      </c>
    </row>
    <row r="321" customFormat="false" ht="17.15" hidden="false" customHeight="false" outlineLevel="0" collapsed="false">
      <c r="A321" s="5" t="s">
        <v>534</v>
      </c>
    </row>
    <row r="322" customFormat="false" ht="17.15" hidden="false" customHeight="false" outlineLevel="0" collapsed="false">
      <c r="A322" s="0" t="s">
        <v>535</v>
      </c>
      <c r="B322" s="0" t="s">
        <v>138</v>
      </c>
      <c r="D322" s="25" t="n">
        <f aca="false">ai_26</f>
        <v>0.3</v>
      </c>
      <c r="E322" s="25" t="n">
        <f aca="false">D322*(1+aig27_B)*ai_adj</f>
        <v>0.42</v>
      </c>
      <c r="F322" s="25" t="n">
        <f aca="false">E322*(1+aig_L)*um28_B</f>
        <v>0.4872</v>
      </c>
      <c r="G322" s="25" t="n">
        <f aca="false">F322/um28_B*(1+aig_L)*um29_B</f>
        <v>0.7505925</v>
      </c>
    </row>
    <row r="323" customFormat="false" ht="17.15" hidden="false" customHeight="false" outlineLevel="0" collapsed="false">
      <c r="A323" s="0" t="s">
        <v>536</v>
      </c>
      <c r="B323" s="0" t="s">
        <v>181</v>
      </c>
      <c r="D323" s="23" t="n">
        <f aca="false">D322*D319</f>
        <v>9.48</v>
      </c>
      <c r="E323" s="23" t="n">
        <f aca="false">E322*E319</f>
        <v>13.44</v>
      </c>
      <c r="F323" s="23" t="n">
        <f aca="false">F322*F319</f>
        <v>15.5904</v>
      </c>
      <c r="G323" s="23" t="n">
        <f aca="false">G322*G319</f>
        <v>24.01896</v>
      </c>
    </row>
    <row r="324" customFormat="false" ht="17.15" hidden="false" customHeight="false" outlineLevel="0" collapsed="false">
      <c r="A324" s="0" t="s">
        <v>537</v>
      </c>
      <c r="B324" s="0" t="s">
        <v>138</v>
      </c>
      <c r="D324" s="25" t="n">
        <f aca="false">0</f>
        <v>0</v>
      </c>
      <c r="E324" s="25" t="n">
        <f aca="false">int_27</f>
        <v>0</v>
      </c>
      <c r="F324" s="25" t="n">
        <f aca="false">int28_B</f>
        <v>0.12</v>
      </c>
      <c r="G324" s="25" t="n">
        <f aca="false">int29_B</f>
        <v>0.3</v>
      </c>
    </row>
    <row r="325" customFormat="false" ht="17.15" hidden="false" customHeight="false" outlineLevel="0" collapsed="false">
      <c r="A325" s="0" t="s">
        <v>538</v>
      </c>
      <c r="B325" s="0" t="s">
        <v>181</v>
      </c>
      <c r="D325" s="23" t="n">
        <f aca="false">D324*D319</f>
        <v>0</v>
      </c>
      <c r="E325" s="23" t="n">
        <f aca="false">E324*E319</f>
        <v>0</v>
      </c>
      <c r="F325" s="23" t="n">
        <f aca="false">F324*F319</f>
        <v>3.84</v>
      </c>
      <c r="G325" s="23" t="n">
        <f aca="false">G324*G319</f>
        <v>9.6</v>
      </c>
    </row>
    <row r="326" customFormat="false" ht="17.15" hidden="false" customHeight="false" outlineLevel="0" collapsed="false">
      <c r="A326" s="3" t="s">
        <v>393</v>
      </c>
      <c r="B326" s="0" t="s">
        <v>181</v>
      </c>
      <c r="C326" s="23" t="n">
        <f aca="false">a25_rev</f>
        <v>237.553</v>
      </c>
      <c r="D326" s="23" t="n">
        <f aca="false">D320+D323+D325</f>
        <v>279.73378</v>
      </c>
      <c r="E326" s="23" t="n">
        <f aca="false">E320+E323+E325</f>
        <v>306.944894510618</v>
      </c>
      <c r="F326" s="23" t="n">
        <f aca="false">F320+F323+F325</f>
        <v>323.012295888815</v>
      </c>
      <c r="G326" s="23" t="n">
        <f aca="false">G320+G323+G325</f>
        <v>362.185296975757</v>
      </c>
      <c r="H326" s="30" t="n">
        <f aca="false">G326*(1+H328)</f>
        <v>396.296879989222</v>
      </c>
      <c r="I326" s="30" t="n">
        <f aca="false">H326*(1+I328)</f>
        <v>422.884969300585</v>
      </c>
      <c r="J326" s="30" t="n">
        <f aca="false">I326*(1+J328)</f>
        <v>439.800368072609</v>
      </c>
      <c r="K326" s="7" t="s">
        <v>539</v>
      </c>
    </row>
    <row r="327" customFormat="false" ht="17.15" hidden="false" customHeight="false" outlineLevel="0" collapsed="false">
      <c r="A327" s="0" t="s">
        <v>540</v>
      </c>
      <c r="B327" s="0" t="s">
        <v>69</v>
      </c>
      <c r="D327" s="21" t="n">
        <f aca="false">D323/D326</f>
        <v>0.0338893643806622</v>
      </c>
      <c r="E327" s="21" t="n">
        <f aca="false">E323/E326</f>
        <v>0.0437863611363476</v>
      </c>
      <c r="F327" s="21" t="n">
        <f aca="false">F323/F326</f>
        <v>0.0482656548943462</v>
      </c>
      <c r="G327" s="21" t="n">
        <f aca="false">G323/G326</f>
        <v>0.0663167726590727</v>
      </c>
    </row>
    <row r="328" customFormat="false" ht="15" hidden="false" customHeight="false" outlineLevel="0" collapsed="false">
      <c r="A328" s="3" t="s">
        <v>541</v>
      </c>
      <c r="B328" s="0" t="s">
        <v>69</v>
      </c>
      <c r="D328" s="21" t="n">
        <f aca="false">D326/C326-1</f>
        <v>0.177563659478096</v>
      </c>
      <c r="E328" s="21" t="n">
        <f aca="false">E326/D326-1</f>
        <v>0.0972750395415865</v>
      </c>
      <c r="F328" s="21" t="n">
        <f aca="false">F326/E326-1</f>
        <v>0.0523462082789001</v>
      </c>
      <c r="G328" s="21" t="n">
        <f aca="false">G326/F326-1</f>
        <v>0.121274024504707</v>
      </c>
      <c r="H328" s="28" t="n">
        <f aca="false">$G328+(fade_gB-$G328)*1/3</f>
        <v>0.0941826830031377</v>
      </c>
      <c r="I328" s="28" t="n">
        <f aca="false">$G328+(fade_gB-$G328)*2/3</f>
        <v>0.0670913415015689</v>
      </c>
      <c r="J328" s="28" t="n">
        <f aca="false">$G328+(fade_gB-$G328)*3/3</f>
        <v>0.04</v>
      </c>
    </row>
    <row r="329" customFormat="false" ht="17.15" hidden="false" customHeight="false" outlineLevel="0" collapsed="false">
      <c r="A329" s="5" t="s">
        <v>542</v>
      </c>
    </row>
    <row r="330" customFormat="false" ht="15" hidden="false" customHeight="false" outlineLevel="0" collapsed="false">
      <c r="A330" s="3" t="s">
        <v>543</v>
      </c>
      <c r="B330" s="0" t="s">
        <v>181</v>
      </c>
      <c r="D330" s="23" t="n">
        <f aca="false">da_tot26*da_sh</f>
        <v>56.172</v>
      </c>
      <c r="E330" s="23" t="n">
        <f aca="false">D330*(1+dag_27+dag_adj)</f>
        <v>62.91264</v>
      </c>
      <c r="F330" s="23" t="n">
        <f aca="false">E330*(1+dag_28+dag_adj)</f>
        <v>69.203904</v>
      </c>
      <c r="G330" s="23" t="n">
        <f aca="false">F330*(1+dag_29+dag_adj)</f>
        <v>74.74021632</v>
      </c>
    </row>
    <row r="331" customFormat="false" ht="17.15" hidden="false" customHeight="false" outlineLevel="0" collapsed="false">
      <c r="A331" s="3" t="s">
        <v>544</v>
      </c>
      <c r="B331" s="0" t="s">
        <v>545</v>
      </c>
      <c r="D331" s="23" t="n">
        <f aca="false">(D326-a26_gp-D330-(1-m_new)*(D323+D325))/D316*1000</f>
        <v>27.9465727870208</v>
      </c>
      <c r="E331" s="23" t="n">
        <f aca="false">D331*(1+cc_g)</f>
        <v>28.5055042427612</v>
      </c>
      <c r="F331" s="23" t="n">
        <f aca="false">E331*(1+cc_g)</f>
        <v>29.0756143276165</v>
      </c>
      <c r="G331" s="23" t="n">
        <f aca="false">F331*(1+cc_g)</f>
        <v>29.6571266141688</v>
      </c>
      <c r="K331" s="7" t="s">
        <v>546</v>
      </c>
    </row>
    <row r="332" customFormat="false" ht="17.15" hidden="false" customHeight="false" outlineLevel="0" collapsed="false">
      <c r="A332" s="3" t="s">
        <v>547</v>
      </c>
      <c r="B332" s="0" t="s">
        <v>181</v>
      </c>
      <c r="D332" s="23" t="n">
        <f aca="false">D331*D316/1000</f>
        <v>127.2556948</v>
      </c>
      <c r="E332" s="23" t="n">
        <f aca="false">E331*E316/1000</f>
        <v>132.577179178333</v>
      </c>
      <c r="F332" s="23" t="n">
        <f aca="false">F331*F316/1000</f>
        <v>139.871575576725</v>
      </c>
      <c r="G332" s="23" t="n">
        <f aca="false">G331*G316/1000</f>
        <v>154.410502384259</v>
      </c>
    </row>
    <row r="333" customFormat="false" ht="17.15" hidden="false" customHeight="false" outlineLevel="0" collapsed="false">
      <c r="A333" s="3" t="s">
        <v>548</v>
      </c>
      <c r="B333" s="0" t="s">
        <v>181</v>
      </c>
      <c r="D333" s="23" t="n">
        <f aca="false">m_new*(D323+D325)</f>
        <v>4.266</v>
      </c>
      <c r="E333" s="23" t="n">
        <f aca="false">m_new*(E323+E325)</f>
        <v>6.048</v>
      </c>
      <c r="F333" s="23" t="n">
        <f aca="false">m_new*(F323+F325)</f>
        <v>8.74368</v>
      </c>
      <c r="G333" s="23" t="n">
        <f aca="false">m_new*(G323+G325)</f>
        <v>15.128532</v>
      </c>
    </row>
    <row r="334" customFormat="false" ht="15" hidden="false" customHeight="false" outlineLevel="0" collapsed="false">
      <c r="A334" s="3" t="s">
        <v>411</v>
      </c>
      <c r="B334" s="0" t="s">
        <v>181</v>
      </c>
      <c r="C334" s="23" t="n">
        <f aca="false">a25_gp</f>
        <v>68.906</v>
      </c>
      <c r="D334" s="23" t="n">
        <f aca="false">D320-D330-D332+D333</f>
        <v>91.0920852</v>
      </c>
      <c r="E334" s="23" t="n">
        <f aca="false">E320-E330-E332+E333</f>
        <v>104.063075332284</v>
      </c>
      <c r="F334" s="23" t="n">
        <f aca="false">F320-F330-F332+F333</f>
        <v>103.25009631209</v>
      </c>
      <c r="G334" s="23" t="n">
        <f aca="false">G320-G330-G332+G333</f>
        <v>114.544150271498</v>
      </c>
    </row>
    <row r="335" customFormat="false" ht="15" hidden="false" customHeight="false" outlineLevel="0" collapsed="false">
      <c r="A335" s="3" t="s">
        <v>413</v>
      </c>
      <c r="B335" s="0" t="s">
        <v>69</v>
      </c>
      <c r="C335" s="15" t="n">
        <f aca="false">C334/C326</f>
        <v>0.290065795843454</v>
      </c>
      <c r="D335" s="15" t="n">
        <f aca="false">D334/D326</f>
        <v>0.325638488136828</v>
      </c>
      <c r="E335" s="15" t="n">
        <f aca="false">E334/E326</f>
        <v>0.339028526596603</v>
      </c>
      <c r="F335" s="15" t="n">
        <f aca="false">F334/F326</f>
        <v>0.319647572634913</v>
      </c>
      <c r="G335" s="15" t="n">
        <f aca="false">G334/G326</f>
        <v>0.316258421388003</v>
      </c>
    </row>
    <row r="336" customFormat="false" ht="15" hidden="false" customHeight="false" outlineLevel="0" collapsed="false">
      <c r="A336" s="3" t="s">
        <v>415</v>
      </c>
      <c r="B336" s="0" t="s">
        <v>181</v>
      </c>
      <c r="C336" s="23" t="n">
        <f aca="false">a25_opx</f>
        <v>25.056</v>
      </c>
      <c r="D336" s="23" t="n">
        <f aca="false">a26_opx</f>
        <v>27.23586</v>
      </c>
      <c r="E336" s="23" t="n">
        <f aca="false">D336*(1+MAX(g_opx_min,phi*E328))</f>
        <v>28.5605446792246</v>
      </c>
      <c r="F336" s="23" t="n">
        <f aca="false">E336*(1+MAX(g_opx_min,phi*F328))</f>
        <v>29.4173610196013</v>
      </c>
      <c r="G336" s="23" t="n">
        <f aca="false">F336*(1+MAX(g_opx_min,phi*G328))</f>
        <v>31.2011419001788</v>
      </c>
    </row>
    <row r="337" customFormat="false" ht="15" hidden="false" customHeight="false" outlineLevel="0" collapsed="false">
      <c r="A337" s="3" t="s">
        <v>418</v>
      </c>
      <c r="B337" s="0" t="s">
        <v>181</v>
      </c>
      <c r="C337" s="23" t="n">
        <f aca="false">C334-C336</f>
        <v>43.85</v>
      </c>
      <c r="D337" s="23" t="n">
        <f aca="false">D334-D336</f>
        <v>63.8562252</v>
      </c>
      <c r="E337" s="23" t="n">
        <f aca="false">E334-E336</f>
        <v>75.5025306530597</v>
      </c>
      <c r="F337" s="23" t="n">
        <f aca="false">F334-F336</f>
        <v>73.8327352924889</v>
      </c>
      <c r="G337" s="23" t="n">
        <f aca="false">G334-G336</f>
        <v>83.3430083713193</v>
      </c>
    </row>
    <row r="338" customFormat="false" ht="15" hidden="false" customHeight="false" outlineLevel="0" collapsed="false">
      <c r="A338" s="3" t="s">
        <v>515</v>
      </c>
      <c r="B338" s="0" t="s">
        <v>69</v>
      </c>
      <c r="C338" s="15" t="n">
        <f aca="false">C337/C326</f>
        <v>0.184590386145408</v>
      </c>
      <c r="D338" s="15" t="n">
        <f aca="false">D337/D326</f>
        <v>0.228274987740129</v>
      </c>
      <c r="E338" s="15" t="n">
        <f aca="false">E337/E326</f>
        <v>0.245980734663915</v>
      </c>
      <c r="F338" s="15" t="n">
        <f aca="false">F337/F326</f>
        <v>0.228575618427551</v>
      </c>
      <c r="G338" s="15" t="n">
        <f aca="false">G337/G326</f>
        <v>0.230111517687859</v>
      </c>
    </row>
    <row r="339" customFormat="false" ht="15" hidden="false" customHeight="false" outlineLevel="0" collapsed="false">
      <c r="A339" s="3" t="s">
        <v>421</v>
      </c>
      <c r="B339" s="0" t="s">
        <v>181</v>
      </c>
      <c r="C339" s="23" t="n">
        <f aca="false">a25_nonop</f>
        <v>5.805</v>
      </c>
      <c r="D339" s="23" t="n">
        <f aca="false">a26_nonop</f>
        <v>38.372</v>
      </c>
      <c r="E339" s="23" t="n">
        <f aca="false">nonop_f</f>
        <v>4</v>
      </c>
      <c r="F339" s="23" t="n">
        <f aca="false">nonop_f</f>
        <v>4</v>
      </c>
      <c r="G339" s="23" t="n">
        <f aca="false">nonop_f</f>
        <v>4</v>
      </c>
    </row>
    <row r="340" customFormat="false" ht="15" hidden="false" customHeight="false" outlineLevel="0" collapsed="false">
      <c r="A340" s="3" t="s">
        <v>423</v>
      </c>
      <c r="B340" s="0" t="s">
        <v>181</v>
      </c>
      <c r="C340" s="23" t="n">
        <f aca="false">C337+C339</f>
        <v>49.655</v>
      </c>
      <c r="D340" s="23" t="n">
        <f aca="false">D337+D339</f>
        <v>102.2282252</v>
      </c>
      <c r="E340" s="23" t="n">
        <f aca="false">E337+E339</f>
        <v>79.5025306530597</v>
      </c>
      <c r="F340" s="23" t="n">
        <f aca="false">F337+F339</f>
        <v>77.8327352924889</v>
      </c>
      <c r="G340" s="23" t="n">
        <f aca="false">G337+G339</f>
        <v>87.3430083713193</v>
      </c>
    </row>
    <row r="341" customFormat="false" ht="15" hidden="false" customHeight="false" outlineLevel="0" collapsed="false">
      <c r="A341" s="3" t="s">
        <v>425</v>
      </c>
      <c r="B341" s="0" t="s">
        <v>181</v>
      </c>
      <c r="C341" s="23" t="n">
        <f aca="false">a25_tax</f>
        <v>7.939</v>
      </c>
      <c r="D341" s="23" t="n">
        <f aca="false">a26_tax</f>
        <v>10.493828284</v>
      </c>
      <c r="E341" s="23" t="n">
        <f aca="false">E340*tax</f>
        <v>11.925379597959</v>
      </c>
      <c r="F341" s="23" t="n">
        <f aca="false">F340*tax</f>
        <v>11.6749102938733</v>
      </c>
      <c r="G341" s="23" t="n">
        <f aca="false">G340*tax</f>
        <v>13.1014512556979</v>
      </c>
    </row>
    <row r="342" customFormat="false" ht="17.15" hidden="false" customHeight="false" outlineLevel="0" collapsed="false">
      <c r="A342" s="3" t="s">
        <v>549</v>
      </c>
      <c r="B342" s="0" t="s">
        <v>181</v>
      </c>
      <c r="C342" s="23" t="n">
        <f aca="false">a25_mi</f>
        <v>0</v>
      </c>
      <c r="D342" s="23" t="n">
        <f aca="false">a26_mi</f>
        <v>-0.134999999999987</v>
      </c>
      <c r="E342" s="23" t="n">
        <f aca="false">0</f>
        <v>0</v>
      </c>
      <c r="F342" s="23" t="n">
        <f aca="false">0</f>
        <v>0</v>
      </c>
      <c r="G342" s="23" t="n">
        <f aca="false">0</f>
        <v>0</v>
      </c>
      <c r="K342" s="7" t="s">
        <v>550</v>
      </c>
    </row>
    <row r="343" customFormat="false" ht="15" hidden="false" customHeight="false" outlineLevel="0" collapsed="false">
      <c r="A343" s="3" t="s">
        <v>428</v>
      </c>
      <c r="B343" s="0" t="s">
        <v>181</v>
      </c>
      <c r="C343" s="23" t="n">
        <f aca="false">C340-C341-C342</f>
        <v>41.716</v>
      </c>
      <c r="D343" s="23" t="n">
        <f aca="false">D340-D341-D342</f>
        <v>91.869396916</v>
      </c>
      <c r="E343" s="23" t="n">
        <f aca="false">E340-E341-E342</f>
        <v>67.5771510551008</v>
      </c>
      <c r="F343" s="23" t="n">
        <f aca="false">F340-F341-F342</f>
        <v>66.1578249986156</v>
      </c>
      <c r="G343" s="23" t="n">
        <f aca="false">G340-G341-G342</f>
        <v>74.2415571156214</v>
      </c>
      <c r="H343" s="30" t="n">
        <f aca="false">H326*H347</f>
        <v>78.5260319499313</v>
      </c>
      <c r="I343" s="30" t="n">
        <f aca="false">I326*I347</f>
        <v>80.9049850253422</v>
      </c>
      <c r="J343" s="30" t="n">
        <f aca="false">J326*J347</f>
        <v>81.1361421254146</v>
      </c>
    </row>
    <row r="344" customFormat="false" ht="15" hidden="false" customHeight="false" outlineLevel="0" collapsed="false">
      <c r="A344" s="3" t="s">
        <v>551</v>
      </c>
      <c r="B344" s="3" t="s">
        <v>250</v>
      </c>
      <c r="C344" s="9" t="n">
        <f aca="false">a25_sh</f>
        <v>12.4898203592814</v>
      </c>
      <c r="D344" s="9" t="n">
        <f aca="false">a26_sh</f>
        <v>12.4754339027235</v>
      </c>
      <c r="E344" s="9" t="n">
        <f aca="false">q_sh*(1+sh_g)</f>
        <v>12.45</v>
      </c>
      <c r="F344" s="9" t="n">
        <f aca="false">E344*(1+sh_g)</f>
        <v>12.45</v>
      </c>
      <c r="G344" s="9" t="n">
        <f aca="false">F344*(1+sh_g)</f>
        <v>12.45</v>
      </c>
      <c r="H344" s="32" t="n">
        <f aca="false">G344*(1+sh_g)</f>
        <v>12.45</v>
      </c>
      <c r="I344" s="32" t="n">
        <f aca="false">H344*(1+sh_g)</f>
        <v>12.45</v>
      </c>
      <c r="J344" s="32" t="n">
        <f aca="false">I344*(1+sh_g)</f>
        <v>12.45</v>
      </c>
    </row>
    <row r="345" customFormat="false" ht="17.15" hidden="false" customHeight="false" outlineLevel="0" collapsed="false">
      <c r="A345" s="0" t="s">
        <v>434</v>
      </c>
      <c r="B345" s="0" t="s">
        <v>260</v>
      </c>
      <c r="C345" s="23" t="n">
        <f aca="false">C343/C344</f>
        <v>3.34</v>
      </c>
      <c r="D345" s="23" t="n">
        <f aca="false">D343/D344</f>
        <v>7.36402418002826</v>
      </c>
      <c r="E345" s="23" t="n">
        <f aca="false">E343/E344</f>
        <v>5.4278836188836</v>
      </c>
      <c r="F345" s="23" t="n">
        <f aca="false">F343/F344</f>
        <v>5.31388152599322</v>
      </c>
      <c r="G345" s="23" t="n">
        <f aca="false">G343/G344</f>
        <v>5.96317727836317</v>
      </c>
      <c r="H345" s="30" t="n">
        <f aca="false">H343/H344</f>
        <v>6.30731180320733</v>
      </c>
      <c r="I345" s="30" t="n">
        <f aca="false">I343/I344</f>
        <v>6.49839237151343</v>
      </c>
      <c r="J345" s="30" t="n">
        <f aca="false">J343/J344</f>
        <v>6.51695920686061</v>
      </c>
    </row>
    <row r="346" customFormat="false" ht="17.15" hidden="false" customHeight="false" outlineLevel="0" collapsed="false">
      <c r="A346" s="0" t="s">
        <v>552</v>
      </c>
      <c r="B346" s="0" t="s">
        <v>69</v>
      </c>
      <c r="D346" s="21" t="n">
        <f aca="false">D345/C345-1</f>
        <v>1.2047976586911</v>
      </c>
      <c r="E346" s="21" t="n">
        <f aca="false">E345/D345-1</f>
        <v>-0.262918821803385</v>
      </c>
      <c r="F346" s="21" t="n">
        <f aca="false">F345/E345-1</f>
        <v>-0.0210030466559308</v>
      </c>
      <c r="G346" s="21" t="n">
        <f aca="false">G345/F345-1</f>
        <v>0.122188601532396</v>
      </c>
      <c r="H346" s="28" t="n">
        <f aca="false">H345/G345-1</f>
        <v>0.0577099269030332</v>
      </c>
      <c r="I346" s="28" t="n">
        <f aca="false">I345/H345-1</f>
        <v>0.0302950883463424</v>
      </c>
      <c r="J346" s="28" t="n">
        <f aca="false">J345/I345-1</f>
        <v>0.00285714285714289</v>
      </c>
    </row>
    <row r="347" customFormat="false" ht="17.15" hidden="false" customHeight="false" outlineLevel="0" collapsed="false">
      <c r="A347" s="3" t="s">
        <v>553</v>
      </c>
      <c r="B347" s="0" t="s">
        <v>69</v>
      </c>
      <c r="C347" s="15" t="n">
        <f aca="false">C343/C326</f>
        <v>0.175607127672562</v>
      </c>
      <c r="D347" s="15" t="n">
        <f aca="false">D343/D326</f>
        <v>0.328417243409073</v>
      </c>
      <c r="E347" s="15" t="n">
        <f aca="false">E343/E326</f>
        <v>0.220160531299416</v>
      </c>
      <c r="F347" s="15" t="n">
        <f aca="false">F343/F326</f>
        <v>0.204815190754806</v>
      </c>
      <c r="G347" s="15" t="n">
        <f aca="false">G343/G326</f>
        <v>0.204982250067956</v>
      </c>
      <c r="H347" s="29" t="n">
        <f aca="false">$G347+($G$347*0.9-$G347)*1/3</f>
        <v>0.198149508399024</v>
      </c>
      <c r="I347" s="29" t="n">
        <f aca="false">$G347+($G$347*0.9-$G347)*2/3</f>
        <v>0.191316766730092</v>
      </c>
      <c r="J347" s="29" t="n">
        <f aca="false">$G347+($G$347*0.9-$G347)*3/3</f>
        <v>0.18448402506116</v>
      </c>
    </row>
    <row r="350" customFormat="false" ht="17.15" hidden="false" customHeight="false" outlineLevel="0" collapsed="false">
      <c r="A350" s="1" t="s">
        <v>845</v>
      </c>
    </row>
    <row r="351" customFormat="false" ht="17.15" hidden="false" customHeight="false" outlineLevel="0" collapsed="false">
      <c r="A351" s="4" t="s">
        <v>24</v>
      </c>
      <c r="B351" s="4" t="s">
        <v>25</v>
      </c>
      <c r="C351" s="16" t="s">
        <v>387</v>
      </c>
      <c r="D351" s="16" t="s">
        <v>505</v>
      </c>
      <c r="E351" s="16" t="s">
        <v>467</v>
      </c>
      <c r="F351" s="16" t="s">
        <v>468</v>
      </c>
      <c r="G351" s="16" t="s">
        <v>469</v>
      </c>
      <c r="H351" s="16" t="s">
        <v>506</v>
      </c>
      <c r="I351" s="16" t="s">
        <v>507</v>
      </c>
      <c r="J351" s="16" t="s">
        <v>508</v>
      </c>
      <c r="K351" s="4" t="s">
        <v>345</v>
      </c>
    </row>
    <row r="352" customFormat="false" ht="17.15" hidden="false" customHeight="false" outlineLevel="0" collapsed="false">
      <c r="A352" s="5" t="s">
        <v>526</v>
      </c>
    </row>
    <row r="353" customFormat="false" ht="17.15" hidden="false" customHeight="false" outlineLevel="0" collapsed="false">
      <c r="A353" s="3" t="s">
        <v>527</v>
      </c>
      <c r="B353" s="3" t="s">
        <v>64</v>
      </c>
      <c r="D353" s="22" t="n">
        <f aca="false">cap_26</f>
        <v>5230.46851955216</v>
      </c>
      <c r="E353" s="22" t="n">
        <f aca="false">D353*(1+capg27)*cap_adj_lo</f>
        <v>5167.70289731754</v>
      </c>
      <c r="F353" s="22" t="n">
        <f aca="false">E353*(1+capg28)</f>
        <v>5529.44210012977</v>
      </c>
      <c r="G353" s="22" t="n">
        <f aca="false">F353*(1+capg29)</f>
        <v>5916.50304713885</v>
      </c>
    </row>
    <row r="354" customFormat="false" ht="15" hidden="false" customHeight="false" outlineLevel="0" collapsed="false">
      <c r="A354" s="3" t="s">
        <v>528</v>
      </c>
      <c r="B354" s="0" t="s">
        <v>69</v>
      </c>
      <c r="D354" s="21" t="n">
        <f aca="false">a26_ship/cap_26</f>
        <v>0.870578781414787</v>
      </c>
      <c r="E354" s="21" t="n">
        <f aca="false">MIN(0.98,ut27_C+ut_adj)</f>
        <v>0.82</v>
      </c>
      <c r="F354" s="21" t="n">
        <f aca="false">MIN(0.98,ut28_C+ut_adj)</f>
        <v>0.76</v>
      </c>
      <c r="G354" s="21" t="n">
        <f aca="false">MIN(0.98,ut29_C+ut_adj)</f>
        <v>0.8</v>
      </c>
    </row>
    <row r="355" customFormat="false" ht="17.15" hidden="false" customHeight="false" outlineLevel="0" collapsed="false">
      <c r="A355" s="3" t="s">
        <v>529</v>
      </c>
      <c r="B355" s="3" t="s">
        <v>64</v>
      </c>
      <c r="D355" s="22" t="n">
        <f aca="false">D353*D354</f>
        <v>4553.53490998013</v>
      </c>
      <c r="E355" s="22" t="n">
        <f aca="false">E353*E354</f>
        <v>4237.51637580038</v>
      </c>
      <c r="F355" s="22" t="n">
        <f aca="false">F353*F354</f>
        <v>4202.37599609862</v>
      </c>
      <c r="G355" s="22" t="n">
        <f aca="false">G353*G354</f>
        <v>4733.20243771108</v>
      </c>
    </row>
    <row r="356" customFormat="false" ht="17.15" hidden="false" customHeight="false" outlineLevel="0" collapsed="false">
      <c r="A356" s="3" t="s">
        <v>530</v>
      </c>
      <c r="B356" s="0" t="s">
        <v>109</v>
      </c>
      <c r="D356" s="22" t="n">
        <f aca="false">asp_26</f>
        <v>1878.17486396824</v>
      </c>
      <c r="E356" s="22" t="n">
        <f aca="false">D356*(1+asp27_C)*(1+asp_adj)</f>
        <v>1878.17486396824</v>
      </c>
      <c r="F356" s="22" t="n">
        <f aca="false">E356*(1+asp28_C)</f>
        <v>1765.48437213015</v>
      </c>
      <c r="G356" s="22" t="n">
        <f aca="false">F356*(1+asp29_C)</f>
        <v>1712.51984096625</v>
      </c>
    </row>
    <row r="357" customFormat="false" ht="15" hidden="false" customHeight="false" outlineLevel="0" collapsed="false">
      <c r="A357" s="3" t="s">
        <v>531</v>
      </c>
      <c r="B357" s="0" t="s">
        <v>69</v>
      </c>
      <c r="E357" s="21" t="n">
        <f aca="false">E356/D356-1</f>
        <v>0</v>
      </c>
      <c r="F357" s="21" t="n">
        <f aca="false">F356/E356-1</f>
        <v>-0.0599999999999999</v>
      </c>
      <c r="G357" s="21" t="n">
        <f aca="false">G356/F356-1</f>
        <v>-0.0299999999999999</v>
      </c>
    </row>
    <row r="358" customFormat="false" ht="15" hidden="false" customHeight="false" outlineLevel="0" collapsed="false">
      <c r="A358" s="3" t="s">
        <v>532</v>
      </c>
      <c r="B358" s="0" t="s">
        <v>35</v>
      </c>
      <c r="D358" s="23" t="n">
        <f aca="false">fx_26</f>
        <v>31.6</v>
      </c>
      <c r="E358" s="23" t="n">
        <f aca="false">fx</f>
        <v>32</v>
      </c>
      <c r="F358" s="23" t="n">
        <f aca="false">fx</f>
        <v>32</v>
      </c>
      <c r="G358" s="23" t="n">
        <f aca="false">fx</f>
        <v>32</v>
      </c>
    </row>
    <row r="359" customFormat="false" ht="17.15" hidden="false" customHeight="false" outlineLevel="0" collapsed="false">
      <c r="A359" s="3" t="s">
        <v>533</v>
      </c>
      <c r="B359" s="0" t="s">
        <v>181</v>
      </c>
      <c r="D359" s="23" t="n">
        <f aca="false">D355*D356*D358/1000000</f>
        <v>270.25378</v>
      </c>
      <c r="E359" s="23" t="n">
        <f aca="false">E355*E356*E358/1000000</f>
        <v>254.681495765827</v>
      </c>
      <c r="F359" s="23" t="n">
        <f aca="false">F355*F356*F358/1000000</f>
        <v>237.415332701664</v>
      </c>
      <c r="G359" s="23" t="n">
        <f aca="false">G355*G356*G358/1000000</f>
        <v>259.382498748481</v>
      </c>
    </row>
    <row r="360" customFormat="false" ht="17.15" hidden="false" customHeight="false" outlineLevel="0" collapsed="false">
      <c r="A360" s="5" t="s">
        <v>534</v>
      </c>
    </row>
    <row r="361" customFormat="false" ht="17.15" hidden="false" customHeight="false" outlineLevel="0" collapsed="false">
      <c r="A361" s="0" t="s">
        <v>535</v>
      </c>
      <c r="B361" s="0" t="s">
        <v>138</v>
      </c>
      <c r="D361" s="25" t="n">
        <f aca="false">ai_26</f>
        <v>0.3</v>
      </c>
      <c r="E361" s="25" t="n">
        <f aca="false">D361*(1+aig27_C)*ai_adj</f>
        <v>0.36</v>
      </c>
      <c r="F361" s="25" t="n">
        <f aca="false">E361*(1+aig_L)*um28_C</f>
        <v>0.3132</v>
      </c>
      <c r="G361" s="25" t="n">
        <f aca="false">F361/um28_C*(1+aig_L)*um29_C</f>
        <v>0.45414</v>
      </c>
    </row>
    <row r="362" customFormat="false" ht="17.15" hidden="false" customHeight="false" outlineLevel="0" collapsed="false">
      <c r="A362" s="0" t="s">
        <v>536</v>
      </c>
      <c r="B362" s="0" t="s">
        <v>181</v>
      </c>
      <c r="D362" s="23" t="n">
        <f aca="false">D361*D358</f>
        <v>9.48</v>
      </c>
      <c r="E362" s="23" t="n">
        <f aca="false">E361*E358</f>
        <v>11.52</v>
      </c>
      <c r="F362" s="23" t="n">
        <f aca="false">F361*F358</f>
        <v>10.0224</v>
      </c>
      <c r="G362" s="23" t="n">
        <f aca="false">G361*G358</f>
        <v>14.53248</v>
      </c>
    </row>
    <row r="363" customFormat="false" ht="17.15" hidden="false" customHeight="false" outlineLevel="0" collapsed="false">
      <c r="A363" s="0" t="s">
        <v>537</v>
      </c>
      <c r="B363" s="0" t="s">
        <v>138</v>
      </c>
      <c r="D363" s="25" t="n">
        <f aca="false">0</f>
        <v>0</v>
      </c>
      <c r="E363" s="25" t="n">
        <f aca="false">int_27</f>
        <v>0</v>
      </c>
      <c r="F363" s="25" t="n">
        <f aca="false">int28_C</f>
        <v>0</v>
      </c>
      <c r="G363" s="25" t="n">
        <f aca="false">int29_C</f>
        <v>0.08</v>
      </c>
    </row>
    <row r="364" customFormat="false" ht="17.15" hidden="false" customHeight="false" outlineLevel="0" collapsed="false">
      <c r="A364" s="0" t="s">
        <v>538</v>
      </c>
      <c r="B364" s="0" t="s">
        <v>181</v>
      </c>
      <c r="D364" s="23" t="n">
        <f aca="false">D363*D358</f>
        <v>0</v>
      </c>
      <c r="E364" s="23" t="n">
        <f aca="false">E363*E358</f>
        <v>0</v>
      </c>
      <c r="F364" s="23" t="n">
        <f aca="false">F363*F358</f>
        <v>0</v>
      </c>
      <c r="G364" s="23" t="n">
        <f aca="false">G363*G358</f>
        <v>2.56</v>
      </c>
    </row>
    <row r="365" customFormat="false" ht="17.15" hidden="false" customHeight="false" outlineLevel="0" collapsed="false">
      <c r="A365" s="3" t="s">
        <v>393</v>
      </c>
      <c r="B365" s="0" t="s">
        <v>181</v>
      </c>
      <c r="C365" s="23" t="n">
        <f aca="false">a25_rev</f>
        <v>237.553</v>
      </c>
      <c r="D365" s="23" t="n">
        <f aca="false">D359+D362+D364</f>
        <v>279.73378</v>
      </c>
      <c r="E365" s="23" t="n">
        <f aca="false">E359+E362+E364</f>
        <v>266.201495765827</v>
      </c>
      <c r="F365" s="23" t="n">
        <f aca="false">F359+F362+F364</f>
        <v>247.437732701664</v>
      </c>
      <c r="G365" s="23" t="n">
        <f aca="false">G359+G362+G364</f>
        <v>276.474978748481</v>
      </c>
      <c r="H365" s="30" t="n">
        <f aca="false">G365*(1+H367)</f>
        <v>299.948023347045</v>
      </c>
      <c r="I365" s="30" t="n">
        <f aca="false">H365*(1+I367)</f>
        <v>315.680470160616</v>
      </c>
      <c r="J365" s="30" t="n">
        <f aca="false">I365*(1+J367)</f>
        <v>321.994079563828</v>
      </c>
      <c r="K365" s="7" t="s">
        <v>539</v>
      </c>
    </row>
    <row r="366" customFormat="false" ht="17.15" hidden="false" customHeight="false" outlineLevel="0" collapsed="false">
      <c r="A366" s="0" t="s">
        <v>540</v>
      </c>
      <c r="B366" s="0" t="s">
        <v>69</v>
      </c>
      <c r="D366" s="21" t="n">
        <f aca="false">D362/D365</f>
        <v>0.0338893643806622</v>
      </c>
      <c r="E366" s="21" t="n">
        <f aca="false">E362/E365</f>
        <v>0.0432754893689026</v>
      </c>
      <c r="F366" s="21" t="n">
        <f aca="false">F362/F365</f>
        <v>0.0405047358402853</v>
      </c>
      <c r="G366" s="21" t="n">
        <f aca="false">G362/G365</f>
        <v>0.0525634546235763</v>
      </c>
    </row>
    <row r="367" customFormat="false" ht="15" hidden="false" customHeight="false" outlineLevel="0" collapsed="false">
      <c r="A367" s="3" t="s">
        <v>541</v>
      </c>
      <c r="B367" s="0" t="s">
        <v>69</v>
      </c>
      <c r="D367" s="21" t="n">
        <f aca="false">D365/C365-1</f>
        <v>0.177563659478096</v>
      </c>
      <c r="E367" s="21" t="n">
        <f aca="false">E365/D365-1</f>
        <v>-0.0483755813622985</v>
      </c>
      <c r="F367" s="21" t="n">
        <f aca="false">F365/E365-1</f>
        <v>-0.070487068489913</v>
      </c>
      <c r="G367" s="21" t="n">
        <f aca="false">G365/F365-1</f>
        <v>0.117351730189944</v>
      </c>
      <c r="H367" s="28" t="n">
        <f aca="false">$G367+(fade_gC-$G367)*1/3</f>
        <v>0.0849011534599627</v>
      </c>
      <c r="I367" s="28" t="n">
        <f aca="false">$G367+(fade_gC-$G367)*2/3</f>
        <v>0.0524505767299814</v>
      </c>
      <c r="J367" s="28" t="n">
        <f aca="false">$G367+(fade_gC-$G367)*3/3</f>
        <v>0.02</v>
      </c>
    </row>
    <row r="368" customFormat="false" ht="17.15" hidden="false" customHeight="false" outlineLevel="0" collapsed="false">
      <c r="A368" s="5" t="s">
        <v>542</v>
      </c>
    </row>
    <row r="369" customFormat="false" ht="15" hidden="false" customHeight="false" outlineLevel="0" collapsed="false">
      <c r="A369" s="3" t="s">
        <v>543</v>
      </c>
      <c r="B369" s="0" t="s">
        <v>181</v>
      </c>
      <c r="D369" s="23" t="n">
        <f aca="false">da_tot26*da_sh</f>
        <v>56.172</v>
      </c>
      <c r="E369" s="23" t="n">
        <f aca="false">D369*(1+dag_27+dag_adj)</f>
        <v>62.91264</v>
      </c>
      <c r="F369" s="23" t="n">
        <f aca="false">E369*(1+dag_28+dag_adj)</f>
        <v>69.203904</v>
      </c>
      <c r="G369" s="23" t="n">
        <f aca="false">F369*(1+dag_29+dag_adj)</f>
        <v>74.74021632</v>
      </c>
    </row>
    <row r="370" customFormat="false" ht="17.15" hidden="false" customHeight="false" outlineLevel="0" collapsed="false">
      <c r="A370" s="3" t="s">
        <v>544</v>
      </c>
      <c r="B370" s="0" t="s">
        <v>545</v>
      </c>
      <c r="D370" s="23" t="n">
        <f aca="false">(D365-a26_gp-D369-(1-m_new)*(D362+D364))/D355*1000</f>
        <v>27.9465727870208</v>
      </c>
      <c r="E370" s="23" t="n">
        <f aca="false">D370*(1+cc_g)</f>
        <v>28.5055042427612</v>
      </c>
      <c r="F370" s="23" t="n">
        <f aca="false">E370*(1+cc_g)</f>
        <v>29.0756143276165</v>
      </c>
      <c r="G370" s="23" t="n">
        <f aca="false">F370*(1+cc_g)</f>
        <v>29.6571266141688</v>
      </c>
      <c r="K370" s="7" t="s">
        <v>546</v>
      </c>
    </row>
    <row r="371" customFormat="false" ht="17.15" hidden="false" customHeight="false" outlineLevel="0" collapsed="false">
      <c r="A371" s="3" t="s">
        <v>547</v>
      </c>
      <c r="B371" s="0" t="s">
        <v>181</v>
      </c>
      <c r="D371" s="23" t="n">
        <f aca="false">D370*D355/1000</f>
        <v>127.2556948</v>
      </c>
      <c r="E371" s="23" t="n">
        <f aca="false">E370*E355/1000</f>
        <v>120.792541029148</v>
      </c>
      <c r="F371" s="23" t="n">
        <f aca="false">F370*F355/1000</f>
        <v>122.186663722197</v>
      </c>
      <c r="G371" s="23" t="n">
        <f aca="false">G370*G355/1000</f>
        <v>140.37318398569</v>
      </c>
    </row>
    <row r="372" customFormat="false" ht="17.15" hidden="false" customHeight="false" outlineLevel="0" collapsed="false">
      <c r="A372" s="3" t="s">
        <v>548</v>
      </c>
      <c r="B372" s="0" t="s">
        <v>181</v>
      </c>
      <c r="D372" s="23" t="n">
        <f aca="false">m_new*(D362+D364)</f>
        <v>4.266</v>
      </c>
      <c r="E372" s="23" t="n">
        <f aca="false">m_new*(E362+E364)</f>
        <v>5.184</v>
      </c>
      <c r="F372" s="23" t="n">
        <f aca="false">m_new*(F362+F364)</f>
        <v>4.51008</v>
      </c>
      <c r="G372" s="23" t="n">
        <f aca="false">m_new*(G362+G364)</f>
        <v>7.691616</v>
      </c>
    </row>
    <row r="373" customFormat="false" ht="15" hidden="false" customHeight="false" outlineLevel="0" collapsed="false">
      <c r="A373" s="3" t="s">
        <v>411</v>
      </c>
      <c r="B373" s="0" t="s">
        <v>181</v>
      </c>
      <c r="C373" s="23" t="n">
        <f aca="false">a25_gp</f>
        <v>68.906</v>
      </c>
      <c r="D373" s="23" t="n">
        <f aca="false">D359-D369-D371+D372</f>
        <v>91.0920852</v>
      </c>
      <c r="E373" s="23" t="n">
        <f aca="false">E359-E369-E371+E372</f>
        <v>76.1603147366788</v>
      </c>
      <c r="F373" s="23" t="n">
        <f aca="false">F359-F369-F371+F372</f>
        <v>50.534844979467</v>
      </c>
      <c r="G373" s="23" t="n">
        <f aca="false">G359-G369-G371+G372</f>
        <v>51.9607144427908</v>
      </c>
    </row>
    <row r="374" customFormat="false" ht="15" hidden="false" customHeight="false" outlineLevel="0" collapsed="false">
      <c r="A374" s="3" t="s">
        <v>413</v>
      </c>
      <c r="B374" s="0" t="s">
        <v>69</v>
      </c>
      <c r="C374" s="15" t="n">
        <f aca="false">C373/C365</f>
        <v>0.290065795843454</v>
      </c>
      <c r="D374" s="15" t="n">
        <f aca="false">D373/D365</f>
        <v>0.325638488136828</v>
      </c>
      <c r="E374" s="15" t="n">
        <f aca="false">E373/E365</f>
        <v>0.286100250930505</v>
      </c>
      <c r="F374" s="15" t="n">
        <f aca="false">F373/F365</f>
        <v>0.204232573697226</v>
      </c>
      <c r="G374" s="15" t="n">
        <f aca="false">G373/G365</f>
        <v>0.18794002509016</v>
      </c>
    </row>
    <row r="375" customFormat="false" ht="15" hidden="false" customHeight="false" outlineLevel="0" collapsed="false">
      <c r="A375" s="3" t="s">
        <v>415</v>
      </c>
      <c r="B375" s="0" t="s">
        <v>181</v>
      </c>
      <c r="C375" s="23" t="n">
        <f aca="false">a25_opx</f>
        <v>25.056</v>
      </c>
      <c r="D375" s="23" t="n">
        <f aca="false">a26_opx</f>
        <v>27.23586</v>
      </c>
      <c r="E375" s="23" t="n">
        <f aca="false">D375*(1+MAX(g_opx_min,phi*E367))</f>
        <v>28.0529358</v>
      </c>
      <c r="F375" s="23" t="n">
        <f aca="false">E375*(1+MAX(g_opx_min,phi*F367))</f>
        <v>28.894523874</v>
      </c>
      <c r="G375" s="23" t="n">
        <f aca="false">F375*(1+MAX(g_opx_min,phi*G367))</f>
        <v>30.5899350588143</v>
      </c>
    </row>
    <row r="376" customFormat="false" ht="15" hidden="false" customHeight="false" outlineLevel="0" collapsed="false">
      <c r="A376" s="3" t="s">
        <v>418</v>
      </c>
      <c r="B376" s="0" t="s">
        <v>181</v>
      </c>
      <c r="C376" s="23" t="n">
        <f aca="false">C373-C375</f>
        <v>43.85</v>
      </c>
      <c r="D376" s="23" t="n">
        <f aca="false">D373-D375</f>
        <v>63.8562252</v>
      </c>
      <c r="E376" s="23" t="n">
        <f aca="false">E373-E375</f>
        <v>48.1073789366787</v>
      </c>
      <c r="F376" s="23" t="n">
        <f aca="false">F373-F375</f>
        <v>21.6403211054669</v>
      </c>
      <c r="G376" s="23" t="n">
        <f aca="false">G373-G375</f>
        <v>21.3707793839765</v>
      </c>
    </row>
    <row r="377" customFormat="false" ht="15" hidden="false" customHeight="false" outlineLevel="0" collapsed="false">
      <c r="A377" s="3" t="s">
        <v>515</v>
      </c>
      <c r="B377" s="0" t="s">
        <v>69</v>
      </c>
      <c r="C377" s="15" t="n">
        <f aca="false">C376/C365</f>
        <v>0.184590386145408</v>
      </c>
      <c r="D377" s="15" t="n">
        <f aca="false">D376/D365</f>
        <v>0.228274987740129</v>
      </c>
      <c r="E377" s="15" t="n">
        <f aca="false">E376/E365</f>
        <v>0.180717913692709</v>
      </c>
      <c r="F377" s="15" t="n">
        <f aca="false">F376/F365</f>
        <v>0.0874576438653305</v>
      </c>
      <c r="G377" s="15" t="n">
        <f aca="false">G376/G365</f>
        <v>0.0772973362027755</v>
      </c>
    </row>
    <row r="378" customFormat="false" ht="15" hidden="false" customHeight="false" outlineLevel="0" collapsed="false">
      <c r="A378" s="3" t="s">
        <v>421</v>
      </c>
      <c r="B378" s="0" t="s">
        <v>181</v>
      </c>
      <c r="C378" s="23" t="n">
        <f aca="false">a25_nonop</f>
        <v>5.805</v>
      </c>
      <c r="D378" s="23" t="n">
        <f aca="false">a26_nonop</f>
        <v>38.372</v>
      </c>
      <c r="E378" s="23" t="n">
        <f aca="false">nonop_f</f>
        <v>4</v>
      </c>
      <c r="F378" s="23" t="n">
        <f aca="false">nonop_f</f>
        <v>4</v>
      </c>
      <c r="G378" s="23" t="n">
        <f aca="false">nonop_f</f>
        <v>4</v>
      </c>
    </row>
    <row r="379" customFormat="false" ht="15" hidden="false" customHeight="false" outlineLevel="0" collapsed="false">
      <c r="A379" s="3" t="s">
        <v>423</v>
      </c>
      <c r="B379" s="0" t="s">
        <v>181</v>
      </c>
      <c r="C379" s="23" t="n">
        <f aca="false">C376+C378</f>
        <v>49.655</v>
      </c>
      <c r="D379" s="23" t="n">
        <f aca="false">D376+D378</f>
        <v>102.2282252</v>
      </c>
      <c r="E379" s="23" t="n">
        <f aca="false">E376+E378</f>
        <v>52.1073789366787</v>
      </c>
      <c r="F379" s="23" t="n">
        <f aca="false">F376+F378</f>
        <v>25.6403211054669</v>
      </c>
      <c r="G379" s="23" t="n">
        <f aca="false">G376+G378</f>
        <v>25.3707793839765</v>
      </c>
    </row>
    <row r="380" customFormat="false" ht="15" hidden="false" customHeight="false" outlineLevel="0" collapsed="false">
      <c r="A380" s="3" t="s">
        <v>425</v>
      </c>
      <c r="B380" s="0" t="s">
        <v>181</v>
      </c>
      <c r="C380" s="23" t="n">
        <f aca="false">a25_tax</f>
        <v>7.939</v>
      </c>
      <c r="D380" s="23" t="n">
        <f aca="false">a26_tax</f>
        <v>10.493828284</v>
      </c>
      <c r="E380" s="23" t="n">
        <f aca="false">E379*tax</f>
        <v>7.81610684050181</v>
      </c>
      <c r="F380" s="23" t="n">
        <f aca="false">F379*tax</f>
        <v>3.84604816582004</v>
      </c>
      <c r="G380" s="23" t="n">
        <f aca="false">G379*tax</f>
        <v>3.80561690759648</v>
      </c>
    </row>
    <row r="381" customFormat="false" ht="17.15" hidden="false" customHeight="false" outlineLevel="0" collapsed="false">
      <c r="A381" s="3" t="s">
        <v>549</v>
      </c>
      <c r="B381" s="0" t="s">
        <v>181</v>
      </c>
      <c r="C381" s="23" t="n">
        <f aca="false">a25_mi</f>
        <v>0</v>
      </c>
      <c r="D381" s="23" t="n">
        <f aca="false">a26_mi</f>
        <v>-0.134999999999987</v>
      </c>
      <c r="E381" s="23" t="n">
        <f aca="false">0</f>
        <v>0</v>
      </c>
      <c r="F381" s="23" t="n">
        <f aca="false">0</f>
        <v>0</v>
      </c>
      <c r="G381" s="23" t="n">
        <f aca="false">0</f>
        <v>0</v>
      </c>
      <c r="K381" s="7" t="s">
        <v>550</v>
      </c>
    </row>
    <row r="382" customFormat="false" ht="15" hidden="false" customHeight="false" outlineLevel="0" collapsed="false">
      <c r="A382" s="3" t="s">
        <v>428</v>
      </c>
      <c r="B382" s="0" t="s">
        <v>181</v>
      </c>
      <c r="C382" s="23" t="n">
        <f aca="false">C379-C380-C381</f>
        <v>41.716</v>
      </c>
      <c r="D382" s="23" t="n">
        <f aca="false">D379-D380-D381</f>
        <v>91.869396916</v>
      </c>
      <c r="E382" s="23" t="n">
        <f aca="false">E379-E380-E381</f>
        <v>44.2912720961769</v>
      </c>
      <c r="F382" s="23" t="n">
        <f aca="false">F379-F380-F381</f>
        <v>21.7942729396469</v>
      </c>
      <c r="G382" s="23" t="n">
        <f aca="false">G379-G380-G381</f>
        <v>21.56516247638</v>
      </c>
      <c r="H382" s="30" t="n">
        <f aca="false">H365*H386</f>
        <v>21.8363316688311</v>
      </c>
      <c r="I382" s="30" t="n">
        <f aca="false">I365*I386</f>
        <v>21.3401127257764</v>
      </c>
      <c r="J382" s="30" t="n">
        <f aca="false">J365*J386</f>
        <v>20.0925369048849</v>
      </c>
    </row>
    <row r="383" customFormat="false" ht="15" hidden="false" customHeight="false" outlineLevel="0" collapsed="false">
      <c r="A383" s="3" t="s">
        <v>551</v>
      </c>
      <c r="B383" s="3" t="s">
        <v>250</v>
      </c>
      <c r="C383" s="9" t="n">
        <f aca="false">a25_sh</f>
        <v>12.4898203592814</v>
      </c>
      <c r="D383" s="9" t="n">
        <f aca="false">a26_sh</f>
        <v>12.4754339027235</v>
      </c>
      <c r="E383" s="9" t="n">
        <f aca="false">q_sh*(1+sh_g)</f>
        <v>12.45</v>
      </c>
      <c r="F383" s="9" t="n">
        <f aca="false">E383*(1+sh_g)</f>
        <v>12.45</v>
      </c>
      <c r="G383" s="9" t="n">
        <f aca="false">F383*(1+sh_g)</f>
        <v>12.45</v>
      </c>
      <c r="H383" s="32" t="n">
        <f aca="false">G383*(1+sh_g)</f>
        <v>12.45</v>
      </c>
      <c r="I383" s="32" t="n">
        <f aca="false">H383*(1+sh_g)</f>
        <v>12.45</v>
      </c>
      <c r="J383" s="32" t="n">
        <f aca="false">I383*(1+sh_g)</f>
        <v>12.45</v>
      </c>
    </row>
    <row r="384" customFormat="false" ht="17.15" hidden="false" customHeight="false" outlineLevel="0" collapsed="false">
      <c r="A384" s="0" t="s">
        <v>434</v>
      </c>
      <c r="B384" s="0" t="s">
        <v>260</v>
      </c>
      <c r="C384" s="23" t="n">
        <f aca="false">C382/C383</f>
        <v>3.34</v>
      </c>
      <c r="D384" s="23" t="n">
        <f aca="false">D382/D383</f>
        <v>7.36402418002826</v>
      </c>
      <c r="E384" s="23" t="n">
        <f aca="false">E382/E383</f>
        <v>3.55753189527526</v>
      </c>
      <c r="F384" s="23" t="n">
        <f aca="false">F382/F383</f>
        <v>1.75054401121662</v>
      </c>
      <c r="G384" s="23" t="n">
        <f aca="false">G382/G383</f>
        <v>1.73214156436787</v>
      </c>
      <c r="H384" s="30" t="n">
        <f aca="false">H382/H383</f>
        <v>1.75392222239607</v>
      </c>
      <c r="I384" s="30" t="n">
        <f aca="false">I382/I383</f>
        <v>1.71406527917883</v>
      </c>
      <c r="J384" s="30" t="n">
        <f aca="false">J382/J383</f>
        <v>1.61385838593453</v>
      </c>
    </row>
    <row r="385" customFormat="false" ht="17.15" hidden="false" customHeight="false" outlineLevel="0" collapsed="false">
      <c r="A385" s="0" t="s">
        <v>552</v>
      </c>
      <c r="B385" s="0" t="s">
        <v>69</v>
      </c>
      <c r="D385" s="21" t="n">
        <f aca="false">D384/C384-1</f>
        <v>1.2047976586911</v>
      </c>
      <c r="E385" s="21" t="n">
        <f aca="false">E384/D384-1</f>
        <v>-0.516903827539903</v>
      </c>
      <c r="F385" s="21" t="n">
        <f aca="false">F384/E384-1</f>
        <v>-0.507933010090083</v>
      </c>
      <c r="G385" s="21" t="n">
        <f aca="false">G384/F384-1</f>
        <v>-0.0105124159865906</v>
      </c>
      <c r="H385" s="28" t="n">
        <f aca="false">H384/G384-1</f>
        <v>0.0125744098959653</v>
      </c>
      <c r="I385" s="28" t="n">
        <f aca="false">I384/H384-1</f>
        <v>-0.0227244644650173</v>
      </c>
      <c r="J385" s="28" t="n">
        <f aca="false">J384/I384-1</f>
        <v>-0.0584615384615386</v>
      </c>
    </row>
    <row r="386" customFormat="false" ht="17.15" hidden="false" customHeight="false" outlineLevel="0" collapsed="false">
      <c r="A386" s="3" t="s">
        <v>553</v>
      </c>
      <c r="B386" s="0" t="s">
        <v>69</v>
      </c>
      <c r="C386" s="15" t="n">
        <f aca="false">C382/C365</f>
        <v>0.175607127672562</v>
      </c>
      <c r="D386" s="15" t="n">
        <f aca="false">D382/D365</f>
        <v>0.328417243409073</v>
      </c>
      <c r="E386" s="15" t="n">
        <f aca="false">E382/E365</f>
        <v>0.166382506487264</v>
      </c>
      <c r="F386" s="15" t="n">
        <f aca="false">F382/F365</f>
        <v>0.0880798280104042</v>
      </c>
      <c r="G386" s="15" t="n">
        <f aca="false">G382/G365</f>
        <v>0.0780004128185453</v>
      </c>
      <c r="H386" s="29" t="n">
        <f aca="false">$G386+($G$386*0.8-$G386)*1/3</f>
        <v>0.072800385297309</v>
      </c>
      <c r="I386" s="29" t="n">
        <f aca="false">$G386+($G$386*0.8-$G386)*2/3</f>
        <v>0.0676003577760726</v>
      </c>
      <c r="J386" s="29" t="n">
        <f aca="false">$G386+($G$386*0.8-$G386)*3/3</f>
        <v>0.0624003302548362</v>
      </c>
    </row>
    <row r="389" customFormat="false" ht="17.15" hidden="false" customHeight="false" outlineLevel="0" collapsed="false">
      <c r="A389" s="1" t="s">
        <v>846</v>
      </c>
    </row>
    <row r="390" customFormat="false" ht="17.15" hidden="false" customHeight="false" outlineLevel="0" collapsed="false">
      <c r="A390" s="4" t="s">
        <v>24</v>
      </c>
      <c r="B390" s="4" t="s">
        <v>25</v>
      </c>
      <c r="C390" s="16" t="s">
        <v>387</v>
      </c>
      <c r="D390" s="16" t="s">
        <v>505</v>
      </c>
      <c r="E390" s="16" t="s">
        <v>467</v>
      </c>
      <c r="F390" s="16" t="s">
        <v>468</v>
      </c>
      <c r="G390" s="16" t="s">
        <v>469</v>
      </c>
      <c r="H390" s="16" t="s">
        <v>506</v>
      </c>
      <c r="I390" s="16" t="s">
        <v>507</v>
      </c>
      <c r="J390" s="16" t="s">
        <v>508</v>
      </c>
      <c r="K390" s="4" t="s">
        <v>345</v>
      </c>
    </row>
    <row r="391" customFormat="false" ht="17.15" hidden="false" customHeight="false" outlineLevel="0" collapsed="false">
      <c r="A391" s="5" t="s">
        <v>526</v>
      </c>
    </row>
    <row r="392" customFormat="false" ht="17.15" hidden="false" customHeight="false" outlineLevel="0" collapsed="false">
      <c r="A392" s="3" t="s">
        <v>527</v>
      </c>
      <c r="B392" s="3" t="s">
        <v>64</v>
      </c>
      <c r="D392" s="22" t="n">
        <f aca="false">cap_26</f>
        <v>5230.46851955216</v>
      </c>
      <c r="E392" s="22" t="n">
        <f aca="false">D392*(1+capg27)*cap_adj_hi</f>
        <v>5711.67162335096</v>
      </c>
      <c r="F392" s="22" t="n">
        <f aca="false">E392*(1+capg28)</f>
        <v>6111.48863698553</v>
      </c>
      <c r="G392" s="22" t="n">
        <f aca="false">F392*(1+capg29)</f>
        <v>6539.29284157452</v>
      </c>
    </row>
    <row r="393" customFormat="false" ht="15" hidden="false" customHeight="false" outlineLevel="0" collapsed="false">
      <c r="A393" s="3" t="s">
        <v>528</v>
      </c>
      <c r="B393" s="0" t="s">
        <v>69</v>
      </c>
      <c r="D393" s="21" t="n">
        <f aca="false">a26_ship/cap_26</f>
        <v>0.870578781414787</v>
      </c>
      <c r="E393" s="21" t="n">
        <f aca="false">MIN(0.98,ut27_A+ut_adj)</f>
        <v>0.95</v>
      </c>
      <c r="F393" s="21" t="n">
        <f aca="false">MIN(0.98,ut28_A+ut_adj)</f>
        <v>0.94</v>
      </c>
      <c r="G393" s="21" t="n">
        <f aca="false">MIN(0.98,ut29_A+ut_adj)</f>
        <v>0.93</v>
      </c>
    </row>
    <row r="394" customFormat="false" ht="17.15" hidden="false" customHeight="false" outlineLevel="0" collapsed="false">
      <c r="A394" s="3" t="s">
        <v>529</v>
      </c>
      <c r="B394" s="3" t="s">
        <v>64</v>
      </c>
      <c r="D394" s="22" t="n">
        <f aca="false">D392*D393</f>
        <v>4553.53490998013</v>
      </c>
      <c r="E394" s="22" t="n">
        <f aca="false">E392*E393</f>
        <v>5426.08804218341</v>
      </c>
      <c r="F394" s="22" t="n">
        <f aca="false">F392*F393</f>
        <v>5744.7993187664</v>
      </c>
      <c r="G394" s="22" t="n">
        <f aca="false">G392*G393</f>
        <v>6081.5423426643</v>
      </c>
    </row>
    <row r="395" customFormat="false" ht="17.15" hidden="false" customHeight="false" outlineLevel="0" collapsed="false">
      <c r="A395" s="3" t="s">
        <v>530</v>
      </c>
      <c r="B395" s="0" t="s">
        <v>109</v>
      </c>
      <c r="D395" s="22" t="n">
        <f aca="false">asp_26</f>
        <v>1878.17486396824</v>
      </c>
      <c r="E395" s="22" t="n">
        <f aca="false">D395*(1+asp27_A)*(1+asp_adj)</f>
        <v>2065.99235036507</v>
      </c>
      <c r="F395" s="22" t="n">
        <f aca="false">E395*(1+asp28_A)</f>
        <v>2127.97212087602</v>
      </c>
      <c r="G395" s="22" t="n">
        <f aca="false">F395*(1+asp29_A)</f>
        <v>2170.53156329354</v>
      </c>
    </row>
    <row r="396" customFormat="false" ht="15" hidden="false" customHeight="false" outlineLevel="0" collapsed="false">
      <c r="A396" s="3" t="s">
        <v>531</v>
      </c>
      <c r="B396" s="0" t="s">
        <v>69</v>
      </c>
      <c r="E396" s="21" t="n">
        <f aca="false">E395/D395-1</f>
        <v>0.1</v>
      </c>
      <c r="F396" s="21" t="n">
        <f aca="false">F395/E395-1</f>
        <v>0.03</v>
      </c>
      <c r="G396" s="21" t="n">
        <f aca="false">G395/F395-1</f>
        <v>0.02</v>
      </c>
    </row>
    <row r="397" customFormat="false" ht="15" hidden="false" customHeight="false" outlineLevel="0" collapsed="false">
      <c r="A397" s="3" t="s">
        <v>532</v>
      </c>
      <c r="B397" s="0" t="s">
        <v>35</v>
      </c>
      <c r="D397" s="23" t="n">
        <f aca="false">fx_26</f>
        <v>31.6</v>
      </c>
      <c r="E397" s="23" t="n">
        <f aca="false">fx</f>
        <v>32</v>
      </c>
      <c r="F397" s="23" t="n">
        <f aca="false">fx</f>
        <v>32</v>
      </c>
      <c r="G397" s="23" t="n">
        <f aca="false">fx</f>
        <v>32</v>
      </c>
    </row>
    <row r="398" customFormat="false" ht="17.15" hidden="false" customHeight="false" outlineLevel="0" collapsed="false">
      <c r="A398" s="3" t="s">
        <v>533</v>
      </c>
      <c r="B398" s="0" t="s">
        <v>181</v>
      </c>
      <c r="D398" s="23" t="n">
        <f aca="false">D394*D395*D397/1000000</f>
        <v>270.25378</v>
      </c>
      <c r="E398" s="23" t="n">
        <f aca="false">E394*E395*E397/1000000</f>
        <v>358.728204401866</v>
      </c>
      <c r="F398" s="23" t="n">
        <f aca="false">F394*F395*F397/1000000</f>
        <v>391.192729291599</v>
      </c>
      <c r="G398" s="23" t="n">
        <f aca="false">G394*G395*G397/1000000</f>
        <v>422.405747464289</v>
      </c>
    </row>
    <row r="399" customFormat="false" ht="17.15" hidden="false" customHeight="false" outlineLevel="0" collapsed="false">
      <c r="A399" s="5" t="s">
        <v>534</v>
      </c>
    </row>
    <row r="400" customFormat="false" ht="17.15" hidden="false" customHeight="false" outlineLevel="0" collapsed="false">
      <c r="A400" s="0" t="s">
        <v>535</v>
      </c>
      <c r="B400" s="0" t="s">
        <v>138</v>
      </c>
      <c r="D400" s="25" t="n">
        <f aca="false">ai_26</f>
        <v>0.3</v>
      </c>
      <c r="E400" s="25" t="n">
        <f aca="false">D400*(1+aig27_A)*ai_adj</f>
        <v>0.48</v>
      </c>
      <c r="F400" s="25" t="n">
        <f aca="false">E400*(1+aig_L)*um28_A</f>
        <v>0.696</v>
      </c>
      <c r="G400" s="25" t="n">
        <f aca="false">F400/um28_A*(1+aig_L)*um29_A</f>
        <v>1.0092</v>
      </c>
    </row>
    <row r="401" customFormat="false" ht="17.15" hidden="false" customHeight="false" outlineLevel="0" collapsed="false">
      <c r="A401" s="0" t="s">
        <v>536</v>
      </c>
      <c r="B401" s="0" t="s">
        <v>181</v>
      </c>
      <c r="D401" s="23" t="n">
        <f aca="false">D400*D397</f>
        <v>9.48</v>
      </c>
      <c r="E401" s="23" t="n">
        <f aca="false">E400*E397</f>
        <v>15.36</v>
      </c>
      <c r="F401" s="23" t="n">
        <f aca="false">F400*F397</f>
        <v>22.272</v>
      </c>
      <c r="G401" s="23" t="n">
        <f aca="false">G400*G397</f>
        <v>32.2944</v>
      </c>
    </row>
    <row r="402" customFormat="false" ht="17.15" hidden="false" customHeight="false" outlineLevel="0" collapsed="false">
      <c r="A402" s="0" t="s">
        <v>537</v>
      </c>
      <c r="B402" s="0" t="s">
        <v>138</v>
      </c>
      <c r="D402" s="25" t="n">
        <f aca="false">0</f>
        <v>0</v>
      </c>
      <c r="E402" s="25" t="n">
        <f aca="false">int_27</f>
        <v>0</v>
      </c>
      <c r="F402" s="25" t="n">
        <f aca="false">int28_A</f>
        <v>0.25</v>
      </c>
      <c r="G402" s="25" t="n">
        <f aca="false">int29_A</f>
        <v>0.5</v>
      </c>
    </row>
    <row r="403" customFormat="false" ht="17.15" hidden="false" customHeight="false" outlineLevel="0" collapsed="false">
      <c r="A403" s="0" t="s">
        <v>538</v>
      </c>
      <c r="B403" s="0" t="s">
        <v>181</v>
      </c>
      <c r="D403" s="23" t="n">
        <f aca="false">D402*D397</f>
        <v>0</v>
      </c>
      <c r="E403" s="23" t="n">
        <f aca="false">E402*E397</f>
        <v>0</v>
      </c>
      <c r="F403" s="23" t="n">
        <f aca="false">F402*F397</f>
        <v>8</v>
      </c>
      <c r="G403" s="23" t="n">
        <f aca="false">G402*G397</f>
        <v>16</v>
      </c>
    </row>
    <row r="404" customFormat="false" ht="17.15" hidden="false" customHeight="false" outlineLevel="0" collapsed="false">
      <c r="A404" s="3" t="s">
        <v>393</v>
      </c>
      <c r="B404" s="0" t="s">
        <v>181</v>
      </c>
      <c r="C404" s="23" t="n">
        <f aca="false">a25_rev</f>
        <v>237.553</v>
      </c>
      <c r="D404" s="23" t="n">
        <f aca="false">D398+D401+D403</f>
        <v>279.73378</v>
      </c>
      <c r="E404" s="23" t="n">
        <f aca="false">E398+E401+E403</f>
        <v>374.088204401866</v>
      </c>
      <c r="F404" s="23" t="n">
        <f aca="false">F398+F401+F403</f>
        <v>421.464729291599</v>
      </c>
      <c r="G404" s="23" t="n">
        <f aca="false">G398+G401+G403</f>
        <v>470.700147464289</v>
      </c>
      <c r="H404" s="30" t="n">
        <f aca="false">G404*(1+H406)</f>
        <v>516.772209769738</v>
      </c>
      <c r="I404" s="30" t="n">
        <f aca="false">H404*(1+I406)</f>
        <v>557.566170610586</v>
      </c>
      <c r="J404" s="30" t="n">
        <f aca="false">I404*(1+J406)</f>
        <v>591.020140847222</v>
      </c>
      <c r="K404" s="7" t="s">
        <v>539</v>
      </c>
    </row>
    <row r="405" customFormat="false" ht="17.15" hidden="false" customHeight="false" outlineLevel="0" collapsed="false">
      <c r="A405" s="0" t="s">
        <v>540</v>
      </c>
      <c r="B405" s="0" t="s">
        <v>69</v>
      </c>
      <c r="D405" s="21" t="n">
        <f aca="false">D401/D404</f>
        <v>0.0338893643806622</v>
      </c>
      <c r="E405" s="21" t="n">
        <f aca="false">E401/E404</f>
        <v>0.0410598351385051</v>
      </c>
      <c r="F405" s="21" t="n">
        <f aca="false">F401/F404</f>
        <v>0.0528442796089603</v>
      </c>
      <c r="G405" s="21" t="n">
        <f aca="false">G401/G404</f>
        <v>0.0686092837955827</v>
      </c>
    </row>
    <row r="406" customFormat="false" ht="15" hidden="false" customHeight="false" outlineLevel="0" collapsed="false">
      <c r="A406" s="3" t="s">
        <v>541</v>
      </c>
      <c r="B406" s="0" t="s">
        <v>69</v>
      </c>
      <c r="D406" s="21" t="n">
        <f aca="false">D404/C404-1</f>
        <v>0.177563659478096</v>
      </c>
      <c r="E406" s="21" t="n">
        <f aca="false">E404/D404-1</f>
        <v>0.337300787920092</v>
      </c>
      <c r="F406" s="21" t="n">
        <f aca="false">F404/E404-1</f>
        <v>0.126645332122898</v>
      </c>
      <c r="G406" s="21" t="n">
        <f aca="false">G404/F404-1</f>
        <v>0.116819782892498</v>
      </c>
      <c r="H406" s="28" t="n">
        <f aca="false">$G406+(fade_gA-$G406)*1/3</f>
        <v>0.0978798552616654</v>
      </c>
      <c r="I406" s="28" t="n">
        <f aca="false">$G406+(fade_gA-$G406)*2/3</f>
        <v>0.0789399276308327</v>
      </c>
      <c r="J406" s="28" t="n">
        <f aca="false">$G406+(fade_gA-$G406)*3/3</f>
        <v>0.06</v>
      </c>
    </row>
    <row r="407" customFormat="false" ht="17.15" hidden="false" customHeight="false" outlineLevel="0" collapsed="false">
      <c r="A407" s="5" t="s">
        <v>542</v>
      </c>
    </row>
    <row r="408" customFormat="false" ht="15" hidden="false" customHeight="false" outlineLevel="0" collapsed="false">
      <c r="A408" s="3" t="s">
        <v>543</v>
      </c>
      <c r="B408" s="0" t="s">
        <v>181</v>
      </c>
      <c r="D408" s="23" t="n">
        <f aca="false">da_tot26*da_sh</f>
        <v>56.172</v>
      </c>
      <c r="E408" s="23" t="n">
        <f aca="false">D408*(1+dag_27+dag_adj)</f>
        <v>62.91264</v>
      </c>
      <c r="F408" s="23" t="n">
        <f aca="false">E408*(1+dag_28+dag_adj)</f>
        <v>69.203904</v>
      </c>
      <c r="G408" s="23" t="n">
        <f aca="false">F408*(1+dag_29+dag_adj)</f>
        <v>74.74021632</v>
      </c>
    </row>
    <row r="409" customFormat="false" ht="17.15" hidden="false" customHeight="false" outlineLevel="0" collapsed="false">
      <c r="A409" s="3" t="s">
        <v>544</v>
      </c>
      <c r="B409" s="0" t="s">
        <v>545</v>
      </c>
      <c r="D409" s="23" t="n">
        <f aca="false">(D404-a26_gp-D408-(1-m_new)*(D401+D403))/D394*1000</f>
        <v>27.9465727870208</v>
      </c>
      <c r="E409" s="23" t="n">
        <f aca="false">D409*(1+cc_g)</f>
        <v>28.5055042427612</v>
      </c>
      <c r="F409" s="23" t="n">
        <f aca="false">E409*(1+cc_g)</f>
        <v>29.0756143276165</v>
      </c>
      <c r="G409" s="23" t="n">
        <f aca="false">F409*(1+cc_g)</f>
        <v>29.6571266141688</v>
      </c>
      <c r="K409" s="7" t="s">
        <v>546</v>
      </c>
    </row>
    <row r="410" customFormat="false" ht="17.15" hidden="false" customHeight="false" outlineLevel="0" collapsed="false">
      <c r="A410" s="3" t="s">
        <v>547</v>
      </c>
      <c r="B410" s="0" t="s">
        <v>181</v>
      </c>
      <c r="D410" s="23" t="n">
        <f aca="false">D409*D394/1000</f>
        <v>127.2556948</v>
      </c>
      <c r="E410" s="23" t="n">
        <f aca="false">E409*E394/1000</f>
        <v>154.673375708055</v>
      </c>
      <c r="F410" s="23" t="n">
        <f aca="false">F409*F394/1000</f>
        <v>167.033569382006</v>
      </c>
      <c r="G410" s="23" t="n">
        <f aca="false">G409*G394/1000</f>
        <v>180.361071265824</v>
      </c>
    </row>
    <row r="411" customFormat="false" ht="17.15" hidden="false" customHeight="false" outlineLevel="0" collapsed="false">
      <c r="A411" s="3" t="s">
        <v>548</v>
      </c>
      <c r="B411" s="0" t="s">
        <v>181</v>
      </c>
      <c r="D411" s="23" t="n">
        <f aca="false">m_new*(D401+D403)</f>
        <v>4.266</v>
      </c>
      <c r="E411" s="23" t="n">
        <f aca="false">m_new*(E401+E403)</f>
        <v>6.912</v>
      </c>
      <c r="F411" s="23" t="n">
        <f aca="false">m_new*(F401+F403)</f>
        <v>13.6224</v>
      </c>
      <c r="G411" s="23" t="n">
        <f aca="false">m_new*(G401+G403)</f>
        <v>21.73248</v>
      </c>
    </row>
    <row r="412" customFormat="false" ht="15" hidden="false" customHeight="false" outlineLevel="0" collapsed="false">
      <c r="A412" s="3" t="s">
        <v>411</v>
      </c>
      <c r="B412" s="0" t="s">
        <v>181</v>
      </c>
      <c r="C412" s="23" t="n">
        <f aca="false">a25_gp</f>
        <v>68.906</v>
      </c>
      <c r="D412" s="23" t="n">
        <f aca="false">D398-D408-D410+D411</f>
        <v>91.0920852</v>
      </c>
      <c r="E412" s="23" t="n">
        <f aca="false">E398-E408-E410+E411</f>
        <v>148.05418869381</v>
      </c>
      <c r="F412" s="23" t="n">
        <f aca="false">F398-F408-F410+F411</f>
        <v>168.577655909593</v>
      </c>
      <c r="G412" s="23" t="n">
        <f aca="false">G398-G408-G410+G411</f>
        <v>189.036939878465</v>
      </c>
    </row>
    <row r="413" customFormat="false" ht="15" hidden="false" customHeight="false" outlineLevel="0" collapsed="false">
      <c r="A413" s="3" t="s">
        <v>413</v>
      </c>
      <c r="B413" s="0" t="s">
        <v>69</v>
      </c>
      <c r="C413" s="15" t="n">
        <f aca="false">C412/C404</f>
        <v>0.290065795843454</v>
      </c>
      <c r="D413" s="15" t="n">
        <f aca="false">D412/D404</f>
        <v>0.325638488136828</v>
      </c>
      <c r="E413" s="15" t="n">
        <f aca="false">E412/E404</f>
        <v>0.395773475216991</v>
      </c>
      <c r="F413" s="15" t="n">
        <f aca="false">F412/F404</f>
        <v>0.399980459083586</v>
      </c>
      <c r="G413" s="15" t="n">
        <f aca="false">G412/G404</f>
        <v>0.401607989495705</v>
      </c>
    </row>
    <row r="414" customFormat="false" ht="15" hidden="false" customHeight="false" outlineLevel="0" collapsed="false">
      <c r="A414" s="3" t="s">
        <v>415</v>
      </c>
      <c r="B414" s="0" t="s">
        <v>181</v>
      </c>
      <c r="C414" s="23" t="n">
        <f aca="false">a25_opx</f>
        <v>25.056</v>
      </c>
      <c r="D414" s="23" t="n">
        <f aca="false">a26_opx</f>
        <v>27.23586</v>
      </c>
      <c r="E414" s="23" t="n">
        <f aca="false">D414*(1+MAX(g_opx_min,phi*E406))</f>
        <v>31.8291985188407</v>
      </c>
      <c r="F414" s="23" t="n">
        <f aca="false">E414*(1+MAX(g_opx_min,phi*F406))</f>
        <v>33.8447082276528</v>
      </c>
      <c r="G414" s="23" t="n">
        <f aca="false">F414*(1+MAX(g_opx_min,phi*G406))</f>
        <v>35.82157396126</v>
      </c>
    </row>
    <row r="415" customFormat="false" ht="15" hidden="false" customHeight="false" outlineLevel="0" collapsed="false">
      <c r="A415" s="3" t="s">
        <v>418</v>
      </c>
      <c r="B415" s="0" t="s">
        <v>181</v>
      </c>
      <c r="C415" s="23" t="n">
        <f aca="false">C412-C414</f>
        <v>43.85</v>
      </c>
      <c r="D415" s="23" t="n">
        <f aca="false">D412-D414</f>
        <v>63.8562252</v>
      </c>
      <c r="E415" s="23" t="n">
        <f aca="false">E412-E414</f>
        <v>116.22499017497</v>
      </c>
      <c r="F415" s="23" t="n">
        <f aca="false">F412-F414</f>
        <v>134.73294768194</v>
      </c>
      <c r="G415" s="23" t="n">
        <f aca="false">G412-G414</f>
        <v>153.215365917205</v>
      </c>
    </row>
    <row r="416" customFormat="false" ht="15" hidden="false" customHeight="false" outlineLevel="0" collapsed="false">
      <c r="A416" s="3" t="s">
        <v>515</v>
      </c>
      <c r="B416" s="0" t="s">
        <v>69</v>
      </c>
      <c r="C416" s="15" t="n">
        <f aca="false">C415/C404</f>
        <v>0.184590386145408</v>
      </c>
      <c r="D416" s="15" t="n">
        <f aca="false">D415/D404</f>
        <v>0.228274987740129</v>
      </c>
      <c r="E416" s="15" t="n">
        <f aca="false">E415/E404</f>
        <v>0.310688732783765</v>
      </c>
      <c r="F416" s="15" t="n">
        <f aca="false">F415/F404</f>
        <v>0.319677871760231</v>
      </c>
      <c r="G416" s="15" t="n">
        <f aca="false">G415/G404</f>
        <v>0.325505243077981</v>
      </c>
    </row>
    <row r="417" customFormat="false" ht="15" hidden="false" customHeight="false" outlineLevel="0" collapsed="false">
      <c r="A417" s="3" t="s">
        <v>421</v>
      </c>
      <c r="B417" s="0" t="s">
        <v>181</v>
      </c>
      <c r="C417" s="23" t="n">
        <f aca="false">a25_nonop</f>
        <v>5.805</v>
      </c>
      <c r="D417" s="23" t="n">
        <f aca="false">a26_nonop</f>
        <v>38.372</v>
      </c>
      <c r="E417" s="23" t="n">
        <f aca="false">nonop_f</f>
        <v>4</v>
      </c>
      <c r="F417" s="23" t="n">
        <f aca="false">nonop_f</f>
        <v>4</v>
      </c>
      <c r="G417" s="23" t="n">
        <f aca="false">nonop_f</f>
        <v>4</v>
      </c>
    </row>
    <row r="418" customFormat="false" ht="15" hidden="false" customHeight="false" outlineLevel="0" collapsed="false">
      <c r="A418" s="3" t="s">
        <v>423</v>
      </c>
      <c r="B418" s="0" t="s">
        <v>181</v>
      </c>
      <c r="C418" s="23" t="n">
        <f aca="false">C415+C417</f>
        <v>49.655</v>
      </c>
      <c r="D418" s="23" t="n">
        <f aca="false">D415+D417</f>
        <v>102.2282252</v>
      </c>
      <c r="E418" s="23" t="n">
        <f aca="false">E415+E417</f>
        <v>120.22499017497</v>
      </c>
      <c r="F418" s="23" t="n">
        <f aca="false">F415+F417</f>
        <v>138.73294768194</v>
      </c>
      <c r="G418" s="23" t="n">
        <f aca="false">G415+G417</f>
        <v>157.215365917205</v>
      </c>
    </row>
    <row r="419" customFormat="false" ht="15" hidden="false" customHeight="false" outlineLevel="0" collapsed="false">
      <c r="A419" s="3" t="s">
        <v>425</v>
      </c>
      <c r="B419" s="0" t="s">
        <v>181</v>
      </c>
      <c r="C419" s="23" t="n">
        <f aca="false">a25_tax</f>
        <v>7.939</v>
      </c>
      <c r="D419" s="23" t="n">
        <f aca="false">a26_tax</f>
        <v>10.493828284</v>
      </c>
      <c r="E419" s="23" t="n">
        <f aca="false">E418*tax</f>
        <v>18.0337485262455</v>
      </c>
      <c r="F419" s="23" t="n">
        <f aca="false">F418*tax</f>
        <v>20.809942152291</v>
      </c>
      <c r="G419" s="23" t="n">
        <f aca="false">G418*tax</f>
        <v>23.5823048875807</v>
      </c>
    </row>
    <row r="420" customFormat="false" ht="17.15" hidden="false" customHeight="false" outlineLevel="0" collapsed="false">
      <c r="A420" s="3" t="s">
        <v>549</v>
      </c>
      <c r="B420" s="0" t="s">
        <v>181</v>
      </c>
      <c r="C420" s="23" t="n">
        <f aca="false">a25_mi</f>
        <v>0</v>
      </c>
      <c r="D420" s="23" t="n">
        <f aca="false">a26_mi</f>
        <v>-0.134999999999987</v>
      </c>
      <c r="E420" s="23" t="n">
        <f aca="false">0</f>
        <v>0</v>
      </c>
      <c r="F420" s="23" t="n">
        <f aca="false">0</f>
        <v>0</v>
      </c>
      <c r="G420" s="23" t="n">
        <f aca="false">0</f>
        <v>0</v>
      </c>
      <c r="K420" s="7" t="s">
        <v>550</v>
      </c>
    </row>
    <row r="421" customFormat="false" ht="15" hidden="false" customHeight="false" outlineLevel="0" collapsed="false">
      <c r="A421" s="3" t="s">
        <v>428</v>
      </c>
      <c r="B421" s="0" t="s">
        <v>181</v>
      </c>
      <c r="C421" s="23" t="n">
        <f aca="false">C418-C419-C420</f>
        <v>41.716</v>
      </c>
      <c r="D421" s="23" t="n">
        <f aca="false">D418-D419-D420</f>
        <v>91.869396916</v>
      </c>
      <c r="E421" s="23" t="n">
        <f aca="false">E418-E419-E420</f>
        <v>102.191241648724</v>
      </c>
      <c r="F421" s="23" t="n">
        <f aca="false">F418-F419-F420</f>
        <v>117.923005529649</v>
      </c>
      <c r="G421" s="23" t="n">
        <f aca="false">G418-G419-G420</f>
        <v>133.633061029624</v>
      </c>
      <c r="H421" s="30" t="n">
        <f aca="false">H404*H425</f>
        <v>146.713045701377</v>
      </c>
      <c r="I421" s="30" t="n">
        <f aca="false">I404*I425</f>
        <v>158.294562911543</v>
      </c>
      <c r="J421" s="30" t="n">
        <f aca="false">J404*J425</f>
        <v>167.792236686235</v>
      </c>
    </row>
    <row r="422" customFormat="false" ht="15" hidden="false" customHeight="false" outlineLevel="0" collapsed="false">
      <c r="A422" s="3" t="s">
        <v>551</v>
      </c>
      <c r="B422" s="3" t="s">
        <v>250</v>
      </c>
      <c r="C422" s="9" t="n">
        <f aca="false">a25_sh</f>
        <v>12.4898203592814</v>
      </c>
      <c r="D422" s="9" t="n">
        <f aca="false">a26_sh</f>
        <v>12.4754339027235</v>
      </c>
      <c r="E422" s="9" t="n">
        <f aca="false">q_sh*(1+sh_g)</f>
        <v>12.45</v>
      </c>
      <c r="F422" s="9" t="n">
        <f aca="false">E422*(1+sh_g)</f>
        <v>12.45</v>
      </c>
      <c r="G422" s="9" t="n">
        <f aca="false">F422*(1+sh_g)</f>
        <v>12.45</v>
      </c>
      <c r="H422" s="32" t="n">
        <f aca="false">G422*(1+sh_g)</f>
        <v>12.45</v>
      </c>
      <c r="I422" s="32" t="n">
        <f aca="false">H422*(1+sh_g)</f>
        <v>12.45</v>
      </c>
      <c r="J422" s="32" t="n">
        <f aca="false">I422*(1+sh_g)</f>
        <v>12.45</v>
      </c>
    </row>
    <row r="423" customFormat="false" ht="17.15" hidden="false" customHeight="false" outlineLevel="0" collapsed="false">
      <c r="A423" s="0" t="s">
        <v>434</v>
      </c>
      <c r="B423" s="0" t="s">
        <v>260</v>
      </c>
      <c r="C423" s="23" t="n">
        <f aca="false">C421/C422</f>
        <v>3.34</v>
      </c>
      <c r="D423" s="23" t="n">
        <f aca="false">D421/D422</f>
        <v>7.36402418002826</v>
      </c>
      <c r="E423" s="23" t="n">
        <f aca="false">E421/E422</f>
        <v>8.20813185933528</v>
      </c>
      <c r="F423" s="23" t="n">
        <f aca="false">F421/F422</f>
        <v>9.47172735177904</v>
      </c>
      <c r="G423" s="23" t="n">
        <f aca="false">G421/G422</f>
        <v>10.7335791991666</v>
      </c>
      <c r="H423" s="30" t="n">
        <f aca="false">H421/H422</f>
        <v>11.7841803776206</v>
      </c>
      <c r="I423" s="30" t="n">
        <f aca="false">I421/I422</f>
        <v>12.7144227238187</v>
      </c>
      <c r="J423" s="30" t="n">
        <f aca="false">J421/J422</f>
        <v>13.4772880872478</v>
      </c>
    </row>
    <row r="424" customFormat="false" ht="17.15" hidden="false" customHeight="false" outlineLevel="0" collapsed="false">
      <c r="A424" s="0" t="s">
        <v>552</v>
      </c>
      <c r="B424" s="0" t="s">
        <v>69</v>
      </c>
      <c r="D424" s="21" t="n">
        <f aca="false">D423/C423-1</f>
        <v>1.2047976586911</v>
      </c>
      <c r="E424" s="21" t="n">
        <f aca="false">E423/D423-1</f>
        <v>0.114625870131755</v>
      </c>
      <c r="F424" s="21" t="n">
        <f aca="false">F423/E423-1</f>
        <v>0.153944346179898</v>
      </c>
      <c r="G424" s="21" t="n">
        <f aca="false">G423/F423-1</f>
        <v>0.133222990962734</v>
      </c>
      <c r="H424" s="28" t="n">
        <f aca="false">H423/G423-1</f>
        <v>0.0978798552616655</v>
      </c>
      <c r="I424" s="28" t="n">
        <f aca="false">I423/H423-1</f>
        <v>0.0789399276308327</v>
      </c>
      <c r="J424" s="28" t="n">
        <f aca="false">J423/I423-1</f>
        <v>0.0600000000000001</v>
      </c>
    </row>
    <row r="425" customFormat="false" ht="17.15" hidden="false" customHeight="false" outlineLevel="0" collapsed="false">
      <c r="A425" s="3" t="s">
        <v>553</v>
      </c>
      <c r="B425" s="0" t="s">
        <v>69</v>
      </c>
      <c r="C425" s="15" t="n">
        <f aca="false">C421/C404</f>
        <v>0.175607127672562</v>
      </c>
      <c r="D425" s="15" t="n">
        <f aca="false">D421/D404</f>
        <v>0.328417243409073</v>
      </c>
      <c r="E425" s="15" t="n">
        <f aca="false">E421/E404</f>
        <v>0.273174188456755</v>
      </c>
      <c r="F425" s="15" t="n">
        <f aca="false">F421/F404</f>
        <v>0.279793295462363</v>
      </c>
      <c r="G425" s="15" t="n">
        <f aca="false">G421/G404</f>
        <v>0.28390273882326</v>
      </c>
      <c r="H425" s="29" t="n">
        <f aca="false">$G425+($G$425*1-$G425)*1/3</f>
        <v>0.28390273882326</v>
      </c>
      <c r="I425" s="29" t="n">
        <f aca="false">$G425+($G$425*1-$G425)*2/3</f>
        <v>0.28390273882326</v>
      </c>
      <c r="J425" s="29" t="n">
        <f aca="false">$G425+($G$425*1-$G425)*3/3</f>
        <v>0.28390273882326</v>
      </c>
    </row>
    <row r="428" customFormat="false" ht="17.15" hidden="false" customHeight="false" outlineLevel="0" collapsed="false">
      <c r="A428" s="1" t="s">
        <v>847</v>
      </c>
    </row>
    <row r="429" customFormat="false" ht="17.15" hidden="false" customHeight="false" outlineLevel="0" collapsed="false">
      <c r="A429" s="4" t="s">
        <v>24</v>
      </c>
      <c r="B429" s="4" t="s">
        <v>25</v>
      </c>
      <c r="C429" s="16" t="s">
        <v>387</v>
      </c>
      <c r="D429" s="16" t="s">
        <v>505</v>
      </c>
      <c r="E429" s="16" t="s">
        <v>467</v>
      </c>
      <c r="F429" s="16" t="s">
        <v>468</v>
      </c>
      <c r="G429" s="16" t="s">
        <v>469</v>
      </c>
      <c r="H429" s="16" t="s">
        <v>506</v>
      </c>
      <c r="I429" s="16" t="s">
        <v>507</v>
      </c>
      <c r="J429" s="16" t="s">
        <v>508</v>
      </c>
      <c r="K429" s="4" t="s">
        <v>345</v>
      </c>
    </row>
    <row r="430" customFormat="false" ht="17.15" hidden="false" customHeight="false" outlineLevel="0" collapsed="false">
      <c r="A430" s="5" t="s">
        <v>526</v>
      </c>
    </row>
    <row r="431" customFormat="false" ht="17.15" hidden="false" customHeight="false" outlineLevel="0" collapsed="false">
      <c r="A431" s="3" t="s">
        <v>527</v>
      </c>
      <c r="B431" s="3" t="s">
        <v>64</v>
      </c>
      <c r="D431" s="22" t="n">
        <f aca="false">cap_26</f>
        <v>5230.46851955216</v>
      </c>
      <c r="E431" s="22" t="n">
        <f aca="false">D431*(1+capg27)*cap_adj_hi</f>
        <v>5711.67162335096</v>
      </c>
      <c r="F431" s="22" t="n">
        <f aca="false">E431*(1+capg28)</f>
        <v>6111.48863698553</v>
      </c>
      <c r="G431" s="22" t="n">
        <f aca="false">F431*(1+capg29)</f>
        <v>6539.29284157452</v>
      </c>
    </row>
    <row r="432" customFormat="false" ht="15" hidden="false" customHeight="false" outlineLevel="0" collapsed="false">
      <c r="A432" s="3" t="s">
        <v>528</v>
      </c>
      <c r="B432" s="0" t="s">
        <v>69</v>
      </c>
      <c r="D432" s="21" t="n">
        <f aca="false">a26_ship/cap_26</f>
        <v>0.870578781414787</v>
      </c>
      <c r="E432" s="21" t="n">
        <f aca="false">MIN(0.98,ut27_B+ut_adj)</f>
        <v>0.9</v>
      </c>
      <c r="F432" s="21" t="n">
        <f aca="false">MIN(0.98,ut28_B+ut_adj)</f>
        <v>0.87</v>
      </c>
      <c r="G432" s="21" t="n">
        <f aca="false">MIN(0.98,ut29_B+ut_adj)</f>
        <v>0.88</v>
      </c>
    </row>
    <row r="433" customFormat="false" ht="17.15" hidden="false" customHeight="false" outlineLevel="0" collapsed="false">
      <c r="A433" s="3" t="s">
        <v>529</v>
      </c>
      <c r="B433" s="3" t="s">
        <v>64</v>
      </c>
      <c r="D433" s="22" t="n">
        <f aca="false">D431*D432</f>
        <v>4553.53490998013</v>
      </c>
      <c r="E433" s="22" t="n">
        <f aca="false">E431*E432</f>
        <v>5140.50446101587</v>
      </c>
      <c r="F433" s="22" t="n">
        <f aca="false">F431*F432</f>
        <v>5316.99511417741</v>
      </c>
      <c r="G433" s="22" t="n">
        <f aca="false">G431*G432</f>
        <v>5754.57770058558</v>
      </c>
    </row>
    <row r="434" customFormat="false" ht="17.15" hidden="false" customHeight="false" outlineLevel="0" collapsed="false">
      <c r="A434" s="3" t="s">
        <v>530</v>
      </c>
      <c r="B434" s="0" t="s">
        <v>109</v>
      </c>
      <c r="D434" s="22" t="n">
        <f aca="false">asp_26</f>
        <v>1878.17486396824</v>
      </c>
      <c r="E434" s="22" t="n">
        <f aca="false">D434*(1+asp27_B)*(1+asp_adj)</f>
        <v>1972.08360716666</v>
      </c>
      <c r="F434" s="22" t="n">
        <f aca="false">E434*(1+asp28_B)</f>
        <v>1972.08360716666</v>
      </c>
      <c r="G434" s="22" t="n">
        <f aca="false">F434*(1+asp29_B)</f>
        <v>1972.08360716666</v>
      </c>
    </row>
    <row r="435" customFormat="false" ht="15" hidden="false" customHeight="false" outlineLevel="0" collapsed="false">
      <c r="A435" s="3" t="s">
        <v>531</v>
      </c>
      <c r="B435" s="0" t="s">
        <v>69</v>
      </c>
      <c r="E435" s="21" t="n">
        <f aca="false">E434/D434-1</f>
        <v>0.05</v>
      </c>
      <c r="F435" s="21" t="n">
        <f aca="false">F434/E434-1</f>
        <v>0</v>
      </c>
      <c r="G435" s="21" t="n">
        <f aca="false">G434/F434-1</f>
        <v>0</v>
      </c>
    </row>
    <row r="436" customFormat="false" ht="15" hidden="false" customHeight="false" outlineLevel="0" collapsed="false">
      <c r="A436" s="3" t="s">
        <v>532</v>
      </c>
      <c r="B436" s="0" t="s">
        <v>35</v>
      </c>
      <c r="D436" s="23" t="n">
        <f aca="false">fx_26</f>
        <v>31.6</v>
      </c>
      <c r="E436" s="23" t="n">
        <f aca="false">fx</f>
        <v>32</v>
      </c>
      <c r="F436" s="23" t="n">
        <f aca="false">fx</f>
        <v>32</v>
      </c>
      <c r="G436" s="23" t="n">
        <f aca="false">fx</f>
        <v>32</v>
      </c>
    </row>
    <row r="437" customFormat="false" ht="17.15" hidden="false" customHeight="false" outlineLevel="0" collapsed="false">
      <c r="A437" s="3" t="s">
        <v>533</v>
      </c>
      <c r="B437" s="0" t="s">
        <v>181</v>
      </c>
      <c r="D437" s="23" t="n">
        <f aca="false">D433*D434*D436/1000000</f>
        <v>270.25378</v>
      </c>
      <c r="E437" s="23" t="n">
        <f aca="false">E433*E434*E436/1000000</f>
        <v>324.400146564367</v>
      </c>
      <c r="F437" s="23" t="n">
        <f aca="false">F433*F434*F436/1000000</f>
        <v>335.537884929743</v>
      </c>
      <c r="G437" s="23" t="n">
        <f aca="false">G433*G434*G436/1000000</f>
        <v>363.152267183731</v>
      </c>
    </row>
    <row r="438" customFormat="false" ht="17.15" hidden="false" customHeight="false" outlineLevel="0" collapsed="false">
      <c r="A438" s="5" t="s">
        <v>534</v>
      </c>
    </row>
    <row r="439" customFormat="false" ht="17.15" hidden="false" customHeight="false" outlineLevel="0" collapsed="false">
      <c r="A439" s="0" t="s">
        <v>535</v>
      </c>
      <c r="B439" s="0" t="s">
        <v>138</v>
      </c>
      <c r="D439" s="25" t="n">
        <f aca="false">ai_26</f>
        <v>0.3</v>
      </c>
      <c r="E439" s="25" t="n">
        <f aca="false">D439*(1+aig27_B)*ai_adj</f>
        <v>0.42</v>
      </c>
      <c r="F439" s="25" t="n">
        <f aca="false">E439*(1+aig_L)*um28_B</f>
        <v>0.4872</v>
      </c>
      <c r="G439" s="25" t="n">
        <f aca="false">F439/um28_B*(1+aig_L)*um29_B</f>
        <v>0.7505925</v>
      </c>
    </row>
    <row r="440" customFormat="false" ht="17.15" hidden="false" customHeight="false" outlineLevel="0" collapsed="false">
      <c r="A440" s="0" t="s">
        <v>536</v>
      </c>
      <c r="B440" s="0" t="s">
        <v>181</v>
      </c>
      <c r="D440" s="23" t="n">
        <f aca="false">D439*D436</f>
        <v>9.48</v>
      </c>
      <c r="E440" s="23" t="n">
        <f aca="false">E439*E436</f>
        <v>13.44</v>
      </c>
      <c r="F440" s="23" t="n">
        <f aca="false">F439*F436</f>
        <v>15.5904</v>
      </c>
      <c r="G440" s="23" t="n">
        <f aca="false">G439*G436</f>
        <v>24.01896</v>
      </c>
    </row>
    <row r="441" customFormat="false" ht="17.15" hidden="false" customHeight="false" outlineLevel="0" collapsed="false">
      <c r="A441" s="0" t="s">
        <v>537</v>
      </c>
      <c r="B441" s="0" t="s">
        <v>138</v>
      </c>
      <c r="D441" s="25" t="n">
        <f aca="false">0</f>
        <v>0</v>
      </c>
      <c r="E441" s="25" t="n">
        <f aca="false">int_27</f>
        <v>0</v>
      </c>
      <c r="F441" s="25" t="n">
        <f aca="false">int28_B</f>
        <v>0.12</v>
      </c>
      <c r="G441" s="25" t="n">
        <f aca="false">int29_B</f>
        <v>0.3</v>
      </c>
    </row>
    <row r="442" customFormat="false" ht="17.15" hidden="false" customHeight="false" outlineLevel="0" collapsed="false">
      <c r="A442" s="0" t="s">
        <v>538</v>
      </c>
      <c r="B442" s="0" t="s">
        <v>181</v>
      </c>
      <c r="D442" s="23" t="n">
        <f aca="false">D441*D436</f>
        <v>0</v>
      </c>
      <c r="E442" s="23" t="n">
        <f aca="false">E441*E436</f>
        <v>0</v>
      </c>
      <c r="F442" s="23" t="n">
        <f aca="false">F441*F436</f>
        <v>3.84</v>
      </c>
      <c r="G442" s="23" t="n">
        <f aca="false">G441*G436</f>
        <v>9.6</v>
      </c>
    </row>
    <row r="443" customFormat="false" ht="17.15" hidden="false" customHeight="false" outlineLevel="0" collapsed="false">
      <c r="A443" s="3" t="s">
        <v>393</v>
      </c>
      <c r="B443" s="0" t="s">
        <v>181</v>
      </c>
      <c r="C443" s="23" t="n">
        <f aca="false">a25_rev</f>
        <v>237.553</v>
      </c>
      <c r="D443" s="23" t="n">
        <f aca="false">D437+D440+D442</f>
        <v>279.73378</v>
      </c>
      <c r="E443" s="23" t="n">
        <f aca="false">E437+E440+E442</f>
        <v>337.840146564367</v>
      </c>
      <c r="F443" s="23" t="n">
        <f aca="false">F437+F440+F442</f>
        <v>354.968284929743</v>
      </c>
      <c r="G443" s="23" t="n">
        <f aca="false">G437+G440+G442</f>
        <v>396.771227183731</v>
      </c>
      <c r="H443" s="30" t="n">
        <f aca="false">G443*(1+H445)</f>
        <v>433.212095400645</v>
      </c>
      <c r="I443" s="30" t="n">
        <f aca="false">H443*(1+I445)</f>
        <v>461.770200316973</v>
      </c>
      <c r="J443" s="30" t="n">
        <f aca="false">I443*(1+J445)</f>
        <v>480.241008329652</v>
      </c>
      <c r="K443" s="7" t="s">
        <v>539</v>
      </c>
    </row>
    <row r="444" customFormat="false" ht="17.15" hidden="false" customHeight="false" outlineLevel="0" collapsed="false">
      <c r="A444" s="0" t="s">
        <v>540</v>
      </c>
      <c r="B444" s="0" t="s">
        <v>69</v>
      </c>
      <c r="D444" s="21" t="n">
        <f aca="false">D440/D443</f>
        <v>0.0338893643806622</v>
      </c>
      <c r="E444" s="21" t="n">
        <f aca="false">E440/E443</f>
        <v>0.0397821281356784</v>
      </c>
      <c r="F444" s="21" t="n">
        <f aca="false">F440/F443</f>
        <v>0.0439205435017546</v>
      </c>
      <c r="G444" s="21" t="n">
        <f aca="false">G440/G443</f>
        <v>0.0605360428236839</v>
      </c>
    </row>
    <row r="445" customFormat="false" ht="15" hidden="false" customHeight="false" outlineLevel="0" collapsed="false">
      <c r="A445" s="3" t="s">
        <v>541</v>
      </c>
      <c r="B445" s="0" t="s">
        <v>69</v>
      </c>
      <c r="D445" s="21" t="n">
        <f aca="false">D443/C443-1</f>
        <v>0.177563659478096</v>
      </c>
      <c r="E445" s="21" t="n">
        <f aca="false">E443/D443-1</f>
        <v>0.207720235162041</v>
      </c>
      <c r="F445" s="21" t="n">
        <f aca="false">F443/E443-1</f>
        <v>0.0506989430935296</v>
      </c>
      <c r="G445" s="21" t="n">
        <f aca="false">G443/F443-1</f>
        <v>0.117765287854553</v>
      </c>
      <c r="H445" s="28" t="n">
        <f aca="false">$G445+(fade_gB-$G445)*1/3</f>
        <v>0.0918435252363685</v>
      </c>
      <c r="I445" s="28" t="n">
        <f aca="false">$G445+(fade_gB-$G445)*2/3</f>
        <v>0.0659217626181843</v>
      </c>
      <c r="J445" s="28" t="n">
        <f aca="false">$G445+(fade_gB-$G445)*3/3</f>
        <v>0.04</v>
      </c>
    </row>
    <row r="446" customFormat="false" ht="17.15" hidden="false" customHeight="false" outlineLevel="0" collapsed="false">
      <c r="A446" s="5" t="s">
        <v>542</v>
      </c>
    </row>
    <row r="447" customFormat="false" ht="15" hidden="false" customHeight="false" outlineLevel="0" collapsed="false">
      <c r="A447" s="3" t="s">
        <v>543</v>
      </c>
      <c r="B447" s="0" t="s">
        <v>181</v>
      </c>
      <c r="D447" s="23" t="n">
        <f aca="false">da_tot26*da_sh</f>
        <v>56.172</v>
      </c>
      <c r="E447" s="23" t="n">
        <f aca="false">D447*(1+dag_27+dag_adj)</f>
        <v>62.91264</v>
      </c>
      <c r="F447" s="23" t="n">
        <f aca="false">E447*(1+dag_28+dag_adj)</f>
        <v>69.203904</v>
      </c>
      <c r="G447" s="23" t="n">
        <f aca="false">F447*(1+dag_29+dag_adj)</f>
        <v>74.74021632</v>
      </c>
    </row>
    <row r="448" customFormat="false" ht="17.15" hidden="false" customHeight="false" outlineLevel="0" collapsed="false">
      <c r="A448" s="3" t="s">
        <v>544</v>
      </c>
      <c r="B448" s="0" t="s">
        <v>545</v>
      </c>
      <c r="D448" s="23" t="n">
        <f aca="false">(D443-a26_gp-D447-(1-m_new)*(D440+D442))/D433*1000</f>
        <v>27.9465727870208</v>
      </c>
      <c r="E448" s="23" t="n">
        <f aca="false">D448*(1+cc_g)</f>
        <v>28.5055042427612</v>
      </c>
      <c r="F448" s="23" t="n">
        <f aca="false">E448*(1+cc_g)</f>
        <v>29.0756143276165</v>
      </c>
      <c r="G448" s="23" t="n">
        <f aca="false">F448*(1+cc_g)</f>
        <v>29.6571266141688</v>
      </c>
      <c r="K448" s="7" t="s">
        <v>546</v>
      </c>
    </row>
    <row r="449" customFormat="false" ht="17.15" hidden="false" customHeight="false" outlineLevel="0" collapsed="false">
      <c r="A449" s="3" t="s">
        <v>547</v>
      </c>
      <c r="B449" s="0" t="s">
        <v>181</v>
      </c>
      <c r="D449" s="23" t="n">
        <f aca="false">D448*D433/1000</f>
        <v>127.2556948</v>
      </c>
      <c r="E449" s="23" t="n">
        <f aca="false">E448*E433/1000</f>
        <v>146.532671723421</v>
      </c>
      <c r="F449" s="23" t="n">
        <f aca="false">F448*F433/1000</f>
        <v>154.594899321644</v>
      </c>
      <c r="G449" s="23" t="n">
        <f aca="false">G448*G433/1000</f>
        <v>170.664239477339</v>
      </c>
    </row>
    <row r="450" customFormat="false" ht="17.15" hidden="false" customHeight="false" outlineLevel="0" collapsed="false">
      <c r="A450" s="3" t="s">
        <v>548</v>
      </c>
      <c r="B450" s="0" t="s">
        <v>181</v>
      </c>
      <c r="D450" s="23" t="n">
        <f aca="false">m_new*(D440+D442)</f>
        <v>4.266</v>
      </c>
      <c r="E450" s="23" t="n">
        <f aca="false">m_new*(E440+E442)</f>
        <v>6.048</v>
      </c>
      <c r="F450" s="23" t="n">
        <f aca="false">m_new*(F440+F442)</f>
        <v>8.74368</v>
      </c>
      <c r="G450" s="23" t="n">
        <f aca="false">m_new*(G440+G442)</f>
        <v>15.128532</v>
      </c>
    </row>
    <row r="451" customFormat="false" ht="15" hidden="false" customHeight="false" outlineLevel="0" collapsed="false">
      <c r="A451" s="3" t="s">
        <v>411</v>
      </c>
      <c r="B451" s="0" t="s">
        <v>181</v>
      </c>
      <c r="C451" s="23" t="n">
        <f aca="false">a25_gp</f>
        <v>68.906</v>
      </c>
      <c r="D451" s="23" t="n">
        <f aca="false">D437-D447-D449+D450</f>
        <v>91.0920852</v>
      </c>
      <c r="E451" s="23" t="n">
        <f aca="false">E437-E447-E449+E450</f>
        <v>121.002834840946</v>
      </c>
      <c r="F451" s="23" t="n">
        <f aca="false">F437-F447-F449+F450</f>
        <v>120.4827616081</v>
      </c>
      <c r="G451" s="23" t="n">
        <f aca="false">G437-G447-G449+G450</f>
        <v>132.876343386393</v>
      </c>
    </row>
    <row r="452" customFormat="false" ht="15" hidden="false" customHeight="false" outlineLevel="0" collapsed="false">
      <c r="A452" s="3" t="s">
        <v>413</v>
      </c>
      <c r="B452" s="0" t="s">
        <v>69</v>
      </c>
      <c r="C452" s="15" t="n">
        <f aca="false">C451/C443</f>
        <v>0.290065795843454</v>
      </c>
      <c r="D452" s="15" t="n">
        <f aca="false">D451/D443</f>
        <v>0.325638488136828</v>
      </c>
      <c r="E452" s="15" t="n">
        <f aca="false">E451/E443</f>
        <v>0.358165943483842</v>
      </c>
      <c r="F452" s="15" t="n">
        <f aca="false">F451/F443</f>
        <v>0.339418383904202</v>
      </c>
      <c r="G452" s="15" t="n">
        <f aca="false">G451/G443</f>
        <v>0.334894100889181</v>
      </c>
    </row>
    <row r="453" customFormat="false" ht="15" hidden="false" customHeight="false" outlineLevel="0" collapsed="false">
      <c r="A453" s="3" t="s">
        <v>415</v>
      </c>
      <c r="B453" s="0" t="s">
        <v>181</v>
      </c>
      <c r="C453" s="23" t="n">
        <f aca="false">a25_opx</f>
        <v>25.056</v>
      </c>
      <c r="D453" s="23" t="n">
        <f aca="false">a26_opx</f>
        <v>27.23586</v>
      </c>
      <c r="E453" s="23" t="n">
        <f aca="false">D453*(1+MAX(g_opx_min,phi*E445))</f>
        <v>30.0645796220202</v>
      </c>
      <c r="F453" s="23" t="n">
        <f aca="false">E453*(1+MAX(g_opx_min,phi*F445))</f>
        <v>30.9665170106808</v>
      </c>
      <c r="G453" s="23" t="n">
        <f aca="false">F453*(1+MAX(g_opx_min,phi*G445))</f>
        <v>32.7899074054887</v>
      </c>
    </row>
    <row r="454" customFormat="false" ht="15" hidden="false" customHeight="false" outlineLevel="0" collapsed="false">
      <c r="A454" s="3" t="s">
        <v>418</v>
      </c>
      <c r="B454" s="0" t="s">
        <v>181</v>
      </c>
      <c r="C454" s="23" t="n">
        <f aca="false">C451-C453</f>
        <v>43.85</v>
      </c>
      <c r="D454" s="23" t="n">
        <f aca="false">D451-D453</f>
        <v>63.8562252</v>
      </c>
      <c r="E454" s="23" t="n">
        <f aca="false">E451-E453</f>
        <v>90.9382552189256</v>
      </c>
      <c r="F454" s="23" t="n">
        <f aca="false">F451-F453</f>
        <v>89.516244597419</v>
      </c>
      <c r="G454" s="23" t="n">
        <f aca="false">G451-G453</f>
        <v>100.086435980904</v>
      </c>
    </row>
    <row r="455" customFormat="false" ht="15" hidden="false" customHeight="false" outlineLevel="0" collapsed="false">
      <c r="A455" s="3" t="s">
        <v>515</v>
      </c>
      <c r="B455" s="0" t="s">
        <v>69</v>
      </c>
      <c r="C455" s="15" t="n">
        <f aca="false">C454/C443</f>
        <v>0.184590386145408</v>
      </c>
      <c r="D455" s="15" t="n">
        <f aca="false">D454/D443</f>
        <v>0.228274987740129</v>
      </c>
      <c r="E455" s="15" t="n">
        <f aca="false">E454/E443</f>
        <v>0.269175395948982</v>
      </c>
      <c r="F455" s="15" t="n">
        <f aca="false">F454/F443</f>
        <v>0.25218096488574</v>
      </c>
      <c r="G455" s="15" t="n">
        <f aca="false">G454/G443</f>
        <v>0.252252252995546</v>
      </c>
    </row>
    <row r="456" customFormat="false" ht="15" hidden="false" customHeight="false" outlineLevel="0" collapsed="false">
      <c r="A456" s="3" t="s">
        <v>421</v>
      </c>
      <c r="B456" s="0" t="s">
        <v>181</v>
      </c>
      <c r="C456" s="23" t="n">
        <f aca="false">a25_nonop</f>
        <v>5.805</v>
      </c>
      <c r="D456" s="23" t="n">
        <f aca="false">a26_nonop</f>
        <v>38.372</v>
      </c>
      <c r="E456" s="23" t="n">
        <f aca="false">nonop_f</f>
        <v>4</v>
      </c>
      <c r="F456" s="23" t="n">
        <f aca="false">nonop_f</f>
        <v>4</v>
      </c>
      <c r="G456" s="23" t="n">
        <f aca="false">nonop_f</f>
        <v>4</v>
      </c>
    </row>
    <row r="457" customFormat="false" ht="15" hidden="false" customHeight="false" outlineLevel="0" collapsed="false">
      <c r="A457" s="3" t="s">
        <v>423</v>
      </c>
      <c r="B457" s="0" t="s">
        <v>181</v>
      </c>
      <c r="C457" s="23" t="n">
        <f aca="false">C454+C456</f>
        <v>49.655</v>
      </c>
      <c r="D457" s="23" t="n">
        <f aca="false">D454+D456</f>
        <v>102.2282252</v>
      </c>
      <c r="E457" s="23" t="n">
        <f aca="false">E454+E456</f>
        <v>94.9382552189256</v>
      </c>
      <c r="F457" s="23" t="n">
        <f aca="false">F454+F456</f>
        <v>93.516244597419</v>
      </c>
      <c r="G457" s="23" t="n">
        <f aca="false">G454+G456</f>
        <v>104.086435980904</v>
      </c>
    </row>
    <row r="458" customFormat="false" ht="15" hidden="false" customHeight="false" outlineLevel="0" collapsed="false">
      <c r="A458" s="3" t="s">
        <v>425</v>
      </c>
      <c r="B458" s="0" t="s">
        <v>181</v>
      </c>
      <c r="C458" s="23" t="n">
        <f aca="false">a25_tax</f>
        <v>7.939</v>
      </c>
      <c r="D458" s="23" t="n">
        <f aca="false">a26_tax</f>
        <v>10.493828284</v>
      </c>
      <c r="E458" s="23" t="n">
        <f aca="false">E457*tax</f>
        <v>14.2407382828388</v>
      </c>
      <c r="F458" s="23" t="n">
        <f aca="false">F457*tax</f>
        <v>14.0274366896129</v>
      </c>
      <c r="G458" s="23" t="n">
        <f aca="false">G457*tax</f>
        <v>15.6129653971356</v>
      </c>
    </row>
    <row r="459" customFormat="false" ht="17.15" hidden="false" customHeight="false" outlineLevel="0" collapsed="false">
      <c r="A459" s="3" t="s">
        <v>549</v>
      </c>
      <c r="B459" s="0" t="s">
        <v>181</v>
      </c>
      <c r="C459" s="23" t="n">
        <f aca="false">a25_mi</f>
        <v>0</v>
      </c>
      <c r="D459" s="23" t="n">
        <f aca="false">a26_mi</f>
        <v>-0.134999999999987</v>
      </c>
      <c r="E459" s="23" t="n">
        <f aca="false">0</f>
        <v>0</v>
      </c>
      <c r="F459" s="23" t="n">
        <f aca="false">0</f>
        <v>0</v>
      </c>
      <c r="G459" s="23" t="n">
        <f aca="false">0</f>
        <v>0</v>
      </c>
      <c r="K459" s="7" t="s">
        <v>550</v>
      </c>
    </row>
    <row r="460" customFormat="false" ht="15" hidden="false" customHeight="false" outlineLevel="0" collapsed="false">
      <c r="A460" s="3" t="s">
        <v>428</v>
      </c>
      <c r="B460" s="0" t="s">
        <v>181</v>
      </c>
      <c r="C460" s="23" t="n">
        <f aca="false">C457-C458-C459</f>
        <v>41.716</v>
      </c>
      <c r="D460" s="23" t="n">
        <f aca="false">D457-D458-D459</f>
        <v>91.869396916</v>
      </c>
      <c r="E460" s="23" t="n">
        <f aca="false">E457-E458-E459</f>
        <v>80.6975169360868</v>
      </c>
      <c r="F460" s="23" t="n">
        <f aca="false">F457-F458-F459</f>
        <v>79.4888079078062</v>
      </c>
      <c r="G460" s="23" t="n">
        <f aca="false">G457-G458-G459</f>
        <v>88.4734705837684</v>
      </c>
      <c r="H460" s="30" t="n">
        <f aca="false">H443*H464</f>
        <v>93.3792131450086</v>
      </c>
      <c r="I460" s="30" t="n">
        <f aca="false">I443*I464</f>
        <v>96.1026963133774</v>
      </c>
      <c r="J460" s="30" t="n">
        <f aca="false">J443*J464</f>
        <v>96.3772754457014</v>
      </c>
    </row>
    <row r="461" customFormat="false" ht="15" hidden="false" customHeight="false" outlineLevel="0" collapsed="false">
      <c r="A461" s="3" t="s">
        <v>551</v>
      </c>
      <c r="B461" s="3" t="s">
        <v>250</v>
      </c>
      <c r="C461" s="9" t="n">
        <f aca="false">a25_sh</f>
        <v>12.4898203592814</v>
      </c>
      <c r="D461" s="9" t="n">
        <f aca="false">a26_sh</f>
        <v>12.4754339027235</v>
      </c>
      <c r="E461" s="9" t="n">
        <f aca="false">q_sh*(1+sh_g)</f>
        <v>12.45</v>
      </c>
      <c r="F461" s="9" t="n">
        <f aca="false">E461*(1+sh_g)</f>
        <v>12.45</v>
      </c>
      <c r="G461" s="9" t="n">
        <f aca="false">F461*(1+sh_g)</f>
        <v>12.45</v>
      </c>
      <c r="H461" s="32" t="n">
        <f aca="false">G461*(1+sh_g)</f>
        <v>12.45</v>
      </c>
      <c r="I461" s="32" t="n">
        <f aca="false">H461*(1+sh_g)</f>
        <v>12.45</v>
      </c>
      <c r="J461" s="32" t="n">
        <f aca="false">I461*(1+sh_g)</f>
        <v>12.45</v>
      </c>
    </row>
    <row r="462" customFormat="false" ht="17.15" hidden="false" customHeight="false" outlineLevel="0" collapsed="false">
      <c r="A462" s="0" t="s">
        <v>434</v>
      </c>
      <c r="B462" s="0" t="s">
        <v>260</v>
      </c>
      <c r="C462" s="23" t="n">
        <f aca="false">C460/C461</f>
        <v>3.34</v>
      </c>
      <c r="D462" s="23" t="n">
        <f aca="false">D460/D461</f>
        <v>7.36402418002826</v>
      </c>
      <c r="E462" s="23" t="n">
        <f aca="false">E460/E461</f>
        <v>6.48172826795878</v>
      </c>
      <c r="F462" s="23" t="n">
        <f aca="false">F460/F461</f>
        <v>6.38464320544628</v>
      </c>
      <c r="G462" s="23" t="n">
        <f aca="false">G460/G461</f>
        <v>7.10630285813401</v>
      </c>
      <c r="H462" s="30" t="n">
        <f aca="false">H460/H461</f>
        <v>7.50033840522157</v>
      </c>
      <c r="I462" s="30" t="n">
        <f aca="false">I460/I461</f>
        <v>7.71909207336365</v>
      </c>
      <c r="J462" s="30" t="n">
        <f aca="false">J460/J461</f>
        <v>7.74114662214469</v>
      </c>
    </row>
    <row r="463" customFormat="false" ht="17.15" hidden="false" customHeight="false" outlineLevel="0" collapsed="false">
      <c r="A463" s="0" t="s">
        <v>552</v>
      </c>
      <c r="B463" s="0" t="s">
        <v>69</v>
      </c>
      <c r="D463" s="21" t="n">
        <f aca="false">D462/C462-1</f>
        <v>1.2047976586911</v>
      </c>
      <c r="E463" s="21" t="n">
        <f aca="false">E462/D462-1</f>
        <v>-0.119811653316176</v>
      </c>
      <c r="F463" s="21" t="n">
        <f aca="false">F462/E462-1</f>
        <v>-0.0149782679092585</v>
      </c>
      <c r="G463" s="21" t="n">
        <f aca="false">G462/F462-1</f>
        <v>0.113030537410788</v>
      </c>
      <c r="H463" s="28" t="n">
        <f aca="false">H462/G462-1</f>
        <v>0.055448741061823</v>
      </c>
      <c r="I463" s="28" t="n">
        <f aca="false">I462/H462-1</f>
        <v>0.0291658397692813</v>
      </c>
      <c r="J463" s="28" t="n">
        <f aca="false">J462/I462-1</f>
        <v>0.00285714285714289</v>
      </c>
    </row>
    <row r="464" customFormat="false" ht="17.15" hidden="false" customHeight="false" outlineLevel="0" collapsed="false">
      <c r="A464" s="3" t="s">
        <v>553</v>
      </c>
      <c r="B464" s="0" t="s">
        <v>69</v>
      </c>
      <c r="C464" s="15" t="n">
        <f aca="false">C460/C443</f>
        <v>0.175607127672562</v>
      </c>
      <c r="D464" s="15" t="n">
        <f aca="false">D460/D443</f>
        <v>0.328417243409073</v>
      </c>
      <c r="E464" s="15" t="n">
        <f aca="false">E460/E443</f>
        <v>0.238863017781435</v>
      </c>
      <c r="F464" s="15" t="n">
        <f aca="false">F460/F443</f>
        <v>0.223932140651774</v>
      </c>
      <c r="G464" s="15" t="n">
        <f aca="false">G460/G443</f>
        <v>0.222983584802129</v>
      </c>
      <c r="H464" s="29" t="n">
        <f aca="false">$G464+($G$464*0.9-$G464)*1/3</f>
        <v>0.215550798642058</v>
      </c>
      <c r="I464" s="29" t="n">
        <f aca="false">$G464+($G$464*0.9-$G464)*2/3</f>
        <v>0.208118012481987</v>
      </c>
      <c r="J464" s="29" t="n">
        <f aca="false">$G464+($G$464*0.9-$G464)*3/3</f>
        <v>0.200685226321916</v>
      </c>
    </row>
    <row r="467" customFormat="false" ht="17.15" hidden="false" customHeight="false" outlineLevel="0" collapsed="false">
      <c r="A467" s="1" t="s">
        <v>848</v>
      </c>
    </row>
    <row r="468" customFormat="false" ht="17.15" hidden="false" customHeight="false" outlineLevel="0" collapsed="false">
      <c r="A468" s="4" t="s">
        <v>24</v>
      </c>
      <c r="B468" s="4" t="s">
        <v>25</v>
      </c>
      <c r="C468" s="16" t="s">
        <v>387</v>
      </c>
      <c r="D468" s="16" t="s">
        <v>505</v>
      </c>
      <c r="E468" s="16" t="s">
        <v>467</v>
      </c>
      <c r="F468" s="16" t="s">
        <v>468</v>
      </c>
      <c r="G468" s="16" t="s">
        <v>469</v>
      </c>
      <c r="H468" s="16" t="s">
        <v>506</v>
      </c>
      <c r="I468" s="16" t="s">
        <v>507</v>
      </c>
      <c r="J468" s="16" t="s">
        <v>508</v>
      </c>
      <c r="K468" s="4" t="s">
        <v>345</v>
      </c>
    </row>
    <row r="469" customFormat="false" ht="17.15" hidden="false" customHeight="false" outlineLevel="0" collapsed="false">
      <c r="A469" s="5" t="s">
        <v>526</v>
      </c>
    </row>
    <row r="470" customFormat="false" ht="17.15" hidden="false" customHeight="false" outlineLevel="0" collapsed="false">
      <c r="A470" s="3" t="s">
        <v>527</v>
      </c>
      <c r="B470" s="3" t="s">
        <v>64</v>
      </c>
      <c r="D470" s="22" t="n">
        <f aca="false">cap_26</f>
        <v>5230.46851955216</v>
      </c>
      <c r="E470" s="22" t="n">
        <f aca="false">D470*(1+capg27)*cap_adj_hi</f>
        <v>5711.67162335096</v>
      </c>
      <c r="F470" s="22" t="n">
        <f aca="false">E470*(1+capg28)</f>
        <v>6111.48863698553</v>
      </c>
      <c r="G470" s="22" t="n">
        <f aca="false">F470*(1+capg29)</f>
        <v>6539.29284157452</v>
      </c>
    </row>
    <row r="471" customFormat="false" ht="15" hidden="false" customHeight="false" outlineLevel="0" collapsed="false">
      <c r="A471" s="3" t="s">
        <v>528</v>
      </c>
      <c r="B471" s="0" t="s">
        <v>69</v>
      </c>
      <c r="D471" s="21" t="n">
        <f aca="false">a26_ship/cap_26</f>
        <v>0.870578781414787</v>
      </c>
      <c r="E471" s="21" t="n">
        <f aca="false">MIN(0.98,ut27_C+ut_adj)</f>
        <v>0.82</v>
      </c>
      <c r="F471" s="21" t="n">
        <f aca="false">MIN(0.98,ut28_C+ut_adj)</f>
        <v>0.76</v>
      </c>
      <c r="G471" s="21" t="n">
        <f aca="false">MIN(0.98,ut29_C+ut_adj)</f>
        <v>0.8</v>
      </c>
    </row>
    <row r="472" customFormat="false" ht="17.15" hidden="false" customHeight="false" outlineLevel="0" collapsed="false">
      <c r="A472" s="3" t="s">
        <v>529</v>
      </c>
      <c r="B472" s="3" t="s">
        <v>64</v>
      </c>
      <c r="D472" s="22" t="n">
        <f aca="false">D470*D471</f>
        <v>4553.53490998013</v>
      </c>
      <c r="E472" s="22" t="n">
        <f aca="false">E470*E471</f>
        <v>4683.57073114779</v>
      </c>
      <c r="F472" s="22" t="n">
        <f aca="false">F470*F471</f>
        <v>4644.731364109</v>
      </c>
      <c r="G472" s="22" t="n">
        <f aca="false">G470*G471</f>
        <v>5231.43427325962</v>
      </c>
    </row>
    <row r="473" customFormat="false" ht="17.15" hidden="false" customHeight="false" outlineLevel="0" collapsed="false">
      <c r="A473" s="3" t="s">
        <v>530</v>
      </c>
      <c r="B473" s="0" t="s">
        <v>109</v>
      </c>
      <c r="D473" s="22" t="n">
        <f aca="false">asp_26</f>
        <v>1878.17486396824</v>
      </c>
      <c r="E473" s="22" t="n">
        <f aca="false">D473*(1+asp27_C)*(1+asp_adj)</f>
        <v>1878.17486396824</v>
      </c>
      <c r="F473" s="22" t="n">
        <f aca="false">E473*(1+asp28_C)</f>
        <v>1765.48437213015</v>
      </c>
      <c r="G473" s="22" t="n">
        <f aca="false">F473*(1+asp29_C)</f>
        <v>1712.51984096625</v>
      </c>
    </row>
    <row r="474" customFormat="false" ht="15" hidden="false" customHeight="false" outlineLevel="0" collapsed="false">
      <c r="A474" s="3" t="s">
        <v>531</v>
      </c>
      <c r="B474" s="0" t="s">
        <v>69</v>
      </c>
      <c r="E474" s="21" t="n">
        <f aca="false">E473/D473-1</f>
        <v>0</v>
      </c>
      <c r="F474" s="21" t="n">
        <f aca="false">F473/E473-1</f>
        <v>-0.0599999999999999</v>
      </c>
      <c r="G474" s="21" t="n">
        <f aca="false">G473/F473-1</f>
        <v>-0.0299999999999999</v>
      </c>
    </row>
    <row r="475" customFormat="false" ht="15" hidden="false" customHeight="false" outlineLevel="0" collapsed="false">
      <c r="A475" s="3" t="s">
        <v>532</v>
      </c>
      <c r="B475" s="0" t="s">
        <v>35</v>
      </c>
      <c r="D475" s="23" t="n">
        <f aca="false">fx_26</f>
        <v>31.6</v>
      </c>
      <c r="E475" s="23" t="n">
        <f aca="false">fx</f>
        <v>32</v>
      </c>
      <c r="F475" s="23" t="n">
        <f aca="false">fx</f>
        <v>32</v>
      </c>
      <c r="G475" s="23" t="n">
        <f aca="false">fx</f>
        <v>32</v>
      </c>
    </row>
    <row r="476" customFormat="false" ht="17.15" hidden="false" customHeight="false" outlineLevel="0" collapsed="false">
      <c r="A476" s="3" t="s">
        <v>533</v>
      </c>
      <c r="B476" s="0" t="s">
        <v>181</v>
      </c>
      <c r="D476" s="23" t="n">
        <f aca="false">D472*D473*D475/1000000</f>
        <v>270.25378</v>
      </c>
      <c r="E476" s="23" t="n">
        <f aca="false">E472*E473*E475/1000000</f>
        <v>281.490074267493</v>
      </c>
      <c r="F476" s="23" t="n">
        <f aca="false">F472*F473*F475/1000000</f>
        <v>262.40642035447</v>
      </c>
      <c r="G476" s="23" t="n">
        <f aca="false">G472*G473*G475/1000000</f>
        <v>286.685919669373</v>
      </c>
    </row>
    <row r="477" customFormat="false" ht="17.15" hidden="false" customHeight="false" outlineLevel="0" collapsed="false">
      <c r="A477" s="5" t="s">
        <v>534</v>
      </c>
    </row>
    <row r="478" customFormat="false" ht="17.15" hidden="false" customHeight="false" outlineLevel="0" collapsed="false">
      <c r="A478" s="0" t="s">
        <v>535</v>
      </c>
      <c r="B478" s="0" t="s">
        <v>138</v>
      </c>
      <c r="D478" s="25" t="n">
        <f aca="false">ai_26</f>
        <v>0.3</v>
      </c>
      <c r="E478" s="25" t="n">
        <f aca="false">D478*(1+aig27_C)*ai_adj</f>
        <v>0.36</v>
      </c>
      <c r="F478" s="25" t="n">
        <f aca="false">E478*(1+aig_L)*um28_C</f>
        <v>0.3132</v>
      </c>
      <c r="G478" s="25" t="n">
        <f aca="false">F478/um28_C*(1+aig_L)*um29_C</f>
        <v>0.45414</v>
      </c>
    </row>
    <row r="479" customFormat="false" ht="17.15" hidden="false" customHeight="false" outlineLevel="0" collapsed="false">
      <c r="A479" s="0" t="s">
        <v>536</v>
      </c>
      <c r="B479" s="0" t="s">
        <v>181</v>
      </c>
      <c r="D479" s="23" t="n">
        <f aca="false">D478*D475</f>
        <v>9.48</v>
      </c>
      <c r="E479" s="23" t="n">
        <f aca="false">E478*E475</f>
        <v>11.52</v>
      </c>
      <c r="F479" s="23" t="n">
        <f aca="false">F478*F475</f>
        <v>10.0224</v>
      </c>
      <c r="G479" s="23" t="n">
        <f aca="false">G478*G475</f>
        <v>14.53248</v>
      </c>
    </row>
    <row r="480" customFormat="false" ht="17.15" hidden="false" customHeight="false" outlineLevel="0" collapsed="false">
      <c r="A480" s="0" t="s">
        <v>537</v>
      </c>
      <c r="B480" s="0" t="s">
        <v>138</v>
      </c>
      <c r="D480" s="25" t="n">
        <f aca="false">0</f>
        <v>0</v>
      </c>
      <c r="E480" s="25" t="n">
        <f aca="false">int_27</f>
        <v>0</v>
      </c>
      <c r="F480" s="25" t="n">
        <f aca="false">int28_C</f>
        <v>0</v>
      </c>
      <c r="G480" s="25" t="n">
        <f aca="false">int29_C</f>
        <v>0.08</v>
      </c>
    </row>
    <row r="481" customFormat="false" ht="17.15" hidden="false" customHeight="false" outlineLevel="0" collapsed="false">
      <c r="A481" s="0" t="s">
        <v>538</v>
      </c>
      <c r="B481" s="0" t="s">
        <v>181</v>
      </c>
      <c r="D481" s="23" t="n">
        <f aca="false">D480*D475</f>
        <v>0</v>
      </c>
      <c r="E481" s="23" t="n">
        <f aca="false">E480*E475</f>
        <v>0</v>
      </c>
      <c r="F481" s="23" t="n">
        <f aca="false">F480*F475</f>
        <v>0</v>
      </c>
      <c r="G481" s="23" t="n">
        <f aca="false">G480*G475</f>
        <v>2.56</v>
      </c>
    </row>
    <row r="482" customFormat="false" ht="17.15" hidden="false" customHeight="false" outlineLevel="0" collapsed="false">
      <c r="A482" s="3" t="s">
        <v>393</v>
      </c>
      <c r="B482" s="0" t="s">
        <v>181</v>
      </c>
      <c r="C482" s="23" t="n">
        <f aca="false">a25_rev</f>
        <v>237.553</v>
      </c>
      <c r="D482" s="23" t="n">
        <f aca="false">D476+D479+D481</f>
        <v>279.73378</v>
      </c>
      <c r="E482" s="23" t="n">
        <f aca="false">E476+E479+E481</f>
        <v>293.010074267493</v>
      </c>
      <c r="F482" s="23" t="n">
        <f aca="false">F476+F479+F481</f>
        <v>272.42882035447</v>
      </c>
      <c r="G482" s="23" t="n">
        <f aca="false">G476+G479+G481</f>
        <v>303.778399669373</v>
      </c>
      <c r="H482" s="30" t="n">
        <f aca="false">G482*(1+H484)</f>
        <v>329.108330944222</v>
      </c>
      <c r="I482" s="30" t="n">
        <f aca="false">H482*(1+I484)</f>
        <v>346.120421760898</v>
      </c>
      <c r="J482" s="30" t="n">
        <f aca="false">I482*(1+J484)</f>
        <v>353.042830196116</v>
      </c>
      <c r="K482" s="7" t="s">
        <v>539</v>
      </c>
    </row>
    <row r="483" customFormat="false" ht="17.15" hidden="false" customHeight="false" outlineLevel="0" collapsed="false">
      <c r="A483" s="0" t="s">
        <v>540</v>
      </c>
      <c r="B483" s="0" t="s">
        <v>69</v>
      </c>
      <c r="D483" s="21" t="n">
        <f aca="false">D479/D482</f>
        <v>0.0338893643806622</v>
      </c>
      <c r="E483" s="21" t="n">
        <f aca="false">E479/E482</f>
        <v>0.0393160543329416</v>
      </c>
      <c r="F483" s="21" t="n">
        <f aca="false">F479/F482</f>
        <v>0.0367890592007093</v>
      </c>
      <c r="G483" s="21" t="n">
        <f aca="false">G479/G482</f>
        <v>0.0478390827518246</v>
      </c>
    </row>
    <row r="484" customFormat="false" ht="15" hidden="false" customHeight="false" outlineLevel="0" collapsed="false">
      <c r="A484" s="3" t="s">
        <v>541</v>
      </c>
      <c r="B484" s="0" t="s">
        <v>69</v>
      </c>
      <c r="D484" s="21" t="n">
        <f aca="false">D482/C482-1</f>
        <v>0.177563659478096</v>
      </c>
      <c r="E484" s="21" t="n">
        <f aca="false">E482/D482-1</f>
        <v>0.0474604613983078</v>
      </c>
      <c r="F484" s="21" t="n">
        <f aca="false">F482/E482-1</f>
        <v>-0.0702407723163592</v>
      </c>
      <c r="G484" s="21" t="n">
        <f aca="false">G482/F482-1</f>
        <v>0.115074386308</v>
      </c>
      <c r="H484" s="28" t="n">
        <f aca="false">$G484+(fade_gC-$G484)*1/3</f>
        <v>0.0833829242053336</v>
      </c>
      <c r="I484" s="28" t="n">
        <f aca="false">$G484+(fade_gC-$G484)*2/3</f>
        <v>0.0516914621026668</v>
      </c>
      <c r="J484" s="28" t="n">
        <f aca="false">$G484+(fade_gC-$G484)*3/3</f>
        <v>0.02</v>
      </c>
    </row>
    <row r="485" customFormat="false" ht="17.15" hidden="false" customHeight="false" outlineLevel="0" collapsed="false">
      <c r="A485" s="5" t="s">
        <v>542</v>
      </c>
    </row>
    <row r="486" customFormat="false" ht="15" hidden="false" customHeight="false" outlineLevel="0" collapsed="false">
      <c r="A486" s="3" t="s">
        <v>543</v>
      </c>
      <c r="B486" s="0" t="s">
        <v>181</v>
      </c>
      <c r="D486" s="23" t="n">
        <f aca="false">da_tot26*da_sh</f>
        <v>56.172</v>
      </c>
      <c r="E486" s="23" t="n">
        <f aca="false">D486*(1+dag_27+dag_adj)</f>
        <v>62.91264</v>
      </c>
      <c r="F486" s="23" t="n">
        <f aca="false">E486*(1+dag_28+dag_adj)</f>
        <v>69.203904</v>
      </c>
      <c r="G486" s="23" t="n">
        <f aca="false">F486*(1+dag_29+dag_adj)</f>
        <v>74.74021632</v>
      </c>
    </row>
    <row r="487" customFormat="false" ht="17.15" hidden="false" customHeight="false" outlineLevel="0" collapsed="false">
      <c r="A487" s="3" t="s">
        <v>544</v>
      </c>
      <c r="B487" s="0" t="s">
        <v>545</v>
      </c>
      <c r="D487" s="23" t="n">
        <f aca="false">(D482-a26_gp-D486-(1-m_new)*(D479+D481))/D472*1000</f>
        <v>27.9465727870208</v>
      </c>
      <c r="E487" s="23" t="n">
        <f aca="false">D487*(1+cc_g)</f>
        <v>28.5055042427612</v>
      </c>
      <c r="F487" s="23" t="n">
        <f aca="false">E487*(1+cc_g)</f>
        <v>29.0756143276165</v>
      </c>
      <c r="G487" s="23" t="n">
        <f aca="false">F487*(1+cc_g)</f>
        <v>29.6571266141688</v>
      </c>
      <c r="K487" s="7" t="s">
        <v>546</v>
      </c>
    </row>
    <row r="488" customFormat="false" ht="17.15" hidden="false" customHeight="false" outlineLevel="0" collapsed="false">
      <c r="A488" s="3" t="s">
        <v>547</v>
      </c>
      <c r="B488" s="0" t="s">
        <v>181</v>
      </c>
      <c r="D488" s="23" t="n">
        <f aca="false">D487*D472/1000</f>
        <v>127.2556948</v>
      </c>
      <c r="E488" s="23" t="n">
        <f aca="false">E487*E472/1000</f>
        <v>133.507545348006</v>
      </c>
      <c r="F488" s="23" t="n">
        <f aca="false">F487*F472/1000</f>
        <v>135.048417798217</v>
      </c>
      <c r="G488" s="23" t="n">
        <f aca="false">G487*G472/1000</f>
        <v>155.149308615763</v>
      </c>
    </row>
    <row r="489" customFormat="false" ht="17.15" hidden="false" customHeight="false" outlineLevel="0" collapsed="false">
      <c r="A489" s="3" t="s">
        <v>548</v>
      </c>
      <c r="B489" s="0" t="s">
        <v>181</v>
      </c>
      <c r="D489" s="23" t="n">
        <f aca="false">m_new*(D479+D481)</f>
        <v>4.266</v>
      </c>
      <c r="E489" s="23" t="n">
        <f aca="false">m_new*(E479+E481)</f>
        <v>5.184</v>
      </c>
      <c r="F489" s="23" t="n">
        <f aca="false">m_new*(F479+F481)</f>
        <v>4.51008</v>
      </c>
      <c r="G489" s="23" t="n">
        <f aca="false">m_new*(G479+G481)</f>
        <v>7.691616</v>
      </c>
    </row>
    <row r="490" customFormat="false" ht="15" hidden="false" customHeight="false" outlineLevel="0" collapsed="false">
      <c r="A490" s="3" t="s">
        <v>411</v>
      </c>
      <c r="B490" s="0" t="s">
        <v>181</v>
      </c>
      <c r="C490" s="23" t="n">
        <f aca="false">a25_gp</f>
        <v>68.906</v>
      </c>
      <c r="D490" s="23" t="n">
        <f aca="false">D476-D486-D488+D489</f>
        <v>91.0920852</v>
      </c>
      <c r="E490" s="23" t="n">
        <f aca="false">E476-E486-E488+E489</f>
        <v>90.2538889194871</v>
      </c>
      <c r="F490" s="23" t="n">
        <f aca="false">F476-F486-F488+F489</f>
        <v>62.664178556253</v>
      </c>
      <c r="G490" s="23" t="n">
        <f aca="false">G476-G486-G488+G489</f>
        <v>64.4880107336109</v>
      </c>
    </row>
    <row r="491" customFormat="false" ht="15" hidden="false" customHeight="false" outlineLevel="0" collapsed="false">
      <c r="A491" s="3" t="s">
        <v>413</v>
      </c>
      <c r="B491" s="0" t="s">
        <v>69</v>
      </c>
      <c r="C491" s="15" t="n">
        <f aca="false">C490/C482</f>
        <v>0.290065795843454</v>
      </c>
      <c r="D491" s="15" t="n">
        <f aca="false">D490/D482</f>
        <v>0.325638488136828</v>
      </c>
      <c r="E491" s="15" t="n">
        <f aca="false">E490/E482</f>
        <v>0.308023159767173</v>
      </c>
      <c r="F491" s="15" t="n">
        <f aca="false">F490/F482</f>
        <v>0.230020371834072</v>
      </c>
      <c r="G491" s="15" t="n">
        <f aca="false">G490/G482</f>
        <v>0.212286360069703</v>
      </c>
    </row>
    <row r="492" customFormat="false" ht="15" hidden="false" customHeight="false" outlineLevel="0" collapsed="false">
      <c r="A492" s="3" t="s">
        <v>415</v>
      </c>
      <c r="B492" s="0" t="s">
        <v>181</v>
      </c>
      <c r="C492" s="23" t="n">
        <f aca="false">a25_opx</f>
        <v>25.056</v>
      </c>
      <c r="D492" s="23" t="n">
        <f aca="false">a26_opx</f>
        <v>27.23586</v>
      </c>
      <c r="E492" s="23" t="n">
        <f aca="false">D492*(1+MAX(g_opx_min,phi*E484))</f>
        <v>28.0529358</v>
      </c>
      <c r="F492" s="23" t="n">
        <f aca="false">E492*(1+MAX(g_opx_min,phi*F484))</f>
        <v>28.894523874</v>
      </c>
      <c r="G492" s="23" t="n">
        <f aca="false">F492*(1+MAX(g_opx_min,phi*G484))</f>
        <v>30.5570336752312</v>
      </c>
    </row>
    <row r="493" customFormat="false" ht="15" hidden="false" customHeight="false" outlineLevel="0" collapsed="false">
      <c r="A493" s="3" t="s">
        <v>418</v>
      </c>
      <c r="B493" s="0" t="s">
        <v>181</v>
      </c>
      <c r="C493" s="23" t="n">
        <f aca="false">C490-C492</f>
        <v>43.85</v>
      </c>
      <c r="D493" s="23" t="n">
        <f aca="false">D490-D492</f>
        <v>63.8562252</v>
      </c>
      <c r="E493" s="23" t="n">
        <f aca="false">E490-E492</f>
        <v>62.2009531194871</v>
      </c>
      <c r="F493" s="23" t="n">
        <f aca="false">F490-F492</f>
        <v>33.769654682253</v>
      </c>
      <c r="G493" s="23" t="n">
        <f aca="false">G490-G492</f>
        <v>33.9309770583796</v>
      </c>
    </row>
    <row r="494" customFormat="false" ht="15" hidden="false" customHeight="false" outlineLevel="0" collapsed="false">
      <c r="A494" s="3" t="s">
        <v>515</v>
      </c>
      <c r="B494" s="0" t="s">
        <v>69</v>
      </c>
      <c r="C494" s="15" t="n">
        <f aca="false">C493/C482</f>
        <v>0.184590386145408</v>
      </c>
      <c r="D494" s="15" t="n">
        <f aca="false">D493/D482</f>
        <v>0.228274987740129</v>
      </c>
      <c r="E494" s="15" t="n">
        <f aca="false">E493/E482</f>
        <v>0.212282643438065</v>
      </c>
      <c r="F494" s="15" t="n">
        <f aca="false">F493/F482</f>
        <v>0.123957717242668</v>
      </c>
      <c r="G494" s="15" t="n">
        <f aca="false">G493/G482</f>
        <v>0.111696477087606</v>
      </c>
    </row>
    <row r="495" customFormat="false" ht="15" hidden="false" customHeight="false" outlineLevel="0" collapsed="false">
      <c r="A495" s="3" t="s">
        <v>421</v>
      </c>
      <c r="B495" s="0" t="s">
        <v>181</v>
      </c>
      <c r="C495" s="23" t="n">
        <f aca="false">a25_nonop</f>
        <v>5.805</v>
      </c>
      <c r="D495" s="23" t="n">
        <f aca="false">a26_nonop</f>
        <v>38.372</v>
      </c>
      <c r="E495" s="23" t="n">
        <f aca="false">nonop_f</f>
        <v>4</v>
      </c>
      <c r="F495" s="23" t="n">
        <f aca="false">nonop_f</f>
        <v>4</v>
      </c>
      <c r="G495" s="23" t="n">
        <f aca="false">nonop_f</f>
        <v>4</v>
      </c>
    </row>
    <row r="496" customFormat="false" ht="15" hidden="false" customHeight="false" outlineLevel="0" collapsed="false">
      <c r="A496" s="3" t="s">
        <v>423</v>
      </c>
      <c r="B496" s="0" t="s">
        <v>181</v>
      </c>
      <c r="C496" s="23" t="n">
        <f aca="false">C493+C495</f>
        <v>49.655</v>
      </c>
      <c r="D496" s="23" t="n">
        <f aca="false">D493+D495</f>
        <v>102.2282252</v>
      </c>
      <c r="E496" s="23" t="n">
        <f aca="false">E493+E495</f>
        <v>66.2009531194871</v>
      </c>
      <c r="F496" s="23" t="n">
        <f aca="false">F493+F495</f>
        <v>37.769654682253</v>
      </c>
      <c r="G496" s="23" t="n">
        <f aca="false">G493+G495</f>
        <v>37.9309770583796</v>
      </c>
    </row>
    <row r="497" customFormat="false" ht="15" hidden="false" customHeight="false" outlineLevel="0" collapsed="false">
      <c r="A497" s="3" t="s">
        <v>425</v>
      </c>
      <c r="B497" s="0" t="s">
        <v>181</v>
      </c>
      <c r="C497" s="23" t="n">
        <f aca="false">a25_tax</f>
        <v>7.939</v>
      </c>
      <c r="D497" s="23" t="n">
        <f aca="false">a26_tax</f>
        <v>10.493828284</v>
      </c>
      <c r="E497" s="23" t="n">
        <f aca="false">E496*tax</f>
        <v>9.93014296792306</v>
      </c>
      <c r="F497" s="23" t="n">
        <f aca="false">F496*tax</f>
        <v>5.66544820233794</v>
      </c>
      <c r="G497" s="23" t="n">
        <f aca="false">G496*tax</f>
        <v>5.68964655875695</v>
      </c>
    </row>
    <row r="498" customFormat="false" ht="17.15" hidden="false" customHeight="false" outlineLevel="0" collapsed="false">
      <c r="A498" s="3" t="s">
        <v>549</v>
      </c>
      <c r="B498" s="0" t="s">
        <v>181</v>
      </c>
      <c r="C498" s="23" t="n">
        <f aca="false">a25_mi</f>
        <v>0</v>
      </c>
      <c r="D498" s="23" t="n">
        <f aca="false">a26_mi</f>
        <v>-0.134999999999987</v>
      </c>
      <c r="E498" s="23" t="n">
        <f aca="false">0</f>
        <v>0</v>
      </c>
      <c r="F498" s="23" t="n">
        <f aca="false">0</f>
        <v>0</v>
      </c>
      <c r="G498" s="23" t="n">
        <f aca="false">0</f>
        <v>0</v>
      </c>
      <c r="K498" s="7" t="s">
        <v>550</v>
      </c>
    </row>
    <row r="499" customFormat="false" ht="15" hidden="false" customHeight="false" outlineLevel="0" collapsed="false">
      <c r="A499" s="3" t="s">
        <v>428</v>
      </c>
      <c r="B499" s="0" t="s">
        <v>181</v>
      </c>
      <c r="C499" s="23" t="n">
        <f aca="false">C496-C497-C498</f>
        <v>41.716</v>
      </c>
      <c r="D499" s="23" t="n">
        <f aca="false">D496-D497-D498</f>
        <v>91.869396916</v>
      </c>
      <c r="E499" s="23" t="n">
        <f aca="false">E496-E497-E498</f>
        <v>56.270810151564</v>
      </c>
      <c r="F499" s="23" t="n">
        <f aca="false">F496-F497-F498</f>
        <v>32.104206479915</v>
      </c>
      <c r="G499" s="23" t="n">
        <f aca="false">G496-G497-G498</f>
        <v>32.2413304996227</v>
      </c>
      <c r="H499" s="30" t="n">
        <f aca="false">H482*H503</f>
        <v>32.6010597891551</v>
      </c>
      <c r="I499" s="30" t="n">
        <f aca="false">I482*I503</f>
        <v>31.8372379331992</v>
      </c>
      <c r="J499" s="30" t="n">
        <f aca="false">J482*J503</f>
        <v>29.9759840232583</v>
      </c>
    </row>
    <row r="500" customFormat="false" ht="15" hidden="false" customHeight="false" outlineLevel="0" collapsed="false">
      <c r="A500" s="3" t="s">
        <v>551</v>
      </c>
      <c r="B500" s="3" t="s">
        <v>250</v>
      </c>
      <c r="C500" s="9" t="n">
        <f aca="false">a25_sh</f>
        <v>12.4898203592814</v>
      </c>
      <c r="D500" s="9" t="n">
        <f aca="false">a26_sh</f>
        <v>12.4754339027235</v>
      </c>
      <c r="E500" s="9" t="n">
        <f aca="false">q_sh*(1+sh_g)</f>
        <v>12.45</v>
      </c>
      <c r="F500" s="9" t="n">
        <f aca="false">E500*(1+sh_g)</f>
        <v>12.45</v>
      </c>
      <c r="G500" s="9" t="n">
        <f aca="false">F500*(1+sh_g)</f>
        <v>12.45</v>
      </c>
      <c r="H500" s="32" t="n">
        <f aca="false">G500*(1+sh_g)</f>
        <v>12.45</v>
      </c>
      <c r="I500" s="32" t="n">
        <f aca="false">H500*(1+sh_g)</f>
        <v>12.45</v>
      </c>
      <c r="J500" s="32" t="n">
        <f aca="false">I500*(1+sh_g)</f>
        <v>12.45</v>
      </c>
    </row>
    <row r="501" customFormat="false" ht="17.15" hidden="false" customHeight="false" outlineLevel="0" collapsed="false">
      <c r="A501" s="0" t="s">
        <v>434</v>
      </c>
      <c r="B501" s="0" t="s">
        <v>260</v>
      </c>
      <c r="C501" s="23" t="n">
        <f aca="false">C499/C500</f>
        <v>3.34</v>
      </c>
      <c r="D501" s="23" t="n">
        <f aca="false">D499/D500</f>
        <v>7.36402418002826</v>
      </c>
      <c r="E501" s="23" t="n">
        <f aca="false">E499/E500</f>
        <v>4.51974378727422</v>
      </c>
      <c r="F501" s="23" t="n">
        <f aca="false">F499/F500</f>
        <v>2.57865112288474</v>
      </c>
      <c r="G501" s="23" t="n">
        <f aca="false">G499/G500</f>
        <v>2.5896651003713</v>
      </c>
      <c r="H501" s="30" t="n">
        <f aca="false">H499/H500</f>
        <v>2.61855901920924</v>
      </c>
      <c r="I501" s="30" t="n">
        <f aca="false">I499/I500</f>
        <v>2.55720786612041</v>
      </c>
      <c r="J501" s="30" t="n">
        <f aca="false">J499/J500</f>
        <v>2.40770956010107</v>
      </c>
    </row>
    <row r="502" customFormat="false" ht="17.15" hidden="false" customHeight="false" outlineLevel="0" collapsed="false">
      <c r="A502" s="0" t="s">
        <v>552</v>
      </c>
      <c r="B502" s="0" t="s">
        <v>69</v>
      </c>
      <c r="D502" s="21" t="n">
        <f aca="false">D501/C501-1</f>
        <v>1.2047976586911</v>
      </c>
      <c r="E502" s="21" t="n">
        <f aca="false">E501/D501-1</f>
        <v>-0.386239958373294</v>
      </c>
      <c r="F502" s="21" t="n">
        <f aca="false">F501/E501-1</f>
        <v>-0.429469623887711</v>
      </c>
      <c r="G502" s="21" t="n">
        <f aca="false">G501/F501-1</f>
        <v>0.00427121660189522</v>
      </c>
      <c r="H502" s="28" t="n">
        <f aca="false">H501/G501-1</f>
        <v>0.011157395924978</v>
      </c>
      <c r="I502" s="28" t="n">
        <f aca="false">I501/H501-1</f>
        <v>-0.0234293566189521</v>
      </c>
      <c r="J502" s="28" t="n">
        <f aca="false">J501/I501-1</f>
        <v>-0.0584615384615383</v>
      </c>
    </row>
    <row r="503" customFormat="false" ht="17.15" hidden="false" customHeight="false" outlineLevel="0" collapsed="false">
      <c r="A503" s="3" t="s">
        <v>553</v>
      </c>
      <c r="B503" s="0" t="s">
        <v>69</v>
      </c>
      <c r="C503" s="15" t="n">
        <f aca="false">C499/C482</f>
        <v>0.175607127672562</v>
      </c>
      <c r="D503" s="15" t="n">
        <f aca="false">D499/D482</f>
        <v>0.328417243409073</v>
      </c>
      <c r="E503" s="15" t="n">
        <f aca="false">E499/E482</f>
        <v>0.192043943513675</v>
      </c>
      <c r="F503" s="15" t="n">
        <f aca="false">F499/F482</f>
        <v>0.117844383858296</v>
      </c>
      <c r="G503" s="15" t="n">
        <f aca="false">G499/G482</f>
        <v>0.106134374711018</v>
      </c>
      <c r="H503" s="29" t="n">
        <f aca="false">$G503+($G$503*0.8-$G503)*1/3</f>
        <v>0.0990587497302835</v>
      </c>
      <c r="I503" s="29" t="n">
        <f aca="false">$G503+($G$503*0.8-$G503)*2/3</f>
        <v>0.091983124749549</v>
      </c>
      <c r="J503" s="29" t="n">
        <f aca="false">$G503+($G$503*0.8-$G503)*3/3</f>
        <v>0.0849074997688145</v>
      </c>
    </row>
    <row r="506" customFormat="false" ht="17.15" hidden="false" customHeight="false" outlineLevel="0" collapsed="false">
      <c r="A506" s="1" t="s">
        <v>849</v>
      </c>
    </row>
    <row r="507" customFormat="false" ht="17.15" hidden="false" customHeight="false" outlineLevel="0" collapsed="false">
      <c r="A507" s="4" t="s">
        <v>24</v>
      </c>
      <c r="B507" s="4" t="s">
        <v>25</v>
      </c>
      <c r="C507" s="16" t="s">
        <v>387</v>
      </c>
      <c r="D507" s="16" t="s">
        <v>505</v>
      </c>
      <c r="E507" s="16" t="s">
        <v>467</v>
      </c>
      <c r="F507" s="16" t="s">
        <v>468</v>
      </c>
      <c r="G507" s="16" t="s">
        <v>469</v>
      </c>
      <c r="H507" s="16" t="s">
        <v>506</v>
      </c>
      <c r="I507" s="16" t="s">
        <v>507</v>
      </c>
      <c r="J507" s="16" t="s">
        <v>508</v>
      </c>
      <c r="K507" s="4" t="s">
        <v>345</v>
      </c>
    </row>
    <row r="508" customFormat="false" ht="17.15" hidden="false" customHeight="false" outlineLevel="0" collapsed="false">
      <c r="A508" s="5" t="s">
        <v>526</v>
      </c>
    </row>
    <row r="509" customFormat="false" ht="17.15" hidden="false" customHeight="false" outlineLevel="0" collapsed="false">
      <c r="A509" s="3" t="s">
        <v>527</v>
      </c>
      <c r="B509" s="3" t="s">
        <v>64</v>
      </c>
      <c r="D509" s="22" t="n">
        <f aca="false">cap_26</f>
        <v>5230.46851955216</v>
      </c>
      <c r="E509" s="22" t="n">
        <f aca="false">D509*(1+capg27)*cap_adj</f>
        <v>5439.68726033425</v>
      </c>
      <c r="F509" s="22" t="n">
        <f aca="false">E509*(1+capg28)</f>
        <v>5820.46536855765</v>
      </c>
      <c r="G509" s="22" t="n">
        <f aca="false">F509*(1+capg29)</f>
        <v>6227.89794435668</v>
      </c>
    </row>
    <row r="510" customFormat="false" ht="15" hidden="false" customHeight="false" outlineLevel="0" collapsed="false">
      <c r="A510" s="3" t="s">
        <v>528</v>
      </c>
      <c r="B510" s="0" t="s">
        <v>69</v>
      </c>
      <c r="D510" s="21" t="n">
        <f aca="false">a26_ship/cap_26</f>
        <v>0.870578781414787</v>
      </c>
      <c r="E510" s="21" t="n">
        <f aca="false">MIN(0.98,ut27_A+ut_adj_lo)</f>
        <v>0.92</v>
      </c>
      <c r="F510" s="21" t="n">
        <f aca="false">MIN(0.98,ut28_A+ut_adj_lo)</f>
        <v>0.91</v>
      </c>
      <c r="G510" s="21" t="n">
        <f aca="false">MIN(0.98,ut29_A+ut_adj_lo)</f>
        <v>0.9</v>
      </c>
    </row>
    <row r="511" customFormat="false" ht="17.15" hidden="false" customHeight="false" outlineLevel="0" collapsed="false">
      <c r="A511" s="3" t="s">
        <v>529</v>
      </c>
      <c r="B511" s="3" t="s">
        <v>64</v>
      </c>
      <c r="D511" s="22" t="n">
        <f aca="false">D509*D510</f>
        <v>4553.53490998013</v>
      </c>
      <c r="E511" s="22" t="n">
        <f aca="false">E509*E510</f>
        <v>5004.51227950751</v>
      </c>
      <c r="F511" s="22" t="n">
        <f aca="false">F509*F510</f>
        <v>5296.62348538746</v>
      </c>
      <c r="G511" s="22" t="n">
        <f aca="false">G509*G510</f>
        <v>5605.10814992102</v>
      </c>
    </row>
    <row r="512" customFormat="false" ht="17.15" hidden="false" customHeight="false" outlineLevel="0" collapsed="false">
      <c r="A512" s="3" t="s">
        <v>530</v>
      </c>
      <c r="B512" s="0" t="s">
        <v>109</v>
      </c>
      <c r="D512" s="22" t="n">
        <f aca="false">asp_26</f>
        <v>1878.17486396824</v>
      </c>
      <c r="E512" s="22" t="n">
        <f aca="false">D512*(1+asp27_A)*(1+asp_adj)</f>
        <v>2065.99235036507</v>
      </c>
      <c r="F512" s="22" t="n">
        <f aca="false">E512*(1+asp28_A)</f>
        <v>2127.97212087602</v>
      </c>
      <c r="G512" s="22" t="n">
        <f aca="false">F512*(1+asp29_A)</f>
        <v>2170.53156329354</v>
      </c>
    </row>
    <row r="513" customFormat="false" ht="15" hidden="false" customHeight="false" outlineLevel="0" collapsed="false">
      <c r="A513" s="3" t="s">
        <v>531</v>
      </c>
      <c r="B513" s="0" t="s">
        <v>69</v>
      </c>
      <c r="E513" s="21" t="n">
        <f aca="false">E512/D512-1</f>
        <v>0.1</v>
      </c>
      <c r="F513" s="21" t="n">
        <f aca="false">F512/E512-1</f>
        <v>0.03</v>
      </c>
      <c r="G513" s="21" t="n">
        <f aca="false">G512/F512-1</f>
        <v>0.02</v>
      </c>
    </row>
    <row r="514" customFormat="false" ht="15" hidden="false" customHeight="false" outlineLevel="0" collapsed="false">
      <c r="A514" s="3" t="s">
        <v>532</v>
      </c>
      <c r="B514" s="0" t="s">
        <v>35</v>
      </c>
      <c r="D514" s="23" t="n">
        <f aca="false">fx_26</f>
        <v>31.6</v>
      </c>
      <c r="E514" s="23" t="n">
        <f aca="false">fx</f>
        <v>32</v>
      </c>
      <c r="F514" s="23" t="n">
        <f aca="false">fx</f>
        <v>32</v>
      </c>
      <c r="G514" s="23" t="n">
        <f aca="false">fx</f>
        <v>32</v>
      </c>
    </row>
    <row r="515" customFormat="false" ht="17.15" hidden="false" customHeight="false" outlineLevel="0" collapsed="false">
      <c r="A515" s="3" t="s">
        <v>533</v>
      </c>
      <c r="B515" s="0" t="s">
        <v>181</v>
      </c>
      <c r="D515" s="23" t="n">
        <f aca="false">D511*D512*D514/1000000</f>
        <v>270.25378</v>
      </c>
      <c r="E515" s="23" t="n">
        <f aca="false">E511*E512*E514/1000000</f>
        <v>330.857090776658</v>
      </c>
      <c r="F515" s="23" t="n">
        <f aca="false">F511*F512*F514/1000000</f>
        <v>360.674147573814</v>
      </c>
      <c r="G515" s="23" t="n">
        <f aca="false">G511*G512*G514/1000000</f>
        <v>389.314052962478</v>
      </c>
    </row>
    <row r="516" customFormat="false" ht="17.15" hidden="false" customHeight="false" outlineLevel="0" collapsed="false">
      <c r="A516" s="5" t="s">
        <v>534</v>
      </c>
    </row>
    <row r="517" customFormat="false" ht="17.15" hidden="false" customHeight="false" outlineLevel="0" collapsed="false">
      <c r="A517" s="0" t="s">
        <v>535</v>
      </c>
      <c r="B517" s="0" t="s">
        <v>138</v>
      </c>
      <c r="D517" s="25" t="n">
        <f aca="false">ai_26</f>
        <v>0.3</v>
      </c>
      <c r="E517" s="25" t="n">
        <f aca="false">D517*(1+aig27_A)*ai_adj</f>
        <v>0.48</v>
      </c>
      <c r="F517" s="25" t="n">
        <f aca="false">E517*(1+aig_L)*um28_A</f>
        <v>0.696</v>
      </c>
      <c r="G517" s="25" t="n">
        <f aca="false">F517/um28_A*(1+aig_L)*um29_A</f>
        <v>1.0092</v>
      </c>
    </row>
    <row r="518" customFormat="false" ht="17.15" hidden="false" customHeight="false" outlineLevel="0" collapsed="false">
      <c r="A518" s="0" t="s">
        <v>536</v>
      </c>
      <c r="B518" s="0" t="s">
        <v>181</v>
      </c>
      <c r="D518" s="23" t="n">
        <f aca="false">D517*D514</f>
        <v>9.48</v>
      </c>
      <c r="E518" s="23" t="n">
        <f aca="false">E517*E514</f>
        <v>15.36</v>
      </c>
      <c r="F518" s="23" t="n">
        <f aca="false">F517*F514</f>
        <v>22.272</v>
      </c>
      <c r="G518" s="23" t="n">
        <f aca="false">G517*G514</f>
        <v>32.2944</v>
      </c>
    </row>
    <row r="519" customFormat="false" ht="17.15" hidden="false" customHeight="false" outlineLevel="0" collapsed="false">
      <c r="A519" s="0" t="s">
        <v>537</v>
      </c>
      <c r="B519" s="0" t="s">
        <v>138</v>
      </c>
      <c r="D519" s="25" t="n">
        <f aca="false">0</f>
        <v>0</v>
      </c>
      <c r="E519" s="25" t="n">
        <f aca="false">int_27</f>
        <v>0</v>
      </c>
      <c r="F519" s="25" t="n">
        <f aca="false">int28_A</f>
        <v>0.25</v>
      </c>
      <c r="G519" s="25" t="n">
        <f aca="false">int29_A</f>
        <v>0.5</v>
      </c>
    </row>
    <row r="520" customFormat="false" ht="17.15" hidden="false" customHeight="false" outlineLevel="0" collapsed="false">
      <c r="A520" s="0" t="s">
        <v>538</v>
      </c>
      <c r="B520" s="0" t="s">
        <v>181</v>
      </c>
      <c r="D520" s="23" t="n">
        <f aca="false">D519*D514</f>
        <v>0</v>
      </c>
      <c r="E520" s="23" t="n">
        <f aca="false">E519*E514</f>
        <v>0</v>
      </c>
      <c r="F520" s="23" t="n">
        <f aca="false">F519*F514</f>
        <v>8</v>
      </c>
      <c r="G520" s="23" t="n">
        <f aca="false">G519*G514</f>
        <v>16</v>
      </c>
    </row>
    <row r="521" customFormat="false" ht="17.15" hidden="false" customHeight="false" outlineLevel="0" collapsed="false">
      <c r="A521" s="3" t="s">
        <v>393</v>
      </c>
      <c r="B521" s="0" t="s">
        <v>181</v>
      </c>
      <c r="C521" s="23" t="n">
        <f aca="false">a25_rev</f>
        <v>237.553</v>
      </c>
      <c r="D521" s="23" t="n">
        <f aca="false">D515+D518+D520</f>
        <v>279.73378</v>
      </c>
      <c r="E521" s="23" t="n">
        <f aca="false">E515+E518+E520</f>
        <v>346.217090776658</v>
      </c>
      <c r="F521" s="23" t="n">
        <f aca="false">F515+F518+F520</f>
        <v>390.946147573814</v>
      </c>
      <c r="G521" s="23" t="n">
        <f aca="false">G515+G518+G520</f>
        <v>437.608452962478</v>
      </c>
      <c r="H521" s="30" t="n">
        <f aca="false">G521*(1+H523)</f>
        <v>481.181819091997</v>
      </c>
      <c r="I521" s="30" t="n">
        <f aca="false">H521*(1+I523)</f>
        <v>519.573291237344</v>
      </c>
      <c r="J521" s="30" t="n">
        <f aca="false">I521*(1+J523)</f>
        <v>550.747688711585</v>
      </c>
      <c r="K521" s="7" t="s">
        <v>539</v>
      </c>
    </row>
    <row r="522" customFormat="false" ht="17.15" hidden="false" customHeight="false" outlineLevel="0" collapsed="false">
      <c r="A522" s="0" t="s">
        <v>540</v>
      </c>
      <c r="B522" s="0" t="s">
        <v>69</v>
      </c>
      <c r="D522" s="21" t="n">
        <f aca="false">D518/D521</f>
        <v>0.0338893643806622</v>
      </c>
      <c r="E522" s="21" t="n">
        <f aca="false">E518/E521</f>
        <v>0.0443652275095472</v>
      </c>
      <c r="F522" s="21" t="n">
        <f aca="false">F518/F521</f>
        <v>0.0569694832350147</v>
      </c>
      <c r="G522" s="21" t="n">
        <f aca="false">G518/G521</f>
        <v>0.0737974775884163</v>
      </c>
    </row>
    <row r="523" customFormat="false" ht="15" hidden="false" customHeight="false" outlineLevel="0" collapsed="false">
      <c r="A523" s="3" t="s">
        <v>541</v>
      </c>
      <c r="B523" s="0" t="s">
        <v>69</v>
      </c>
      <c r="D523" s="21" t="n">
        <f aca="false">D521/C521-1</f>
        <v>0.177563659478096</v>
      </c>
      <c r="E523" s="21" t="n">
        <f aca="false">E521/D521-1</f>
        <v>0.237666365415926</v>
      </c>
      <c r="F523" s="21" t="n">
        <f aca="false">F521/E521-1</f>
        <v>0.129193670644094</v>
      </c>
      <c r="G523" s="21" t="n">
        <f aca="false">G521/F521-1</f>
        <v>0.119357373587761</v>
      </c>
      <c r="H523" s="28" t="n">
        <f aca="false">$G523+(fade_gA-$G523)*1/3</f>
        <v>0.0995715823918406</v>
      </c>
      <c r="I523" s="28" t="n">
        <f aca="false">$G523+(fade_gA-$G523)*2/3</f>
        <v>0.0797857911959203</v>
      </c>
      <c r="J523" s="28" t="n">
        <f aca="false">$G523+(fade_gA-$G523)*3/3</f>
        <v>0.06</v>
      </c>
    </row>
    <row r="524" customFormat="false" ht="17.15" hidden="false" customHeight="false" outlineLevel="0" collapsed="false">
      <c r="A524" s="5" t="s">
        <v>542</v>
      </c>
    </row>
    <row r="525" customFormat="false" ht="15" hidden="false" customHeight="false" outlineLevel="0" collapsed="false">
      <c r="A525" s="3" t="s">
        <v>543</v>
      </c>
      <c r="B525" s="0" t="s">
        <v>181</v>
      </c>
      <c r="D525" s="23" t="n">
        <f aca="false">da_tot26*da_sh</f>
        <v>56.172</v>
      </c>
      <c r="E525" s="23" t="n">
        <f aca="false">D525*(1+dag_27+dag_adj)</f>
        <v>62.91264</v>
      </c>
      <c r="F525" s="23" t="n">
        <f aca="false">E525*(1+dag_28+dag_adj)</f>
        <v>69.203904</v>
      </c>
      <c r="G525" s="23" t="n">
        <f aca="false">F525*(1+dag_29+dag_adj)</f>
        <v>74.74021632</v>
      </c>
    </row>
    <row r="526" customFormat="false" ht="17.15" hidden="false" customHeight="false" outlineLevel="0" collapsed="false">
      <c r="A526" s="3" t="s">
        <v>544</v>
      </c>
      <c r="B526" s="0" t="s">
        <v>545</v>
      </c>
      <c r="D526" s="23" t="n">
        <f aca="false">(D521-a26_gp-D525-(1-m_new)*(D518+D520))/D511*1000</f>
        <v>27.9465727870208</v>
      </c>
      <c r="E526" s="23" t="n">
        <f aca="false">D526*(1+cc_g)</f>
        <v>28.5055042427612</v>
      </c>
      <c r="F526" s="23" t="n">
        <f aca="false">E526*(1+cc_g)</f>
        <v>29.0756143276165</v>
      </c>
      <c r="G526" s="23" t="n">
        <f aca="false">F526*(1+cc_g)</f>
        <v>29.6571266141688</v>
      </c>
      <c r="K526" s="7" t="s">
        <v>546</v>
      </c>
    </row>
    <row r="527" customFormat="false" ht="17.15" hidden="false" customHeight="false" outlineLevel="0" collapsed="false">
      <c r="A527" s="3" t="s">
        <v>547</v>
      </c>
      <c r="B527" s="0" t="s">
        <v>181</v>
      </c>
      <c r="D527" s="23" t="n">
        <f aca="false">D526*D511/1000</f>
        <v>127.2556948</v>
      </c>
      <c r="E527" s="23" t="n">
        <f aca="false">E526*E511/1000</f>
        <v>142.656146016452</v>
      </c>
      <c r="F527" s="23" t="n">
        <f aca="false">F526*F511/1000</f>
        <v>154.002581699722</v>
      </c>
      <c r="G527" s="23" t="n">
        <f aca="false">G526*G511/1000</f>
        <v>166.231402088317</v>
      </c>
    </row>
    <row r="528" customFormat="false" ht="17.15" hidden="false" customHeight="false" outlineLevel="0" collapsed="false">
      <c r="A528" s="3" t="s">
        <v>548</v>
      </c>
      <c r="B528" s="0" t="s">
        <v>181</v>
      </c>
      <c r="D528" s="23" t="n">
        <f aca="false">m_new*(D518+D520)</f>
        <v>4.266</v>
      </c>
      <c r="E528" s="23" t="n">
        <f aca="false">m_new*(E518+E520)</f>
        <v>6.912</v>
      </c>
      <c r="F528" s="23" t="n">
        <f aca="false">m_new*(F518+F520)</f>
        <v>13.6224</v>
      </c>
      <c r="G528" s="23" t="n">
        <f aca="false">m_new*(G518+G520)</f>
        <v>21.73248</v>
      </c>
    </row>
    <row r="529" customFormat="false" ht="15" hidden="false" customHeight="false" outlineLevel="0" collapsed="false">
      <c r="A529" s="3" t="s">
        <v>411</v>
      </c>
      <c r="B529" s="0" t="s">
        <v>181</v>
      </c>
      <c r="C529" s="23" t="n">
        <f aca="false">a25_gp</f>
        <v>68.906</v>
      </c>
      <c r="D529" s="23" t="n">
        <f aca="false">D515-D525-D527+D528</f>
        <v>91.0920852</v>
      </c>
      <c r="E529" s="23" t="n">
        <f aca="false">E515-E525-E527+E528</f>
        <v>132.200304760206</v>
      </c>
      <c r="F529" s="23" t="n">
        <f aca="false">F515-F525-F527+F528</f>
        <v>151.090061874093</v>
      </c>
      <c r="G529" s="23" t="n">
        <f aca="false">G515-G525-G527+G528</f>
        <v>170.074914554161</v>
      </c>
    </row>
    <row r="530" customFormat="false" ht="15" hidden="false" customHeight="false" outlineLevel="0" collapsed="false">
      <c r="A530" s="3" t="s">
        <v>413</v>
      </c>
      <c r="B530" s="0" t="s">
        <v>69</v>
      </c>
      <c r="C530" s="15" t="n">
        <f aca="false">C529/C521</f>
        <v>0.290065795843454</v>
      </c>
      <c r="D530" s="15" t="n">
        <f aca="false">D529/D521</f>
        <v>0.325638488136828</v>
      </c>
      <c r="E530" s="15" t="n">
        <f aca="false">E529/E521</f>
        <v>0.381842226400913</v>
      </c>
      <c r="F530" s="15" t="n">
        <f aca="false">F529/F521</f>
        <v>0.386472824484261</v>
      </c>
      <c r="G530" s="15" t="n">
        <f aca="false">G529/G521</f>
        <v>0.388646319335938</v>
      </c>
    </row>
    <row r="531" customFormat="false" ht="15" hidden="false" customHeight="false" outlineLevel="0" collapsed="false">
      <c r="A531" s="3" t="s">
        <v>415</v>
      </c>
      <c r="B531" s="0" t="s">
        <v>181</v>
      </c>
      <c r="C531" s="23" t="n">
        <f aca="false">a25_opx</f>
        <v>25.056</v>
      </c>
      <c r="D531" s="23" t="n">
        <f aca="false">a26_opx</f>
        <v>27.23586</v>
      </c>
      <c r="E531" s="23" t="n">
        <f aca="false">D531*(1+MAX(g_opx_min,phi*E523))</f>
        <v>30.4723839275885</v>
      </c>
      <c r="F531" s="23" t="n">
        <f aca="false">E531*(1+MAX(g_opx_min,phi*F523))</f>
        <v>32.4408034940291</v>
      </c>
      <c r="G531" s="23" t="n">
        <f aca="false">F531*(1+MAX(g_opx_min,phi*G523))</f>
        <v>34.3768280450911</v>
      </c>
    </row>
    <row r="532" customFormat="false" ht="15" hidden="false" customHeight="false" outlineLevel="0" collapsed="false">
      <c r="A532" s="3" t="s">
        <v>418</v>
      </c>
      <c r="B532" s="0" t="s">
        <v>181</v>
      </c>
      <c r="C532" s="23" t="n">
        <f aca="false">C529-C531</f>
        <v>43.85</v>
      </c>
      <c r="D532" s="23" t="n">
        <f aca="false">D529-D531</f>
        <v>63.8562252</v>
      </c>
      <c r="E532" s="23" t="n">
        <f aca="false">E529-E531</f>
        <v>101.727920832618</v>
      </c>
      <c r="F532" s="23" t="n">
        <f aca="false">F529-F531</f>
        <v>118.649258380064</v>
      </c>
      <c r="G532" s="23" t="n">
        <f aca="false">G529-G531</f>
        <v>135.69808650907</v>
      </c>
    </row>
    <row r="533" customFormat="false" ht="15" hidden="false" customHeight="false" outlineLevel="0" collapsed="false">
      <c r="A533" s="3" t="s">
        <v>515</v>
      </c>
      <c r="B533" s="0" t="s">
        <v>69</v>
      </c>
      <c r="C533" s="15" t="n">
        <f aca="false">C532/C521</f>
        <v>0.184590386145408</v>
      </c>
      <c r="D533" s="15" t="n">
        <f aca="false">D532/D521</f>
        <v>0.228274987740129</v>
      </c>
      <c r="E533" s="15" t="n">
        <f aca="false">E532/E521</f>
        <v>0.293826976029446</v>
      </c>
      <c r="F533" s="15" t="n">
        <f aca="false">F532/F521</f>
        <v>0.3034925887271</v>
      </c>
      <c r="G533" s="15" t="n">
        <f aca="false">G532/G521</f>
        <v>0.310090185850923</v>
      </c>
    </row>
    <row r="534" customFormat="false" ht="15" hidden="false" customHeight="false" outlineLevel="0" collapsed="false">
      <c r="A534" s="3" t="s">
        <v>421</v>
      </c>
      <c r="B534" s="0" t="s">
        <v>181</v>
      </c>
      <c r="C534" s="23" t="n">
        <f aca="false">a25_nonop</f>
        <v>5.805</v>
      </c>
      <c r="D534" s="23" t="n">
        <f aca="false">a26_nonop</f>
        <v>38.372</v>
      </c>
      <c r="E534" s="23" t="n">
        <f aca="false">nonop_f</f>
        <v>4</v>
      </c>
      <c r="F534" s="23" t="n">
        <f aca="false">nonop_f</f>
        <v>4</v>
      </c>
      <c r="G534" s="23" t="n">
        <f aca="false">nonop_f</f>
        <v>4</v>
      </c>
    </row>
    <row r="535" customFormat="false" ht="15" hidden="false" customHeight="false" outlineLevel="0" collapsed="false">
      <c r="A535" s="3" t="s">
        <v>423</v>
      </c>
      <c r="B535" s="0" t="s">
        <v>181</v>
      </c>
      <c r="C535" s="23" t="n">
        <f aca="false">C532+C534</f>
        <v>49.655</v>
      </c>
      <c r="D535" s="23" t="n">
        <f aca="false">D532+D534</f>
        <v>102.2282252</v>
      </c>
      <c r="E535" s="23" t="n">
        <f aca="false">E532+E534</f>
        <v>105.727920832618</v>
      </c>
      <c r="F535" s="23" t="n">
        <f aca="false">F532+F534</f>
        <v>122.649258380064</v>
      </c>
      <c r="G535" s="23" t="n">
        <f aca="false">G532+G534</f>
        <v>139.69808650907</v>
      </c>
    </row>
    <row r="536" customFormat="false" ht="15" hidden="false" customHeight="false" outlineLevel="0" collapsed="false">
      <c r="A536" s="3" t="s">
        <v>425</v>
      </c>
      <c r="B536" s="0" t="s">
        <v>181</v>
      </c>
      <c r="C536" s="23" t="n">
        <f aca="false">a25_tax</f>
        <v>7.939</v>
      </c>
      <c r="D536" s="23" t="n">
        <f aca="false">a26_tax</f>
        <v>10.493828284</v>
      </c>
      <c r="E536" s="23" t="n">
        <f aca="false">E535*tax</f>
        <v>15.8591881248926</v>
      </c>
      <c r="F536" s="23" t="n">
        <f aca="false">F535*tax</f>
        <v>18.3973887570095</v>
      </c>
      <c r="G536" s="23" t="n">
        <f aca="false">G535*tax</f>
        <v>20.9547129763605</v>
      </c>
    </row>
    <row r="537" customFormat="false" ht="17.15" hidden="false" customHeight="false" outlineLevel="0" collapsed="false">
      <c r="A537" s="3" t="s">
        <v>549</v>
      </c>
      <c r="B537" s="0" t="s">
        <v>181</v>
      </c>
      <c r="C537" s="23" t="n">
        <f aca="false">a25_mi</f>
        <v>0</v>
      </c>
      <c r="D537" s="23" t="n">
        <f aca="false">a26_mi</f>
        <v>-0.134999999999987</v>
      </c>
      <c r="E537" s="23" t="n">
        <f aca="false">0</f>
        <v>0</v>
      </c>
      <c r="F537" s="23" t="n">
        <f aca="false">0</f>
        <v>0</v>
      </c>
      <c r="G537" s="23" t="n">
        <f aca="false">0</f>
        <v>0</v>
      </c>
      <c r="K537" s="7" t="s">
        <v>550</v>
      </c>
    </row>
    <row r="538" customFormat="false" ht="15" hidden="false" customHeight="false" outlineLevel="0" collapsed="false">
      <c r="A538" s="3" t="s">
        <v>428</v>
      </c>
      <c r="B538" s="0" t="s">
        <v>181</v>
      </c>
      <c r="C538" s="23" t="n">
        <f aca="false">C535-C536-C537</f>
        <v>41.716</v>
      </c>
      <c r="D538" s="23" t="n">
        <f aca="false">D535-D536-D537</f>
        <v>91.869396916</v>
      </c>
      <c r="E538" s="23" t="n">
        <f aca="false">E535-E536-E537</f>
        <v>89.868732707725</v>
      </c>
      <c r="F538" s="23" t="n">
        <f aca="false">F535-F536-F537</f>
        <v>104.251869623054</v>
      </c>
      <c r="G538" s="23" t="n">
        <f aca="false">G535-G536-G537</f>
        <v>118.743373532709</v>
      </c>
      <c r="H538" s="30" t="n">
        <f aca="false">H521*H542</f>
        <v>130.566839133907</v>
      </c>
      <c r="I538" s="30" t="n">
        <f aca="false">I521*I542</f>
        <v>140.984217698156</v>
      </c>
      <c r="J538" s="30" t="n">
        <f aca="false">J521*J542</f>
        <v>149.443270760045</v>
      </c>
    </row>
    <row r="539" customFormat="false" ht="15" hidden="false" customHeight="false" outlineLevel="0" collapsed="false">
      <c r="A539" s="3" t="s">
        <v>551</v>
      </c>
      <c r="B539" s="3" t="s">
        <v>250</v>
      </c>
      <c r="C539" s="9" t="n">
        <f aca="false">a25_sh</f>
        <v>12.4898203592814</v>
      </c>
      <c r="D539" s="9" t="n">
        <f aca="false">a26_sh</f>
        <v>12.4754339027235</v>
      </c>
      <c r="E539" s="9" t="n">
        <f aca="false">q_sh*(1+sh_g)</f>
        <v>12.45</v>
      </c>
      <c r="F539" s="9" t="n">
        <f aca="false">E539*(1+sh_g)</f>
        <v>12.45</v>
      </c>
      <c r="G539" s="9" t="n">
        <f aca="false">F539*(1+sh_g)</f>
        <v>12.45</v>
      </c>
      <c r="H539" s="32" t="n">
        <f aca="false">G539*(1+sh_g)</f>
        <v>12.45</v>
      </c>
      <c r="I539" s="32" t="n">
        <f aca="false">H539*(1+sh_g)</f>
        <v>12.45</v>
      </c>
      <c r="J539" s="32" t="n">
        <f aca="false">I539*(1+sh_g)</f>
        <v>12.45</v>
      </c>
    </row>
    <row r="540" customFormat="false" ht="17.15" hidden="false" customHeight="false" outlineLevel="0" collapsed="false">
      <c r="A540" s="0" t="s">
        <v>434</v>
      </c>
      <c r="B540" s="0" t="s">
        <v>260</v>
      </c>
      <c r="C540" s="23" t="n">
        <f aca="false">C538/C539</f>
        <v>3.34</v>
      </c>
      <c r="D540" s="23" t="n">
        <f aca="false">D538/D539</f>
        <v>7.36402418002826</v>
      </c>
      <c r="E540" s="23" t="n">
        <f aca="false">E538/E539</f>
        <v>7.21837210503815</v>
      </c>
      <c r="F540" s="23" t="n">
        <f aca="false">F538/F539</f>
        <v>8.37364414643004</v>
      </c>
      <c r="G540" s="23" t="n">
        <f aca="false">G538/G539</f>
        <v>9.53762036407303</v>
      </c>
      <c r="H540" s="30" t="n">
        <f aca="false">H538/H539</f>
        <v>10.4872963159764</v>
      </c>
      <c r="I540" s="30" t="n">
        <f aca="false">I538/I539</f>
        <v>11.3240335500527</v>
      </c>
      <c r="J540" s="30" t="n">
        <f aca="false">J538/J539</f>
        <v>12.0034755630558</v>
      </c>
    </row>
    <row r="541" customFormat="false" ht="17.15" hidden="false" customHeight="false" outlineLevel="0" collapsed="false">
      <c r="A541" s="0" t="s">
        <v>552</v>
      </c>
      <c r="B541" s="0" t="s">
        <v>69</v>
      </c>
      <c r="D541" s="21" t="n">
        <f aca="false">D540/C540-1</f>
        <v>1.2047976586911</v>
      </c>
      <c r="E541" s="21" t="n">
        <f aca="false">E540/D540-1</f>
        <v>-0.0197788697360785</v>
      </c>
      <c r="F541" s="21" t="n">
        <f aca="false">F540/E540-1</f>
        <v>0.160046063652711</v>
      </c>
      <c r="G541" s="21" t="n">
        <f aca="false">G540/F540-1</f>
        <v>0.139004738831567</v>
      </c>
      <c r="H541" s="28" t="n">
        <f aca="false">H540/G540-1</f>
        <v>0.0995715823918408</v>
      </c>
      <c r="I541" s="28" t="n">
        <f aca="false">I540/H540-1</f>
        <v>0.0797857911959203</v>
      </c>
      <c r="J541" s="28" t="n">
        <f aca="false">J540/I540-1</f>
        <v>0.0599999999999998</v>
      </c>
    </row>
    <row r="542" customFormat="false" ht="17.15" hidden="false" customHeight="false" outlineLevel="0" collapsed="false">
      <c r="A542" s="3" t="s">
        <v>553</v>
      </c>
      <c r="B542" s="0" t="s">
        <v>69</v>
      </c>
      <c r="C542" s="15" t="n">
        <f aca="false">C538/C521</f>
        <v>0.175607127672562</v>
      </c>
      <c r="D542" s="15" t="n">
        <f aca="false">D538/D521</f>
        <v>0.328417243409073</v>
      </c>
      <c r="E542" s="15" t="n">
        <f aca="false">E538/E521</f>
        <v>0.259573357589382</v>
      </c>
      <c r="F542" s="15" t="n">
        <f aca="false">F538/F521</f>
        <v>0.266665550409012</v>
      </c>
      <c r="G542" s="15" t="n">
        <f aca="false">G538/G521</f>
        <v>0.271346160543409</v>
      </c>
      <c r="H542" s="29" t="n">
        <f aca="false">$G542+($G$542*1-$G542)*1/3</f>
        <v>0.271346160543409</v>
      </c>
      <c r="I542" s="29" t="n">
        <f aca="false">$G542+($G$542*1-$G542)*2/3</f>
        <v>0.271346160543409</v>
      </c>
      <c r="J542" s="29" t="n">
        <f aca="false">$G542+($G$542*1-$G542)*3/3</f>
        <v>0.271346160543409</v>
      </c>
    </row>
    <row r="545" customFormat="false" ht="17.15" hidden="false" customHeight="false" outlineLevel="0" collapsed="false">
      <c r="A545" s="1" t="s">
        <v>850</v>
      </c>
    </row>
    <row r="546" customFormat="false" ht="17.15" hidden="false" customHeight="false" outlineLevel="0" collapsed="false">
      <c r="A546" s="4" t="s">
        <v>24</v>
      </c>
      <c r="B546" s="4" t="s">
        <v>25</v>
      </c>
      <c r="C546" s="16" t="s">
        <v>387</v>
      </c>
      <c r="D546" s="16" t="s">
        <v>505</v>
      </c>
      <c r="E546" s="16" t="s">
        <v>467</v>
      </c>
      <c r="F546" s="16" t="s">
        <v>468</v>
      </c>
      <c r="G546" s="16" t="s">
        <v>469</v>
      </c>
      <c r="H546" s="16" t="s">
        <v>506</v>
      </c>
      <c r="I546" s="16" t="s">
        <v>507</v>
      </c>
      <c r="J546" s="16" t="s">
        <v>508</v>
      </c>
      <c r="K546" s="4" t="s">
        <v>345</v>
      </c>
    </row>
    <row r="547" customFormat="false" ht="17.15" hidden="false" customHeight="false" outlineLevel="0" collapsed="false">
      <c r="A547" s="5" t="s">
        <v>526</v>
      </c>
    </row>
    <row r="548" customFormat="false" ht="17.15" hidden="false" customHeight="false" outlineLevel="0" collapsed="false">
      <c r="A548" s="3" t="s">
        <v>527</v>
      </c>
      <c r="B548" s="3" t="s">
        <v>64</v>
      </c>
      <c r="D548" s="22" t="n">
        <f aca="false">cap_26</f>
        <v>5230.46851955216</v>
      </c>
      <c r="E548" s="22" t="n">
        <f aca="false">D548*(1+capg27)*cap_adj</f>
        <v>5439.68726033425</v>
      </c>
      <c r="F548" s="22" t="n">
        <f aca="false">E548*(1+capg28)</f>
        <v>5820.46536855765</v>
      </c>
      <c r="G548" s="22" t="n">
        <f aca="false">F548*(1+capg29)</f>
        <v>6227.89794435668</v>
      </c>
    </row>
    <row r="549" customFormat="false" ht="15" hidden="false" customHeight="false" outlineLevel="0" collapsed="false">
      <c r="A549" s="3" t="s">
        <v>528</v>
      </c>
      <c r="B549" s="0" t="s">
        <v>69</v>
      </c>
      <c r="D549" s="21" t="n">
        <f aca="false">a26_ship/cap_26</f>
        <v>0.870578781414787</v>
      </c>
      <c r="E549" s="21" t="n">
        <f aca="false">MIN(0.98,ut27_B+ut_adj_lo)</f>
        <v>0.87</v>
      </c>
      <c r="F549" s="21" t="n">
        <f aca="false">MIN(0.98,ut28_B+ut_adj_lo)</f>
        <v>0.84</v>
      </c>
      <c r="G549" s="21" t="n">
        <f aca="false">MIN(0.98,ut29_B+ut_adj_lo)</f>
        <v>0.85</v>
      </c>
    </row>
    <row r="550" customFormat="false" ht="17.15" hidden="false" customHeight="false" outlineLevel="0" collapsed="false">
      <c r="A550" s="3" t="s">
        <v>529</v>
      </c>
      <c r="B550" s="3" t="s">
        <v>64</v>
      </c>
      <c r="D550" s="22" t="n">
        <f aca="false">D548*D549</f>
        <v>4553.53490998013</v>
      </c>
      <c r="E550" s="22" t="n">
        <f aca="false">E548*E549</f>
        <v>4732.5279164908</v>
      </c>
      <c r="F550" s="22" t="n">
        <f aca="false">F548*F549</f>
        <v>4889.19090958842</v>
      </c>
      <c r="G550" s="22" t="n">
        <f aca="false">G548*G549</f>
        <v>5293.71325270318</v>
      </c>
    </row>
    <row r="551" customFormat="false" ht="17.15" hidden="false" customHeight="false" outlineLevel="0" collapsed="false">
      <c r="A551" s="3" t="s">
        <v>530</v>
      </c>
      <c r="B551" s="0" t="s">
        <v>109</v>
      </c>
      <c r="D551" s="22" t="n">
        <f aca="false">asp_26</f>
        <v>1878.17486396824</v>
      </c>
      <c r="E551" s="22" t="n">
        <f aca="false">D551*(1+asp27_B)*(1+asp_adj)</f>
        <v>1972.08360716666</v>
      </c>
      <c r="F551" s="22" t="n">
        <f aca="false">E551*(1+asp28_B)</f>
        <v>1972.08360716666</v>
      </c>
      <c r="G551" s="22" t="n">
        <f aca="false">F551*(1+asp29_B)</f>
        <v>1972.08360716666</v>
      </c>
    </row>
    <row r="552" customFormat="false" ht="15" hidden="false" customHeight="false" outlineLevel="0" collapsed="false">
      <c r="A552" s="3" t="s">
        <v>531</v>
      </c>
      <c r="B552" s="0" t="s">
        <v>69</v>
      </c>
      <c r="E552" s="21" t="n">
        <f aca="false">E551/D551-1</f>
        <v>0.05</v>
      </c>
      <c r="F552" s="21" t="n">
        <f aca="false">F551/E551-1</f>
        <v>0</v>
      </c>
      <c r="G552" s="21" t="n">
        <f aca="false">G551/F551-1</f>
        <v>0</v>
      </c>
    </row>
    <row r="553" customFormat="false" ht="15" hidden="false" customHeight="false" outlineLevel="0" collapsed="false">
      <c r="A553" s="3" t="s">
        <v>532</v>
      </c>
      <c r="B553" s="0" t="s">
        <v>35</v>
      </c>
      <c r="D553" s="23" t="n">
        <f aca="false">fx_26</f>
        <v>31.6</v>
      </c>
      <c r="E553" s="23" t="n">
        <f aca="false">fx</f>
        <v>32</v>
      </c>
      <c r="F553" s="23" t="n">
        <f aca="false">fx</f>
        <v>32</v>
      </c>
      <c r="G553" s="23" t="n">
        <f aca="false">fx</f>
        <v>32</v>
      </c>
    </row>
    <row r="554" customFormat="false" ht="17.15" hidden="false" customHeight="false" outlineLevel="0" collapsed="false">
      <c r="A554" s="3" t="s">
        <v>533</v>
      </c>
      <c r="B554" s="0" t="s">
        <v>181</v>
      </c>
      <c r="D554" s="23" t="n">
        <f aca="false">D550*D551*D553/1000000</f>
        <v>270.25378</v>
      </c>
      <c r="E554" s="23" t="n">
        <f aca="false">E550*E551*E553/1000000</f>
        <v>298.654103186242</v>
      </c>
      <c r="F554" s="23" t="n">
        <f aca="false">F550*F551*F553/1000000</f>
        <v>308.540583843442</v>
      </c>
      <c r="G554" s="23" t="n">
        <f aca="false">G550*G551*G553/1000000</f>
        <v>334.068644054298</v>
      </c>
    </row>
    <row r="555" customFormat="false" ht="17.15" hidden="false" customHeight="false" outlineLevel="0" collapsed="false">
      <c r="A555" s="5" t="s">
        <v>534</v>
      </c>
    </row>
    <row r="556" customFormat="false" ht="17.15" hidden="false" customHeight="false" outlineLevel="0" collapsed="false">
      <c r="A556" s="0" t="s">
        <v>535</v>
      </c>
      <c r="B556" s="0" t="s">
        <v>138</v>
      </c>
      <c r="D556" s="25" t="n">
        <f aca="false">ai_26</f>
        <v>0.3</v>
      </c>
      <c r="E556" s="25" t="n">
        <f aca="false">D556*(1+aig27_B)*ai_adj</f>
        <v>0.42</v>
      </c>
      <c r="F556" s="25" t="n">
        <f aca="false">E556*(1+aig_L)*um28_B</f>
        <v>0.4872</v>
      </c>
      <c r="G556" s="25" t="n">
        <f aca="false">F556/um28_B*(1+aig_L)*um29_B</f>
        <v>0.7505925</v>
      </c>
    </row>
    <row r="557" customFormat="false" ht="17.15" hidden="false" customHeight="false" outlineLevel="0" collapsed="false">
      <c r="A557" s="0" t="s">
        <v>536</v>
      </c>
      <c r="B557" s="0" t="s">
        <v>181</v>
      </c>
      <c r="D557" s="23" t="n">
        <f aca="false">D556*D553</f>
        <v>9.48</v>
      </c>
      <c r="E557" s="23" t="n">
        <f aca="false">E556*E553</f>
        <v>13.44</v>
      </c>
      <c r="F557" s="23" t="n">
        <f aca="false">F556*F553</f>
        <v>15.5904</v>
      </c>
      <c r="G557" s="23" t="n">
        <f aca="false">G556*G553</f>
        <v>24.01896</v>
      </c>
    </row>
    <row r="558" customFormat="false" ht="17.15" hidden="false" customHeight="false" outlineLevel="0" collapsed="false">
      <c r="A558" s="0" t="s">
        <v>537</v>
      </c>
      <c r="B558" s="0" t="s">
        <v>138</v>
      </c>
      <c r="D558" s="25" t="n">
        <f aca="false">0</f>
        <v>0</v>
      </c>
      <c r="E558" s="25" t="n">
        <f aca="false">int_27</f>
        <v>0</v>
      </c>
      <c r="F558" s="25" t="n">
        <f aca="false">int28_B</f>
        <v>0.12</v>
      </c>
      <c r="G558" s="25" t="n">
        <f aca="false">int29_B</f>
        <v>0.3</v>
      </c>
    </row>
    <row r="559" customFormat="false" ht="17.15" hidden="false" customHeight="false" outlineLevel="0" collapsed="false">
      <c r="A559" s="0" t="s">
        <v>538</v>
      </c>
      <c r="B559" s="0" t="s">
        <v>181</v>
      </c>
      <c r="D559" s="23" t="n">
        <f aca="false">D558*D553</f>
        <v>0</v>
      </c>
      <c r="E559" s="23" t="n">
        <f aca="false">E558*E553</f>
        <v>0</v>
      </c>
      <c r="F559" s="23" t="n">
        <f aca="false">F558*F553</f>
        <v>3.84</v>
      </c>
      <c r="G559" s="23" t="n">
        <f aca="false">G558*G553</f>
        <v>9.6</v>
      </c>
    </row>
    <row r="560" customFormat="false" ht="17.15" hidden="false" customHeight="false" outlineLevel="0" collapsed="false">
      <c r="A560" s="3" t="s">
        <v>393</v>
      </c>
      <c r="B560" s="0" t="s">
        <v>181</v>
      </c>
      <c r="C560" s="23" t="n">
        <f aca="false">a25_rev</f>
        <v>237.553</v>
      </c>
      <c r="D560" s="23" t="n">
        <f aca="false">D554+D557+D559</f>
        <v>279.73378</v>
      </c>
      <c r="E560" s="23" t="n">
        <f aca="false">E554+E557+E559</f>
        <v>312.094103186242</v>
      </c>
      <c r="F560" s="23" t="n">
        <f aca="false">F554+F557+F559</f>
        <v>327.970983843442</v>
      </c>
      <c r="G560" s="23" t="n">
        <f aca="false">G554+G557+G559</f>
        <v>367.687604054298</v>
      </c>
      <c r="H560" s="30" t="n">
        <f aca="false">G560*(1+H562)</f>
        <v>402.274253625227</v>
      </c>
      <c r="I560" s="30" t="n">
        <f aca="false">H560*(1+I562)</f>
        <v>429.239765492391</v>
      </c>
      <c r="J560" s="30" t="n">
        <f aca="false">I560*(1+J562)</f>
        <v>446.409356112086</v>
      </c>
      <c r="K560" s="7" t="s">
        <v>539</v>
      </c>
    </row>
    <row r="561" customFormat="false" ht="17.15" hidden="false" customHeight="false" outlineLevel="0" collapsed="false">
      <c r="A561" s="0" t="s">
        <v>540</v>
      </c>
      <c r="B561" s="0" t="s">
        <v>69</v>
      </c>
      <c r="D561" s="21" t="n">
        <f aca="false">D557/D560</f>
        <v>0.0338893643806622</v>
      </c>
      <c r="E561" s="21" t="n">
        <f aca="false">E557/E560</f>
        <v>0.0430639344440919</v>
      </c>
      <c r="F561" s="21" t="n">
        <f aca="false">F557/F560</f>
        <v>0.0475359125289026</v>
      </c>
      <c r="G561" s="21" t="n">
        <f aca="false">G557/G560</f>
        <v>0.0653243670310218</v>
      </c>
    </row>
    <row r="562" customFormat="false" ht="15" hidden="false" customHeight="false" outlineLevel="0" collapsed="false">
      <c r="A562" s="3" t="s">
        <v>541</v>
      </c>
      <c r="B562" s="0" t="s">
        <v>69</v>
      </c>
      <c r="D562" s="21" t="n">
        <f aca="false">D560/C560-1</f>
        <v>0.177563659478096</v>
      </c>
      <c r="E562" s="21" t="n">
        <f aca="false">E560/D560-1</f>
        <v>0.115682572144996</v>
      </c>
      <c r="F562" s="21" t="n">
        <f aca="false">F560/E560-1</f>
        <v>0.0508720943302323</v>
      </c>
      <c r="G562" s="21" t="n">
        <f aca="false">G560/F560-1</f>
        <v>0.121097969538107</v>
      </c>
      <c r="H562" s="28" t="n">
        <f aca="false">$G562+(fade_gB-$G562)*1/3</f>
        <v>0.0940653130254049</v>
      </c>
      <c r="I562" s="28" t="n">
        <f aca="false">$G562+(fade_gB-$G562)*2/3</f>
        <v>0.0670326565127025</v>
      </c>
      <c r="J562" s="28" t="n">
        <f aca="false">$G562+(fade_gB-$G562)*3/3</f>
        <v>0.04</v>
      </c>
    </row>
    <row r="563" customFormat="false" ht="17.15" hidden="false" customHeight="false" outlineLevel="0" collapsed="false">
      <c r="A563" s="5" t="s">
        <v>542</v>
      </c>
    </row>
    <row r="564" customFormat="false" ht="15" hidden="false" customHeight="false" outlineLevel="0" collapsed="false">
      <c r="A564" s="3" t="s">
        <v>543</v>
      </c>
      <c r="B564" s="0" t="s">
        <v>181</v>
      </c>
      <c r="D564" s="23" t="n">
        <f aca="false">da_tot26*da_sh</f>
        <v>56.172</v>
      </c>
      <c r="E564" s="23" t="n">
        <f aca="false">D564*(1+dag_27+dag_adj)</f>
        <v>62.91264</v>
      </c>
      <c r="F564" s="23" t="n">
        <f aca="false">E564*(1+dag_28+dag_adj)</f>
        <v>69.203904</v>
      </c>
      <c r="G564" s="23" t="n">
        <f aca="false">F564*(1+dag_29+dag_adj)</f>
        <v>74.74021632</v>
      </c>
    </row>
    <row r="565" customFormat="false" ht="17.15" hidden="false" customHeight="false" outlineLevel="0" collapsed="false">
      <c r="A565" s="3" t="s">
        <v>544</v>
      </c>
      <c r="B565" s="0" t="s">
        <v>545</v>
      </c>
      <c r="D565" s="23" t="n">
        <f aca="false">(D560-a26_gp-D564-(1-m_new)*(D557+D559))/D550*1000</f>
        <v>27.9465727870208</v>
      </c>
      <c r="E565" s="23" t="n">
        <f aca="false">D565*(1+cc_g)</f>
        <v>28.5055042427612</v>
      </c>
      <c r="F565" s="23" t="n">
        <f aca="false">E565*(1+cc_g)</f>
        <v>29.0756143276165</v>
      </c>
      <c r="G565" s="23" t="n">
        <f aca="false">F565*(1+cc_g)</f>
        <v>29.6571266141688</v>
      </c>
      <c r="K565" s="7" t="s">
        <v>546</v>
      </c>
    </row>
    <row r="566" customFormat="false" ht="17.15" hidden="false" customHeight="false" outlineLevel="0" collapsed="false">
      <c r="A566" s="3" t="s">
        <v>547</v>
      </c>
      <c r="B566" s="0" t="s">
        <v>181</v>
      </c>
      <c r="D566" s="23" t="n">
        <f aca="false">D565*D550/1000</f>
        <v>127.2556948</v>
      </c>
      <c r="E566" s="23" t="n">
        <f aca="false">E565*E550/1000</f>
        <v>134.903094602514</v>
      </c>
      <c r="F566" s="23" t="n">
        <f aca="false">F565*F550/1000</f>
        <v>142.156229261281</v>
      </c>
      <c r="G566" s="23" t="n">
        <f aca="false">G565*G550/1000</f>
        <v>156.996324194522</v>
      </c>
    </row>
    <row r="567" customFormat="false" ht="17.15" hidden="false" customHeight="false" outlineLevel="0" collapsed="false">
      <c r="A567" s="3" t="s">
        <v>548</v>
      </c>
      <c r="B567" s="0" t="s">
        <v>181</v>
      </c>
      <c r="D567" s="23" t="n">
        <f aca="false">m_new*(D557+D559)</f>
        <v>4.266</v>
      </c>
      <c r="E567" s="23" t="n">
        <f aca="false">m_new*(E557+E559)</f>
        <v>6.048</v>
      </c>
      <c r="F567" s="23" t="n">
        <f aca="false">m_new*(F557+F559)</f>
        <v>8.74368</v>
      </c>
      <c r="G567" s="23" t="n">
        <f aca="false">m_new*(G557+G559)</f>
        <v>15.128532</v>
      </c>
    </row>
    <row r="568" customFormat="false" ht="15" hidden="false" customHeight="false" outlineLevel="0" collapsed="false">
      <c r="A568" s="3" t="s">
        <v>411</v>
      </c>
      <c r="B568" s="0" t="s">
        <v>181</v>
      </c>
      <c r="C568" s="23" t="n">
        <f aca="false">a25_gp</f>
        <v>68.906</v>
      </c>
      <c r="D568" s="23" t="n">
        <f aca="false">D554-D564-D566+D567</f>
        <v>91.0920852</v>
      </c>
      <c r="E568" s="23" t="n">
        <f aca="false">E554-E564-E566+E567</f>
        <v>106.886368583728</v>
      </c>
      <c r="F568" s="23" t="n">
        <f aca="false">F554-F564-F566+F567</f>
        <v>105.924130582161</v>
      </c>
      <c r="G568" s="23" t="n">
        <f aca="false">G554-G564-G566+G567</f>
        <v>117.460635539777</v>
      </c>
    </row>
    <row r="569" customFormat="false" ht="15" hidden="false" customHeight="false" outlineLevel="0" collapsed="false">
      <c r="A569" s="3" t="s">
        <v>413</v>
      </c>
      <c r="B569" s="0" t="s">
        <v>69</v>
      </c>
      <c r="C569" s="15" t="n">
        <f aca="false">C568/C560</f>
        <v>0.290065795843454</v>
      </c>
      <c r="D569" s="15" t="n">
        <f aca="false">D568/D560</f>
        <v>0.325638488136828</v>
      </c>
      <c r="E569" s="15" t="n">
        <f aca="false">E568/E560</f>
        <v>0.34248121798041</v>
      </c>
      <c r="F569" s="15" t="n">
        <f aca="false">F568/F560</f>
        <v>0.322967993512267</v>
      </c>
      <c r="G569" s="15" t="n">
        <f aca="false">G568/G560</f>
        <v>0.319457697906048</v>
      </c>
    </row>
    <row r="570" customFormat="false" ht="15" hidden="false" customHeight="false" outlineLevel="0" collapsed="false">
      <c r="A570" s="3" t="s">
        <v>415</v>
      </c>
      <c r="B570" s="0" t="s">
        <v>181</v>
      </c>
      <c r="C570" s="23" t="n">
        <f aca="false">a25_opx</f>
        <v>25.056</v>
      </c>
      <c r="D570" s="23" t="n">
        <f aca="false">a26_opx</f>
        <v>27.23586</v>
      </c>
      <c r="E570" s="23" t="n">
        <f aca="false">D570*(1+MAX(g_opx_min,phi*E562))</f>
        <v>28.8112171696905</v>
      </c>
      <c r="F570" s="23" t="n">
        <f aca="false">E570*(1+MAX(g_opx_min,phi*F562))</f>
        <v>29.6755536847812</v>
      </c>
      <c r="G570" s="23" t="n">
        <f aca="false">F570*(1+MAX(g_opx_min,phi*G562))</f>
        <v>31.4723783328543</v>
      </c>
    </row>
    <row r="571" customFormat="false" ht="15" hidden="false" customHeight="false" outlineLevel="0" collapsed="false">
      <c r="A571" s="3" t="s">
        <v>418</v>
      </c>
      <c r="B571" s="0" t="s">
        <v>181</v>
      </c>
      <c r="C571" s="23" t="n">
        <f aca="false">C568-C570</f>
        <v>43.85</v>
      </c>
      <c r="D571" s="23" t="n">
        <f aca="false">D568-D570</f>
        <v>63.8562252</v>
      </c>
      <c r="E571" s="23" t="n">
        <f aca="false">E568-E570</f>
        <v>78.0751514140374</v>
      </c>
      <c r="F571" s="23" t="n">
        <f aca="false">F568-F570</f>
        <v>76.2485768973795</v>
      </c>
      <c r="G571" s="23" t="n">
        <f aca="false">G568-G570</f>
        <v>85.9882572069225</v>
      </c>
    </row>
    <row r="572" customFormat="false" ht="15" hidden="false" customHeight="false" outlineLevel="0" collapsed="false">
      <c r="A572" s="3" t="s">
        <v>515</v>
      </c>
      <c r="B572" s="0" t="s">
        <v>69</v>
      </c>
      <c r="C572" s="15" t="n">
        <f aca="false">C571/C560</f>
        <v>0.184590386145408</v>
      </c>
      <c r="D572" s="15" t="n">
        <f aca="false">D571/D560</f>
        <v>0.228274987740129</v>
      </c>
      <c r="E572" s="15" t="n">
        <f aca="false">E571/E560</f>
        <v>0.250165416830852</v>
      </c>
      <c r="F572" s="15" t="n">
        <f aca="false">F571/F560</f>
        <v>0.232485740061008</v>
      </c>
      <c r="G572" s="15" t="n">
        <f aca="false">G571/G560</f>
        <v>0.233862268563789</v>
      </c>
    </row>
    <row r="573" customFormat="false" ht="15" hidden="false" customHeight="false" outlineLevel="0" collapsed="false">
      <c r="A573" s="3" t="s">
        <v>421</v>
      </c>
      <c r="B573" s="0" t="s">
        <v>181</v>
      </c>
      <c r="C573" s="23" t="n">
        <f aca="false">a25_nonop</f>
        <v>5.805</v>
      </c>
      <c r="D573" s="23" t="n">
        <f aca="false">a26_nonop</f>
        <v>38.372</v>
      </c>
      <c r="E573" s="23" t="n">
        <f aca="false">nonop_f</f>
        <v>4</v>
      </c>
      <c r="F573" s="23" t="n">
        <f aca="false">nonop_f</f>
        <v>4</v>
      </c>
      <c r="G573" s="23" t="n">
        <f aca="false">nonop_f</f>
        <v>4</v>
      </c>
    </row>
    <row r="574" customFormat="false" ht="15" hidden="false" customHeight="false" outlineLevel="0" collapsed="false">
      <c r="A574" s="3" t="s">
        <v>423</v>
      </c>
      <c r="B574" s="0" t="s">
        <v>181</v>
      </c>
      <c r="C574" s="23" t="n">
        <f aca="false">C571+C573</f>
        <v>49.655</v>
      </c>
      <c r="D574" s="23" t="n">
        <f aca="false">D571+D573</f>
        <v>102.2282252</v>
      </c>
      <c r="E574" s="23" t="n">
        <f aca="false">E571+E573</f>
        <v>82.0751514140374</v>
      </c>
      <c r="F574" s="23" t="n">
        <f aca="false">F571+F573</f>
        <v>80.2485768973795</v>
      </c>
      <c r="G574" s="23" t="n">
        <f aca="false">G571+G573</f>
        <v>89.9882572069225</v>
      </c>
    </row>
    <row r="575" customFormat="false" ht="15" hidden="false" customHeight="false" outlineLevel="0" collapsed="false">
      <c r="A575" s="3" t="s">
        <v>425</v>
      </c>
      <c r="B575" s="0" t="s">
        <v>181</v>
      </c>
      <c r="C575" s="23" t="n">
        <f aca="false">a25_tax</f>
        <v>7.939</v>
      </c>
      <c r="D575" s="23" t="n">
        <f aca="false">a26_tax</f>
        <v>10.493828284</v>
      </c>
      <c r="E575" s="23" t="n">
        <f aca="false">E574*tax</f>
        <v>12.3112727121056</v>
      </c>
      <c r="F575" s="23" t="n">
        <f aca="false">F574*tax</f>
        <v>12.0372865346069</v>
      </c>
      <c r="G575" s="23" t="n">
        <f aca="false">G574*tax</f>
        <v>13.4982385810384</v>
      </c>
    </row>
    <row r="576" customFormat="false" ht="17.15" hidden="false" customHeight="false" outlineLevel="0" collapsed="false">
      <c r="A576" s="3" t="s">
        <v>549</v>
      </c>
      <c r="B576" s="0" t="s">
        <v>181</v>
      </c>
      <c r="C576" s="23" t="n">
        <f aca="false">a25_mi</f>
        <v>0</v>
      </c>
      <c r="D576" s="23" t="n">
        <f aca="false">a26_mi</f>
        <v>-0.134999999999987</v>
      </c>
      <c r="E576" s="23" t="n">
        <f aca="false">0</f>
        <v>0</v>
      </c>
      <c r="F576" s="23" t="n">
        <f aca="false">0</f>
        <v>0</v>
      </c>
      <c r="G576" s="23" t="n">
        <f aca="false">0</f>
        <v>0</v>
      </c>
      <c r="K576" s="7" t="s">
        <v>550</v>
      </c>
    </row>
    <row r="577" customFormat="false" ht="15" hidden="false" customHeight="false" outlineLevel="0" collapsed="false">
      <c r="A577" s="3" t="s">
        <v>428</v>
      </c>
      <c r="B577" s="0" t="s">
        <v>181</v>
      </c>
      <c r="C577" s="23" t="n">
        <f aca="false">C574-C575-C576</f>
        <v>41.716</v>
      </c>
      <c r="D577" s="23" t="n">
        <f aca="false">D574-D575-D576</f>
        <v>91.869396916</v>
      </c>
      <c r="E577" s="23" t="n">
        <f aca="false">E574-E575-E576</f>
        <v>69.7638787019318</v>
      </c>
      <c r="F577" s="23" t="n">
        <f aca="false">F574-F575-F576</f>
        <v>68.2112903627726</v>
      </c>
      <c r="G577" s="23" t="n">
        <f aca="false">G574-G575-G576</f>
        <v>76.4900186258841</v>
      </c>
      <c r="H577" s="30" t="n">
        <f aca="false">H560*H581</f>
        <v>80.8955736322054</v>
      </c>
      <c r="I577" s="30" t="n">
        <f aca="false">I560*I581</f>
        <v>83.3417285283086</v>
      </c>
      <c r="J577" s="30" t="n">
        <f aca="false">J560*J581</f>
        <v>83.5798477526752</v>
      </c>
    </row>
    <row r="578" customFormat="false" ht="15" hidden="false" customHeight="false" outlineLevel="0" collapsed="false">
      <c r="A578" s="3" t="s">
        <v>551</v>
      </c>
      <c r="B578" s="3" t="s">
        <v>250</v>
      </c>
      <c r="C578" s="9" t="n">
        <f aca="false">a25_sh</f>
        <v>12.4898203592814</v>
      </c>
      <c r="D578" s="9" t="n">
        <f aca="false">a26_sh</f>
        <v>12.4754339027235</v>
      </c>
      <c r="E578" s="9" t="n">
        <f aca="false">q_sh*(1+sh_g)</f>
        <v>12.45</v>
      </c>
      <c r="F578" s="9" t="n">
        <f aca="false">E578*(1+sh_g)</f>
        <v>12.45</v>
      </c>
      <c r="G578" s="9" t="n">
        <f aca="false">F578*(1+sh_g)</f>
        <v>12.45</v>
      </c>
      <c r="H578" s="32" t="n">
        <f aca="false">G578*(1+sh_g)</f>
        <v>12.45</v>
      </c>
      <c r="I578" s="32" t="n">
        <f aca="false">H578*(1+sh_g)</f>
        <v>12.45</v>
      </c>
      <c r="J578" s="32" t="n">
        <f aca="false">I578*(1+sh_g)</f>
        <v>12.45</v>
      </c>
    </row>
    <row r="579" customFormat="false" ht="17.15" hidden="false" customHeight="false" outlineLevel="0" collapsed="false">
      <c r="A579" s="0" t="s">
        <v>434</v>
      </c>
      <c r="B579" s="0" t="s">
        <v>260</v>
      </c>
      <c r="C579" s="23" t="n">
        <f aca="false">C577/C578</f>
        <v>3.34</v>
      </c>
      <c r="D579" s="23" t="n">
        <f aca="false">D577/D578</f>
        <v>7.36402418002826</v>
      </c>
      <c r="E579" s="23" t="n">
        <f aca="false">E577/E578</f>
        <v>5.60352439372946</v>
      </c>
      <c r="F579" s="23" t="n">
        <f aca="false">F577/F578</f>
        <v>5.47881850303394</v>
      </c>
      <c r="G579" s="23" t="n">
        <f aca="false">G577/G578</f>
        <v>6.14377659645655</v>
      </c>
      <c r="H579" s="30" t="n">
        <f aca="false">H577/H578</f>
        <v>6.49763643632172</v>
      </c>
      <c r="I579" s="30" t="n">
        <f aca="false">I577/I578</f>
        <v>6.6941147412296</v>
      </c>
      <c r="J579" s="30" t="n">
        <f aca="false">J577/J578</f>
        <v>6.7132407833474</v>
      </c>
    </row>
    <row r="580" customFormat="false" ht="17.15" hidden="false" customHeight="false" outlineLevel="0" collapsed="false">
      <c r="A580" s="0" t="s">
        <v>552</v>
      </c>
      <c r="B580" s="0" t="s">
        <v>69</v>
      </c>
      <c r="D580" s="21" t="n">
        <f aca="false">D579/C579-1</f>
        <v>1.2047976586911</v>
      </c>
      <c r="E580" s="21" t="n">
        <f aca="false">E579/D579-1</f>
        <v>-0.239067627055516</v>
      </c>
      <c r="F580" s="21" t="n">
        <f aca="false">F579/E579-1</f>
        <v>-0.0222549027956527</v>
      </c>
      <c r="G580" s="21" t="n">
        <f aca="false">G579/F579-1</f>
        <v>0.121368885108055</v>
      </c>
      <c r="H580" s="28" t="n">
        <f aca="false">H579/G579-1</f>
        <v>0.0575964692578914</v>
      </c>
      <c r="I580" s="28" t="n">
        <f aca="false">I579/H579-1</f>
        <v>0.0302384269777816</v>
      </c>
      <c r="J580" s="28" t="n">
        <f aca="false">J579/I579-1</f>
        <v>0.00285714285714311</v>
      </c>
    </row>
    <row r="581" customFormat="false" ht="17.15" hidden="false" customHeight="false" outlineLevel="0" collapsed="false">
      <c r="A581" s="3" t="s">
        <v>553</v>
      </c>
      <c r="B581" s="0" t="s">
        <v>69</v>
      </c>
      <c r="C581" s="15" t="n">
        <f aca="false">C577/C560</f>
        <v>0.175607127672562</v>
      </c>
      <c r="D581" s="15" t="n">
        <f aca="false">D577/D560</f>
        <v>0.328417243409073</v>
      </c>
      <c r="E581" s="15" t="n">
        <f aca="false">E577/E560</f>
        <v>0.223534754388807</v>
      </c>
      <c r="F581" s="15" t="n">
        <f aca="false">F577/F560</f>
        <v>0.20797964979528</v>
      </c>
      <c r="G581" s="15" t="n">
        <f aca="false">G577/G560</f>
        <v>0.208029908494246</v>
      </c>
      <c r="H581" s="29" t="n">
        <f aca="false">$G581+($G$581*0.9-$G581)*1/3</f>
        <v>0.201095578211104</v>
      </c>
      <c r="I581" s="29" t="n">
        <f aca="false">$G581+($G$581*0.9-$G581)*2/3</f>
        <v>0.194161247927963</v>
      </c>
      <c r="J581" s="29" t="n">
        <f aca="false">$G581+($G$581*0.9-$G581)*3/3</f>
        <v>0.187226917644821</v>
      </c>
    </row>
    <row r="584" customFormat="false" ht="17.15" hidden="false" customHeight="false" outlineLevel="0" collapsed="false">
      <c r="A584" s="1" t="s">
        <v>851</v>
      </c>
    </row>
    <row r="585" customFormat="false" ht="17.15" hidden="false" customHeight="false" outlineLevel="0" collapsed="false">
      <c r="A585" s="4" t="s">
        <v>24</v>
      </c>
      <c r="B585" s="4" t="s">
        <v>25</v>
      </c>
      <c r="C585" s="16" t="s">
        <v>387</v>
      </c>
      <c r="D585" s="16" t="s">
        <v>505</v>
      </c>
      <c r="E585" s="16" t="s">
        <v>467</v>
      </c>
      <c r="F585" s="16" t="s">
        <v>468</v>
      </c>
      <c r="G585" s="16" t="s">
        <v>469</v>
      </c>
      <c r="H585" s="16" t="s">
        <v>506</v>
      </c>
      <c r="I585" s="16" t="s">
        <v>507</v>
      </c>
      <c r="J585" s="16" t="s">
        <v>508</v>
      </c>
      <c r="K585" s="4" t="s">
        <v>345</v>
      </c>
    </row>
    <row r="586" customFormat="false" ht="17.15" hidden="false" customHeight="false" outlineLevel="0" collapsed="false">
      <c r="A586" s="5" t="s">
        <v>526</v>
      </c>
    </row>
    <row r="587" customFormat="false" ht="17.15" hidden="false" customHeight="false" outlineLevel="0" collapsed="false">
      <c r="A587" s="3" t="s">
        <v>527</v>
      </c>
      <c r="B587" s="3" t="s">
        <v>64</v>
      </c>
      <c r="D587" s="22" t="n">
        <f aca="false">cap_26</f>
        <v>5230.46851955216</v>
      </c>
      <c r="E587" s="22" t="n">
        <f aca="false">D587*(1+capg27)*cap_adj</f>
        <v>5439.68726033425</v>
      </c>
      <c r="F587" s="22" t="n">
        <f aca="false">E587*(1+capg28)</f>
        <v>5820.46536855765</v>
      </c>
      <c r="G587" s="22" t="n">
        <f aca="false">F587*(1+capg29)</f>
        <v>6227.89794435668</v>
      </c>
    </row>
    <row r="588" customFormat="false" ht="15" hidden="false" customHeight="false" outlineLevel="0" collapsed="false">
      <c r="A588" s="3" t="s">
        <v>528</v>
      </c>
      <c r="B588" s="0" t="s">
        <v>69</v>
      </c>
      <c r="D588" s="21" t="n">
        <f aca="false">a26_ship/cap_26</f>
        <v>0.870578781414787</v>
      </c>
      <c r="E588" s="21" t="n">
        <f aca="false">MIN(0.98,ut27_C+ut_adj_lo)</f>
        <v>0.79</v>
      </c>
      <c r="F588" s="21" t="n">
        <f aca="false">MIN(0.98,ut28_C+ut_adj_lo)</f>
        <v>0.73</v>
      </c>
      <c r="G588" s="21" t="n">
        <f aca="false">MIN(0.98,ut29_C+ut_adj_lo)</f>
        <v>0.77</v>
      </c>
    </row>
    <row r="589" customFormat="false" ht="17.15" hidden="false" customHeight="false" outlineLevel="0" collapsed="false">
      <c r="A589" s="3" t="s">
        <v>529</v>
      </c>
      <c r="B589" s="3" t="s">
        <v>64</v>
      </c>
      <c r="D589" s="22" t="n">
        <f aca="false">D587*D588</f>
        <v>4553.53490998013</v>
      </c>
      <c r="E589" s="22" t="n">
        <f aca="false">E587*E588</f>
        <v>4297.35293566406</v>
      </c>
      <c r="F589" s="22" t="n">
        <f aca="false">F587*F588</f>
        <v>4248.93971904708</v>
      </c>
      <c r="G589" s="22" t="n">
        <f aca="false">G587*G588</f>
        <v>4795.48141715465</v>
      </c>
    </row>
    <row r="590" customFormat="false" ht="17.15" hidden="false" customHeight="false" outlineLevel="0" collapsed="false">
      <c r="A590" s="3" t="s">
        <v>530</v>
      </c>
      <c r="B590" s="0" t="s">
        <v>109</v>
      </c>
      <c r="D590" s="22" t="n">
        <f aca="false">asp_26</f>
        <v>1878.17486396824</v>
      </c>
      <c r="E590" s="22" t="n">
        <f aca="false">D590*(1+asp27_C)*(1+asp_adj)</f>
        <v>1878.17486396824</v>
      </c>
      <c r="F590" s="22" t="n">
        <f aca="false">E590*(1+asp28_C)</f>
        <v>1765.48437213015</v>
      </c>
      <c r="G590" s="22" t="n">
        <f aca="false">F590*(1+asp29_C)</f>
        <v>1712.51984096625</v>
      </c>
    </row>
    <row r="591" customFormat="false" ht="15" hidden="false" customHeight="false" outlineLevel="0" collapsed="false">
      <c r="A591" s="3" t="s">
        <v>531</v>
      </c>
      <c r="B591" s="0" t="s">
        <v>69</v>
      </c>
      <c r="E591" s="21" t="n">
        <f aca="false">E590/D590-1</f>
        <v>0</v>
      </c>
      <c r="F591" s="21" t="n">
        <f aca="false">F590/E590-1</f>
        <v>-0.0599999999999999</v>
      </c>
      <c r="G591" s="21" t="n">
        <f aca="false">G590/F590-1</f>
        <v>-0.0299999999999999</v>
      </c>
    </row>
    <row r="592" customFormat="false" ht="15" hidden="false" customHeight="false" outlineLevel="0" collapsed="false">
      <c r="A592" s="3" t="s">
        <v>532</v>
      </c>
      <c r="B592" s="0" t="s">
        <v>35</v>
      </c>
      <c r="D592" s="23" t="n">
        <f aca="false">fx_26</f>
        <v>31.6</v>
      </c>
      <c r="E592" s="23" t="n">
        <f aca="false">fx</f>
        <v>32</v>
      </c>
      <c r="F592" s="23" t="n">
        <f aca="false">fx</f>
        <v>32</v>
      </c>
      <c r="G592" s="23" t="n">
        <f aca="false">fx</f>
        <v>32</v>
      </c>
    </row>
    <row r="593" customFormat="false" ht="17.15" hidden="false" customHeight="false" outlineLevel="0" collapsed="false">
      <c r="A593" s="3" t="s">
        <v>533</v>
      </c>
      <c r="B593" s="0" t="s">
        <v>181</v>
      </c>
      <c r="D593" s="23" t="n">
        <f aca="false">D589*D590*D592/1000000</f>
        <v>270.25378</v>
      </c>
      <c r="E593" s="23" t="n">
        <f aca="false">E589*E590*E592/1000000</f>
        <v>258.27776849166</v>
      </c>
      <c r="F593" s="23" t="n">
        <f aca="false">F589*F590*F592/1000000</f>
        <v>240.045973507222</v>
      </c>
      <c r="G593" s="23" t="n">
        <f aca="false">G589*G590*G592/1000000</f>
        <v>262.795426363592</v>
      </c>
    </row>
    <row r="594" customFormat="false" ht="17.15" hidden="false" customHeight="false" outlineLevel="0" collapsed="false">
      <c r="A594" s="5" t="s">
        <v>534</v>
      </c>
    </row>
    <row r="595" customFormat="false" ht="17.15" hidden="false" customHeight="false" outlineLevel="0" collapsed="false">
      <c r="A595" s="0" t="s">
        <v>535</v>
      </c>
      <c r="B595" s="0" t="s">
        <v>138</v>
      </c>
      <c r="D595" s="25" t="n">
        <f aca="false">ai_26</f>
        <v>0.3</v>
      </c>
      <c r="E595" s="25" t="n">
        <f aca="false">D595*(1+aig27_C)*ai_adj</f>
        <v>0.36</v>
      </c>
      <c r="F595" s="25" t="n">
        <f aca="false">E595*(1+aig_L)*um28_C</f>
        <v>0.3132</v>
      </c>
      <c r="G595" s="25" t="n">
        <f aca="false">F595/um28_C*(1+aig_L)*um29_C</f>
        <v>0.45414</v>
      </c>
    </row>
    <row r="596" customFormat="false" ht="17.15" hidden="false" customHeight="false" outlineLevel="0" collapsed="false">
      <c r="A596" s="0" t="s">
        <v>536</v>
      </c>
      <c r="B596" s="0" t="s">
        <v>181</v>
      </c>
      <c r="D596" s="23" t="n">
        <f aca="false">D595*D592</f>
        <v>9.48</v>
      </c>
      <c r="E596" s="23" t="n">
        <f aca="false">E595*E592</f>
        <v>11.52</v>
      </c>
      <c r="F596" s="23" t="n">
        <f aca="false">F595*F592</f>
        <v>10.0224</v>
      </c>
      <c r="G596" s="23" t="n">
        <f aca="false">G595*G592</f>
        <v>14.53248</v>
      </c>
    </row>
    <row r="597" customFormat="false" ht="17.15" hidden="false" customHeight="false" outlineLevel="0" collapsed="false">
      <c r="A597" s="0" t="s">
        <v>537</v>
      </c>
      <c r="B597" s="0" t="s">
        <v>138</v>
      </c>
      <c r="D597" s="25" t="n">
        <f aca="false">0</f>
        <v>0</v>
      </c>
      <c r="E597" s="25" t="n">
        <f aca="false">int_27</f>
        <v>0</v>
      </c>
      <c r="F597" s="25" t="n">
        <f aca="false">int28_C</f>
        <v>0</v>
      </c>
      <c r="G597" s="25" t="n">
        <f aca="false">int29_C</f>
        <v>0.08</v>
      </c>
    </row>
    <row r="598" customFormat="false" ht="17.15" hidden="false" customHeight="false" outlineLevel="0" collapsed="false">
      <c r="A598" s="0" t="s">
        <v>538</v>
      </c>
      <c r="B598" s="0" t="s">
        <v>181</v>
      </c>
      <c r="D598" s="23" t="n">
        <f aca="false">D597*D592</f>
        <v>0</v>
      </c>
      <c r="E598" s="23" t="n">
        <f aca="false">E597*E592</f>
        <v>0</v>
      </c>
      <c r="F598" s="23" t="n">
        <f aca="false">F597*F592</f>
        <v>0</v>
      </c>
      <c r="G598" s="23" t="n">
        <f aca="false">G597*G592</f>
        <v>2.56</v>
      </c>
    </row>
    <row r="599" customFormat="false" ht="17.15" hidden="false" customHeight="false" outlineLevel="0" collapsed="false">
      <c r="A599" s="3" t="s">
        <v>393</v>
      </c>
      <c r="B599" s="0" t="s">
        <v>181</v>
      </c>
      <c r="C599" s="23" t="n">
        <f aca="false">a25_rev</f>
        <v>237.553</v>
      </c>
      <c r="D599" s="23" t="n">
        <f aca="false">D593+D596+D598</f>
        <v>279.73378</v>
      </c>
      <c r="E599" s="23" t="n">
        <f aca="false">E593+E596+E598</f>
        <v>269.79776849166</v>
      </c>
      <c r="F599" s="23" t="n">
        <f aca="false">F593+F596+F598</f>
        <v>250.068373507222</v>
      </c>
      <c r="G599" s="23" t="n">
        <f aca="false">G593+G596+G598</f>
        <v>279.887906363592</v>
      </c>
      <c r="H599" s="30" t="n">
        <f aca="false">G599*(1+H601)</f>
        <v>304.004078081286</v>
      </c>
      <c r="I599" s="30" t="n">
        <f aca="false">H599*(1+I601)</f>
        <v>320.141173760146</v>
      </c>
      <c r="J599" s="30" t="n">
        <f aca="false">I599*(1+J601)</f>
        <v>326.543997235349</v>
      </c>
      <c r="K599" s="7" t="s">
        <v>539</v>
      </c>
    </row>
    <row r="600" customFormat="false" ht="17.15" hidden="false" customHeight="false" outlineLevel="0" collapsed="false">
      <c r="A600" s="0" t="s">
        <v>540</v>
      </c>
      <c r="B600" s="0" t="s">
        <v>69</v>
      </c>
      <c r="D600" s="21" t="n">
        <f aca="false">D596/D599</f>
        <v>0.0338893643806622</v>
      </c>
      <c r="E600" s="21" t="n">
        <f aca="false">E596/E599</f>
        <v>0.0426986481926966</v>
      </c>
      <c r="F600" s="21" t="n">
        <f aca="false">F596/F599</f>
        <v>0.0400786387316209</v>
      </c>
      <c r="G600" s="21" t="n">
        <f aca="false">G596/G599</f>
        <v>0.0519225006496757</v>
      </c>
    </row>
    <row r="601" customFormat="false" ht="15" hidden="false" customHeight="false" outlineLevel="0" collapsed="false">
      <c r="A601" s="3" t="s">
        <v>541</v>
      </c>
      <c r="B601" s="0" t="s">
        <v>69</v>
      </c>
      <c r="D601" s="21" t="n">
        <f aca="false">D599/C599-1</f>
        <v>0.177563659478096</v>
      </c>
      <c r="E601" s="21" t="n">
        <f aca="false">E599/D599-1</f>
        <v>-0.0355195268456314</v>
      </c>
      <c r="F601" s="21" t="n">
        <f aca="false">F599/E599-1</f>
        <v>-0.0731266055117418</v>
      </c>
      <c r="G601" s="21" t="n">
        <f aca="false">G599/F599-1</f>
        <v>0.119245518488202</v>
      </c>
      <c r="H601" s="28" t="n">
        <f aca="false">$G601+(fade_gC-$G601)*1/3</f>
        <v>0.0861636789921347</v>
      </c>
      <c r="I601" s="28" t="n">
        <f aca="false">$G601+(fade_gC-$G601)*2/3</f>
        <v>0.0530818394960673</v>
      </c>
      <c r="J601" s="28" t="n">
        <f aca="false">$G601+(fade_gC-$G601)*3/3</f>
        <v>0.02</v>
      </c>
    </row>
    <row r="602" customFormat="false" ht="17.15" hidden="false" customHeight="false" outlineLevel="0" collapsed="false">
      <c r="A602" s="5" t="s">
        <v>542</v>
      </c>
    </row>
    <row r="603" customFormat="false" ht="15" hidden="false" customHeight="false" outlineLevel="0" collapsed="false">
      <c r="A603" s="3" t="s">
        <v>543</v>
      </c>
      <c r="B603" s="0" t="s">
        <v>181</v>
      </c>
      <c r="D603" s="23" t="n">
        <f aca="false">da_tot26*da_sh</f>
        <v>56.172</v>
      </c>
      <c r="E603" s="23" t="n">
        <f aca="false">D603*(1+dag_27+dag_adj)</f>
        <v>62.91264</v>
      </c>
      <c r="F603" s="23" t="n">
        <f aca="false">E603*(1+dag_28+dag_adj)</f>
        <v>69.203904</v>
      </c>
      <c r="G603" s="23" t="n">
        <f aca="false">F603*(1+dag_29+dag_adj)</f>
        <v>74.74021632</v>
      </c>
    </row>
    <row r="604" customFormat="false" ht="17.15" hidden="false" customHeight="false" outlineLevel="0" collapsed="false">
      <c r="A604" s="3" t="s">
        <v>544</v>
      </c>
      <c r="B604" s="0" t="s">
        <v>545</v>
      </c>
      <c r="D604" s="23" t="n">
        <f aca="false">(D599-a26_gp-D603-(1-m_new)*(D596+D598))/D589*1000</f>
        <v>27.9465727870208</v>
      </c>
      <c r="E604" s="23" t="n">
        <f aca="false">D604*(1+cc_g)</f>
        <v>28.5055042427612</v>
      </c>
      <c r="F604" s="23" t="n">
        <f aca="false">E604*(1+cc_g)</f>
        <v>29.0756143276165</v>
      </c>
      <c r="G604" s="23" t="n">
        <f aca="false">F604*(1+cc_g)</f>
        <v>29.6571266141688</v>
      </c>
      <c r="K604" s="7" t="s">
        <v>546</v>
      </c>
    </row>
    <row r="605" customFormat="false" ht="17.15" hidden="false" customHeight="false" outlineLevel="0" collapsed="false">
      <c r="A605" s="3" t="s">
        <v>547</v>
      </c>
      <c r="B605" s="0" t="s">
        <v>181</v>
      </c>
      <c r="D605" s="23" t="n">
        <f aca="false">D604*D589/1000</f>
        <v>127.2556948</v>
      </c>
      <c r="E605" s="23" t="n">
        <f aca="false">E604*E589/1000</f>
        <v>122.498212340214</v>
      </c>
      <c r="F605" s="23" t="n">
        <f aca="false">F604*F589/1000</f>
        <v>123.540532572304</v>
      </c>
      <c r="G605" s="23" t="n">
        <f aca="false">G604*G589/1000</f>
        <v>142.220199564449</v>
      </c>
    </row>
    <row r="606" customFormat="false" ht="17.15" hidden="false" customHeight="false" outlineLevel="0" collapsed="false">
      <c r="A606" s="3" t="s">
        <v>548</v>
      </c>
      <c r="B606" s="0" t="s">
        <v>181</v>
      </c>
      <c r="D606" s="23" t="n">
        <f aca="false">m_new*(D596+D598)</f>
        <v>4.266</v>
      </c>
      <c r="E606" s="23" t="n">
        <f aca="false">m_new*(E596+E598)</f>
        <v>5.184</v>
      </c>
      <c r="F606" s="23" t="n">
        <f aca="false">m_new*(F596+F598)</f>
        <v>4.51008</v>
      </c>
      <c r="G606" s="23" t="n">
        <f aca="false">m_new*(G596+G598)</f>
        <v>7.691616</v>
      </c>
    </row>
    <row r="607" customFormat="false" ht="15" hidden="false" customHeight="false" outlineLevel="0" collapsed="false">
      <c r="A607" s="3" t="s">
        <v>411</v>
      </c>
      <c r="B607" s="0" t="s">
        <v>181</v>
      </c>
      <c r="C607" s="23" t="n">
        <f aca="false">a25_gp</f>
        <v>68.906</v>
      </c>
      <c r="D607" s="23" t="n">
        <f aca="false">D593-D603-D605+D606</f>
        <v>91.0920852</v>
      </c>
      <c r="E607" s="23" t="n">
        <f aca="false">E593-E603-E605+E606</f>
        <v>78.0509161514458</v>
      </c>
      <c r="F607" s="23" t="n">
        <f aca="false">F593-F603-F605+F606</f>
        <v>51.8116169349181</v>
      </c>
      <c r="G607" s="23" t="n">
        <f aca="false">G593-G603-G605+G606</f>
        <v>53.5266264791432</v>
      </c>
    </row>
    <row r="608" customFormat="false" ht="15" hidden="false" customHeight="false" outlineLevel="0" collapsed="false">
      <c r="A608" s="3" t="s">
        <v>413</v>
      </c>
      <c r="B608" s="0" t="s">
        <v>69</v>
      </c>
      <c r="C608" s="15" t="n">
        <f aca="false">C607/C599</f>
        <v>0.290065795843454</v>
      </c>
      <c r="D608" s="15" t="n">
        <f aca="false">D607/D599</f>
        <v>0.325638488136828</v>
      </c>
      <c r="E608" s="15" t="n">
        <f aca="false">E607/E599</f>
        <v>0.289294150162174</v>
      </c>
      <c r="F608" s="15" t="n">
        <f aca="false">F607/F599</f>
        <v>0.207189802565824</v>
      </c>
      <c r="G608" s="15" t="n">
        <f aca="false">G607/G599</f>
        <v>0.191243084328227</v>
      </c>
    </row>
    <row r="609" customFormat="false" ht="15" hidden="false" customHeight="false" outlineLevel="0" collapsed="false">
      <c r="A609" s="3" t="s">
        <v>415</v>
      </c>
      <c r="B609" s="0" t="s">
        <v>181</v>
      </c>
      <c r="C609" s="23" t="n">
        <f aca="false">a25_opx</f>
        <v>25.056</v>
      </c>
      <c r="D609" s="23" t="n">
        <f aca="false">a26_opx</f>
        <v>27.23586</v>
      </c>
      <c r="E609" s="23" t="n">
        <f aca="false">D609*(1+MAX(g_opx_min,phi*E601))</f>
        <v>28.0529358</v>
      </c>
      <c r="F609" s="23" t="n">
        <f aca="false">E609*(1+MAX(g_opx_min,phi*F601))</f>
        <v>28.894523874</v>
      </c>
      <c r="G609" s="23" t="n">
        <f aca="false">F609*(1+MAX(g_opx_min,phi*G601))</f>
        <v>30.6172951144124</v>
      </c>
    </row>
    <row r="610" customFormat="false" ht="15" hidden="false" customHeight="false" outlineLevel="0" collapsed="false">
      <c r="A610" s="3" t="s">
        <v>418</v>
      </c>
      <c r="B610" s="0" t="s">
        <v>181</v>
      </c>
      <c r="C610" s="23" t="n">
        <f aca="false">C607-C609</f>
        <v>43.85</v>
      </c>
      <c r="D610" s="23" t="n">
        <f aca="false">D607-D609</f>
        <v>63.8562252</v>
      </c>
      <c r="E610" s="23" t="n">
        <f aca="false">E607-E609</f>
        <v>49.9979803514458</v>
      </c>
      <c r="F610" s="23" t="n">
        <f aca="false">F607-F609</f>
        <v>22.9170930609181</v>
      </c>
      <c r="G610" s="23" t="n">
        <f aca="false">G607-G609</f>
        <v>22.9093313647308</v>
      </c>
    </row>
    <row r="611" customFormat="false" ht="15" hidden="false" customHeight="false" outlineLevel="0" collapsed="false">
      <c r="A611" s="3" t="s">
        <v>515</v>
      </c>
      <c r="B611" s="0" t="s">
        <v>69</v>
      </c>
      <c r="C611" s="15" t="n">
        <f aca="false">C610/C599</f>
        <v>0.184590386145408</v>
      </c>
      <c r="D611" s="15" t="n">
        <f aca="false">D610/D599</f>
        <v>0.228274987740129</v>
      </c>
      <c r="E611" s="15" t="n">
        <f aca="false">E610/E599</f>
        <v>0.185316508105186</v>
      </c>
      <c r="F611" s="15" t="n">
        <f aca="false">F610/F599</f>
        <v>0.0916433083460522</v>
      </c>
      <c r="G611" s="15" t="n">
        <f aca="false">G610/G599</f>
        <v>0.0818518086843314</v>
      </c>
    </row>
    <row r="612" customFormat="false" ht="15" hidden="false" customHeight="false" outlineLevel="0" collapsed="false">
      <c r="A612" s="3" t="s">
        <v>421</v>
      </c>
      <c r="B612" s="0" t="s">
        <v>181</v>
      </c>
      <c r="C612" s="23" t="n">
        <f aca="false">a25_nonop</f>
        <v>5.805</v>
      </c>
      <c r="D612" s="23" t="n">
        <f aca="false">a26_nonop</f>
        <v>38.372</v>
      </c>
      <c r="E612" s="23" t="n">
        <f aca="false">nonop_f</f>
        <v>4</v>
      </c>
      <c r="F612" s="23" t="n">
        <f aca="false">nonop_f</f>
        <v>4</v>
      </c>
      <c r="G612" s="23" t="n">
        <f aca="false">nonop_f</f>
        <v>4</v>
      </c>
    </row>
    <row r="613" customFormat="false" ht="15" hidden="false" customHeight="false" outlineLevel="0" collapsed="false">
      <c r="A613" s="3" t="s">
        <v>423</v>
      </c>
      <c r="B613" s="0" t="s">
        <v>181</v>
      </c>
      <c r="C613" s="23" t="n">
        <f aca="false">C610+C612</f>
        <v>49.655</v>
      </c>
      <c r="D613" s="23" t="n">
        <f aca="false">D610+D612</f>
        <v>102.2282252</v>
      </c>
      <c r="E613" s="23" t="n">
        <f aca="false">E610+E612</f>
        <v>53.9979803514458</v>
      </c>
      <c r="F613" s="23" t="n">
        <f aca="false">F610+F612</f>
        <v>26.9170930609181</v>
      </c>
      <c r="G613" s="23" t="n">
        <f aca="false">G610+G612</f>
        <v>26.9093313647308</v>
      </c>
    </row>
    <row r="614" customFormat="false" ht="15" hidden="false" customHeight="false" outlineLevel="0" collapsed="false">
      <c r="A614" s="3" t="s">
        <v>425</v>
      </c>
      <c r="B614" s="0" t="s">
        <v>181</v>
      </c>
      <c r="C614" s="23" t="n">
        <f aca="false">a25_tax</f>
        <v>7.939</v>
      </c>
      <c r="D614" s="23" t="n">
        <f aca="false">a26_tax</f>
        <v>10.493828284</v>
      </c>
      <c r="E614" s="23" t="n">
        <f aca="false">E613*tax</f>
        <v>8.09969705271687</v>
      </c>
      <c r="F614" s="23" t="n">
        <f aca="false">F613*tax</f>
        <v>4.03756395913772</v>
      </c>
      <c r="G614" s="23" t="n">
        <f aca="false">G613*tax</f>
        <v>4.03639970470962</v>
      </c>
    </row>
    <row r="615" customFormat="false" ht="17.15" hidden="false" customHeight="false" outlineLevel="0" collapsed="false">
      <c r="A615" s="3" t="s">
        <v>549</v>
      </c>
      <c r="B615" s="0" t="s">
        <v>181</v>
      </c>
      <c r="C615" s="23" t="n">
        <f aca="false">a25_mi</f>
        <v>0</v>
      </c>
      <c r="D615" s="23" t="n">
        <f aca="false">a26_mi</f>
        <v>-0.134999999999987</v>
      </c>
      <c r="E615" s="23" t="n">
        <f aca="false">0</f>
        <v>0</v>
      </c>
      <c r="F615" s="23" t="n">
        <f aca="false">0</f>
        <v>0</v>
      </c>
      <c r="G615" s="23" t="n">
        <f aca="false">0</f>
        <v>0</v>
      </c>
      <c r="K615" s="7" t="s">
        <v>550</v>
      </c>
    </row>
    <row r="616" customFormat="false" ht="15" hidden="false" customHeight="false" outlineLevel="0" collapsed="false">
      <c r="A616" s="3" t="s">
        <v>428</v>
      </c>
      <c r="B616" s="0" t="s">
        <v>181</v>
      </c>
      <c r="C616" s="23" t="n">
        <f aca="false">C613-C614-C615</f>
        <v>41.716</v>
      </c>
      <c r="D616" s="23" t="n">
        <f aca="false">D613-D614-D615</f>
        <v>91.869396916</v>
      </c>
      <c r="E616" s="23" t="n">
        <f aca="false">E613-E614-E615</f>
        <v>45.8982832987289</v>
      </c>
      <c r="F616" s="23" t="n">
        <f aca="false">F613-F614-F615</f>
        <v>22.8795291017804</v>
      </c>
      <c r="G616" s="23" t="n">
        <f aca="false">G613-G614-G615</f>
        <v>22.8729316600212</v>
      </c>
      <c r="H616" s="30" t="n">
        <f aca="false">H599*H620</f>
        <v>23.1874977611053</v>
      </c>
      <c r="I616" s="30" t="n">
        <f aca="false">I599*I620</f>
        <v>22.6741661673203</v>
      </c>
      <c r="J616" s="30" t="n">
        <f aca="false">J599*J620</f>
        <v>21.3485995298462</v>
      </c>
    </row>
    <row r="617" customFormat="false" ht="15" hidden="false" customHeight="false" outlineLevel="0" collapsed="false">
      <c r="A617" s="3" t="s">
        <v>551</v>
      </c>
      <c r="B617" s="3" t="s">
        <v>250</v>
      </c>
      <c r="C617" s="9" t="n">
        <f aca="false">a25_sh</f>
        <v>12.4898203592814</v>
      </c>
      <c r="D617" s="9" t="n">
        <f aca="false">a26_sh</f>
        <v>12.4754339027235</v>
      </c>
      <c r="E617" s="9" t="n">
        <f aca="false">q_sh*(1+sh_g)</f>
        <v>12.45</v>
      </c>
      <c r="F617" s="9" t="n">
        <f aca="false">E617*(1+sh_g)</f>
        <v>12.45</v>
      </c>
      <c r="G617" s="9" t="n">
        <f aca="false">F617*(1+sh_g)</f>
        <v>12.45</v>
      </c>
      <c r="H617" s="32" t="n">
        <f aca="false">G617*(1+sh_g)</f>
        <v>12.45</v>
      </c>
      <c r="I617" s="32" t="n">
        <f aca="false">H617*(1+sh_g)</f>
        <v>12.45</v>
      </c>
      <c r="J617" s="32" t="n">
        <f aca="false">I617*(1+sh_g)</f>
        <v>12.45</v>
      </c>
    </row>
    <row r="618" customFormat="false" ht="17.15" hidden="false" customHeight="false" outlineLevel="0" collapsed="false">
      <c r="A618" s="0" t="s">
        <v>434</v>
      </c>
      <c r="B618" s="0" t="s">
        <v>260</v>
      </c>
      <c r="C618" s="23" t="n">
        <f aca="false">C616/C617</f>
        <v>3.34</v>
      </c>
      <c r="D618" s="23" t="n">
        <f aca="false">D616/D617</f>
        <v>7.36402418002826</v>
      </c>
      <c r="E618" s="23" t="n">
        <f aca="false">E616/E617</f>
        <v>3.68660910029951</v>
      </c>
      <c r="F618" s="23" t="n">
        <f aca="false">F616/F617</f>
        <v>1.8377131808659</v>
      </c>
      <c r="G618" s="23" t="n">
        <f aca="false">G616/G617</f>
        <v>1.83718326586516</v>
      </c>
      <c r="H618" s="30" t="n">
        <f aca="false">H616/H617</f>
        <v>1.86244961936589</v>
      </c>
      <c r="I618" s="30" t="n">
        <f aca="false">I616/I617</f>
        <v>1.82121816604983</v>
      </c>
      <c r="J618" s="30" t="n">
        <f aca="false">J616/J617</f>
        <v>1.71474695018845</v>
      </c>
    </row>
    <row r="619" customFormat="false" ht="17.15" hidden="false" customHeight="false" outlineLevel="0" collapsed="false">
      <c r="A619" s="0" t="s">
        <v>552</v>
      </c>
      <c r="B619" s="0" t="s">
        <v>69</v>
      </c>
      <c r="D619" s="21" t="n">
        <f aca="false">D618/C618-1</f>
        <v>1.2047976586911</v>
      </c>
      <c r="E619" s="21" t="n">
        <f aca="false">E618/D618-1</f>
        <v>-0.499375747529748</v>
      </c>
      <c r="F619" s="21" t="n">
        <f aca="false">F618/E618-1</f>
        <v>-0.501516669961946</v>
      </c>
      <c r="G619" s="21" t="n">
        <f aca="false">G618/F618-1</f>
        <v>-0.000288355661948847</v>
      </c>
      <c r="H619" s="28" t="n">
        <f aca="false">H618/G618-1</f>
        <v>0.0137527670593258</v>
      </c>
      <c r="I619" s="28" t="n">
        <f aca="false">I618/H618-1</f>
        <v>-0.022138291896509</v>
      </c>
      <c r="J619" s="28" t="n">
        <f aca="false">J618/I618-1</f>
        <v>-0.0584615384615383</v>
      </c>
    </row>
    <row r="620" customFormat="false" ht="17.15" hidden="false" customHeight="false" outlineLevel="0" collapsed="false">
      <c r="A620" s="3" t="s">
        <v>553</v>
      </c>
      <c r="B620" s="0" t="s">
        <v>69</v>
      </c>
      <c r="C620" s="15" t="n">
        <f aca="false">C616/C599</f>
        <v>0.175607127672562</v>
      </c>
      <c r="D620" s="15" t="n">
        <f aca="false">D616/D599</f>
        <v>0.328417243409073</v>
      </c>
      <c r="E620" s="15" t="n">
        <f aca="false">E616/E599</f>
        <v>0.170121063474058</v>
      </c>
      <c r="F620" s="15" t="n">
        <f aca="false">F616/F599</f>
        <v>0.0914930935923396</v>
      </c>
      <c r="G620" s="15" t="n">
        <f aca="false">G616/G599</f>
        <v>0.081721757675045</v>
      </c>
      <c r="H620" s="29" t="n">
        <f aca="false">$G620+($G$620*0.8-$G620)*1/3</f>
        <v>0.0762736404967087</v>
      </c>
      <c r="I620" s="29" t="n">
        <f aca="false">$G620+($G$620*0.8-$G620)*2/3</f>
        <v>0.0708255233183724</v>
      </c>
      <c r="J620" s="29" t="n">
        <f aca="false">$G620+($G$620*0.8-$G620)*3/3</f>
        <v>0.065377406140036</v>
      </c>
    </row>
    <row r="623" customFormat="false" ht="17.15" hidden="false" customHeight="false" outlineLevel="0" collapsed="false">
      <c r="A623" s="1" t="s">
        <v>852</v>
      </c>
    </row>
    <row r="624" customFormat="false" ht="17.15" hidden="false" customHeight="false" outlineLevel="0" collapsed="false">
      <c r="A624" s="4" t="s">
        <v>24</v>
      </c>
      <c r="B624" s="4" t="s">
        <v>25</v>
      </c>
      <c r="C624" s="16" t="s">
        <v>387</v>
      </c>
      <c r="D624" s="16" t="s">
        <v>505</v>
      </c>
      <c r="E624" s="16" t="s">
        <v>467</v>
      </c>
      <c r="F624" s="16" t="s">
        <v>468</v>
      </c>
      <c r="G624" s="16" t="s">
        <v>469</v>
      </c>
      <c r="H624" s="16" t="s">
        <v>506</v>
      </c>
      <c r="I624" s="16" t="s">
        <v>507</v>
      </c>
      <c r="J624" s="16" t="s">
        <v>508</v>
      </c>
      <c r="K624" s="4" t="s">
        <v>345</v>
      </c>
    </row>
    <row r="625" customFormat="false" ht="17.15" hidden="false" customHeight="false" outlineLevel="0" collapsed="false">
      <c r="A625" s="5" t="s">
        <v>526</v>
      </c>
    </row>
    <row r="626" customFormat="false" ht="17.15" hidden="false" customHeight="false" outlineLevel="0" collapsed="false">
      <c r="A626" s="3" t="s">
        <v>527</v>
      </c>
      <c r="B626" s="3" t="s">
        <v>64</v>
      </c>
      <c r="D626" s="22" t="n">
        <f aca="false">cap_26</f>
        <v>5230.46851955216</v>
      </c>
      <c r="E626" s="22" t="n">
        <f aca="false">D626*(1+capg27)*cap_adj</f>
        <v>5439.68726033425</v>
      </c>
      <c r="F626" s="22" t="n">
        <f aca="false">E626*(1+capg28)</f>
        <v>5820.46536855765</v>
      </c>
      <c r="G626" s="22" t="n">
        <f aca="false">F626*(1+capg29)</f>
        <v>6227.89794435668</v>
      </c>
    </row>
    <row r="627" customFormat="false" ht="15" hidden="false" customHeight="false" outlineLevel="0" collapsed="false">
      <c r="A627" s="3" t="s">
        <v>528</v>
      </c>
      <c r="B627" s="0" t="s">
        <v>69</v>
      </c>
      <c r="D627" s="21" t="n">
        <f aca="false">a26_ship/cap_26</f>
        <v>0.870578781414787</v>
      </c>
      <c r="E627" s="21" t="n">
        <f aca="false">MIN(0.98,ut27_A+ut_adj_hi)</f>
        <v>0.98</v>
      </c>
      <c r="F627" s="21" t="n">
        <f aca="false">MIN(0.98,ut28_A+ut_adj_hi)</f>
        <v>0.97</v>
      </c>
      <c r="G627" s="21" t="n">
        <f aca="false">MIN(0.98,ut29_A+ut_adj_hi)</f>
        <v>0.96</v>
      </c>
    </row>
    <row r="628" customFormat="false" ht="17.15" hidden="false" customHeight="false" outlineLevel="0" collapsed="false">
      <c r="A628" s="3" t="s">
        <v>529</v>
      </c>
      <c r="B628" s="3" t="s">
        <v>64</v>
      </c>
      <c r="D628" s="22" t="n">
        <f aca="false">D626*D627</f>
        <v>4553.53490998013</v>
      </c>
      <c r="E628" s="22" t="n">
        <f aca="false">E626*E627</f>
        <v>5330.89351512757</v>
      </c>
      <c r="F628" s="22" t="n">
        <f aca="false">F626*F627</f>
        <v>5645.85140750092</v>
      </c>
      <c r="G628" s="22" t="n">
        <f aca="false">G626*G627</f>
        <v>5978.78202658242</v>
      </c>
    </row>
    <row r="629" customFormat="false" ht="17.15" hidden="false" customHeight="false" outlineLevel="0" collapsed="false">
      <c r="A629" s="3" t="s">
        <v>530</v>
      </c>
      <c r="B629" s="0" t="s">
        <v>109</v>
      </c>
      <c r="D629" s="22" t="n">
        <f aca="false">asp_26</f>
        <v>1878.17486396824</v>
      </c>
      <c r="E629" s="22" t="n">
        <f aca="false">D629*(1+asp27_A)*(1+asp_adj)</f>
        <v>2065.99235036507</v>
      </c>
      <c r="F629" s="22" t="n">
        <f aca="false">E629*(1+asp28_A)</f>
        <v>2127.97212087602</v>
      </c>
      <c r="G629" s="22" t="n">
        <f aca="false">F629*(1+asp29_A)</f>
        <v>2170.53156329354</v>
      </c>
    </row>
    <row r="630" customFormat="false" ht="15" hidden="false" customHeight="false" outlineLevel="0" collapsed="false">
      <c r="A630" s="3" t="s">
        <v>531</v>
      </c>
      <c r="B630" s="0" t="s">
        <v>69</v>
      </c>
      <c r="E630" s="21" t="n">
        <f aca="false">E629/D629-1</f>
        <v>0.1</v>
      </c>
      <c r="F630" s="21" t="n">
        <f aca="false">F629/E629-1</f>
        <v>0.03</v>
      </c>
      <c r="G630" s="21" t="n">
        <f aca="false">G629/F629-1</f>
        <v>0.02</v>
      </c>
    </row>
    <row r="631" customFormat="false" ht="15" hidden="false" customHeight="false" outlineLevel="0" collapsed="false">
      <c r="A631" s="3" t="s">
        <v>532</v>
      </c>
      <c r="B631" s="0" t="s">
        <v>35</v>
      </c>
      <c r="D631" s="23" t="n">
        <f aca="false">fx_26</f>
        <v>31.6</v>
      </c>
      <c r="E631" s="23" t="n">
        <f aca="false">fx</f>
        <v>32</v>
      </c>
      <c r="F631" s="23" t="n">
        <f aca="false">fx</f>
        <v>32</v>
      </c>
      <c r="G631" s="23" t="n">
        <f aca="false">fx</f>
        <v>32</v>
      </c>
    </row>
    <row r="632" customFormat="false" ht="17.15" hidden="false" customHeight="false" outlineLevel="0" collapsed="false">
      <c r="A632" s="3" t="s">
        <v>533</v>
      </c>
      <c r="B632" s="0" t="s">
        <v>181</v>
      </c>
      <c r="D632" s="23" t="n">
        <f aca="false">D628*D629*D631/1000000</f>
        <v>270.25378</v>
      </c>
      <c r="E632" s="23" t="n">
        <f aca="false">E628*E629*E631/1000000</f>
        <v>352.434727131658</v>
      </c>
      <c r="F632" s="23" t="n">
        <f aca="false">F628*F629*F631/1000000</f>
        <v>384.454860600659</v>
      </c>
      <c r="G632" s="23" t="n">
        <f aca="false">G628*G629*G631/1000000</f>
        <v>415.268323159976</v>
      </c>
    </row>
    <row r="633" customFormat="false" ht="17.15" hidden="false" customHeight="false" outlineLevel="0" collapsed="false">
      <c r="A633" s="5" t="s">
        <v>534</v>
      </c>
    </row>
    <row r="634" customFormat="false" ht="17.15" hidden="false" customHeight="false" outlineLevel="0" collapsed="false">
      <c r="A634" s="0" t="s">
        <v>535</v>
      </c>
      <c r="B634" s="0" t="s">
        <v>138</v>
      </c>
      <c r="D634" s="25" t="n">
        <f aca="false">ai_26</f>
        <v>0.3</v>
      </c>
      <c r="E634" s="25" t="n">
        <f aca="false">D634*(1+aig27_A)*ai_adj</f>
        <v>0.48</v>
      </c>
      <c r="F634" s="25" t="n">
        <f aca="false">E634*(1+aig_L)*um28_A</f>
        <v>0.696</v>
      </c>
      <c r="G634" s="25" t="n">
        <f aca="false">F634/um28_A*(1+aig_L)*um29_A</f>
        <v>1.0092</v>
      </c>
    </row>
    <row r="635" customFormat="false" ht="17.15" hidden="false" customHeight="false" outlineLevel="0" collapsed="false">
      <c r="A635" s="0" t="s">
        <v>536</v>
      </c>
      <c r="B635" s="0" t="s">
        <v>181</v>
      </c>
      <c r="D635" s="23" t="n">
        <f aca="false">D634*D631</f>
        <v>9.48</v>
      </c>
      <c r="E635" s="23" t="n">
        <f aca="false">E634*E631</f>
        <v>15.36</v>
      </c>
      <c r="F635" s="23" t="n">
        <f aca="false">F634*F631</f>
        <v>22.272</v>
      </c>
      <c r="G635" s="23" t="n">
        <f aca="false">G634*G631</f>
        <v>32.2944</v>
      </c>
    </row>
    <row r="636" customFormat="false" ht="17.15" hidden="false" customHeight="false" outlineLevel="0" collapsed="false">
      <c r="A636" s="0" t="s">
        <v>537</v>
      </c>
      <c r="B636" s="0" t="s">
        <v>138</v>
      </c>
      <c r="D636" s="25" t="n">
        <f aca="false">0</f>
        <v>0</v>
      </c>
      <c r="E636" s="25" t="n">
        <f aca="false">int_27</f>
        <v>0</v>
      </c>
      <c r="F636" s="25" t="n">
        <f aca="false">int28_A</f>
        <v>0.25</v>
      </c>
      <c r="G636" s="25" t="n">
        <f aca="false">int29_A</f>
        <v>0.5</v>
      </c>
    </row>
    <row r="637" customFormat="false" ht="17.15" hidden="false" customHeight="false" outlineLevel="0" collapsed="false">
      <c r="A637" s="0" t="s">
        <v>538</v>
      </c>
      <c r="B637" s="0" t="s">
        <v>181</v>
      </c>
      <c r="D637" s="23" t="n">
        <f aca="false">D636*D631</f>
        <v>0</v>
      </c>
      <c r="E637" s="23" t="n">
        <f aca="false">E636*E631</f>
        <v>0</v>
      </c>
      <c r="F637" s="23" t="n">
        <f aca="false">F636*F631</f>
        <v>8</v>
      </c>
      <c r="G637" s="23" t="n">
        <f aca="false">G636*G631</f>
        <v>16</v>
      </c>
    </row>
    <row r="638" customFormat="false" ht="17.15" hidden="false" customHeight="false" outlineLevel="0" collapsed="false">
      <c r="A638" s="3" t="s">
        <v>393</v>
      </c>
      <c r="B638" s="0" t="s">
        <v>181</v>
      </c>
      <c r="C638" s="23" t="n">
        <f aca="false">a25_rev</f>
        <v>237.553</v>
      </c>
      <c r="D638" s="23" t="n">
        <f aca="false">D632+D635+D637</f>
        <v>279.73378</v>
      </c>
      <c r="E638" s="23" t="n">
        <f aca="false">E632+E635+E637</f>
        <v>367.794727131658</v>
      </c>
      <c r="F638" s="23" t="n">
        <f aca="false">F632+F635+F637</f>
        <v>414.726860600659</v>
      </c>
      <c r="G638" s="23" t="n">
        <f aca="false">G632+G635+G637</f>
        <v>463.562723159976</v>
      </c>
      <c r="H638" s="30" t="n">
        <f aca="false">G638*(1+H640)</f>
        <v>509.224973861159</v>
      </c>
      <c r="I638" s="30" t="n">
        <f aca="false">H638*(1+I640)</f>
        <v>549.581779408148</v>
      </c>
      <c r="J638" s="30" t="n">
        <f aca="false">I638*(1+J640)</f>
        <v>582.556686172637</v>
      </c>
      <c r="K638" s="7" t="s">
        <v>539</v>
      </c>
    </row>
    <row r="639" customFormat="false" ht="17.15" hidden="false" customHeight="false" outlineLevel="0" collapsed="false">
      <c r="A639" s="0" t="s">
        <v>540</v>
      </c>
      <c r="B639" s="0" t="s">
        <v>69</v>
      </c>
      <c r="D639" s="21" t="n">
        <f aca="false">D635/D638</f>
        <v>0.0338893643806622</v>
      </c>
      <c r="E639" s="21" t="n">
        <f aca="false">E635/E638</f>
        <v>0.0417624257960111</v>
      </c>
      <c r="F639" s="21" t="n">
        <f aca="false">F635/F638</f>
        <v>0.053702815312572</v>
      </c>
      <c r="G639" s="21" t="n">
        <f aca="false">G635/G638</f>
        <v>0.0696656533982245</v>
      </c>
    </row>
    <row r="640" customFormat="false" ht="15" hidden="false" customHeight="false" outlineLevel="0" collapsed="false">
      <c r="A640" s="3" t="s">
        <v>541</v>
      </c>
      <c r="B640" s="0" t="s">
        <v>69</v>
      </c>
      <c r="D640" s="21" t="n">
        <f aca="false">D638/C638-1</f>
        <v>0.177563659478096</v>
      </c>
      <c r="E640" s="21" t="n">
        <f aca="false">E638/D638-1</f>
        <v>0.314802692515926</v>
      </c>
      <c r="F640" s="21" t="n">
        <f aca="false">F638/E638-1</f>
        <v>0.127604149833832</v>
      </c>
      <c r="G640" s="21" t="n">
        <f aca="false">G638/F638-1</f>
        <v>0.117754279258853</v>
      </c>
      <c r="H640" s="28" t="n">
        <f aca="false">$G640+(fade_gA-$G640)*1/3</f>
        <v>0.0985028528392351</v>
      </c>
      <c r="I640" s="28" t="n">
        <f aca="false">$G640+(fade_gA-$G640)*2/3</f>
        <v>0.0792514264196176</v>
      </c>
      <c r="J640" s="28" t="n">
        <f aca="false">$G640+(fade_gA-$G640)*3/3</f>
        <v>0.06</v>
      </c>
    </row>
    <row r="641" customFormat="false" ht="17.15" hidden="false" customHeight="false" outlineLevel="0" collapsed="false">
      <c r="A641" s="5" t="s">
        <v>542</v>
      </c>
    </row>
    <row r="642" customFormat="false" ht="15" hidden="false" customHeight="false" outlineLevel="0" collapsed="false">
      <c r="A642" s="3" t="s">
        <v>543</v>
      </c>
      <c r="B642" s="0" t="s">
        <v>181</v>
      </c>
      <c r="D642" s="23" t="n">
        <f aca="false">da_tot26*da_sh</f>
        <v>56.172</v>
      </c>
      <c r="E642" s="23" t="n">
        <f aca="false">D642*(1+dag_27+dag_adj)</f>
        <v>62.91264</v>
      </c>
      <c r="F642" s="23" t="n">
        <f aca="false">E642*(1+dag_28+dag_adj)</f>
        <v>69.203904</v>
      </c>
      <c r="G642" s="23" t="n">
        <f aca="false">F642*(1+dag_29+dag_adj)</f>
        <v>74.74021632</v>
      </c>
    </row>
    <row r="643" customFormat="false" ht="17.15" hidden="false" customHeight="false" outlineLevel="0" collapsed="false">
      <c r="A643" s="3" t="s">
        <v>544</v>
      </c>
      <c r="B643" s="0" t="s">
        <v>545</v>
      </c>
      <c r="D643" s="23" t="n">
        <f aca="false">(D638-a26_gp-D642-(1-m_new)*(D635+D637))/D628*1000</f>
        <v>27.9465727870208</v>
      </c>
      <c r="E643" s="23" t="n">
        <f aca="false">D643*(1+cc_g)</f>
        <v>28.5055042427612</v>
      </c>
      <c r="F643" s="23" t="n">
        <f aca="false">E643*(1+cc_g)</f>
        <v>29.0756143276165</v>
      </c>
      <c r="G643" s="23" t="n">
        <f aca="false">F643*(1+cc_g)</f>
        <v>29.6571266141688</v>
      </c>
      <c r="K643" s="7" t="s">
        <v>546</v>
      </c>
    </row>
    <row r="644" customFormat="false" ht="17.15" hidden="false" customHeight="false" outlineLevel="0" collapsed="false">
      <c r="A644" s="3" t="s">
        <v>547</v>
      </c>
      <c r="B644" s="0" t="s">
        <v>181</v>
      </c>
      <c r="D644" s="23" t="n">
        <f aca="false">D643*D628/1000</f>
        <v>127.2556948</v>
      </c>
      <c r="E644" s="23" t="n">
        <f aca="false">E643*E628/1000</f>
        <v>151.959807713177</v>
      </c>
      <c r="F644" s="23" t="n">
        <f aca="false">F643*F628/1000</f>
        <v>164.156598075527</v>
      </c>
      <c r="G644" s="23" t="n">
        <f aca="false">G643*G628/1000</f>
        <v>177.313495560871</v>
      </c>
    </row>
    <row r="645" customFormat="false" ht="17.15" hidden="false" customHeight="false" outlineLevel="0" collapsed="false">
      <c r="A645" s="3" t="s">
        <v>548</v>
      </c>
      <c r="B645" s="0" t="s">
        <v>181</v>
      </c>
      <c r="D645" s="23" t="n">
        <f aca="false">m_new*(D635+D637)</f>
        <v>4.266</v>
      </c>
      <c r="E645" s="23" t="n">
        <f aca="false">m_new*(E635+E637)</f>
        <v>6.912</v>
      </c>
      <c r="F645" s="23" t="n">
        <f aca="false">m_new*(F635+F637)</f>
        <v>13.6224</v>
      </c>
      <c r="G645" s="23" t="n">
        <f aca="false">m_new*(G635+G637)</f>
        <v>21.73248</v>
      </c>
    </row>
    <row r="646" customFormat="false" ht="15" hidden="false" customHeight="false" outlineLevel="0" collapsed="false">
      <c r="A646" s="3" t="s">
        <v>411</v>
      </c>
      <c r="B646" s="0" t="s">
        <v>181</v>
      </c>
      <c r="C646" s="23" t="n">
        <f aca="false">a25_gp</f>
        <v>68.906</v>
      </c>
      <c r="D646" s="23" t="n">
        <f aca="false">D632-D642-D644+D645</f>
        <v>91.0920852</v>
      </c>
      <c r="E646" s="23" t="n">
        <f aca="false">E632-E642-E644+E645</f>
        <v>144.47427941848</v>
      </c>
      <c r="F646" s="23" t="n">
        <f aca="false">F632-F642-F644+F645</f>
        <v>164.716758525132</v>
      </c>
      <c r="G646" s="23" t="n">
        <f aca="false">G632-G642-G644+G645</f>
        <v>184.947091279105</v>
      </c>
    </row>
    <row r="647" customFormat="false" ht="15" hidden="false" customHeight="false" outlineLevel="0" collapsed="false">
      <c r="A647" s="3" t="s">
        <v>413</v>
      </c>
      <c r="B647" s="0" t="s">
        <v>69</v>
      </c>
      <c r="C647" s="15" t="n">
        <f aca="false">C646/C638</f>
        <v>0.290065795843454</v>
      </c>
      <c r="D647" s="15" t="n">
        <f aca="false">D646/D638</f>
        <v>0.325638488136828</v>
      </c>
      <c r="E647" s="15" t="n">
        <f aca="false">E646/E638</f>
        <v>0.392812263909275</v>
      </c>
      <c r="F647" s="15" t="n">
        <f aca="false">F646/F638</f>
        <v>0.397169255655562</v>
      </c>
      <c r="G647" s="15" t="n">
        <f aca="false">G646/G638</f>
        <v>0.398968860175755</v>
      </c>
    </row>
    <row r="648" customFormat="false" ht="15" hidden="false" customHeight="false" outlineLevel="0" collapsed="false">
      <c r="A648" s="3" t="s">
        <v>415</v>
      </c>
      <c r="B648" s="0" t="s">
        <v>181</v>
      </c>
      <c r="C648" s="23" t="n">
        <f aca="false">a25_opx</f>
        <v>25.056</v>
      </c>
      <c r="D648" s="23" t="n">
        <f aca="false">a26_opx</f>
        <v>27.23586</v>
      </c>
      <c r="E648" s="23" t="n">
        <f aca="false">D648*(1+MAX(g_opx_min,phi*E640))</f>
        <v>31.5228210304934</v>
      </c>
      <c r="F648" s="23" t="n">
        <f aca="false">E648*(1+MAX(g_opx_min,phi*F640))</f>
        <v>33.5340424194735</v>
      </c>
      <c r="G648" s="23" t="n">
        <f aca="false">F648*(1+MAX(g_opx_min,phi*G640))</f>
        <v>35.5084309173439</v>
      </c>
    </row>
    <row r="649" customFormat="false" ht="15" hidden="false" customHeight="false" outlineLevel="0" collapsed="false">
      <c r="A649" s="3" t="s">
        <v>418</v>
      </c>
      <c r="B649" s="0" t="s">
        <v>181</v>
      </c>
      <c r="C649" s="23" t="n">
        <f aca="false">C646-C648</f>
        <v>43.85</v>
      </c>
      <c r="D649" s="23" t="n">
        <f aca="false">D646-D648</f>
        <v>63.8562252</v>
      </c>
      <c r="E649" s="23" t="n">
        <f aca="false">E646-E648</f>
        <v>112.951458387987</v>
      </c>
      <c r="F649" s="23" t="n">
        <f aca="false">F646-F648</f>
        <v>131.182716105658</v>
      </c>
      <c r="G649" s="23" t="n">
        <f aca="false">G646-G648</f>
        <v>149.438660361761</v>
      </c>
    </row>
    <row r="650" customFormat="false" ht="15" hidden="false" customHeight="false" outlineLevel="0" collapsed="false">
      <c r="A650" s="3" t="s">
        <v>515</v>
      </c>
      <c r="B650" s="0" t="s">
        <v>69</v>
      </c>
      <c r="C650" s="15" t="n">
        <f aca="false">C649/C638</f>
        <v>0.184590386145408</v>
      </c>
      <c r="D650" s="15" t="n">
        <f aca="false">D649/D638</f>
        <v>0.228274987740129</v>
      </c>
      <c r="E650" s="15" t="n">
        <f aca="false">E649/E638</f>
        <v>0.307104615851533</v>
      </c>
      <c r="F650" s="15" t="n">
        <f aca="false">F649/F638</f>
        <v>0.316311115985261</v>
      </c>
      <c r="G650" s="15" t="n">
        <f aca="false">G649/G638</f>
        <v>0.322369881993702</v>
      </c>
    </row>
    <row r="651" customFormat="false" ht="15" hidden="false" customHeight="false" outlineLevel="0" collapsed="false">
      <c r="A651" s="3" t="s">
        <v>421</v>
      </c>
      <c r="B651" s="0" t="s">
        <v>181</v>
      </c>
      <c r="C651" s="23" t="n">
        <f aca="false">a25_nonop</f>
        <v>5.805</v>
      </c>
      <c r="D651" s="23" t="n">
        <f aca="false">a26_nonop</f>
        <v>38.372</v>
      </c>
      <c r="E651" s="23" t="n">
        <f aca="false">nonop_f</f>
        <v>4</v>
      </c>
      <c r="F651" s="23" t="n">
        <f aca="false">nonop_f</f>
        <v>4</v>
      </c>
      <c r="G651" s="23" t="n">
        <f aca="false">nonop_f</f>
        <v>4</v>
      </c>
    </row>
    <row r="652" customFormat="false" ht="15" hidden="false" customHeight="false" outlineLevel="0" collapsed="false">
      <c r="A652" s="3" t="s">
        <v>423</v>
      </c>
      <c r="B652" s="0" t="s">
        <v>181</v>
      </c>
      <c r="C652" s="23" t="n">
        <f aca="false">C649+C651</f>
        <v>49.655</v>
      </c>
      <c r="D652" s="23" t="n">
        <f aca="false">D649+D651</f>
        <v>102.2282252</v>
      </c>
      <c r="E652" s="23" t="n">
        <f aca="false">E649+E651</f>
        <v>116.951458387987</v>
      </c>
      <c r="F652" s="23" t="n">
        <f aca="false">F649+F651</f>
        <v>135.182716105658</v>
      </c>
      <c r="G652" s="23" t="n">
        <f aca="false">G649+G651</f>
        <v>153.438660361761</v>
      </c>
    </row>
    <row r="653" customFormat="false" ht="15" hidden="false" customHeight="false" outlineLevel="0" collapsed="false">
      <c r="A653" s="3" t="s">
        <v>425</v>
      </c>
      <c r="B653" s="0" t="s">
        <v>181</v>
      </c>
      <c r="C653" s="23" t="n">
        <f aca="false">a25_tax</f>
        <v>7.939</v>
      </c>
      <c r="D653" s="23" t="n">
        <f aca="false">a26_tax</f>
        <v>10.493828284</v>
      </c>
      <c r="E653" s="23" t="n">
        <f aca="false">E652*tax</f>
        <v>17.5427187581981</v>
      </c>
      <c r="F653" s="23" t="n">
        <f aca="false">F652*tax</f>
        <v>20.2774074158487</v>
      </c>
      <c r="G653" s="23" t="n">
        <f aca="false">G652*tax</f>
        <v>23.0157990542641</v>
      </c>
    </row>
    <row r="654" customFormat="false" ht="17.15" hidden="false" customHeight="false" outlineLevel="0" collapsed="false">
      <c r="A654" s="3" t="s">
        <v>549</v>
      </c>
      <c r="B654" s="0" t="s">
        <v>181</v>
      </c>
      <c r="C654" s="23" t="n">
        <f aca="false">a25_mi</f>
        <v>0</v>
      </c>
      <c r="D654" s="23" t="n">
        <f aca="false">a26_mi</f>
        <v>-0.134999999999987</v>
      </c>
      <c r="E654" s="23" t="n">
        <f aca="false">0</f>
        <v>0</v>
      </c>
      <c r="F654" s="23" t="n">
        <f aca="false">0</f>
        <v>0</v>
      </c>
      <c r="G654" s="23" t="n">
        <f aca="false">0</f>
        <v>0</v>
      </c>
      <c r="K654" s="7" t="s">
        <v>550</v>
      </c>
    </row>
    <row r="655" customFormat="false" ht="15" hidden="false" customHeight="false" outlineLevel="0" collapsed="false">
      <c r="A655" s="3" t="s">
        <v>428</v>
      </c>
      <c r="B655" s="0" t="s">
        <v>181</v>
      </c>
      <c r="C655" s="23" t="n">
        <f aca="false">C652-C653-C654</f>
        <v>41.716</v>
      </c>
      <c r="D655" s="23" t="n">
        <f aca="false">D652-D653-D654</f>
        <v>91.869396916</v>
      </c>
      <c r="E655" s="23" t="n">
        <f aca="false">E652-E653-E654</f>
        <v>99.408739629789</v>
      </c>
      <c r="F655" s="23" t="n">
        <f aca="false">F652-F653-F654</f>
        <v>114.90530868981</v>
      </c>
      <c r="G655" s="23" t="n">
        <f aca="false">G652-G653-G654</f>
        <v>130.422861307497</v>
      </c>
      <c r="H655" s="30" t="n">
        <f aca="false">H638*H659</f>
        <v>143.269885221741</v>
      </c>
      <c r="I655" s="30" t="n">
        <f aca="false">I638*I659</f>
        <v>154.624227988539</v>
      </c>
      <c r="J655" s="30" t="n">
        <f aca="false">J638*J659</f>
        <v>163.901681667851</v>
      </c>
    </row>
    <row r="656" customFormat="false" ht="15" hidden="false" customHeight="false" outlineLevel="0" collapsed="false">
      <c r="A656" s="3" t="s">
        <v>551</v>
      </c>
      <c r="B656" s="3" t="s">
        <v>250</v>
      </c>
      <c r="C656" s="9" t="n">
        <f aca="false">a25_sh</f>
        <v>12.4898203592814</v>
      </c>
      <c r="D656" s="9" t="n">
        <f aca="false">a26_sh</f>
        <v>12.4754339027235</v>
      </c>
      <c r="E656" s="9" t="n">
        <f aca="false">q_sh*(1+sh_g)</f>
        <v>12.45</v>
      </c>
      <c r="F656" s="9" t="n">
        <f aca="false">E656*(1+sh_g)</f>
        <v>12.45</v>
      </c>
      <c r="G656" s="9" t="n">
        <f aca="false">F656*(1+sh_g)</f>
        <v>12.45</v>
      </c>
      <c r="H656" s="32" t="n">
        <f aca="false">G656*(1+sh_g)</f>
        <v>12.45</v>
      </c>
      <c r="I656" s="32" t="n">
        <f aca="false">H656*(1+sh_g)</f>
        <v>12.45</v>
      </c>
      <c r="J656" s="32" t="n">
        <f aca="false">I656*(1+sh_g)</f>
        <v>12.45</v>
      </c>
    </row>
    <row r="657" customFormat="false" ht="17.15" hidden="false" customHeight="false" outlineLevel="0" collapsed="false">
      <c r="A657" s="0" t="s">
        <v>434</v>
      </c>
      <c r="B657" s="0" t="s">
        <v>260</v>
      </c>
      <c r="C657" s="23" t="n">
        <f aca="false">C655/C656</f>
        <v>3.34</v>
      </c>
      <c r="D657" s="23" t="n">
        <f aca="false">D655/D656</f>
        <v>7.36402418002826</v>
      </c>
      <c r="E657" s="23" t="n">
        <f aca="false">E655/E656</f>
        <v>7.98463772126819</v>
      </c>
      <c r="F657" s="23" t="n">
        <f aca="false">F655/F656</f>
        <v>9.22934206343852</v>
      </c>
      <c r="G657" s="23" t="n">
        <f aca="false">G655/G656</f>
        <v>10.4757318319275</v>
      </c>
      <c r="H657" s="30" t="n">
        <f aca="false">H655/H656</f>
        <v>11.5076213029511</v>
      </c>
      <c r="I657" s="30" t="n">
        <f aca="false">I655/I656</f>
        <v>12.4196167059067</v>
      </c>
      <c r="J657" s="30" t="n">
        <f aca="false">J655/J656</f>
        <v>13.1647937082612</v>
      </c>
    </row>
    <row r="658" customFormat="false" ht="17.15" hidden="false" customHeight="false" outlineLevel="0" collapsed="false">
      <c r="A658" s="0" t="s">
        <v>552</v>
      </c>
      <c r="B658" s="0" t="s">
        <v>69</v>
      </c>
      <c r="D658" s="21" t="n">
        <f aca="false">D657/C657-1</f>
        <v>1.2047976586911</v>
      </c>
      <c r="E658" s="21" t="n">
        <f aca="false">E657/D657-1</f>
        <v>0.0842764127422442</v>
      </c>
      <c r="F658" s="21" t="n">
        <f aca="false">F657/E657-1</f>
        <v>0.155887390965139</v>
      </c>
      <c r="G658" s="21" t="n">
        <f aca="false">G657/F657-1</f>
        <v>0.135046437754911</v>
      </c>
      <c r="H658" s="28" t="n">
        <f aca="false">H657/G657-1</f>
        <v>0.0985028528392349</v>
      </c>
      <c r="I658" s="28" t="n">
        <f aca="false">I657/H657-1</f>
        <v>0.0792514264196178</v>
      </c>
      <c r="J658" s="28" t="n">
        <f aca="false">J657/I657-1</f>
        <v>0.0600000000000001</v>
      </c>
    </row>
    <row r="659" customFormat="false" ht="17.15" hidden="false" customHeight="false" outlineLevel="0" collapsed="false">
      <c r="A659" s="3" t="s">
        <v>553</v>
      </c>
      <c r="B659" s="0" t="s">
        <v>69</v>
      </c>
      <c r="C659" s="15" t="n">
        <f aca="false">C655/C638</f>
        <v>0.175607127672562</v>
      </c>
      <c r="D659" s="15" t="n">
        <f aca="false">D655/D638</f>
        <v>0.328417243409073</v>
      </c>
      <c r="E659" s="15" t="n">
        <f aca="false">E655/E638</f>
        <v>0.270283210433857</v>
      </c>
      <c r="F659" s="15" t="n">
        <f aca="false">F655/F638</f>
        <v>0.277062615436554</v>
      </c>
      <c r="G659" s="15" t="n">
        <f aca="false">G655/G638</f>
        <v>0.281348897983947</v>
      </c>
      <c r="H659" s="29" t="n">
        <f aca="false">$G659+($G$659*1-$G659)*1/3</f>
        <v>0.281348897983947</v>
      </c>
      <c r="I659" s="29" t="n">
        <f aca="false">$G659+($G$659*1-$G659)*2/3</f>
        <v>0.281348897983947</v>
      </c>
      <c r="J659" s="29" t="n">
        <f aca="false">$G659+($G$659*1-$G659)*3/3</f>
        <v>0.281348897983947</v>
      </c>
    </row>
    <row r="662" customFormat="false" ht="17.15" hidden="false" customHeight="false" outlineLevel="0" collapsed="false">
      <c r="A662" s="1" t="s">
        <v>853</v>
      </c>
    </row>
    <row r="663" customFormat="false" ht="17.15" hidden="false" customHeight="false" outlineLevel="0" collapsed="false">
      <c r="A663" s="4" t="s">
        <v>24</v>
      </c>
      <c r="B663" s="4" t="s">
        <v>25</v>
      </c>
      <c r="C663" s="16" t="s">
        <v>387</v>
      </c>
      <c r="D663" s="16" t="s">
        <v>505</v>
      </c>
      <c r="E663" s="16" t="s">
        <v>467</v>
      </c>
      <c r="F663" s="16" t="s">
        <v>468</v>
      </c>
      <c r="G663" s="16" t="s">
        <v>469</v>
      </c>
      <c r="H663" s="16" t="s">
        <v>506</v>
      </c>
      <c r="I663" s="16" t="s">
        <v>507</v>
      </c>
      <c r="J663" s="16" t="s">
        <v>508</v>
      </c>
      <c r="K663" s="4" t="s">
        <v>345</v>
      </c>
    </row>
    <row r="664" customFormat="false" ht="17.15" hidden="false" customHeight="false" outlineLevel="0" collapsed="false">
      <c r="A664" s="5" t="s">
        <v>526</v>
      </c>
    </row>
    <row r="665" customFormat="false" ht="17.15" hidden="false" customHeight="false" outlineLevel="0" collapsed="false">
      <c r="A665" s="3" t="s">
        <v>527</v>
      </c>
      <c r="B665" s="3" t="s">
        <v>64</v>
      </c>
      <c r="D665" s="22" t="n">
        <f aca="false">cap_26</f>
        <v>5230.46851955216</v>
      </c>
      <c r="E665" s="22" t="n">
        <f aca="false">D665*(1+capg27)*cap_adj</f>
        <v>5439.68726033425</v>
      </c>
      <c r="F665" s="22" t="n">
        <f aca="false">E665*(1+capg28)</f>
        <v>5820.46536855765</v>
      </c>
      <c r="G665" s="22" t="n">
        <f aca="false">F665*(1+capg29)</f>
        <v>6227.89794435668</v>
      </c>
    </row>
    <row r="666" customFormat="false" ht="15" hidden="false" customHeight="false" outlineLevel="0" collapsed="false">
      <c r="A666" s="3" t="s">
        <v>528</v>
      </c>
      <c r="B666" s="0" t="s">
        <v>69</v>
      </c>
      <c r="D666" s="21" t="n">
        <f aca="false">a26_ship/cap_26</f>
        <v>0.870578781414787</v>
      </c>
      <c r="E666" s="21" t="n">
        <f aca="false">MIN(0.98,ut27_B+ut_adj_hi)</f>
        <v>0.93</v>
      </c>
      <c r="F666" s="21" t="n">
        <f aca="false">MIN(0.98,ut28_B+ut_adj_hi)</f>
        <v>0.9</v>
      </c>
      <c r="G666" s="21" t="n">
        <f aca="false">MIN(0.98,ut29_B+ut_adj_hi)</f>
        <v>0.91</v>
      </c>
    </row>
    <row r="667" customFormat="false" ht="17.15" hidden="false" customHeight="false" outlineLevel="0" collapsed="false">
      <c r="A667" s="3" t="s">
        <v>529</v>
      </c>
      <c r="B667" s="3" t="s">
        <v>64</v>
      </c>
      <c r="D667" s="22" t="n">
        <f aca="false">D665*D666</f>
        <v>4553.53490998013</v>
      </c>
      <c r="E667" s="22" t="n">
        <f aca="false">E665*E666</f>
        <v>5058.90915211085</v>
      </c>
      <c r="F667" s="22" t="n">
        <f aca="false">F665*F666</f>
        <v>5238.41883170188</v>
      </c>
      <c r="G667" s="22" t="n">
        <f aca="false">G665*G666</f>
        <v>5667.38712936458</v>
      </c>
    </row>
    <row r="668" customFormat="false" ht="17.15" hidden="false" customHeight="false" outlineLevel="0" collapsed="false">
      <c r="A668" s="3" t="s">
        <v>530</v>
      </c>
      <c r="B668" s="0" t="s">
        <v>109</v>
      </c>
      <c r="D668" s="22" t="n">
        <f aca="false">asp_26</f>
        <v>1878.17486396824</v>
      </c>
      <c r="E668" s="22" t="n">
        <f aca="false">D668*(1+asp27_B)*(1+asp_adj)</f>
        <v>1972.08360716666</v>
      </c>
      <c r="F668" s="22" t="n">
        <f aca="false">E668*(1+asp28_B)</f>
        <v>1972.08360716666</v>
      </c>
      <c r="G668" s="22" t="n">
        <f aca="false">F668*(1+asp29_B)</f>
        <v>1972.08360716666</v>
      </c>
    </row>
    <row r="669" customFormat="false" ht="15" hidden="false" customHeight="false" outlineLevel="0" collapsed="false">
      <c r="A669" s="3" t="s">
        <v>531</v>
      </c>
      <c r="B669" s="0" t="s">
        <v>69</v>
      </c>
      <c r="E669" s="21" t="n">
        <f aca="false">E668/D668-1</f>
        <v>0.05</v>
      </c>
      <c r="F669" s="21" t="n">
        <f aca="false">F668/E668-1</f>
        <v>0</v>
      </c>
      <c r="G669" s="21" t="n">
        <f aca="false">G668/F668-1</f>
        <v>0</v>
      </c>
    </row>
    <row r="670" customFormat="false" ht="15" hidden="false" customHeight="false" outlineLevel="0" collapsed="false">
      <c r="A670" s="3" t="s">
        <v>532</v>
      </c>
      <c r="B670" s="0" t="s">
        <v>35</v>
      </c>
      <c r="D670" s="23" t="n">
        <f aca="false">fx_26</f>
        <v>31.6</v>
      </c>
      <c r="E670" s="23" t="n">
        <f aca="false">fx</f>
        <v>32</v>
      </c>
      <c r="F670" s="23" t="n">
        <f aca="false">fx</f>
        <v>32</v>
      </c>
      <c r="G670" s="23" t="n">
        <f aca="false">fx</f>
        <v>32</v>
      </c>
    </row>
    <row r="671" customFormat="false" ht="17.15" hidden="false" customHeight="false" outlineLevel="0" collapsed="false">
      <c r="A671" s="3" t="s">
        <v>533</v>
      </c>
      <c r="B671" s="0" t="s">
        <v>181</v>
      </c>
      <c r="D671" s="23" t="n">
        <f aca="false">D667*D668*D670/1000000</f>
        <v>270.25378</v>
      </c>
      <c r="E671" s="23" t="n">
        <f aca="false">E667*E668*E670/1000000</f>
        <v>319.250937888742</v>
      </c>
      <c r="F671" s="23" t="n">
        <f aca="false">F667*F668*F670/1000000</f>
        <v>330.579196975117</v>
      </c>
      <c r="G671" s="23" t="n">
        <f aca="false">G667*G668*G670/1000000</f>
        <v>357.64996010519</v>
      </c>
    </row>
    <row r="672" customFormat="false" ht="17.15" hidden="false" customHeight="false" outlineLevel="0" collapsed="false">
      <c r="A672" s="5" t="s">
        <v>534</v>
      </c>
    </row>
    <row r="673" customFormat="false" ht="17.15" hidden="false" customHeight="false" outlineLevel="0" collapsed="false">
      <c r="A673" s="0" t="s">
        <v>535</v>
      </c>
      <c r="B673" s="0" t="s">
        <v>138</v>
      </c>
      <c r="D673" s="25" t="n">
        <f aca="false">ai_26</f>
        <v>0.3</v>
      </c>
      <c r="E673" s="25" t="n">
        <f aca="false">D673*(1+aig27_B)*ai_adj</f>
        <v>0.42</v>
      </c>
      <c r="F673" s="25" t="n">
        <f aca="false">E673*(1+aig_L)*um28_B</f>
        <v>0.4872</v>
      </c>
      <c r="G673" s="25" t="n">
        <f aca="false">F673/um28_B*(1+aig_L)*um29_B</f>
        <v>0.7505925</v>
      </c>
    </row>
    <row r="674" customFormat="false" ht="17.15" hidden="false" customHeight="false" outlineLevel="0" collapsed="false">
      <c r="A674" s="0" t="s">
        <v>536</v>
      </c>
      <c r="B674" s="0" t="s">
        <v>181</v>
      </c>
      <c r="D674" s="23" t="n">
        <f aca="false">D673*D670</f>
        <v>9.48</v>
      </c>
      <c r="E674" s="23" t="n">
        <f aca="false">E673*E670</f>
        <v>13.44</v>
      </c>
      <c r="F674" s="23" t="n">
        <f aca="false">F673*F670</f>
        <v>15.5904</v>
      </c>
      <c r="G674" s="23" t="n">
        <f aca="false">G673*G670</f>
        <v>24.01896</v>
      </c>
    </row>
    <row r="675" customFormat="false" ht="17.15" hidden="false" customHeight="false" outlineLevel="0" collapsed="false">
      <c r="A675" s="0" t="s">
        <v>537</v>
      </c>
      <c r="B675" s="0" t="s">
        <v>138</v>
      </c>
      <c r="D675" s="25" t="n">
        <f aca="false">0</f>
        <v>0</v>
      </c>
      <c r="E675" s="25" t="n">
        <f aca="false">int_27</f>
        <v>0</v>
      </c>
      <c r="F675" s="25" t="n">
        <f aca="false">int28_B</f>
        <v>0.12</v>
      </c>
      <c r="G675" s="25" t="n">
        <f aca="false">int29_B</f>
        <v>0.3</v>
      </c>
    </row>
    <row r="676" customFormat="false" ht="17.15" hidden="false" customHeight="false" outlineLevel="0" collapsed="false">
      <c r="A676" s="0" t="s">
        <v>538</v>
      </c>
      <c r="B676" s="0" t="s">
        <v>181</v>
      </c>
      <c r="D676" s="23" t="n">
        <f aca="false">D675*D670</f>
        <v>0</v>
      </c>
      <c r="E676" s="23" t="n">
        <f aca="false">E675*E670</f>
        <v>0</v>
      </c>
      <c r="F676" s="23" t="n">
        <f aca="false">F675*F670</f>
        <v>3.84</v>
      </c>
      <c r="G676" s="23" t="n">
        <f aca="false">G675*G670</f>
        <v>9.6</v>
      </c>
    </row>
    <row r="677" customFormat="false" ht="17.15" hidden="false" customHeight="false" outlineLevel="0" collapsed="false">
      <c r="A677" s="3" t="s">
        <v>393</v>
      </c>
      <c r="B677" s="0" t="s">
        <v>181</v>
      </c>
      <c r="C677" s="23" t="n">
        <f aca="false">a25_rev</f>
        <v>237.553</v>
      </c>
      <c r="D677" s="23" t="n">
        <f aca="false">D671+D674+D676</f>
        <v>279.73378</v>
      </c>
      <c r="E677" s="23" t="n">
        <f aca="false">E671+E674+E676</f>
        <v>332.690937888742</v>
      </c>
      <c r="F677" s="23" t="n">
        <f aca="false">F671+F674+F676</f>
        <v>350.009596975117</v>
      </c>
      <c r="G677" s="23" t="n">
        <f aca="false">G671+G674+G676</f>
        <v>391.26892010519</v>
      </c>
      <c r="H677" s="30" t="n">
        <f aca="false">G677*(1+H679)</f>
        <v>427.23450220972</v>
      </c>
      <c r="I677" s="30" t="n">
        <f aca="false">H677*(1+I679)</f>
        <v>455.41496803056</v>
      </c>
      <c r="J677" s="30" t="n">
        <f aca="false">I677*(1+J679)</f>
        <v>473.631566751783</v>
      </c>
      <c r="K677" s="7" t="s">
        <v>539</v>
      </c>
    </row>
    <row r="678" customFormat="false" ht="17.15" hidden="false" customHeight="false" outlineLevel="0" collapsed="false">
      <c r="A678" s="0" t="s">
        <v>540</v>
      </c>
      <c r="B678" s="0" t="s">
        <v>69</v>
      </c>
      <c r="D678" s="21" t="n">
        <f aca="false">D674/D677</f>
        <v>0.0338893643806622</v>
      </c>
      <c r="E678" s="21" t="n">
        <f aca="false">E674/E677</f>
        <v>0.0403978541925136</v>
      </c>
      <c r="F678" s="21" t="n">
        <f aca="false">F674/F677</f>
        <v>0.0445427786401765</v>
      </c>
      <c r="G678" s="21" t="n">
        <f aca="false">G674/G677</f>
        <v>0.0613873445239215</v>
      </c>
    </row>
    <row r="679" customFormat="false" ht="15" hidden="false" customHeight="false" outlineLevel="0" collapsed="false">
      <c r="A679" s="3" t="s">
        <v>541</v>
      </c>
      <c r="B679" s="0" t="s">
        <v>69</v>
      </c>
      <c r="D679" s="21" t="n">
        <f aca="false">D677/C677-1</f>
        <v>0.177563659478096</v>
      </c>
      <c r="E679" s="21" t="n">
        <f aca="false">E677/D677-1</f>
        <v>0.189312702558632</v>
      </c>
      <c r="F679" s="21" t="n">
        <f aca="false">F677/E677-1</f>
        <v>0.0520562994480069</v>
      </c>
      <c r="G679" s="21" t="n">
        <f aca="false">G677/F677-1</f>
        <v>0.117880548095391</v>
      </c>
      <c r="H679" s="28" t="n">
        <f aca="false">$G679+(fade_gB-$G679)*1/3</f>
        <v>0.0919203653969271</v>
      </c>
      <c r="I679" s="28" t="n">
        <f aca="false">$G679+(fade_gB-$G679)*2/3</f>
        <v>0.0659601826984635</v>
      </c>
      <c r="J679" s="28" t="n">
        <f aca="false">$G679+(fade_gB-$G679)*3/3</f>
        <v>0.04</v>
      </c>
    </row>
    <row r="680" customFormat="false" ht="17.15" hidden="false" customHeight="false" outlineLevel="0" collapsed="false">
      <c r="A680" s="5" t="s">
        <v>542</v>
      </c>
    </row>
    <row r="681" customFormat="false" ht="15" hidden="false" customHeight="false" outlineLevel="0" collapsed="false">
      <c r="A681" s="3" t="s">
        <v>543</v>
      </c>
      <c r="B681" s="0" t="s">
        <v>181</v>
      </c>
      <c r="D681" s="23" t="n">
        <f aca="false">da_tot26*da_sh</f>
        <v>56.172</v>
      </c>
      <c r="E681" s="23" t="n">
        <f aca="false">D681*(1+dag_27+dag_adj)</f>
        <v>62.91264</v>
      </c>
      <c r="F681" s="23" t="n">
        <f aca="false">E681*(1+dag_28+dag_adj)</f>
        <v>69.203904</v>
      </c>
      <c r="G681" s="23" t="n">
        <f aca="false">F681*(1+dag_29+dag_adj)</f>
        <v>74.74021632</v>
      </c>
    </row>
    <row r="682" customFormat="false" ht="17.15" hidden="false" customHeight="false" outlineLevel="0" collapsed="false">
      <c r="A682" s="3" t="s">
        <v>544</v>
      </c>
      <c r="B682" s="0" t="s">
        <v>545</v>
      </c>
      <c r="D682" s="23" t="n">
        <f aca="false">(D677-a26_gp-D681-(1-m_new)*(D674+D676))/D667*1000</f>
        <v>27.9465727870208</v>
      </c>
      <c r="E682" s="23" t="n">
        <f aca="false">D682*(1+cc_g)</f>
        <v>28.5055042427612</v>
      </c>
      <c r="F682" s="23" t="n">
        <f aca="false">E682*(1+cc_g)</f>
        <v>29.0756143276165</v>
      </c>
      <c r="G682" s="23" t="n">
        <f aca="false">F682*(1+cc_g)</f>
        <v>29.6571266141688</v>
      </c>
      <c r="K682" s="7" t="s">
        <v>546</v>
      </c>
    </row>
    <row r="683" customFormat="false" ht="17.15" hidden="false" customHeight="false" outlineLevel="0" collapsed="false">
      <c r="A683" s="3" t="s">
        <v>547</v>
      </c>
      <c r="B683" s="0" t="s">
        <v>181</v>
      </c>
      <c r="D683" s="23" t="n">
        <f aca="false">D682*D667/1000</f>
        <v>127.2556948</v>
      </c>
      <c r="E683" s="23" t="n">
        <f aca="false">E682*E667/1000</f>
        <v>144.20675629924</v>
      </c>
      <c r="F683" s="23" t="n">
        <f aca="false">F682*F667/1000</f>
        <v>152.310245637087</v>
      </c>
      <c r="G683" s="23" t="n">
        <f aca="false">G682*G667/1000</f>
        <v>168.078417667076</v>
      </c>
    </row>
    <row r="684" customFormat="false" ht="17.15" hidden="false" customHeight="false" outlineLevel="0" collapsed="false">
      <c r="A684" s="3" t="s">
        <v>548</v>
      </c>
      <c r="B684" s="0" t="s">
        <v>181</v>
      </c>
      <c r="D684" s="23" t="n">
        <f aca="false">m_new*(D674+D676)</f>
        <v>4.266</v>
      </c>
      <c r="E684" s="23" t="n">
        <f aca="false">m_new*(E674+E676)</f>
        <v>6.048</v>
      </c>
      <c r="F684" s="23" t="n">
        <f aca="false">m_new*(F674+F676)</f>
        <v>8.74368</v>
      </c>
      <c r="G684" s="23" t="n">
        <f aca="false">m_new*(G674+G676)</f>
        <v>15.128532</v>
      </c>
    </row>
    <row r="685" customFormat="false" ht="15" hidden="false" customHeight="false" outlineLevel="0" collapsed="false">
      <c r="A685" s="3" t="s">
        <v>411</v>
      </c>
      <c r="B685" s="0" t="s">
        <v>181</v>
      </c>
      <c r="C685" s="23" t="n">
        <f aca="false">a25_gp</f>
        <v>68.906</v>
      </c>
      <c r="D685" s="23" t="n">
        <f aca="false">D671-D681-D683+D684</f>
        <v>91.0920852</v>
      </c>
      <c r="E685" s="23" t="n">
        <f aca="false">E671-E681-E683+E684</f>
        <v>118.179541589502</v>
      </c>
      <c r="F685" s="23" t="n">
        <f aca="false">F671-F681-F683+F684</f>
        <v>117.808727338029</v>
      </c>
      <c r="G685" s="23" t="n">
        <f aca="false">G671-G681-G683+G684</f>
        <v>129.959858118114</v>
      </c>
    </row>
    <row r="686" customFormat="false" ht="15" hidden="false" customHeight="false" outlineLevel="0" collapsed="false">
      <c r="A686" s="3" t="s">
        <v>413</v>
      </c>
      <c r="B686" s="0" t="s">
        <v>69</v>
      </c>
      <c r="C686" s="15" t="n">
        <f aca="false">C685/C677</f>
        <v>0.290065795843454</v>
      </c>
      <c r="D686" s="15" t="n">
        <f aca="false">D685/D677</f>
        <v>0.325638488136828</v>
      </c>
      <c r="E686" s="15" t="n">
        <f aca="false">E685/E677</f>
        <v>0.355223206076697</v>
      </c>
      <c r="F686" s="15" t="n">
        <f aca="false">F685/F677</f>
        <v>0.336587134627639</v>
      </c>
      <c r="G686" s="15" t="n">
        <f aca="false">G685/G677</f>
        <v>0.33214970942025</v>
      </c>
    </row>
    <row r="687" customFormat="false" ht="15" hidden="false" customHeight="false" outlineLevel="0" collapsed="false">
      <c r="A687" s="3" t="s">
        <v>415</v>
      </c>
      <c r="B687" s="0" t="s">
        <v>181</v>
      </c>
      <c r="C687" s="23" t="n">
        <f aca="false">a25_opx</f>
        <v>25.056</v>
      </c>
      <c r="D687" s="23" t="n">
        <f aca="false">a26_opx</f>
        <v>27.23586</v>
      </c>
      <c r="E687" s="23" t="n">
        <f aca="false">D687*(1+MAX(g_opx_min,phi*E679))</f>
        <v>29.8139071315543</v>
      </c>
      <c r="F687" s="23" t="n">
        <f aca="false">E687*(1+MAX(g_opx_min,phi*F679))</f>
        <v>30.7083243455009</v>
      </c>
      <c r="G687" s="23" t="n">
        <f aca="false">F687*(1+MAX(g_opx_min,phi*G679))</f>
        <v>32.5182813979703</v>
      </c>
    </row>
    <row r="688" customFormat="false" ht="15" hidden="false" customHeight="false" outlineLevel="0" collapsed="false">
      <c r="A688" s="3" t="s">
        <v>418</v>
      </c>
      <c r="B688" s="0" t="s">
        <v>181</v>
      </c>
      <c r="C688" s="23" t="n">
        <f aca="false">C685-C687</f>
        <v>43.85</v>
      </c>
      <c r="D688" s="23" t="n">
        <f aca="false">D685-D687</f>
        <v>63.8562252</v>
      </c>
      <c r="E688" s="23" t="n">
        <f aca="false">E685-E687</f>
        <v>88.365634457948</v>
      </c>
      <c r="F688" s="23" t="n">
        <f aca="false">F685-F687</f>
        <v>87.1004029925284</v>
      </c>
      <c r="G688" s="23" t="n">
        <f aca="false">G685-G687</f>
        <v>97.4415767201437</v>
      </c>
    </row>
    <row r="689" customFormat="false" ht="15" hidden="false" customHeight="false" outlineLevel="0" collapsed="false">
      <c r="A689" s="3" t="s">
        <v>515</v>
      </c>
      <c r="B689" s="0" t="s">
        <v>69</v>
      </c>
      <c r="C689" s="15" t="n">
        <f aca="false">C688/C677</f>
        <v>0.184590386145408</v>
      </c>
      <c r="D689" s="15" t="n">
        <f aca="false">D688/D677</f>
        <v>0.228274987740129</v>
      </c>
      <c r="E689" s="15" t="n">
        <f aca="false">E688/E677</f>
        <v>0.265608780986692</v>
      </c>
      <c r="F689" s="15" t="n">
        <f aca="false">F688/F677</f>
        <v>0.248851470774731</v>
      </c>
      <c r="G689" s="15" t="n">
        <f aca="false">G688/G677</f>
        <v>0.249039910182355</v>
      </c>
    </row>
    <row r="690" customFormat="false" ht="15" hidden="false" customHeight="false" outlineLevel="0" collapsed="false">
      <c r="A690" s="3" t="s">
        <v>421</v>
      </c>
      <c r="B690" s="0" t="s">
        <v>181</v>
      </c>
      <c r="C690" s="23" t="n">
        <f aca="false">a25_nonop</f>
        <v>5.805</v>
      </c>
      <c r="D690" s="23" t="n">
        <f aca="false">a26_nonop</f>
        <v>38.372</v>
      </c>
      <c r="E690" s="23" t="n">
        <f aca="false">nonop_f</f>
        <v>4</v>
      </c>
      <c r="F690" s="23" t="n">
        <f aca="false">nonop_f</f>
        <v>4</v>
      </c>
      <c r="G690" s="23" t="n">
        <f aca="false">nonop_f</f>
        <v>4</v>
      </c>
    </row>
    <row r="691" customFormat="false" ht="15" hidden="false" customHeight="false" outlineLevel="0" collapsed="false">
      <c r="A691" s="3" t="s">
        <v>423</v>
      </c>
      <c r="B691" s="0" t="s">
        <v>181</v>
      </c>
      <c r="C691" s="23" t="n">
        <f aca="false">C688+C690</f>
        <v>49.655</v>
      </c>
      <c r="D691" s="23" t="n">
        <f aca="false">D688+D690</f>
        <v>102.2282252</v>
      </c>
      <c r="E691" s="23" t="n">
        <f aca="false">E688+E690</f>
        <v>92.365634457948</v>
      </c>
      <c r="F691" s="23" t="n">
        <f aca="false">F688+F690</f>
        <v>91.1004029925284</v>
      </c>
      <c r="G691" s="23" t="n">
        <f aca="false">G688+G690</f>
        <v>101.441576720144</v>
      </c>
    </row>
    <row r="692" customFormat="false" ht="15" hidden="false" customHeight="false" outlineLevel="0" collapsed="false">
      <c r="A692" s="3" t="s">
        <v>425</v>
      </c>
      <c r="B692" s="0" t="s">
        <v>181</v>
      </c>
      <c r="C692" s="23" t="n">
        <f aca="false">a25_tax</f>
        <v>7.939</v>
      </c>
      <c r="D692" s="23" t="n">
        <f aca="false">a26_tax</f>
        <v>10.493828284</v>
      </c>
      <c r="E692" s="23" t="n">
        <f aca="false">E691*tax</f>
        <v>13.8548451686922</v>
      </c>
      <c r="F692" s="23" t="n">
        <f aca="false">F691*tax</f>
        <v>13.6650604488793</v>
      </c>
      <c r="G692" s="23" t="n">
        <f aca="false">G691*tax</f>
        <v>15.2162365080216</v>
      </c>
    </row>
    <row r="693" customFormat="false" ht="17.15" hidden="false" customHeight="false" outlineLevel="0" collapsed="false">
      <c r="A693" s="3" t="s">
        <v>549</v>
      </c>
      <c r="B693" s="0" t="s">
        <v>181</v>
      </c>
      <c r="C693" s="23" t="n">
        <f aca="false">a25_mi</f>
        <v>0</v>
      </c>
      <c r="D693" s="23" t="n">
        <f aca="false">a26_mi</f>
        <v>-0.134999999999987</v>
      </c>
      <c r="E693" s="23" t="n">
        <f aca="false">0</f>
        <v>0</v>
      </c>
      <c r="F693" s="23" t="n">
        <f aca="false">0</f>
        <v>0</v>
      </c>
      <c r="G693" s="23" t="n">
        <f aca="false">0</f>
        <v>0</v>
      </c>
      <c r="K693" s="7" t="s">
        <v>550</v>
      </c>
    </row>
    <row r="694" customFormat="false" ht="15" hidden="false" customHeight="false" outlineLevel="0" collapsed="false">
      <c r="A694" s="3" t="s">
        <v>428</v>
      </c>
      <c r="B694" s="0" t="s">
        <v>181</v>
      </c>
      <c r="C694" s="23" t="n">
        <f aca="false">C691-C692-C693</f>
        <v>41.716</v>
      </c>
      <c r="D694" s="23" t="n">
        <f aca="false">D691-D692-D693</f>
        <v>91.869396916</v>
      </c>
      <c r="E694" s="23" t="n">
        <f aca="false">E691-E692-E693</f>
        <v>78.5107892892558</v>
      </c>
      <c r="F694" s="23" t="n">
        <f aca="false">F691-F692-F693</f>
        <v>77.4353425436492</v>
      </c>
      <c r="G694" s="23" t="n">
        <f aca="false">G691-G692-G693</f>
        <v>86.2253402121222</v>
      </c>
      <c r="H694" s="30" t="n">
        <f aca="false">H677*H698</f>
        <v>91.0128314911983</v>
      </c>
      <c r="I694" s="30" t="n">
        <f aca="false">I677*I698</f>
        <v>93.6706732951497</v>
      </c>
      <c r="J694" s="30" t="n">
        <f aca="false">J677*J698</f>
        <v>93.9383037902787</v>
      </c>
    </row>
    <row r="695" customFormat="false" ht="15" hidden="false" customHeight="false" outlineLevel="0" collapsed="false">
      <c r="A695" s="3" t="s">
        <v>551</v>
      </c>
      <c r="B695" s="3" t="s">
        <v>250</v>
      </c>
      <c r="C695" s="9" t="n">
        <f aca="false">a25_sh</f>
        <v>12.4898203592814</v>
      </c>
      <c r="D695" s="9" t="n">
        <f aca="false">a26_sh</f>
        <v>12.4754339027235</v>
      </c>
      <c r="E695" s="9" t="n">
        <f aca="false">q_sh*(1+sh_g)</f>
        <v>12.45</v>
      </c>
      <c r="F695" s="9" t="n">
        <f aca="false">E695*(1+sh_g)</f>
        <v>12.45</v>
      </c>
      <c r="G695" s="9" t="n">
        <f aca="false">F695*(1+sh_g)</f>
        <v>12.45</v>
      </c>
      <c r="H695" s="32" t="n">
        <f aca="false">G695*(1+sh_g)</f>
        <v>12.45</v>
      </c>
      <c r="I695" s="32" t="n">
        <f aca="false">H695*(1+sh_g)</f>
        <v>12.45</v>
      </c>
      <c r="J695" s="32" t="n">
        <f aca="false">I695*(1+sh_g)</f>
        <v>12.45</v>
      </c>
    </row>
    <row r="696" customFormat="false" ht="17.15" hidden="false" customHeight="false" outlineLevel="0" collapsed="false">
      <c r="A696" s="0" t="s">
        <v>434</v>
      </c>
      <c r="B696" s="0" t="s">
        <v>260</v>
      </c>
      <c r="C696" s="23" t="n">
        <f aca="false">C694/C695</f>
        <v>3.34</v>
      </c>
      <c r="D696" s="23" t="n">
        <f aca="false">D694/D695</f>
        <v>7.36402418002826</v>
      </c>
      <c r="E696" s="23" t="n">
        <f aca="false">E694/E695</f>
        <v>6.30608749311292</v>
      </c>
      <c r="F696" s="23" t="n">
        <f aca="false">F694/F695</f>
        <v>6.21970622840556</v>
      </c>
      <c r="G696" s="23" t="n">
        <f aca="false">G694/G695</f>
        <v>6.92573013751985</v>
      </c>
      <c r="H696" s="30" t="n">
        <f aca="false">H694/H695</f>
        <v>7.31026758965448</v>
      </c>
      <c r="I696" s="30" t="n">
        <f aca="false">I694/I695</f>
        <v>7.52374885904817</v>
      </c>
      <c r="J696" s="30" t="n">
        <f aca="false">J694/J695</f>
        <v>7.54524528435974</v>
      </c>
    </row>
    <row r="697" customFormat="false" ht="17.15" hidden="false" customHeight="false" outlineLevel="0" collapsed="false">
      <c r="A697" s="0" t="s">
        <v>552</v>
      </c>
      <c r="B697" s="0" t="s">
        <v>69</v>
      </c>
      <c r="D697" s="21" t="n">
        <f aca="false">D696/C696-1</f>
        <v>1.2047976586911</v>
      </c>
      <c r="E697" s="21" t="n">
        <f aca="false">E696/D696-1</f>
        <v>-0.143662848064044</v>
      </c>
      <c r="F697" s="21" t="n">
        <f aca="false">F696/E696-1</f>
        <v>-0.0136980758357225</v>
      </c>
      <c r="G697" s="21" t="n">
        <f aca="false">G696/F696-1</f>
        <v>0.113514028345884</v>
      </c>
      <c r="H697" s="28" t="n">
        <f aca="false">H696/G696-1</f>
        <v>0.0555230198836962</v>
      </c>
      <c r="I697" s="28" t="n">
        <f aca="false">I696/H696-1</f>
        <v>0.0292029350192062</v>
      </c>
      <c r="J697" s="28" t="n">
        <f aca="false">J696/I696-1</f>
        <v>0.00285714285714289</v>
      </c>
    </row>
    <row r="698" customFormat="false" ht="17.15" hidden="false" customHeight="false" outlineLevel="0" collapsed="false">
      <c r="A698" s="3" t="s">
        <v>553</v>
      </c>
      <c r="B698" s="0" t="s">
        <v>69</v>
      </c>
      <c r="C698" s="15" t="n">
        <f aca="false">C694/C677</f>
        <v>0.175607127672562</v>
      </c>
      <c r="D698" s="15" t="n">
        <f aca="false">D694/D677</f>
        <v>0.328417243409073</v>
      </c>
      <c r="E698" s="15" t="n">
        <f aca="false">E694/E677</f>
        <v>0.235987159095723</v>
      </c>
      <c r="F698" s="15" t="n">
        <f aca="false">F694/F677</f>
        <v>0.221237769515087</v>
      </c>
      <c r="G698" s="15" t="n">
        <f aca="false">G694/G677</f>
        <v>0.220373599285476</v>
      </c>
      <c r="H698" s="29" t="n">
        <f aca="false">$G698+($G$698*0.9-$G698)*1/3</f>
        <v>0.213027812642627</v>
      </c>
      <c r="I698" s="29" t="n">
        <f aca="false">$G698+($G$698*0.9-$G698)*2/3</f>
        <v>0.205682025999778</v>
      </c>
      <c r="J698" s="29" t="n">
        <f aca="false">$G698+($G$698*0.9-$G698)*3/3</f>
        <v>0.198336239356929</v>
      </c>
    </row>
    <row r="701" customFormat="false" ht="17.15" hidden="false" customHeight="false" outlineLevel="0" collapsed="false">
      <c r="A701" s="1" t="s">
        <v>854</v>
      </c>
    </row>
    <row r="702" customFormat="false" ht="17.15" hidden="false" customHeight="false" outlineLevel="0" collapsed="false">
      <c r="A702" s="4" t="s">
        <v>24</v>
      </c>
      <c r="B702" s="4" t="s">
        <v>25</v>
      </c>
      <c r="C702" s="16" t="s">
        <v>387</v>
      </c>
      <c r="D702" s="16" t="s">
        <v>505</v>
      </c>
      <c r="E702" s="16" t="s">
        <v>467</v>
      </c>
      <c r="F702" s="16" t="s">
        <v>468</v>
      </c>
      <c r="G702" s="16" t="s">
        <v>469</v>
      </c>
      <c r="H702" s="16" t="s">
        <v>506</v>
      </c>
      <c r="I702" s="16" t="s">
        <v>507</v>
      </c>
      <c r="J702" s="16" t="s">
        <v>508</v>
      </c>
      <c r="K702" s="4" t="s">
        <v>345</v>
      </c>
    </row>
    <row r="703" customFormat="false" ht="17.15" hidden="false" customHeight="false" outlineLevel="0" collapsed="false">
      <c r="A703" s="5" t="s">
        <v>526</v>
      </c>
    </row>
    <row r="704" customFormat="false" ht="17.15" hidden="false" customHeight="false" outlineLevel="0" collapsed="false">
      <c r="A704" s="3" t="s">
        <v>527</v>
      </c>
      <c r="B704" s="3" t="s">
        <v>64</v>
      </c>
      <c r="D704" s="22" t="n">
        <f aca="false">cap_26</f>
        <v>5230.46851955216</v>
      </c>
      <c r="E704" s="22" t="n">
        <f aca="false">D704*(1+capg27)*cap_adj</f>
        <v>5439.68726033425</v>
      </c>
      <c r="F704" s="22" t="n">
        <f aca="false">E704*(1+capg28)</f>
        <v>5820.46536855765</v>
      </c>
      <c r="G704" s="22" t="n">
        <f aca="false">F704*(1+capg29)</f>
        <v>6227.89794435668</v>
      </c>
    </row>
    <row r="705" customFormat="false" ht="15" hidden="false" customHeight="false" outlineLevel="0" collapsed="false">
      <c r="A705" s="3" t="s">
        <v>528</v>
      </c>
      <c r="B705" s="0" t="s">
        <v>69</v>
      </c>
      <c r="D705" s="21" t="n">
        <f aca="false">a26_ship/cap_26</f>
        <v>0.870578781414787</v>
      </c>
      <c r="E705" s="21" t="n">
        <f aca="false">MIN(0.98,ut27_C+ut_adj_hi)</f>
        <v>0.85</v>
      </c>
      <c r="F705" s="21" t="n">
        <f aca="false">MIN(0.98,ut28_C+ut_adj_hi)</f>
        <v>0.79</v>
      </c>
      <c r="G705" s="21" t="n">
        <f aca="false">MIN(0.98,ut29_C+ut_adj_hi)</f>
        <v>0.83</v>
      </c>
    </row>
    <row r="706" customFormat="false" ht="17.15" hidden="false" customHeight="false" outlineLevel="0" collapsed="false">
      <c r="A706" s="3" t="s">
        <v>529</v>
      </c>
      <c r="B706" s="3" t="s">
        <v>64</v>
      </c>
      <c r="D706" s="22" t="n">
        <f aca="false">D704*D705</f>
        <v>4553.53490998013</v>
      </c>
      <c r="E706" s="22" t="n">
        <f aca="false">E704*E705</f>
        <v>4623.73417128411</v>
      </c>
      <c r="F706" s="22" t="n">
        <f aca="false">F704*F705</f>
        <v>4598.16764116054</v>
      </c>
      <c r="G706" s="22" t="n">
        <f aca="false">G704*G705</f>
        <v>5169.15529381605</v>
      </c>
    </row>
    <row r="707" customFormat="false" ht="17.15" hidden="false" customHeight="false" outlineLevel="0" collapsed="false">
      <c r="A707" s="3" t="s">
        <v>530</v>
      </c>
      <c r="B707" s="0" t="s">
        <v>109</v>
      </c>
      <c r="D707" s="22" t="n">
        <f aca="false">asp_26</f>
        <v>1878.17486396824</v>
      </c>
      <c r="E707" s="22" t="n">
        <f aca="false">D707*(1+asp27_C)*(1+asp_adj)</f>
        <v>1878.17486396824</v>
      </c>
      <c r="F707" s="22" t="n">
        <f aca="false">E707*(1+asp28_C)</f>
        <v>1765.48437213015</v>
      </c>
      <c r="G707" s="22" t="n">
        <f aca="false">F707*(1+asp29_C)</f>
        <v>1712.51984096625</v>
      </c>
    </row>
    <row r="708" customFormat="false" ht="15" hidden="false" customHeight="false" outlineLevel="0" collapsed="false">
      <c r="A708" s="3" t="s">
        <v>531</v>
      </c>
      <c r="B708" s="0" t="s">
        <v>69</v>
      </c>
      <c r="E708" s="21" t="n">
        <f aca="false">E707/D707-1</f>
        <v>0</v>
      </c>
      <c r="F708" s="21" t="n">
        <f aca="false">F707/E707-1</f>
        <v>-0.0599999999999999</v>
      </c>
      <c r="G708" s="21" t="n">
        <f aca="false">G707/F707-1</f>
        <v>-0.0299999999999999</v>
      </c>
    </row>
    <row r="709" customFormat="false" ht="15" hidden="false" customHeight="false" outlineLevel="0" collapsed="false">
      <c r="A709" s="3" t="s">
        <v>532</v>
      </c>
      <c r="B709" s="0" t="s">
        <v>35</v>
      </c>
      <c r="D709" s="23" t="n">
        <f aca="false">fx_26</f>
        <v>31.6</v>
      </c>
      <c r="E709" s="23" t="n">
        <f aca="false">fx</f>
        <v>32</v>
      </c>
      <c r="F709" s="23" t="n">
        <f aca="false">fx</f>
        <v>32</v>
      </c>
      <c r="G709" s="23" t="n">
        <f aca="false">fx</f>
        <v>32</v>
      </c>
    </row>
    <row r="710" customFormat="false" ht="17.15" hidden="false" customHeight="false" outlineLevel="0" collapsed="false">
      <c r="A710" s="3" t="s">
        <v>533</v>
      </c>
      <c r="B710" s="0" t="s">
        <v>181</v>
      </c>
      <c r="D710" s="23" t="n">
        <f aca="false">D706*D707*D709/1000000</f>
        <v>270.25378</v>
      </c>
      <c r="E710" s="23" t="n">
        <f aca="false">E706*E707*E709/1000000</f>
        <v>277.89380154166</v>
      </c>
      <c r="F710" s="23" t="n">
        <f aca="false">F706*F707*F709/1000000</f>
        <v>259.775779548912</v>
      </c>
      <c r="G710" s="23" t="n">
        <f aca="false">G706*G707*G709/1000000</f>
        <v>283.272992054262</v>
      </c>
    </row>
    <row r="711" customFormat="false" ht="17.15" hidden="false" customHeight="false" outlineLevel="0" collapsed="false">
      <c r="A711" s="5" t="s">
        <v>534</v>
      </c>
    </row>
    <row r="712" customFormat="false" ht="17.15" hidden="false" customHeight="false" outlineLevel="0" collapsed="false">
      <c r="A712" s="0" t="s">
        <v>535</v>
      </c>
      <c r="B712" s="0" t="s">
        <v>138</v>
      </c>
      <c r="D712" s="25" t="n">
        <f aca="false">ai_26</f>
        <v>0.3</v>
      </c>
      <c r="E712" s="25" t="n">
        <f aca="false">D712*(1+aig27_C)*ai_adj</f>
        <v>0.36</v>
      </c>
      <c r="F712" s="25" t="n">
        <f aca="false">E712*(1+aig_L)*um28_C</f>
        <v>0.3132</v>
      </c>
      <c r="G712" s="25" t="n">
        <f aca="false">F712/um28_C*(1+aig_L)*um29_C</f>
        <v>0.45414</v>
      </c>
    </row>
    <row r="713" customFormat="false" ht="17.15" hidden="false" customHeight="false" outlineLevel="0" collapsed="false">
      <c r="A713" s="0" t="s">
        <v>536</v>
      </c>
      <c r="B713" s="0" t="s">
        <v>181</v>
      </c>
      <c r="D713" s="23" t="n">
        <f aca="false">D712*D709</f>
        <v>9.48</v>
      </c>
      <c r="E713" s="23" t="n">
        <f aca="false">E712*E709</f>
        <v>11.52</v>
      </c>
      <c r="F713" s="23" t="n">
        <f aca="false">F712*F709</f>
        <v>10.0224</v>
      </c>
      <c r="G713" s="23" t="n">
        <f aca="false">G712*G709</f>
        <v>14.53248</v>
      </c>
    </row>
    <row r="714" customFormat="false" ht="17.15" hidden="false" customHeight="false" outlineLevel="0" collapsed="false">
      <c r="A714" s="0" t="s">
        <v>537</v>
      </c>
      <c r="B714" s="0" t="s">
        <v>138</v>
      </c>
      <c r="D714" s="25" t="n">
        <f aca="false">0</f>
        <v>0</v>
      </c>
      <c r="E714" s="25" t="n">
        <f aca="false">int_27</f>
        <v>0</v>
      </c>
      <c r="F714" s="25" t="n">
        <f aca="false">int28_C</f>
        <v>0</v>
      </c>
      <c r="G714" s="25" t="n">
        <f aca="false">int29_C</f>
        <v>0.08</v>
      </c>
    </row>
    <row r="715" customFormat="false" ht="17.15" hidden="false" customHeight="false" outlineLevel="0" collapsed="false">
      <c r="A715" s="0" t="s">
        <v>538</v>
      </c>
      <c r="B715" s="0" t="s">
        <v>181</v>
      </c>
      <c r="D715" s="23" t="n">
        <f aca="false">D714*D709</f>
        <v>0</v>
      </c>
      <c r="E715" s="23" t="n">
        <f aca="false">E714*E709</f>
        <v>0</v>
      </c>
      <c r="F715" s="23" t="n">
        <f aca="false">F714*F709</f>
        <v>0</v>
      </c>
      <c r="G715" s="23" t="n">
        <f aca="false">G714*G709</f>
        <v>2.56</v>
      </c>
    </row>
    <row r="716" customFormat="false" ht="17.15" hidden="false" customHeight="false" outlineLevel="0" collapsed="false">
      <c r="A716" s="3" t="s">
        <v>393</v>
      </c>
      <c r="B716" s="0" t="s">
        <v>181</v>
      </c>
      <c r="C716" s="23" t="n">
        <f aca="false">a25_rev</f>
        <v>237.553</v>
      </c>
      <c r="D716" s="23" t="n">
        <f aca="false">D710+D713+D715</f>
        <v>279.73378</v>
      </c>
      <c r="E716" s="23" t="n">
        <f aca="false">E710+E713+E715</f>
        <v>289.41380154166</v>
      </c>
      <c r="F716" s="23" t="n">
        <f aca="false">F710+F713+F715</f>
        <v>269.798179548912</v>
      </c>
      <c r="G716" s="23" t="n">
        <f aca="false">G710+G713+G715</f>
        <v>300.365472054262</v>
      </c>
      <c r="H716" s="30" t="n">
        <f aca="false">G716*(1+H718)</f>
        <v>325.054889492368</v>
      </c>
      <c r="I716" s="30" t="n">
        <f aca="false">H716*(1+I718)</f>
        <v>341.664856502308</v>
      </c>
      <c r="J716" s="30" t="n">
        <f aca="false">I716*(1+J718)</f>
        <v>348.498153632354</v>
      </c>
      <c r="K716" s="7" t="s">
        <v>539</v>
      </c>
    </row>
    <row r="717" customFormat="false" ht="17.15" hidden="false" customHeight="false" outlineLevel="0" collapsed="false">
      <c r="A717" s="0" t="s">
        <v>540</v>
      </c>
      <c r="B717" s="0" t="s">
        <v>69</v>
      </c>
      <c r="D717" s="21" t="n">
        <f aca="false">D713/D716</f>
        <v>0.0338893643806622</v>
      </c>
      <c r="E717" s="21" t="n">
        <f aca="false">E713/E716</f>
        <v>0.0398045979101026</v>
      </c>
      <c r="F717" s="21" t="n">
        <f aca="false">F713/F716</f>
        <v>0.0371477673302204</v>
      </c>
      <c r="G717" s="21" t="n">
        <f aca="false">G713/G716</f>
        <v>0.0483826583015995</v>
      </c>
    </row>
    <row r="718" customFormat="false" ht="15" hidden="false" customHeight="false" outlineLevel="0" collapsed="false">
      <c r="A718" s="3" t="s">
        <v>541</v>
      </c>
      <c r="B718" s="0" t="s">
        <v>69</v>
      </c>
      <c r="D718" s="21" t="n">
        <f aca="false">D716/C716-1</f>
        <v>0.177563659478096</v>
      </c>
      <c r="E718" s="21" t="n">
        <f aca="false">E716/D716-1</f>
        <v>0.0346044068816411</v>
      </c>
      <c r="F718" s="21" t="n">
        <f aca="false">F716/E716-1</f>
        <v>-0.0677770786612754</v>
      </c>
      <c r="G718" s="21" t="n">
        <f aca="false">G716/F716-1</f>
        <v>0.11329688197473</v>
      </c>
      <c r="H718" s="28" t="n">
        <f aca="false">$G718+(fade_gC-$G718)*1/3</f>
        <v>0.082197921316487</v>
      </c>
      <c r="I718" s="28" t="n">
        <f aca="false">$G718+(fade_gC-$G718)*2/3</f>
        <v>0.0510989606582435</v>
      </c>
      <c r="J718" s="28" t="n">
        <f aca="false">$G718+(fade_gC-$G718)*3/3</f>
        <v>0.02</v>
      </c>
    </row>
    <row r="719" customFormat="false" ht="17.15" hidden="false" customHeight="false" outlineLevel="0" collapsed="false">
      <c r="A719" s="5" t="s">
        <v>542</v>
      </c>
    </row>
    <row r="720" customFormat="false" ht="15" hidden="false" customHeight="false" outlineLevel="0" collapsed="false">
      <c r="A720" s="3" t="s">
        <v>543</v>
      </c>
      <c r="B720" s="0" t="s">
        <v>181</v>
      </c>
      <c r="D720" s="23" t="n">
        <f aca="false">da_tot26*da_sh</f>
        <v>56.172</v>
      </c>
      <c r="E720" s="23" t="n">
        <f aca="false">D720*(1+dag_27+dag_adj)</f>
        <v>62.91264</v>
      </c>
      <c r="F720" s="23" t="n">
        <f aca="false">E720*(1+dag_28+dag_adj)</f>
        <v>69.203904</v>
      </c>
      <c r="G720" s="23" t="n">
        <f aca="false">F720*(1+dag_29+dag_adj)</f>
        <v>74.74021632</v>
      </c>
    </row>
    <row r="721" customFormat="false" ht="17.15" hidden="false" customHeight="false" outlineLevel="0" collapsed="false">
      <c r="A721" s="3" t="s">
        <v>544</v>
      </c>
      <c r="B721" s="0" t="s">
        <v>545</v>
      </c>
      <c r="D721" s="23" t="n">
        <f aca="false">(D716-a26_gp-D720-(1-m_new)*(D713+D715))/D706*1000</f>
        <v>27.9465727870208</v>
      </c>
      <c r="E721" s="23" t="n">
        <f aca="false">D721*(1+cc_g)</f>
        <v>28.5055042427612</v>
      </c>
      <c r="F721" s="23" t="n">
        <f aca="false">E721*(1+cc_g)</f>
        <v>29.0756143276165</v>
      </c>
      <c r="G721" s="23" t="n">
        <f aca="false">F721*(1+cc_g)</f>
        <v>29.6571266141688</v>
      </c>
      <c r="K721" s="7" t="s">
        <v>546</v>
      </c>
    </row>
    <row r="722" customFormat="false" ht="17.15" hidden="false" customHeight="false" outlineLevel="0" collapsed="false">
      <c r="A722" s="3" t="s">
        <v>547</v>
      </c>
      <c r="B722" s="0" t="s">
        <v>181</v>
      </c>
      <c r="D722" s="23" t="n">
        <f aca="false">D721*D706/1000</f>
        <v>127.2556948</v>
      </c>
      <c r="E722" s="23" t="n">
        <f aca="false">E721*E706/1000</f>
        <v>131.801874036939</v>
      </c>
      <c r="F722" s="23" t="n">
        <f aca="false">F721*F706/1000</f>
        <v>133.69454894811</v>
      </c>
      <c r="G722" s="23" t="n">
        <f aca="false">G721*G706/1000</f>
        <v>153.302293037003</v>
      </c>
    </row>
    <row r="723" customFormat="false" ht="17.15" hidden="false" customHeight="false" outlineLevel="0" collapsed="false">
      <c r="A723" s="3" t="s">
        <v>548</v>
      </c>
      <c r="B723" s="0" t="s">
        <v>181</v>
      </c>
      <c r="D723" s="23" t="n">
        <f aca="false">m_new*(D713+D715)</f>
        <v>4.266</v>
      </c>
      <c r="E723" s="23" t="n">
        <f aca="false">m_new*(E713+E715)</f>
        <v>5.184</v>
      </c>
      <c r="F723" s="23" t="n">
        <f aca="false">m_new*(F713+F715)</f>
        <v>4.51008</v>
      </c>
      <c r="G723" s="23" t="n">
        <f aca="false">m_new*(G713+G715)</f>
        <v>7.691616</v>
      </c>
    </row>
    <row r="724" customFormat="false" ht="15" hidden="false" customHeight="false" outlineLevel="0" collapsed="false">
      <c r="A724" s="3" t="s">
        <v>411</v>
      </c>
      <c r="B724" s="0" t="s">
        <v>181</v>
      </c>
      <c r="C724" s="23" t="n">
        <f aca="false">a25_gp</f>
        <v>68.906</v>
      </c>
      <c r="D724" s="23" t="n">
        <f aca="false">D710-D720-D722+D723</f>
        <v>91.0920852</v>
      </c>
      <c r="E724" s="23" t="n">
        <f aca="false">E710-E720-E722+E723</f>
        <v>88.3632875047201</v>
      </c>
      <c r="F724" s="23" t="n">
        <f aca="false">F710-F720-F722+F723</f>
        <v>61.3874066008018</v>
      </c>
      <c r="G724" s="23" t="n">
        <f aca="false">G710-G720-G722+G723</f>
        <v>62.9220986972584</v>
      </c>
    </row>
    <row r="725" customFormat="false" ht="15" hidden="false" customHeight="false" outlineLevel="0" collapsed="false">
      <c r="A725" s="3" t="s">
        <v>413</v>
      </c>
      <c r="B725" s="0" t="s">
        <v>69</v>
      </c>
      <c r="C725" s="15" t="n">
        <f aca="false">C724/C716</f>
        <v>0.290065795843454</v>
      </c>
      <c r="D725" s="15" t="n">
        <f aca="false">D724/D716</f>
        <v>0.325638488136828</v>
      </c>
      <c r="E725" s="15" t="n">
        <f aca="false">E724/E716</f>
        <v>0.305318153571196</v>
      </c>
      <c r="F725" s="15" t="n">
        <f aca="false">F724/F716</f>
        <v>0.227530840658148</v>
      </c>
      <c r="G725" s="15" t="n">
        <f aca="false">G724/G716</f>
        <v>0.209485125793325</v>
      </c>
    </row>
    <row r="726" customFormat="false" ht="15" hidden="false" customHeight="false" outlineLevel="0" collapsed="false">
      <c r="A726" s="3" t="s">
        <v>415</v>
      </c>
      <c r="B726" s="0" t="s">
        <v>181</v>
      </c>
      <c r="C726" s="23" t="n">
        <f aca="false">a25_opx</f>
        <v>25.056</v>
      </c>
      <c r="D726" s="23" t="n">
        <f aca="false">a26_opx</f>
        <v>27.23586</v>
      </c>
      <c r="E726" s="23" t="n">
        <f aca="false">D726*(1+MAX(g_opx_min,phi*E718))</f>
        <v>28.0529358</v>
      </c>
      <c r="F726" s="23" t="n">
        <f aca="false">E726*(1+MAX(g_opx_min,phi*F718))</f>
        <v>28.894523874</v>
      </c>
      <c r="G726" s="23" t="n">
        <f aca="false">F726*(1+MAX(g_opx_min,phi*G718))</f>
        <v>30.5313536045343</v>
      </c>
    </row>
    <row r="727" customFormat="false" ht="15" hidden="false" customHeight="false" outlineLevel="0" collapsed="false">
      <c r="A727" s="3" t="s">
        <v>418</v>
      </c>
      <c r="B727" s="0" t="s">
        <v>181</v>
      </c>
      <c r="C727" s="23" t="n">
        <f aca="false">C724-C726</f>
        <v>43.85</v>
      </c>
      <c r="D727" s="23" t="n">
        <f aca="false">D724-D726</f>
        <v>63.8562252</v>
      </c>
      <c r="E727" s="23" t="n">
        <f aca="false">E724-E726</f>
        <v>60.3103517047201</v>
      </c>
      <c r="F727" s="23" t="n">
        <f aca="false">F724-F726</f>
        <v>32.4928827268018</v>
      </c>
      <c r="G727" s="23" t="n">
        <f aca="false">G724-G726</f>
        <v>32.3907450927241</v>
      </c>
    </row>
    <row r="728" customFormat="false" ht="15" hidden="false" customHeight="false" outlineLevel="0" collapsed="false">
      <c r="A728" s="3" t="s">
        <v>515</v>
      </c>
      <c r="B728" s="0" t="s">
        <v>69</v>
      </c>
      <c r="C728" s="15" t="n">
        <f aca="false">C727/C716</f>
        <v>0.184590386145408</v>
      </c>
      <c r="D728" s="15" t="n">
        <f aca="false">D727/D716</f>
        <v>0.228274987740129</v>
      </c>
      <c r="E728" s="15" t="n">
        <f aca="false">E727/E716</f>
        <v>0.20838796001938</v>
      </c>
      <c r="F728" s="15" t="n">
        <f aca="false">F727/F716</f>
        <v>0.120434032509516</v>
      </c>
      <c r="G728" s="15" t="n">
        <f aca="false">G727/G716</f>
        <v>0.107837777994911</v>
      </c>
    </row>
    <row r="729" customFormat="false" ht="15" hidden="false" customHeight="false" outlineLevel="0" collapsed="false">
      <c r="A729" s="3" t="s">
        <v>421</v>
      </c>
      <c r="B729" s="0" t="s">
        <v>181</v>
      </c>
      <c r="C729" s="23" t="n">
        <f aca="false">a25_nonop</f>
        <v>5.805</v>
      </c>
      <c r="D729" s="23" t="n">
        <f aca="false">a26_nonop</f>
        <v>38.372</v>
      </c>
      <c r="E729" s="23" t="n">
        <f aca="false">nonop_f</f>
        <v>4</v>
      </c>
      <c r="F729" s="23" t="n">
        <f aca="false">nonop_f</f>
        <v>4</v>
      </c>
      <c r="G729" s="23" t="n">
        <f aca="false">nonop_f</f>
        <v>4</v>
      </c>
    </row>
    <row r="730" customFormat="false" ht="15" hidden="false" customHeight="false" outlineLevel="0" collapsed="false">
      <c r="A730" s="3" t="s">
        <v>423</v>
      </c>
      <c r="B730" s="0" t="s">
        <v>181</v>
      </c>
      <c r="C730" s="23" t="n">
        <f aca="false">C727+C729</f>
        <v>49.655</v>
      </c>
      <c r="D730" s="23" t="n">
        <f aca="false">D727+D729</f>
        <v>102.2282252</v>
      </c>
      <c r="E730" s="23" t="n">
        <f aca="false">E727+E729</f>
        <v>64.3103517047201</v>
      </c>
      <c r="F730" s="23" t="n">
        <f aca="false">F727+F729</f>
        <v>36.4928827268018</v>
      </c>
      <c r="G730" s="23" t="n">
        <f aca="false">G727+G729</f>
        <v>36.3907450927241</v>
      </c>
    </row>
    <row r="731" customFormat="false" ht="15" hidden="false" customHeight="false" outlineLevel="0" collapsed="false">
      <c r="A731" s="3" t="s">
        <v>425</v>
      </c>
      <c r="B731" s="0" t="s">
        <v>181</v>
      </c>
      <c r="C731" s="23" t="n">
        <f aca="false">a25_tax</f>
        <v>7.939</v>
      </c>
      <c r="D731" s="23" t="n">
        <f aca="false">a26_tax</f>
        <v>10.493828284</v>
      </c>
      <c r="E731" s="23" t="n">
        <f aca="false">E730*tax</f>
        <v>9.64655275570801</v>
      </c>
      <c r="F731" s="23" t="n">
        <f aca="false">F730*tax</f>
        <v>5.47393240902027</v>
      </c>
      <c r="G731" s="23" t="n">
        <f aca="false">G730*tax</f>
        <v>5.45861176390861</v>
      </c>
    </row>
    <row r="732" customFormat="false" ht="17.15" hidden="false" customHeight="false" outlineLevel="0" collapsed="false">
      <c r="A732" s="3" t="s">
        <v>549</v>
      </c>
      <c r="B732" s="0" t="s">
        <v>181</v>
      </c>
      <c r="C732" s="23" t="n">
        <f aca="false">a25_mi</f>
        <v>0</v>
      </c>
      <c r="D732" s="23" t="n">
        <f aca="false">a26_mi</f>
        <v>-0.134999999999987</v>
      </c>
      <c r="E732" s="23" t="n">
        <f aca="false">0</f>
        <v>0</v>
      </c>
      <c r="F732" s="23" t="n">
        <f aca="false">0</f>
        <v>0</v>
      </c>
      <c r="G732" s="23" t="n">
        <f aca="false">0</f>
        <v>0</v>
      </c>
      <c r="K732" s="7" t="s">
        <v>550</v>
      </c>
    </row>
    <row r="733" customFormat="false" ht="15" hidden="false" customHeight="false" outlineLevel="0" collapsed="false">
      <c r="A733" s="3" t="s">
        <v>428</v>
      </c>
      <c r="B733" s="0" t="s">
        <v>181</v>
      </c>
      <c r="C733" s="23" t="n">
        <f aca="false">C730-C731-C732</f>
        <v>41.716</v>
      </c>
      <c r="D733" s="23" t="n">
        <f aca="false">D730-D731-D732</f>
        <v>91.869396916</v>
      </c>
      <c r="E733" s="23" t="n">
        <f aca="false">E730-E731-E732</f>
        <v>54.6637989490121</v>
      </c>
      <c r="F733" s="23" t="n">
        <f aca="false">F730-F731-F732</f>
        <v>31.0189503177815</v>
      </c>
      <c r="G733" s="23" t="n">
        <f aca="false">G730-G731-G732</f>
        <v>30.9321333288155</v>
      </c>
      <c r="H733" s="30" t="n">
        <f aca="false">H716*H737</f>
        <v>31.2430443643066</v>
      </c>
      <c r="I733" s="30" t="n">
        <f aca="false">I716*I737</f>
        <v>30.4938506406134</v>
      </c>
      <c r="J733" s="30" t="n">
        <f aca="false">J716*J737</f>
        <v>28.7111332185467</v>
      </c>
    </row>
    <row r="734" customFormat="false" ht="15" hidden="false" customHeight="false" outlineLevel="0" collapsed="false">
      <c r="A734" s="3" t="s">
        <v>551</v>
      </c>
      <c r="B734" s="3" t="s">
        <v>250</v>
      </c>
      <c r="C734" s="9" t="n">
        <f aca="false">a25_sh</f>
        <v>12.4898203592814</v>
      </c>
      <c r="D734" s="9" t="n">
        <f aca="false">a26_sh</f>
        <v>12.4754339027235</v>
      </c>
      <c r="E734" s="9" t="n">
        <f aca="false">q_sh*(1+sh_g)</f>
        <v>12.45</v>
      </c>
      <c r="F734" s="9" t="n">
        <f aca="false">E734*(1+sh_g)</f>
        <v>12.45</v>
      </c>
      <c r="G734" s="9" t="n">
        <f aca="false">F734*(1+sh_g)</f>
        <v>12.45</v>
      </c>
      <c r="H734" s="32" t="n">
        <f aca="false">G734*(1+sh_g)</f>
        <v>12.45</v>
      </c>
      <c r="I734" s="32" t="n">
        <f aca="false">H734*(1+sh_g)</f>
        <v>12.45</v>
      </c>
      <c r="J734" s="32" t="n">
        <f aca="false">I734*(1+sh_g)</f>
        <v>12.45</v>
      </c>
    </row>
    <row r="735" customFormat="false" ht="17.15" hidden="false" customHeight="false" outlineLevel="0" collapsed="false">
      <c r="A735" s="0" t="s">
        <v>434</v>
      </c>
      <c r="B735" s="0" t="s">
        <v>260</v>
      </c>
      <c r="C735" s="23" t="n">
        <f aca="false">C733/C734</f>
        <v>3.34</v>
      </c>
      <c r="D735" s="23" t="n">
        <f aca="false">D733/D734</f>
        <v>7.36402418002826</v>
      </c>
      <c r="E735" s="23" t="n">
        <f aca="false">E733/E734</f>
        <v>4.39066658224996</v>
      </c>
      <c r="F735" s="23" t="n">
        <f aca="false">F733/F734</f>
        <v>2.49148195323546</v>
      </c>
      <c r="G735" s="23" t="n">
        <f aca="false">G733/G734</f>
        <v>2.48450870110968</v>
      </c>
      <c r="H735" s="30" t="n">
        <f aca="false">H733/H734</f>
        <v>2.50948147504471</v>
      </c>
      <c r="I735" s="30" t="n">
        <f aca="false">I733/I734</f>
        <v>2.44930527233842</v>
      </c>
      <c r="J735" s="30" t="n">
        <f aca="false">J733/J734</f>
        <v>2.30611511795556</v>
      </c>
    </row>
    <row r="736" customFormat="false" ht="17.15" hidden="false" customHeight="false" outlineLevel="0" collapsed="false">
      <c r="A736" s="0" t="s">
        <v>552</v>
      </c>
      <c r="B736" s="0" t="s">
        <v>69</v>
      </c>
      <c r="D736" s="21" t="n">
        <f aca="false">D735/C735-1</f>
        <v>1.2047976586911</v>
      </c>
      <c r="E736" s="21" t="n">
        <f aca="false">E735/D735-1</f>
        <v>-0.403768038383449</v>
      </c>
      <c r="F736" s="21" t="n">
        <f aca="false">F735/E735-1</f>
        <v>-0.432550409701407</v>
      </c>
      <c r="G736" s="21" t="n">
        <f aca="false">G735/F735-1</f>
        <v>-0.00279883710043838</v>
      </c>
      <c r="H736" s="28" t="n">
        <f aca="false">H735/G735-1</f>
        <v>0.0100513932287212</v>
      </c>
      <c r="I736" s="28" t="n">
        <f aca="false">I735/H735-1</f>
        <v>-0.0239795365316308</v>
      </c>
      <c r="J736" s="28" t="n">
        <f aca="false">J735/I735-1</f>
        <v>-0.0584615384615386</v>
      </c>
    </row>
    <row r="737" customFormat="false" ht="17.15" hidden="false" customHeight="false" outlineLevel="0" collapsed="false">
      <c r="A737" s="3" t="s">
        <v>553</v>
      </c>
      <c r="B737" s="0" t="s">
        <v>69</v>
      </c>
      <c r="C737" s="15" t="n">
        <f aca="false">C733/C716</f>
        <v>0.175607127672562</v>
      </c>
      <c r="D737" s="15" t="n">
        <f aca="false">D733/D716</f>
        <v>0.328417243409073</v>
      </c>
      <c r="E737" s="15" t="n">
        <f aca="false">E733/E716</f>
        <v>0.18887765081633</v>
      </c>
      <c r="F737" s="15" t="n">
        <f aca="false">F733/F716</f>
        <v>0.114970940017622</v>
      </c>
      <c r="G737" s="15" t="n">
        <f aca="false">G733/G716</f>
        <v>0.102981654706395</v>
      </c>
      <c r="H737" s="29" t="n">
        <f aca="false">$G737+($G$737*0.8-$G737)*1/3</f>
        <v>0.0961162110593024</v>
      </c>
      <c r="I737" s="29" t="n">
        <f aca="false">$G737+($G$737*0.8-$G737)*2/3</f>
        <v>0.0892507674122094</v>
      </c>
      <c r="J737" s="29" t="n">
        <f aca="false">$G737+($G$737*0.8-$G737)*3/3</f>
        <v>0.0823853237651164</v>
      </c>
    </row>
    <row r="740" customFormat="false" ht="17.15" hidden="false" customHeight="false" outlineLevel="0" collapsed="false">
      <c r="A740" s="1" t="s">
        <v>855</v>
      </c>
    </row>
    <row r="741" customFormat="false" ht="17.15" hidden="false" customHeight="false" outlineLevel="0" collapsed="false">
      <c r="A741" s="4" t="s">
        <v>24</v>
      </c>
      <c r="B741" s="4" t="s">
        <v>25</v>
      </c>
      <c r="C741" s="16" t="s">
        <v>387</v>
      </c>
      <c r="D741" s="16" t="s">
        <v>505</v>
      </c>
      <c r="E741" s="16" t="s">
        <v>467</v>
      </c>
      <c r="F741" s="16" t="s">
        <v>468</v>
      </c>
      <c r="G741" s="16" t="s">
        <v>469</v>
      </c>
      <c r="H741" s="16" t="s">
        <v>506</v>
      </c>
      <c r="I741" s="16" t="s">
        <v>507</v>
      </c>
      <c r="J741" s="16" t="s">
        <v>508</v>
      </c>
      <c r="K741" s="4" t="s">
        <v>345</v>
      </c>
    </row>
    <row r="742" customFormat="false" ht="17.15" hidden="false" customHeight="false" outlineLevel="0" collapsed="false">
      <c r="A742" s="5" t="s">
        <v>526</v>
      </c>
    </row>
    <row r="743" customFormat="false" ht="17.15" hidden="false" customHeight="false" outlineLevel="0" collapsed="false">
      <c r="A743" s="3" t="s">
        <v>527</v>
      </c>
      <c r="B743" s="3" t="s">
        <v>64</v>
      </c>
      <c r="D743" s="22" t="n">
        <f aca="false">cap_26</f>
        <v>5230.46851955216</v>
      </c>
      <c r="E743" s="22" t="n">
        <f aca="false">D743*(1+capg27)*cap_adj</f>
        <v>5439.68726033425</v>
      </c>
      <c r="F743" s="22" t="n">
        <f aca="false">E743*(1+capg28)</f>
        <v>5820.46536855765</v>
      </c>
      <c r="G743" s="22" t="n">
        <f aca="false">F743*(1+capg29)</f>
        <v>6227.89794435668</v>
      </c>
    </row>
    <row r="744" customFormat="false" ht="15" hidden="false" customHeight="false" outlineLevel="0" collapsed="false">
      <c r="A744" s="3" t="s">
        <v>528</v>
      </c>
      <c r="B744" s="0" t="s">
        <v>69</v>
      </c>
      <c r="D744" s="21" t="n">
        <f aca="false">a26_ship/cap_26</f>
        <v>0.870578781414787</v>
      </c>
      <c r="E744" s="21" t="n">
        <f aca="false">MIN(0.98,ut27_A+ut_adj)</f>
        <v>0.95</v>
      </c>
      <c r="F744" s="21" t="n">
        <f aca="false">MIN(0.98,ut28_A+ut_adj)</f>
        <v>0.94</v>
      </c>
      <c r="G744" s="21" t="n">
        <f aca="false">MIN(0.98,ut29_A+ut_adj)</f>
        <v>0.93</v>
      </c>
    </row>
    <row r="745" customFormat="false" ht="17.15" hidden="false" customHeight="false" outlineLevel="0" collapsed="false">
      <c r="A745" s="3" t="s">
        <v>529</v>
      </c>
      <c r="B745" s="3" t="s">
        <v>64</v>
      </c>
      <c r="D745" s="22" t="n">
        <f aca="false">D743*D744</f>
        <v>4553.53490998013</v>
      </c>
      <c r="E745" s="22" t="n">
        <f aca="false">E743*E744</f>
        <v>5167.70289731754</v>
      </c>
      <c r="F745" s="22" t="n">
        <f aca="false">F743*F744</f>
        <v>5471.23744644419</v>
      </c>
      <c r="G745" s="22" t="n">
        <f aca="false">G743*G744</f>
        <v>5791.94508825172</v>
      </c>
    </row>
    <row r="746" customFormat="false" ht="17.15" hidden="false" customHeight="false" outlineLevel="0" collapsed="false">
      <c r="A746" s="3" t="s">
        <v>530</v>
      </c>
      <c r="B746" s="0" t="s">
        <v>109</v>
      </c>
      <c r="D746" s="22" t="n">
        <f aca="false">asp_26</f>
        <v>1878.17486396824</v>
      </c>
      <c r="E746" s="22" t="n">
        <f aca="false">D746*(1+asp27_A)*(1+asp_adj_lo)</f>
        <v>2004.01257985412</v>
      </c>
      <c r="F746" s="22" t="n">
        <f aca="false">E746*(1+asp28_A)</f>
        <v>2064.13295724974</v>
      </c>
      <c r="G746" s="22" t="n">
        <f aca="false">F746*(1+asp29_A)</f>
        <v>2105.41561639474</v>
      </c>
    </row>
    <row r="747" customFormat="false" ht="15" hidden="false" customHeight="false" outlineLevel="0" collapsed="false">
      <c r="A747" s="3" t="s">
        <v>531</v>
      </c>
      <c r="B747" s="0" t="s">
        <v>69</v>
      </c>
      <c r="E747" s="21" t="n">
        <f aca="false">E746/D746-1</f>
        <v>0.067</v>
      </c>
      <c r="F747" s="21" t="n">
        <f aca="false">F746/E746-1</f>
        <v>0.03</v>
      </c>
      <c r="G747" s="21" t="n">
        <f aca="false">G746/F746-1</f>
        <v>0.02</v>
      </c>
    </row>
    <row r="748" customFormat="false" ht="15" hidden="false" customHeight="false" outlineLevel="0" collapsed="false">
      <c r="A748" s="3" t="s">
        <v>532</v>
      </c>
      <c r="B748" s="0" t="s">
        <v>35</v>
      </c>
      <c r="D748" s="23" t="n">
        <f aca="false">fx_26</f>
        <v>31.6</v>
      </c>
      <c r="E748" s="23" t="n">
        <f aca="false">fx</f>
        <v>32</v>
      </c>
      <c r="F748" s="23" t="n">
        <f aca="false">fx</f>
        <v>32</v>
      </c>
      <c r="G748" s="23" t="n">
        <f aca="false">fx</f>
        <v>32</v>
      </c>
    </row>
    <row r="749" customFormat="false" ht="17.15" hidden="false" customHeight="false" outlineLevel="0" collapsed="false">
      <c r="A749" s="3" t="s">
        <v>533</v>
      </c>
      <c r="B749" s="0" t="s">
        <v>181</v>
      </c>
      <c r="D749" s="23" t="n">
        <f aca="false">D745*D746*D748/1000000</f>
        <v>270.25378</v>
      </c>
      <c r="E749" s="23" t="n">
        <f aca="false">E745*E746*E748/1000000</f>
        <v>331.396531685533</v>
      </c>
      <c r="F749" s="23" t="n">
        <f aca="false">F745*F746*F748/1000000</f>
        <v>361.38756896462</v>
      </c>
      <c r="G749" s="23" t="n">
        <f aca="false">G745*G746*G748/1000000</f>
        <v>390.22245241939</v>
      </c>
    </row>
    <row r="750" customFormat="false" ht="17.15" hidden="false" customHeight="false" outlineLevel="0" collapsed="false">
      <c r="A750" s="5" t="s">
        <v>534</v>
      </c>
    </row>
    <row r="751" customFormat="false" ht="17.15" hidden="false" customHeight="false" outlineLevel="0" collapsed="false">
      <c r="A751" s="0" t="s">
        <v>535</v>
      </c>
      <c r="B751" s="0" t="s">
        <v>138</v>
      </c>
      <c r="D751" s="25" t="n">
        <f aca="false">ai_26</f>
        <v>0.3</v>
      </c>
      <c r="E751" s="25" t="n">
        <f aca="false">D751*(1+aig27_A)*ai_adj</f>
        <v>0.48</v>
      </c>
      <c r="F751" s="25" t="n">
        <f aca="false">E751*(1+aig_L)*um28_A</f>
        <v>0.696</v>
      </c>
      <c r="G751" s="25" t="n">
        <f aca="false">F751/um28_A*(1+aig_L)*um29_A</f>
        <v>1.0092</v>
      </c>
    </row>
    <row r="752" customFormat="false" ht="17.15" hidden="false" customHeight="false" outlineLevel="0" collapsed="false">
      <c r="A752" s="0" t="s">
        <v>536</v>
      </c>
      <c r="B752" s="0" t="s">
        <v>181</v>
      </c>
      <c r="D752" s="23" t="n">
        <f aca="false">D751*D748</f>
        <v>9.48</v>
      </c>
      <c r="E752" s="23" t="n">
        <f aca="false">E751*E748</f>
        <v>15.36</v>
      </c>
      <c r="F752" s="23" t="n">
        <f aca="false">F751*F748</f>
        <v>22.272</v>
      </c>
      <c r="G752" s="23" t="n">
        <f aca="false">G751*G748</f>
        <v>32.2944</v>
      </c>
    </row>
    <row r="753" customFormat="false" ht="17.15" hidden="false" customHeight="false" outlineLevel="0" collapsed="false">
      <c r="A753" s="0" t="s">
        <v>537</v>
      </c>
      <c r="B753" s="0" t="s">
        <v>138</v>
      </c>
      <c r="D753" s="25" t="n">
        <f aca="false">0</f>
        <v>0</v>
      </c>
      <c r="E753" s="25" t="n">
        <f aca="false">int_27</f>
        <v>0</v>
      </c>
      <c r="F753" s="25" t="n">
        <f aca="false">int28_A</f>
        <v>0.25</v>
      </c>
      <c r="G753" s="25" t="n">
        <f aca="false">int29_A</f>
        <v>0.5</v>
      </c>
    </row>
    <row r="754" customFormat="false" ht="17.15" hidden="false" customHeight="false" outlineLevel="0" collapsed="false">
      <c r="A754" s="0" t="s">
        <v>538</v>
      </c>
      <c r="B754" s="0" t="s">
        <v>181</v>
      </c>
      <c r="D754" s="23" t="n">
        <f aca="false">D753*D748</f>
        <v>0</v>
      </c>
      <c r="E754" s="23" t="n">
        <f aca="false">E753*E748</f>
        <v>0</v>
      </c>
      <c r="F754" s="23" t="n">
        <f aca="false">F753*F748</f>
        <v>8</v>
      </c>
      <c r="G754" s="23" t="n">
        <f aca="false">G753*G748</f>
        <v>16</v>
      </c>
    </row>
    <row r="755" customFormat="false" ht="17.15" hidden="false" customHeight="false" outlineLevel="0" collapsed="false">
      <c r="A755" s="3" t="s">
        <v>393</v>
      </c>
      <c r="B755" s="0" t="s">
        <v>181</v>
      </c>
      <c r="C755" s="23" t="n">
        <f aca="false">a25_rev</f>
        <v>237.553</v>
      </c>
      <c r="D755" s="23" t="n">
        <f aca="false">D749+D752+D754</f>
        <v>279.73378</v>
      </c>
      <c r="E755" s="23" t="n">
        <f aca="false">E749+E752+E754</f>
        <v>346.756531685533</v>
      </c>
      <c r="F755" s="23" t="n">
        <f aca="false">F749+F752+F754</f>
        <v>391.65956896462</v>
      </c>
      <c r="G755" s="23" t="n">
        <f aca="false">G749+G752+G754</f>
        <v>438.51685241939</v>
      </c>
      <c r="H755" s="30" t="n">
        <f aca="false">G755*(1+H757)</f>
        <v>482.262646185336</v>
      </c>
      <c r="I755" s="30" t="n">
        <f aca="false">H755*(1+I757)</f>
        <v>520.785430353513</v>
      </c>
      <c r="J755" s="30" t="n">
        <f aca="false">I755*(1+J757)</f>
        <v>552.032556174724</v>
      </c>
      <c r="K755" s="7" t="s">
        <v>539</v>
      </c>
    </row>
    <row r="756" customFormat="false" ht="17.15" hidden="false" customHeight="false" outlineLevel="0" collapsed="false">
      <c r="A756" s="0" t="s">
        <v>540</v>
      </c>
      <c r="B756" s="0" t="s">
        <v>69</v>
      </c>
      <c r="D756" s="21" t="n">
        <f aca="false">D752/D755</f>
        <v>0.0338893643806622</v>
      </c>
      <c r="E756" s="21" t="n">
        <f aca="false">E752/E755</f>
        <v>0.0442962095777613</v>
      </c>
      <c r="F756" s="21" t="n">
        <f aca="false">F752/F755</f>
        <v>0.0568657113596832</v>
      </c>
      <c r="G756" s="21" t="n">
        <f aca="false">G752/G755</f>
        <v>0.0736446041282677</v>
      </c>
    </row>
    <row r="757" customFormat="false" ht="15" hidden="false" customHeight="false" outlineLevel="0" collapsed="false">
      <c r="A757" s="3" t="s">
        <v>541</v>
      </c>
      <c r="B757" s="0" t="s">
        <v>69</v>
      </c>
      <c r="D757" s="21" t="n">
        <f aca="false">D755/C755-1</f>
        <v>0.177563659478096</v>
      </c>
      <c r="E757" s="21" t="n">
        <f aca="false">E755/D755-1</f>
        <v>0.239594773593426</v>
      </c>
      <c r="F757" s="21" t="n">
        <f aca="false">F755/E755-1</f>
        <v>0.129494423827633</v>
      </c>
      <c r="G757" s="21" t="n">
        <f aca="false">G755/F755-1</f>
        <v>0.119637785382447</v>
      </c>
      <c r="H757" s="28" t="n">
        <f aca="false">$G757+(fade_gA-$G757)*1/3</f>
        <v>0.0997585235882978</v>
      </c>
      <c r="I757" s="28" t="n">
        <f aca="false">$G757+(fade_gA-$G757)*2/3</f>
        <v>0.0798792617941489</v>
      </c>
      <c r="J757" s="28" t="n">
        <f aca="false">$G757+(fade_gA-$G757)*3/3</f>
        <v>0.06</v>
      </c>
    </row>
    <row r="758" customFormat="false" ht="17.15" hidden="false" customHeight="false" outlineLevel="0" collapsed="false">
      <c r="A758" s="5" t="s">
        <v>542</v>
      </c>
    </row>
    <row r="759" customFormat="false" ht="15" hidden="false" customHeight="false" outlineLevel="0" collapsed="false">
      <c r="A759" s="3" t="s">
        <v>543</v>
      </c>
      <c r="B759" s="0" t="s">
        <v>181</v>
      </c>
      <c r="D759" s="23" t="n">
        <f aca="false">da_tot26*da_sh</f>
        <v>56.172</v>
      </c>
      <c r="E759" s="23" t="n">
        <f aca="false">D759*(1+dag_27+dag_adj)</f>
        <v>62.91264</v>
      </c>
      <c r="F759" s="23" t="n">
        <f aca="false">E759*(1+dag_28+dag_adj)</f>
        <v>69.203904</v>
      </c>
      <c r="G759" s="23" t="n">
        <f aca="false">F759*(1+dag_29+dag_adj)</f>
        <v>74.74021632</v>
      </c>
    </row>
    <row r="760" customFormat="false" ht="17.15" hidden="false" customHeight="false" outlineLevel="0" collapsed="false">
      <c r="A760" s="3" t="s">
        <v>544</v>
      </c>
      <c r="B760" s="0" t="s">
        <v>545</v>
      </c>
      <c r="D760" s="23" t="n">
        <f aca="false">(D755-a26_gp-D759-(1-m_new)*(D752+D754))/D745*1000</f>
        <v>27.9465727870208</v>
      </c>
      <c r="E760" s="23" t="n">
        <f aca="false">D760*(1+cc_g)</f>
        <v>28.5055042427612</v>
      </c>
      <c r="F760" s="23" t="n">
        <f aca="false">E760*(1+cc_g)</f>
        <v>29.0756143276165</v>
      </c>
      <c r="G760" s="23" t="n">
        <f aca="false">F760*(1+cc_g)</f>
        <v>29.6571266141688</v>
      </c>
      <c r="K760" s="7" t="s">
        <v>546</v>
      </c>
    </row>
    <row r="761" customFormat="false" ht="17.15" hidden="false" customHeight="false" outlineLevel="0" collapsed="false">
      <c r="A761" s="3" t="s">
        <v>547</v>
      </c>
      <c r="B761" s="0" t="s">
        <v>181</v>
      </c>
      <c r="D761" s="23" t="n">
        <f aca="false">D760*D745/1000</f>
        <v>127.2556948</v>
      </c>
      <c r="E761" s="23" t="n">
        <f aca="false">E760*E745/1000</f>
        <v>147.307976864815</v>
      </c>
      <c r="F761" s="23" t="n">
        <f aca="false">F760*F745/1000</f>
        <v>159.079589887624</v>
      </c>
      <c r="G761" s="23" t="n">
        <f aca="false">G760*G745/1000</f>
        <v>171.772448824594</v>
      </c>
    </row>
    <row r="762" customFormat="false" ht="17.15" hidden="false" customHeight="false" outlineLevel="0" collapsed="false">
      <c r="A762" s="3" t="s">
        <v>548</v>
      </c>
      <c r="B762" s="0" t="s">
        <v>181</v>
      </c>
      <c r="D762" s="23" t="n">
        <f aca="false">m_new*(D752+D754)</f>
        <v>4.266</v>
      </c>
      <c r="E762" s="23" t="n">
        <f aca="false">m_new*(E752+E754)</f>
        <v>6.912</v>
      </c>
      <c r="F762" s="23" t="n">
        <f aca="false">m_new*(F752+F754)</f>
        <v>13.6224</v>
      </c>
      <c r="G762" s="23" t="n">
        <f aca="false">m_new*(G752+G754)</f>
        <v>21.73248</v>
      </c>
    </row>
    <row r="763" customFormat="false" ht="15" hidden="false" customHeight="false" outlineLevel="0" collapsed="false">
      <c r="A763" s="3" t="s">
        <v>411</v>
      </c>
      <c r="B763" s="0" t="s">
        <v>181</v>
      </c>
      <c r="C763" s="23" t="n">
        <f aca="false">a25_gp</f>
        <v>68.906</v>
      </c>
      <c r="D763" s="23" t="n">
        <f aca="false">D749-D759-D761+D762</f>
        <v>91.0920852</v>
      </c>
      <c r="E763" s="23" t="n">
        <f aca="false">E749-E759-E761+E762</f>
        <v>128.087914820719</v>
      </c>
      <c r="F763" s="23" t="n">
        <f aca="false">F749-F759-F761+F762</f>
        <v>146.726475076995</v>
      </c>
      <c r="G763" s="23" t="n">
        <f aca="false">G749-G759-G761+G762</f>
        <v>165.442267274796</v>
      </c>
    </row>
    <row r="764" customFormat="false" ht="15" hidden="false" customHeight="false" outlineLevel="0" collapsed="false">
      <c r="A764" s="3" t="s">
        <v>413</v>
      </c>
      <c r="B764" s="0" t="s">
        <v>69</v>
      </c>
      <c r="C764" s="15" t="n">
        <f aca="false">C763/C755</f>
        <v>0.290065795843454</v>
      </c>
      <c r="D764" s="15" t="n">
        <f aca="false">D763/D755</f>
        <v>0.325638488136828</v>
      </c>
      <c r="E764" s="15" t="n">
        <f aca="false">E763/E755</f>
        <v>0.369388614536262</v>
      </c>
      <c r="F764" s="15" t="n">
        <f aca="false">F763/F755</f>
        <v>0.374627576353815</v>
      </c>
      <c r="G764" s="15" t="n">
        <f aca="false">G763/G755</f>
        <v>0.37727687399473</v>
      </c>
    </row>
    <row r="765" customFormat="false" ht="15" hidden="false" customHeight="false" outlineLevel="0" collapsed="false">
      <c r="A765" s="3" t="s">
        <v>415</v>
      </c>
      <c r="B765" s="0" t="s">
        <v>181</v>
      </c>
      <c r="C765" s="23" t="n">
        <f aca="false">a25_opx</f>
        <v>25.056</v>
      </c>
      <c r="D765" s="23" t="n">
        <f aca="false">a26_opx</f>
        <v>27.23586</v>
      </c>
      <c r="E765" s="23" t="n">
        <f aca="false">D765*(1+MAX(g_opx_min,phi*E757))</f>
        <v>30.4986448551611</v>
      </c>
      <c r="F765" s="23" t="n">
        <f aca="false">E765*(1+MAX(g_opx_min,phi*F757))</f>
        <v>32.4733470766825</v>
      </c>
      <c r="G765" s="23" t="n">
        <f aca="false">F765*(1+MAX(g_opx_min,phi*G757))</f>
        <v>34.4158667407874</v>
      </c>
    </row>
    <row r="766" customFormat="false" ht="15" hidden="false" customHeight="false" outlineLevel="0" collapsed="false">
      <c r="A766" s="3" t="s">
        <v>418</v>
      </c>
      <c r="B766" s="0" t="s">
        <v>181</v>
      </c>
      <c r="C766" s="23" t="n">
        <f aca="false">C763-C765</f>
        <v>43.85</v>
      </c>
      <c r="D766" s="23" t="n">
        <f aca="false">D763-D765</f>
        <v>63.8562252</v>
      </c>
      <c r="E766" s="23" t="n">
        <f aca="false">E763-E765</f>
        <v>97.5892699655574</v>
      </c>
      <c r="F766" s="23" t="n">
        <f aca="false">F763-F765</f>
        <v>114.253128000313</v>
      </c>
      <c r="G766" s="23" t="n">
        <f aca="false">G763-G765</f>
        <v>131.026400534009</v>
      </c>
    </row>
    <row r="767" customFormat="false" ht="15" hidden="false" customHeight="false" outlineLevel="0" collapsed="false">
      <c r="A767" s="3" t="s">
        <v>515</v>
      </c>
      <c r="B767" s="0" t="s">
        <v>69</v>
      </c>
      <c r="C767" s="15" t="n">
        <f aca="false">C766/C755</f>
        <v>0.184590386145408</v>
      </c>
      <c r="D767" s="15" t="n">
        <f aca="false">D766/D755</f>
        <v>0.228274987740129</v>
      </c>
      <c r="E767" s="15" t="n">
        <f aca="false">E766/E755</f>
        <v>0.281434554357751</v>
      </c>
      <c r="F767" s="15" t="n">
        <f aca="false">F766/F755</f>
        <v>0.291715400449296</v>
      </c>
      <c r="G767" s="15" t="n">
        <f aca="false">G766/G755</f>
        <v>0.29879444726265</v>
      </c>
    </row>
    <row r="768" customFormat="false" ht="15" hidden="false" customHeight="false" outlineLevel="0" collapsed="false">
      <c r="A768" s="3" t="s">
        <v>421</v>
      </c>
      <c r="B768" s="0" t="s">
        <v>181</v>
      </c>
      <c r="C768" s="23" t="n">
        <f aca="false">a25_nonop</f>
        <v>5.805</v>
      </c>
      <c r="D768" s="23" t="n">
        <f aca="false">a26_nonop</f>
        <v>38.372</v>
      </c>
      <c r="E768" s="23" t="n">
        <f aca="false">nonop_f</f>
        <v>4</v>
      </c>
      <c r="F768" s="23" t="n">
        <f aca="false">nonop_f</f>
        <v>4</v>
      </c>
      <c r="G768" s="23" t="n">
        <f aca="false">nonop_f</f>
        <v>4</v>
      </c>
    </row>
    <row r="769" customFormat="false" ht="15" hidden="false" customHeight="false" outlineLevel="0" collapsed="false">
      <c r="A769" s="3" t="s">
        <v>423</v>
      </c>
      <c r="B769" s="0" t="s">
        <v>181</v>
      </c>
      <c r="C769" s="23" t="n">
        <f aca="false">C766+C768</f>
        <v>49.655</v>
      </c>
      <c r="D769" s="23" t="n">
        <f aca="false">D766+D768</f>
        <v>102.2282252</v>
      </c>
      <c r="E769" s="23" t="n">
        <f aca="false">E766+E768</f>
        <v>101.589269965557</v>
      </c>
      <c r="F769" s="23" t="n">
        <f aca="false">F766+F768</f>
        <v>118.253128000313</v>
      </c>
      <c r="G769" s="23" t="n">
        <f aca="false">G766+G768</f>
        <v>135.026400534009</v>
      </c>
    </row>
    <row r="770" customFormat="false" ht="15" hidden="false" customHeight="false" outlineLevel="0" collapsed="false">
      <c r="A770" s="3" t="s">
        <v>425</v>
      </c>
      <c r="B770" s="0" t="s">
        <v>181</v>
      </c>
      <c r="C770" s="23" t="n">
        <f aca="false">a25_tax</f>
        <v>7.939</v>
      </c>
      <c r="D770" s="23" t="n">
        <f aca="false">a26_tax</f>
        <v>10.493828284</v>
      </c>
      <c r="E770" s="23" t="n">
        <f aca="false">E769*tax</f>
        <v>15.2383904948336</v>
      </c>
      <c r="F770" s="23" t="n">
        <f aca="false">F769*tax</f>
        <v>17.7379692000469</v>
      </c>
      <c r="G770" s="23" t="n">
        <f aca="false">G769*tax</f>
        <v>20.2539600801013</v>
      </c>
    </row>
    <row r="771" customFormat="false" ht="17.15" hidden="false" customHeight="false" outlineLevel="0" collapsed="false">
      <c r="A771" s="3" t="s">
        <v>549</v>
      </c>
      <c r="B771" s="0" t="s">
        <v>181</v>
      </c>
      <c r="C771" s="23" t="n">
        <f aca="false">a25_mi</f>
        <v>0</v>
      </c>
      <c r="D771" s="23" t="n">
        <f aca="false">a26_mi</f>
        <v>-0.134999999999987</v>
      </c>
      <c r="E771" s="23" t="n">
        <f aca="false">0</f>
        <v>0</v>
      </c>
      <c r="F771" s="23" t="n">
        <f aca="false">0</f>
        <v>0</v>
      </c>
      <c r="G771" s="23" t="n">
        <f aca="false">0</f>
        <v>0</v>
      </c>
      <c r="K771" s="7" t="s">
        <v>550</v>
      </c>
    </row>
    <row r="772" customFormat="false" ht="15" hidden="false" customHeight="false" outlineLevel="0" collapsed="false">
      <c r="A772" s="3" t="s">
        <v>428</v>
      </c>
      <c r="B772" s="0" t="s">
        <v>181</v>
      </c>
      <c r="C772" s="23" t="n">
        <f aca="false">C769-C770-C771</f>
        <v>41.716</v>
      </c>
      <c r="D772" s="23" t="n">
        <f aca="false">D769-D770-D771</f>
        <v>91.869396916</v>
      </c>
      <c r="E772" s="23" t="n">
        <f aca="false">E769-E770-E771</f>
        <v>86.3508794707238</v>
      </c>
      <c r="F772" s="23" t="n">
        <f aca="false">F769-F770-F771</f>
        <v>100.515158800266</v>
      </c>
      <c r="G772" s="23" t="n">
        <f aca="false">G769-G770-G771</f>
        <v>114.772440453907</v>
      </c>
      <c r="H772" s="30" t="n">
        <f aca="false">H755*H776</f>
        <v>126.221969662215</v>
      </c>
      <c r="I772" s="30" t="n">
        <f aca="false">I755*I776</f>
        <v>136.304487421036</v>
      </c>
      <c r="J772" s="30" t="n">
        <f aca="false">J755*J776</f>
        <v>144.482756666298</v>
      </c>
    </row>
    <row r="773" customFormat="false" ht="15" hidden="false" customHeight="false" outlineLevel="0" collapsed="false">
      <c r="A773" s="3" t="s">
        <v>551</v>
      </c>
      <c r="B773" s="3" t="s">
        <v>250</v>
      </c>
      <c r="C773" s="9" t="n">
        <f aca="false">a25_sh</f>
        <v>12.4898203592814</v>
      </c>
      <c r="D773" s="9" t="n">
        <f aca="false">a26_sh</f>
        <v>12.4754339027235</v>
      </c>
      <c r="E773" s="9" t="n">
        <f aca="false">q_sh*(1+sh_g)</f>
        <v>12.45</v>
      </c>
      <c r="F773" s="9" t="n">
        <f aca="false">E773*(1+sh_g)</f>
        <v>12.45</v>
      </c>
      <c r="G773" s="9" t="n">
        <f aca="false">F773*(1+sh_g)</f>
        <v>12.45</v>
      </c>
      <c r="H773" s="32" t="n">
        <f aca="false">G773*(1+sh_g)</f>
        <v>12.45</v>
      </c>
      <c r="I773" s="32" t="n">
        <f aca="false">H773*(1+sh_g)</f>
        <v>12.45</v>
      </c>
      <c r="J773" s="32" t="n">
        <f aca="false">I773*(1+sh_g)</f>
        <v>12.45</v>
      </c>
    </row>
    <row r="774" customFormat="false" ht="17.15" hidden="false" customHeight="false" outlineLevel="0" collapsed="false">
      <c r="A774" s="0" t="s">
        <v>434</v>
      </c>
      <c r="B774" s="0" t="s">
        <v>260</v>
      </c>
      <c r="C774" s="23" t="n">
        <f aca="false">C772/C773</f>
        <v>3.34</v>
      </c>
      <c r="D774" s="23" t="n">
        <f aca="false">D772/D773</f>
        <v>7.36402418002826</v>
      </c>
      <c r="E774" s="23" t="n">
        <f aca="false">E772/E773</f>
        <v>6.93581361210633</v>
      </c>
      <c r="F774" s="23" t="n">
        <f aca="false">F772/F773</f>
        <v>8.07350673094504</v>
      </c>
      <c r="G774" s="23" t="n">
        <f aca="false">G772/G773</f>
        <v>9.21866991597649</v>
      </c>
      <c r="H774" s="30" t="n">
        <f aca="false">H772/H773</f>
        <v>10.1383108162422</v>
      </c>
      <c r="I774" s="30" t="n">
        <f aca="false">I772/I773</f>
        <v>10.9481516000832</v>
      </c>
      <c r="J774" s="30" t="n">
        <f aca="false">J772/J773</f>
        <v>11.6050406960882</v>
      </c>
    </row>
    <row r="775" customFormat="false" ht="17.15" hidden="false" customHeight="false" outlineLevel="0" collapsed="false">
      <c r="A775" s="0" t="s">
        <v>552</v>
      </c>
      <c r="B775" s="0" t="s">
        <v>69</v>
      </c>
      <c r="D775" s="21" t="n">
        <f aca="false">D774/C774-1</f>
        <v>1.2047976586911</v>
      </c>
      <c r="E775" s="21" t="n">
        <f aca="false">E774/D774-1</f>
        <v>-0.0581489899345079</v>
      </c>
      <c r="F775" s="21" t="n">
        <f aca="false">F774/E774-1</f>
        <v>0.164031674215249</v>
      </c>
      <c r="G775" s="21" t="n">
        <f aca="false">G774/F774-1</f>
        <v>0.141842104452845</v>
      </c>
      <c r="H775" s="28" t="n">
        <f aca="false">H774/G774-1</f>
        <v>0.0997585235882978</v>
      </c>
      <c r="I775" s="28" t="n">
        <f aca="false">I774/H774-1</f>
        <v>0.0798792617941488</v>
      </c>
      <c r="J775" s="28" t="n">
        <f aca="false">J774/I774-1</f>
        <v>0.0600000000000001</v>
      </c>
    </row>
    <row r="776" customFormat="false" ht="17.15" hidden="false" customHeight="false" outlineLevel="0" collapsed="false">
      <c r="A776" s="3" t="s">
        <v>553</v>
      </c>
      <c r="B776" s="0" t="s">
        <v>69</v>
      </c>
      <c r="C776" s="15" t="n">
        <f aca="false">C772/C755</f>
        <v>0.175607127672562</v>
      </c>
      <c r="D776" s="15" t="n">
        <f aca="false">D772/D755</f>
        <v>0.328417243409073</v>
      </c>
      <c r="E776" s="15" t="n">
        <f aca="false">E772/E755</f>
        <v>0.249024521761666</v>
      </c>
      <c r="F776" s="15" t="n">
        <f aca="false">F772/F755</f>
        <v>0.256639098761164</v>
      </c>
      <c r="G776" s="15" t="n">
        <f aca="false">G772/G755</f>
        <v>0.261728688009785</v>
      </c>
      <c r="H776" s="29" t="n">
        <f aca="false">$G776+($G$776*1-$G776)*1/3</f>
        <v>0.261728688009785</v>
      </c>
      <c r="I776" s="29" t="n">
        <f aca="false">$G776+($G$776*1-$G776)*2/3</f>
        <v>0.261728688009785</v>
      </c>
      <c r="J776" s="29" t="n">
        <f aca="false">$G776+($G$776*1-$G776)*3/3</f>
        <v>0.261728688009785</v>
      </c>
    </row>
    <row r="779" customFormat="false" ht="17.15" hidden="false" customHeight="false" outlineLevel="0" collapsed="false">
      <c r="A779" s="1" t="s">
        <v>856</v>
      </c>
    </row>
    <row r="780" customFormat="false" ht="17.15" hidden="false" customHeight="false" outlineLevel="0" collapsed="false">
      <c r="A780" s="4" t="s">
        <v>24</v>
      </c>
      <c r="B780" s="4" t="s">
        <v>25</v>
      </c>
      <c r="C780" s="16" t="s">
        <v>387</v>
      </c>
      <c r="D780" s="16" t="s">
        <v>505</v>
      </c>
      <c r="E780" s="16" t="s">
        <v>467</v>
      </c>
      <c r="F780" s="16" t="s">
        <v>468</v>
      </c>
      <c r="G780" s="16" t="s">
        <v>469</v>
      </c>
      <c r="H780" s="16" t="s">
        <v>506</v>
      </c>
      <c r="I780" s="16" t="s">
        <v>507</v>
      </c>
      <c r="J780" s="16" t="s">
        <v>508</v>
      </c>
      <c r="K780" s="4" t="s">
        <v>345</v>
      </c>
    </row>
    <row r="781" customFormat="false" ht="17.15" hidden="false" customHeight="false" outlineLevel="0" collapsed="false">
      <c r="A781" s="5" t="s">
        <v>526</v>
      </c>
    </row>
    <row r="782" customFormat="false" ht="17.15" hidden="false" customHeight="false" outlineLevel="0" collapsed="false">
      <c r="A782" s="3" t="s">
        <v>527</v>
      </c>
      <c r="B782" s="3" t="s">
        <v>64</v>
      </c>
      <c r="D782" s="22" t="n">
        <f aca="false">cap_26</f>
        <v>5230.46851955216</v>
      </c>
      <c r="E782" s="22" t="n">
        <f aca="false">D782*(1+capg27)*cap_adj</f>
        <v>5439.68726033425</v>
      </c>
      <c r="F782" s="22" t="n">
        <f aca="false">E782*(1+capg28)</f>
        <v>5820.46536855765</v>
      </c>
      <c r="G782" s="22" t="n">
        <f aca="false">F782*(1+capg29)</f>
        <v>6227.89794435668</v>
      </c>
    </row>
    <row r="783" customFormat="false" ht="15" hidden="false" customHeight="false" outlineLevel="0" collapsed="false">
      <c r="A783" s="3" t="s">
        <v>528</v>
      </c>
      <c r="B783" s="0" t="s">
        <v>69</v>
      </c>
      <c r="D783" s="21" t="n">
        <f aca="false">a26_ship/cap_26</f>
        <v>0.870578781414787</v>
      </c>
      <c r="E783" s="21" t="n">
        <f aca="false">MIN(0.98,ut27_B+ut_adj)</f>
        <v>0.9</v>
      </c>
      <c r="F783" s="21" t="n">
        <f aca="false">MIN(0.98,ut28_B+ut_adj)</f>
        <v>0.87</v>
      </c>
      <c r="G783" s="21" t="n">
        <f aca="false">MIN(0.98,ut29_B+ut_adj)</f>
        <v>0.88</v>
      </c>
    </row>
    <row r="784" customFormat="false" ht="17.15" hidden="false" customHeight="false" outlineLevel="0" collapsed="false">
      <c r="A784" s="3" t="s">
        <v>529</v>
      </c>
      <c r="B784" s="3" t="s">
        <v>64</v>
      </c>
      <c r="D784" s="22" t="n">
        <f aca="false">D782*D783</f>
        <v>4553.53490998013</v>
      </c>
      <c r="E784" s="22" t="n">
        <f aca="false">E782*E783</f>
        <v>4895.71853430083</v>
      </c>
      <c r="F784" s="22" t="n">
        <f aca="false">F782*F783</f>
        <v>5063.80487064515</v>
      </c>
      <c r="G784" s="22" t="n">
        <f aca="false">G782*G783</f>
        <v>5480.55019103388</v>
      </c>
    </row>
    <row r="785" customFormat="false" ht="17.15" hidden="false" customHeight="false" outlineLevel="0" collapsed="false">
      <c r="A785" s="3" t="s">
        <v>530</v>
      </c>
      <c r="B785" s="0" t="s">
        <v>109</v>
      </c>
      <c r="D785" s="22" t="n">
        <f aca="false">asp_26</f>
        <v>1878.17486396824</v>
      </c>
      <c r="E785" s="22" t="n">
        <f aca="false">D785*(1+asp27_B)*(1+asp_adj_lo)</f>
        <v>1912.92109895166</v>
      </c>
      <c r="F785" s="22" t="n">
        <f aca="false">E785*(1+asp28_B)</f>
        <v>1912.92109895166</v>
      </c>
      <c r="G785" s="22" t="n">
        <f aca="false">F785*(1+asp29_B)</f>
        <v>1912.92109895166</v>
      </c>
    </row>
    <row r="786" customFormat="false" ht="15" hidden="false" customHeight="false" outlineLevel="0" collapsed="false">
      <c r="A786" s="3" t="s">
        <v>531</v>
      </c>
      <c r="B786" s="0" t="s">
        <v>69</v>
      </c>
      <c r="E786" s="21" t="n">
        <f aca="false">E785/D785-1</f>
        <v>0.0185000000000002</v>
      </c>
      <c r="F786" s="21" t="n">
        <f aca="false">F785/E785-1</f>
        <v>0</v>
      </c>
      <c r="G786" s="21" t="n">
        <f aca="false">G785/F785-1</f>
        <v>0</v>
      </c>
    </row>
    <row r="787" customFormat="false" ht="15" hidden="false" customHeight="false" outlineLevel="0" collapsed="false">
      <c r="A787" s="3" t="s">
        <v>532</v>
      </c>
      <c r="B787" s="0" t="s">
        <v>35</v>
      </c>
      <c r="D787" s="23" t="n">
        <f aca="false">fx_26</f>
        <v>31.6</v>
      </c>
      <c r="E787" s="23" t="n">
        <f aca="false">fx</f>
        <v>32</v>
      </c>
      <c r="F787" s="23" t="n">
        <f aca="false">fx</f>
        <v>32</v>
      </c>
      <c r="G787" s="23" t="n">
        <f aca="false">fx</f>
        <v>32</v>
      </c>
    </row>
    <row r="788" customFormat="false" ht="17.15" hidden="false" customHeight="false" outlineLevel="0" collapsed="false">
      <c r="A788" s="3" t="s">
        <v>533</v>
      </c>
      <c r="B788" s="0" t="s">
        <v>181</v>
      </c>
      <c r="D788" s="23" t="n">
        <f aca="false">D784*D785*D787/1000000</f>
        <v>270.25378</v>
      </c>
      <c r="E788" s="23" t="n">
        <f aca="false">E784*E785*E787/1000000</f>
        <v>299.683944921367</v>
      </c>
      <c r="F788" s="23" t="n">
        <f aca="false">F784*F785*F787/1000000</f>
        <v>309.973093697001</v>
      </c>
      <c r="G788" s="23" t="n">
        <f aca="false">G784*G785*G787/1000000</f>
        <v>335.483523017352</v>
      </c>
    </row>
    <row r="789" customFormat="false" ht="17.15" hidden="false" customHeight="false" outlineLevel="0" collapsed="false">
      <c r="A789" s="5" t="s">
        <v>534</v>
      </c>
    </row>
    <row r="790" customFormat="false" ht="17.15" hidden="false" customHeight="false" outlineLevel="0" collapsed="false">
      <c r="A790" s="0" t="s">
        <v>535</v>
      </c>
      <c r="B790" s="0" t="s">
        <v>138</v>
      </c>
      <c r="D790" s="25" t="n">
        <f aca="false">ai_26</f>
        <v>0.3</v>
      </c>
      <c r="E790" s="25" t="n">
        <f aca="false">D790*(1+aig27_B)*ai_adj</f>
        <v>0.42</v>
      </c>
      <c r="F790" s="25" t="n">
        <f aca="false">E790*(1+aig_L)*um28_B</f>
        <v>0.4872</v>
      </c>
      <c r="G790" s="25" t="n">
        <f aca="false">F790/um28_B*(1+aig_L)*um29_B</f>
        <v>0.7505925</v>
      </c>
    </row>
    <row r="791" customFormat="false" ht="17.15" hidden="false" customHeight="false" outlineLevel="0" collapsed="false">
      <c r="A791" s="0" t="s">
        <v>536</v>
      </c>
      <c r="B791" s="0" t="s">
        <v>181</v>
      </c>
      <c r="D791" s="23" t="n">
        <f aca="false">D790*D787</f>
        <v>9.48</v>
      </c>
      <c r="E791" s="23" t="n">
        <f aca="false">E790*E787</f>
        <v>13.44</v>
      </c>
      <c r="F791" s="23" t="n">
        <f aca="false">F790*F787</f>
        <v>15.5904</v>
      </c>
      <c r="G791" s="23" t="n">
        <f aca="false">G790*G787</f>
        <v>24.01896</v>
      </c>
    </row>
    <row r="792" customFormat="false" ht="17.15" hidden="false" customHeight="false" outlineLevel="0" collapsed="false">
      <c r="A792" s="0" t="s">
        <v>537</v>
      </c>
      <c r="B792" s="0" t="s">
        <v>138</v>
      </c>
      <c r="D792" s="25" t="n">
        <f aca="false">0</f>
        <v>0</v>
      </c>
      <c r="E792" s="25" t="n">
        <f aca="false">int_27</f>
        <v>0</v>
      </c>
      <c r="F792" s="25" t="n">
        <f aca="false">int28_B</f>
        <v>0.12</v>
      </c>
      <c r="G792" s="25" t="n">
        <f aca="false">int29_B</f>
        <v>0.3</v>
      </c>
    </row>
    <row r="793" customFormat="false" ht="17.15" hidden="false" customHeight="false" outlineLevel="0" collapsed="false">
      <c r="A793" s="0" t="s">
        <v>538</v>
      </c>
      <c r="B793" s="0" t="s">
        <v>181</v>
      </c>
      <c r="D793" s="23" t="n">
        <f aca="false">D792*D787</f>
        <v>0</v>
      </c>
      <c r="E793" s="23" t="n">
        <f aca="false">E792*E787</f>
        <v>0</v>
      </c>
      <c r="F793" s="23" t="n">
        <f aca="false">F792*F787</f>
        <v>3.84</v>
      </c>
      <c r="G793" s="23" t="n">
        <f aca="false">G792*G787</f>
        <v>9.6</v>
      </c>
    </row>
    <row r="794" customFormat="false" ht="17.15" hidden="false" customHeight="false" outlineLevel="0" collapsed="false">
      <c r="A794" s="3" t="s">
        <v>393</v>
      </c>
      <c r="B794" s="0" t="s">
        <v>181</v>
      </c>
      <c r="C794" s="23" t="n">
        <f aca="false">a25_rev</f>
        <v>237.553</v>
      </c>
      <c r="D794" s="23" t="n">
        <f aca="false">D788+D791+D793</f>
        <v>279.73378</v>
      </c>
      <c r="E794" s="23" t="n">
        <f aca="false">E788+E791+E793</f>
        <v>313.123944921367</v>
      </c>
      <c r="F794" s="23" t="n">
        <f aca="false">F788+F791+F793</f>
        <v>329.403493697001</v>
      </c>
      <c r="G794" s="23" t="n">
        <f aca="false">G788+G791+G793</f>
        <v>369.102483017352</v>
      </c>
      <c r="H794" s="30" t="n">
        <f aca="false">G794*(1+H796)</f>
        <v>403.679465972081</v>
      </c>
      <c r="I794" s="30" t="n">
        <f aca="false">H794*(1+I796)</f>
        <v>430.661107467149</v>
      </c>
      <c r="J794" s="30" t="n">
        <f aca="false">I794*(1+J796)</f>
        <v>447.887551765835</v>
      </c>
      <c r="K794" s="7" t="s">
        <v>539</v>
      </c>
    </row>
    <row r="795" customFormat="false" ht="17.15" hidden="false" customHeight="false" outlineLevel="0" collapsed="false">
      <c r="A795" s="0" t="s">
        <v>540</v>
      </c>
      <c r="B795" s="0" t="s">
        <v>69</v>
      </c>
      <c r="D795" s="21" t="n">
        <f aca="false">D791/D794</f>
        <v>0.0338893643806622</v>
      </c>
      <c r="E795" s="21" t="n">
        <f aca="false">E791/E794</f>
        <v>0.0429223003158545</v>
      </c>
      <c r="F795" s="21" t="n">
        <f aca="false">F791/F794</f>
        <v>0.047329188361131</v>
      </c>
      <c r="G795" s="21" t="n">
        <f aca="false">G791/G794</f>
        <v>0.0650739594154148</v>
      </c>
    </row>
    <row r="796" customFormat="false" ht="15" hidden="false" customHeight="false" outlineLevel="0" collapsed="false">
      <c r="A796" s="3" t="s">
        <v>541</v>
      </c>
      <c r="B796" s="0" t="s">
        <v>69</v>
      </c>
      <c r="D796" s="21" t="n">
        <f aca="false">D794/C794-1</f>
        <v>0.177563659478096</v>
      </c>
      <c r="E796" s="21" t="n">
        <f aca="false">E794/D794-1</f>
        <v>0.119364078665678</v>
      </c>
      <c r="F796" s="21" t="n">
        <f aca="false">F794/E794-1</f>
        <v>0.0519907501156507</v>
      </c>
      <c r="G796" s="21" t="n">
        <f aca="false">G794/F794-1</f>
        <v>0.120517815020103</v>
      </c>
      <c r="H796" s="28" t="n">
        <f aca="false">$G796+(fade_gB-$G796)*1/3</f>
        <v>0.0936785433467356</v>
      </c>
      <c r="I796" s="28" t="n">
        <f aca="false">$G796+(fade_gB-$G796)*2/3</f>
        <v>0.0668392716733678</v>
      </c>
      <c r="J796" s="28" t="n">
        <f aca="false">$G796+(fade_gB-$G796)*3/3</f>
        <v>0.04</v>
      </c>
    </row>
    <row r="797" customFormat="false" ht="17.15" hidden="false" customHeight="false" outlineLevel="0" collapsed="false">
      <c r="A797" s="5" t="s">
        <v>542</v>
      </c>
    </row>
    <row r="798" customFormat="false" ht="15" hidden="false" customHeight="false" outlineLevel="0" collapsed="false">
      <c r="A798" s="3" t="s">
        <v>543</v>
      </c>
      <c r="B798" s="0" t="s">
        <v>181</v>
      </c>
      <c r="D798" s="23" t="n">
        <f aca="false">da_tot26*da_sh</f>
        <v>56.172</v>
      </c>
      <c r="E798" s="23" t="n">
        <f aca="false">D798*(1+dag_27+dag_adj)</f>
        <v>62.91264</v>
      </c>
      <c r="F798" s="23" t="n">
        <f aca="false">E798*(1+dag_28+dag_adj)</f>
        <v>69.203904</v>
      </c>
      <c r="G798" s="23" t="n">
        <f aca="false">F798*(1+dag_29+dag_adj)</f>
        <v>74.74021632</v>
      </c>
    </row>
    <row r="799" customFormat="false" ht="17.15" hidden="false" customHeight="false" outlineLevel="0" collapsed="false">
      <c r="A799" s="3" t="s">
        <v>544</v>
      </c>
      <c r="B799" s="0" t="s">
        <v>545</v>
      </c>
      <c r="D799" s="23" t="n">
        <f aca="false">(D794-a26_gp-D798-(1-m_new)*(D791+D793))/D784*1000</f>
        <v>27.9465727870208</v>
      </c>
      <c r="E799" s="23" t="n">
        <f aca="false">D799*(1+cc_g)</f>
        <v>28.5055042427612</v>
      </c>
      <c r="F799" s="23" t="n">
        <f aca="false">E799*(1+cc_g)</f>
        <v>29.0756143276165</v>
      </c>
      <c r="G799" s="23" t="n">
        <f aca="false">F799*(1+cc_g)</f>
        <v>29.6571266141688</v>
      </c>
      <c r="K799" s="7" t="s">
        <v>546</v>
      </c>
    </row>
    <row r="800" customFormat="false" ht="17.15" hidden="false" customHeight="false" outlineLevel="0" collapsed="false">
      <c r="A800" s="3" t="s">
        <v>547</v>
      </c>
      <c r="B800" s="0" t="s">
        <v>181</v>
      </c>
      <c r="D800" s="23" t="n">
        <f aca="false">D799*D784/1000</f>
        <v>127.2556948</v>
      </c>
      <c r="E800" s="23" t="n">
        <f aca="false">E799*E784/1000</f>
        <v>139.554925450877</v>
      </c>
      <c r="F800" s="23" t="n">
        <f aca="false">F799*F784/1000</f>
        <v>147.233237449184</v>
      </c>
      <c r="G800" s="23" t="n">
        <f aca="false">G799*G784/1000</f>
        <v>162.537370930799</v>
      </c>
    </row>
    <row r="801" customFormat="false" ht="17.15" hidden="false" customHeight="false" outlineLevel="0" collapsed="false">
      <c r="A801" s="3" t="s">
        <v>548</v>
      </c>
      <c r="B801" s="0" t="s">
        <v>181</v>
      </c>
      <c r="D801" s="23" t="n">
        <f aca="false">m_new*(D791+D793)</f>
        <v>4.266</v>
      </c>
      <c r="E801" s="23" t="n">
        <f aca="false">m_new*(E791+E793)</f>
        <v>6.048</v>
      </c>
      <c r="F801" s="23" t="n">
        <f aca="false">m_new*(F791+F793)</f>
        <v>8.74368</v>
      </c>
      <c r="G801" s="23" t="n">
        <f aca="false">m_new*(G791+G793)</f>
        <v>15.128532</v>
      </c>
    </row>
    <row r="802" customFormat="false" ht="15" hidden="false" customHeight="false" outlineLevel="0" collapsed="false">
      <c r="A802" s="3" t="s">
        <v>411</v>
      </c>
      <c r="B802" s="0" t="s">
        <v>181</v>
      </c>
      <c r="C802" s="23" t="n">
        <f aca="false">a25_gp</f>
        <v>68.906</v>
      </c>
      <c r="D802" s="23" t="n">
        <f aca="false">D788-D798-D800+D801</f>
        <v>91.0920852</v>
      </c>
      <c r="E802" s="23" t="n">
        <f aca="false">E788-E798-E800+E801</f>
        <v>103.26437947049</v>
      </c>
      <c r="F802" s="23" t="n">
        <f aca="false">F788-F798-F800+F801</f>
        <v>102.279632247817</v>
      </c>
      <c r="G802" s="23" t="n">
        <f aca="false">G788-G798-G800+G801</f>
        <v>113.334467766553</v>
      </c>
    </row>
    <row r="803" customFormat="false" ht="15" hidden="false" customHeight="false" outlineLevel="0" collapsed="false">
      <c r="A803" s="3" t="s">
        <v>413</v>
      </c>
      <c r="B803" s="0" t="s">
        <v>69</v>
      </c>
      <c r="C803" s="15" t="n">
        <f aca="false">C802/C794</f>
        <v>0.290065795843454</v>
      </c>
      <c r="D803" s="15" t="n">
        <f aca="false">D802/D794</f>
        <v>0.325638488136828</v>
      </c>
      <c r="E803" s="15" t="n">
        <f aca="false">E802/E794</f>
        <v>0.329787552646037</v>
      </c>
      <c r="F803" s="15" t="n">
        <f aca="false">F802/F794</f>
        <v>0.310499536905027</v>
      </c>
      <c r="G803" s="15" t="n">
        <f aca="false">G802/G794</f>
        <v>0.307054200340411</v>
      </c>
    </row>
    <row r="804" customFormat="false" ht="15" hidden="false" customHeight="false" outlineLevel="0" collapsed="false">
      <c r="A804" s="3" t="s">
        <v>415</v>
      </c>
      <c r="B804" s="0" t="s">
        <v>181</v>
      </c>
      <c r="C804" s="23" t="n">
        <f aca="false">a25_opx</f>
        <v>25.056</v>
      </c>
      <c r="D804" s="23" t="n">
        <f aca="false">a26_opx</f>
        <v>27.23586</v>
      </c>
      <c r="E804" s="23" t="n">
        <f aca="false">D804*(1+MAX(g_opx_min,phi*E796))</f>
        <v>28.8613516677837</v>
      </c>
      <c r="F804" s="23" t="n">
        <f aca="false">E804*(1+MAX(g_opx_min,phi*F796))</f>
        <v>29.7271922178172</v>
      </c>
      <c r="G804" s="23" t="n">
        <f aca="false">F804*(1+MAX(g_opx_min,phi*G796))</f>
        <v>31.5185203442042</v>
      </c>
    </row>
    <row r="805" customFormat="false" ht="15" hidden="false" customHeight="false" outlineLevel="0" collapsed="false">
      <c r="A805" s="3" t="s">
        <v>418</v>
      </c>
      <c r="B805" s="0" t="s">
        <v>181</v>
      </c>
      <c r="C805" s="23" t="n">
        <f aca="false">C802-C804</f>
        <v>43.85</v>
      </c>
      <c r="D805" s="23" t="n">
        <f aca="false">D802-D804</f>
        <v>63.8562252</v>
      </c>
      <c r="E805" s="23" t="n">
        <f aca="false">E802-E804</f>
        <v>74.4030278027066</v>
      </c>
      <c r="F805" s="23" t="n">
        <f aca="false">F802-F804</f>
        <v>72.5524400299995</v>
      </c>
      <c r="G805" s="23" t="n">
        <f aca="false">G802-G804</f>
        <v>81.8159474223488</v>
      </c>
    </row>
    <row r="806" customFormat="false" ht="15" hidden="false" customHeight="false" outlineLevel="0" collapsed="false">
      <c r="A806" s="3" t="s">
        <v>515</v>
      </c>
      <c r="B806" s="0" t="s">
        <v>69</v>
      </c>
      <c r="C806" s="15" t="n">
        <f aca="false">C805/C794</f>
        <v>0.184590386145408</v>
      </c>
      <c r="D806" s="15" t="n">
        <f aca="false">D805/D794</f>
        <v>0.228274987740129</v>
      </c>
      <c r="E806" s="15" t="n">
        <f aca="false">E805/E794</f>
        <v>0.237615260696179</v>
      </c>
      <c r="F806" s="15" t="n">
        <f aca="false">F805/F794</f>
        <v>0.22025400889262</v>
      </c>
      <c r="G806" s="15" t="n">
        <f aca="false">G805/G794</f>
        <v>0.221661872208274</v>
      </c>
    </row>
    <row r="807" customFormat="false" ht="15" hidden="false" customHeight="false" outlineLevel="0" collapsed="false">
      <c r="A807" s="3" t="s">
        <v>421</v>
      </c>
      <c r="B807" s="0" t="s">
        <v>181</v>
      </c>
      <c r="C807" s="23" t="n">
        <f aca="false">a25_nonop</f>
        <v>5.805</v>
      </c>
      <c r="D807" s="23" t="n">
        <f aca="false">a26_nonop</f>
        <v>38.372</v>
      </c>
      <c r="E807" s="23" t="n">
        <f aca="false">nonop_f</f>
        <v>4</v>
      </c>
      <c r="F807" s="23" t="n">
        <f aca="false">nonop_f</f>
        <v>4</v>
      </c>
      <c r="G807" s="23" t="n">
        <f aca="false">nonop_f</f>
        <v>4</v>
      </c>
    </row>
    <row r="808" customFormat="false" ht="15" hidden="false" customHeight="false" outlineLevel="0" collapsed="false">
      <c r="A808" s="3" t="s">
        <v>423</v>
      </c>
      <c r="B808" s="0" t="s">
        <v>181</v>
      </c>
      <c r="C808" s="23" t="n">
        <f aca="false">C805+C807</f>
        <v>49.655</v>
      </c>
      <c r="D808" s="23" t="n">
        <f aca="false">D805+D807</f>
        <v>102.2282252</v>
      </c>
      <c r="E808" s="23" t="n">
        <f aca="false">E805+E807</f>
        <v>78.4030278027066</v>
      </c>
      <c r="F808" s="23" t="n">
        <f aca="false">F805+F807</f>
        <v>76.5524400299995</v>
      </c>
      <c r="G808" s="23" t="n">
        <f aca="false">G805+G807</f>
        <v>85.8159474223488</v>
      </c>
    </row>
    <row r="809" customFormat="false" ht="15" hidden="false" customHeight="false" outlineLevel="0" collapsed="false">
      <c r="A809" s="3" t="s">
        <v>425</v>
      </c>
      <c r="B809" s="0" t="s">
        <v>181</v>
      </c>
      <c r="C809" s="23" t="n">
        <f aca="false">a25_tax</f>
        <v>7.939</v>
      </c>
      <c r="D809" s="23" t="n">
        <f aca="false">a26_tax</f>
        <v>10.493828284</v>
      </c>
      <c r="E809" s="23" t="n">
        <f aca="false">E808*tax</f>
        <v>11.760454170406</v>
      </c>
      <c r="F809" s="23" t="n">
        <f aca="false">F808*tax</f>
        <v>11.4828660044999</v>
      </c>
      <c r="G809" s="23" t="n">
        <f aca="false">G808*tax</f>
        <v>12.8723921133523</v>
      </c>
    </row>
    <row r="810" customFormat="false" ht="17.15" hidden="false" customHeight="false" outlineLevel="0" collapsed="false">
      <c r="A810" s="3" t="s">
        <v>549</v>
      </c>
      <c r="B810" s="0" t="s">
        <v>181</v>
      </c>
      <c r="C810" s="23" t="n">
        <f aca="false">a25_mi</f>
        <v>0</v>
      </c>
      <c r="D810" s="23" t="n">
        <f aca="false">a26_mi</f>
        <v>-0.134999999999987</v>
      </c>
      <c r="E810" s="23" t="n">
        <f aca="false">0</f>
        <v>0</v>
      </c>
      <c r="F810" s="23" t="n">
        <f aca="false">0</f>
        <v>0</v>
      </c>
      <c r="G810" s="23" t="n">
        <f aca="false">0</f>
        <v>0</v>
      </c>
      <c r="K810" s="7" t="s">
        <v>550</v>
      </c>
    </row>
    <row r="811" customFormat="false" ht="15" hidden="false" customHeight="false" outlineLevel="0" collapsed="false">
      <c r="A811" s="3" t="s">
        <v>428</v>
      </c>
      <c r="B811" s="0" t="s">
        <v>181</v>
      </c>
      <c r="C811" s="23" t="n">
        <f aca="false">C808-C809-C810</f>
        <v>41.716</v>
      </c>
      <c r="D811" s="23" t="n">
        <f aca="false">D808-D809-D810</f>
        <v>91.869396916</v>
      </c>
      <c r="E811" s="23" t="n">
        <f aca="false">E808-E809-E810</f>
        <v>66.6425736323006</v>
      </c>
      <c r="F811" s="23" t="n">
        <f aca="false">F808-F809-F810</f>
        <v>65.0695740254996</v>
      </c>
      <c r="G811" s="23" t="n">
        <f aca="false">G808-G809-G810</f>
        <v>72.9435553089965</v>
      </c>
      <c r="H811" s="30" t="n">
        <f aca="false">H794*H815</f>
        <v>77.1175746063128</v>
      </c>
      <c r="I811" s="30" t="n">
        <f aca="false">I794*I815</f>
        <v>79.4350896391045</v>
      </c>
      <c r="J811" s="30" t="n">
        <f aca="false">J794*J815</f>
        <v>79.6620470380734</v>
      </c>
    </row>
    <row r="812" customFormat="false" ht="15" hidden="false" customHeight="false" outlineLevel="0" collapsed="false">
      <c r="A812" s="3" t="s">
        <v>551</v>
      </c>
      <c r="B812" s="3" t="s">
        <v>250</v>
      </c>
      <c r="C812" s="9" t="n">
        <f aca="false">a25_sh</f>
        <v>12.4898203592814</v>
      </c>
      <c r="D812" s="9" t="n">
        <f aca="false">a26_sh</f>
        <v>12.4754339027235</v>
      </c>
      <c r="E812" s="9" t="n">
        <f aca="false">q_sh*(1+sh_g)</f>
        <v>12.45</v>
      </c>
      <c r="F812" s="9" t="n">
        <f aca="false">E812*(1+sh_g)</f>
        <v>12.45</v>
      </c>
      <c r="G812" s="9" t="n">
        <f aca="false">F812*(1+sh_g)</f>
        <v>12.45</v>
      </c>
      <c r="H812" s="32" t="n">
        <f aca="false">G812*(1+sh_g)</f>
        <v>12.45</v>
      </c>
      <c r="I812" s="32" t="n">
        <f aca="false">H812*(1+sh_g)</f>
        <v>12.45</v>
      </c>
      <c r="J812" s="32" t="n">
        <f aca="false">I812*(1+sh_g)</f>
        <v>12.45</v>
      </c>
    </row>
    <row r="813" customFormat="false" ht="17.15" hidden="false" customHeight="false" outlineLevel="0" collapsed="false">
      <c r="A813" s="0" t="s">
        <v>434</v>
      </c>
      <c r="B813" s="0" t="s">
        <v>260</v>
      </c>
      <c r="C813" s="23" t="n">
        <f aca="false">C811/C812</f>
        <v>3.34</v>
      </c>
      <c r="D813" s="23" t="n">
        <f aca="false">D811/D812</f>
        <v>7.36402418002826</v>
      </c>
      <c r="E813" s="23" t="n">
        <f aca="false">E811/E812</f>
        <v>5.35281715922093</v>
      </c>
      <c r="F813" s="23" t="n">
        <f aca="false">F811/F812</f>
        <v>5.22647180927707</v>
      </c>
      <c r="G813" s="23" t="n">
        <f aca="false">G811/G812</f>
        <v>5.85892010514028</v>
      </c>
      <c r="H813" s="30" t="n">
        <f aca="false">H811/H812</f>
        <v>6.19418269930223</v>
      </c>
      <c r="I813" s="30" t="n">
        <f aca="false">I811/I812</f>
        <v>6.38032848506864</v>
      </c>
      <c r="J813" s="30" t="n">
        <f aca="false">J811/J812</f>
        <v>6.39855799502597</v>
      </c>
    </row>
    <row r="814" customFormat="false" ht="17.15" hidden="false" customHeight="false" outlineLevel="0" collapsed="false">
      <c r="A814" s="0" t="s">
        <v>552</v>
      </c>
      <c r="B814" s="0" t="s">
        <v>69</v>
      </c>
      <c r="D814" s="21" t="n">
        <f aca="false">D813/C813-1</f>
        <v>1.2047976586911</v>
      </c>
      <c r="E814" s="21" t="n">
        <f aca="false">E813/D813-1</f>
        <v>-0.27311249551052</v>
      </c>
      <c r="F814" s="21" t="n">
        <f aca="false">F813/E813-1</f>
        <v>-0.0236035243098515</v>
      </c>
      <c r="G814" s="21" t="n">
        <f aca="false">G813/F813-1</f>
        <v>0.12100864960959</v>
      </c>
      <c r="H814" s="28" t="n">
        <f aca="false">H813/G813-1</f>
        <v>0.0572225919018443</v>
      </c>
      <c r="I814" s="28" t="n">
        <f aca="false">I813/H813-1</f>
        <v>0.0300517105811828</v>
      </c>
      <c r="J814" s="28" t="n">
        <f aca="false">J813/I813-1</f>
        <v>0.00285714285714289</v>
      </c>
    </row>
    <row r="815" customFormat="false" ht="17.15" hidden="false" customHeight="false" outlineLevel="0" collapsed="false">
      <c r="A815" s="3" t="s">
        <v>553</v>
      </c>
      <c r="B815" s="0" t="s">
        <v>69</v>
      </c>
      <c r="C815" s="15" t="n">
        <f aca="false">C811/C794</f>
        <v>0.175607127672562</v>
      </c>
      <c r="D815" s="15" t="n">
        <f aca="false">D811/D794</f>
        <v>0.328417243409073</v>
      </c>
      <c r="E815" s="15" t="n">
        <f aca="false">E811/E794</f>
        <v>0.212831291612132</v>
      </c>
      <c r="F815" s="15" t="n">
        <f aca="false">F811/F794</f>
        <v>0.197537595291425</v>
      </c>
      <c r="G815" s="15" t="n">
        <f aca="false">G811/G794</f>
        <v>0.19762412518251</v>
      </c>
      <c r="H815" s="29" t="n">
        <f aca="false">$G815+($G$815*0.9-$G815)*1/3</f>
        <v>0.191036654343093</v>
      </c>
      <c r="I815" s="29" t="n">
        <f aca="false">$G815+($G$815*0.9-$G815)*2/3</f>
        <v>0.184449183503676</v>
      </c>
      <c r="J815" s="29" t="n">
        <f aca="false">$G815+($G$815*0.9-$G815)*3/3</f>
        <v>0.177861712664259</v>
      </c>
    </row>
    <row r="818" customFormat="false" ht="17.15" hidden="false" customHeight="false" outlineLevel="0" collapsed="false">
      <c r="A818" s="1" t="s">
        <v>857</v>
      </c>
    </row>
    <row r="819" customFormat="false" ht="17.15" hidden="false" customHeight="false" outlineLevel="0" collapsed="false">
      <c r="A819" s="4" t="s">
        <v>24</v>
      </c>
      <c r="B819" s="4" t="s">
        <v>25</v>
      </c>
      <c r="C819" s="16" t="s">
        <v>387</v>
      </c>
      <c r="D819" s="16" t="s">
        <v>505</v>
      </c>
      <c r="E819" s="16" t="s">
        <v>467</v>
      </c>
      <c r="F819" s="16" t="s">
        <v>468</v>
      </c>
      <c r="G819" s="16" t="s">
        <v>469</v>
      </c>
      <c r="H819" s="16" t="s">
        <v>506</v>
      </c>
      <c r="I819" s="16" t="s">
        <v>507</v>
      </c>
      <c r="J819" s="16" t="s">
        <v>508</v>
      </c>
      <c r="K819" s="4" t="s">
        <v>345</v>
      </c>
    </row>
    <row r="820" customFormat="false" ht="17.15" hidden="false" customHeight="false" outlineLevel="0" collapsed="false">
      <c r="A820" s="5" t="s">
        <v>526</v>
      </c>
    </row>
    <row r="821" customFormat="false" ht="17.15" hidden="false" customHeight="false" outlineLevel="0" collapsed="false">
      <c r="A821" s="3" t="s">
        <v>527</v>
      </c>
      <c r="B821" s="3" t="s">
        <v>64</v>
      </c>
      <c r="D821" s="22" t="n">
        <f aca="false">cap_26</f>
        <v>5230.46851955216</v>
      </c>
      <c r="E821" s="22" t="n">
        <f aca="false">D821*(1+capg27)*cap_adj</f>
        <v>5439.68726033425</v>
      </c>
      <c r="F821" s="22" t="n">
        <f aca="false">E821*(1+capg28)</f>
        <v>5820.46536855765</v>
      </c>
      <c r="G821" s="22" t="n">
        <f aca="false">F821*(1+capg29)</f>
        <v>6227.89794435668</v>
      </c>
    </row>
    <row r="822" customFormat="false" ht="15" hidden="false" customHeight="false" outlineLevel="0" collapsed="false">
      <c r="A822" s="3" t="s">
        <v>528</v>
      </c>
      <c r="B822" s="0" t="s">
        <v>69</v>
      </c>
      <c r="D822" s="21" t="n">
        <f aca="false">a26_ship/cap_26</f>
        <v>0.870578781414787</v>
      </c>
      <c r="E822" s="21" t="n">
        <f aca="false">MIN(0.98,ut27_C+ut_adj)</f>
        <v>0.82</v>
      </c>
      <c r="F822" s="21" t="n">
        <f aca="false">MIN(0.98,ut28_C+ut_adj)</f>
        <v>0.76</v>
      </c>
      <c r="G822" s="21" t="n">
        <f aca="false">MIN(0.98,ut29_C+ut_adj)</f>
        <v>0.8</v>
      </c>
    </row>
    <row r="823" customFormat="false" ht="17.15" hidden="false" customHeight="false" outlineLevel="0" collapsed="false">
      <c r="A823" s="3" t="s">
        <v>529</v>
      </c>
      <c r="B823" s="3" t="s">
        <v>64</v>
      </c>
      <c r="D823" s="22" t="n">
        <f aca="false">D821*D822</f>
        <v>4553.53490998013</v>
      </c>
      <c r="E823" s="22" t="n">
        <f aca="false">E821*E822</f>
        <v>4460.54355347409</v>
      </c>
      <c r="F823" s="22" t="n">
        <f aca="false">F821*F822</f>
        <v>4423.55368010381</v>
      </c>
      <c r="G823" s="22" t="n">
        <f aca="false">G821*G822</f>
        <v>4982.31835548535</v>
      </c>
    </row>
    <row r="824" customFormat="false" ht="17.15" hidden="false" customHeight="false" outlineLevel="0" collapsed="false">
      <c r="A824" s="3" t="s">
        <v>530</v>
      </c>
      <c r="B824" s="0" t="s">
        <v>109</v>
      </c>
      <c r="D824" s="22" t="n">
        <f aca="false">asp_26</f>
        <v>1878.17486396824</v>
      </c>
      <c r="E824" s="22" t="n">
        <f aca="false">D824*(1+asp27_C)*(1+asp_adj_lo)</f>
        <v>1821.8296180492</v>
      </c>
      <c r="F824" s="22" t="n">
        <f aca="false">E824*(1+asp28_C)</f>
        <v>1712.51984096625</v>
      </c>
      <c r="G824" s="22" t="n">
        <f aca="false">F824*(1+asp29_C)</f>
        <v>1661.14424573726</v>
      </c>
    </row>
    <row r="825" customFormat="false" ht="15" hidden="false" customHeight="false" outlineLevel="0" collapsed="false">
      <c r="A825" s="3" t="s">
        <v>531</v>
      </c>
      <c r="B825" s="0" t="s">
        <v>69</v>
      </c>
      <c r="E825" s="21" t="n">
        <f aca="false">E824/D824-1</f>
        <v>-0.03</v>
      </c>
      <c r="F825" s="21" t="n">
        <f aca="false">F824/E824-1</f>
        <v>-0.0600000000000001</v>
      </c>
      <c r="G825" s="21" t="n">
        <f aca="false">G824/F824-1</f>
        <v>-0.03</v>
      </c>
    </row>
    <row r="826" customFormat="false" ht="15" hidden="false" customHeight="false" outlineLevel="0" collapsed="false">
      <c r="A826" s="3" t="s">
        <v>532</v>
      </c>
      <c r="B826" s="0" t="s">
        <v>35</v>
      </c>
      <c r="D826" s="23" t="n">
        <f aca="false">fx_26</f>
        <v>31.6</v>
      </c>
      <c r="E826" s="23" t="n">
        <f aca="false">fx</f>
        <v>32</v>
      </c>
      <c r="F826" s="23" t="n">
        <f aca="false">fx</f>
        <v>32</v>
      </c>
      <c r="G826" s="23" t="n">
        <f aca="false">fx</f>
        <v>32</v>
      </c>
    </row>
    <row r="827" customFormat="false" ht="17.15" hidden="false" customHeight="false" outlineLevel="0" collapsed="false">
      <c r="A827" s="3" t="s">
        <v>533</v>
      </c>
      <c r="B827" s="0" t="s">
        <v>181</v>
      </c>
      <c r="D827" s="23" t="n">
        <f aca="false">D823*D824*D826/1000000</f>
        <v>270.25378</v>
      </c>
      <c r="E827" s="23" t="n">
        <f aca="false">E823*E824*E826/1000000</f>
        <v>260.04321146616</v>
      </c>
      <c r="F827" s="23" t="n">
        <f aca="false">F823*F824*F826/1000000</f>
        <v>242.413550232225</v>
      </c>
      <c r="G827" s="23" t="n">
        <f aca="false">G823*G824*G826/1000000</f>
        <v>264.843182932659</v>
      </c>
    </row>
    <row r="828" customFormat="false" ht="17.15" hidden="false" customHeight="false" outlineLevel="0" collapsed="false">
      <c r="A828" s="5" t="s">
        <v>534</v>
      </c>
    </row>
    <row r="829" customFormat="false" ht="17.15" hidden="false" customHeight="false" outlineLevel="0" collapsed="false">
      <c r="A829" s="0" t="s">
        <v>535</v>
      </c>
      <c r="B829" s="0" t="s">
        <v>138</v>
      </c>
      <c r="D829" s="25" t="n">
        <f aca="false">ai_26</f>
        <v>0.3</v>
      </c>
      <c r="E829" s="25" t="n">
        <f aca="false">D829*(1+aig27_C)*ai_adj</f>
        <v>0.36</v>
      </c>
      <c r="F829" s="25" t="n">
        <f aca="false">E829*(1+aig_L)*um28_C</f>
        <v>0.3132</v>
      </c>
      <c r="G829" s="25" t="n">
        <f aca="false">F829/um28_C*(1+aig_L)*um29_C</f>
        <v>0.45414</v>
      </c>
    </row>
    <row r="830" customFormat="false" ht="17.15" hidden="false" customHeight="false" outlineLevel="0" collapsed="false">
      <c r="A830" s="0" t="s">
        <v>536</v>
      </c>
      <c r="B830" s="0" t="s">
        <v>181</v>
      </c>
      <c r="D830" s="23" t="n">
        <f aca="false">D829*D826</f>
        <v>9.48</v>
      </c>
      <c r="E830" s="23" t="n">
        <f aca="false">E829*E826</f>
        <v>11.52</v>
      </c>
      <c r="F830" s="23" t="n">
        <f aca="false">F829*F826</f>
        <v>10.0224</v>
      </c>
      <c r="G830" s="23" t="n">
        <f aca="false">G829*G826</f>
        <v>14.53248</v>
      </c>
    </row>
    <row r="831" customFormat="false" ht="17.15" hidden="false" customHeight="false" outlineLevel="0" collapsed="false">
      <c r="A831" s="0" t="s">
        <v>537</v>
      </c>
      <c r="B831" s="0" t="s">
        <v>138</v>
      </c>
      <c r="D831" s="25" t="n">
        <f aca="false">0</f>
        <v>0</v>
      </c>
      <c r="E831" s="25" t="n">
        <f aca="false">int_27</f>
        <v>0</v>
      </c>
      <c r="F831" s="25" t="n">
        <f aca="false">int28_C</f>
        <v>0</v>
      </c>
      <c r="G831" s="25" t="n">
        <f aca="false">int29_C</f>
        <v>0.08</v>
      </c>
    </row>
    <row r="832" customFormat="false" ht="17.15" hidden="false" customHeight="false" outlineLevel="0" collapsed="false">
      <c r="A832" s="0" t="s">
        <v>538</v>
      </c>
      <c r="B832" s="0" t="s">
        <v>181</v>
      </c>
      <c r="D832" s="23" t="n">
        <f aca="false">D831*D826</f>
        <v>0</v>
      </c>
      <c r="E832" s="23" t="n">
        <f aca="false">E831*E826</f>
        <v>0</v>
      </c>
      <c r="F832" s="23" t="n">
        <f aca="false">F831*F826</f>
        <v>0</v>
      </c>
      <c r="G832" s="23" t="n">
        <f aca="false">G831*G826</f>
        <v>2.56</v>
      </c>
    </row>
    <row r="833" customFormat="false" ht="17.15" hidden="false" customHeight="false" outlineLevel="0" collapsed="false">
      <c r="A833" s="3" t="s">
        <v>393</v>
      </c>
      <c r="B833" s="0" t="s">
        <v>181</v>
      </c>
      <c r="C833" s="23" t="n">
        <f aca="false">a25_rev</f>
        <v>237.553</v>
      </c>
      <c r="D833" s="23" t="n">
        <f aca="false">D827+D830+D832</f>
        <v>279.73378</v>
      </c>
      <c r="E833" s="23" t="n">
        <f aca="false">E827+E830+E832</f>
        <v>271.56321146616</v>
      </c>
      <c r="F833" s="23" t="n">
        <f aca="false">F827+F830+F832</f>
        <v>252.435950232225</v>
      </c>
      <c r="G833" s="23" t="n">
        <f aca="false">G827+G830+G832</f>
        <v>281.935662932659</v>
      </c>
      <c r="H833" s="30" t="n">
        <f aca="false">G833*(1+H835)</f>
        <v>305.779937141574</v>
      </c>
      <c r="I833" s="30" t="n">
        <f aca="false">H833*(1+I835)</f>
        <v>321.768169990165</v>
      </c>
      <c r="J833" s="30" t="n">
        <f aca="false">I833*(1+J835)</f>
        <v>328.203533389968</v>
      </c>
      <c r="K833" s="7" t="s">
        <v>539</v>
      </c>
    </row>
    <row r="834" customFormat="false" ht="17.15" hidden="false" customHeight="false" outlineLevel="0" collapsed="false">
      <c r="A834" s="0" t="s">
        <v>540</v>
      </c>
      <c r="B834" s="0" t="s">
        <v>69</v>
      </c>
      <c r="D834" s="21" t="n">
        <f aca="false">D830/D833</f>
        <v>0.0338893643806622</v>
      </c>
      <c r="E834" s="21" t="n">
        <f aca="false">E830/E833</f>
        <v>0.0424210626240717</v>
      </c>
      <c r="F834" s="21" t="n">
        <f aca="false">F830/F833</f>
        <v>0.0397027443625998</v>
      </c>
      <c r="G834" s="21" t="n">
        <f aca="false">G830/G833</f>
        <v>0.0515453768736987</v>
      </c>
    </row>
    <row r="835" customFormat="false" ht="15" hidden="false" customHeight="false" outlineLevel="0" collapsed="false">
      <c r="A835" s="3" t="s">
        <v>541</v>
      </c>
      <c r="B835" s="0" t="s">
        <v>69</v>
      </c>
      <c r="D835" s="21" t="n">
        <f aca="false">D833/C833-1</f>
        <v>0.177563659478096</v>
      </c>
      <c r="E835" s="21" t="n">
        <f aca="false">E833/D833-1</f>
        <v>-0.029208372810177</v>
      </c>
      <c r="F835" s="21" t="n">
        <f aca="false">F833/E833-1</f>
        <v>-0.0704339189784496</v>
      </c>
      <c r="G835" s="21" t="n">
        <f aca="false">G833/F833-1</f>
        <v>0.116860188389556</v>
      </c>
      <c r="H835" s="28" t="n">
        <f aca="false">$G835+(fade_gC-$G835)*1/3</f>
        <v>0.0845734589263705</v>
      </c>
      <c r="I835" s="28" t="n">
        <f aca="false">$G835+(fade_gC-$G835)*2/3</f>
        <v>0.0522867294631852</v>
      </c>
      <c r="J835" s="28" t="n">
        <f aca="false">$G835+(fade_gC-$G835)*3/3</f>
        <v>0.02</v>
      </c>
    </row>
    <row r="836" customFormat="false" ht="17.15" hidden="false" customHeight="false" outlineLevel="0" collapsed="false">
      <c r="A836" s="5" t="s">
        <v>542</v>
      </c>
    </row>
    <row r="837" customFormat="false" ht="15" hidden="false" customHeight="false" outlineLevel="0" collapsed="false">
      <c r="A837" s="3" t="s">
        <v>543</v>
      </c>
      <c r="B837" s="0" t="s">
        <v>181</v>
      </c>
      <c r="D837" s="23" t="n">
        <f aca="false">da_tot26*da_sh</f>
        <v>56.172</v>
      </c>
      <c r="E837" s="23" t="n">
        <f aca="false">D837*(1+dag_27+dag_adj)</f>
        <v>62.91264</v>
      </c>
      <c r="F837" s="23" t="n">
        <f aca="false">E837*(1+dag_28+dag_adj)</f>
        <v>69.203904</v>
      </c>
      <c r="G837" s="23" t="n">
        <f aca="false">F837*(1+dag_29+dag_adj)</f>
        <v>74.74021632</v>
      </c>
    </row>
    <row r="838" customFormat="false" ht="17.15" hidden="false" customHeight="false" outlineLevel="0" collapsed="false">
      <c r="A838" s="3" t="s">
        <v>544</v>
      </c>
      <c r="B838" s="0" t="s">
        <v>545</v>
      </c>
      <c r="D838" s="23" t="n">
        <f aca="false">(D833-a26_gp-D837-(1-m_new)*(D830+D832))/D823*1000</f>
        <v>27.9465727870208</v>
      </c>
      <c r="E838" s="23" t="n">
        <f aca="false">D838*(1+cc_g)</f>
        <v>28.5055042427612</v>
      </c>
      <c r="F838" s="23" t="n">
        <f aca="false">E838*(1+cc_g)</f>
        <v>29.0756143276165</v>
      </c>
      <c r="G838" s="23" t="n">
        <f aca="false">F838*(1+cc_g)</f>
        <v>29.6571266141688</v>
      </c>
      <c r="K838" s="7" t="s">
        <v>546</v>
      </c>
    </row>
    <row r="839" customFormat="false" ht="17.15" hidden="false" customHeight="false" outlineLevel="0" collapsed="false">
      <c r="A839" s="3" t="s">
        <v>547</v>
      </c>
      <c r="B839" s="0" t="s">
        <v>181</v>
      </c>
      <c r="D839" s="23" t="n">
        <f aca="false">D838*D823/1000</f>
        <v>127.2556948</v>
      </c>
      <c r="E839" s="23" t="n">
        <f aca="false">E838*E823/1000</f>
        <v>127.150043188577</v>
      </c>
      <c r="F839" s="23" t="n">
        <f aca="false">F838*F823/1000</f>
        <v>128.617540760207</v>
      </c>
      <c r="G839" s="23" t="n">
        <f aca="false">G838*G823/1000</f>
        <v>147.761246300726</v>
      </c>
    </row>
    <row r="840" customFormat="false" ht="17.15" hidden="false" customHeight="false" outlineLevel="0" collapsed="false">
      <c r="A840" s="3" t="s">
        <v>548</v>
      </c>
      <c r="B840" s="0" t="s">
        <v>181</v>
      </c>
      <c r="D840" s="23" t="n">
        <f aca="false">m_new*(D830+D832)</f>
        <v>4.266</v>
      </c>
      <c r="E840" s="23" t="n">
        <f aca="false">m_new*(E830+E832)</f>
        <v>5.184</v>
      </c>
      <c r="F840" s="23" t="n">
        <f aca="false">m_new*(F830+F832)</f>
        <v>4.51008</v>
      </c>
      <c r="G840" s="23" t="n">
        <f aca="false">m_new*(G830+G832)</f>
        <v>7.691616</v>
      </c>
    </row>
    <row r="841" customFormat="false" ht="15" hidden="false" customHeight="false" outlineLevel="0" collapsed="false">
      <c r="A841" s="3" t="s">
        <v>411</v>
      </c>
      <c r="B841" s="0" t="s">
        <v>181</v>
      </c>
      <c r="C841" s="23" t="n">
        <f aca="false">a25_gp</f>
        <v>68.906</v>
      </c>
      <c r="D841" s="23" t="n">
        <f aca="false">D827-D837-D839+D840</f>
        <v>91.0920852</v>
      </c>
      <c r="E841" s="23" t="n">
        <f aca="false">E827-E837-E839+E840</f>
        <v>75.1645282775832</v>
      </c>
      <c r="F841" s="23" t="n">
        <f aca="false">F827-F837-F839+F840</f>
        <v>49.1021854720179</v>
      </c>
      <c r="G841" s="23" t="n">
        <f aca="false">G827-G837-G839+G840</f>
        <v>50.033336311933</v>
      </c>
    </row>
    <row r="842" customFormat="false" ht="15" hidden="false" customHeight="false" outlineLevel="0" collapsed="false">
      <c r="A842" s="3" t="s">
        <v>413</v>
      </c>
      <c r="B842" s="0" t="s">
        <v>69</v>
      </c>
      <c r="C842" s="15" t="n">
        <f aca="false">C841/C833</f>
        <v>0.290065795843454</v>
      </c>
      <c r="D842" s="15" t="n">
        <f aca="false">D841/D833</f>
        <v>0.325638488136828</v>
      </c>
      <c r="E842" s="15" t="n">
        <f aca="false">E841/E833</f>
        <v>0.276784649407306</v>
      </c>
      <c r="F842" s="15" t="n">
        <f aca="false">F841/F833</f>
        <v>0.194513441634787</v>
      </c>
      <c r="G842" s="15" t="n">
        <f aca="false">G841/G833</f>
        <v>0.177463665970784</v>
      </c>
    </row>
    <row r="843" customFormat="false" ht="15" hidden="false" customHeight="false" outlineLevel="0" collapsed="false">
      <c r="A843" s="3" t="s">
        <v>415</v>
      </c>
      <c r="B843" s="0" t="s">
        <v>181</v>
      </c>
      <c r="C843" s="23" t="n">
        <f aca="false">a25_opx</f>
        <v>25.056</v>
      </c>
      <c r="D843" s="23" t="n">
        <f aca="false">a26_opx</f>
        <v>27.23586</v>
      </c>
      <c r="E843" s="23" t="n">
        <f aca="false">D843*(1+MAX(g_opx_min,phi*E835))</f>
        <v>28.0529358</v>
      </c>
      <c r="F843" s="23" t="n">
        <f aca="false">E843*(1+MAX(g_opx_min,phi*F835))</f>
        <v>28.894523874</v>
      </c>
      <c r="G843" s="23" t="n">
        <f aca="false">F843*(1+MAX(g_opx_min,phi*G835))</f>
        <v>30.5828336256711</v>
      </c>
    </row>
    <row r="844" customFormat="false" ht="15" hidden="false" customHeight="false" outlineLevel="0" collapsed="false">
      <c r="A844" s="3" t="s">
        <v>418</v>
      </c>
      <c r="B844" s="0" t="s">
        <v>181</v>
      </c>
      <c r="C844" s="23" t="n">
        <f aca="false">C841-C843</f>
        <v>43.85</v>
      </c>
      <c r="D844" s="23" t="n">
        <f aca="false">D841-D843</f>
        <v>63.8562252</v>
      </c>
      <c r="E844" s="23" t="n">
        <f aca="false">E841-E843</f>
        <v>47.1115924775832</v>
      </c>
      <c r="F844" s="23" t="n">
        <f aca="false">F841-F843</f>
        <v>20.2076615980179</v>
      </c>
      <c r="G844" s="23" t="n">
        <f aca="false">G841-G843</f>
        <v>19.4505026862619</v>
      </c>
    </row>
    <row r="845" customFormat="false" ht="15" hidden="false" customHeight="false" outlineLevel="0" collapsed="false">
      <c r="A845" s="3" t="s">
        <v>515</v>
      </c>
      <c r="B845" s="0" t="s">
        <v>69</v>
      </c>
      <c r="C845" s="15" t="n">
        <f aca="false">C844/C833</f>
        <v>0.184590386145408</v>
      </c>
      <c r="D845" s="15" t="n">
        <f aca="false">D844/D833</f>
        <v>0.228274987740129</v>
      </c>
      <c r="E845" s="15" t="n">
        <f aca="false">E844/E833</f>
        <v>0.173482970035703</v>
      </c>
      <c r="F845" s="15" t="n">
        <f aca="false">F844/F833</f>
        <v>0.0800506488058779</v>
      </c>
      <c r="G845" s="15" t="n">
        <f aca="false">G844/G833</f>
        <v>0.0689891533548478</v>
      </c>
    </row>
    <row r="846" customFormat="false" ht="15" hidden="false" customHeight="false" outlineLevel="0" collapsed="false">
      <c r="A846" s="3" t="s">
        <v>421</v>
      </c>
      <c r="B846" s="0" t="s">
        <v>181</v>
      </c>
      <c r="C846" s="23" t="n">
        <f aca="false">a25_nonop</f>
        <v>5.805</v>
      </c>
      <c r="D846" s="23" t="n">
        <f aca="false">a26_nonop</f>
        <v>38.372</v>
      </c>
      <c r="E846" s="23" t="n">
        <f aca="false">nonop_f</f>
        <v>4</v>
      </c>
      <c r="F846" s="23" t="n">
        <f aca="false">nonop_f</f>
        <v>4</v>
      </c>
      <c r="G846" s="23" t="n">
        <f aca="false">nonop_f</f>
        <v>4</v>
      </c>
    </row>
    <row r="847" customFormat="false" ht="15" hidden="false" customHeight="false" outlineLevel="0" collapsed="false">
      <c r="A847" s="3" t="s">
        <v>423</v>
      </c>
      <c r="B847" s="0" t="s">
        <v>181</v>
      </c>
      <c r="C847" s="23" t="n">
        <f aca="false">C844+C846</f>
        <v>49.655</v>
      </c>
      <c r="D847" s="23" t="n">
        <f aca="false">D844+D846</f>
        <v>102.2282252</v>
      </c>
      <c r="E847" s="23" t="n">
        <f aca="false">E844+E846</f>
        <v>51.1115924775832</v>
      </c>
      <c r="F847" s="23" t="n">
        <f aca="false">F844+F846</f>
        <v>24.2076615980179</v>
      </c>
      <c r="G847" s="23" t="n">
        <f aca="false">G844+G846</f>
        <v>23.4505026862619</v>
      </c>
    </row>
    <row r="848" customFormat="false" ht="15" hidden="false" customHeight="false" outlineLevel="0" collapsed="false">
      <c r="A848" s="3" t="s">
        <v>425</v>
      </c>
      <c r="B848" s="0" t="s">
        <v>181</v>
      </c>
      <c r="C848" s="23" t="n">
        <f aca="false">a25_tax</f>
        <v>7.939</v>
      </c>
      <c r="D848" s="23" t="n">
        <f aca="false">a26_tax</f>
        <v>10.493828284</v>
      </c>
      <c r="E848" s="23" t="n">
        <f aca="false">E847*tax</f>
        <v>7.66673887163747</v>
      </c>
      <c r="F848" s="23" t="n">
        <f aca="false">F847*tax</f>
        <v>3.63114923970269</v>
      </c>
      <c r="G848" s="23" t="n">
        <f aca="false">G847*tax</f>
        <v>3.51757540293929</v>
      </c>
    </row>
    <row r="849" customFormat="false" ht="17.15" hidden="false" customHeight="false" outlineLevel="0" collapsed="false">
      <c r="A849" s="3" t="s">
        <v>549</v>
      </c>
      <c r="B849" s="0" t="s">
        <v>181</v>
      </c>
      <c r="C849" s="23" t="n">
        <f aca="false">a25_mi</f>
        <v>0</v>
      </c>
      <c r="D849" s="23" t="n">
        <f aca="false">a26_mi</f>
        <v>-0.134999999999987</v>
      </c>
      <c r="E849" s="23" t="n">
        <f aca="false">0</f>
        <v>0</v>
      </c>
      <c r="F849" s="23" t="n">
        <f aca="false">0</f>
        <v>0</v>
      </c>
      <c r="G849" s="23" t="n">
        <f aca="false">0</f>
        <v>0</v>
      </c>
      <c r="K849" s="7" t="s">
        <v>550</v>
      </c>
    </row>
    <row r="850" customFormat="false" ht="15" hidden="false" customHeight="false" outlineLevel="0" collapsed="false">
      <c r="A850" s="3" t="s">
        <v>428</v>
      </c>
      <c r="B850" s="0" t="s">
        <v>181</v>
      </c>
      <c r="C850" s="23" t="n">
        <f aca="false">C847-C848-C849</f>
        <v>41.716</v>
      </c>
      <c r="D850" s="23" t="n">
        <f aca="false">D847-D848-D849</f>
        <v>91.869396916</v>
      </c>
      <c r="E850" s="23" t="n">
        <f aca="false">E847-E848-E849</f>
        <v>43.4448536059457</v>
      </c>
      <c r="F850" s="23" t="n">
        <f aca="false">F847-F848-F849</f>
        <v>20.5765123583152</v>
      </c>
      <c r="G850" s="23" t="n">
        <f aca="false">G847-G848-G849</f>
        <v>19.9329272833226</v>
      </c>
      <c r="H850" s="30" t="n">
        <f aca="false">H833*H854</f>
        <v>20.1774756308543</v>
      </c>
      <c r="I850" s="30" t="n">
        <f aca="false">I833*I854</f>
        <v>19.7158834232423</v>
      </c>
      <c r="J850" s="30" t="n">
        <f aca="false">J833*J854</f>
        <v>18.5632625461912</v>
      </c>
    </row>
    <row r="851" customFormat="false" ht="15" hidden="false" customHeight="false" outlineLevel="0" collapsed="false">
      <c r="A851" s="3" t="s">
        <v>551</v>
      </c>
      <c r="B851" s="3" t="s">
        <v>250</v>
      </c>
      <c r="C851" s="9" t="n">
        <f aca="false">a25_sh</f>
        <v>12.4898203592814</v>
      </c>
      <c r="D851" s="9" t="n">
        <f aca="false">a26_sh</f>
        <v>12.4754339027235</v>
      </c>
      <c r="E851" s="9" t="n">
        <f aca="false">q_sh*(1+sh_g)</f>
        <v>12.45</v>
      </c>
      <c r="F851" s="9" t="n">
        <f aca="false">E851*(1+sh_g)</f>
        <v>12.45</v>
      </c>
      <c r="G851" s="9" t="n">
        <f aca="false">F851*(1+sh_g)</f>
        <v>12.45</v>
      </c>
      <c r="H851" s="32" t="n">
        <f aca="false">G851*(1+sh_g)</f>
        <v>12.45</v>
      </c>
      <c r="I851" s="32" t="n">
        <f aca="false">H851*(1+sh_g)</f>
        <v>12.45</v>
      </c>
      <c r="J851" s="32" t="n">
        <f aca="false">I851*(1+sh_g)</f>
        <v>12.45</v>
      </c>
    </row>
    <row r="852" customFormat="false" ht="17.15" hidden="false" customHeight="false" outlineLevel="0" collapsed="false">
      <c r="A852" s="0" t="s">
        <v>434</v>
      </c>
      <c r="B852" s="0" t="s">
        <v>260</v>
      </c>
      <c r="C852" s="23" t="n">
        <f aca="false">C850/C851</f>
        <v>3.34</v>
      </c>
      <c r="D852" s="23" t="n">
        <f aca="false">D850/D851</f>
        <v>7.36402418002826</v>
      </c>
      <c r="E852" s="23" t="n">
        <f aca="false">E850/E851</f>
        <v>3.48954647437315</v>
      </c>
      <c r="F852" s="23" t="n">
        <f aca="false">F850/F851</f>
        <v>1.65273191633054</v>
      </c>
      <c r="G852" s="23" t="n">
        <f aca="false">G850/G851</f>
        <v>1.60103833600985</v>
      </c>
      <c r="H852" s="30" t="n">
        <f aca="false">H850/H851</f>
        <v>1.62068077356259</v>
      </c>
      <c r="I852" s="30" t="n">
        <f aca="false">I850/I851</f>
        <v>1.58360509423633</v>
      </c>
      <c r="J852" s="30" t="n">
        <f aca="false">J850/J851</f>
        <v>1.49102510411174</v>
      </c>
    </row>
    <row r="853" customFormat="false" ht="17.15" hidden="false" customHeight="false" outlineLevel="0" collapsed="false">
      <c r="A853" s="0" t="s">
        <v>552</v>
      </c>
      <c r="B853" s="0" t="s">
        <v>69</v>
      </c>
      <c r="D853" s="21" t="n">
        <f aca="false">D852/C852-1</f>
        <v>1.2047976586911</v>
      </c>
      <c r="E853" s="21" t="n">
        <f aca="false">E852/D852-1</f>
        <v>-0.526135929341862</v>
      </c>
      <c r="F853" s="21" t="n">
        <f aca="false">F852/E852-1</f>
        <v>-0.526376298906455</v>
      </c>
      <c r="G853" s="21" t="n">
        <f aca="false">G852/F852-1</f>
        <v>-0.0312776559887967</v>
      </c>
      <c r="H853" s="28" t="n">
        <f aca="false">H852/G852-1</f>
        <v>0.0122685616646123</v>
      </c>
      <c r="I853" s="28" t="n">
        <f aca="false">I852/H852-1</f>
        <v>-0.0228766083556138</v>
      </c>
      <c r="J853" s="28" t="n">
        <f aca="false">J852/I852-1</f>
        <v>-0.0584615384615385</v>
      </c>
    </row>
    <row r="854" customFormat="false" ht="17.15" hidden="false" customHeight="false" outlineLevel="0" collapsed="false">
      <c r="A854" s="3" t="s">
        <v>553</v>
      </c>
      <c r="B854" s="0" t="s">
        <v>69</v>
      </c>
      <c r="C854" s="15" t="n">
        <f aca="false">C850/C833</f>
        <v>0.175607127672562</v>
      </c>
      <c r="D854" s="15" t="n">
        <f aca="false">D850/D833</f>
        <v>0.328417243409073</v>
      </c>
      <c r="E854" s="15" t="n">
        <f aca="false">E850/E833</f>
        <v>0.159980629818702</v>
      </c>
      <c r="F854" s="15" t="n">
        <f aca="false">F850/F833</f>
        <v>0.0815118145390391</v>
      </c>
      <c r="G854" s="15" t="n">
        <f aca="false">G850/G833</f>
        <v>0.0707002692599539</v>
      </c>
      <c r="H854" s="29" t="n">
        <f aca="false">$G854+($G$854*0.8-$G854)*1/3</f>
        <v>0.065986917975957</v>
      </c>
      <c r="I854" s="29" t="n">
        <f aca="false">$G854+($G$854*0.8-$G854)*2/3</f>
        <v>0.0612735666919601</v>
      </c>
      <c r="J854" s="29" t="n">
        <f aca="false">$G854+($G$854*0.8-$G854)*3/3</f>
        <v>0.0565602154079631</v>
      </c>
    </row>
    <row r="857" customFormat="false" ht="17.15" hidden="false" customHeight="false" outlineLevel="0" collapsed="false">
      <c r="A857" s="1" t="s">
        <v>858</v>
      </c>
    </row>
    <row r="858" customFormat="false" ht="17.15" hidden="false" customHeight="false" outlineLevel="0" collapsed="false">
      <c r="A858" s="4" t="s">
        <v>24</v>
      </c>
      <c r="B858" s="4" t="s">
        <v>25</v>
      </c>
      <c r="C858" s="16" t="s">
        <v>387</v>
      </c>
      <c r="D858" s="16" t="s">
        <v>505</v>
      </c>
      <c r="E858" s="16" t="s">
        <v>467</v>
      </c>
      <c r="F858" s="16" t="s">
        <v>468</v>
      </c>
      <c r="G858" s="16" t="s">
        <v>469</v>
      </c>
      <c r="H858" s="16" t="s">
        <v>506</v>
      </c>
      <c r="I858" s="16" t="s">
        <v>507</v>
      </c>
      <c r="J858" s="16" t="s">
        <v>508</v>
      </c>
      <c r="K858" s="4" t="s">
        <v>345</v>
      </c>
    </row>
    <row r="859" customFormat="false" ht="17.15" hidden="false" customHeight="false" outlineLevel="0" collapsed="false">
      <c r="A859" s="5" t="s">
        <v>526</v>
      </c>
    </row>
    <row r="860" customFormat="false" ht="17.15" hidden="false" customHeight="false" outlineLevel="0" collapsed="false">
      <c r="A860" s="3" t="s">
        <v>527</v>
      </c>
      <c r="B860" s="3" t="s">
        <v>64</v>
      </c>
      <c r="D860" s="22" t="n">
        <f aca="false">cap_26</f>
        <v>5230.46851955216</v>
      </c>
      <c r="E860" s="22" t="n">
        <f aca="false">D860*(1+capg27)*cap_adj</f>
        <v>5439.68726033425</v>
      </c>
      <c r="F860" s="22" t="n">
        <f aca="false">E860*(1+capg28)</f>
        <v>5820.46536855765</v>
      </c>
      <c r="G860" s="22" t="n">
        <f aca="false">F860*(1+capg29)</f>
        <v>6227.89794435668</v>
      </c>
    </row>
    <row r="861" customFormat="false" ht="15" hidden="false" customHeight="false" outlineLevel="0" collapsed="false">
      <c r="A861" s="3" t="s">
        <v>528</v>
      </c>
      <c r="B861" s="0" t="s">
        <v>69</v>
      </c>
      <c r="D861" s="21" t="n">
        <f aca="false">a26_ship/cap_26</f>
        <v>0.870578781414787</v>
      </c>
      <c r="E861" s="21" t="n">
        <f aca="false">MIN(0.98,ut27_A+ut_adj)</f>
        <v>0.95</v>
      </c>
      <c r="F861" s="21" t="n">
        <f aca="false">MIN(0.98,ut28_A+ut_adj)</f>
        <v>0.94</v>
      </c>
      <c r="G861" s="21" t="n">
        <f aca="false">MIN(0.98,ut29_A+ut_adj)</f>
        <v>0.93</v>
      </c>
    </row>
    <row r="862" customFormat="false" ht="17.15" hidden="false" customHeight="false" outlineLevel="0" collapsed="false">
      <c r="A862" s="3" t="s">
        <v>529</v>
      </c>
      <c r="B862" s="3" t="s">
        <v>64</v>
      </c>
      <c r="D862" s="22" t="n">
        <f aca="false">D860*D861</f>
        <v>4553.53490998013</v>
      </c>
      <c r="E862" s="22" t="n">
        <f aca="false">E860*E861</f>
        <v>5167.70289731754</v>
      </c>
      <c r="F862" s="22" t="n">
        <f aca="false">F860*F861</f>
        <v>5471.23744644419</v>
      </c>
      <c r="G862" s="22" t="n">
        <f aca="false">G860*G861</f>
        <v>5791.94508825172</v>
      </c>
    </row>
    <row r="863" customFormat="false" ht="17.15" hidden="false" customHeight="false" outlineLevel="0" collapsed="false">
      <c r="A863" s="3" t="s">
        <v>530</v>
      </c>
      <c r="B863" s="0" t="s">
        <v>109</v>
      </c>
      <c r="D863" s="22" t="n">
        <f aca="false">asp_26</f>
        <v>1878.17486396824</v>
      </c>
      <c r="E863" s="22" t="n">
        <f aca="false">D863*(1+asp27_A)*(1+asp_adj_hi)</f>
        <v>2127.97212087602</v>
      </c>
      <c r="F863" s="22" t="n">
        <f aca="false">E863*(1+asp28_A)</f>
        <v>2191.8112845023</v>
      </c>
      <c r="G863" s="22" t="n">
        <f aca="false">F863*(1+asp29_A)</f>
        <v>2235.64751019235</v>
      </c>
    </row>
    <row r="864" customFormat="false" ht="15" hidden="false" customHeight="false" outlineLevel="0" collapsed="false">
      <c r="A864" s="3" t="s">
        <v>531</v>
      </c>
      <c r="B864" s="0" t="s">
        <v>69</v>
      </c>
      <c r="E864" s="21" t="n">
        <f aca="false">E863/D863-1</f>
        <v>0.133</v>
      </c>
      <c r="F864" s="21" t="n">
        <f aca="false">F863/E863-1</f>
        <v>0.03</v>
      </c>
      <c r="G864" s="21" t="n">
        <f aca="false">G863/F863-1</f>
        <v>0.02</v>
      </c>
    </row>
    <row r="865" customFormat="false" ht="15" hidden="false" customHeight="false" outlineLevel="0" collapsed="false">
      <c r="A865" s="3" t="s">
        <v>532</v>
      </c>
      <c r="B865" s="0" t="s">
        <v>35</v>
      </c>
      <c r="D865" s="23" t="n">
        <f aca="false">fx_26</f>
        <v>31.6</v>
      </c>
      <c r="E865" s="23" t="n">
        <f aca="false">fx</f>
        <v>32</v>
      </c>
      <c r="F865" s="23" t="n">
        <f aca="false">fx</f>
        <v>32</v>
      </c>
      <c r="G865" s="23" t="n">
        <f aca="false">fx</f>
        <v>32</v>
      </c>
    </row>
    <row r="866" customFormat="false" ht="17.15" hidden="false" customHeight="false" outlineLevel="0" collapsed="false">
      <c r="A866" s="3" t="s">
        <v>533</v>
      </c>
      <c r="B866" s="0" t="s">
        <v>181</v>
      </c>
      <c r="D866" s="23" t="n">
        <f aca="false">D862*D863*D865/1000000</f>
        <v>270.25378</v>
      </c>
      <c r="E866" s="23" t="n">
        <f aca="false">E862*E863*E865/1000000</f>
        <v>351.895286222783</v>
      </c>
      <c r="F866" s="23" t="n">
        <f aca="false">F862*F863*F865/1000000</f>
        <v>383.741439209854</v>
      </c>
      <c r="G866" s="23" t="n">
        <f aca="false">G862*G863*G865/1000000</f>
        <v>414.359923703064</v>
      </c>
    </row>
    <row r="867" customFormat="false" ht="17.15" hidden="false" customHeight="false" outlineLevel="0" collapsed="false">
      <c r="A867" s="5" t="s">
        <v>534</v>
      </c>
    </row>
    <row r="868" customFormat="false" ht="17.15" hidden="false" customHeight="false" outlineLevel="0" collapsed="false">
      <c r="A868" s="0" t="s">
        <v>535</v>
      </c>
      <c r="B868" s="0" t="s">
        <v>138</v>
      </c>
      <c r="D868" s="25" t="n">
        <f aca="false">ai_26</f>
        <v>0.3</v>
      </c>
      <c r="E868" s="25" t="n">
        <f aca="false">D868*(1+aig27_A)*ai_adj</f>
        <v>0.48</v>
      </c>
      <c r="F868" s="25" t="n">
        <f aca="false">E868*(1+aig_L)*um28_A</f>
        <v>0.696</v>
      </c>
      <c r="G868" s="25" t="n">
        <f aca="false">F868/um28_A*(1+aig_L)*um29_A</f>
        <v>1.0092</v>
      </c>
    </row>
    <row r="869" customFormat="false" ht="17.15" hidden="false" customHeight="false" outlineLevel="0" collapsed="false">
      <c r="A869" s="0" t="s">
        <v>536</v>
      </c>
      <c r="B869" s="0" t="s">
        <v>181</v>
      </c>
      <c r="D869" s="23" t="n">
        <f aca="false">D868*D865</f>
        <v>9.48</v>
      </c>
      <c r="E869" s="23" t="n">
        <f aca="false">E868*E865</f>
        <v>15.36</v>
      </c>
      <c r="F869" s="23" t="n">
        <f aca="false">F868*F865</f>
        <v>22.272</v>
      </c>
      <c r="G869" s="23" t="n">
        <f aca="false">G868*G865</f>
        <v>32.2944</v>
      </c>
    </row>
    <row r="870" customFormat="false" ht="17.15" hidden="false" customHeight="false" outlineLevel="0" collapsed="false">
      <c r="A870" s="0" t="s">
        <v>537</v>
      </c>
      <c r="B870" s="0" t="s">
        <v>138</v>
      </c>
      <c r="D870" s="25" t="n">
        <f aca="false">0</f>
        <v>0</v>
      </c>
      <c r="E870" s="25" t="n">
        <f aca="false">int_27</f>
        <v>0</v>
      </c>
      <c r="F870" s="25" t="n">
        <f aca="false">int28_A</f>
        <v>0.25</v>
      </c>
      <c r="G870" s="25" t="n">
        <f aca="false">int29_A</f>
        <v>0.5</v>
      </c>
    </row>
    <row r="871" customFormat="false" ht="17.15" hidden="false" customHeight="false" outlineLevel="0" collapsed="false">
      <c r="A871" s="0" t="s">
        <v>538</v>
      </c>
      <c r="B871" s="0" t="s">
        <v>181</v>
      </c>
      <c r="D871" s="23" t="n">
        <f aca="false">D870*D865</f>
        <v>0</v>
      </c>
      <c r="E871" s="23" t="n">
        <f aca="false">E870*E865</f>
        <v>0</v>
      </c>
      <c r="F871" s="23" t="n">
        <f aca="false">F870*F865</f>
        <v>8</v>
      </c>
      <c r="G871" s="23" t="n">
        <f aca="false">G870*G865</f>
        <v>16</v>
      </c>
    </row>
    <row r="872" customFormat="false" ht="17.15" hidden="false" customHeight="false" outlineLevel="0" collapsed="false">
      <c r="A872" s="3" t="s">
        <v>393</v>
      </c>
      <c r="B872" s="0" t="s">
        <v>181</v>
      </c>
      <c r="C872" s="23" t="n">
        <f aca="false">a25_rev</f>
        <v>237.553</v>
      </c>
      <c r="D872" s="23" t="n">
        <f aca="false">D866+D869+D871</f>
        <v>279.73378</v>
      </c>
      <c r="E872" s="23" t="n">
        <f aca="false">E866+E869+E871</f>
        <v>367.255286222783</v>
      </c>
      <c r="F872" s="23" t="n">
        <f aca="false">F866+F869+F871</f>
        <v>414.013439209854</v>
      </c>
      <c r="G872" s="23" t="n">
        <f aca="false">G866+G869+G871</f>
        <v>462.654323703064</v>
      </c>
      <c r="H872" s="30" t="n">
        <f aca="false">G872*(1+H874)</f>
        <v>508.144423098693</v>
      </c>
      <c r="I872" s="30" t="n">
        <f aca="false">H872*(1+I874)</f>
        <v>548.370193476141</v>
      </c>
      <c r="J872" s="30" t="n">
        <f aca="false">I872*(1+J874)</f>
        <v>581.27240508471</v>
      </c>
      <c r="K872" s="7" t="s">
        <v>539</v>
      </c>
    </row>
    <row r="873" customFormat="false" ht="17.15" hidden="false" customHeight="false" outlineLevel="0" collapsed="false">
      <c r="A873" s="0" t="s">
        <v>540</v>
      </c>
      <c r="B873" s="0" t="s">
        <v>69</v>
      </c>
      <c r="D873" s="21" t="n">
        <f aca="false">D869/D872</f>
        <v>0.0338893643806622</v>
      </c>
      <c r="E873" s="21" t="n">
        <f aca="false">E869/E872</f>
        <v>0.0418237683056314</v>
      </c>
      <c r="F873" s="21" t="n">
        <f aca="false">F869/F872</f>
        <v>0.053795355152012</v>
      </c>
      <c r="G873" s="21" t="n">
        <f aca="false">G869/G872</f>
        <v>0.0698024385496219</v>
      </c>
    </row>
    <row r="874" customFormat="false" ht="15" hidden="false" customHeight="false" outlineLevel="0" collapsed="false">
      <c r="A874" s="3" t="s">
        <v>541</v>
      </c>
      <c r="B874" s="0" t="s">
        <v>69</v>
      </c>
      <c r="D874" s="21" t="n">
        <f aca="false">D872/C872-1</f>
        <v>0.177563659478096</v>
      </c>
      <c r="E874" s="21" t="n">
        <f aca="false">E872/D872-1</f>
        <v>0.312874284338426</v>
      </c>
      <c r="F874" s="21" t="n">
        <f aca="false">F872/E872-1</f>
        <v>0.127317848758498</v>
      </c>
      <c r="G874" s="21" t="n">
        <f aca="false">G872/F872-1</f>
        <v>0.117486245340348</v>
      </c>
      <c r="H874" s="28" t="n">
        <f aca="false">$G874+(fade_gA-$G874)*1/3</f>
        <v>0.098324163560232</v>
      </c>
      <c r="I874" s="28" t="n">
        <f aca="false">$G874+(fade_gA-$G874)*2/3</f>
        <v>0.079162081780116</v>
      </c>
      <c r="J874" s="28" t="n">
        <f aca="false">$G874+(fade_gA-$G874)*3/3</f>
        <v>0.06</v>
      </c>
    </row>
    <row r="875" customFormat="false" ht="17.15" hidden="false" customHeight="false" outlineLevel="0" collapsed="false">
      <c r="A875" s="5" t="s">
        <v>542</v>
      </c>
    </row>
    <row r="876" customFormat="false" ht="15" hidden="false" customHeight="false" outlineLevel="0" collapsed="false">
      <c r="A876" s="3" t="s">
        <v>543</v>
      </c>
      <c r="B876" s="0" t="s">
        <v>181</v>
      </c>
      <c r="D876" s="23" t="n">
        <f aca="false">da_tot26*da_sh</f>
        <v>56.172</v>
      </c>
      <c r="E876" s="23" t="n">
        <f aca="false">D876*(1+dag_27+dag_adj)</f>
        <v>62.91264</v>
      </c>
      <c r="F876" s="23" t="n">
        <f aca="false">E876*(1+dag_28+dag_adj)</f>
        <v>69.203904</v>
      </c>
      <c r="G876" s="23" t="n">
        <f aca="false">F876*(1+dag_29+dag_adj)</f>
        <v>74.74021632</v>
      </c>
    </row>
    <row r="877" customFormat="false" ht="17.15" hidden="false" customHeight="false" outlineLevel="0" collapsed="false">
      <c r="A877" s="3" t="s">
        <v>544</v>
      </c>
      <c r="B877" s="0" t="s">
        <v>545</v>
      </c>
      <c r="D877" s="23" t="n">
        <f aca="false">(D872-a26_gp-D876-(1-m_new)*(D869+D871))/D862*1000</f>
        <v>27.9465727870208</v>
      </c>
      <c r="E877" s="23" t="n">
        <f aca="false">D877*(1+cc_g)</f>
        <v>28.5055042427612</v>
      </c>
      <c r="F877" s="23" t="n">
        <f aca="false">E877*(1+cc_g)</f>
        <v>29.0756143276165</v>
      </c>
      <c r="G877" s="23" t="n">
        <f aca="false">F877*(1+cc_g)</f>
        <v>29.6571266141688</v>
      </c>
      <c r="K877" s="7" t="s">
        <v>546</v>
      </c>
    </row>
    <row r="878" customFormat="false" ht="17.15" hidden="false" customHeight="false" outlineLevel="0" collapsed="false">
      <c r="A878" s="3" t="s">
        <v>547</v>
      </c>
      <c r="B878" s="0" t="s">
        <v>181</v>
      </c>
      <c r="D878" s="23" t="n">
        <f aca="false">D877*D862/1000</f>
        <v>127.2556948</v>
      </c>
      <c r="E878" s="23" t="n">
        <f aca="false">E877*E862/1000</f>
        <v>147.307976864815</v>
      </c>
      <c r="F878" s="23" t="n">
        <f aca="false">F877*F862/1000</f>
        <v>159.079589887624</v>
      </c>
      <c r="G878" s="23" t="n">
        <f aca="false">G877*G862/1000</f>
        <v>171.772448824594</v>
      </c>
    </row>
    <row r="879" customFormat="false" ht="17.15" hidden="false" customHeight="false" outlineLevel="0" collapsed="false">
      <c r="A879" s="3" t="s">
        <v>548</v>
      </c>
      <c r="B879" s="0" t="s">
        <v>181</v>
      </c>
      <c r="D879" s="23" t="n">
        <f aca="false">m_new*(D869+D871)</f>
        <v>4.266</v>
      </c>
      <c r="E879" s="23" t="n">
        <f aca="false">m_new*(E869+E871)</f>
        <v>6.912</v>
      </c>
      <c r="F879" s="23" t="n">
        <f aca="false">m_new*(F869+F871)</f>
        <v>13.6224</v>
      </c>
      <c r="G879" s="23" t="n">
        <f aca="false">m_new*(G869+G871)</f>
        <v>21.73248</v>
      </c>
    </row>
    <row r="880" customFormat="false" ht="15" hidden="false" customHeight="false" outlineLevel="0" collapsed="false">
      <c r="A880" s="3" t="s">
        <v>411</v>
      </c>
      <c r="B880" s="0" t="s">
        <v>181</v>
      </c>
      <c r="C880" s="23" t="n">
        <f aca="false">a25_gp</f>
        <v>68.906</v>
      </c>
      <c r="D880" s="23" t="n">
        <f aca="false">D866-D876-D878+D879</f>
        <v>91.0920852</v>
      </c>
      <c r="E880" s="23" t="n">
        <f aca="false">E866-E876-E878+E879</f>
        <v>148.586669357968</v>
      </c>
      <c r="F880" s="23" t="n">
        <f aca="false">F866-F876-F878+F879</f>
        <v>169.080345322229</v>
      </c>
      <c r="G880" s="23" t="n">
        <f aca="false">G866-G876-G878+G879</f>
        <v>189.57973855847</v>
      </c>
    </row>
    <row r="881" customFormat="false" ht="15" hidden="false" customHeight="false" outlineLevel="0" collapsed="false">
      <c r="A881" s="3" t="s">
        <v>413</v>
      </c>
      <c r="B881" s="0" t="s">
        <v>69</v>
      </c>
      <c r="C881" s="15" t="n">
        <f aca="false">C880/C872</f>
        <v>0.290065795843454</v>
      </c>
      <c r="D881" s="15" t="n">
        <f aca="false">D880/D872</f>
        <v>0.325638488136828</v>
      </c>
      <c r="E881" s="15" t="n">
        <f aca="false">E880/E872</f>
        <v>0.404586877118041</v>
      </c>
      <c r="F881" s="15" t="n">
        <f aca="false">F880/F872</f>
        <v>0.408393374004766</v>
      </c>
      <c r="G881" s="15" t="n">
        <f aca="false">G880/G872</f>
        <v>0.409765409822786</v>
      </c>
    </row>
    <row r="882" customFormat="false" ht="15" hidden="false" customHeight="false" outlineLevel="0" collapsed="false">
      <c r="A882" s="3" t="s">
        <v>415</v>
      </c>
      <c r="B882" s="0" t="s">
        <v>181</v>
      </c>
      <c r="C882" s="23" t="n">
        <f aca="false">a25_opx</f>
        <v>25.056</v>
      </c>
      <c r="D882" s="23" t="n">
        <f aca="false">a26_opx</f>
        <v>27.23586</v>
      </c>
      <c r="E882" s="23" t="n">
        <f aca="false">D882*(1+MAX(g_opx_min,phi*E874))</f>
        <v>31.4965601029208</v>
      </c>
      <c r="F882" s="23" t="n">
        <f aca="false">E882*(1+MAX(g_opx_min,phi*F874))</f>
        <v>33.5015972407191</v>
      </c>
      <c r="G882" s="23" t="n">
        <f aca="false">F882*(1+MAX(g_opx_min,phi*G874))</f>
        <v>35.4695856770774</v>
      </c>
    </row>
    <row r="883" customFormat="false" ht="15" hidden="false" customHeight="false" outlineLevel="0" collapsed="false">
      <c r="A883" s="3" t="s">
        <v>418</v>
      </c>
      <c r="B883" s="0" t="s">
        <v>181</v>
      </c>
      <c r="C883" s="23" t="n">
        <f aca="false">C880-C882</f>
        <v>43.85</v>
      </c>
      <c r="D883" s="23" t="n">
        <f aca="false">D880-D882</f>
        <v>63.8562252</v>
      </c>
      <c r="E883" s="23" t="n">
        <f aca="false">E880-E882</f>
        <v>117.090109255047</v>
      </c>
      <c r="F883" s="23" t="n">
        <f aca="false">F880-F882</f>
        <v>135.57874808151</v>
      </c>
      <c r="G883" s="23" t="n">
        <f aca="false">G880-G882</f>
        <v>154.110152881392</v>
      </c>
    </row>
    <row r="884" customFormat="false" ht="15" hidden="false" customHeight="false" outlineLevel="0" collapsed="false">
      <c r="A884" s="3" t="s">
        <v>515</v>
      </c>
      <c r="B884" s="0" t="s">
        <v>69</v>
      </c>
      <c r="C884" s="15" t="n">
        <f aca="false">C883/C872</f>
        <v>0.184590386145408</v>
      </c>
      <c r="D884" s="15" t="n">
        <f aca="false">D883/D872</f>
        <v>0.228274987740129</v>
      </c>
      <c r="E884" s="15" t="n">
        <f aca="false">E883/E872</f>
        <v>0.318824843773708</v>
      </c>
      <c r="F884" s="15" t="n">
        <f aca="false">F883/F872</f>
        <v>0.327474268323905</v>
      </c>
      <c r="G884" s="15" t="n">
        <f aca="false">G883/G872</f>
        <v>0.33309999493337</v>
      </c>
    </row>
    <row r="885" customFormat="false" ht="15" hidden="false" customHeight="false" outlineLevel="0" collapsed="false">
      <c r="A885" s="3" t="s">
        <v>421</v>
      </c>
      <c r="B885" s="0" t="s">
        <v>181</v>
      </c>
      <c r="C885" s="23" t="n">
        <f aca="false">a25_nonop</f>
        <v>5.805</v>
      </c>
      <c r="D885" s="23" t="n">
        <f aca="false">a26_nonop</f>
        <v>38.372</v>
      </c>
      <c r="E885" s="23" t="n">
        <f aca="false">nonop_f</f>
        <v>4</v>
      </c>
      <c r="F885" s="23" t="n">
        <f aca="false">nonop_f</f>
        <v>4</v>
      </c>
      <c r="G885" s="23" t="n">
        <f aca="false">nonop_f</f>
        <v>4</v>
      </c>
    </row>
    <row r="886" customFormat="false" ht="15" hidden="false" customHeight="false" outlineLevel="0" collapsed="false">
      <c r="A886" s="3" t="s">
        <v>423</v>
      </c>
      <c r="B886" s="0" t="s">
        <v>181</v>
      </c>
      <c r="C886" s="23" t="n">
        <f aca="false">C883+C885</f>
        <v>49.655</v>
      </c>
      <c r="D886" s="23" t="n">
        <f aca="false">D883+D885</f>
        <v>102.2282252</v>
      </c>
      <c r="E886" s="23" t="n">
        <f aca="false">E883+E885</f>
        <v>121.090109255047</v>
      </c>
      <c r="F886" s="23" t="n">
        <f aca="false">F883+F885</f>
        <v>139.57874808151</v>
      </c>
      <c r="G886" s="23" t="n">
        <f aca="false">G883+G885</f>
        <v>158.110152881392</v>
      </c>
    </row>
    <row r="887" customFormat="false" ht="15" hidden="false" customHeight="false" outlineLevel="0" collapsed="false">
      <c r="A887" s="3" t="s">
        <v>425</v>
      </c>
      <c r="B887" s="0" t="s">
        <v>181</v>
      </c>
      <c r="C887" s="23" t="n">
        <f aca="false">a25_tax</f>
        <v>7.939</v>
      </c>
      <c r="D887" s="23" t="n">
        <f aca="false">a26_tax</f>
        <v>10.493828284</v>
      </c>
      <c r="E887" s="23" t="n">
        <f aca="false">E886*tax</f>
        <v>18.1635163882571</v>
      </c>
      <c r="F887" s="23" t="n">
        <f aca="false">F886*tax</f>
        <v>20.9368122122265</v>
      </c>
      <c r="G887" s="23" t="n">
        <f aca="false">G886*tax</f>
        <v>23.7165229322088</v>
      </c>
    </row>
    <row r="888" customFormat="false" ht="17.15" hidden="false" customHeight="false" outlineLevel="0" collapsed="false">
      <c r="A888" s="3" t="s">
        <v>549</v>
      </c>
      <c r="B888" s="0" t="s">
        <v>181</v>
      </c>
      <c r="C888" s="23" t="n">
        <f aca="false">a25_mi</f>
        <v>0</v>
      </c>
      <c r="D888" s="23" t="n">
        <f aca="false">a26_mi</f>
        <v>-0.134999999999987</v>
      </c>
      <c r="E888" s="23" t="n">
        <f aca="false">0</f>
        <v>0</v>
      </c>
      <c r="F888" s="23" t="n">
        <f aca="false">0</f>
        <v>0</v>
      </c>
      <c r="G888" s="23" t="n">
        <f aca="false">0</f>
        <v>0</v>
      </c>
      <c r="K888" s="7" t="s">
        <v>550</v>
      </c>
    </row>
    <row r="889" customFormat="false" ht="15" hidden="false" customHeight="false" outlineLevel="0" collapsed="false">
      <c r="A889" s="3" t="s">
        <v>428</v>
      </c>
      <c r="B889" s="0" t="s">
        <v>181</v>
      </c>
      <c r="C889" s="23" t="n">
        <f aca="false">C886-C887-C888</f>
        <v>41.716</v>
      </c>
      <c r="D889" s="23" t="n">
        <f aca="false">D886-D887-D888</f>
        <v>91.869396916</v>
      </c>
      <c r="E889" s="23" t="n">
        <f aca="false">E886-E887-E888</f>
        <v>102.92659286679</v>
      </c>
      <c r="F889" s="23" t="n">
        <f aca="false">F886-F887-F888</f>
        <v>118.641935869284</v>
      </c>
      <c r="G889" s="23" t="n">
        <f aca="false">G886-G887-G888</f>
        <v>134.393629949183</v>
      </c>
      <c r="H889" s="30" t="n">
        <f aca="false">H872*H893</f>
        <v>147.60777120176</v>
      </c>
      <c r="I889" s="30" t="n">
        <f aca="false">I872*I893</f>
        <v>159.292709657015</v>
      </c>
      <c r="J889" s="30" t="n">
        <f aca="false">J872*J893</f>
        <v>168.850272236436</v>
      </c>
    </row>
    <row r="890" customFormat="false" ht="15" hidden="false" customHeight="false" outlineLevel="0" collapsed="false">
      <c r="A890" s="3" t="s">
        <v>551</v>
      </c>
      <c r="B890" s="3" t="s">
        <v>250</v>
      </c>
      <c r="C890" s="9" t="n">
        <f aca="false">a25_sh</f>
        <v>12.4898203592814</v>
      </c>
      <c r="D890" s="9" t="n">
        <f aca="false">a26_sh</f>
        <v>12.4754339027235</v>
      </c>
      <c r="E890" s="9" t="n">
        <f aca="false">q_sh*(1+sh_g)</f>
        <v>12.45</v>
      </c>
      <c r="F890" s="9" t="n">
        <f aca="false">E890*(1+sh_g)</f>
        <v>12.45</v>
      </c>
      <c r="G890" s="9" t="n">
        <f aca="false">F890*(1+sh_g)</f>
        <v>12.45</v>
      </c>
      <c r="H890" s="32" t="n">
        <f aca="false">G890*(1+sh_g)</f>
        <v>12.45</v>
      </c>
      <c r="I890" s="32" t="n">
        <f aca="false">H890*(1+sh_g)</f>
        <v>12.45</v>
      </c>
      <c r="J890" s="32" t="n">
        <f aca="false">I890*(1+sh_g)</f>
        <v>12.45</v>
      </c>
    </row>
    <row r="891" customFormat="false" ht="17.15" hidden="false" customHeight="false" outlineLevel="0" collapsed="false">
      <c r="A891" s="0" t="s">
        <v>434</v>
      </c>
      <c r="B891" s="0" t="s">
        <v>260</v>
      </c>
      <c r="C891" s="23" t="n">
        <f aca="false">C889/C890</f>
        <v>3.34</v>
      </c>
      <c r="D891" s="23" t="n">
        <f aca="false">D889/D890</f>
        <v>7.36402418002826</v>
      </c>
      <c r="E891" s="23" t="n">
        <f aca="false">E889/E890</f>
        <v>8.26719621420001</v>
      </c>
      <c r="F891" s="23" t="n">
        <f aca="false">F889/F890</f>
        <v>9.52947276058504</v>
      </c>
      <c r="G891" s="23" t="n">
        <f aca="false">G889/G890</f>
        <v>10.7946690722236</v>
      </c>
      <c r="H891" s="30" t="n">
        <f aca="false">H889/H890</f>
        <v>11.8560458796595</v>
      </c>
      <c r="I891" s="30" t="n">
        <f aca="false">I889/I890</f>
        <v>12.7945951531739</v>
      </c>
      <c r="J891" s="30" t="n">
        <f aca="false">J889/J890</f>
        <v>13.5622708623643</v>
      </c>
    </row>
    <row r="892" customFormat="false" ht="17.15" hidden="false" customHeight="false" outlineLevel="0" collapsed="false">
      <c r="A892" s="0" t="s">
        <v>552</v>
      </c>
      <c r="B892" s="0" t="s">
        <v>69</v>
      </c>
      <c r="D892" s="21" t="n">
        <f aca="false">D891/C891-1</f>
        <v>1.2047976586911</v>
      </c>
      <c r="E892" s="21" t="n">
        <f aca="false">E891/D891-1</f>
        <v>0.122646532940673</v>
      </c>
      <c r="F892" s="21" t="n">
        <f aca="false">F891/E891-1</f>
        <v>0.152684962795113</v>
      </c>
      <c r="G892" s="21" t="n">
        <f aca="false">G891/F891-1</f>
        <v>0.132766664371142</v>
      </c>
      <c r="H892" s="28" t="n">
        <f aca="false">H891/G891-1</f>
        <v>0.0983241635602321</v>
      </c>
      <c r="I892" s="28" t="n">
        <f aca="false">I891/H891-1</f>
        <v>0.079162081780116</v>
      </c>
      <c r="J892" s="28" t="n">
        <f aca="false">J891/I891-1</f>
        <v>0.0600000000000001</v>
      </c>
    </row>
    <row r="893" customFormat="false" ht="17.15" hidden="false" customHeight="false" outlineLevel="0" collapsed="false">
      <c r="A893" s="3" t="s">
        <v>553</v>
      </c>
      <c r="B893" s="0" t="s">
        <v>69</v>
      </c>
      <c r="C893" s="15" t="n">
        <f aca="false">C889/C872</f>
        <v>0.175607127672562</v>
      </c>
      <c r="D893" s="15" t="n">
        <f aca="false">D889/D872</f>
        <v>0.328417243409073</v>
      </c>
      <c r="E893" s="15" t="n">
        <f aca="false">E889/E872</f>
        <v>0.280258982587805</v>
      </c>
      <c r="F893" s="15" t="n">
        <f aca="false">F889/F872</f>
        <v>0.286565421875465</v>
      </c>
      <c r="G893" s="15" t="n">
        <f aca="false">G889/G872</f>
        <v>0.29048389491641</v>
      </c>
      <c r="H893" s="29" t="n">
        <f aca="false">$G893+($G$893*1-$G893)*1/3</f>
        <v>0.29048389491641</v>
      </c>
      <c r="I893" s="29" t="n">
        <f aca="false">$G893+($G$893*1-$G893)*2/3</f>
        <v>0.29048389491641</v>
      </c>
      <c r="J893" s="29" t="n">
        <f aca="false">$G893+($G$893*1-$G893)*3/3</f>
        <v>0.29048389491641</v>
      </c>
    </row>
    <row r="896" customFormat="false" ht="17.15" hidden="false" customHeight="false" outlineLevel="0" collapsed="false">
      <c r="A896" s="1" t="s">
        <v>859</v>
      </c>
    </row>
    <row r="897" customFormat="false" ht="17.15" hidden="false" customHeight="false" outlineLevel="0" collapsed="false">
      <c r="A897" s="4" t="s">
        <v>24</v>
      </c>
      <c r="B897" s="4" t="s">
        <v>25</v>
      </c>
      <c r="C897" s="16" t="s">
        <v>387</v>
      </c>
      <c r="D897" s="16" t="s">
        <v>505</v>
      </c>
      <c r="E897" s="16" t="s">
        <v>467</v>
      </c>
      <c r="F897" s="16" t="s">
        <v>468</v>
      </c>
      <c r="G897" s="16" t="s">
        <v>469</v>
      </c>
      <c r="H897" s="16" t="s">
        <v>506</v>
      </c>
      <c r="I897" s="16" t="s">
        <v>507</v>
      </c>
      <c r="J897" s="16" t="s">
        <v>508</v>
      </c>
      <c r="K897" s="4" t="s">
        <v>345</v>
      </c>
    </row>
    <row r="898" customFormat="false" ht="17.15" hidden="false" customHeight="false" outlineLevel="0" collapsed="false">
      <c r="A898" s="5" t="s">
        <v>526</v>
      </c>
    </row>
    <row r="899" customFormat="false" ht="17.15" hidden="false" customHeight="false" outlineLevel="0" collapsed="false">
      <c r="A899" s="3" t="s">
        <v>527</v>
      </c>
      <c r="B899" s="3" t="s">
        <v>64</v>
      </c>
      <c r="D899" s="22" t="n">
        <f aca="false">cap_26</f>
        <v>5230.46851955216</v>
      </c>
      <c r="E899" s="22" t="n">
        <f aca="false">D899*(1+capg27)*cap_adj</f>
        <v>5439.68726033425</v>
      </c>
      <c r="F899" s="22" t="n">
        <f aca="false">E899*(1+capg28)</f>
        <v>5820.46536855765</v>
      </c>
      <c r="G899" s="22" t="n">
        <f aca="false">F899*(1+capg29)</f>
        <v>6227.89794435668</v>
      </c>
    </row>
    <row r="900" customFormat="false" ht="15" hidden="false" customHeight="false" outlineLevel="0" collapsed="false">
      <c r="A900" s="3" t="s">
        <v>528</v>
      </c>
      <c r="B900" s="0" t="s">
        <v>69</v>
      </c>
      <c r="D900" s="21" t="n">
        <f aca="false">a26_ship/cap_26</f>
        <v>0.870578781414787</v>
      </c>
      <c r="E900" s="21" t="n">
        <f aca="false">MIN(0.98,ut27_B+ut_adj)</f>
        <v>0.9</v>
      </c>
      <c r="F900" s="21" t="n">
        <f aca="false">MIN(0.98,ut28_B+ut_adj)</f>
        <v>0.87</v>
      </c>
      <c r="G900" s="21" t="n">
        <f aca="false">MIN(0.98,ut29_B+ut_adj)</f>
        <v>0.88</v>
      </c>
    </row>
    <row r="901" customFormat="false" ht="17.15" hidden="false" customHeight="false" outlineLevel="0" collapsed="false">
      <c r="A901" s="3" t="s">
        <v>529</v>
      </c>
      <c r="B901" s="3" t="s">
        <v>64</v>
      </c>
      <c r="D901" s="22" t="n">
        <f aca="false">D899*D900</f>
        <v>4553.53490998013</v>
      </c>
      <c r="E901" s="22" t="n">
        <f aca="false">E899*E900</f>
        <v>4895.71853430083</v>
      </c>
      <c r="F901" s="22" t="n">
        <f aca="false">F899*F900</f>
        <v>5063.80487064515</v>
      </c>
      <c r="G901" s="22" t="n">
        <f aca="false">G899*G900</f>
        <v>5480.55019103388</v>
      </c>
    </row>
    <row r="902" customFormat="false" ht="17.15" hidden="false" customHeight="false" outlineLevel="0" collapsed="false">
      <c r="A902" s="3" t="s">
        <v>530</v>
      </c>
      <c r="B902" s="0" t="s">
        <v>109</v>
      </c>
      <c r="D902" s="22" t="n">
        <f aca="false">asp_26</f>
        <v>1878.17486396824</v>
      </c>
      <c r="E902" s="22" t="n">
        <f aca="false">D902*(1+asp27_B)*(1+asp_adj_hi)</f>
        <v>2031.24611538166</v>
      </c>
      <c r="F902" s="22" t="n">
        <f aca="false">E902*(1+asp28_B)</f>
        <v>2031.24611538166</v>
      </c>
      <c r="G902" s="22" t="n">
        <f aca="false">F902*(1+asp29_B)</f>
        <v>2031.24611538166</v>
      </c>
    </row>
    <row r="903" customFormat="false" ht="15" hidden="false" customHeight="false" outlineLevel="0" collapsed="false">
      <c r="A903" s="3" t="s">
        <v>531</v>
      </c>
      <c r="B903" s="0" t="s">
        <v>69</v>
      </c>
      <c r="E903" s="21" t="n">
        <f aca="false">E902/D902-1</f>
        <v>0.0815000000000001</v>
      </c>
      <c r="F903" s="21" t="n">
        <f aca="false">F902/E902-1</f>
        <v>0</v>
      </c>
      <c r="G903" s="21" t="n">
        <f aca="false">G902/F902-1</f>
        <v>0</v>
      </c>
    </row>
    <row r="904" customFormat="false" ht="15" hidden="false" customHeight="false" outlineLevel="0" collapsed="false">
      <c r="A904" s="3" t="s">
        <v>532</v>
      </c>
      <c r="B904" s="0" t="s">
        <v>35</v>
      </c>
      <c r="D904" s="23" t="n">
        <f aca="false">fx_26</f>
        <v>31.6</v>
      </c>
      <c r="E904" s="23" t="n">
        <f aca="false">fx</f>
        <v>32</v>
      </c>
      <c r="F904" s="23" t="n">
        <f aca="false">fx</f>
        <v>32</v>
      </c>
      <c r="G904" s="23" t="n">
        <f aca="false">fx</f>
        <v>32</v>
      </c>
    </row>
    <row r="905" customFormat="false" ht="17.15" hidden="false" customHeight="false" outlineLevel="0" collapsed="false">
      <c r="A905" s="3" t="s">
        <v>533</v>
      </c>
      <c r="B905" s="0" t="s">
        <v>181</v>
      </c>
      <c r="D905" s="23" t="n">
        <f aca="false">D901*D902*D904/1000000</f>
        <v>270.25378</v>
      </c>
      <c r="E905" s="23" t="n">
        <f aca="false">E901*E902*E904/1000000</f>
        <v>318.221096153617</v>
      </c>
      <c r="F905" s="23" t="n">
        <f aca="false">F901*F902*F904/1000000</f>
        <v>329.146687121558</v>
      </c>
      <c r="G905" s="23" t="n">
        <f aca="false">G901*G902*G904/1000000</f>
        <v>356.235081142137</v>
      </c>
    </row>
    <row r="906" customFormat="false" ht="17.15" hidden="false" customHeight="false" outlineLevel="0" collapsed="false">
      <c r="A906" s="5" t="s">
        <v>534</v>
      </c>
    </row>
    <row r="907" customFormat="false" ht="17.15" hidden="false" customHeight="false" outlineLevel="0" collapsed="false">
      <c r="A907" s="0" t="s">
        <v>535</v>
      </c>
      <c r="B907" s="0" t="s">
        <v>138</v>
      </c>
      <c r="D907" s="25" t="n">
        <f aca="false">ai_26</f>
        <v>0.3</v>
      </c>
      <c r="E907" s="25" t="n">
        <f aca="false">D907*(1+aig27_B)*ai_adj</f>
        <v>0.42</v>
      </c>
      <c r="F907" s="25" t="n">
        <f aca="false">E907*(1+aig_L)*um28_B</f>
        <v>0.4872</v>
      </c>
      <c r="G907" s="25" t="n">
        <f aca="false">F907/um28_B*(1+aig_L)*um29_B</f>
        <v>0.7505925</v>
      </c>
    </row>
    <row r="908" customFormat="false" ht="17.15" hidden="false" customHeight="false" outlineLevel="0" collapsed="false">
      <c r="A908" s="0" t="s">
        <v>536</v>
      </c>
      <c r="B908" s="0" t="s">
        <v>181</v>
      </c>
      <c r="D908" s="23" t="n">
        <f aca="false">D907*D904</f>
        <v>9.48</v>
      </c>
      <c r="E908" s="23" t="n">
        <f aca="false">E907*E904</f>
        <v>13.44</v>
      </c>
      <c r="F908" s="23" t="n">
        <f aca="false">F907*F904</f>
        <v>15.5904</v>
      </c>
      <c r="G908" s="23" t="n">
        <f aca="false">G907*G904</f>
        <v>24.01896</v>
      </c>
    </row>
    <row r="909" customFormat="false" ht="17.15" hidden="false" customHeight="false" outlineLevel="0" collapsed="false">
      <c r="A909" s="0" t="s">
        <v>537</v>
      </c>
      <c r="B909" s="0" t="s">
        <v>138</v>
      </c>
      <c r="D909" s="25" t="n">
        <f aca="false">0</f>
        <v>0</v>
      </c>
      <c r="E909" s="25" t="n">
        <f aca="false">int_27</f>
        <v>0</v>
      </c>
      <c r="F909" s="25" t="n">
        <f aca="false">int28_B</f>
        <v>0.12</v>
      </c>
      <c r="G909" s="25" t="n">
        <f aca="false">int29_B</f>
        <v>0.3</v>
      </c>
    </row>
    <row r="910" customFormat="false" ht="17.15" hidden="false" customHeight="false" outlineLevel="0" collapsed="false">
      <c r="A910" s="0" t="s">
        <v>538</v>
      </c>
      <c r="B910" s="0" t="s">
        <v>181</v>
      </c>
      <c r="D910" s="23" t="n">
        <f aca="false">D909*D904</f>
        <v>0</v>
      </c>
      <c r="E910" s="23" t="n">
        <f aca="false">E909*E904</f>
        <v>0</v>
      </c>
      <c r="F910" s="23" t="n">
        <f aca="false">F909*F904</f>
        <v>3.84</v>
      </c>
      <c r="G910" s="23" t="n">
        <f aca="false">G909*G904</f>
        <v>9.6</v>
      </c>
    </row>
    <row r="911" customFormat="false" ht="17.15" hidden="false" customHeight="false" outlineLevel="0" collapsed="false">
      <c r="A911" s="3" t="s">
        <v>393</v>
      </c>
      <c r="B911" s="0" t="s">
        <v>181</v>
      </c>
      <c r="C911" s="23" t="n">
        <f aca="false">a25_rev</f>
        <v>237.553</v>
      </c>
      <c r="D911" s="23" t="n">
        <f aca="false">D905+D908+D910</f>
        <v>279.73378</v>
      </c>
      <c r="E911" s="23" t="n">
        <f aca="false">E905+E908+E910</f>
        <v>331.661096153617</v>
      </c>
      <c r="F911" s="23" t="n">
        <f aca="false">F905+F908+F910</f>
        <v>348.577087121558</v>
      </c>
      <c r="G911" s="23" t="n">
        <f aca="false">G905+G908+G910</f>
        <v>389.854041142137</v>
      </c>
      <c r="H911" s="30" t="n">
        <f aca="false">G911*(1+H913)</f>
        <v>425.828620361834</v>
      </c>
      <c r="I911" s="30" t="n">
        <f aca="false">H911*(1+I913)</f>
        <v>453.992296326522</v>
      </c>
      <c r="J911" s="30" t="n">
        <f aca="false">I911*(1+J913)</f>
        <v>472.151988179583</v>
      </c>
      <c r="K911" s="7" t="s">
        <v>539</v>
      </c>
    </row>
    <row r="912" customFormat="false" ht="17.15" hidden="false" customHeight="false" outlineLevel="0" collapsed="false">
      <c r="A912" s="0" t="s">
        <v>540</v>
      </c>
      <c r="B912" s="0" t="s">
        <v>69</v>
      </c>
      <c r="D912" s="21" t="n">
        <f aca="false">D908/D911</f>
        <v>0.0338893643806622</v>
      </c>
      <c r="E912" s="21" t="n">
        <f aca="false">E908/E911</f>
        <v>0.0405232936749836</v>
      </c>
      <c r="F912" s="21" t="n">
        <f aca="false">F908/F911</f>
        <v>0.0447258313182336</v>
      </c>
      <c r="G912" s="21" t="n">
        <f aca="false">G908/G911</f>
        <v>0.0616101347305079</v>
      </c>
    </row>
    <row r="913" customFormat="false" ht="15" hidden="false" customHeight="false" outlineLevel="0" collapsed="false">
      <c r="A913" s="3" t="s">
        <v>541</v>
      </c>
      <c r="B913" s="0" t="s">
        <v>69</v>
      </c>
      <c r="D913" s="21" t="n">
        <f aca="false">D911/C911-1</f>
        <v>0.177563659478096</v>
      </c>
      <c r="E913" s="21" t="n">
        <f aca="false">E911/D911-1</f>
        <v>0.18563119603795</v>
      </c>
      <c r="F913" s="21" t="n">
        <f aca="false">F911/E911-1</f>
        <v>0.0510038444789611</v>
      </c>
      <c r="G913" s="21" t="n">
        <f aca="false">G911/F911-1</f>
        <v>0.118415568738127</v>
      </c>
      <c r="H913" s="28" t="n">
        <f aca="false">$G913+(fade_gB-$G913)*1/3</f>
        <v>0.0922770458254178</v>
      </c>
      <c r="I913" s="28" t="n">
        <f aca="false">$G913+(fade_gB-$G913)*2/3</f>
        <v>0.0661385229127089</v>
      </c>
      <c r="J913" s="28" t="n">
        <f aca="false">$G913+(fade_gB-$G913)*3/3</f>
        <v>0.04</v>
      </c>
    </row>
    <row r="914" customFormat="false" ht="17.15" hidden="false" customHeight="false" outlineLevel="0" collapsed="false">
      <c r="A914" s="5" t="s">
        <v>542</v>
      </c>
    </row>
    <row r="915" customFormat="false" ht="15" hidden="false" customHeight="false" outlineLevel="0" collapsed="false">
      <c r="A915" s="3" t="s">
        <v>543</v>
      </c>
      <c r="B915" s="0" t="s">
        <v>181</v>
      </c>
      <c r="D915" s="23" t="n">
        <f aca="false">da_tot26*da_sh</f>
        <v>56.172</v>
      </c>
      <c r="E915" s="23" t="n">
        <f aca="false">D915*(1+dag_27+dag_adj)</f>
        <v>62.91264</v>
      </c>
      <c r="F915" s="23" t="n">
        <f aca="false">E915*(1+dag_28+dag_adj)</f>
        <v>69.203904</v>
      </c>
      <c r="G915" s="23" t="n">
        <f aca="false">F915*(1+dag_29+dag_adj)</f>
        <v>74.74021632</v>
      </c>
    </row>
    <row r="916" customFormat="false" ht="17.15" hidden="false" customHeight="false" outlineLevel="0" collapsed="false">
      <c r="A916" s="3" t="s">
        <v>544</v>
      </c>
      <c r="B916" s="0" t="s">
        <v>545</v>
      </c>
      <c r="D916" s="23" t="n">
        <f aca="false">(D911-a26_gp-D915-(1-m_new)*(D908+D910))/D901*1000</f>
        <v>27.9465727870208</v>
      </c>
      <c r="E916" s="23" t="n">
        <f aca="false">D916*(1+cc_g)</f>
        <v>28.5055042427612</v>
      </c>
      <c r="F916" s="23" t="n">
        <f aca="false">E916*(1+cc_g)</f>
        <v>29.0756143276165</v>
      </c>
      <c r="G916" s="23" t="n">
        <f aca="false">F916*(1+cc_g)</f>
        <v>29.6571266141688</v>
      </c>
      <c r="K916" s="7" t="s">
        <v>546</v>
      </c>
    </row>
    <row r="917" customFormat="false" ht="17.15" hidden="false" customHeight="false" outlineLevel="0" collapsed="false">
      <c r="A917" s="3" t="s">
        <v>547</v>
      </c>
      <c r="B917" s="0" t="s">
        <v>181</v>
      </c>
      <c r="D917" s="23" t="n">
        <f aca="false">D916*D901/1000</f>
        <v>127.2556948</v>
      </c>
      <c r="E917" s="23" t="n">
        <f aca="false">E916*E901/1000</f>
        <v>139.554925450877</v>
      </c>
      <c r="F917" s="23" t="n">
        <f aca="false">F916*F901/1000</f>
        <v>147.233237449184</v>
      </c>
      <c r="G917" s="23" t="n">
        <f aca="false">G916*G901/1000</f>
        <v>162.537370930799</v>
      </c>
    </row>
    <row r="918" customFormat="false" ht="17.15" hidden="false" customHeight="false" outlineLevel="0" collapsed="false">
      <c r="A918" s="3" t="s">
        <v>548</v>
      </c>
      <c r="B918" s="0" t="s">
        <v>181</v>
      </c>
      <c r="D918" s="23" t="n">
        <f aca="false">m_new*(D908+D910)</f>
        <v>4.266</v>
      </c>
      <c r="E918" s="23" t="n">
        <f aca="false">m_new*(E908+E910)</f>
        <v>6.048</v>
      </c>
      <c r="F918" s="23" t="n">
        <f aca="false">m_new*(F908+F910)</f>
        <v>8.74368</v>
      </c>
      <c r="G918" s="23" t="n">
        <f aca="false">m_new*(G908+G910)</f>
        <v>15.128532</v>
      </c>
    </row>
    <row r="919" customFormat="false" ht="15" hidden="false" customHeight="false" outlineLevel="0" collapsed="false">
      <c r="A919" s="3" t="s">
        <v>411</v>
      </c>
      <c r="B919" s="0" t="s">
        <v>181</v>
      </c>
      <c r="C919" s="23" t="n">
        <f aca="false">a25_gp</f>
        <v>68.906</v>
      </c>
      <c r="D919" s="23" t="n">
        <f aca="false">D905-D915-D917+D918</f>
        <v>91.0920852</v>
      </c>
      <c r="E919" s="23" t="n">
        <f aca="false">E905-E915-E917+E918</f>
        <v>121.80153070274</v>
      </c>
      <c r="F919" s="23" t="n">
        <f aca="false">F905-F915-F917+F918</f>
        <v>121.453225672373</v>
      </c>
      <c r="G919" s="23" t="n">
        <f aca="false">G905-G915-G917+G918</f>
        <v>134.086025891338</v>
      </c>
    </row>
    <row r="920" customFormat="false" ht="15" hidden="false" customHeight="false" outlineLevel="0" collapsed="false">
      <c r="A920" s="3" t="s">
        <v>413</v>
      </c>
      <c r="B920" s="0" t="s">
        <v>69</v>
      </c>
      <c r="C920" s="15" t="n">
        <f aca="false">C919/C911</f>
        <v>0.290065795843454</v>
      </c>
      <c r="D920" s="15" t="n">
        <f aca="false">D919/D911</f>
        <v>0.325638488136828</v>
      </c>
      <c r="E920" s="15" t="n">
        <f aca="false">E919/E911</f>
        <v>0.367246964191195</v>
      </c>
      <c r="F920" s="15" t="n">
        <f aca="false">F919/F911</f>
        <v>0.348425728940754</v>
      </c>
      <c r="G920" s="15" t="n">
        <f aca="false">G919/G911</f>
        <v>0.343939043182706</v>
      </c>
    </row>
    <row r="921" customFormat="false" ht="15" hidden="false" customHeight="false" outlineLevel="0" collapsed="false">
      <c r="A921" s="3" t="s">
        <v>415</v>
      </c>
      <c r="B921" s="0" t="s">
        <v>181</v>
      </c>
      <c r="C921" s="23" t="n">
        <f aca="false">a25_opx</f>
        <v>25.056</v>
      </c>
      <c r="D921" s="23" t="n">
        <f aca="false">a26_opx</f>
        <v>27.23586</v>
      </c>
      <c r="E921" s="23" t="n">
        <f aca="false">D921*(1+MAX(g_opx_min,phi*E913))</f>
        <v>29.7637726334611</v>
      </c>
      <c r="F921" s="23" t="n">
        <f aca="false">E921*(1+MAX(g_opx_min,phi*F913))</f>
        <v>30.6566858124649</v>
      </c>
      <c r="G921" s="23" t="n">
        <f aca="false">F921*(1+MAX(g_opx_min,phi*G913))</f>
        <v>32.4718002555195</v>
      </c>
    </row>
    <row r="922" customFormat="false" ht="15" hidden="false" customHeight="false" outlineLevel="0" collapsed="false">
      <c r="A922" s="3" t="s">
        <v>418</v>
      </c>
      <c r="B922" s="0" t="s">
        <v>181</v>
      </c>
      <c r="C922" s="23" t="n">
        <f aca="false">C919-C921</f>
        <v>43.85</v>
      </c>
      <c r="D922" s="23" t="n">
        <f aca="false">D919-D921</f>
        <v>63.8562252</v>
      </c>
      <c r="E922" s="23" t="n">
        <f aca="false">E919-E921</f>
        <v>92.0377580692788</v>
      </c>
      <c r="F922" s="23" t="n">
        <f aca="false">F919-F921</f>
        <v>90.7965398599085</v>
      </c>
      <c r="G922" s="23" t="n">
        <f aca="false">G919-G921</f>
        <v>101.614225635818</v>
      </c>
    </row>
    <row r="923" customFormat="false" ht="15" hidden="false" customHeight="false" outlineLevel="0" collapsed="false">
      <c r="A923" s="3" t="s">
        <v>515</v>
      </c>
      <c r="B923" s="0" t="s">
        <v>69</v>
      </c>
      <c r="C923" s="15" t="n">
        <f aca="false">C922/C911</f>
        <v>0.184590386145408</v>
      </c>
      <c r="D923" s="15" t="n">
        <f aca="false">D922/D911</f>
        <v>0.228274987740129</v>
      </c>
      <c r="E923" s="15" t="n">
        <f aca="false">E922/E911</f>
        <v>0.277505438945571</v>
      </c>
      <c r="F923" s="15" t="n">
        <f aca="false">F922/F911</f>
        <v>0.260477648171538</v>
      </c>
      <c r="G923" s="15" t="n">
        <f aca="false">G922/G911</f>
        <v>0.260646844491143</v>
      </c>
    </row>
    <row r="924" customFormat="false" ht="15" hidden="false" customHeight="false" outlineLevel="0" collapsed="false">
      <c r="A924" s="3" t="s">
        <v>421</v>
      </c>
      <c r="B924" s="0" t="s">
        <v>181</v>
      </c>
      <c r="C924" s="23" t="n">
        <f aca="false">a25_nonop</f>
        <v>5.805</v>
      </c>
      <c r="D924" s="23" t="n">
        <f aca="false">a26_nonop</f>
        <v>38.372</v>
      </c>
      <c r="E924" s="23" t="n">
        <f aca="false">nonop_f</f>
        <v>4</v>
      </c>
      <c r="F924" s="23" t="n">
        <f aca="false">nonop_f</f>
        <v>4</v>
      </c>
      <c r="G924" s="23" t="n">
        <f aca="false">nonop_f</f>
        <v>4</v>
      </c>
    </row>
    <row r="925" customFormat="false" ht="15" hidden="false" customHeight="false" outlineLevel="0" collapsed="false">
      <c r="A925" s="3" t="s">
        <v>423</v>
      </c>
      <c r="B925" s="0" t="s">
        <v>181</v>
      </c>
      <c r="C925" s="23" t="n">
        <f aca="false">C922+C924</f>
        <v>49.655</v>
      </c>
      <c r="D925" s="23" t="n">
        <f aca="false">D922+D924</f>
        <v>102.2282252</v>
      </c>
      <c r="E925" s="23" t="n">
        <f aca="false">E922+E924</f>
        <v>96.0377580692788</v>
      </c>
      <c r="F925" s="23" t="n">
        <f aca="false">F922+F924</f>
        <v>94.7965398599085</v>
      </c>
      <c r="G925" s="23" t="n">
        <f aca="false">G922+G924</f>
        <v>105.614225635818</v>
      </c>
    </row>
    <row r="926" customFormat="false" ht="15" hidden="false" customHeight="false" outlineLevel="0" collapsed="false">
      <c r="A926" s="3" t="s">
        <v>425</v>
      </c>
      <c r="B926" s="0" t="s">
        <v>181</v>
      </c>
      <c r="C926" s="23" t="n">
        <f aca="false">a25_tax</f>
        <v>7.939</v>
      </c>
      <c r="D926" s="23" t="n">
        <f aca="false">a26_tax</f>
        <v>10.493828284</v>
      </c>
      <c r="E926" s="23" t="n">
        <f aca="false">E925*tax</f>
        <v>14.4056637103918</v>
      </c>
      <c r="F926" s="23" t="n">
        <f aca="false">F925*tax</f>
        <v>14.2194809789863</v>
      </c>
      <c r="G926" s="23" t="n">
        <f aca="false">G925*tax</f>
        <v>15.8421338453727</v>
      </c>
    </row>
    <row r="927" customFormat="false" ht="17.15" hidden="false" customHeight="false" outlineLevel="0" collapsed="false">
      <c r="A927" s="3" t="s">
        <v>549</v>
      </c>
      <c r="B927" s="0" t="s">
        <v>181</v>
      </c>
      <c r="C927" s="23" t="n">
        <f aca="false">a25_mi</f>
        <v>0</v>
      </c>
      <c r="D927" s="23" t="n">
        <f aca="false">a26_mi</f>
        <v>-0.134999999999987</v>
      </c>
      <c r="E927" s="23" t="n">
        <f aca="false">0</f>
        <v>0</v>
      </c>
      <c r="F927" s="23" t="n">
        <f aca="false">0</f>
        <v>0</v>
      </c>
      <c r="G927" s="23" t="n">
        <f aca="false">0</f>
        <v>0</v>
      </c>
      <c r="K927" s="7" t="s">
        <v>550</v>
      </c>
    </row>
    <row r="928" customFormat="false" ht="15" hidden="false" customHeight="false" outlineLevel="0" collapsed="false">
      <c r="A928" s="3" t="s">
        <v>428</v>
      </c>
      <c r="B928" s="0" t="s">
        <v>181</v>
      </c>
      <c r="C928" s="23" t="n">
        <f aca="false">C925-C926-C927</f>
        <v>41.716</v>
      </c>
      <c r="D928" s="23" t="n">
        <f aca="false">D925-D926-D927</f>
        <v>91.869396916</v>
      </c>
      <c r="E928" s="23" t="n">
        <f aca="false">E925-E926-E927</f>
        <v>81.632094358887</v>
      </c>
      <c r="F928" s="23" t="n">
        <f aca="false">F925-F926-F927</f>
        <v>80.5770588809222</v>
      </c>
      <c r="G928" s="23" t="n">
        <f aca="false">G925-G926-G927</f>
        <v>89.7720917904455</v>
      </c>
      <c r="H928" s="30" t="n">
        <f aca="false">H911*H932</f>
        <v>94.7874620444882</v>
      </c>
      <c r="I928" s="30" t="n">
        <f aca="false">I911*I932</f>
        <v>97.5718556445911</v>
      </c>
      <c r="J928" s="30" t="n">
        <f aca="false">J911*J932</f>
        <v>97.8506323750042</v>
      </c>
    </row>
    <row r="929" customFormat="false" ht="15" hidden="false" customHeight="false" outlineLevel="0" collapsed="false">
      <c r="A929" s="3" t="s">
        <v>551</v>
      </c>
      <c r="B929" s="3" t="s">
        <v>250</v>
      </c>
      <c r="C929" s="9" t="n">
        <f aca="false">a25_sh</f>
        <v>12.4898203592814</v>
      </c>
      <c r="D929" s="9" t="n">
        <f aca="false">a26_sh</f>
        <v>12.4754339027235</v>
      </c>
      <c r="E929" s="9" t="n">
        <f aca="false">q_sh*(1+sh_g)</f>
        <v>12.45</v>
      </c>
      <c r="F929" s="9" t="n">
        <f aca="false">E929*(1+sh_g)</f>
        <v>12.45</v>
      </c>
      <c r="G929" s="9" t="n">
        <f aca="false">F929*(1+sh_g)</f>
        <v>12.45</v>
      </c>
      <c r="H929" s="32" t="n">
        <f aca="false">G929*(1+sh_g)</f>
        <v>12.45</v>
      </c>
      <c r="I929" s="32" t="n">
        <f aca="false">H929*(1+sh_g)</f>
        <v>12.45</v>
      </c>
      <c r="J929" s="32" t="n">
        <f aca="false">I929*(1+sh_g)</f>
        <v>12.45</v>
      </c>
    </row>
    <row r="930" customFormat="false" ht="17.15" hidden="false" customHeight="false" outlineLevel="0" collapsed="false">
      <c r="A930" s="0" t="s">
        <v>434</v>
      </c>
      <c r="B930" s="0" t="s">
        <v>260</v>
      </c>
      <c r="C930" s="23" t="n">
        <f aca="false">C928/C929</f>
        <v>3.34</v>
      </c>
      <c r="D930" s="23" t="n">
        <f aca="false">D928/D929</f>
        <v>7.36402418002826</v>
      </c>
      <c r="E930" s="23" t="n">
        <f aca="false">E928/E929</f>
        <v>6.55679472762144</v>
      </c>
      <c r="F930" s="23" t="n">
        <f aca="false">F928/F929</f>
        <v>6.47205292216243</v>
      </c>
      <c r="G930" s="23" t="n">
        <f aca="false">G928/G929</f>
        <v>7.2106097823651</v>
      </c>
      <c r="H930" s="30" t="n">
        <f aca="false">H928/H929</f>
        <v>7.61345076662555</v>
      </c>
      <c r="I930" s="30" t="n">
        <f aca="false">I928/I929</f>
        <v>7.83709683892298</v>
      </c>
      <c r="J930" s="30" t="n">
        <f aca="false">J928/J929</f>
        <v>7.85948854417705</v>
      </c>
    </row>
    <row r="931" customFormat="false" ht="17.15" hidden="false" customHeight="false" outlineLevel="0" collapsed="false">
      <c r="A931" s="0" t="s">
        <v>552</v>
      </c>
      <c r="B931" s="0" t="s">
        <v>69</v>
      </c>
      <c r="D931" s="21" t="n">
        <f aca="false">D930/C930-1</f>
        <v>1.2047976586911</v>
      </c>
      <c r="E931" s="21" t="n">
        <f aca="false">E930/D930-1</f>
        <v>-0.109617979609041</v>
      </c>
      <c r="F931" s="21" t="n">
        <f aca="false">F930/E930-1</f>
        <v>-0.0129242730601319</v>
      </c>
      <c r="G931" s="21" t="n">
        <f aca="false">G930/F930-1</f>
        <v>0.114114774567682</v>
      </c>
      <c r="H931" s="28" t="n">
        <f aca="false">H930/G930-1</f>
        <v>0.0558678109645705</v>
      </c>
      <c r="I931" s="28" t="n">
        <f aca="false">I930/H930-1</f>
        <v>0.0293751255708914</v>
      </c>
      <c r="J931" s="28" t="n">
        <f aca="false">J930/I930-1</f>
        <v>0.00285714285714289</v>
      </c>
    </row>
    <row r="932" customFormat="false" ht="17.15" hidden="false" customHeight="false" outlineLevel="0" collapsed="false">
      <c r="A932" s="3" t="s">
        <v>553</v>
      </c>
      <c r="B932" s="0" t="s">
        <v>69</v>
      </c>
      <c r="C932" s="15" t="n">
        <f aca="false">C928/C911</f>
        <v>0.175607127672562</v>
      </c>
      <c r="D932" s="15" t="n">
        <f aca="false">D928/D911</f>
        <v>0.328417243409073</v>
      </c>
      <c r="E932" s="15" t="n">
        <f aca="false">E928/E911</f>
        <v>0.246131051563181</v>
      </c>
      <c r="F932" s="15" t="n">
        <f aca="false">F928/F911</f>
        <v>0.231159940965434</v>
      </c>
      <c r="G932" s="15" t="n">
        <f aca="false">G928/G911</f>
        <v>0.230271030479624</v>
      </c>
      <c r="H932" s="29" t="n">
        <f aca="false">$G932+($G$932*0.9-$G932)*1/3</f>
        <v>0.222595329463636</v>
      </c>
      <c r="I932" s="29" t="n">
        <f aca="false">$G932+($G$932*0.9-$G932)*2/3</f>
        <v>0.214919628447649</v>
      </c>
      <c r="J932" s="29" t="n">
        <f aca="false">$G932+($G$932*0.9-$G932)*3/3</f>
        <v>0.207243927431662</v>
      </c>
    </row>
    <row r="935" customFormat="false" ht="17.15" hidden="false" customHeight="false" outlineLevel="0" collapsed="false">
      <c r="A935" s="1" t="s">
        <v>860</v>
      </c>
    </row>
    <row r="936" customFormat="false" ht="17.15" hidden="false" customHeight="false" outlineLevel="0" collapsed="false">
      <c r="A936" s="4" t="s">
        <v>24</v>
      </c>
      <c r="B936" s="4" t="s">
        <v>25</v>
      </c>
      <c r="C936" s="16" t="s">
        <v>387</v>
      </c>
      <c r="D936" s="16" t="s">
        <v>505</v>
      </c>
      <c r="E936" s="16" t="s">
        <v>467</v>
      </c>
      <c r="F936" s="16" t="s">
        <v>468</v>
      </c>
      <c r="G936" s="16" t="s">
        <v>469</v>
      </c>
      <c r="H936" s="16" t="s">
        <v>506</v>
      </c>
      <c r="I936" s="16" t="s">
        <v>507</v>
      </c>
      <c r="J936" s="16" t="s">
        <v>508</v>
      </c>
      <c r="K936" s="4" t="s">
        <v>345</v>
      </c>
    </row>
    <row r="937" customFormat="false" ht="17.15" hidden="false" customHeight="false" outlineLevel="0" collapsed="false">
      <c r="A937" s="5" t="s">
        <v>526</v>
      </c>
    </row>
    <row r="938" customFormat="false" ht="17.15" hidden="false" customHeight="false" outlineLevel="0" collapsed="false">
      <c r="A938" s="3" t="s">
        <v>527</v>
      </c>
      <c r="B938" s="3" t="s">
        <v>64</v>
      </c>
      <c r="D938" s="22" t="n">
        <f aca="false">cap_26</f>
        <v>5230.46851955216</v>
      </c>
      <c r="E938" s="22" t="n">
        <f aca="false">D938*(1+capg27)*cap_adj</f>
        <v>5439.68726033425</v>
      </c>
      <c r="F938" s="22" t="n">
        <f aca="false">E938*(1+capg28)</f>
        <v>5820.46536855765</v>
      </c>
      <c r="G938" s="22" t="n">
        <f aca="false">F938*(1+capg29)</f>
        <v>6227.89794435668</v>
      </c>
    </row>
    <row r="939" customFormat="false" ht="15" hidden="false" customHeight="false" outlineLevel="0" collapsed="false">
      <c r="A939" s="3" t="s">
        <v>528</v>
      </c>
      <c r="B939" s="0" t="s">
        <v>69</v>
      </c>
      <c r="D939" s="21" t="n">
        <f aca="false">a26_ship/cap_26</f>
        <v>0.870578781414787</v>
      </c>
      <c r="E939" s="21" t="n">
        <f aca="false">MIN(0.98,ut27_C+ut_adj)</f>
        <v>0.82</v>
      </c>
      <c r="F939" s="21" t="n">
        <f aca="false">MIN(0.98,ut28_C+ut_adj)</f>
        <v>0.76</v>
      </c>
      <c r="G939" s="21" t="n">
        <f aca="false">MIN(0.98,ut29_C+ut_adj)</f>
        <v>0.8</v>
      </c>
    </row>
    <row r="940" customFormat="false" ht="17.15" hidden="false" customHeight="false" outlineLevel="0" collapsed="false">
      <c r="A940" s="3" t="s">
        <v>529</v>
      </c>
      <c r="B940" s="3" t="s">
        <v>64</v>
      </c>
      <c r="D940" s="22" t="n">
        <f aca="false">D938*D939</f>
        <v>4553.53490998013</v>
      </c>
      <c r="E940" s="22" t="n">
        <f aca="false">E938*E939</f>
        <v>4460.54355347409</v>
      </c>
      <c r="F940" s="22" t="n">
        <f aca="false">F938*F939</f>
        <v>4423.55368010381</v>
      </c>
      <c r="G940" s="22" t="n">
        <f aca="false">G938*G939</f>
        <v>4982.31835548535</v>
      </c>
    </row>
    <row r="941" customFormat="false" ht="17.15" hidden="false" customHeight="false" outlineLevel="0" collapsed="false">
      <c r="A941" s="3" t="s">
        <v>530</v>
      </c>
      <c r="B941" s="0" t="s">
        <v>109</v>
      </c>
      <c r="D941" s="22" t="n">
        <f aca="false">asp_26</f>
        <v>1878.17486396824</v>
      </c>
      <c r="E941" s="22" t="n">
        <f aca="false">D941*(1+asp27_C)*(1+asp_adj_hi)</f>
        <v>1934.52010988729</v>
      </c>
      <c r="F941" s="22" t="n">
        <f aca="false">E941*(1+asp28_C)</f>
        <v>1818.44890329405</v>
      </c>
      <c r="G941" s="22" t="n">
        <f aca="false">F941*(1+asp29_C)</f>
        <v>1763.89543619523</v>
      </c>
    </row>
    <row r="942" customFormat="false" ht="15" hidden="false" customHeight="false" outlineLevel="0" collapsed="false">
      <c r="A942" s="3" t="s">
        <v>531</v>
      </c>
      <c r="B942" s="0" t="s">
        <v>69</v>
      </c>
      <c r="E942" s="21" t="n">
        <f aca="false">E941/D941-1</f>
        <v>0.03</v>
      </c>
      <c r="F942" s="21" t="n">
        <f aca="false">F941/E941-1</f>
        <v>-0.0600000000000001</v>
      </c>
      <c r="G942" s="21" t="n">
        <f aca="false">G941/F941-1</f>
        <v>-0.0300000000000001</v>
      </c>
    </row>
    <row r="943" customFormat="false" ht="15" hidden="false" customHeight="false" outlineLevel="0" collapsed="false">
      <c r="A943" s="3" t="s">
        <v>532</v>
      </c>
      <c r="B943" s="0" t="s">
        <v>35</v>
      </c>
      <c r="D943" s="23" t="n">
        <f aca="false">fx_26</f>
        <v>31.6</v>
      </c>
      <c r="E943" s="23" t="n">
        <f aca="false">fx</f>
        <v>32</v>
      </c>
      <c r="F943" s="23" t="n">
        <f aca="false">fx</f>
        <v>32</v>
      </c>
      <c r="G943" s="23" t="n">
        <f aca="false">fx</f>
        <v>32</v>
      </c>
    </row>
    <row r="944" customFormat="false" ht="17.15" hidden="false" customHeight="false" outlineLevel="0" collapsed="false">
      <c r="A944" s="3" t="s">
        <v>533</v>
      </c>
      <c r="B944" s="0" t="s">
        <v>181</v>
      </c>
      <c r="D944" s="23" t="n">
        <f aca="false">D940*D941*D943/1000000</f>
        <v>270.25378</v>
      </c>
      <c r="E944" s="23" t="n">
        <f aca="false">E940*E941*E943/1000000</f>
        <v>276.12835856716</v>
      </c>
      <c r="F944" s="23" t="n">
        <f aca="false">F940*F941*F943/1000000</f>
        <v>257.408202823909</v>
      </c>
      <c r="G944" s="23" t="n">
        <f aca="false">G940*G941*G943/1000000</f>
        <v>281.225235485195</v>
      </c>
    </row>
    <row r="945" customFormat="false" ht="17.15" hidden="false" customHeight="false" outlineLevel="0" collapsed="false">
      <c r="A945" s="5" t="s">
        <v>534</v>
      </c>
    </row>
    <row r="946" customFormat="false" ht="17.15" hidden="false" customHeight="false" outlineLevel="0" collapsed="false">
      <c r="A946" s="0" t="s">
        <v>535</v>
      </c>
      <c r="B946" s="0" t="s">
        <v>138</v>
      </c>
      <c r="D946" s="25" t="n">
        <f aca="false">ai_26</f>
        <v>0.3</v>
      </c>
      <c r="E946" s="25" t="n">
        <f aca="false">D946*(1+aig27_C)*ai_adj</f>
        <v>0.36</v>
      </c>
      <c r="F946" s="25" t="n">
        <f aca="false">E946*(1+aig_L)*um28_C</f>
        <v>0.3132</v>
      </c>
      <c r="G946" s="25" t="n">
        <f aca="false">F946/um28_C*(1+aig_L)*um29_C</f>
        <v>0.45414</v>
      </c>
    </row>
    <row r="947" customFormat="false" ht="17.15" hidden="false" customHeight="false" outlineLevel="0" collapsed="false">
      <c r="A947" s="0" t="s">
        <v>536</v>
      </c>
      <c r="B947" s="0" t="s">
        <v>181</v>
      </c>
      <c r="D947" s="23" t="n">
        <f aca="false">D946*D943</f>
        <v>9.48</v>
      </c>
      <c r="E947" s="23" t="n">
        <f aca="false">E946*E943</f>
        <v>11.52</v>
      </c>
      <c r="F947" s="23" t="n">
        <f aca="false">F946*F943</f>
        <v>10.0224</v>
      </c>
      <c r="G947" s="23" t="n">
        <f aca="false">G946*G943</f>
        <v>14.53248</v>
      </c>
    </row>
    <row r="948" customFormat="false" ht="17.15" hidden="false" customHeight="false" outlineLevel="0" collapsed="false">
      <c r="A948" s="0" t="s">
        <v>537</v>
      </c>
      <c r="B948" s="0" t="s">
        <v>138</v>
      </c>
      <c r="D948" s="25" t="n">
        <f aca="false">0</f>
        <v>0</v>
      </c>
      <c r="E948" s="25" t="n">
        <f aca="false">int_27</f>
        <v>0</v>
      </c>
      <c r="F948" s="25" t="n">
        <f aca="false">int28_C</f>
        <v>0</v>
      </c>
      <c r="G948" s="25" t="n">
        <f aca="false">int29_C</f>
        <v>0.08</v>
      </c>
    </row>
    <row r="949" customFormat="false" ht="17.15" hidden="false" customHeight="false" outlineLevel="0" collapsed="false">
      <c r="A949" s="0" t="s">
        <v>538</v>
      </c>
      <c r="B949" s="0" t="s">
        <v>181</v>
      </c>
      <c r="D949" s="23" t="n">
        <f aca="false">D948*D943</f>
        <v>0</v>
      </c>
      <c r="E949" s="23" t="n">
        <f aca="false">E948*E943</f>
        <v>0</v>
      </c>
      <c r="F949" s="23" t="n">
        <f aca="false">F948*F943</f>
        <v>0</v>
      </c>
      <c r="G949" s="23" t="n">
        <f aca="false">G948*G943</f>
        <v>2.56</v>
      </c>
    </row>
    <row r="950" customFormat="false" ht="17.15" hidden="false" customHeight="false" outlineLevel="0" collapsed="false">
      <c r="A950" s="3" t="s">
        <v>393</v>
      </c>
      <c r="B950" s="0" t="s">
        <v>181</v>
      </c>
      <c r="C950" s="23" t="n">
        <f aca="false">a25_rev</f>
        <v>237.553</v>
      </c>
      <c r="D950" s="23" t="n">
        <f aca="false">D944+D947+D949</f>
        <v>279.73378</v>
      </c>
      <c r="E950" s="23" t="n">
        <f aca="false">E944+E947+E949</f>
        <v>287.64835856716</v>
      </c>
      <c r="F950" s="23" t="n">
        <f aca="false">F944+F947+F949</f>
        <v>267.430602823909</v>
      </c>
      <c r="G950" s="23" t="n">
        <f aca="false">G944+G947+G949</f>
        <v>298.317715485195</v>
      </c>
      <c r="H950" s="30" t="n">
        <f aca="false">G950*(1+H952)</f>
        <v>323.276129982715</v>
      </c>
      <c r="I950" s="30" t="n">
        <f aca="false">H950*(1+I952)</f>
        <v>340.032157301357</v>
      </c>
      <c r="J950" s="30" t="n">
        <f aca="false">I950*(1+J952)</f>
        <v>346.832800447384</v>
      </c>
      <c r="K950" s="7" t="s">
        <v>539</v>
      </c>
    </row>
    <row r="951" customFormat="false" ht="17.15" hidden="false" customHeight="false" outlineLevel="0" collapsed="false">
      <c r="A951" s="0" t="s">
        <v>540</v>
      </c>
      <c r="B951" s="0" t="s">
        <v>69</v>
      </c>
      <c r="D951" s="21" t="n">
        <f aca="false">D947/D950</f>
        <v>0.0338893643806622</v>
      </c>
      <c r="E951" s="21" t="n">
        <f aca="false">E947/E950</f>
        <v>0.0400488987922048</v>
      </c>
      <c r="F951" s="21" t="n">
        <f aca="false">F947/F950</f>
        <v>0.0374766384032694</v>
      </c>
      <c r="G951" s="21" t="n">
        <f aca="false">G947/G950</f>
        <v>0.0487147736981153</v>
      </c>
    </row>
    <row r="952" customFormat="false" ht="15" hidden="false" customHeight="false" outlineLevel="0" collapsed="false">
      <c r="A952" s="3" t="s">
        <v>541</v>
      </c>
      <c r="B952" s="0" t="s">
        <v>69</v>
      </c>
      <c r="D952" s="21" t="n">
        <f aca="false">D950/C950-1</f>
        <v>0.177563659478096</v>
      </c>
      <c r="E952" s="21" t="n">
        <f aca="false">E950/D950-1</f>
        <v>0.0282932528461866</v>
      </c>
      <c r="F952" s="21" t="n">
        <f aca="false">F950/E950-1</f>
        <v>-0.0702863588165764</v>
      </c>
      <c r="G952" s="21" t="n">
        <f aca="false">G950/F950-1</f>
        <v>0.115495804650389</v>
      </c>
      <c r="H952" s="28" t="n">
        <f aca="false">$G952+(fade_gC-$G952)*1/3</f>
        <v>0.0836638697669259</v>
      </c>
      <c r="I952" s="28" t="n">
        <f aca="false">$G952+(fade_gC-$G952)*2/3</f>
        <v>0.051831934883463</v>
      </c>
      <c r="J952" s="28" t="n">
        <f aca="false">$G952+(fade_gC-$G952)*3/3</f>
        <v>0.02</v>
      </c>
    </row>
    <row r="953" customFormat="false" ht="17.15" hidden="false" customHeight="false" outlineLevel="0" collapsed="false">
      <c r="A953" s="5" t="s">
        <v>542</v>
      </c>
    </row>
    <row r="954" customFormat="false" ht="15" hidden="false" customHeight="false" outlineLevel="0" collapsed="false">
      <c r="A954" s="3" t="s">
        <v>543</v>
      </c>
      <c r="B954" s="0" t="s">
        <v>181</v>
      </c>
      <c r="D954" s="23" t="n">
        <f aca="false">da_tot26*da_sh</f>
        <v>56.172</v>
      </c>
      <c r="E954" s="23" t="n">
        <f aca="false">D954*(1+dag_27+dag_adj)</f>
        <v>62.91264</v>
      </c>
      <c r="F954" s="23" t="n">
        <f aca="false">E954*(1+dag_28+dag_adj)</f>
        <v>69.203904</v>
      </c>
      <c r="G954" s="23" t="n">
        <f aca="false">F954*(1+dag_29+dag_adj)</f>
        <v>74.74021632</v>
      </c>
    </row>
    <row r="955" customFormat="false" ht="17.15" hidden="false" customHeight="false" outlineLevel="0" collapsed="false">
      <c r="A955" s="3" t="s">
        <v>544</v>
      </c>
      <c r="B955" s="0" t="s">
        <v>545</v>
      </c>
      <c r="D955" s="23" t="n">
        <f aca="false">(D950-a26_gp-D954-(1-m_new)*(D947+D949))/D940*1000</f>
        <v>27.9465727870208</v>
      </c>
      <c r="E955" s="23" t="n">
        <f aca="false">D955*(1+cc_g)</f>
        <v>28.5055042427612</v>
      </c>
      <c r="F955" s="23" t="n">
        <f aca="false">E955*(1+cc_g)</f>
        <v>29.0756143276165</v>
      </c>
      <c r="G955" s="23" t="n">
        <f aca="false">F955*(1+cc_g)</f>
        <v>29.6571266141688</v>
      </c>
      <c r="K955" s="7" t="s">
        <v>546</v>
      </c>
    </row>
    <row r="956" customFormat="false" ht="17.15" hidden="false" customHeight="false" outlineLevel="0" collapsed="false">
      <c r="A956" s="3" t="s">
        <v>547</v>
      </c>
      <c r="B956" s="0" t="s">
        <v>181</v>
      </c>
      <c r="D956" s="23" t="n">
        <f aca="false">D955*D940/1000</f>
        <v>127.2556948</v>
      </c>
      <c r="E956" s="23" t="n">
        <f aca="false">E955*E940/1000</f>
        <v>127.150043188577</v>
      </c>
      <c r="F956" s="23" t="n">
        <f aca="false">F955*F940/1000</f>
        <v>128.617540760207</v>
      </c>
      <c r="G956" s="23" t="n">
        <f aca="false">G955*G940/1000</f>
        <v>147.761246300726</v>
      </c>
    </row>
    <row r="957" customFormat="false" ht="17.15" hidden="false" customHeight="false" outlineLevel="0" collapsed="false">
      <c r="A957" s="3" t="s">
        <v>548</v>
      </c>
      <c r="B957" s="0" t="s">
        <v>181</v>
      </c>
      <c r="D957" s="23" t="n">
        <f aca="false">m_new*(D947+D949)</f>
        <v>4.266</v>
      </c>
      <c r="E957" s="23" t="n">
        <f aca="false">m_new*(E947+E949)</f>
        <v>5.184</v>
      </c>
      <c r="F957" s="23" t="n">
        <f aca="false">m_new*(F947+F949)</f>
        <v>4.51008</v>
      </c>
      <c r="G957" s="23" t="n">
        <f aca="false">m_new*(G947+G949)</f>
        <v>7.691616</v>
      </c>
    </row>
    <row r="958" customFormat="false" ht="15" hidden="false" customHeight="false" outlineLevel="0" collapsed="false">
      <c r="A958" s="3" t="s">
        <v>411</v>
      </c>
      <c r="B958" s="0" t="s">
        <v>181</v>
      </c>
      <c r="C958" s="23" t="n">
        <f aca="false">a25_gp</f>
        <v>68.906</v>
      </c>
      <c r="D958" s="23" t="n">
        <f aca="false">D944-D954-D956+D957</f>
        <v>91.0920852</v>
      </c>
      <c r="E958" s="23" t="n">
        <f aca="false">E944-E954-E956+E957</f>
        <v>91.2496753785827</v>
      </c>
      <c r="F958" s="23" t="n">
        <f aca="false">F944-F954-F956+F957</f>
        <v>64.096838063702</v>
      </c>
      <c r="G958" s="23" t="n">
        <f aca="false">G944-G954-G956+G957</f>
        <v>66.4153888644686</v>
      </c>
    </row>
    <row r="959" customFormat="false" ht="15" hidden="false" customHeight="false" outlineLevel="0" collapsed="false">
      <c r="A959" s="3" t="s">
        <v>413</v>
      </c>
      <c r="B959" s="0" t="s">
        <v>69</v>
      </c>
      <c r="C959" s="15" t="n">
        <f aca="false">C958/C950</f>
        <v>0.290065795843454</v>
      </c>
      <c r="D959" s="15" t="n">
        <f aca="false">D958/D950</f>
        <v>0.325638488136828</v>
      </c>
      <c r="E959" s="15" t="n">
        <f aca="false">E958/E950</f>
        <v>0.317226476914792</v>
      </c>
      <c r="F959" s="15" t="n">
        <f aca="false">F958/F950</f>
        <v>0.239676526870438</v>
      </c>
      <c r="G959" s="15" t="n">
        <f aca="false">G958/G950</f>
        <v>0.222633070102619</v>
      </c>
    </row>
    <row r="960" customFormat="false" ht="15" hidden="false" customHeight="false" outlineLevel="0" collapsed="false">
      <c r="A960" s="3" t="s">
        <v>415</v>
      </c>
      <c r="B960" s="0" t="s">
        <v>181</v>
      </c>
      <c r="C960" s="23" t="n">
        <f aca="false">a25_opx</f>
        <v>25.056</v>
      </c>
      <c r="D960" s="23" t="n">
        <f aca="false">a26_opx</f>
        <v>27.23586</v>
      </c>
      <c r="E960" s="23" t="n">
        <f aca="false">D960*(1+MAX(g_opx_min,phi*E952))</f>
        <v>28.0529358</v>
      </c>
      <c r="F960" s="23" t="n">
        <f aca="false">E960*(1+MAX(g_opx_min,phi*F952))</f>
        <v>28.894523874</v>
      </c>
      <c r="G960" s="23" t="n">
        <f aca="false">F960*(1+MAX(g_opx_min,phi*G952))</f>
        <v>30.5631220164088</v>
      </c>
    </row>
    <row r="961" customFormat="false" ht="15" hidden="false" customHeight="false" outlineLevel="0" collapsed="false">
      <c r="A961" s="3" t="s">
        <v>418</v>
      </c>
      <c r="B961" s="0" t="s">
        <v>181</v>
      </c>
      <c r="C961" s="23" t="n">
        <f aca="false">C958-C960</f>
        <v>43.85</v>
      </c>
      <c r="D961" s="23" t="n">
        <f aca="false">D958-D960</f>
        <v>63.8562252</v>
      </c>
      <c r="E961" s="23" t="n">
        <f aca="false">E958-E960</f>
        <v>63.1967395785827</v>
      </c>
      <c r="F961" s="23" t="n">
        <f aca="false">F958-F960</f>
        <v>35.2023141897019</v>
      </c>
      <c r="G961" s="23" t="n">
        <f aca="false">G958-G960</f>
        <v>35.8522668480599</v>
      </c>
    </row>
    <row r="962" customFormat="false" ht="15" hidden="false" customHeight="false" outlineLevel="0" collapsed="false">
      <c r="A962" s="3" t="s">
        <v>515</v>
      </c>
      <c r="B962" s="0" t="s">
        <v>69</v>
      </c>
      <c r="C962" s="15" t="n">
        <f aca="false">C961/C950</f>
        <v>0.184590386145408</v>
      </c>
      <c r="D962" s="15" t="n">
        <f aca="false">D961/D950</f>
        <v>0.228274987740129</v>
      </c>
      <c r="E962" s="15" t="n">
        <f aca="false">E961/E950</f>
        <v>0.219701373904512</v>
      </c>
      <c r="F962" s="15" t="n">
        <f aca="false">F961/F950</f>
        <v>0.131631585233651</v>
      </c>
      <c r="G962" s="15" t="n">
        <f aca="false">G961/G950</f>
        <v>0.120181487679163</v>
      </c>
    </row>
    <row r="963" customFormat="false" ht="15" hidden="false" customHeight="false" outlineLevel="0" collapsed="false">
      <c r="A963" s="3" t="s">
        <v>421</v>
      </c>
      <c r="B963" s="0" t="s">
        <v>181</v>
      </c>
      <c r="C963" s="23" t="n">
        <f aca="false">a25_nonop</f>
        <v>5.805</v>
      </c>
      <c r="D963" s="23" t="n">
        <f aca="false">a26_nonop</f>
        <v>38.372</v>
      </c>
      <c r="E963" s="23" t="n">
        <f aca="false">nonop_f</f>
        <v>4</v>
      </c>
      <c r="F963" s="23" t="n">
        <f aca="false">nonop_f</f>
        <v>4</v>
      </c>
      <c r="G963" s="23" t="n">
        <f aca="false">nonop_f</f>
        <v>4</v>
      </c>
    </row>
    <row r="964" customFormat="false" ht="15" hidden="false" customHeight="false" outlineLevel="0" collapsed="false">
      <c r="A964" s="3" t="s">
        <v>423</v>
      </c>
      <c r="B964" s="0" t="s">
        <v>181</v>
      </c>
      <c r="C964" s="23" t="n">
        <f aca="false">C961+C963</f>
        <v>49.655</v>
      </c>
      <c r="D964" s="23" t="n">
        <f aca="false">D961+D963</f>
        <v>102.2282252</v>
      </c>
      <c r="E964" s="23" t="n">
        <f aca="false">E961+E963</f>
        <v>67.1967395785827</v>
      </c>
      <c r="F964" s="23" t="n">
        <f aca="false">F961+F963</f>
        <v>39.2023141897019</v>
      </c>
      <c r="G964" s="23" t="n">
        <f aca="false">G961+G963</f>
        <v>39.8522668480599</v>
      </c>
    </row>
    <row r="965" customFormat="false" ht="15" hidden="false" customHeight="false" outlineLevel="0" collapsed="false">
      <c r="A965" s="3" t="s">
        <v>425</v>
      </c>
      <c r="B965" s="0" t="s">
        <v>181</v>
      </c>
      <c r="C965" s="23" t="n">
        <f aca="false">a25_tax</f>
        <v>7.939</v>
      </c>
      <c r="D965" s="23" t="n">
        <f aca="false">a26_tax</f>
        <v>10.493828284</v>
      </c>
      <c r="E965" s="23" t="n">
        <f aca="false">E964*tax</f>
        <v>10.0795109367874</v>
      </c>
      <c r="F965" s="23" t="n">
        <f aca="false">F964*tax</f>
        <v>5.88034712845529</v>
      </c>
      <c r="G965" s="23" t="n">
        <f aca="false">G964*tax</f>
        <v>5.97784002720898</v>
      </c>
    </row>
    <row r="966" customFormat="false" ht="17.15" hidden="false" customHeight="false" outlineLevel="0" collapsed="false">
      <c r="A966" s="3" t="s">
        <v>549</v>
      </c>
      <c r="B966" s="0" t="s">
        <v>181</v>
      </c>
      <c r="C966" s="23" t="n">
        <f aca="false">a25_mi</f>
        <v>0</v>
      </c>
      <c r="D966" s="23" t="n">
        <f aca="false">a26_mi</f>
        <v>-0.134999999999987</v>
      </c>
      <c r="E966" s="23" t="n">
        <f aca="false">0</f>
        <v>0</v>
      </c>
      <c r="F966" s="23" t="n">
        <f aca="false">0</f>
        <v>0</v>
      </c>
      <c r="G966" s="23" t="n">
        <f aca="false">0</f>
        <v>0</v>
      </c>
      <c r="K966" s="7" t="s">
        <v>550</v>
      </c>
    </row>
    <row r="967" customFormat="false" ht="15" hidden="false" customHeight="false" outlineLevel="0" collapsed="false">
      <c r="A967" s="3" t="s">
        <v>428</v>
      </c>
      <c r="B967" s="0" t="s">
        <v>181</v>
      </c>
      <c r="C967" s="23" t="n">
        <f aca="false">C964-C965-C966</f>
        <v>41.716</v>
      </c>
      <c r="D967" s="23" t="n">
        <f aca="false">D964-D965-D966</f>
        <v>91.869396916</v>
      </c>
      <c r="E967" s="23" t="n">
        <f aca="false">E964-E965-E966</f>
        <v>57.1172286417953</v>
      </c>
      <c r="F967" s="23" t="n">
        <f aca="false">F964-F965-F966</f>
        <v>33.3219670612466</v>
      </c>
      <c r="G967" s="23" t="n">
        <f aca="false">G964-G965-G966</f>
        <v>33.8744268208509</v>
      </c>
      <c r="H967" s="30" t="n">
        <f aca="false">H950*H971</f>
        <v>34.2612596244985</v>
      </c>
      <c r="I967" s="30" t="n">
        <f aca="false">I950*I971</f>
        <v>33.4630093593537</v>
      </c>
      <c r="J967" s="30" t="n">
        <f aca="false">J950*J971</f>
        <v>31.506710350653</v>
      </c>
    </row>
    <row r="968" customFormat="false" ht="15" hidden="false" customHeight="false" outlineLevel="0" collapsed="false">
      <c r="A968" s="3" t="s">
        <v>551</v>
      </c>
      <c r="B968" s="3" t="s">
        <v>250</v>
      </c>
      <c r="C968" s="9" t="n">
        <f aca="false">a25_sh</f>
        <v>12.4898203592814</v>
      </c>
      <c r="D968" s="9" t="n">
        <f aca="false">a26_sh</f>
        <v>12.4754339027235</v>
      </c>
      <c r="E968" s="9" t="n">
        <f aca="false">q_sh*(1+sh_g)</f>
        <v>12.45</v>
      </c>
      <c r="F968" s="9" t="n">
        <f aca="false">E968*(1+sh_g)</f>
        <v>12.45</v>
      </c>
      <c r="G968" s="9" t="n">
        <f aca="false">F968*(1+sh_g)</f>
        <v>12.45</v>
      </c>
      <c r="H968" s="32" t="n">
        <f aca="false">G968*(1+sh_g)</f>
        <v>12.45</v>
      </c>
      <c r="I968" s="32" t="n">
        <f aca="false">H968*(1+sh_g)</f>
        <v>12.45</v>
      </c>
      <c r="J968" s="32" t="n">
        <f aca="false">I968*(1+sh_g)</f>
        <v>12.45</v>
      </c>
    </row>
    <row r="969" customFormat="false" ht="17.15" hidden="false" customHeight="false" outlineLevel="0" collapsed="false">
      <c r="A969" s="0" t="s">
        <v>434</v>
      </c>
      <c r="B969" s="0" t="s">
        <v>260</v>
      </c>
      <c r="C969" s="23" t="n">
        <f aca="false">C967/C968</f>
        <v>3.34</v>
      </c>
      <c r="D969" s="23" t="n">
        <f aca="false">D967/D968</f>
        <v>7.36402418002826</v>
      </c>
      <c r="E969" s="23" t="n">
        <f aca="false">E967/E968</f>
        <v>4.58772920817633</v>
      </c>
      <c r="F969" s="23" t="n">
        <f aca="false">F967/F968</f>
        <v>2.67646321777081</v>
      </c>
      <c r="G969" s="23" t="n">
        <f aca="false">G967/G968</f>
        <v>2.72083749565067</v>
      </c>
      <c r="H969" s="30" t="n">
        <f aca="false">H967/H968</f>
        <v>2.75190840357418</v>
      </c>
      <c r="I969" s="30" t="n">
        <f aca="false">I967/I968</f>
        <v>2.68779191641395</v>
      </c>
      <c r="J969" s="30" t="n">
        <f aca="false">J967/J968</f>
        <v>2.53065946591591</v>
      </c>
    </row>
    <row r="970" customFormat="false" ht="17.15" hidden="false" customHeight="false" outlineLevel="0" collapsed="false">
      <c r="A970" s="0" t="s">
        <v>552</v>
      </c>
      <c r="B970" s="0" t="s">
        <v>69</v>
      </c>
      <c r="D970" s="21" t="n">
        <f aca="false">D969/C969-1</f>
        <v>1.2047976586911</v>
      </c>
      <c r="E970" s="21" t="n">
        <f aca="false">E969/D969-1</f>
        <v>-0.377007856571334</v>
      </c>
      <c r="F970" s="21" t="n">
        <f aca="false">F969/E969-1</f>
        <v>-0.416603924006505</v>
      </c>
      <c r="G970" s="21" t="n">
        <f aca="false">G969/F969-1</f>
        <v>0.016579446183018</v>
      </c>
      <c r="H970" s="28" t="n">
        <f aca="false">H969/G969-1</f>
        <v>0.0114196117824641</v>
      </c>
      <c r="I970" s="28" t="n">
        <f aca="false">I969/H969-1</f>
        <v>-0.0232989176082128</v>
      </c>
      <c r="J970" s="28" t="n">
        <f aca="false">J969/I969-1</f>
        <v>-0.0584615384615383</v>
      </c>
    </row>
    <row r="971" customFormat="false" ht="17.15" hidden="false" customHeight="false" outlineLevel="0" collapsed="false">
      <c r="A971" s="3" t="s">
        <v>553</v>
      </c>
      <c r="B971" s="0" t="s">
        <v>69</v>
      </c>
      <c r="C971" s="15" t="n">
        <f aca="false">C967/C950</f>
        <v>0.175607127672562</v>
      </c>
      <c r="D971" s="15" t="n">
        <f aca="false">D967/D950</f>
        <v>0.328417243409073</v>
      </c>
      <c r="E971" s="15" t="n">
        <f aca="false">E967/E950</f>
        <v>0.19856615530959</v>
      </c>
      <c r="F971" s="15" t="n">
        <f aca="false">F967/F950</f>
        <v>0.124600426089559</v>
      </c>
      <c r="G971" s="15" t="n">
        <f aca="false">G967/G950</f>
        <v>0.11355150922149</v>
      </c>
      <c r="H971" s="29" t="n">
        <f aca="false">$G971+($G$971*0.8-$G971)*1/3</f>
        <v>0.105981408606724</v>
      </c>
      <c r="I971" s="29" t="n">
        <f aca="false">$G971+($G$971*0.8-$G971)*2/3</f>
        <v>0.0984113079919578</v>
      </c>
      <c r="J971" s="29" t="n">
        <f aca="false">$G971+($G$971*0.8-$G971)*3/3</f>
        <v>0.0908412073771919</v>
      </c>
    </row>
    <row r="974" customFormat="false" ht="17.15" hidden="false" customHeight="false" outlineLevel="0" collapsed="false">
      <c r="A974" s="1" t="s">
        <v>861</v>
      </c>
    </row>
    <row r="975" customFormat="false" ht="17.15" hidden="false" customHeight="false" outlineLevel="0" collapsed="false">
      <c r="A975" s="4" t="s">
        <v>24</v>
      </c>
      <c r="B975" s="4" t="s">
        <v>25</v>
      </c>
      <c r="C975" s="16" t="s">
        <v>387</v>
      </c>
      <c r="D975" s="16" t="s">
        <v>505</v>
      </c>
      <c r="E975" s="16" t="s">
        <v>467</v>
      </c>
      <c r="F975" s="16" t="s">
        <v>468</v>
      </c>
      <c r="G975" s="16" t="s">
        <v>469</v>
      </c>
      <c r="H975" s="16" t="s">
        <v>506</v>
      </c>
      <c r="I975" s="16" t="s">
        <v>507</v>
      </c>
      <c r="J975" s="16" t="s">
        <v>508</v>
      </c>
      <c r="K975" s="4" t="s">
        <v>345</v>
      </c>
    </row>
    <row r="976" customFormat="false" ht="17.15" hidden="false" customHeight="false" outlineLevel="0" collapsed="false">
      <c r="A976" s="5" t="s">
        <v>526</v>
      </c>
    </row>
    <row r="977" customFormat="false" ht="17.15" hidden="false" customHeight="false" outlineLevel="0" collapsed="false">
      <c r="A977" s="3" t="s">
        <v>527</v>
      </c>
      <c r="B977" s="3" t="s">
        <v>64</v>
      </c>
      <c r="D977" s="22" t="n">
        <f aca="false">cap_26</f>
        <v>5230.46851955216</v>
      </c>
      <c r="E977" s="22" t="n">
        <f aca="false">D977*(1+capg27)*cap_adj</f>
        <v>5439.68726033425</v>
      </c>
      <c r="F977" s="22" t="n">
        <f aca="false">E977*(1+capg28)</f>
        <v>5820.46536855765</v>
      </c>
      <c r="G977" s="22" t="n">
        <f aca="false">F977*(1+capg29)</f>
        <v>6227.89794435668</v>
      </c>
    </row>
    <row r="978" customFormat="false" ht="15" hidden="false" customHeight="false" outlineLevel="0" collapsed="false">
      <c r="A978" s="3" t="s">
        <v>528</v>
      </c>
      <c r="B978" s="0" t="s">
        <v>69</v>
      </c>
      <c r="D978" s="21" t="n">
        <f aca="false">a26_ship/cap_26</f>
        <v>0.870578781414787</v>
      </c>
      <c r="E978" s="21" t="n">
        <f aca="false">MIN(0.98,ut27_A+ut_adj)</f>
        <v>0.95</v>
      </c>
      <c r="F978" s="21" t="n">
        <f aca="false">MIN(0.98,ut28_A+ut_adj)</f>
        <v>0.94</v>
      </c>
      <c r="G978" s="21" t="n">
        <f aca="false">MIN(0.98,ut29_A+ut_adj)</f>
        <v>0.93</v>
      </c>
    </row>
    <row r="979" customFormat="false" ht="17.15" hidden="false" customHeight="false" outlineLevel="0" collapsed="false">
      <c r="A979" s="3" t="s">
        <v>529</v>
      </c>
      <c r="B979" s="3" t="s">
        <v>64</v>
      </c>
      <c r="D979" s="22" t="n">
        <f aca="false">D977*D978</f>
        <v>4553.53490998013</v>
      </c>
      <c r="E979" s="22" t="n">
        <f aca="false">E977*E978</f>
        <v>5167.70289731754</v>
      </c>
      <c r="F979" s="22" t="n">
        <f aca="false">F977*F978</f>
        <v>5471.23744644419</v>
      </c>
      <c r="G979" s="22" t="n">
        <f aca="false">G977*G978</f>
        <v>5791.94508825172</v>
      </c>
    </row>
    <row r="980" customFormat="false" ht="17.15" hidden="false" customHeight="false" outlineLevel="0" collapsed="false">
      <c r="A980" s="3" t="s">
        <v>530</v>
      </c>
      <c r="B980" s="0" t="s">
        <v>109</v>
      </c>
      <c r="D980" s="22" t="n">
        <f aca="false">asp_26</f>
        <v>1878.17486396824</v>
      </c>
      <c r="E980" s="22" t="n">
        <f aca="false">D980*(1+asp27_A)*(1+asp_adj)</f>
        <v>2065.99235036507</v>
      </c>
      <c r="F980" s="22" t="n">
        <f aca="false">E980*(1+asp28_A)</f>
        <v>2127.97212087602</v>
      </c>
      <c r="G980" s="22" t="n">
        <f aca="false">F980*(1+asp29_A)</f>
        <v>2170.53156329354</v>
      </c>
    </row>
    <row r="981" customFormat="false" ht="15" hidden="false" customHeight="false" outlineLevel="0" collapsed="false">
      <c r="A981" s="3" t="s">
        <v>531</v>
      </c>
      <c r="B981" s="0" t="s">
        <v>69</v>
      </c>
      <c r="E981" s="21" t="n">
        <f aca="false">E980/D980-1</f>
        <v>0.1</v>
      </c>
      <c r="F981" s="21" t="n">
        <f aca="false">F980/E980-1</f>
        <v>0.03</v>
      </c>
      <c r="G981" s="21" t="n">
        <f aca="false">G980/F980-1</f>
        <v>0.02</v>
      </c>
    </row>
    <row r="982" customFormat="false" ht="15" hidden="false" customHeight="false" outlineLevel="0" collapsed="false">
      <c r="A982" s="3" t="s">
        <v>532</v>
      </c>
      <c r="B982" s="0" t="s">
        <v>35</v>
      </c>
      <c r="D982" s="23" t="n">
        <f aca="false">fx_26</f>
        <v>31.6</v>
      </c>
      <c r="E982" s="23" t="n">
        <f aca="false">fx</f>
        <v>32</v>
      </c>
      <c r="F982" s="23" t="n">
        <f aca="false">fx</f>
        <v>32</v>
      </c>
      <c r="G982" s="23" t="n">
        <f aca="false">fx</f>
        <v>32</v>
      </c>
    </row>
    <row r="983" customFormat="false" ht="17.15" hidden="false" customHeight="false" outlineLevel="0" collapsed="false">
      <c r="A983" s="3" t="s">
        <v>533</v>
      </c>
      <c r="B983" s="0" t="s">
        <v>181</v>
      </c>
      <c r="D983" s="23" t="n">
        <f aca="false">D979*D980*D982/1000000</f>
        <v>270.25378</v>
      </c>
      <c r="E983" s="23" t="n">
        <f aca="false">E979*E980*E982/1000000</f>
        <v>341.645908954158</v>
      </c>
      <c r="F983" s="23" t="n">
        <f aca="false">F979*F980*F982/1000000</f>
        <v>372.564504087237</v>
      </c>
      <c r="G983" s="23" t="n">
        <f aca="false">G979*G980*G982/1000000</f>
        <v>402.291188061227</v>
      </c>
    </row>
    <row r="984" customFormat="false" ht="17.15" hidden="false" customHeight="false" outlineLevel="0" collapsed="false">
      <c r="A984" s="5" t="s">
        <v>534</v>
      </c>
    </row>
    <row r="985" customFormat="false" ht="17.15" hidden="false" customHeight="false" outlineLevel="0" collapsed="false">
      <c r="A985" s="0" t="s">
        <v>535</v>
      </c>
      <c r="B985" s="0" t="s">
        <v>138</v>
      </c>
      <c r="D985" s="25" t="n">
        <f aca="false">ai_26</f>
        <v>0.3</v>
      </c>
      <c r="E985" s="25" t="n">
        <f aca="false">D985*(1+aig27_A)*ai_adj</f>
        <v>0.48</v>
      </c>
      <c r="F985" s="25" t="n">
        <f aca="false">E985*(1+aig_L)*um28_A</f>
        <v>0.696</v>
      </c>
      <c r="G985" s="25" t="n">
        <f aca="false">F985/um28_A*(1+aig_L)*um29_A</f>
        <v>1.0092</v>
      </c>
    </row>
    <row r="986" customFormat="false" ht="17.15" hidden="false" customHeight="false" outlineLevel="0" collapsed="false">
      <c r="A986" s="0" t="s">
        <v>536</v>
      </c>
      <c r="B986" s="0" t="s">
        <v>181</v>
      </c>
      <c r="D986" s="23" t="n">
        <f aca="false">D985*D982</f>
        <v>9.48</v>
      </c>
      <c r="E986" s="23" t="n">
        <f aca="false">E985*E982</f>
        <v>15.36</v>
      </c>
      <c r="F986" s="23" t="n">
        <f aca="false">F985*F982</f>
        <v>22.272</v>
      </c>
      <c r="G986" s="23" t="n">
        <f aca="false">G985*G982</f>
        <v>32.2944</v>
      </c>
    </row>
    <row r="987" customFormat="false" ht="17.15" hidden="false" customHeight="false" outlineLevel="0" collapsed="false">
      <c r="A987" s="0" t="s">
        <v>537</v>
      </c>
      <c r="B987" s="0" t="s">
        <v>138</v>
      </c>
      <c r="D987" s="25" t="n">
        <f aca="false">0</f>
        <v>0</v>
      </c>
      <c r="E987" s="25" t="n">
        <f aca="false">int_27</f>
        <v>0</v>
      </c>
      <c r="F987" s="25" t="n">
        <f aca="false">int28_A</f>
        <v>0.25</v>
      </c>
      <c r="G987" s="25" t="n">
        <f aca="false">int29_A</f>
        <v>0.5</v>
      </c>
    </row>
    <row r="988" customFormat="false" ht="17.15" hidden="false" customHeight="false" outlineLevel="0" collapsed="false">
      <c r="A988" s="0" t="s">
        <v>538</v>
      </c>
      <c r="B988" s="0" t="s">
        <v>181</v>
      </c>
      <c r="D988" s="23" t="n">
        <f aca="false">D987*D982</f>
        <v>0</v>
      </c>
      <c r="E988" s="23" t="n">
        <f aca="false">E987*E982</f>
        <v>0</v>
      </c>
      <c r="F988" s="23" t="n">
        <f aca="false">F987*F982</f>
        <v>8</v>
      </c>
      <c r="G988" s="23" t="n">
        <f aca="false">G987*G982</f>
        <v>16</v>
      </c>
    </row>
    <row r="989" customFormat="false" ht="17.15" hidden="false" customHeight="false" outlineLevel="0" collapsed="false">
      <c r="A989" s="3" t="s">
        <v>393</v>
      </c>
      <c r="B989" s="0" t="s">
        <v>181</v>
      </c>
      <c r="C989" s="23" t="n">
        <f aca="false">a25_rev</f>
        <v>237.553</v>
      </c>
      <c r="D989" s="23" t="n">
        <f aca="false">D983+D986+D988</f>
        <v>279.73378</v>
      </c>
      <c r="E989" s="23" t="n">
        <f aca="false">E983+E986+E988</f>
        <v>357.005908954158</v>
      </c>
      <c r="F989" s="23" t="n">
        <f aca="false">F983+F986+F988</f>
        <v>402.836504087237</v>
      </c>
      <c r="G989" s="23" t="n">
        <f aca="false">G983+G986+G988</f>
        <v>450.585588061227</v>
      </c>
      <c r="H989" s="30" t="n">
        <f aca="false">G989*(1+H991)</f>
        <v>495.203224084546</v>
      </c>
      <c r="I989" s="30" t="n">
        <f aca="false">H989*(1+I991)</f>
        <v>534.577190214366</v>
      </c>
      <c r="J989" s="30" t="n">
        <f aca="false">I989*(1+J991)</f>
        <v>566.651821627228</v>
      </c>
      <c r="K989" s="7" t="s">
        <v>539</v>
      </c>
    </row>
    <row r="990" customFormat="false" ht="17.15" hidden="false" customHeight="false" outlineLevel="0" collapsed="false">
      <c r="A990" s="0" t="s">
        <v>540</v>
      </c>
      <c r="B990" s="0" t="s">
        <v>69</v>
      </c>
      <c r="D990" s="21" t="n">
        <f aca="false">D986/D989</f>
        <v>0.0338893643806622</v>
      </c>
      <c r="E990" s="21" t="n">
        <f aca="false">E986/E989</f>
        <v>0.0430244979557813</v>
      </c>
      <c r="F990" s="21" t="n">
        <f aca="false">F986/F989</f>
        <v>0.0552879388387723</v>
      </c>
      <c r="G990" s="21" t="n">
        <f aca="false">G986/G989</f>
        <v>0.0716720659862999</v>
      </c>
    </row>
    <row r="991" customFormat="false" ht="15" hidden="false" customHeight="false" outlineLevel="0" collapsed="false">
      <c r="A991" s="3" t="s">
        <v>541</v>
      </c>
      <c r="B991" s="0" t="s">
        <v>69</v>
      </c>
      <c r="D991" s="21" t="n">
        <f aca="false">D989/C989-1</f>
        <v>0.177563659478096</v>
      </c>
      <c r="E991" s="21" t="n">
        <f aca="false">E989/D989-1</f>
        <v>0.276234528965926</v>
      </c>
      <c r="F991" s="21" t="n">
        <f aca="false">F989/E989-1</f>
        <v>0.128374892357772</v>
      </c>
      <c r="G991" s="21" t="n">
        <f aca="false">G989/F989-1</f>
        <v>0.118532167491082</v>
      </c>
      <c r="H991" s="28" t="n">
        <f aca="false">$G991+(fade_gA-$G991)*1/3</f>
        <v>0.099021444994055</v>
      </c>
      <c r="I991" s="28" t="n">
        <f aca="false">$G991+(fade_gA-$G991)*2/3</f>
        <v>0.0795107224970275</v>
      </c>
      <c r="J991" s="28" t="n">
        <f aca="false">$G991+(fade_gA-$G991)*3/3</f>
        <v>0.06</v>
      </c>
    </row>
    <row r="992" customFormat="false" ht="17.15" hidden="false" customHeight="false" outlineLevel="0" collapsed="false">
      <c r="A992" s="5" t="s">
        <v>542</v>
      </c>
    </row>
    <row r="993" customFormat="false" ht="15" hidden="false" customHeight="false" outlineLevel="0" collapsed="false">
      <c r="A993" s="3" t="s">
        <v>543</v>
      </c>
      <c r="B993" s="0" t="s">
        <v>181</v>
      </c>
      <c r="D993" s="23" t="n">
        <f aca="false">da_tot26*da_sh</f>
        <v>56.172</v>
      </c>
      <c r="E993" s="23" t="n">
        <f aca="false">D993*(1+dag_27+dag_adj_lo)</f>
        <v>60.10404</v>
      </c>
      <c r="F993" s="23" t="n">
        <f aca="false">E993*(1+dag_28+dag_adj_lo)</f>
        <v>63.109242</v>
      </c>
      <c r="G993" s="23" t="n">
        <f aca="false">F993*(1+dag_29+dag_adj_lo)</f>
        <v>65.00251926</v>
      </c>
    </row>
    <row r="994" customFormat="false" ht="17.15" hidden="false" customHeight="false" outlineLevel="0" collapsed="false">
      <c r="A994" s="3" t="s">
        <v>544</v>
      </c>
      <c r="B994" s="0" t="s">
        <v>545</v>
      </c>
      <c r="D994" s="23" t="n">
        <f aca="false">(D989-a26_gp-D993-(1-m_new)*(D986+D988))/D979*1000</f>
        <v>27.9465727870208</v>
      </c>
      <c r="E994" s="23" t="n">
        <f aca="false">D994*(1+cc_g)</f>
        <v>28.5055042427612</v>
      </c>
      <c r="F994" s="23" t="n">
        <f aca="false">E994*(1+cc_g)</f>
        <v>29.0756143276165</v>
      </c>
      <c r="G994" s="23" t="n">
        <f aca="false">F994*(1+cc_g)</f>
        <v>29.6571266141688</v>
      </c>
      <c r="K994" s="7" t="s">
        <v>546</v>
      </c>
    </row>
    <row r="995" customFormat="false" ht="17.15" hidden="false" customHeight="false" outlineLevel="0" collapsed="false">
      <c r="A995" s="3" t="s">
        <v>547</v>
      </c>
      <c r="B995" s="0" t="s">
        <v>181</v>
      </c>
      <c r="D995" s="23" t="n">
        <f aca="false">D994*D979/1000</f>
        <v>127.2556948</v>
      </c>
      <c r="E995" s="23" t="n">
        <f aca="false">E994*E979/1000</f>
        <v>147.307976864815</v>
      </c>
      <c r="F995" s="23" t="n">
        <f aca="false">F994*F979/1000</f>
        <v>159.079589887624</v>
      </c>
      <c r="G995" s="23" t="n">
        <f aca="false">G994*G979/1000</f>
        <v>171.772448824594</v>
      </c>
    </row>
    <row r="996" customFormat="false" ht="17.15" hidden="false" customHeight="false" outlineLevel="0" collapsed="false">
      <c r="A996" s="3" t="s">
        <v>548</v>
      </c>
      <c r="B996" s="0" t="s">
        <v>181</v>
      </c>
      <c r="D996" s="23" t="n">
        <f aca="false">m_new*(D986+D988)</f>
        <v>4.266</v>
      </c>
      <c r="E996" s="23" t="n">
        <f aca="false">m_new*(E986+E988)</f>
        <v>6.912</v>
      </c>
      <c r="F996" s="23" t="n">
        <f aca="false">m_new*(F986+F988)</f>
        <v>13.6224</v>
      </c>
      <c r="G996" s="23" t="n">
        <f aca="false">m_new*(G986+G988)</f>
        <v>21.73248</v>
      </c>
    </row>
    <row r="997" customFormat="false" ht="15" hidden="false" customHeight="false" outlineLevel="0" collapsed="false">
      <c r="A997" s="3" t="s">
        <v>411</v>
      </c>
      <c r="B997" s="0" t="s">
        <v>181</v>
      </c>
      <c r="C997" s="23" t="n">
        <f aca="false">a25_gp</f>
        <v>68.906</v>
      </c>
      <c r="D997" s="23" t="n">
        <f aca="false">D983-D993-D995+D996</f>
        <v>91.0920852</v>
      </c>
      <c r="E997" s="23" t="n">
        <f aca="false">E983-E993-E995+E996</f>
        <v>141.145892089343</v>
      </c>
      <c r="F997" s="23" t="n">
        <f aca="false">F983-F993-F995+F996</f>
        <v>163.998072199612</v>
      </c>
      <c r="G997" s="23" t="n">
        <f aca="false">G983-G993-G995+G996</f>
        <v>187.248699976633</v>
      </c>
    </row>
    <row r="998" customFormat="false" ht="15" hidden="false" customHeight="false" outlineLevel="0" collapsed="false">
      <c r="A998" s="3" t="s">
        <v>413</v>
      </c>
      <c r="B998" s="0" t="s">
        <v>69</v>
      </c>
      <c r="C998" s="15" t="n">
        <f aca="false">C997/C989</f>
        <v>0.290065795843454</v>
      </c>
      <c r="D998" s="15" t="n">
        <f aca="false">D997/D989</f>
        <v>0.325638488136828</v>
      </c>
      <c r="E998" s="15" t="n">
        <f aca="false">E997/E989</f>
        <v>0.395360100629224</v>
      </c>
      <c r="F998" s="15" t="n">
        <f aca="false">F997/F989</f>
        <v>0.407108269820794</v>
      </c>
      <c r="G998" s="15" t="n">
        <f aca="false">G997/G989</f>
        <v>0.415567441431768</v>
      </c>
    </row>
    <row r="999" customFormat="false" ht="15" hidden="false" customHeight="false" outlineLevel="0" collapsed="false">
      <c r="A999" s="3" t="s">
        <v>415</v>
      </c>
      <c r="B999" s="0" t="s">
        <v>181</v>
      </c>
      <c r="C999" s="23" t="n">
        <f aca="false">a25_opx</f>
        <v>25.056</v>
      </c>
      <c r="D999" s="23" t="n">
        <f aca="false">a26_opx</f>
        <v>27.23586</v>
      </c>
      <c r="E999" s="23" t="n">
        <f aca="false">D999*(1+MAX(g_opx_min,phi*E991))</f>
        <v>30.997602479041</v>
      </c>
      <c r="F999" s="23" t="n">
        <f aca="false">E999*(1+MAX(g_opx_min,phi*F991))</f>
        <v>32.9872594198389</v>
      </c>
      <c r="G999" s="23" t="n">
        <f aca="false">F999*(1+MAX(g_opx_min,phi*G991))</f>
        <v>34.942285099151</v>
      </c>
    </row>
    <row r="1000" customFormat="false" ht="15" hidden="false" customHeight="false" outlineLevel="0" collapsed="false">
      <c r="A1000" s="3" t="s">
        <v>418</v>
      </c>
      <c r="B1000" s="0" t="s">
        <v>181</v>
      </c>
      <c r="C1000" s="23" t="n">
        <f aca="false">C997-C999</f>
        <v>43.85</v>
      </c>
      <c r="D1000" s="23" t="n">
        <f aca="false">D997-D999</f>
        <v>63.8562252</v>
      </c>
      <c r="E1000" s="23" t="n">
        <f aca="false">E997-E999</f>
        <v>110.148289610302</v>
      </c>
      <c r="F1000" s="23" t="n">
        <f aca="false">F997-F999</f>
        <v>131.010812779773</v>
      </c>
      <c r="G1000" s="23" t="n">
        <f aca="false">G997-G999</f>
        <v>152.306414877482</v>
      </c>
    </row>
    <row r="1001" customFormat="false" ht="15" hidden="false" customHeight="false" outlineLevel="0" collapsed="false">
      <c r="A1001" s="3" t="s">
        <v>515</v>
      </c>
      <c r="B1001" s="0" t="s">
        <v>69</v>
      </c>
      <c r="C1001" s="15" t="n">
        <f aca="false">C1000/C989</f>
        <v>0.184590386145408</v>
      </c>
      <c r="D1001" s="15" t="n">
        <f aca="false">D1000/D989</f>
        <v>0.228274987740129</v>
      </c>
      <c r="E1001" s="15" t="n">
        <f aca="false">E1000/E989</f>
        <v>0.308533519607504</v>
      </c>
      <c r="F1001" s="15" t="n">
        <f aca="false">F1000/F989</f>
        <v>0.325220806581625</v>
      </c>
      <c r="G1001" s="15" t="n">
        <f aca="false">G1000/G989</f>
        <v>0.338018833520228</v>
      </c>
    </row>
    <row r="1002" customFormat="false" ht="15" hidden="false" customHeight="false" outlineLevel="0" collapsed="false">
      <c r="A1002" s="3" t="s">
        <v>421</v>
      </c>
      <c r="B1002" s="0" t="s">
        <v>181</v>
      </c>
      <c r="C1002" s="23" t="n">
        <f aca="false">a25_nonop</f>
        <v>5.805</v>
      </c>
      <c r="D1002" s="23" t="n">
        <f aca="false">a26_nonop</f>
        <v>38.372</v>
      </c>
      <c r="E1002" s="23" t="n">
        <f aca="false">nonop_f</f>
        <v>4</v>
      </c>
      <c r="F1002" s="23" t="n">
        <f aca="false">nonop_f</f>
        <v>4</v>
      </c>
      <c r="G1002" s="23" t="n">
        <f aca="false">nonop_f</f>
        <v>4</v>
      </c>
    </row>
    <row r="1003" customFormat="false" ht="15" hidden="false" customHeight="false" outlineLevel="0" collapsed="false">
      <c r="A1003" s="3" t="s">
        <v>423</v>
      </c>
      <c r="B1003" s="0" t="s">
        <v>181</v>
      </c>
      <c r="C1003" s="23" t="n">
        <f aca="false">C1000+C1002</f>
        <v>49.655</v>
      </c>
      <c r="D1003" s="23" t="n">
        <f aca="false">D1000+D1002</f>
        <v>102.2282252</v>
      </c>
      <c r="E1003" s="23" t="n">
        <f aca="false">E1000+E1002</f>
        <v>114.148289610302</v>
      </c>
      <c r="F1003" s="23" t="n">
        <f aca="false">F1000+F1002</f>
        <v>135.010812779773</v>
      </c>
      <c r="G1003" s="23" t="n">
        <f aca="false">G1000+G1002</f>
        <v>156.306414877482</v>
      </c>
    </row>
    <row r="1004" customFormat="false" ht="15" hidden="false" customHeight="false" outlineLevel="0" collapsed="false">
      <c r="A1004" s="3" t="s">
        <v>425</v>
      </c>
      <c r="B1004" s="0" t="s">
        <v>181</v>
      </c>
      <c r="C1004" s="23" t="n">
        <f aca="false">a25_tax</f>
        <v>7.939</v>
      </c>
      <c r="D1004" s="23" t="n">
        <f aca="false">a26_tax</f>
        <v>10.493828284</v>
      </c>
      <c r="E1004" s="23" t="n">
        <f aca="false">E1003*tax</f>
        <v>17.1222434415454</v>
      </c>
      <c r="F1004" s="23" t="n">
        <f aca="false">F1003*tax</f>
        <v>20.251621916966</v>
      </c>
      <c r="G1004" s="23" t="n">
        <f aca="false">G1003*tax</f>
        <v>23.4459622316223</v>
      </c>
    </row>
    <row r="1005" customFormat="false" ht="17.15" hidden="false" customHeight="false" outlineLevel="0" collapsed="false">
      <c r="A1005" s="3" t="s">
        <v>549</v>
      </c>
      <c r="B1005" s="0" t="s">
        <v>181</v>
      </c>
      <c r="C1005" s="23" t="n">
        <f aca="false">a25_mi</f>
        <v>0</v>
      </c>
      <c r="D1005" s="23" t="n">
        <f aca="false">a26_mi</f>
        <v>-0.134999999999987</v>
      </c>
      <c r="E1005" s="23" t="n">
        <f aca="false">0</f>
        <v>0</v>
      </c>
      <c r="F1005" s="23" t="n">
        <f aca="false">0</f>
        <v>0</v>
      </c>
      <c r="G1005" s="23" t="n">
        <f aca="false">0</f>
        <v>0</v>
      </c>
      <c r="K1005" s="7" t="s">
        <v>550</v>
      </c>
    </row>
    <row r="1006" customFormat="false" ht="15" hidden="false" customHeight="false" outlineLevel="0" collapsed="false">
      <c r="A1006" s="3" t="s">
        <v>428</v>
      </c>
      <c r="B1006" s="0" t="s">
        <v>181</v>
      </c>
      <c r="C1006" s="23" t="n">
        <f aca="false">C1003-C1004-C1005</f>
        <v>41.716</v>
      </c>
      <c r="D1006" s="23" t="n">
        <f aca="false">D1003-D1004-D1005</f>
        <v>91.869396916</v>
      </c>
      <c r="E1006" s="23" t="n">
        <f aca="false">E1003-E1004-E1005</f>
        <v>97.026046168757</v>
      </c>
      <c r="F1006" s="23" t="n">
        <f aca="false">F1003-F1004-F1005</f>
        <v>114.759190862807</v>
      </c>
      <c r="G1006" s="23" t="n">
        <f aca="false">G1003-G1004-G1005</f>
        <v>132.86045264586</v>
      </c>
      <c r="H1006" s="30" t="n">
        <f aca="false">H989*H1010</f>
        <v>146.016486649417</v>
      </c>
      <c r="I1006" s="30" t="n">
        <f aca="false">I989*I1010</f>
        <v>157.62636299939</v>
      </c>
      <c r="J1006" s="30" t="n">
        <f aca="false">J989*J1010</f>
        <v>167.083944779353</v>
      </c>
    </row>
    <row r="1007" customFormat="false" ht="15" hidden="false" customHeight="false" outlineLevel="0" collapsed="false">
      <c r="A1007" s="3" t="s">
        <v>551</v>
      </c>
      <c r="B1007" s="3" t="s">
        <v>250</v>
      </c>
      <c r="C1007" s="9" t="n">
        <f aca="false">a25_sh</f>
        <v>12.4898203592814</v>
      </c>
      <c r="D1007" s="9" t="n">
        <f aca="false">a26_sh</f>
        <v>12.4754339027235</v>
      </c>
      <c r="E1007" s="9" t="n">
        <f aca="false">q_sh*(1+sh_g)</f>
        <v>12.45</v>
      </c>
      <c r="F1007" s="9" t="n">
        <f aca="false">E1007*(1+sh_g)</f>
        <v>12.45</v>
      </c>
      <c r="G1007" s="9" t="n">
        <f aca="false">F1007*(1+sh_g)</f>
        <v>12.45</v>
      </c>
      <c r="H1007" s="32" t="n">
        <f aca="false">G1007*(1+sh_g)</f>
        <v>12.45</v>
      </c>
      <c r="I1007" s="32" t="n">
        <f aca="false">H1007*(1+sh_g)</f>
        <v>12.45</v>
      </c>
      <c r="J1007" s="32" t="n">
        <f aca="false">I1007*(1+sh_g)</f>
        <v>12.45</v>
      </c>
    </row>
    <row r="1008" customFormat="false" ht="17.15" hidden="false" customHeight="false" outlineLevel="0" collapsed="false">
      <c r="A1008" s="0" t="s">
        <v>434</v>
      </c>
      <c r="B1008" s="0" t="s">
        <v>260</v>
      </c>
      <c r="C1008" s="23" t="n">
        <f aca="false">C1006/C1007</f>
        <v>3.34</v>
      </c>
      <c r="D1008" s="23" t="n">
        <f aca="false">D1006/D1007</f>
        <v>7.36402418002826</v>
      </c>
      <c r="E1008" s="23" t="n">
        <f aca="false">E1006/E1007</f>
        <v>7.79325672038209</v>
      </c>
      <c r="F1008" s="23" t="n">
        <f aca="false">F1006/F1007</f>
        <v>9.21760569179175</v>
      </c>
      <c r="G1008" s="23" t="n">
        <f aca="false">G1006/G1007</f>
        <v>10.6715223008723</v>
      </c>
      <c r="H1008" s="30" t="n">
        <f aca="false">H1006/H1007</f>
        <v>11.7282318593909</v>
      </c>
      <c r="I1008" s="30" t="n">
        <f aca="false">I1006/I1007</f>
        <v>12.6607520481437</v>
      </c>
      <c r="J1008" s="30" t="n">
        <f aca="false">J1006/J1007</f>
        <v>13.4203971710324</v>
      </c>
    </row>
    <row r="1009" customFormat="false" ht="17.15" hidden="false" customHeight="false" outlineLevel="0" collapsed="false">
      <c r="A1009" s="0" t="s">
        <v>552</v>
      </c>
      <c r="B1009" s="0" t="s">
        <v>69</v>
      </c>
      <c r="D1009" s="21" t="n">
        <f aca="false">D1008/C1008-1</f>
        <v>1.2047976586911</v>
      </c>
      <c r="E1009" s="21" t="n">
        <f aca="false">E1008/D1008-1</f>
        <v>0.0582877690051502</v>
      </c>
      <c r="F1009" s="21" t="n">
        <f aca="false">F1008/E1008-1</f>
        <v>0.182766848637809</v>
      </c>
      <c r="G1009" s="21" t="n">
        <f aca="false">G1008/F1008-1</f>
        <v>0.157732567186641</v>
      </c>
      <c r="H1009" s="28" t="n">
        <f aca="false">H1008/G1008-1</f>
        <v>0.0990214449940547</v>
      </c>
      <c r="I1009" s="28" t="n">
        <f aca="false">I1008/H1008-1</f>
        <v>0.0795107224970275</v>
      </c>
      <c r="J1009" s="28" t="n">
        <f aca="false">J1008/I1008-1</f>
        <v>0.0600000000000001</v>
      </c>
    </row>
    <row r="1010" customFormat="false" ht="17.15" hidden="false" customHeight="false" outlineLevel="0" collapsed="false">
      <c r="A1010" s="3" t="s">
        <v>553</v>
      </c>
      <c r="B1010" s="0" t="s">
        <v>69</v>
      </c>
      <c r="C1010" s="15" t="n">
        <f aca="false">C1006/C989</f>
        <v>0.175607127672562</v>
      </c>
      <c r="D1010" s="15" t="n">
        <f aca="false">D1006/D989</f>
        <v>0.328417243409073</v>
      </c>
      <c r="E1010" s="15" t="n">
        <f aca="false">E1006/E989</f>
        <v>0.271777143557632</v>
      </c>
      <c r="F1010" s="15" t="n">
        <f aca="false">F1006/F989</f>
        <v>0.284877834303605</v>
      </c>
      <c r="G1010" s="15" t="n">
        <f aca="false">G1006/G989</f>
        <v>0.294861744729852</v>
      </c>
      <c r="H1010" s="29" t="n">
        <f aca="false">$G1010+($G$1010*1-$G1010)*1/3</f>
        <v>0.294861744729852</v>
      </c>
      <c r="I1010" s="29" t="n">
        <f aca="false">$G1010+($G$1010*1-$G1010)*2/3</f>
        <v>0.294861744729852</v>
      </c>
      <c r="J1010" s="29" t="n">
        <f aca="false">$G1010+($G$1010*1-$G1010)*3/3</f>
        <v>0.294861744729852</v>
      </c>
    </row>
    <row r="1013" customFormat="false" ht="17.15" hidden="false" customHeight="false" outlineLevel="0" collapsed="false">
      <c r="A1013" s="1" t="s">
        <v>862</v>
      </c>
    </row>
    <row r="1014" customFormat="false" ht="17.15" hidden="false" customHeight="false" outlineLevel="0" collapsed="false">
      <c r="A1014" s="4" t="s">
        <v>24</v>
      </c>
      <c r="B1014" s="4" t="s">
        <v>25</v>
      </c>
      <c r="C1014" s="16" t="s">
        <v>387</v>
      </c>
      <c r="D1014" s="16" t="s">
        <v>505</v>
      </c>
      <c r="E1014" s="16" t="s">
        <v>467</v>
      </c>
      <c r="F1014" s="16" t="s">
        <v>468</v>
      </c>
      <c r="G1014" s="16" t="s">
        <v>469</v>
      </c>
      <c r="H1014" s="16" t="s">
        <v>506</v>
      </c>
      <c r="I1014" s="16" t="s">
        <v>507</v>
      </c>
      <c r="J1014" s="16" t="s">
        <v>508</v>
      </c>
      <c r="K1014" s="4" t="s">
        <v>345</v>
      </c>
    </row>
    <row r="1015" customFormat="false" ht="17.15" hidden="false" customHeight="false" outlineLevel="0" collapsed="false">
      <c r="A1015" s="5" t="s">
        <v>526</v>
      </c>
    </row>
    <row r="1016" customFormat="false" ht="17.15" hidden="false" customHeight="false" outlineLevel="0" collapsed="false">
      <c r="A1016" s="3" t="s">
        <v>527</v>
      </c>
      <c r="B1016" s="3" t="s">
        <v>64</v>
      </c>
      <c r="D1016" s="22" t="n">
        <f aca="false">cap_26</f>
        <v>5230.46851955216</v>
      </c>
      <c r="E1016" s="22" t="n">
        <f aca="false">D1016*(1+capg27)*cap_adj</f>
        <v>5439.68726033425</v>
      </c>
      <c r="F1016" s="22" t="n">
        <f aca="false">E1016*(1+capg28)</f>
        <v>5820.46536855765</v>
      </c>
      <c r="G1016" s="22" t="n">
        <f aca="false">F1016*(1+capg29)</f>
        <v>6227.89794435668</v>
      </c>
    </row>
    <row r="1017" customFormat="false" ht="15" hidden="false" customHeight="false" outlineLevel="0" collapsed="false">
      <c r="A1017" s="3" t="s">
        <v>528</v>
      </c>
      <c r="B1017" s="0" t="s">
        <v>69</v>
      </c>
      <c r="D1017" s="21" t="n">
        <f aca="false">a26_ship/cap_26</f>
        <v>0.870578781414787</v>
      </c>
      <c r="E1017" s="21" t="n">
        <f aca="false">MIN(0.98,ut27_B+ut_adj)</f>
        <v>0.9</v>
      </c>
      <c r="F1017" s="21" t="n">
        <f aca="false">MIN(0.98,ut28_B+ut_adj)</f>
        <v>0.87</v>
      </c>
      <c r="G1017" s="21" t="n">
        <f aca="false">MIN(0.98,ut29_B+ut_adj)</f>
        <v>0.88</v>
      </c>
    </row>
    <row r="1018" customFormat="false" ht="17.15" hidden="false" customHeight="false" outlineLevel="0" collapsed="false">
      <c r="A1018" s="3" t="s">
        <v>529</v>
      </c>
      <c r="B1018" s="3" t="s">
        <v>64</v>
      </c>
      <c r="D1018" s="22" t="n">
        <f aca="false">D1016*D1017</f>
        <v>4553.53490998013</v>
      </c>
      <c r="E1018" s="22" t="n">
        <f aca="false">E1016*E1017</f>
        <v>4895.71853430083</v>
      </c>
      <c r="F1018" s="22" t="n">
        <f aca="false">F1016*F1017</f>
        <v>5063.80487064515</v>
      </c>
      <c r="G1018" s="22" t="n">
        <f aca="false">G1016*G1017</f>
        <v>5480.55019103388</v>
      </c>
    </row>
    <row r="1019" customFormat="false" ht="17.15" hidden="false" customHeight="false" outlineLevel="0" collapsed="false">
      <c r="A1019" s="3" t="s">
        <v>530</v>
      </c>
      <c r="B1019" s="0" t="s">
        <v>109</v>
      </c>
      <c r="D1019" s="22" t="n">
        <f aca="false">asp_26</f>
        <v>1878.17486396824</v>
      </c>
      <c r="E1019" s="22" t="n">
        <f aca="false">D1019*(1+asp27_B)*(1+asp_adj)</f>
        <v>1972.08360716666</v>
      </c>
      <c r="F1019" s="22" t="n">
        <f aca="false">E1019*(1+asp28_B)</f>
        <v>1972.08360716666</v>
      </c>
      <c r="G1019" s="22" t="n">
        <f aca="false">F1019*(1+asp29_B)</f>
        <v>1972.08360716666</v>
      </c>
    </row>
    <row r="1020" customFormat="false" ht="15" hidden="false" customHeight="false" outlineLevel="0" collapsed="false">
      <c r="A1020" s="3" t="s">
        <v>531</v>
      </c>
      <c r="B1020" s="0" t="s">
        <v>69</v>
      </c>
      <c r="E1020" s="21" t="n">
        <f aca="false">E1019/D1019-1</f>
        <v>0.05</v>
      </c>
      <c r="F1020" s="21" t="n">
        <f aca="false">F1019/E1019-1</f>
        <v>0</v>
      </c>
      <c r="G1020" s="21" t="n">
        <f aca="false">G1019/F1019-1</f>
        <v>0</v>
      </c>
    </row>
    <row r="1021" customFormat="false" ht="15" hidden="false" customHeight="false" outlineLevel="0" collapsed="false">
      <c r="A1021" s="3" t="s">
        <v>532</v>
      </c>
      <c r="B1021" s="0" t="s">
        <v>35</v>
      </c>
      <c r="D1021" s="23" t="n">
        <f aca="false">fx_26</f>
        <v>31.6</v>
      </c>
      <c r="E1021" s="23" t="n">
        <f aca="false">fx</f>
        <v>32</v>
      </c>
      <c r="F1021" s="23" t="n">
        <f aca="false">fx</f>
        <v>32</v>
      </c>
      <c r="G1021" s="23" t="n">
        <f aca="false">fx</f>
        <v>32</v>
      </c>
    </row>
    <row r="1022" customFormat="false" ht="17.15" hidden="false" customHeight="false" outlineLevel="0" collapsed="false">
      <c r="A1022" s="3" t="s">
        <v>533</v>
      </c>
      <c r="B1022" s="0" t="s">
        <v>181</v>
      </c>
      <c r="D1022" s="23" t="n">
        <f aca="false">D1018*D1019*D1021/1000000</f>
        <v>270.25378</v>
      </c>
      <c r="E1022" s="23" t="n">
        <f aca="false">E1018*E1019*E1021/1000000</f>
        <v>308.952520537492</v>
      </c>
      <c r="F1022" s="23" t="n">
        <f aca="false">F1018*F1019*F1021/1000000</f>
        <v>319.559890409279</v>
      </c>
      <c r="G1022" s="23" t="n">
        <f aca="false">G1018*G1019*G1021/1000000</f>
        <v>345.859302079744</v>
      </c>
    </row>
    <row r="1023" customFormat="false" ht="17.15" hidden="false" customHeight="false" outlineLevel="0" collapsed="false">
      <c r="A1023" s="5" t="s">
        <v>534</v>
      </c>
    </row>
    <row r="1024" customFormat="false" ht="17.15" hidden="false" customHeight="false" outlineLevel="0" collapsed="false">
      <c r="A1024" s="0" t="s">
        <v>535</v>
      </c>
      <c r="B1024" s="0" t="s">
        <v>138</v>
      </c>
      <c r="D1024" s="25" t="n">
        <f aca="false">ai_26</f>
        <v>0.3</v>
      </c>
      <c r="E1024" s="25" t="n">
        <f aca="false">D1024*(1+aig27_B)*ai_adj</f>
        <v>0.42</v>
      </c>
      <c r="F1024" s="25" t="n">
        <f aca="false">E1024*(1+aig_L)*um28_B</f>
        <v>0.4872</v>
      </c>
      <c r="G1024" s="25" t="n">
        <f aca="false">F1024/um28_B*(1+aig_L)*um29_B</f>
        <v>0.7505925</v>
      </c>
    </row>
    <row r="1025" customFormat="false" ht="17.15" hidden="false" customHeight="false" outlineLevel="0" collapsed="false">
      <c r="A1025" s="0" t="s">
        <v>536</v>
      </c>
      <c r="B1025" s="0" t="s">
        <v>181</v>
      </c>
      <c r="D1025" s="23" t="n">
        <f aca="false">D1024*D1021</f>
        <v>9.48</v>
      </c>
      <c r="E1025" s="23" t="n">
        <f aca="false">E1024*E1021</f>
        <v>13.44</v>
      </c>
      <c r="F1025" s="23" t="n">
        <f aca="false">F1024*F1021</f>
        <v>15.5904</v>
      </c>
      <c r="G1025" s="23" t="n">
        <f aca="false">G1024*G1021</f>
        <v>24.01896</v>
      </c>
    </row>
    <row r="1026" customFormat="false" ht="17.15" hidden="false" customHeight="false" outlineLevel="0" collapsed="false">
      <c r="A1026" s="0" t="s">
        <v>537</v>
      </c>
      <c r="B1026" s="0" t="s">
        <v>138</v>
      </c>
      <c r="D1026" s="25" t="n">
        <f aca="false">0</f>
        <v>0</v>
      </c>
      <c r="E1026" s="25" t="n">
        <f aca="false">int_27</f>
        <v>0</v>
      </c>
      <c r="F1026" s="25" t="n">
        <f aca="false">int28_B</f>
        <v>0.12</v>
      </c>
      <c r="G1026" s="25" t="n">
        <f aca="false">int29_B</f>
        <v>0.3</v>
      </c>
    </row>
    <row r="1027" customFormat="false" ht="17.15" hidden="false" customHeight="false" outlineLevel="0" collapsed="false">
      <c r="A1027" s="0" t="s">
        <v>538</v>
      </c>
      <c r="B1027" s="0" t="s">
        <v>181</v>
      </c>
      <c r="D1027" s="23" t="n">
        <f aca="false">D1026*D1021</f>
        <v>0</v>
      </c>
      <c r="E1027" s="23" t="n">
        <f aca="false">E1026*E1021</f>
        <v>0</v>
      </c>
      <c r="F1027" s="23" t="n">
        <f aca="false">F1026*F1021</f>
        <v>3.84</v>
      </c>
      <c r="G1027" s="23" t="n">
        <f aca="false">G1026*G1021</f>
        <v>9.6</v>
      </c>
    </row>
    <row r="1028" customFormat="false" ht="17.15" hidden="false" customHeight="false" outlineLevel="0" collapsed="false">
      <c r="A1028" s="3" t="s">
        <v>393</v>
      </c>
      <c r="B1028" s="0" t="s">
        <v>181</v>
      </c>
      <c r="C1028" s="23" t="n">
        <f aca="false">a25_rev</f>
        <v>237.553</v>
      </c>
      <c r="D1028" s="23" t="n">
        <f aca="false">D1022+D1025+D1027</f>
        <v>279.73378</v>
      </c>
      <c r="E1028" s="23" t="n">
        <f aca="false">E1022+E1025+E1027</f>
        <v>322.392520537492</v>
      </c>
      <c r="F1028" s="23" t="n">
        <f aca="false">F1022+F1025+F1027</f>
        <v>338.990290409279</v>
      </c>
      <c r="G1028" s="23" t="n">
        <f aca="false">G1022+G1025+G1027</f>
        <v>379.478262079744</v>
      </c>
      <c r="H1028" s="30" t="n">
        <f aca="false">G1028*(1+H1030)</f>
        <v>414.75379367548</v>
      </c>
      <c r="I1028" s="30" t="n">
        <f aca="false">H1028*(1+I1030)</f>
        <v>442.326206375962</v>
      </c>
      <c r="J1028" s="30" t="n">
        <f aca="false">I1028*(1+J1030)</f>
        <v>460.019254631001</v>
      </c>
      <c r="K1028" s="7" t="s">
        <v>539</v>
      </c>
    </row>
    <row r="1029" customFormat="false" ht="17.15" hidden="false" customHeight="false" outlineLevel="0" collapsed="false">
      <c r="A1029" s="0" t="s">
        <v>540</v>
      </c>
      <c r="B1029" s="0" t="s">
        <v>69</v>
      </c>
      <c r="D1029" s="21" t="n">
        <f aca="false">D1025/D1028</f>
        <v>0.0338893643806622</v>
      </c>
      <c r="E1029" s="21" t="n">
        <f aca="false">E1025/E1028</f>
        <v>0.0416883120538679</v>
      </c>
      <c r="F1029" s="21" t="n">
        <f aca="false">F1025/F1028</f>
        <v>0.0459906977901254</v>
      </c>
      <c r="G1029" s="21" t="n">
        <f aca="false">G1025/G1028</f>
        <v>0.0632946927404042</v>
      </c>
    </row>
    <row r="1030" customFormat="false" ht="15" hidden="false" customHeight="false" outlineLevel="0" collapsed="false">
      <c r="A1030" s="3" t="s">
        <v>541</v>
      </c>
      <c r="B1030" s="0" t="s">
        <v>69</v>
      </c>
      <c r="D1030" s="21" t="n">
        <f aca="false">D1028/C1028-1</f>
        <v>0.177563659478096</v>
      </c>
      <c r="E1030" s="21" t="n">
        <f aca="false">E1028/D1028-1</f>
        <v>0.152497637351814</v>
      </c>
      <c r="F1030" s="21" t="n">
        <f aca="false">F1028/E1028-1</f>
        <v>0.0514831108492078</v>
      </c>
      <c r="G1030" s="21" t="n">
        <f aca="false">G1028/F1028-1</f>
        <v>0.119436965647547</v>
      </c>
      <c r="H1030" s="28" t="n">
        <f aca="false">$G1030+(fade_gB-$G1030)*1/3</f>
        <v>0.0929579770983645</v>
      </c>
      <c r="I1030" s="28" t="n">
        <f aca="false">$G1030+(fade_gB-$G1030)*2/3</f>
        <v>0.0664789885491822</v>
      </c>
      <c r="J1030" s="28" t="n">
        <f aca="false">$G1030+(fade_gB-$G1030)*3/3</f>
        <v>0.04</v>
      </c>
    </row>
    <row r="1031" customFormat="false" ht="17.15" hidden="false" customHeight="false" outlineLevel="0" collapsed="false">
      <c r="A1031" s="5" t="s">
        <v>542</v>
      </c>
    </row>
    <row r="1032" customFormat="false" ht="15" hidden="false" customHeight="false" outlineLevel="0" collapsed="false">
      <c r="A1032" s="3" t="s">
        <v>543</v>
      </c>
      <c r="B1032" s="0" t="s">
        <v>181</v>
      </c>
      <c r="D1032" s="23" t="n">
        <f aca="false">da_tot26*da_sh</f>
        <v>56.172</v>
      </c>
      <c r="E1032" s="23" t="n">
        <f aca="false">D1032*(1+dag_27+dag_adj_lo)</f>
        <v>60.10404</v>
      </c>
      <c r="F1032" s="23" t="n">
        <f aca="false">E1032*(1+dag_28+dag_adj_lo)</f>
        <v>63.109242</v>
      </c>
      <c r="G1032" s="23" t="n">
        <f aca="false">F1032*(1+dag_29+dag_adj_lo)</f>
        <v>65.00251926</v>
      </c>
    </row>
    <row r="1033" customFormat="false" ht="17.15" hidden="false" customHeight="false" outlineLevel="0" collapsed="false">
      <c r="A1033" s="3" t="s">
        <v>544</v>
      </c>
      <c r="B1033" s="0" t="s">
        <v>545</v>
      </c>
      <c r="D1033" s="23" t="n">
        <f aca="false">(D1028-a26_gp-D1032-(1-m_new)*(D1025+D1027))/D1018*1000</f>
        <v>27.9465727870208</v>
      </c>
      <c r="E1033" s="23" t="n">
        <f aca="false">D1033*(1+cc_g)</f>
        <v>28.5055042427612</v>
      </c>
      <c r="F1033" s="23" t="n">
        <f aca="false">E1033*(1+cc_g)</f>
        <v>29.0756143276165</v>
      </c>
      <c r="G1033" s="23" t="n">
        <f aca="false">F1033*(1+cc_g)</f>
        <v>29.6571266141688</v>
      </c>
      <c r="K1033" s="7" t="s">
        <v>546</v>
      </c>
    </row>
    <row r="1034" customFormat="false" ht="17.15" hidden="false" customHeight="false" outlineLevel="0" collapsed="false">
      <c r="A1034" s="3" t="s">
        <v>547</v>
      </c>
      <c r="B1034" s="0" t="s">
        <v>181</v>
      </c>
      <c r="D1034" s="23" t="n">
        <f aca="false">D1033*D1018/1000</f>
        <v>127.2556948</v>
      </c>
      <c r="E1034" s="23" t="n">
        <f aca="false">E1033*E1018/1000</f>
        <v>139.554925450877</v>
      </c>
      <c r="F1034" s="23" t="n">
        <f aca="false">F1033*F1018/1000</f>
        <v>147.233237449184</v>
      </c>
      <c r="G1034" s="23" t="n">
        <f aca="false">G1033*G1018/1000</f>
        <v>162.537370930799</v>
      </c>
    </row>
    <row r="1035" customFormat="false" ht="17.15" hidden="false" customHeight="false" outlineLevel="0" collapsed="false">
      <c r="A1035" s="3" t="s">
        <v>548</v>
      </c>
      <c r="B1035" s="0" t="s">
        <v>181</v>
      </c>
      <c r="D1035" s="23" t="n">
        <f aca="false">m_new*(D1025+D1027)</f>
        <v>4.266</v>
      </c>
      <c r="E1035" s="23" t="n">
        <f aca="false">m_new*(E1025+E1027)</f>
        <v>6.048</v>
      </c>
      <c r="F1035" s="23" t="n">
        <f aca="false">m_new*(F1025+F1027)</f>
        <v>8.74368</v>
      </c>
      <c r="G1035" s="23" t="n">
        <f aca="false">m_new*(G1025+G1027)</f>
        <v>15.128532</v>
      </c>
    </row>
    <row r="1036" customFormat="false" ht="15" hidden="false" customHeight="false" outlineLevel="0" collapsed="false">
      <c r="A1036" s="3" t="s">
        <v>411</v>
      </c>
      <c r="B1036" s="0" t="s">
        <v>181</v>
      </c>
      <c r="C1036" s="23" t="n">
        <f aca="false">a25_gp</f>
        <v>68.906</v>
      </c>
      <c r="D1036" s="23" t="n">
        <f aca="false">D1022-D1032-D1034+D1035</f>
        <v>91.0920852</v>
      </c>
      <c r="E1036" s="23" t="n">
        <f aca="false">E1022-E1032-E1034+E1035</f>
        <v>115.341555086615</v>
      </c>
      <c r="F1036" s="23" t="n">
        <f aca="false">F1022-F1032-F1034+F1035</f>
        <v>117.961090960095</v>
      </c>
      <c r="G1036" s="23" t="n">
        <f aca="false">G1022-G1032-G1034+G1035</f>
        <v>133.447943888945</v>
      </c>
    </row>
    <row r="1037" customFormat="false" ht="15" hidden="false" customHeight="false" outlineLevel="0" collapsed="false">
      <c r="A1037" s="3" t="s">
        <v>413</v>
      </c>
      <c r="B1037" s="0" t="s">
        <v>69</v>
      </c>
      <c r="C1037" s="15" t="n">
        <f aca="false">C1036/C1028</f>
        <v>0.290065795843454</v>
      </c>
      <c r="D1037" s="15" t="n">
        <f aca="false">D1036/D1028</f>
        <v>0.325638488136828</v>
      </c>
      <c r="E1037" s="15" t="n">
        <f aca="false">E1036/E1028</f>
        <v>0.357767465865269</v>
      </c>
      <c r="F1037" s="15" t="n">
        <f aca="false">F1036/F1028</f>
        <v>0.347977786672518</v>
      </c>
      <c r="G1037" s="15" t="n">
        <f aca="false">G1036/G1028</f>
        <v>0.351661629199995</v>
      </c>
    </row>
    <row r="1038" customFormat="false" ht="15" hidden="false" customHeight="false" outlineLevel="0" collapsed="false">
      <c r="A1038" s="3" t="s">
        <v>415</v>
      </c>
      <c r="B1038" s="0" t="s">
        <v>181</v>
      </c>
      <c r="C1038" s="23" t="n">
        <f aca="false">a25_opx</f>
        <v>25.056</v>
      </c>
      <c r="D1038" s="23" t="n">
        <f aca="false">a26_opx</f>
        <v>27.23586</v>
      </c>
      <c r="E1038" s="23" t="n">
        <f aca="false">D1038*(1+MAX(g_opx_min,phi*E1030))</f>
        <v>29.3125621506224</v>
      </c>
      <c r="F1038" s="23" t="n">
        <f aca="false">E1038*(1+MAX(g_opx_min,phi*F1030))</f>
        <v>30.1919390151411</v>
      </c>
      <c r="G1038" s="23" t="n">
        <f aca="false">F1038*(1+MAX(g_opx_min,phi*G1030))</f>
        <v>31.9949558066332</v>
      </c>
    </row>
    <row r="1039" customFormat="false" ht="15" hidden="false" customHeight="false" outlineLevel="0" collapsed="false">
      <c r="A1039" s="3" t="s">
        <v>418</v>
      </c>
      <c r="B1039" s="0" t="s">
        <v>181</v>
      </c>
      <c r="C1039" s="23" t="n">
        <f aca="false">C1036-C1038</f>
        <v>43.85</v>
      </c>
      <c r="D1039" s="23" t="n">
        <f aca="false">D1036-D1038</f>
        <v>63.8562252</v>
      </c>
      <c r="E1039" s="23" t="n">
        <f aca="false">E1036-E1038</f>
        <v>86.0289929359927</v>
      </c>
      <c r="F1039" s="23" t="n">
        <f aca="false">F1036-F1038</f>
        <v>87.769151944954</v>
      </c>
      <c r="G1039" s="23" t="n">
        <f aca="false">G1036-G1038</f>
        <v>101.452988082312</v>
      </c>
    </row>
    <row r="1040" customFormat="false" ht="15" hidden="false" customHeight="false" outlineLevel="0" collapsed="false">
      <c r="A1040" s="3" t="s">
        <v>515</v>
      </c>
      <c r="B1040" s="0" t="s">
        <v>69</v>
      </c>
      <c r="C1040" s="15" t="n">
        <f aca="false">C1039/C1028</f>
        <v>0.184590386145408</v>
      </c>
      <c r="D1040" s="15" t="n">
        <f aca="false">D1039/D1028</f>
        <v>0.228274987740129</v>
      </c>
      <c r="E1040" s="15" t="n">
        <f aca="false">E1039/E1028</f>
        <v>0.266845498749677</v>
      </c>
      <c r="F1040" s="15" t="n">
        <f aca="false">F1039/F1028</f>
        <v>0.258913468698428</v>
      </c>
      <c r="G1040" s="15" t="n">
        <f aca="false">G1039/G1028</f>
        <v>0.267348615771284</v>
      </c>
    </row>
    <row r="1041" customFormat="false" ht="15" hidden="false" customHeight="false" outlineLevel="0" collapsed="false">
      <c r="A1041" s="3" t="s">
        <v>421</v>
      </c>
      <c r="B1041" s="0" t="s">
        <v>181</v>
      </c>
      <c r="C1041" s="23" t="n">
        <f aca="false">a25_nonop</f>
        <v>5.805</v>
      </c>
      <c r="D1041" s="23" t="n">
        <f aca="false">a26_nonop</f>
        <v>38.372</v>
      </c>
      <c r="E1041" s="23" t="n">
        <f aca="false">nonop_f</f>
        <v>4</v>
      </c>
      <c r="F1041" s="23" t="n">
        <f aca="false">nonop_f</f>
        <v>4</v>
      </c>
      <c r="G1041" s="23" t="n">
        <f aca="false">nonop_f</f>
        <v>4</v>
      </c>
    </row>
    <row r="1042" customFormat="false" ht="15" hidden="false" customHeight="false" outlineLevel="0" collapsed="false">
      <c r="A1042" s="3" t="s">
        <v>423</v>
      </c>
      <c r="B1042" s="0" t="s">
        <v>181</v>
      </c>
      <c r="C1042" s="23" t="n">
        <f aca="false">C1039+C1041</f>
        <v>49.655</v>
      </c>
      <c r="D1042" s="23" t="n">
        <f aca="false">D1039+D1041</f>
        <v>102.2282252</v>
      </c>
      <c r="E1042" s="23" t="n">
        <f aca="false">E1039+E1041</f>
        <v>90.0289929359927</v>
      </c>
      <c r="F1042" s="23" t="n">
        <f aca="false">F1039+F1041</f>
        <v>91.769151944954</v>
      </c>
      <c r="G1042" s="23" t="n">
        <f aca="false">G1039+G1041</f>
        <v>105.452988082312</v>
      </c>
    </row>
    <row r="1043" customFormat="false" ht="15" hidden="false" customHeight="false" outlineLevel="0" collapsed="false">
      <c r="A1043" s="3" t="s">
        <v>425</v>
      </c>
      <c r="B1043" s="0" t="s">
        <v>181</v>
      </c>
      <c r="C1043" s="23" t="n">
        <f aca="false">a25_tax</f>
        <v>7.939</v>
      </c>
      <c r="D1043" s="23" t="n">
        <f aca="false">a26_tax</f>
        <v>10.493828284</v>
      </c>
      <c r="E1043" s="23" t="n">
        <f aca="false">E1042*tax</f>
        <v>13.5043489403989</v>
      </c>
      <c r="F1043" s="23" t="n">
        <f aca="false">F1042*tax</f>
        <v>13.7653727917431</v>
      </c>
      <c r="G1043" s="23" t="n">
        <f aca="false">G1042*tax</f>
        <v>15.8179482123468</v>
      </c>
    </row>
    <row r="1044" customFormat="false" ht="17.15" hidden="false" customHeight="false" outlineLevel="0" collapsed="false">
      <c r="A1044" s="3" t="s">
        <v>549</v>
      </c>
      <c r="B1044" s="0" t="s">
        <v>181</v>
      </c>
      <c r="C1044" s="23" t="n">
        <f aca="false">a25_mi</f>
        <v>0</v>
      </c>
      <c r="D1044" s="23" t="n">
        <f aca="false">a26_mi</f>
        <v>-0.134999999999987</v>
      </c>
      <c r="E1044" s="23" t="n">
        <f aca="false">0</f>
        <v>0</v>
      </c>
      <c r="F1044" s="23" t="n">
        <f aca="false">0</f>
        <v>0</v>
      </c>
      <c r="G1044" s="23" t="n">
        <f aca="false">0</f>
        <v>0</v>
      </c>
      <c r="K1044" s="7" t="s">
        <v>550</v>
      </c>
    </row>
    <row r="1045" customFormat="false" ht="15" hidden="false" customHeight="false" outlineLevel="0" collapsed="false">
      <c r="A1045" s="3" t="s">
        <v>428</v>
      </c>
      <c r="B1045" s="0" t="s">
        <v>181</v>
      </c>
      <c r="C1045" s="23" t="n">
        <f aca="false">C1042-C1043-C1044</f>
        <v>41.716</v>
      </c>
      <c r="D1045" s="23" t="n">
        <f aca="false">D1042-D1043-D1044</f>
        <v>91.869396916</v>
      </c>
      <c r="E1045" s="23" t="n">
        <f aca="false">E1042-E1043-E1044</f>
        <v>76.5246439955938</v>
      </c>
      <c r="F1045" s="23" t="n">
        <f aca="false">F1042-F1043-F1044</f>
        <v>78.0037791532109</v>
      </c>
      <c r="G1045" s="23" t="n">
        <f aca="false">G1042-G1043-G1044</f>
        <v>89.6350398699654</v>
      </c>
      <c r="H1045" s="30" t="n">
        <f aca="false">H1028*H1049</f>
        <v>94.7017541249617</v>
      </c>
      <c r="I1045" s="30" t="n">
        <f aca="false">I1028*I1049</f>
        <v>97.5147609201596</v>
      </c>
      <c r="J1045" s="30" t="n">
        <f aca="false">J1028*J1049</f>
        <v>97.7933745227887</v>
      </c>
    </row>
    <row r="1046" customFormat="false" ht="15" hidden="false" customHeight="false" outlineLevel="0" collapsed="false">
      <c r="A1046" s="3" t="s">
        <v>551</v>
      </c>
      <c r="B1046" s="3" t="s">
        <v>250</v>
      </c>
      <c r="C1046" s="9" t="n">
        <f aca="false">a25_sh</f>
        <v>12.4898203592814</v>
      </c>
      <c r="D1046" s="9" t="n">
        <f aca="false">a26_sh</f>
        <v>12.4754339027235</v>
      </c>
      <c r="E1046" s="9" t="n">
        <f aca="false">q_sh*(1+sh_g)</f>
        <v>12.45</v>
      </c>
      <c r="F1046" s="9" t="n">
        <f aca="false">E1046*(1+sh_g)</f>
        <v>12.45</v>
      </c>
      <c r="G1046" s="9" t="n">
        <f aca="false">F1046*(1+sh_g)</f>
        <v>12.45</v>
      </c>
      <c r="H1046" s="32" t="n">
        <f aca="false">G1046*(1+sh_g)</f>
        <v>12.45</v>
      </c>
      <c r="I1046" s="32" t="n">
        <f aca="false">H1046*(1+sh_g)</f>
        <v>12.45</v>
      </c>
      <c r="J1046" s="32" t="n">
        <f aca="false">I1046*(1+sh_g)</f>
        <v>12.45</v>
      </c>
    </row>
    <row r="1047" customFormat="false" ht="17.15" hidden="false" customHeight="false" outlineLevel="0" collapsed="false">
      <c r="A1047" s="0" t="s">
        <v>434</v>
      </c>
      <c r="B1047" s="0" t="s">
        <v>260</v>
      </c>
      <c r="C1047" s="23" t="n">
        <f aca="false">C1045/C1046</f>
        <v>3.34</v>
      </c>
      <c r="D1047" s="23" t="n">
        <f aca="false">D1045/D1046</f>
        <v>7.36402418002826</v>
      </c>
      <c r="E1047" s="23" t="n">
        <f aca="false">E1045/E1046</f>
        <v>6.1465577506501</v>
      </c>
      <c r="F1047" s="23" t="n">
        <f aca="false">F1045/F1046</f>
        <v>6.2653637874065</v>
      </c>
      <c r="G1047" s="23" t="n">
        <f aca="false">G1045/G1046</f>
        <v>7.19960159598116</v>
      </c>
      <c r="H1047" s="30" t="n">
        <f aca="false">H1045/H1046</f>
        <v>7.60656659638246</v>
      </c>
      <c r="I1047" s="30" t="n">
        <f aca="false">I1045/I1046</f>
        <v>7.8325109172819</v>
      </c>
      <c r="J1047" s="30" t="n">
        <f aca="false">J1045/J1046</f>
        <v>7.8548895199027</v>
      </c>
    </row>
    <row r="1048" customFormat="false" ht="17.15" hidden="false" customHeight="false" outlineLevel="0" collapsed="false">
      <c r="A1048" s="0" t="s">
        <v>552</v>
      </c>
      <c r="B1048" s="0" t="s">
        <v>69</v>
      </c>
      <c r="D1048" s="21" t="n">
        <f aca="false">D1047/C1047-1</f>
        <v>1.2047976586911</v>
      </c>
      <c r="E1048" s="21" t="n">
        <f aca="false">E1047/D1047-1</f>
        <v>-0.165326240057714</v>
      </c>
      <c r="F1048" s="21" t="n">
        <f aca="false">F1047/E1047-1</f>
        <v>0.0193288734241255</v>
      </c>
      <c r="G1048" s="21" t="n">
        <f aca="false">G1047/F1047-1</f>
        <v>0.149111502583856</v>
      </c>
      <c r="H1048" s="28" t="n">
        <f aca="false">H1047/G1047-1</f>
        <v>0.056526044528419</v>
      </c>
      <c r="I1048" s="28" t="n">
        <f aca="false">I1047/H1047-1</f>
        <v>0.0297038510130037</v>
      </c>
      <c r="J1048" s="28" t="n">
        <f aca="false">J1047/I1047-1</f>
        <v>0.00285714285714267</v>
      </c>
    </row>
    <row r="1049" customFormat="false" ht="17.15" hidden="false" customHeight="false" outlineLevel="0" collapsed="false">
      <c r="A1049" s="3" t="s">
        <v>553</v>
      </c>
      <c r="B1049" s="0" t="s">
        <v>69</v>
      </c>
      <c r="C1049" s="15" t="n">
        <f aca="false">C1045/C1028</f>
        <v>0.175607127672562</v>
      </c>
      <c r="D1049" s="15" t="n">
        <f aca="false">D1045/D1028</f>
        <v>0.328417243409073</v>
      </c>
      <c r="E1049" s="15" t="n">
        <f aca="false">E1045/E1028</f>
        <v>0.237364824307996</v>
      </c>
      <c r="F1049" s="15" t="n">
        <f aca="false">F1045/F1028</f>
        <v>0.230106234190464</v>
      </c>
      <c r="G1049" s="15" t="n">
        <f aca="false">G1045/G1028</f>
        <v>0.236205993404516</v>
      </c>
      <c r="H1049" s="29" t="n">
        <f aca="false">$G1049+($G$1049*0.9-$G1049)*1/3</f>
        <v>0.228332460291033</v>
      </c>
      <c r="I1049" s="29" t="n">
        <f aca="false">$G1049+($G$1049*0.9-$G1049)*2/3</f>
        <v>0.220458927177549</v>
      </c>
      <c r="J1049" s="29" t="n">
        <f aca="false">$G1049+($G$1049*0.9-$G1049)*3/3</f>
        <v>0.212585394064065</v>
      </c>
    </row>
    <row r="1052" customFormat="false" ht="17.15" hidden="false" customHeight="false" outlineLevel="0" collapsed="false">
      <c r="A1052" s="1" t="s">
        <v>863</v>
      </c>
    </row>
    <row r="1053" customFormat="false" ht="17.15" hidden="false" customHeight="false" outlineLevel="0" collapsed="false">
      <c r="A1053" s="4" t="s">
        <v>24</v>
      </c>
      <c r="B1053" s="4" t="s">
        <v>25</v>
      </c>
      <c r="C1053" s="16" t="s">
        <v>387</v>
      </c>
      <c r="D1053" s="16" t="s">
        <v>505</v>
      </c>
      <c r="E1053" s="16" t="s">
        <v>467</v>
      </c>
      <c r="F1053" s="16" t="s">
        <v>468</v>
      </c>
      <c r="G1053" s="16" t="s">
        <v>469</v>
      </c>
      <c r="H1053" s="16" t="s">
        <v>506</v>
      </c>
      <c r="I1053" s="16" t="s">
        <v>507</v>
      </c>
      <c r="J1053" s="16" t="s">
        <v>508</v>
      </c>
      <c r="K1053" s="4" t="s">
        <v>345</v>
      </c>
    </row>
    <row r="1054" customFormat="false" ht="17.15" hidden="false" customHeight="false" outlineLevel="0" collapsed="false">
      <c r="A1054" s="5" t="s">
        <v>526</v>
      </c>
    </row>
    <row r="1055" customFormat="false" ht="17.15" hidden="false" customHeight="false" outlineLevel="0" collapsed="false">
      <c r="A1055" s="3" t="s">
        <v>527</v>
      </c>
      <c r="B1055" s="3" t="s">
        <v>64</v>
      </c>
      <c r="D1055" s="22" t="n">
        <f aca="false">cap_26</f>
        <v>5230.46851955216</v>
      </c>
      <c r="E1055" s="22" t="n">
        <f aca="false">D1055*(1+capg27)*cap_adj</f>
        <v>5439.68726033425</v>
      </c>
      <c r="F1055" s="22" t="n">
        <f aca="false">E1055*(1+capg28)</f>
        <v>5820.46536855765</v>
      </c>
      <c r="G1055" s="22" t="n">
        <f aca="false">F1055*(1+capg29)</f>
        <v>6227.89794435668</v>
      </c>
    </row>
    <row r="1056" customFormat="false" ht="15" hidden="false" customHeight="false" outlineLevel="0" collapsed="false">
      <c r="A1056" s="3" t="s">
        <v>528</v>
      </c>
      <c r="B1056" s="0" t="s">
        <v>69</v>
      </c>
      <c r="D1056" s="21" t="n">
        <f aca="false">a26_ship/cap_26</f>
        <v>0.870578781414787</v>
      </c>
      <c r="E1056" s="21" t="n">
        <f aca="false">MIN(0.98,ut27_C+ut_adj)</f>
        <v>0.82</v>
      </c>
      <c r="F1056" s="21" t="n">
        <f aca="false">MIN(0.98,ut28_C+ut_adj)</f>
        <v>0.76</v>
      </c>
      <c r="G1056" s="21" t="n">
        <f aca="false">MIN(0.98,ut29_C+ut_adj)</f>
        <v>0.8</v>
      </c>
    </row>
    <row r="1057" customFormat="false" ht="17.15" hidden="false" customHeight="false" outlineLevel="0" collapsed="false">
      <c r="A1057" s="3" t="s">
        <v>529</v>
      </c>
      <c r="B1057" s="3" t="s">
        <v>64</v>
      </c>
      <c r="D1057" s="22" t="n">
        <f aca="false">D1055*D1056</f>
        <v>4553.53490998013</v>
      </c>
      <c r="E1057" s="22" t="n">
        <f aca="false">E1055*E1056</f>
        <v>4460.54355347409</v>
      </c>
      <c r="F1057" s="22" t="n">
        <f aca="false">F1055*F1056</f>
        <v>4423.55368010381</v>
      </c>
      <c r="G1057" s="22" t="n">
        <f aca="false">G1055*G1056</f>
        <v>4982.31835548535</v>
      </c>
    </row>
    <row r="1058" customFormat="false" ht="17.15" hidden="false" customHeight="false" outlineLevel="0" collapsed="false">
      <c r="A1058" s="3" t="s">
        <v>530</v>
      </c>
      <c r="B1058" s="0" t="s">
        <v>109</v>
      </c>
      <c r="D1058" s="22" t="n">
        <f aca="false">asp_26</f>
        <v>1878.17486396824</v>
      </c>
      <c r="E1058" s="22" t="n">
        <f aca="false">D1058*(1+asp27_C)*(1+asp_adj)</f>
        <v>1878.17486396824</v>
      </c>
      <c r="F1058" s="22" t="n">
        <f aca="false">E1058*(1+asp28_C)</f>
        <v>1765.48437213015</v>
      </c>
      <c r="G1058" s="22" t="n">
        <f aca="false">F1058*(1+asp29_C)</f>
        <v>1712.51984096625</v>
      </c>
    </row>
    <row r="1059" customFormat="false" ht="15" hidden="false" customHeight="false" outlineLevel="0" collapsed="false">
      <c r="A1059" s="3" t="s">
        <v>531</v>
      </c>
      <c r="B1059" s="0" t="s">
        <v>69</v>
      </c>
      <c r="E1059" s="21" t="n">
        <f aca="false">E1058/D1058-1</f>
        <v>0</v>
      </c>
      <c r="F1059" s="21" t="n">
        <f aca="false">F1058/E1058-1</f>
        <v>-0.0599999999999999</v>
      </c>
      <c r="G1059" s="21" t="n">
        <f aca="false">G1058/F1058-1</f>
        <v>-0.0299999999999999</v>
      </c>
    </row>
    <row r="1060" customFormat="false" ht="15" hidden="false" customHeight="false" outlineLevel="0" collapsed="false">
      <c r="A1060" s="3" t="s">
        <v>532</v>
      </c>
      <c r="B1060" s="0" t="s">
        <v>35</v>
      </c>
      <c r="D1060" s="23" t="n">
        <f aca="false">fx_26</f>
        <v>31.6</v>
      </c>
      <c r="E1060" s="23" t="n">
        <f aca="false">fx</f>
        <v>32</v>
      </c>
      <c r="F1060" s="23" t="n">
        <f aca="false">fx</f>
        <v>32</v>
      </c>
      <c r="G1060" s="23" t="n">
        <f aca="false">fx</f>
        <v>32</v>
      </c>
    </row>
    <row r="1061" customFormat="false" ht="17.15" hidden="false" customHeight="false" outlineLevel="0" collapsed="false">
      <c r="A1061" s="3" t="s">
        <v>533</v>
      </c>
      <c r="B1061" s="0" t="s">
        <v>181</v>
      </c>
      <c r="D1061" s="23" t="n">
        <f aca="false">D1057*D1058*D1060/1000000</f>
        <v>270.25378</v>
      </c>
      <c r="E1061" s="23" t="n">
        <f aca="false">E1057*E1058*E1060/1000000</f>
        <v>268.08578501666</v>
      </c>
      <c r="F1061" s="23" t="n">
        <f aca="false">F1057*F1058*F1060/1000000</f>
        <v>249.910876528067</v>
      </c>
      <c r="G1061" s="23" t="n">
        <f aca="false">G1057*G1058*G1060/1000000</f>
        <v>273.034209208927</v>
      </c>
    </row>
    <row r="1062" customFormat="false" ht="17.15" hidden="false" customHeight="false" outlineLevel="0" collapsed="false">
      <c r="A1062" s="5" t="s">
        <v>534</v>
      </c>
    </row>
    <row r="1063" customFormat="false" ht="17.15" hidden="false" customHeight="false" outlineLevel="0" collapsed="false">
      <c r="A1063" s="0" t="s">
        <v>535</v>
      </c>
      <c r="B1063" s="0" t="s">
        <v>138</v>
      </c>
      <c r="D1063" s="25" t="n">
        <f aca="false">ai_26</f>
        <v>0.3</v>
      </c>
      <c r="E1063" s="25" t="n">
        <f aca="false">D1063*(1+aig27_C)*ai_adj</f>
        <v>0.36</v>
      </c>
      <c r="F1063" s="25" t="n">
        <f aca="false">E1063*(1+aig_L)*um28_C</f>
        <v>0.3132</v>
      </c>
      <c r="G1063" s="25" t="n">
        <f aca="false">F1063/um28_C*(1+aig_L)*um29_C</f>
        <v>0.45414</v>
      </c>
    </row>
    <row r="1064" customFormat="false" ht="17.15" hidden="false" customHeight="false" outlineLevel="0" collapsed="false">
      <c r="A1064" s="0" t="s">
        <v>536</v>
      </c>
      <c r="B1064" s="0" t="s">
        <v>181</v>
      </c>
      <c r="D1064" s="23" t="n">
        <f aca="false">D1063*D1060</f>
        <v>9.48</v>
      </c>
      <c r="E1064" s="23" t="n">
        <f aca="false">E1063*E1060</f>
        <v>11.52</v>
      </c>
      <c r="F1064" s="23" t="n">
        <f aca="false">F1063*F1060</f>
        <v>10.0224</v>
      </c>
      <c r="G1064" s="23" t="n">
        <f aca="false">G1063*G1060</f>
        <v>14.53248</v>
      </c>
    </row>
    <row r="1065" customFormat="false" ht="17.15" hidden="false" customHeight="false" outlineLevel="0" collapsed="false">
      <c r="A1065" s="0" t="s">
        <v>537</v>
      </c>
      <c r="B1065" s="0" t="s">
        <v>138</v>
      </c>
      <c r="D1065" s="25" t="n">
        <f aca="false">0</f>
        <v>0</v>
      </c>
      <c r="E1065" s="25" t="n">
        <f aca="false">int_27</f>
        <v>0</v>
      </c>
      <c r="F1065" s="25" t="n">
        <f aca="false">int28_C</f>
        <v>0</v>
      </c>
      <c r="G1065" s="25" t="n">
        <f aca="false">int29_C</f>
        <v>0.08</v>
      </c>
    </row>
    <row r="1066" customFormat="false" ht="17.15" hidden="false" customHeight="false" outlineLevel="0" collapsed="false">
      <c r="A1066" s="0" t="s">
        <v>538</v>
      </c>
      <c r="B1066" s="0" t="s">
        <v>181</v>
      </c>
      <c r="D1066" s="23" t="n">
        <f aca="false">D1065*D1060</f>
        <v>0</v>
      </c>
      <c r="E1066" s="23" t="n">
        <f aca="false">E1065*E1060</f>
        <v>0</v>
      </c>
      <c r="F1066" s="23" t="n">
        <f aca="false">F1065*F1060</f>
        <v>0</v>
      </c>
      <c r="G1066" s="23" t="n">
        <f aca="false">G1065*G1060</f>
        <v>2.56</v>
      </c>
    </row>
    <row r="1067" customFormat="false" ht="17.15" hidden="false" customHeight="false" outlineLevel="0" collapsed="false">
      <c r="A1067" s="3" t="s">
        <v>393</v>
      </c>
      <c r="B1067" s="0" t="s">
        <v>181</v>
      </c>
      <c r="C1067" s="23" t="n">
        <f aca="false">a25_rev</f>
        <v>237.553</v>
      </c>
      <c r="D1067" s="23" t="n">
        <f aca="false">D1061+D1064+D1066</f>
        <v>279.73378</v>
      </c>
      <c r="E1067" s="23" t="n">
        <f aca="false">E1061+E1064+E1066</f>
        <v>279.60578501666</v>
      </c>
      <c r="F1067" s="23" t="n">
        <f aca="false">F1061+F1064+F1066</f>
        <v>259.933276528067</v>
      </c>
      <c r="G1067" s="23" t="n">
        <f aca="false">G1061+G1064+G1066</f>
        <v>290.126689208927</v>
      </c>
      <c r="H1067" s="30" t="n">
        <f aca="false">G1067*(1+H1069)</f>
        <v>314.527952983075</v>
      </c>
      <c r="I1067" s="30" t="n">
        <f aca="false">H1067*(1+I1069)</f>
        <v>330.900005213497</v>
      </c>
      <c r="J1067" s="30" t="n">
        <f aca="false">I1067*(1+J1069)</f>
        <v>337.518005317767</v>
      </c>
      <c r="K1067" s="7" t="s">
        <v>539</v>
      </c>
    </row>
    <row r="1068" customFormat="false" ht="17.15" hidden="false" customHeight="false" outlineLevel="0" collapsed="false">
      <c r="A1068" s="0" t="s">
        <v>540</v>
      </c>
      <c r="B1068" s="0" t="s">
        <v>69</v>
      </c>
      <c r="D1068" s="21" t="n">
        <f aca="false">D1064/D1067</f>
        <v>0.0338893643806622</v>
      </c>
      <c r="E1068" s="21" t="n">
        <f aca="false">E1064/E1067</f>
        <v>0.0412008642786615</v>
      </c>
      <c r="F1068" s="21" t="n">
        <f aca="false">F1064/F1067</f>
        <v>0.0385575872926674</v>
      </c>
      <c r="G1068" s="21" t="n">
        <f aca="false">G1064/G1067</f>
        <v>0.0500901176642002</v>
      </c>
    </row>
    <row r="1069" customFormat="false" ht="15" hidden="false" customHeight="false" outlineLevel="0" collapsed="false">
      <c r="A1069" s="3" t="s">
        <v>541</v>
      </c>
      <c r="B1069" s="0" t="s">
        <v>69</v>
      </c>
      <c r="D1069" s="21" t="n">
        <f aca="false">D1067/C1067-1</f>
        <v>0.177563659478096</v>
      </c>
      <c r="E1069" s="21" t="n">
        <f aca="false">E1067/D1067-1</f>
        <v>-0.000457559981995259</v>
      </c>
      <c r="F1069" s="21" t="n">
        <f aca="false">F1067/E1067-1</f>
        <v>-0.0703580166891779</v>
      </c>
      <c r="G1069" s="21" t="n">
        <f aca="false">G1067/F1067-1</f>
        <v>0.116158319874062</v>
      </c>
      <c r="H1069" s="28" t="n">
        <f aca="false">$G1069+(fade_gC-$G1069)*1/3</f>
        <v>0.0841055465827078</v>
      </c>
      <c r="I1069" s="28" t="n">
        <f aca="false">$G1069+(fade_gC-$G1069)*2/3</f>
        <v>0.0520527732913539</v>
      </c>
      <c r="J1069" s="28" t="n">
        <f aca="false">$G1069+(fade_gC-$G1069)*3/3</f>
        <v>0.02</v>
      </c>
    </row>
    <row r="1070" customFormat="false" ht="17.15" hidden="false" customHeight="false" outlineLevel="0" collapsed="false">
      <c r="A1070" s="5" t="s">
        <v>542</v>
      </c>
    </row>
    <row r="1071" customFormat="false" ht="15" hidden="false" customHeight="false" outlineLevel="0" collapsed="false">
      <c r="A1071" s="3" t="s">
        <v>543</v>
      </c>
      <c r="B1071" s="0" t="s">
        <v>181</v>
      </c>
      <c r="D1071" s="23" t="n">
        <f aca="false">da_tot26*da_sh</f>
        <v>56.172</v>
      </c>
      <c r="E1071" s="23" t="n">
        <f aca="false">D1071*(1+dag_27+dag_adj_lo)</f>
        <v>60.10404</v>
      </c>
      <c r="F1071" s="23" t="n">
        <f aca="false">E1071*(1+dag_28+dag_adj_lo)</f>
        <v>63.109242</v>
      </c>
      <c r="G1071" s="23" t="n">
        <f aca="false">F1071*(1+dag_29+dag_adj_lo)</f>
        <v>65.00251926</v>
      </c>
    </row>
    <row r="1072" customFormat="false" ht="17.15" hidden="false" customHeight="false" outlineLevel="0" collapsed="false">
      <c r="A1072" s="3" t="s">
        <v>544</v>
      </c>
      <c r="B1072" s="0" t="s">
        <v>545</v>
      </c>
      <c r="D1072" s="23" t="n">
        <f aca="false">(D1067-a26_gp-D1071-(1-m_new)*(D1064+D1066))/D1057*1000</f>
        <v>27.9465727870208</v>
      </c>
      <c r="E1072" s="23" t="n">
        <f aca="false">D1072*(1+cc_g)</f>
        <v>28.5055042427612</v>
      </c>
      <c r="F1072" s="23" t="n">
        <f aca="false">E1072*(1+cc_g)</f>
        <v>29.0756143276165</v>
      </c>
      <c r="G1072" s="23" t="n">
        <f aca="false">F1072*(1+cc_g)</f>
        <v>29.6571266141688</v>
      </c>
      <c r="K1072" s="7" t="s">
        <v>546</v>
      </c>
    </row>
    <row r="1073" customFormat="false" ht="17.15" hidden="false" customHeight="false" outlineLevel="0" collapsed="false">
      <c r="A1073" s="3" t="s">
        <v>547</v>
      </c>
      <c r="B1073" s="0" t="s">
        <v>181</v>
      </c>
      <c r="D1073" s="23" t="n">
        <f aca="false">D1072*D1057/1000</f>
        <v>127.2556948</v>
      </c>
      <c r="E1073" s="23" t="n">
        <f aca="false">E1072*E1057/1000</f>
        <v>127.150043188577</v>
      </c>
      <c r="F1073" s="23" t="n">
        <f aca="false">F1072*F1057/1000</f>
        <v>128.617540760207</v>
      </c>
      <c r="G1073" s="23" t="n">
        <f aca="false">G1072*G1057/1000</f>
        <v>147.761246300726</v>
      </c>
    </row>
    <row r="1074" customFormat="false" ht="17.15" hidden="false" customHeight="false" outlineLevel="0" collapsed="false">
      <c r="A1074" s="3" t="s">
        <v>548</v>
      </c>
      <c r="B1074" s="0" t="s">
        <v>181</v>
      </c>
      <c r="D1074" s="23" t="n">
        <f aca="false">m_new*(D1064+D1066)</f>
        <v>4.266</v>
      </c>
      <c r="E1074" s="23" t="n">
        <f aca="false">m_new*(E1064+E1066)</f>
        <v>5.184</v>
      </c>
      <c r="F1074" s="23" t="n">
        <f aca="false">m_new*(F1064+F1066)</f>
        <v>4.51008</v>
      </c>
      <c r="G1074" s="23" t="n">
        <f aca="false">m_new*(G1064+G1066)</f>
        <v>7.691616</v>
      </c>
    </row>
    <row r="1075" customFormat="false" ht="15" hidden="false" customHeight="false" outlineLevel="0" collapsed="false">
      <c r="A1075" s="3" t="s">
        <v>411</v>
      </c>
      <c r="B1075" s="0" t="s">
        <v>181</v>
      </c>
      <c r="C1075" s="23" t="n">
        <f aca="false">a25_gp</f>
        <v>68.906</v>
      </c>
      <c r="D1075" s="23" t="n">
        <f aca="false">D1061-D1071-D1073+D1074</f>
        <v>91.0920852</v>
      </c>
      <c r="E1075" s="23" t="n">
        <f aca="false">E1061-E1071-E1073+E1074</f>
        <v>86.0157018280829</v>
      </c>
      <c r="F1075" s="23" t="n">
        <f aca="false">F1061-F1071-F1073+F1074</f>
        <v>62.69417376786</v>
      </c>
      <c r="G1075" s="23" t="n">
        <f aca="false">G1061-G1071-G1073+G1074</f>
        <v>67.9620596482009</v>
      </c>
    </row>
    <row r="1076" customFormat="false" ht="15" hidden="false" customHeight="false" outlineLevel="0" collapsed="false">
      <c r="A1076" s="3" t="s">
        <v>413</v>
      </c>
      <c r="B1076" s="0" t="s">
        <v>69</v>
      </c>
      <c r="C1076" s="15" t="n">
        <f aca="false">C1075/C1067</f>
        <v>0.290065795843454</v>
      </c>
      <c r="D1076" s="15" t="n">
        <f aca="false">D1075/D1067</f>
        <v>0.325638488136828</v>
      </c>
      <c r="E1076" s="15" t="n">
        <f aca="false">E1075/E1067</f>
        <v>0.307632053546238</v>
      </c>
      <c r="F1076" s="15" t="n">
        <f aca="false">F1075/F1067</f>
        <v>0.241193334709842</v>
      </c>
      <c r="G1076" s="15" t="n">
        <f aca="false">G1075/G1067</f>
        <v>0.234249595697346</v>
      </c>
    </row>
    <row r="1077" customFormat="false" ht="15" hidden="false" customHeight="false" outlineLevel="0" collapsed="false">
      <c r="A1077" s="3" t="s">
        <v>415</v>
      </c>
      <c r="B1077" s="0" t="s">
        <v>181</v>
      </c>
      <c r="C1077" s="23" t="n">
        <f aca="false">a25_opx</f>
        <v>25.056</v>
      </c>
      <c r="D1077" s="23" t="n">
        <f aca="false">a26_opx</f>
        <v>27.23586</v>
      </c>
      <c r="E1077" s="23" t="n">
        <f aca="false">D1077*(1+MAX(g_opx_min,phi*E1069))</f>
        <v>28.0529358</v>
      </c>
      <c r="F1077" s="23" t="n">
        <f aca="false">E1077*(1+MAX(g_opx_min,phi*F1069))</f>
        <v>28.894523874</v>
      </c>
      <c r="G1077" s="23" t="n">
        <f aca="false">F1077*(1+MAX(g_opx_min,phi*G1069))</f>
        <v>30.5726935473824</v>
      </c>
    </row>
    <row r="1078" customFormat="false" ht="15" hidden="false" customHeight="false" outlineLevel="0" collapsed="false">
      <c r="A1078" s="3" t="s">
        <v>418</v>
      </c>
      <c r="B1078" s="0" t="s">
        <v>181</v>
      </c>
      <c r="C1078" s="23" t="n">
        <f aca="false">C1075-C1077</f>
        <v>43.85</v>
      </c>
      <c r="D1078" s="23" t="n">
        <f aca="false">D1075-D1077</f>
        <v>63.8562252</v>
      </c>
      <c r="E1078" s="23" t="n">
        <f aca="false">E1075-E1077</f>
        <v>57.9627660280829</v>
      </c>
      <c r="F1078" s="23" t="n">
        <f aca="false">F1075-F1077</f>
        <v>33.79964989386</v>
      </c>
      <c r="G1078" s="23" t="n">
        <f aca="false">G1075-G1077</f>
        <v>37.3893661008184</v>
      </c>
    </row>
    <row r="1079" customFormat="false" ht="15" hidden="false" customHeight="false" outlineLevel="0" collapsed="false">
      <c r="A1079" s="3" t="s">
        <v>515</v>
      </c>
      <c r="B1079" s="0" t="s">
        <v>69</v>
      </c>
      <c r="C1079" s="15" t="n">
        <f aca="false">C1078/C1067</f>
        <v>0.184590386145408</v>
      </c>
      <c r="D1079" s="15" t="n">
        <f aca="false">D1078/D1067</f>
        <v>0.228274987740129</v>
      </c>
      <c r="E1079" s="15" t="n">
        <f aca="false">E1078/E1067</f>
        <v>0.207301741001637</v>
      </c>
      <c r="F1079" s="15" t="n">
        <f aca="false">F1078/F1067</f>
        <v>0.130032023392012</v>
      </c>
      <c r="G1079" s="15" t="n">
        <f aca="false">G1078/G1067</f>
        <v>0.128872549446471</v>
      </c>
    </row>
    <row r="1080" customFormat="false" ht="15" hidden="false" customHeight="false" outlineLevel="0" collapsed="false">
      <c r="A1080" s="3" t="s">
        <v>421</v>
      </c>
      <c r="B1080" s="0" t="s">
        <v>181</v>
      </c>
      <c r="C1080" s="23" t="n">
        <f aca="false">a25_nonop</f>
        <v>5.805</v>
      </c>
      <c r="D1080" s="23" t="n">
        <f aca="false">a26_nonop</f>
        <v>38.372</v>
      </c>
      <c r="E1080" s="23" t="n">
        <f aca="false">nonop_f</f>
        <v>4</v>
      </c>
      <c r="F1080" s="23" t="n">
        <f aca="false">nonop_f</f>
        <v>4</v>
      </c>
      <c r="G1080" s="23" t="n">
        <f aca="false">nonop_f</f>
        <v>4</v>
      </c>
    </row>
    <row r="1081" customFormat="false" ht="15" hidden="false" customHeight="false" outlineLevel="0" collapsed="false">
      <c r="A1081" s="3" t="s">
        <v>423</v>
      </c>
      <c r="B1081" s="0" t="s">
        <v>181</v>
      </c>
      <c r="C1081" s="23" t="n">
        <f aca="false">C1078+C1080</f>
        <v>49.655</v>
      </c>
      <c r="D1081" s="23" t="n">
        <f aca="false">D1078+D1080</f>
        <v>102.2282252</v>
      </c>
      <c r="E1081" s="23" t="n">
        <f aca="false">E1078+E1080</f>
        <v>61.9627660280829</v>
      </c>
      <c r="F1081" s="23" t="n">
        <f aca="false">F1078+F1080</f>
        <v>37.79964989386</v>
      </c>
      <c r="G1081" s="23" t="n">
        <f aca="false">G1078+G1080</f>
        <v>41.3893661008184</v>
      </c>
    </row>
    <row r="1082" customFormat="false" ht="15" hidden="false" customHeight="false" outlineLevel="0" collapsed="false">
      <c r="A1082" s="3" t="s">
        <v>425</v>
      </c>
      <c r="B1082" s="0" t="s">
        <v>181</v>
      </c>
      <c r="C1082" s="23" t="n">
        <f aca="false">a25_tax</f>
        <v>7.939</v>
      </c>
      <c r="D1082" s="23" t="n">
        <f aca="false">a26_tax</f>
        <v>10.493828284</v>
      </c>
      <c r="E1082" s="23" t="n">
        <f aca="false">E1081*tax</f>
        <v>9.29441490421244</v>
      </c>
      <c r="F1082" s="23" t="n">
        <f aca="false">F1081*tax</f>
        <v>5.66994748407899</v>
      </c>
      <c r="G1082" s="23" t="n">
        <f aca="false">G1081*tax</f>
        <v>6.20840491512277</v>
      </c>
    </row>
    <row r="1083" customFormat="false" ht="17.15" hidden="false" customHeight="false" outlineLevel="0" collapsed="false">
      <c r="A1083" s="3" t="s">
        <v>549</v>
      </c>
      <c r="B1083" s="0" t="s">
        <v>181</v>
      </c>
      <c r="C1083" s="23" t="n">
        <f aca="false">a25_mi</f>
        <v>0</v>
      </c>
      <c r="D1083" s="23" t="n">
        <f aca="false">a26_mi</f>
        <v>-0.134999999999987</v>
      </c>
      <c r="E1083" s="23" t="n">
        <f aca="false">0</f>
        <v>0</v>
      </c>
      <c r="F1083" s="23" t="n">
        <f aca="false">0</f>
        <v>0</v>
      </c>
      <c r="G1083" s="23" t="n">
        <f aca="false">0</f>
        <v>0</v>
      </c>
      <c r="K1083" s="7" t="s">
        <v>550</v>
      </c>
    </row>
    <row r="1084" customFormat="false" ht="15" hidden="false" customHeight="false" outlineLevel="0" collapsed="false">
      <c r="A1084" s="3" t="s">
        <v>428</v>
      </c>
      <c r="B1084" s="0" t="s">
        <v>181</v>
      </c>
      <c r="C1084" s="23" t="n">
        <f aca="false">C1081-C1082-C1083</f>
        <v>41.716</v>
      </c>
      <c r="D1084" s="23" t="n">
        <f aca="false">D1081-D1082-D1083</f>
        <v>91.869396916</v>
      </c>
      <c r="E1084" s="23" t="n">
        <f aca="false">E1081-E1082-E1083</f>
        <v>52.6683511238705</v>
      </c>
      <c r="F1084" s="23" t="n">
        <f aca="false">F1081-F1082-F1083</f>
        <v>32.129702409781</v>
      </c>
      <c r="G1084" s="23" t="n">
        <f aca="false">G1081-G1082-G1083</f>
        <v>35.1809611856957</v>
      </c>
      <c r="H1084" s="30" t="n">
        <f aca="false">H1067*H1088</f>
        <v>35.5972168118221</v>
      </c>
      <c r="I1084" s="30" t="n">
        <f aca="false">I1067*I1088</f>
        <v>34.7751399063074</v>
      </c>
      <c r="J1084" s="30" t="n">
        <f aca="false">J1067*J1088</f>
        <v>32.7421317271694</v>
      </c>
    </row>
    <row r="1085" customFormat="false" ht="15" hidden="false" customHeight="false" outlineLevel="0" collapsed="false">
      <c r="A1085" s="3" t="s">
        <v>551</v>
      </c>
      <c r="B1085" s="3" t="s">
        <v>250</v>
      </c>
      <c r="C1085" s="9" t="n">
        <f aca="false">a25_sh</f>
        <v>12.4898203592814</v>
      </c>
      <c r="D1085" s="9" t="n">
        <f aca="false">a26_sh</f>
        <v>12.4754339027235</v>
      </c>
      <c r="E1085" s="9" t="n">
        <f aca="false">q_sh*(1+sh_g)</f>
        <v>12.45</v>
      </c>
      <c r="F1085" s="9" t="n">
        <f aca="false">E1085*(1+sh_g)</f>
        <v>12.45</v>
      </c>
      <c r="G1085" s="9" t="n">
        <f aca="false">F1085*(1+sh_g)</f>
        <v>12.45</v>
      </c>
      <c r="H1085" s="32" t="n">
        <f aca="false">G1085*(1+sh_g)</f>
        <v>12.45</v>
      </c>
      <c r="I1085" s="32" t="n">
        <f aca="false">H1085*(1+sh_g)</f>
        <v>12.45</v>
      </c>
      <c r="J1085" s="32" t="n">
        <f aca="false">I1085*(1+sh_g)</f>
        <v>12.45</v>
      </c>
    </row>
    <row r="1086" customFormat="false" ht="17.15" hidden="false" customHeight="false" outlineLevel="0" collapsed="false">
      <c r="A1086" s="0" t="s">
        <v>434</v>
      </c>
      <c r="B1086" s="0" t="s">
        <v>260</v>
      </c>
      <c r="C1086" s="23" t="n">
        <f aca="false">C1084/C1085</f>
        <v>3.34</v>
      </c>
      <c r="D1086" s="23" t="n">
        <f aca="false">D1084/D1085</f>
        <v>7.36402418002826</v>
      </c>
      <c r="E1086" s="23" t="n">
        <f aca="false">E1084/E1085</f>
        <v>4.23038964850365</v>
      </c>
      <c r="F1086" s="23" t="n">
        <f aca="false">F1084/F1085</f>
        <v>2.58069898873743</v>
      </c>
      <c r="G1086" s="23" t="n">
        <f aca="false">G1084/G1085</f>
        <v>2.82578001491531</v>
      </c>
      <c r="H1086" s="30" t="n">
        <f aca="false">H1084/H1085</f>
        <v>2.85921420175278</v>
      </c>
      <c r="I1086" s="30" t="n">
        <f aca="false">I1084/I1085</f>
        <v>2.79318392821746</v>
      </c>
      <c r="J1086" s="30" t="n">
        <f aca="false">J1084/J1085</f>
        <v>2.62989009856782</v>
      </c>
    </row>
    <row r="1087" customFormat="false" ht="17.15" hidden="false" customHeight="false" outlineLevel="0" collapsed="false">
      <c r="A1087" s="0" t="s">
        <v>552</v>
      </c>
      <c r="B1087" s="0" t="s">
        <v>69</v>
      </c>
      <c r="D1087" s="21" t="n">
        <f aca="false">D1086/C1086-1</f>
        <v>1.2047976586911</v>
      </c>
      <c r="E1087" s="21" t="n">
        <f aca="false">E1086/D1086-1</f>
        <v>-0.425532895454532</v>
      </c>
      <c r="F1087" s="21" t="n">
        <f aca="false">F1086/E1086-1</f>
        <v>-0.389961870379894</v>
      </c>
      <c r="G1087" s="21" t="n">
        <f aca="false">G1086/F1086-1</f>
        <v>0.0949669168110887</v>
      </c>
      <c r="H1087" s="28" t="n">
        <f aca="false">H1086/G1086-1</f>
        <v>0.011831843477194</v>
      </c>
      <c r="I1087" s="28" t="n">
        <f aca="false">I1086/H1086-1</f>
        <v>-0.0230938533723143</v>
      </c>
      <c r="J1087" s="28" t="n">
        <f aca="false">J1086/I1086-1</f>
        <v>-0.0584615384615385</v>
      </c>
    </row>
    <row r="1088" customFormat="false" ht="17.15" hidden="false" customHeight="false" outlineLevel="0" collapsed="false">
      <c r="A1088" s="3" t="s">
        <v>553</v>
      </c>
      <c r="B1088" s="0" t="s">
        <v>69</v>
      </c>
      <c r="C1088" s="15" t="n">
        <f aca="false">C1084/C1067</f>
        <v>0.175607127672562</v>
      </c>
      <c r="D1088" s="15" t="n">
        <f aca="false">D1084/D1067</f>
        <v>0.328417243409073</v>
      </c>
      <c r="E1088" s="15" t="n">
        <f aca="false">E1084/E1067</f>
        <v>0.188366457155857</v>
      </c>
      <c r="F1088" s="15" t="n">
        <f aca="false">F1084/F1067</f>
        <v>0.123607499735847</v>
      </c>
      <c r="G1088" s="15" t="n">
        <f aca="false">G1084/G1067</f>
        <v>0.121260685397892</v>
      </c>
      <c r="H1088" s="29" t="n">
        <f aca="false">$G1088+($G$1088*0.8-$G1088)*1/3</f>
        <v>0.113176639704699</v>
      </c>
      <c r="I1088" s="29" t="n">
        <f aca="false">$G1088+($G$1088*0.8-$G1088)*2/3</f>
        <v>0.105092594011506</v>
      </c>
      <c r="J1088" s="29" t="n">
        <f aca="false">$G1088+($G$1088*0.8-$G1088)*3/3</f>
        <v>0.0970085483183135</v>
      </c>
    </row>
    <row r="1091" customFormat="false" ht="17.15" hidden="false" customHeight="false" outlineLevel="0" collapsed="false">
      <c r="A1091" s="1" t="s">
        <v>864</v>
      </c>
    </row>
    <row r="1092" customFormat="false" ht="17.15" hidden="false" customHeight="false" outlineLevel="0" collapsed="false">
      <c r="A1092" s="4" t="s">
        <v>24</v>
      </c>
      <c r="B1092" s="4" t="s">
        <v>25</v>
      </c>
      <c r="C1092" s="16" t="s">
        <v>387</v>
      </c>
      <c r="D1092" s="16" t="s">
        <v>505</v>
      </c>
      <c r="E1092" s="16" t="s">
        <v>467</v>
      </c>
      <c r="F1092" s="16" t="s">
        <v>468</v>
      </c>
      <c r="G1092" s="16" t="s">
        <v>469</v>
      </c>
      <c r="H1092" s="16" t="s">
        <v>506</v>
      </c>
      <c r="I1092" s="16" t="s">
        <v>507</v>
      </c>
      <c r="J1092" s="16" t="s">
        <v>508</v>
      </c>
      <c r="K1092" s="4" t="s">
        <v>345</v>
      </c>
    </row>
    <row r="1093" customFormat="false" ht="17.15" hidden="false" customHeight="false" outlineLevel="0" collapsed="false">
      <c r="A1093" s="5" t="s">
        <v>526</v>
      </c>
    </row>
    <row r="1094" customFormat="false" ht="17.15" hidden="false" customHeight="false" outlineLevel="0" collapsed="false">
      <c r="A1094" s="3" t="s">
        <v>527</v>
      </c>
      <c r="B1094" s="3" t="s">
        <v>64</v>
      </c>
      <c r="D1094" s="22" t="n">
        <f aca="false">cap_26</f>
        <v>5230.46851955216</v>
      </c>
      <c r="E1094" s="22" t="n">
        <f aca="false">D1094*(1+capg27)*cap_adj</f>
        <v>5439.68726033425</v>
      </c>
      <c r="F1094" s="22" t="n">
        <f aca="false">E1094*(1+capg28)</f>
        <v>5820.46536855765</v>
      </c>
      <c r="G1094" s="22" t="n">
        <f aca="false">F1094*(1+capg29)</f>
        <v>6227.89794435668</v>
      </c>
    </row>
    <row r="1095" customFormat="false" ht="15" hidden="false" customHeight="false" outlineLevel="0" collapsed="false">
      <c r="A1095" s="3" t="s">
        <v>528</v>
      </c>
      <c r="B1095" s="0" t="s">
        <v>69</v>
      </c>
      <c r="D1095" s="21" t="n">
        <f aca="false">a26_ship/cap_26</f>
        <v>0.870578781414787</v>
      </c>
      <c r="E1095" s="21" t="n">
        <f aca="false">MIN(0.98,ut27_A+ut_adj)</f>
        <v>0.95</v>
      </c>
      <c r="F1095" s="21" t="n">
        <f aca="false">MIN(0.98,ut28_A+ut_adj)</f>
        <v>0.94</v>
      </c>
      <c r="G1095" s="21" t="n">
        <f aca="false">MIN(0.98,ut29_A+ut_adj)</f>
        <v>0.93</v>
      </c>
    </row>
    <row r="1096" customFormat="false" ht="17.15" hidden="false" customHeight="false" outlineLevel="0" collapsed="false">
      <c r="A1096" s="3" t="s">
        <v>529</v>
      </c>
      <c r="B1096" s="3" t="s">
        <v>64</v>
      </c>
      <c r="D1096" s="22" t="n">
        <f aca="false">D1094*D1095</f>
        <v>4553.53490998013</v>
      </c>
      <c r="E1096" s="22" t="n">
        <f aca="false">E1094*E1095</f>
        <v>5167.70289731754</v>
      </c>
      <c r="F1096" s="22" t="n">
        <f aca="false">F1094*F1095</f>
        <v>5471.23744644419</v>
      </c>
      <c r="G1096" s="22" t="n">
        <f aca="false">G1094*G1095</f>
        <v>5791.94508825172</v>
      </c>
    </row>
    <row r="1097" customFormat="false" ht="17.15" hidden="false" customHeight="false" outlineLevel="0" collapsed="false">
      <c r="A1097" s="3" t="s">
        <v>530</v>
      </c>
      <c r="B1097" s="0" t="s">
        <v>109</v>
      </c>
      <c r="D1097" s="22" t="n">
        <f aca="false">asp_26</f>
        <v>1878.17486396824</v>
      </c>
      <c r="E1097" s="22" t="n">
        <f aca="false">D1097*(1+asp27_A)*(1+asp_adj)</f>
        <v>2065.99235036507</v>
      </c>
      <c r="F1097" s="22" t="n">
        <f aca="false">E1097*(1+asp28_A)</f>
        <v>2127.97212087602</v>
      </c>
      <c r="G1097" s="22" t="n">
        <f aca="false">F1097*(1+asp29_A)</f>
        <v>2170.53156329354</v>
      </c>
    </row>
    <row r="1098" customFormat="false" ht="15" hidden="false" customHeight="false" outlineLevel="0" collapsed="false">
      <c r="A1098" s="3" t="s">
        <v>531</v>
      </c>
      <c r="B1098" s="0" t="s">
        <v>69</v>
      </c>
      <c r="E1098" s="21" t="n">
        <f aca="false">E1097/D1097-1</f>
        <v>0.1</v>
      </c>
      <c r="F1098" s="21" t="n">
        <f aca="false">F1097/E1097-1</f>
        <v>0.03</v>
      </c>
      <c r="G1098" s="21" t="n">
        <f aca="false">G1097/F1097-1</f>
        <v>0.02</v>
      </c>
    </row>
    <row r="1099" customFormat="false" ht="15" hidden="false" customHeight="false" outlineLevel="0" collapsed="false">
      <c r="A1099" s="3" t="s">
        <v>532</v>
      </c>
      <c r="B1099" s="0" t="s">
        <v>35</v>
      </c>
      <c r="D1099" s="23" t="n">
        <f aca="false">fx_26</f>
        <v>31.6</v>
      </c>
      <c r="E1099" s="23" t="n">
        <f aca="false">fx</f>
        <v>32</v>
      </c>
      <c r="F1099" s="23" t="n">
        <f aca="false">fx</f>
        <v>32</v>
      </c>
      <c r="G1099" s="23" t="n">
        <f aca="false">fx</f>
        <v>32</v>
      </c>
    </row>
    <row r="1100" customFormat="false" ht="17.15" hidden="false" customHeight="false" outlineLevel="0" collapsed="false">
      <c r="A1100" s="3" t="s">
        <v>533</v>
      </c>
      <c r="B1100" s="0" t="s">
        <v>181</v>
      </c>
      <c r="D1100" s="23" t="n">
        <f aca="false">D1096*D1097*D1099/1000000</f>
        <v>270.25378</v>
      </c>
      <c r="E1100" s="23" t="n">
        <f aca="false">E1096*E1097*E1099/1000000</f>
        <v>341.645908954158</v>
      </c>
      <c r="F1100" s="23" t="n">
        <f aca="false">F1096*F1097*F1099/1000000</f>
        <v>372.564504087237</v>
      </c>
      <c r="G1100" s="23" t="n">
        <f aca="false">G1096*G1097*G1099/1000000</f>
        <v>402.291188061227</v>
      </c>
    </row>
    <row r="1101" customFormat="false" ht="17.15" hidden="false" customHeight="false" outlineLevel="0" collapsed="false">
      <c r="A1101" s="5" t="s">
        <v>534</v>
      </c>
    </row>
    <row r="1102" customFormat="false" ht="17.15" hidden="false" customHeight="false" outlineLevel="0" collapsed="false">
      <c r="A1102" s="0" t="s">
        <v>535</v>
      </c>
      <c r="B1102" s="0" t="s">
        <v>138</v>
      </c>
      <c r="D1102" s="25" t="n">
        <f aca="false">ai_26</f>
        <v>0.3</v>
      </c>
      <c r="E1102" s="25" t="n">
        <f aca="false">D1102*(1+aig27_A)*ai_adj</f>
        <v>0.48</v>
      </c>
      <c r="F1102" s="25" t="n">
        <f aca="false">E1102*(1+aig_L)*um28_A</f>
        <v>0.696</v>
      </c>
      <c r="G1102" s="25" t="n">
        <f aca="false">F1102/um28_A*(1+aig_L)*um29_A</f>
        <v>1.0092</v>
      </c>
    </row>
    <row r="1103" customFormat="false" ht="17.15" hidden="false" customHeight="false" outlineLevel="0" collapsed="false">
      <c r="A1103" s="0" t="s">
        <v>536</v>
      </c>
      <c r="B1103" s="0" t="s">
        <v>181</v>
      </c>
      <c r="D1103" s="23" t="n">
        <f aca="false">D1102*D1099</f>
        <v>9.48</v>
      </c>
      <c r="E1103" s="23" t="n">
        <f aca="false">E1102*E1099</f>
        <v>15.36</v>
      </c>
      <c r="F1103" s="23" t="n">
        <f aca="false">F1102*F1099</f>
        <v>22.272</v>
      </c>
      <c r="G1103" s="23" t="n">
        <f aca="false">G1102*G1099</f>
        <v>32.2944</v>
      </c>
    </row>
    <row r="1104" customFormat="false" ht="17.15" hidden="false" customHeight="false" outlineLevel="0" collapsed="false">
      <c r="A1104" s="0" t="s">
        <v>537</v>
      </c>
      <c r="B1104" s="0" t="s">
        <v>138</v>
      </c>
      <c r="D1104" s="25" t="n">
        <f aca="false">0</f>
        <v>0</v>
      </c>
      <c r="E1104" s="25" t="n">
        <f aca="false">int_27</f>
        <v>0</v>
      </c>
      <c r="F1104" s="25" t="n">
        <f aca="false">int28_A</f>
        <v>0.25</v>
      </c>
      <c r="G1104" s="25" t="n">
        <f aca="false">int29_A</f>
        <v>0.5</v>
      </c>
    </row>
    <row r="1105" customFormat="false" ht="17.15" hidden="false" customHeight="false" outlineLevel="0" collapsed="false">
      <c r="A1105" s="0" t="s">
        <v>538</v>
      </c>
      <c r="B1105" s="0" t="s">
        <v>181</v>
      </c>
      <c r="D1105" s="23" t="n">
        <f aca="false">D1104*D1099</f>
        <v>0</v>
      </c>
      <c r="E1105" s="23" t="n">
        <f aca="false">E1104*E1099</f>
        <v>0</v>
      </c>
      <c r="F1105" s="23" t="n">
        <f aca="false">F1104*F1099</f>
        <v>8</v>
      </c>
      <c r="G1105" s="23" t="n">
        <f aca="false">G1104*G1099</f>
        <v>16</v>
      </c>
    </row>
    <row r="1106" customFormat="false" ht="17.15" hidden="false" customHeight="false" outlineLevel="0" collapsed="false">
      <c r="A1106" s="3" t="s">
        <v>393</v>
      </c>
      <c r="B1106" s="0" t="s">
        <v>181</v>
      </c>
      <c r="C1106" s="23" t="n">
        <f aca="false">a25_rev</f>
        <v>237.553</v>
      </c>
      <c r="D1106" s="23" t="n">
        <f aca="false">D1100+D1103+D1105</f>
        <v>279.73378</v>
      </c>
      <c r="E1106" s="23" t="n">
        <f aca="false">E1100+E1103+E1105</f>
        <v>357.005908954158</v>
      </c>
      <c r="F1106" s="23" t="n">
        <f aca="false">F1100+F1103+F1105</f>
        <v>402.836504087237</v>
      </c>
      <c r="G1106" s="23" t="n">
        <f aca="false">G1100+G1103+G1105</f>
        <v>450.585588061227</v>
      </c>
      <c r="H1106" s="30" t="n">
        <f aca="false">G1106*(1+H1108)</f>
        <v>495.203224084546</v>
      </c>
      <c r="I1106" s="30" t="n">
        <f aca="false">H1106*(1+I1108)</f>
        <v>534.577190214366</v>
      </c>
      <c r="J1106" s="30" t="n">
        <f aca="false">I1106*(1+J1108)</f>
        <v>566.651821627228</v>
      </c>
      <c r="K1106" s="7" t="s">
        <v>539</v>
      </c>
    </row>
    <row r="1107" customFormat="false" ht="17.15" hidden="false" customHeight="false" outlineLevel="0" collapsed="false">
      <c r="A1107" s="0" t="s">
        <v>540</v>
      </c>
      <c r="B1107" s="0" t="s">
        <v>69</v>
      </c>
      <c r="D1107" s="21" t="n">
        <f aca="false">D1103/D1106</f>
        <v>0.0338893643806622</v>
      </c>
      <c r="E1107" s="21" t="n">
        <f aca="false">E1103/E1106</f>
        <v>0.0430244979557813</v>
      </c>
      <c r="F1107" s="21" t="n">
        <f aca="false">F1103/F1106</f>
        <v>0.0552879388387723</v>
      </c>
      <c r="G1107" s="21" t="n">
        <f aca="false">G1103/G1106</f>
        <v>0.0716720659862999</v>
      </c>
    </row>
    <row r="1108" customFormat="false" ht="15" hidden="false" customHeight="false" outlineLevel="0" collapsed="false">
      <c r="A1108" s="3" t="s">
        <v>541</v>
      </c>
      <c r="B1108" s="0" t="s">
        <v>69</v>
      </c>
      <c r="D1108" s="21" t="n">
        <f aca="false">D1106/C1106-1</f>
        <v>0.177563659478096</v>
      </c>
      <c r="E1108" s="21" t="n">
        <f aca="false">E1106/D1106-1</f>
        <v>0.276234528965926</v>
      </c>
      <c r="F1108" s="21" t="n">
        <f aca="false">F1106/E1106-1</f>
        <v>0.128374892357772</v>
      </c>
      <c r="G1108" s="21" t="n">
        <f aca="false">G1106/F1106-1</f>
        <v>0.118532167491082</v>
      </c>
      <c r="H1108" s="28" t="n">
        <f aca="false">$G1108+(fade_gA-$G1108)*1/3</f>
        <v>0.099021444994055</v>
      </c>
      <c r="I1108" s="28" t="n">
        <f aca="false">$G1108+(fade_gA-$G1108)*2/3</f>
        <v>0.0795107224970275</v>
      </c>
      <c r="J1108" s="28" t="n">
        <f aca="false">$G1108+(fade_gA-$G1108)*3/3</f>
        <v>0.06</v>
      </c>
    </row>
    <row r="1109" customFormat="false" ht="17.15" hidden="false" customHeight="false" outlineLevel="0" collapsed="false">
      <c r="A1109" s="5" t="s">
        <v>542</v>
      </c>
    </row>
    <row r="1110" customFormat="false" ht="15" hidden="false" customHeight="false" outlineLevel="0" collapsed="false">
      <c r="A1110" s="3" t="s">
        <v>543</v>
      </c>
      <c r="B1110" s="0" t="s">
        <v>181</v>
      </c>
      <c r="D1110" s="23" t="n">
        <f aca="false">da_tot26*da_sh</f>
        <v>56.172</v>
      </c>
      <c r="E1110" s="23" t="n">
        <f aca="false">D1110*(1+dag_27+dag_adj_hi)</f>
        <v>65.72124</v>
      </c>
      <c r="F1110" s="23" t="n">
        <f aca="false">E1110*(1+dag_28+dag_adj_hi)</f>
        <v>75.579426</v>
      </c>
      <c r="G1110" s="23" t="n">
        <f aca="false">F1110*(1+dag_29+dag_adj_hi)</f>
        <v>85.40475138</v>
      </c>
    </row>
    <row r="1111" customFormat="false" ht="17.15" hidden="false" customHeight="false" outlineLevel="0" collapsed="false">
      <c r="A1111" s="3" t="s">
        <v>544</v>
      </c>
      <c r="B1111" s="0" t="s">
        <v>545</v>
      </c>
      <c r="D1111" s="23" t="n">
        <f aca="false">(D1106-a26_gp-D1110-(1-m_new)*(D1103+D1105))/D1096*1000</f>
        <v>27.9465727870208</v>
      </c>
      <c r="E1111" s="23" t="n">
        <f aca="false">D1111*(1+cc_g)</f>
        <v>28.5055042427612</v>
      </c>
      <c r="F1111" s="23" t="n">
        <f aca="false">E1111*(1+cc_g)</f>
        <v>29.0756143276165</v>
      </c>
      <c r="G1111" s="23" t="n">
        <f aca="false">F1111*(1+cc_g)</f>
        <v>29.6571266141688</v>
      </c>
      <c r="K1111" s="7" t="s">
        <v>546</v>
      </c>
    </row>
    <row r="1112" customFormat="false" ht="17.15" hidden="false" customHeight="false" outlineLevel="0" collapsed="false">
      <c r="A1112" s="3" t="s">
        <v>547</v>
      </c>
      <c r="B1112" s="0" t="s">
        <v>181</v>
      </c>
      <c r="D1112" s="23" t="n">
        <f aca="false">D1111*D1096/1000</f>
        <v>127.2556948</v>
      </c>
      <c r="E1112" s="23" t="n">
        <f aca="false">E1111*E1096/1000</f>
        <v>147.307976864815</v>
      </c>
      <c r="F1112" s="23" t="n">
        <f aca="false">F1111*F1096/1000</f>
        <v>159.079589887624</v>
      </c>
      <c r="G1112" s="23" t="n">
        <f aca="false">G1111*G1096/1000</f>
        <v>171.772448824594</v>
      </c>
    </row>
    <row r="1113" customFormat="false" ht="17.15" hidden="false" customHeight="false" outlineLevel="0" collapsed="false">
      <c r="A1113" s="3" t="s">
        <v>548</v>
      </c>
      <c r="B1113" s="0" t="s">
        <v>181</v>
      </c>
      <c r="D1113" s="23" t="n">
        <f aca="false">m_new*(D1103+D1105)</f>
        <v>4.266</v>
      </c>
      <c r="E1113" s="23" t="n">
        <f aca="false">m_new*(E1103+E1105)</f>
        <v>6.912</v>
      </c>
      <c r="F1113" s="23" t="n">
        <f aca="false">m_new*(F1103+F1105)</f>
        <v>13.6224</v>
      </c>
      <c r="G1113" s="23" t="n">
        <f aca="false">m_new*(G1103+G1105)</f>
        <v>21.73248</v>
      </c>
    </row>
    <row r="1114" customFormat="false" ht="15" hidden="false" customHeight="false" outlineLevel="0" collapsed="false">
      <c r="A1114" s="3" t="s">
        <v>411</v>
      </c>
      <c r="B1114" s="0" t="s">
        <v>181</v>
      </c>
      <c r="C1114" s="23" t="n">
        <f aca="false">a25_gp</f>
        <v>68.906</v>
      </c>
      <c r="D1114" s="23" t="n">
        <f aca="false">D1100-D1110-D1112+D1113</f>
        <v>91.0920852</v>
      </c>
      <c r="E1114" s="23" t="n">
        <f aca="false">E1100-E1110-E1112+E1113</f>
        <v>135.528692089343</v>
      </c>
      <c r="F1114" s="23" t="n">
        <f aca="false">F1100-F1110-F1112+F1113</f>
        <v>151.527888199612</v>
      </c>
      <c r="G1114" s="23" t="n">
        <f aca="false">G1100-G1110-G1112+G1113</f>
        <v>166.846467856633</v>
      </c>
    </row>
    <row r="1115" customFormat="false" ht="15" hidden="false" customHeight="false" outlineLevel="0" collapsed="false">
      <c r="A1115" s="3" t="s">
        <v>413</v>
      </c>
      <c r="B1115" s="0" t="s">
        <v>69</v>
      </c>
      <c r="C1115" s="15" t="n">
        <f aca="false">C1114/C1106</f>
        <v>0.290065795843454</v>
      </c>
      <c r="D1115" s="15" t="n">
        <f aca="false">D1114/D1106</f>
        <v>0.325638488136828</v>
      </c>
      <c r="E1115" s="15" t="n">
        <f aca="false">E1114/E1106</f>
        <v>0.379625907275238</v>
      </c>
      <c r="F1115" s="15" t="n">
        <f aca="false">F1114/F1106</f>
        <v>0.376152326470389</v>
      </c>
      <c r="G1115" s="15" t="n">
        <f aca="false">G1114/G1106</f>
        <v>0.370288070185594</v>
      </c>
    </row>
    <row r="1116" customFormat="false" ht="15" hidden="false" customHeight="false" outlineLevel="0" collapsed="false">
      <c r="A1116" s="3" t="s">
        <v>415</v>
      </c>
      <c r="B1116" s="0" t="s">
        <v>181</v>
      </c>
      <c r="C1116" s="23" t="n">
        <f aca="false">a25_opx</f>
        <v>25.056</v>
      </c>
      <c r="D1116" s="23" t="n">
        <f aca="false">a26_opx</f>
        <v>27.23586</v>
      </c>
      <c r="E1116" s="23" t="n">
        <f aca="false">D1116*(1+MAX(g_opx_min,phi*E1108))</f>
        <v>30.997602479041</v>
      </c>
      <c r="F1116" s="23" t="n">
        <f aca="false">E1116*(1+MAX(g_opx_min,phi*F1108))</f>
        <v>32.9872594198389</v>
      </c>
      <c r="G1116" s="23" t="n">
        <f aca="false">F1116*(1+MAX(g_opx_min,phi*G1108))</f>
        <v>34.942285099151</v>
      </c>
    </row>
    <row r="1117" customFormat="false" ht="15" hidden="false" customHeight="false" outlineLevel="0" collapsed="false">
      <c r="A1117" s="3" t="s">
        <v>418</v>
      </c>
      <c r="B1117" s="0" t="s">
        <v>181</v>
      </c>
      <c r="C1117" s="23" t="n">
        <f aca="false">C1114-C1116</f>
        <v>43.85</v>
      </c>
      <c r="D1117" s="23" t="n">
        <f aca="false">D1114-D1116</f>
        <v>63.8562252</v>
      </c>
      <c r="E1117" s="23" t="n">
        <f aca="false">E1114-E1116</f>
        <v>104.531089610302</v>
      </c>
      <c r="F1117" s="23" t="n">
        <f aca="false">F1114-F1116</f>
        <v>118.540628779773</v>
      </c>
      <c r="G1117" s="23" t="n">
        <f aca="false">G1114-G1116</f>
        <v>131.904182757482</v>
      </c>
    </row>
    <row r="1118" customFormat="false" ht="15" hidden="false" customHeight="false" outlineLevel="0" collapsed="false">
      <c r="A1118" s="3" t="s">
        <v>515</v>
      </c>
      <c r="B1118" s="0" t="s">
        <v>69</v>
      </c>
      <c r="C1118" s="15" t="n">
        <f aca="false">C1117/C1106</f>
        <v>0.184590386145408</v>
      </c>
      <c r="D1118" s="15" t="n">
        <f aca="false">D1117/D1106</f>
        <v>0.228274987740129</v>
      </c>
      <c r="E1118" s="15" t="n">
        <f aca="false">E1117/E1106</f>
        <v>0.292799326253518</v>
      </c>
      <c r="F1118" s="15" t="n">
        <f aca="false">F1117/F1106</f>
        <v>0.29426486323122</v>
      </c>
      <c r="G1118" s="15" t="n">
        <f aca="false">G1117/G1106</f>
        <v>0.292739462274054</v>
      </c>
    </row>
    <row r="1119" customFormat="false" ht="15" hidden="false" customHeight="false" outlineLevel="0" collapsed="false">
      <c r="A1119" s="3" t="s">
        <v>421</v>
      </c>
      <c r="B1119" s="0" t="s">
        <v>181</v>
      </c>
      <c r="C1119" s="23" t="n">
        <f aca="false">a25_nonop</f>
        <v>5.805</v>
      </c>
      <c r="D1119" s="23" t="n">
        <f aca="false">a26_nonop</f>
        <v>38.372</v>
      </c>
      <c r="E1119" s="23" t="n">
        <f aca="false">nonop_f</f>
        <v>4</v>
      </c>
      <c r="F1119" s="23" t="n">
        <f aca="false">nonop_f</f>
        <v>4</v>
      </c>
      <c r="G1119" s="23" t="n">
        <f aca="false">nonop_f</f>
        <v>4</v>
      </c>
    </row>
    <row r="1120" customFormat="false" ht="15" hidden="false" customHeight="false" outlineLevel="0" collapsed="false">
      <c r="A1120" s="3" t="s">
        <v>423</v>
      </c>
      <c r="B1120" s="0" t="s">
        <v>181</v>
      </c>
      <c r="C1120" s="23" t="n">
        <f aca="false">C1117+C1119</f>
        <v>49.655</v>
      </c>
      <c r="D1120" s="23" t="n">
        <f aca="false">D1117+D1119</f>
        <v>102.2282252</v>
      </c>
      <c r="E1120" s="23" t="n">
        <f aca="false">E1117+E1119</f>
        <v>108.531089610302</v>
      </c>
      <c r="F1120" s="23" t="n">
        <f aca="false">F1117+F1119</f>
        <v>122.540628779773</v>
      </c>
      <c r="G1120" s="23" t="n">
        <f aca="false">G1117+G1119</f>
        <v>135.904182757482</v>
      </c>
    </row>
    <row r="1121" customFormat="false" ht="15" hidden="false" customHeight="false" outlineLevel="0" collapsed="false">
      <c r="A1121" s="3" t="s">
        <v>425</v>
      </c>
      <c r="B1121" s="0" t="s">
        <v>181</v>
      </c>
      <c r="C1121" s="23" t="n">
        <f aca="false">a25_tax</f>
        <v>7.939</v>
      </c>
      <c r="D1121" s="23" t="n">
        <f aca="false">a26_tax</f>
        <v>10.493828284</v>
      </c>
      <c r="E1121" s="23" t="n">
        <f aca="false">E1120*tax</f>
        <v>16.2796634415454</v>
      </c>
      <c r="F1121" s="23" t="n">
        <f aca="false">F1120*tax</f>
        <v>18.381094316966</v>
      </c>
      <c r="G1121" s="23" t="n">
        <f aca="false">G1120*tax</f>
        <v>20.3856274136223</v>
      </c>
    </row>
    <row r="1122" customFormat="false" ht="17.15" hidden="false" customHeight="false" outlineLevel="0" collapsed="false">
      <c r="A1122" s="3" t="s">
        <v>549</v>
      </c>
      <c r="B1122" s="0" t="s">
        <v>181</v>
      </c>
      <c r="C1122" s="23" t="n">
        <f aca="false">a25_mi</f>
        <v>0</v>
      </c>
      <c r="D1122" s="23" t="n">
        <f aca="false">a26_mi</f>
        <v>-0.134999999999987</v>
      </c>
      <c r="E1122" s="23" t="n">
        <f aca="false">0</f>
        <v>0</v>
      </c>
      <c r="F1122" s="23" t="n">
        <f aca="false">0</f>
        <v>0</v>
      </c>
      <c r="G1122" s="23" t="n">
        <f aca="false">0</f>
        <v>0</v>
      </c>
      <c r="K1122" s="7" t="s">
        <v>550</v>
      </c>
    </row>
    <row r="1123" customFormat="false" ht="15" hidden="false" customHeight="false" outlineLevel="0" collapsed="false">
      <c r="A1123" s="3" t="s">
        <v>428</v>
      </c>
      <c r="B1123" s="0" t="s">
        <v>181</v>
      </c>
      <c r="C1123" s="23" t="n">
        <f aca="false">C1120-C1121-C1122</f>
        <v>41.716</v>
      </c>
      <c r="D1123" s="23" t="n">
        <f aca="false">D1120-D1121-D1122</f>
        <v>91.869396916</v>
      </c>
      <c r="E1123" s="23" t="n">
        <f aca="false">E1120-E1121-E1122</f>
        <v>92.251426168757</v>
      </c>
      <c r="F1123" s="23" t="n">
        <f aca="false">F1120-F1121-F1122</f>
        <v>104.159534462807</v>
      </c>
      <c r="G1123" s="23" t="n">
        <f aca="false">G1120-G1121-G1122</f>
        <v>115.51855534386</v>
      </c>
      <c r="H1123" s="30" t="n">
        <f aca="false">H1106*H1127</f>
        <v>126.957369617634</v>
      </c>
      <c r="I1123" s="30" t="n">
        <f aca="false">I1106*I1127</f>
        <v>137.051841802255</v>
      </c>
      <c r="J1123" s="30" t="n">
        <f aca="false">J1106*J1127</f>
        <v>145.27495231039</v>
      </c>
    </row>
    <row r="1124" customFormat="false" ht="15" hidden="false" customHeight="false" outlineLevel="0" collapsed="false">
      <c r="A1124" s="3" t="s">
        <v>551</v>
      </c>
      <c r="B1124" s="3" t="s">
        <v>250</v>
      </c>
      <c r="C1124" s="9" t="n">
        <f aca="false">a25_sh</f>
        <v>12.4898203592814</v>
      </c>
      <c r="D1124" s="9" t="n">
        <f aca="false">a26_sh</f>
        <v>12.4754339027235</v>
      </c>
      <c r="E1124" s="9" t="n">
        <f aca="false">q_sh*(1+sh_g)</f>
        <v>12.45</v>
      </c>
      <c r="F1124" s="9" t="n">
        <f aca="false">E1124*(1+sh_g)</f>
        <v>12.45</v>
      </c>
      <c r="G1124" s="9" t="n">
        <f aca="false">F1124*(1+sh_g)</f>
        <v>12.45</v>
      </c>
      <c r="H1124" s="32" t="n">
        <f aca="false">G1124*(1+sh_g)</f>
        <v>12.45</v>
      </c>
      <c r="I1124" s="32" t="n">
        <f aca="false">H1124*(1+sh_g)</f>
        <v>12.45</v>
      </c>
      <c r="J1124" s="32" t="n">
        <f aca="false">I1124*(1+sh_g)</f>
        <v>12.45</v>
      </c>
    </row>
    <row r="1125" customFormat="false" ht="17.15" hidden="false" customHeight="false" outlineLevel="0" collapsed="false">
      <c r="A1125" s="0" t="s">
        <v>434</v>
      </c>
      <c r="B1125" s="0" t="s">
        <v>260</v>
      </c>
      <c r="C1125" s="23" t="n">
        <f aca="false">C1123/C1124</f>
        <v>3.34</v>
      </c>
      <c r="D1125" s="23" t="n">
        <f aca="false">D1123/D1124</f>
        <v>7.36402418002826</v>
      </c>
      <c r="E1125" s="23" t="n">
        <f aca="false">E1123/E1124</f>
        <v>7.40975310592426</v>
      </c>
      <c r="F1125" s="23" t="n">
        <f aca="false">F1123/F1124</f>
        <v>8.36622766769537</v>
      </c>
      <c r="G1125" s="23" t="n">
        <f aca="false">G1123/G1124</f>
        <v>9.27859882279997</v>
      </c>
      <c r="H1125" s="30" t="n">
        <f aca="false">H1123/H1124</f>
        <v>10.1973790857538</v>
      </c>
      <c r="I1125" s="30" t="n">
        <f aca="false">I1123/I1124</f>
        <v>11.0081800644381</v>
      </c>
      <c r="J1125" s="30" t="n">
        <f aca="false">J1123/J1124</f>
        <v>11.6686708683044</v>
      </c>
    </row>
    <row r="1126" customFormat="false" ht="17.15" hidden="false" customHeight="false" outlineLevel="0" collapsed="false">
      <c r="A1126" s="0" t="s">
        <v>552</v>
      </c>
      <c r="B1126" s="0" t="s">
        <v>69</v>
      </c>
      <c r="D1126" s="21" t="n">
        <f aca="false">D1125/C1125-1</f>
        <v>1.2047976586911</v>
      </c>
      <c r="E1126" s="21" t="n">
        <f aca="false">E1125/D1125-1</f>
        <v>0.00620977400101608</v>
      </c>
      <c r="F1126" s="21" t="n">
        <f aca="false">F1125/E1125-1</f>
        <v>0.129083189155977</v>
      </c>
      <c r="G1126" s="21" t="n">
        <f aca="false">G1125/F1125-1</f>
        <v>0.109054067298163</v>
      </c>
      <c r="H1126" s="28" t="n">
        <f aca="false">H1125/G1125-1</f>
        <v>0.099021444994055</v>
      </c>
      <c r="I1126" s="28" t="n">
        <f aca="false">I1125/H1125-1</f>
        <v>0.0795107224970275</v>
      </c>
      <c r="J1126" s="28" t="n">
        <f aca="false">J1125/I1125-1</f>
        <v>0.0600000000000001</v>
      </c>
    </row>
    <row r="1127" customFormat="false" ht="17.15" hidden="false" customHeight="false" outlineLevel="0" collapsed="false">
      <c r="A1127" s="3" t="s">
        <v>553</v>
      </c>
      <c r="B1127" s="0" t="s">
        <v>69</v>
      </c>
      <c r="C1127" s="15" t="n">
        <f aca="false">C1123/C1106</f>
        <v>0.175607127672562</v>
      </c>
      <c r="D1127" s="15" t="n">
        <f aca="false">D1123/D1106</f>
        <v>0.328417243409073</v>
      </c>
      <c r="E1127" s="15" t="n">
        <f aca="false">E1123/E1106</f>
        <v>0.258403079206744</v>
      </c>
      <c r="F1127" s="15" t="n">
        <f aca="false">F1123/F1106</f>
        <v>0.25856528245576</v>
      </c>
      <c r="G1127" s="15" t="n">
        <f aca="false">G1123/G1106</f>
        <v>0.256374279170604</v>
      </c>
      <c r="H1127" s="29" t="n">
        <f aca="false">$G1127+($G$1127*1-$G1127)*1/3</f>
        <v>0.256374279170604</v>
      </c>
      <c r="I1127" s="29" t="n">
        <f aca="false">$G1127+($G$1127*1-$G1127)*2/3</f>
        <v>0.256374279170604</v>
      </c>
      <c r="J1127" s="29" t="n">
        <f aca="false">$G1127+($G$1127*1-$G1127)*3/3</f>
        <v>0.256374279170604</v>
      </c>
    </row>
    <row r="1130" customFormat="false" ht="17.15" hidden="false" customHeight="false" outlineLevel="0" collapsed="false">
      <c r="A1130" s="1" t="s">
        <v>865</v>
      </c>
    </row>
    <row r="1131" customFormat="false" ht="17.15" hidden="false" customHeight="false" outlineLevel="0" collapsed="false">
      <c r="A1131" s="4" t="s">
        <v>24</v>
      </c>
      <c r="B1131" s="4" t="s">
        <v>25</v>
      </c>
      <c r="C1131" s="16" t="s">
        <v>387</v>
      </c>
      <c r="D1131" s="16" t="s">
        <v>505</v>
      </c>
      <c r="E1131" s="16" t="s">
        <v>467</v>
      </c>
      <c r="F1131" s="16" t="s">
        <v>468</v>
      </c>
      <c r="G1131" s="16" t="s">
        <v>469</v>
      </c>
      <c r="H1131" s="16" t="s">
        <v>506</v>
      </c>
      <c r="I1131" s="16" t="s">
        <v>507</v>
      </c>
      <c r="J1131" s="16" t="s">
        <v>508</v>
      </c>
      <c r="K1131" s="4" t="s">
        <v>345</v>
      </c>
    </row>
    <row r="1132" customFormat="false" ht="17.15" hidden="false" customHeight="false" outlineLevel="0" collapsed="false">
      <c r="A1132" s="5" t="s">
        <v>526</v>
      </c>
    </row>
    <row r="1133" customFormat="false" ht="17.15" hidden="false" customHeight="false" outlineLevel="0" collapsed="false">
      <c r="A1133" s="3" t="s">
        <v>527</v>
      </c>
      <c r="B1133" s="3" t="s">
        <v>64</v>
      </c>
      <c r="D1133" s="22" t="n">
        <f aca="false">cap_26</f>
        <v>5230.46851955216</v>
      </c>
      <c r="E1133" s="22" t="n">
        <f aca="false">D1133*(1+capg27)*cap_adj</f>
        <v>5439.68726033425</v>
      </c>
      <c r="F1133" s="22" t="n">
        <f aca="false">E1133*(1+capg28)</f>
        <v>5820.46536855765</v>
      </c>
      <c r="G1133" s="22" t="n">
        <f aca="false">F1133*(1+capg29)</f>
        <v>6227.89794435668</v>
      </c>
    </row>
    <row r="1134" customFormat="false" ht="15" hidden="false" customHeight="false" outlineLevel="0" collapsed="false">
      <c r="A1134" s="3" t="s">
        <v>528</v>
      </c>
      <c r="B1134" s="0" t="s">
        <v>69</v>
      </c>
      <c r="D1134" s="21" t="n">
        <f aca="false">a26_ship/cap_26</f>
        <v>0.870578781414787</v>
      </c>
      <c r="E1134" s="21" t="n">
        <f aca="false">MIN(0.98,ut27_B+ut_adj)</f>
        <v>0.9</v>
      </c>
      <c r="F1134" s="21" t="n">
        <f aca="false">MIN(0.98,ut28_B+ut_adj)</f>
        <v>0.87</v>
      </c>
      <c r="G1134" s="21" t="n">
        <f aca="false">MIN(0.98,ut29_B+ut_adj)</f>
        <v>0.88</v>
      </c>
    </row>
    <row r="1135" customFormat="false" ht="17.15" hidden="false" customHeight="false" outlineLevel="0" collapsed="false">
      <c r="A1135" s="3" t="s">
        <v>529</v>
      </c>
      <c r="B1135" s="3" t="s">
        <v>64</v>
      </c>
      <c r="D1135" s="22" t="n">
        <f aca="false">D1133*D1134</f>
        <v>4553.53490998013</v>
      </c>
      <c r="E1135" s="22" t="n">
        <f aca="false">E1133*E1134</f>
        <v>4895.71853430083</v>
      </c>
      <c r="F1135" s="22" t="n">
        <f aca="false">F1133*F1134</f>
        <v>5063.80487064515</v>
      </c>
      <c r="G1135" s="22" t="n">
        <f aca="false">G1133*G1134</f>
        <v>5480.55019103388</v>
      </c>
    </row>
    <row r="1136" customFormat="false" ht="17.15" hidden="false" customHeight="false" outlineLevel="0" collapsed="false">
      <c r="A1136" s="3" t="s">
        <v>530</v>
      </c>
      <c r="B1136" s="0" t="s">
        <v>109</v>
      </c>
      <c r="D1136" s="22" t="n">
        <f aca="false">asp_26</f>
        <v>1878.17486396824</v>
      </c>
      <c r="E1136" s="22" t="n">
        <f aca="false">D1136*(1+asp27_B)*(1+asp_adj)</f>
        <v>1972.08360716666</v>
      </c>
      <c r="F1136" s="22" t="n">
        <f aca="false">E1136*(1+asp28_B)</f>
        <v>1972.08360716666</v>
      </c>
      <c r="G1136" s="22" t="n">
        <f aca="false">F1136*(1+asp29_B)</f>
        <v>1972.08360716666</v>
      </c>
    </row>
    <row r="1137" customFormat="false" ht="15" hidden="false" customHeight="false" outlineLevel="0" collapsed="false">
      <c r="A1137" s="3" t="s">
        <v>531</v>
      </c>
      <c r="B1137" s="0" t="s">
        <v>69</v>
      </c>
      <c r="E1137" s="21" t="n">
        <f aca="false">E1136/D1136-1</f>
        <v>0.05</v>
      </c>
      <c r="F1137" s="21" t="n">
        <f aca="false">F1136/E1136-1</f>
        <v>0</v>
      </c>
      <c r="G1137" s="21" t="n">
        <f aca="false">G1136/F1136-1</f>
        <v>0</v>
      </c>
    </row>
    <row r="1138" customFormat="false" ht="15" hidden="false" customHeight="false" outlineLevel="0" collapsed="false">
      <c r="A1138" s="3" t="s">
        <v>532</v>
      </c>
      <c r="B1138" s="0" t="s">
        <v>35</v>
      </c>
      <c r="D1138" s="23" t="n">
        <f aca="false">fx_26</f>
        <v>31.6</v>
      </c>
      <c r="E1138" s="23" t="n">
        <f aca="false">fx</f>
        <v>32</v>
      </c>
      <c r="F1138" s="23" t="n">
        <f aca="false">fx</f>
        <v>32</v>
      </c>
      <c r="G1138" s="23" t="n">
        <f aca="false">fx</f>
        <v>32</v>
      </c>
    </row>
    <row r="1139" customFormat="false" ht="17.15" hidden="false" customHeight="false" outlineLevel="0" collapsed="false">
      <c r="A1139" s="3" t="s">
        <v>533</v>
      </c>
      <c r="B1139" s="0" t="s">
        <v>181</v>
      </c>
      <c r="D1139" s="23" t="n">
        <f aca="false">D1135*D1136*D1138/1000000</f>
        <v>270.25378</v>
      </c>
      <c r="E1139" s="23" t="n">
        <f aca="false">E1135*E1136*E1138/1000000</f>
        <v>308.952520537492</v>
      </c>
      <c r="F1139" s="23" t="n">
        <f aca="false">F1135*F1136*F1138/1000000</f>
        <v>319.559890409279</v>
      </c>
      <c r="G1139" s="23" t="n">
        <f aca="false">G1135*G1136*G1138/1000000</f>
        <v>345.859302079744</v>
      </c>
    </row>
    <row r="1140" customFormat="false" ht="17.15" hidden="false" customHeight="false" outlineLevel="0" collapsed="false">
      <c r="A1140" s="5" t="s">
        <v>534</v>
      </c>
    </row>
    <row r="1141" customFormat="false" ht="17.15" hidden="false" customHeight="false" outlineLevel="0" collapsed="false">
      <c r="A1141" s="0" t="s">
        <v>535</v>
      </c>
      <c r="B1141" s="0" t="s">
        <v>138</v>
      </c>
      <c r="D1141" s="25" t="n">
        <f aca="false">ai_26</f>
        <v>0.3</v>
      </c>
      <c r="E1141" s="25" t="n">
        <f aca="false">D1141*(1+aig27_B)*ai_adj</f>
        <v>0.42</v>
      </c>
      <c r="F1141" s="25" t="n">
        <f aca="false">E1141*(1+aig_L)*um28_B</f>
        <v>0.4872</v>
      </c>
      <c r="G1141" s="25" t="n">
        <f aca="false">F1141/um28_B*(1+aig_L)*um29_B</f>
        <v>0.7505925</v>
      </c>
    </row>
    <row r="1142" customFormat="false" ht="17.15" hidden="false" customHeight="false" outlineLevel="0" collapsed="false">
      <c r="A1142" s="0" t="s">
        <v>536</v>
      </c>
      <c r="B1142" s="0" t="s">
        <v>181</v>
      </c>
      <c r="D1142" s="23" t="n">
        <f aca="false">D1141*D1138</f>
        <v>9.48</v>
      </c>
      <c r="E1142" s="23" t="n">
        <f aca="false">E1141*E1138</f>
        <v>13.44</v>
      </c>
      <c r="F1142" s="23" t="n">
        <f aca="false">F1141*F1138</f>
        <v>15.5904</v>
      </c>
      <c r="G1142" s="23" t="n">
        <f aca="false">G1141*G1138</f>
        <v>24.01896</v>
      </c>
    </row>
    <row r="1143" customFormat="false" ht="17.15" hidden="false" customHeight="false" outlineLevel="0" collapsed="false">
      <c r="A1143" s="0" t="s">
        <v>537</v>
      </c>
      <c r="B1143" s="0" t="s">
        <v>138</v>
      </c>
      <c r="D1143" s="25" t="n">
        <f aca="false">0</f>
        <v>0</v>
      </c>
      <c r="E1143" s="25" t="n">
        <f aca="false">int_27</f>
        <v>0</v>
      </c>
      <c r="F1143" s="25" t="n">
        <f aca="false">int28_B</f>
        <v>0.12</v>
      </c>
      <c r="G1143" s="25" t="n">
        <f aca="false">int29_B</f>
        <v>0.3</v>
      </c>
    </row>
    <row r="1144" customFormat="false" ht="17.15" hidden="false" customHeight="false" outlineLevel="0" collapsed="false">
      <c r="A1144" s="0" t="s">
        <v>538</v>
      </c>
      <c r="B1144" s="0" t="s">
        <v>181</v>
      </c>
      <c r="D1144" s="23" t="n">
        <f aca="false">D1143*D1138</f>
        <v>0</v>
      </c>
      <c r="E1144" s="23" t="n">
        <f aca="false">E1143*E1138</f>
        <v>0</v>
      </c>
      <c r="F1144" s="23" t="n">
        <f aca="false">F1143*F1138</f>
        <v>3.84</v>
      </c>
      <c r="G1144" s="23" t="n">
        <f aca="false">G1143*G1138</f>
        <v>9.6</v>
      </c>
    </row>
    <row r="1145" customFormat="false" ht="17.15" hidden="false" customHeight="false" outlineLevel="0" collapsed="false">
      <c r="A1145" s="3" t="s">
        <v>393</v>
      </c>
      <c r="B1145" s="0" t="s">
        <v>181</v>
      </c>
      <c r="C1145" s="23" t="n">
        <f aca="false">a25_rev</f>
        <v>237.553</v>
      </c>
      <c r="D1145" s="23" t="n">
        <f aca="false">D1139+D1142+D1144</f>
        <v>279.73378</v>
      </c>
      <c r="E1145" s="23" t="n">
        <f aca="false">E1139+E1142+E1144</f>
        <v>322.392520537492</v>
      </c>
      <c r="F1145" s="23" t="n">
        <f aca="false">F1139+F1142+F1144</f>
        <v>338.990290409279</v>
      </c>
      <c r="G1145" s="23" t="n">
        <f aca="false">G1139+G1142+G1144</f>
        <v>379.478262079744</v>
      </c>
      <c r="H1145" s="30" t="n">
        <f aca="false">G1145*(1+H1147)</f>
        <v>414.75379367548</v>
      </c>
      <c r="I1145" s="30" t="n">
        <f aca="false">H1145*(1+I1147)</f>
        <v>442.326206375962</v>
      </c>
      <c r="J1145" s="30" t="n">
        <f aca="false">I1145*(1+J1147)</f>
        <v>460.019254631001</v>
      </c>
      <c r="K1145" s="7" t="s">
        <v>539</v>
      </c>
    </row>
    <row r="1146" customFormat="false" ht="17.15" hidden="false" customHeight="false" outlineLevel="0" collapsed="false">
      <c r="A1146" s="0" t="s">
        <v>540</v>
      </c>
      <c r="B1146" s="0" t="s">
        <v>69</v>
      </c>
      <c r="D1146" s="21" t="n">
        <f aca="false">D1142/D1145</f>
        <v>0.0338893643806622</v>
      </c>
      <c r="E1146" s="21" t="n">
        <f aca="false">E1142/E1145</f>
        <v>0.0416883120538679</v>
      </c>
      <c r="F1146" s="21" t="n">
        <f aca="false">F1142/F1145</f>
        <v>0.0459906977901254</v>
      </c>
      <c r="G1146" s="21" t="n">
        <f aca="false">G1142/G1145</f>
        <v>0.0632946927404042</v>
      </c>
    </row>
    <row r="1147" customFormat="false" ht="15" hidden="false" customHeight="false" outlineLevel="0" collapsed="false">
      <c r="A1147" s="3" t="s">
        <v>541</v>
      </c>
      <c r="B1147" s="0" t="s">
        <v>69</v>
      </c>
      <c r="D1147" s="21" t="n">
        <f aca="false">D1145/C1145-1</f>
        <v>0.177563659478096</v>
      </c>
      <c r="E1147" s="21" t="n">
        <f aca="false">E1145/D1145-1</f>
        <v>0.152497637351814</v>
      </c>
      <c r="F1147" s="21" t="n">
        <f aca="false">F1145/E1145-1</f>
        <v>0.0514831108492078</v>
      </c>
      <c r="G1147" s="21" t="n">
        <f aca="false">G1145/F1145-1</f>
        <v>0.119436965647547</v>
      </c>
      <c r="H1147" s="28" t="n">
        <f aca="false">$G1147+(fade_gB-$G1147)*1/3</f>
        <v>0.0929579770983645</v>
      </c>
      <c r="I1147" s="28" t="n">
        <f aca="false">$G1147+(fade_gB-$G1147)*2/3</f>
        <v>0.0664789885491822</v>
      </c>
      <c r="J1147" s="28" t="n">
        <f aca="false">$G1147+(fade_gB-$G1147)*3/3</f>
        <v>0.04</v>
      </c>
    </row>
    <row r="1148" customFormat="false" ht="17.15" hidden="false" customHeight="false" outlineLevel="0" collapsed="false">
      <c r="A1148" s="5" t="s">
        <v>542</v>
      </c>
    </row>
    <row r="1149" customFormat="false" ht="15" hidden="false" customHeight="false" outlineLevel="0" collapsed="false">
      <c r="A1149" s="3" t="s">
        <v>543</v>
      </c>
      <c r="B1149" s="0" t="s">
        <v>181</v>
      </c>
      <c r="D1149" s="23" t="n">
        <f aca="false">da_tot26*da_sh</f>
        <v>56.172</v>
      </c>
      <c r="E1149" s="23" t="n">
        <f aca="false">D1149*(1+dag_27+dag_adj_hi)</f>
        <v>65.72124</v>
      </c>
      <c r="F1149" s="23" t="n">
        <f aca="false">E1149*(1+dag_28+dag_adj_hi)</f>
        <v>75.579426</v>
      </c>
      <c r="G1149" s="23" t="n">
        <f aca="false">F1149*(1+dag_29+dag_adj_hi)</f>
        <v>85.40475138</v>
      </c>
    </row>
    <row r="1150" customFormat="false" ht="17.15" hidden="false" customHeight="false" outlineLevel="0" collapsed="false">
      <c r="A1150" s="3" t="s">
        <v>544</v>
      </c>
      <c r="B1150" s="0" t="s">
        <v>545</v>
      </c>
      <c r="D1150" s="23" t="n">
        <f aca="false">(D1145-a26_gp-D1149-(1-m_new)*(D1142+D1144))/D1135*1000</f>
        <v>27.9465727870208</v>
      </c>
      <c r="E1150" s="23" t="n">
        <f aca="false">D1150*(1+cc_g)</f>
        <v>28.5055042427612</v>
      </c>
      <c r="F1150" s="23" t="n">
        <f aca="false">E1150*(1+cc_g)</f>
        <v>29.0756143276165</v>
      </c>
      <c r="G1150" s="23" t="n">
        <f aca="false">F1150*(1+cc_g)</f>
        <v>29.6571266141688</v>
      </c>
      <c r="K1150" s="7" t="s">
        <v>546</v>
      </c>
    </row>
    <row r="1151" customFormat="false" ht="17.15" hidden="false" customHeight="false" outlineLevel="0" collapsed="false">
      <c r="A1151" s="3" t="s">
        <v>547</v>
      </c>
      <c r="B1151" s="0" t="s">
        <v>181</v>
      </c>
      <c r="D1151" s="23" t="n">
        <f aca="false">D1150*D1135/1000</f>
        <v>127.2556948</v>
      </c>
      <c r="E1151" s="23" t="n">
        <f aca="false">E1150*E1135/1000</f>
        <v>139.554925450877</v>
      </c>
      <c r="F1151" s="23" t="n">
        <f aca="false">F1150*F1135/1000</f>
        <v>147.233237449184</v>
      </c>
      <c r="G1151" s="23" t="n">
        <f aca="false">G1150*G1135/1000</f>
        <v>162.537370930799</v>
      </c>
    </row>
    <row r="1152" customFormat="false" ht="17.15" hidden="false" customHeight="false" outlineLevel="0" collapsed="false">
      <c r="A1152" s="3" t="s">
        <v>548</v>
      </c>
      <c r="B1152" s="0" t="s">
        <v>181</v>
      </c>
      <c r="D1152" s="23" t="n">
        <f aca="false">m_new*(D1142+D1144)</f>
        <v>4.266</v>
      </c>
      <c r="E1152" s="23" t="n">
        <f aca="false">m_new*(E1142+E1144)</f>
        <v>6.048</v>
      </c>
      <c r="F1152" s="23" t="n">
        <f aca="false">m_new*(F1142+F1144)</f>
        <v>8.74368</v>
      </c>
      <c r="G1152" s="23" t="n">
        <f aca="false">m_new*(G1142+G1144)</f>
        <v>15.128532</v>
      </c>
    </row>
    <row r="1153" customFormat="false" ht="15" hidden="false" customHeight="false" outlineLevel="0" collapsed="false">
      <c r="A1153" s="3" t="s">
        <v>411</v>
      </c>
      <c r="B1153" s="0" t="s">
        <v>181</v>
      </c>
      <c r="C1153" s="23" t="n">
        <f aca="false">a25_gp</f>
        <v>68.906</v>
      </c>
      <c r="D1153" s="23" t="n">
        <f aca="false">D1139-D1149-D1151+D1152</f>
        <v>91.0920852</v>
      </c>
      <c r="E1153" s="23" t="n">
        <f aca="false">E1139-E1149-E1151+E1152</f>
        <v>109.724355086615</v>
      </c>
      <c r="F1153" s="23" t="n">
        <f aca="false">F1139-F1149-F1151+F1152</f>
        <v>105.490906960095</v>
      </c>
      <c r="G1153" s="23" t="n">
        <f aca="false">G1139-G1149-G1151+G1152</f>
        <v>113.045711768945</v>
      </c>
    </row>
    <row r="1154" customFormat="false" ht="15" hidden="false" customHeight="false" outlineLevel="0" collapsed="false">
      <c r="A1154" s="3" t="s">
        <v>413</v>
      </c>
      <c r="B1154" s="0" t="s">
        <v>69</v>
      </c>
      <c r="C1154" s="15" t="n">
        <f aca="false">C1153/C1145</f>
        <v>0.290065795843454</v>
      </c>
      <c r="D1154" s="15" t="n">
        <f aca="false">D1153/D1145</f>
        <v>0.325638488136828</v>
      </c>
      <c r="E1154" s="15" t="n">
        <f aca="false">E1153/E1145</f>
        <v>0.340343984729183</v>
      </c>
      <c r="F1154" s="15" t="n">
        <f aca="false">F1153/F1145</f>
        <v>0.311191529505847</v>
      </c>
      <c r="G1154" s="15" t="n">
        <f aca="false">G1153/G1145</f>
        <v>0.297897727130388</v>
      </c>
    </row>
    <row r="1155" customFormat="false" ht="15" hidden="false" customHeight="false" outlineLevel="0" collapsed="false">
      <c r="A1155" s="3" t="s">
        <v>415</v>
      </c>
      <c r="B1155" s="0" t="s">
        <v>181</v>
      </c>
      <c r="C1155" s="23" t="n">
        <f aca="false">a25_opx</f>
        <v>25.056</v>
      </c>
      <c r="D1155" s="23" t="n">
        <f aca="false">a26_opx</f>
        <v>27.23586</v>
      </c>
      <c r="E1155" s="23" t="n">
        <f aca="false">D1155*(1+MAX(g_opx_min,phi*E1147))</f>
        <v>29.3125621506224</v>
      </c>
      <c r="F1155" s="23" t="n">
        <f aca="false">E1155*(1+MAX(g_opx_min,phi*F1147))</f>
        <v>30.1919390151411</v>
      </c>
      <c r="G1155" s="23" t="n">
        <f aca="false">F1155*(1+MAX(g_opx_min,phi*G1147))</f>
        <v>31.9949558066332</v>
      </c>
    </row>
    <row r="1156" customFormat="false" ht="15" hidden="false" customHeight="false" outlineLevel="0" collapsed="false">
      <c r="A1156" s="3" t="s">
        <v>418</v>
      </c>
      <c r="B1156" s="0" t="s">
        <v>181</v>
      </c>
      <c r="C1156" s="23" t="n">
        <f aca="false">C1153-C1155</f>
        <v>43.85</v>
      </c>
      <c r="D1156" s="23" t="n">
        <f aca="false">D1153-D1155</f>
        <v>63.8562252</v>
      </c>
      <c r="E1156" s="23" t="n">
        <f aca="false">E1153-E1155</f>
        <v>80.4117929359927</v>
      </c>
      <c r="F1156" s="23" t="n">
        <f aca="false">F1153-F1155</f>
        <v>75.2989679449539</v>
      </c>
      <c r="G1156" s="23" t="n">
        <f aca="false">G1153-G1155</f>
        <v>81.0507559623122</v>
      </c>
    </row>
    <row r="1157" customFormat="false" ht="15" hidden="false" customHeight="false" outlineLevel="0" collapsed="false">
      <c r="A1157" s="3" t="s">
        <v>515</v>
      </c>
      <c r="B1157" s="0" t="s">
        <v>69</v>
      </c>
      <c r="C1157" s="15" t="n">
        <f aca="false">C1156/C1145</f>
        <v>0.184590386145408</v>
      </c>
      <c r="D1157" s="15" t="n">
        <f aca="false">D1156/D1145</f>
        <v>0.228274987740129</v>
      </c>
      <c r="E1157" s="15" t="n">
        <f aca="false">E1156/E1145</f>
        <v>0.249422017613592</v>
      </c>
      <c r="F1157" s="15" t="n">
        <f aca="false">F1156/F1145</f>
        <v>0.222127211531758</v>
      </c>
      <c r="G1157" s="15" t="n">
        <f aca="false">G1156/G1145</f>
        <v>0.213584713701677</v>
      </c>
    </row>
    <row r="1158" customFormat="false" ht="15" hidden="false" customHeight="false" outlineLevel="0" collapsed="false">
      <c r="A1158" s="3" t="s">
        <v>421</v>
      </c>
      <c r="B1158" s="0" t="s">
        <v>181</v>
      </c>
      <c r="C1158" s="23" t="n">
        <f aca="false">a25_nonop</f>
        <v>5.805</v>
      </c>
      <c r="D1158" s="23" t="n">
        <f aca="false">a26_nonop</f>
        <v>38.372</v>
      </c>
      <c r="E1158" s="23" t="n">
        <f aca="false">nonop_f</f>
        <v>4</v>
      </c>
      <c r="F1158" s="23" t="n">
        <f aca="false">nonop_f</f>
        <v>4</v>
      </c>
      <c r="G1158" s="23" t="n">
        <f aca="false">nonop_f</f>
        <v>4</v>
      </c>
    </row>
    <row r="1159" customFormat="false" ht="15" hidden="false" customHeight="false" outlineLevel="0" collapsed="false">
      <c r="A1159" s="3" t="s">
        <v>423</v>
      </c>
      <c r="B1159" s="0" t="s">
        <v>181</v>
      </c>
      <c r="C1159" s="23" t="n">
        <f aca="false">C1156+C1158</f>
        <v>49.655</v>
      </c>
      <c r="D1159" s="23" t="n">
        <f aca="false">D1156+D1158</f>
        <v>102.2282252</v>
      </c>
      <c r="E1159" s="23" t="n">
        <f aca="false">E1156+E1158</f>
        <v>84.4117929359927</v>
      </c>
      <c r="F1159" s="23" t="n">
        <f aca="false">F1156+F1158</f>
        <v>79.2989679449539</v>
      </c>
      <c r="G1159" s="23" t="n">
        <f aca="false">G1156+G1158</f>
        <v>85.0507559623122</v>
      </c>
    </row>
    <row r="1160" customFormat="false" ht="15" hidden="false" customHeight="false" outlineLevel="0" collapsed="false">
      <c r="A1160" s="3" t="s">
        <v>425</v>
      </c>
      <c r="B1160" s="0" t="s">
        <v>181</v>
      </c>
      <c r="C1160" s="23" t="n">
        <f aca="false">a25_tax</f>
        <v>7.939</v>
      </c>
      <c r="D1160" s="23" t="n">
        <f aca="false">a26_tax</f>
        <v>10.493828284</v>
      </c>
      <c r="E1160" s="23" t="n">
        <f aca="false">E1159*tax</f>
        <v>12.6617689403989</v>
      </c>
      <c r="F1160" s="23" t="n">
        <f aca="false">F1159*tax</f>
        <v>11.8948451917431</v>
      </c>
      <c r="G1160" s="23" t="n">
        <f aca="false">G1159*tax</f>
        <v>12.7576133943468</v>
      </c>
    </row>
    <row r="1161" customFormat="false" ht="17.15" hidden="false" customHeight="false" outlineLevel="0" collapsed="false">
      <c r="A1161" s="3" t="s">
        <v>549</v>
      </c>
      <c r="B1161" s="0" t="s">
        <v>181</v>
      </c>
      <c r="C1161" s="23" t="n">
        <f aca="false">a25_mi</f>
        <v>0</v>
      </c>
      <c r="D1161" s="23" t="n">
        <f aca="false">a26_mi</f>
        <v>-0.134999999999987</v>
      </c>
      <c r="E1161" s="23" t="n">
        <f aca="false">0</f>
        <v>0</v>
      </c>
      <c r="F1161" s="23" t="n">
        <f aca="false">0</f>
        <v>0</v>
      </c>
      <c r="G1161" s="23" t="n">
        <f aca="false">0</f>
        <v>0</v>
      </c>
      <c r="K1161" s="7" t="s">
        <v>550</v>
      </c>
    </row>
    <row r="1162" customFormat="false" ht="15" hidden="false" customHeight="false" outlineLevel="0" collapsed="false">
      <c r="A1162" s="3" t="s">
        <v>428</v>
      </c>
      <c r="B1162" s="0" t="s">
        <v>181</v>
      </c>
      <c r="C1162" s="23" t="n">
        <f aca="false">C1159-C1160-C1161</f>
        <v>41.716</v>
      </c>
      <c r="D1162" s="23" t="n">
        <f aca="false">D1159-D1160-D1161</f>
        <v>91.869396916</v>
      </c>
      <c r="E1162" s="23" t="n">
        <f aca="false">E1159-E1160-E1161</f>
        <v>71.7500239955938</v>
      </c>
      <c r="F1162" s="23" t="n">
        <f aca="false">F1159-F1160-F1161</f>
        <v>67.4041227532109</v>
      </c>
      <c r="G1162" s="23" t="n">
        <f aca="false">G1159-G1160-G1161</f>
        <v>72.2931425679654</v>
      </c>
      <c r="H1162" s="30" t="n">
        <f aca="false">H1145*H1166</f>
        <v>76.3795879638615</v>
      </c>
      <c r="I1162" s="30" t="n">
        <f aca="false">I1145*I1166</f>
        <v>78.6483558651747</v>
      </c>
      <c r="J1162" s="30" t="n">
        <f aca="false">J1145*J1166</f>
        <v>78.8730654533609</v>
      </c>
    </row>
    <row r="1163" customFormat="false" ht="15" hidden="false" customHeight="false" outlineLevel="0" collapsed="false">
      <c r="A1163" s="3" t="s">
        <v>551</v>
      </c>
      <c r="B1163" s="3" t="s">
        <v>250</v>
      </c>
      <c r="C1163" s="9" t="n">
        <f aca="false">a25_sh</f>
        <v>12.4898203592814</v>
      </c>
      <c r="D1163" s="9" t="n">
        <f aca="false">a26_sh</f>
        <v>12.4754339027235</v>
      </c>
      <c r="E1163" s="9" t="n">
        <f aca="false">q_sh*(1+sh_g)</f>
        <v>12.45</v>
      </c>
      <c r="F1163" s="9" t="n">
        <f aca="false">E1163*(1+sh_g)</f>
        <v>12.45</v>
      </c>
      <c r="G1163" s="9" t="n">
        <f aca="false">F1163*(1+sh_g)</f>
        <v>12.45</v>
      </c>
      <c r="H1163" s="32" t="n">
        <f aca="false">G1163*(1+sh_g)</f>
        <v>12.45</v>
      </c>
      <c r="I1163" s="32" t="n">
        <f aca="false">H1163*(1+sh_g)</f>
        <v>12.45</v>
      </c>
      <c r="J1163" s="32" t="n">
        <f aca="false">I1163*(1+sh_g)</f>
        <v>12.45</v>
      </c>
    </row>
    <row r="1164" customFormat="false" ht="17.15" hidden="false" customHeight="false" outlineLevel="0" collapsed="false">
      <c r="A1164" s="0" t="s">
        <v>434</v>
      </c>
      <c r="B1164" s="0" t="s">
        <v>260</v>
      </c>
      <c r="C1164" s="23" t="n">
        <f aca="false">C1162/C1163</f>
        <v>3.34</v>
      </c>
      <c r="D1164" s="23" t="n">
        <f aca="false">D1162/D1163</f>
        <v>7.36402418002826</v>
      </c>
      <c r="E1164" s="23" t="n">
        <f aca="false">E1162/E1163</f>
        <v>5.76305413619227</v>
      </c>
      <c r="F1164" s="23" t="n">
        <f aca="false">F1162/F1163</f>
        <v>5.41398576331011</v>
      </c>
      <c r="G1164" s="23" t="n">
        <f aca="false">G1162/G1163</f>
        <v>5.80667811790887</v>
      </c>
      <c r="H1164" s="30" t="n">
        <f aca="false">H1162/H1163</f>
        <v>6.13490666376398</v>
      </c>
      <c r="I1164" s="30" t="n">
        <f aca="false">I1162/I1163</f>
        <v>6.31713701728311</v>
      </c>
      <c r="J1164" s="30" t="n">
        <f aca="false">J1162/J1163</f>
        <v>6.33518598018963</v>
      </c>
    </row>
    <row r="1165" customFormat="false" ht="17.15" hidden="false" customHeight="false" outlineLevel="0" collapsed="false">
      <c r="A1165" s="0" t="s">
        <v>552</v>
      </c>
      <c r="B1165" s="0" t="s">
        <v>69</v>
      </c>
      <c r="D1165" s="21" t="n">
        <f aca="false">D1164/C1164-1</f>
        <v>1.2047976586911</v>
      </c>
      <c r="E1165" s="21" t="n">
        <f aca="false">E1164/D1164-1</f>
        <v>-0.217404235061848</v>
      </c>
      <c r="F1165" s="21" t="n">
        <f aca="false">F1164/E1164-1</f>
        <v>-0.0605700319020072</v>
      </c>
      <c r="G1165" s="21" t="n">
        <f aca="false">G1164/F1164-1</f>
        <v>0.0725329492478506</v>
      </c>
      <c r="H1165" s="28" t="n">
        <f aca="false">H1164/G1164-1</f>
        <v>0.056526044528419</v>
      </c>
      <c r="I1165" s="28" t="n">
        <f aca="false">I1164/H1164-1</f>
        <v>0.0297038510130037</v>
      </c>
      <c r="J1165" s="28" t="n">
        <f aca="false">J1164/I1164-1</f>
        <v>0.00285714285714289</v>
      </c>
    </row>
    <row r="1166" customFormat="false" ht="17.15" hidden="false" customHeight="false" outlineLevel="0" collapsed="false">
      <c r="A1166" s="3" t="s">
        <v>553</v>
      </c>
      <c r="B1166" s="0" t="s">
        <v>69</v>
      </c>
      <c r="C1166" s="15" t="n">
        <f aca="false">C1162/C1145</f>
        <v>0.175607127672562</v>
      </c>
      <c r="D1166" s="15" t="n">
        <f aca="false">D1162/D1145</f>
        <v>0.328417243409073</v>
      </c>
      <c r="E1166" s="15" t="n">
        <f aca="false">E1162/E1145</f>
        <v>0.222554865342323</v>
      </c>
      <c r="F1166" s="15" t="n">
        <f aca="false">F1162/F1145</f>
        <v>0.198837915598794</v>
      </c>
      <c r="G1166" s="15" t="n">
        <f aca="false">G1162/G1145</f>
        <v>0.19050667664535</v>
      </c>
      <c r="H1166" s="29" t="n">
        <f aca="false">$G1166+($G$1166*0.9-$G1166)*1/3</f>
        <v>0.184156454090505</v>
      </c>
      <c r="I1166" s="29" t="n">
        <f aca="false">$G1166+($G$1166*0.9-$G1166)*2/3</f>
        <v>0.17780623153566</v>
      </c>
      <c r="J1166" s="29" t="n">
        <f aca="false">$G1166+($G$1166*0.9-$G1166)*3/3</f>
        <v>0.171456008980815</v>
      </c>
    </row>
    <row r="1169" customFormat="false" ht="17.15" hidden="false" customHeight="false" outlineLevel="0" collapsed="false">
      <c r="A1169" s="1" t="s">
        <v>866</v>
      </c>
    </row>
    <row r="1170" customFormat="false" ht="17.15" hidden="false" customHeight="false" outlineLevel="0" collapsed="false">
      <c r="A1170" s="4" t="s">
        <v>24</v>
      </c>
      <c r="B1170" s="4" t="s">
        <v>25</v>
      </c>
      <c r="C1170" s="16" t="s">
        <v>387</v>
      </c>
      <c r="D1170" s="16" t="s">
        <v>505</v>
      </c>
      <c r="E1170" s="16" t="s">
        <v>467</v>
      </c>
      <c r="F1170" s="16" t="s">
        <v>468</v>
      </c>
      <c r="G1170" s="16" t="s">
        <v>469</v>
      </c>
      <c r="H1170" s="16" t="s">
        <v>506</v>
      </c>
      <c r="I1170" s="16" t="s">
        <v>507</v>
      </c>
      <c r="J1170" s="16" t="s">
        <v>508</v>
      </c>
      <c r="K1170" s="4" t="s">
        <v>345</v>
      </c>
    </row>
    <row r="1171" customFormat="false" ht="17.15" hidden="false" customHeight="false" outlineLevel="0" collapsed="false">
      <c r="A1171" s="5" t="s">
        <v>526</v>
      </c>
    </row>
    <row r="1172" customFormat="false" ht="17.15" hidden="false" customHeight="false" outlineLevel="0" collapsed="false">
      <c r="A1172" s="3" t="s">
        <v>527</v>
      </c>
      <c r="B1172" s="3" t="s">
        <v>64</v>
      </c>
      <c r="D1172" s="22" t="n">
        <f aca="false">cap_26</f>
        <v>5230.46851955216</v>
      </c>
      <c r="E1172" s="22" t="n">
        <f aca="false">D1172*(1+capg27)*cap_adj</f>
        <v>5439.68726033425</v>
      </c>
      <c r="F1172" s="22" t="n">
        <f aca="false">E1172*(1+capg28)</f>
        <v>5820.46536855765</v>
      </c>
      <c r="G1172" s="22" t="n">
        <f aca="false">F1172*(1+capg29)</f>
        <v>6227.89794435668</v>
      </c>
    </row>
    <row r="1173" customFormat="false" ht="15" hidden="false" customHeight="false" outlineLevel="0" collapsed="false">
      <c r="A1173" s="3" t="s">
        <v>528</v>
      </c>
      <c r="B1173" s="0" t="s">
        <v>69</v>
      </c>
      <c r="D1173" s="21" t="n">
        <f aca="false">a26_ship/cap_26</f>
        <v>0.870578781414787</v>
      </c>
      <c r="E1173" s="21" t="n">
        <f aca="false">MIN(0.98,ut27_C+ut_adj)</f>
        <v>0.82</v>
      </c>
      <c r="F1173" s="21" t="n">
        <f aca="false">MIN(0.98,ut28_C+ut_adj)</f>
        <v>0.76</v>
      </c>
      <c r="G1173" s="21" t="n">
        <f aca="false">MIN(0.98,ut29_C+ut_adj)</f>
        <v>0.8</v>
      </c>
    </row>
    <row r="1174" customFormat="false" ht="17.15" hidden="false" customHeight="false" outlineLevel="0" collapsed="false">
      <c r="A1174" s="3" t="s">
        <v>529</v>
      </c>
      <c r="B1174" s="3" t="s">
        <v>64</v>
      </c>
      <c r="D1174" s="22" t="n">
        <f aca="false">D1172*D1173</f>
        <v>4553.53490998013</v>
      </c>
      <c r="E1174" s="22" t="n">
        <f aca="false">E1172*E1173</f>
        <v>4460.54355347409</v>
      </c>
      <c r="F1174" s="22" t="n">
        <f aca="false">F1172*F1173</f>
        <v>4423.55368010381</v>
      </c>
      <c r="G1174" s="22" t="n">
        <f aca="false">G1172*G1173</f>
        <v>4982.31835548535</v>
      </c>
    </row>
    <row r="1175" customFormat="false" ht="17.15" hidden="false" customHeight="false" outlineLevel="0" collapsed="false">
      <c r="A1175" s="3" t="s">
        <v>530</v>
      </c>
      <c r="B1175" s="0" t="s">
        <v>109</v>
      </c>
      <c r="D1175" s="22" t="n">
        <f aca="false">asp_26</f>
        <v>1878.17486396824</v>
      </c>
      <c r="E1175" s="22" t="n">
        <f aca="false">D1175*(1+asp27_C)*(1+asp_adj)</f>
        <v>1878.17486396824</v>
      </c>
      <c r="F1175" s="22" t="n">
        <f aca="false">E1175*(1+asp28_C)</f>
        <v>1765.48437213015</v>
      </c>
      <c r="G1175" s="22" t="n">
        <f aca="false">F1175*(1+asp29_C)</f>
        <v>1712.51984096625</v>
      </c>
    </row>
    <row r="1176" customFormat="false" ht="15" hidden="false" customHeight="false" outlineLevel="0" collapsed="false">
      <c r="A1176" s="3" t="s">
        <v>531</v>
      </c>
      <c r="B1176" s="0" t="s">
        <v>69</v>
      </c>
      <c r="E1176" s="21" t="n">
        <f aca="false">E1175/D1175-1</f>
        <v>0</v>
      </c>
      <c r="F1176" s="21" t="n">
        <f aca="false">F1175/E1175-1</f>
        <v>-0.0599999999999999</v>
      </c>
      <c r="G1176" s="21" t="n">
        <f aca="false">G1175/F1175-1</f>
        <v>-0.0299999999999999</v>
      </c>
    </row>
    <row r="1177" customFormat="false" ht="15" hidden="false" customHeight="false" outlineLevel="0" collapsed="false">
      <c r="A1177" s="3" t="s">
        <v>532</v>
      </c>
      <c r="B1177" s="0" t="s">
        <v>35</v>
      </c>
      <c r="D1177" s="23" t="n">
        <f aca="false">fx_26</f>
        <v>31.6</v>
      </c>
      <c r="E1177" s="23" t="n">
        <f aca="false">fx</f>
        <v>32</v>
      </c>
      <c r="F1177" s="23" t="n">
        <f aca="false">fx</f>
        <v>32</v>
      </c>
      <c r="G1177" s="23" t="n">
        <f aca="false">fx</f>
        <v>32</v>
      </c>
    </row>
    <row r="1178" customFormat="false" ht="17.15" hidden="false" customHeight="false" outlineLevel="0" collapsed="false">
      <c r="A1178" s="3" t="s">
        <v>533</v>
      </c>
      <c r="B1178" s="0" t="s">
        <v>181</v>
      </c>
      <c r="D1178" s="23" t="n">
        <f aca="false">D1174*D1175*D1177/1000000</f>
        <v>270.25378</v>
      </c>
      <c r="E1178" s="23" t="n">
        <f aca="false">E1174*E1175*E1177/1000000</f>
        <v>268.08578501666</v>
      </c>
      <c r="F1178" s="23" t="n">
        <f aca="false">F1174*F1175*F1177/1000000</f>
        <v>249.910876528067</v>
      </c>
      <c r="G1178" s="23" t="n">
        <f aca="false">G1174*G1175*G1177/1000000</f>
        <v>273.034209208927</v>
      </c>
    </row>
    <row r="1179" customFormat="false" ht="17.15" hidden="false" customHeight="false" outlineLevel="0" collapsed="false">
      <c r="A1179" s="5" t="s">
        <v>534</v>
      </c>
    </row>
    <row r="1180" customFormat="false" ht="17.15" hidden="false" customHeight="false" outlineLevel="0" collapsed="false">
      <c r="A1180" s="0" t="s">
        <v>535</v>
      </c>
      <c r="B1180" s="0" t="s">
        <v>138</v>
      </c>
      <c r="D1180" s="25" t="n">
        <f aca="false">ai_26</f>
        <v>0.3</v>
      </c>
      <c r="E1180" s="25" t="n">
        <f aca="false">D1180*(1+aig27_C)*ai_adj</f>
        <v>0.36</v>
      </c>
      <c r="F1180" s="25" t="n">
        <f aca="false">E1180*(1+aig_L)*um28_C</f>
        <v>0.3132</v>
      </c>
      <c r="G1180" s="25" t="n">
        <f aca="false">F1180/um28_C*(1+aig_L)*um29_C</f>
        <v>0.45414</v>
      </c>
    </row>
    <row r="1181" customFormat="false" ht="17.15" hidden="false" customHeight="false" outlineLevel="0" collapsed="false">
      <c r="A1181" s="0" t="s">
        <v>536</v>
      </c>
      <c r="B1181" s="0" t="s">
        <v>181</v>
      </c>
      <c r="D1181" s="23" t="n">
        <f aca="false">D1180*D1177</f>
        <v>9.48</v>
      </c>
      <c r="E1181" s="23" t="n">
        <f aca="false">E1180*E1177</f>
        <v>11.52</v>
      </c>
      <c r="F1181" s="23" t="n">
        <f aca="false">F1180*F1177</f>
        <v>10.0224</v>
      </c>
      <c r="G1181" s="23" t="n">
        <f aca="false">G1180*G1177</f>
        <v>14.53248</v>
      </c>
    </row>
    <row r="1182" customFormat="false" ht="17.15" hidden="false" customHeight="false" outlineLevel="0" collapsed="false">
      <c r="A1182" s="0" t="s">
        <v>537</v>
      </c>
      <c r="B1182" s="0" t="s">
        <v>138</v>
      </c>
      <c r="D1182" s="25" t="n">
        <f aca="false">0</f>
        <v>0</v>
      </c>
      <c r="E1182" s="25" t="n">
        <f aca="false">int_27</f>
        <v>0</v>
      </c>
      <c r="F1182" s="25" t="n">
        <f aca="false">int28_C</f>
        <v>0</v>
      </c>
      <c r="G1182" s="25" t="n">
        <f aca="false">int29_C</f>
        <v>0.08</v>
      </c>
    </row>
    <row r="1183" customFormat="false" ht="17.15" hidden="false" customHeight="false" outlineLevel="0" collapsed="false">
      <c r="A1183" s="0" t="s">
        <v>538</v>
      </c>
      <c r="B1183" s="0" t="s">
        <v>181</v>
      </c>
      <c r="D1183" s="23" t="n">
        <f aca="false">D1182*D1177</f>
        <v>0</v>
      </c>
      <c r="E1183" s="23" t="n">
        <f aca="false">E1182*E1177</f>
        <v>0</v>
      </c>
      <c r="F1183" s="23" t="n">
        <f aca="false">F1182*F1177</f>
        <v>0</v>
      </c>
      <c r="G1183" s="23" t="n">
        <f aca="false">G1182*G1177</f>
        <v>2.56</v>
      </c>
    </row>
    <row r="1184" customFormat="false" ht="17.15" hidden="false" customHeight="false" outlineLevel="0" collapsed="false">
      <c r="A1184" s="3" t="s">
        <v>393</v>
      </c>
      <c r="B1184" s="0" t="s">
        <v>181</v>
      </c>
      <c r="C1184" s="23" t="n">
        <f aca="false">a25_rev</f>
        <v>237.553</v>
      </c>
      <c r="D1184" s="23" t="n">
        <f aca="false">D1178+D1181+D1183</f>
        <v>279.73378</v>
      </c>
      <c r="E1184" s="23" t="n">
        <f aca="false">E1178+E1181+E1183</f>
        <v>279.60578501666</v>
      </c>
      <c r="F1184" s="23" t="n">
        <f aca="false">F1178+F1181+F1183</f>
        <v>259.933276528067</v>
      </c>
      <c r="G1184" s="23" t="n">
        <f aca="false">G1178+G1181+G1183</f>
        <v>290.126689208927</v>
      </c>
      <c r="H1184" s="30" t="n">
        <f aca="false">G1184*(1+H1186)</f>
        <v>314.527952983075</v>
      </c>
      <c r="I1184" s="30" t="n">
        <f aca="false">H1184*(1+I1186)</f>
        <v>330.900005213497</v>
      </c>
      <c r="J1184" s="30" t="n">
        <f aca="false">I1184*(1+J1186)</f>
        <v>337.518005317767</v>
      </c>
      <c r="K1184" s="7" t="s">
        <v>539</v>
      </c>
    </row>
    <row r="1185" customFormat="false" ht="17.15" hidden="false" customHeight="false" outlineLevel="0" collapsed="false">
      <c r="A1185" s="0" t="s">
        <v>540</v>
      </c>
      <c r="B1185" s="0" t="s">
        <v>69</v>
      </c>
      <c r="D1185" s="21" t="n">
        <f aca="false">D1181/D1184</f>
        <v>0.0338893643806622</v>
      </c>
      <c r="E1185" s="21" t="n">
        <f aca="false">E1181/E1184</f>
        <v>0.0412008642786615</v>
      </c>
      <c r="F1185" s="21" t="n">
        <f aca="false">F1181/F1184</f>
        <v>0.0385575872926674</v>
      </c>
      <c r="G1185" s="21" t="n">
        <f aca="false">G1181/G1184</f>
        <v>0.0500901176642002</v>
      </c>
    </row>
    <row r="1186" customFormat="false" ht="15" hidden="false" customHeight="false" outlineLevel="0" collapsed="false">
      <c r="A1186" s="3" t="s">
        <v>541</v>
      </c>
      <c r="B1186" s="0" t="s">
        <v>69</v>
      </c>
      <c r="D1186" s="21" t="n">
        <f aca="false">D1184/C1184-1</f>
        <v>0.177563659478096</v>
      </c>
      <c r="E1186" s="21" t="n">
        <f aca="false">E1184/D1184-1</f>
        <v>-0.000457559981995259</v>
      </c>
      <c r="F1186" s="21" t="n">
        <f aca="false">F1184/E1184-1</f>
        <v>-0.0703580166891779</v>
      </c>
      <c r="G1186" s="21" t="n">
        <f aca="false">G1184/F1184-1</f>
        <v>0.116158319874062</v>
      </c>
      <c r="H1186" s="28" t="n">
        <f aca="false">$G1186+(fade_gC-$G1186)*1/3</f>
        <v>0.0841055465827078</v>
      </c>
      <c r="I1186" s="28" t="n">
        <f aca="false">$G1186+(fade_gC-$G1186)*2/3</f>
        <v>0.0520527732913539</v>
      </c>
      <c r="J1186" s="28" t="n">
        <f aca="false">$G1186+(fade_gC-$G1186)*3/3</f>
        <v>0.02</v>
      </c>
    </row>
    <row r="1187" customFormat="false" ht="17.15" hidden="false" customHeight="false" outlineLevel="0" collapsed="false">
      <c r="A1187" s="5" t="s">
        <v>542</v>
      </c>
    </row>
    <row r="1188" customFormat="false" ht="15" hidden="false" customHeight="false" outlineLevel="0" collapsed="false">
      <c r="A1188" s="3" t="s">
        <v>543</v>
      </c>
      <c r="B1188" s="0" t="s">
        <v>181</v>
      </c>
      <c r="D1188" s="23" t="n">
        <f aca="false">da_tot26*da_sh</f>
        <v>56.172</v>
      </c>
      <c r="E1188" s="23" t="n">
        <f aca="false">D1188*(1+dag_27+dag_adj_hi)</f>
        <v>65.72124</v>
      </c>
      <c r="F1188" s="23" t="n">
        <f aca="false">E1188*(1+dag_28+dag_adj_hi)</f>
        <v>75.579426</v>
      </c>
      <c r="G1188" s="23" t="n">
        <f aca="false">F1188*(1+dag_29+dag_adj_hi)</f>
        <v>85.40475138</v>
      </c>
    </row>
    <row r="1189" customFormat="false" ht="17.15" hidden="false" customHeight="false" outlineLevel="0" collapsed="false">
      <c r="A1189" s="3" t="s">
        <v>544</v>
      </c>
      <c r="B1189" s="0" t="s">
        <v>545</v>
      </c>
      <c r="D1189" s="23" t="n">
        <f aca="false">(D1184-a26_gp-D1188-(1-m_new)*(D1181+D1183))/D1174*1000</f>
        <v>27.9465727870208</v>
      </c>
      <c r="E1189" s="23" t="n">
        <f aca="false">D1189*(1+cc_g)</f>
        <v>28.5055042427612</v>
      </c>
      <c r="F1189" s="23" t="n">
        <f aca="false">E1189*(1+cc_g)</f>
        <v>29.0756143276165</v>
      </c>
      <c r="G1189" s="23" t="n">
        <f aca="false">F1189*(1+cc_g)</f>
        <v>29.6571266141688</v>
      </c>
      <c r="K1189" s="7" t="s">
        <v>546</v>
      </c>
    </row>
    <row r="1190" customFormat="false" ht="17.15" hidden="false" customHeight="false" outlineLevel="0" collapsed="false">
      <c r="A1190" s="3" t="s">
        <v>547</v>
      </c>
      <c r="B1190" s="0" t="s">
        <v>181</v>
      </c>
      <c r="D1190" s="23" t="n">
        <f aca="false">D1189*D1174/1000</f>
        <v>127.2556948</v>
      </c>
      <c r="E1190" s="23" t="n">
        <f aca="false">E1189*E1174/1000</f>
        <v>127.150043188577</v>
      </c>
      <c r="F1190" s="23" t="n">
        <f aca="false">F1189*F1174/1000</f>
        <v>128.617540760207</v>
      </c>
      <c r="G1190" s="23" t="n">
        <f aca="false">G1189*G1174/1000</f>
        <v>147.761246300726</v>
      </c>
    </row>
    <row r="1191" customFormat="false" ht="17.15" hidden="false" customHeight="false" outlineLevel="0" collapsed="false">
      <c r="A1191" s="3" t="s">
        <v>548</v>
      </c>
      <c r="B1191" s="0" t="s">
        <v>181</v>
      </c>
      <c r="D1191" s="23" t="n">
        <f aca="false">m_new*(D1181+D1183)</f>
        <v>4.266</v>
      </c>
      <c r="E1191" s="23" t="n">
        <f aca="false">m_new*(E1181+E1183)</f>
        <v>5.184</v>
      </c>
      <c r="F1191" s="23" t="n">
        <f aca="false">m_new*(F1181+F1183)</f>
        <v>4.51008</v>
      </c>
      <c r="G1191" s="23" t="n">
        <f aca="false">m_new*(G1181+G1183)</f>
        <v>7.691616</v>
      </c>
    </row>
    <row r="1192" customFormat="false" ht="15" hidden="false" customHeight="false" outlineLevel="0" collapsed="false">
      <c r="A1192" s="3" t="s">
        <v>411</v>
      </c>
      <c r="B1192" s="0" t="s">
        <v>181</v>
      </c>
      <c r="C1192" s="23" t="n">
        <f aca="false">a25_gp</f>
        <v>68.906</v>
      </c>
      <c r="D1192" s="23" t="n">
        <f aca="false">D1178-D1188-D1190+D1191</f>
        <v>91.0920852</v>
      </c>
      <c r="E1192" s="23" t="n">
        <f aca="false">E1178-E1188-E1190+E1191</f>
        <v>80.3985018280829</v>
      </c>
      <c r="F1192" s="23" t="n">
        <f aca="false">F1178-F1188-F1190+F1191</f>
        <v>50.22398976786</v>
      </c>
      <c r="G1192" s="23" t="n">
        <f aca="false">G1178-G1188-G1190+G1191</f>
        <v>47.5598275282008</v>
      </c>
    </row>
    <row r="1193" customFormat="false" ht="15" hidden="false" customHeight="false" outlineLevel="0" collapsed="false">
      <c r="A1193" s="3" t="s">
        <v>413</v>
      </c>
      <c r="B1193" s="0" t="s">
        <v>69</v>
      </c>
      <c r="C1193" s="15" t="n">
        <f aca="false">C1192/C1184</f>
        <v>0.290065795843454</v>
      </c>
      <c r="D1193" s="15" t="n">
        <f aca="false">D1192/D1184</f>
        <v>0.325638488136828</v>
      </c>
      <c r="E1193" s="15" t="n">
        <f aca="false">E1192/E1184</f>
        <v>0.287542340453695</v>
      </c>
      <c r="F1193" s="15" t="n">
        <f aca="false">F1192/F1184</f>
        <v>0.193218776905761</v>
      </c>
      <c r="G1193" s="15" t="n">
        <f aca="false">G1192/G1184</f>
        <v>0.163927791882504</v>
      </c>
    </row>
    <row r="1194" customFormat="false" ht="15" hidden="false" customHeight="false" outlineLevel="0" collapsed="false">
      <c r="A1194" s="3" t="s">
        <v>415</v>
      </c>
      <c r="B1194" s="0" t="s">
        <v>181</v>
      </c>
      <c r="C1194" s="23" t="n">
        <f aca="false">a25_opx</f>
        <v>25.056</v>
      </c>
      <c r="D1194" s="23" t="n">
        <f aca="false">a26_opx</f>
        <v>27.23586</v>
      </c>
      <c r="E1194" s="23" t="n">
        <f aca="false">D1194*(1+MAX(g_opx_min,phi*E1186))</f>
        <v>28.0529358</v>
      </c>
      <c r="F1194" s="23" t="n">
        <f aca="false">E1194*(1+MAX(g_opx_min,phi*F1186))</f>
        <v>28.894523874</v>
      </c>
      <c r="G1194" s="23" t="n">
        <f aca="false">F1194*(1+MAX(g_opx_min,phi*G1186))</f>
        <v>30.5726935473824</v>
      </c>
    </row>
    <row r="1195" customFormat="false" ht="15" hidden="false" customHeight="false" outlineLevel="0" collapsed="false">
      <c r="A1195" s="3" t="s">
        <v>418</v>
      </c>
      <c r="B1195" s="0" t="s">
        <v>181</v>
      </c>
      <c r="C1195" s="23" t="n">
        <f aca="false">C1192-C1194</f>
        <v>43.85</v>
      </c>
      <c r="D1195" s="23" t="n">
        <f aca="false">D1192-D1194</f>
        <v>63.8562252</v>
      </c>
      <c r="E1195" s="23" t="n">
        <f aca="false">E1192-E1194</f>
        <v>52.3455660280829</v>
      </c>
      <c r="F1195" s="23" t="n">
        <f aca="false">F1192-F1194</f>
        <v>21.32946589386</v>
      </c>
      <c r="G1195" s="23" t="n">
        <f aca="false">G1192-G1194</f>
        <v>16.9871339808184</v>
      </c>
    </row>
    <row r="1196" customFormat="false" ht="15" hidden="false" customHeight="false" outlineLevel="0" collapsed="false">
      <c r="A1196" s="3" t="s">
        <v>515</v>
      </c>
      <c r="B1196" s="0" t="s">
        <v>69</v>
      </c>
      <c r="C1196" s="15" t="n">
        <f aca="false">C1195/C1184</f>
        <v>0.184590386145408</v>
      </c>
      <c r="D1196" s="15" t="n">
        <f aca="false">D1195/D1184</f>
        <v>0.228274987740129</v>
      </c>
      <c r="E1196" s="15" t="n">
        <f aca="false">E1195/E1184</f>
        <v>0.187212027909094</v>
      </c>
      <c r="F1196" s="15" t="n">
        <f aca="false">F1195/F1184</f>
        <v>0.0820574655879309</v>
      </c>
      <c r="G1196" s="15" t="n">
        <f aca="false">G1195/G1184</f>
        <v>0.0585507456316285</v>
      </c>
    </row>
    <row r="1197" customFormat="false" ht="15" hidden="false" customHeight="false" outlineLevel="0" collapsed="false">
      <c r="A1197" s="3" t="s">
        <v>421</v>
      </c>
      <c r="B1197" s="0" t="s">
        <v>181</v>
      </c>
      <c r="C1197" s="23" t="n">
        <f aca="false">a25_nonop</f>
        <v>5.805</v>
      </c>
      <c r="D1197" s="23" t="n">
        <f aca="false">a26_nonop</f>
        <v>38.372</v>
      </c>
      <c r="E1197" s="23" t="n">
        <f aca="false">nonop_f</f>
        <v>4</v>
      </c>
      <c r="F1197" s="23" t="n">
        <f aca="false">nonop_f</f>
        <v>4</v>
      </c>
      <c r="G1197" s="23" t="n">
        <f aca="false">nonop_f</f>
        <v>4</v>
      </c>
    </row>
    <row r="1198" customFormat="false" ht="15" hidden="false" customHeight="false" outlineLevel="0" collapsed="false">
      <c r="A1198" s="3" t="s">
        <v>423</v>
      </c>
      <c r="B1198" s="0" t="s">
        <v>181</v>
      </c>
      <c r="C1198" s="23" t="n">
        <f aca="false">C1195+C1197</f>
        <v>49.655</v>
      </c>
      <c r="D1198" s="23" t="n">
        <f aca="false">D1195+D1197</f>
        <v>102.2282252</v>
      </c>
      <c r="E1198" s="23" t="n">
        <f aca="false">E1195+E1197</f>
        <v>56.3455660280829</v>
      </c>
      <c r="F1198" s="23" t="n">
        <f aca="false">F1195+F1197</f>
        <v>25.32946589386</v>
      </c>
      <c r="G1198" s="23" t="n">
        <f aca="false">G1195+G1197</f>
        <v>20.9871339808184</v>
      </c>
    </row>
    <row r="1199" customFormat="false" ht="15" hidden="false" customHeight="false" outlineLevel="0" collapsed="false">
      <c r="A1199" s="3" t="s">
        <v>425</v>
      </c>
      <c r="B1199" s="0" t="s">
        <v>181</v>
      </c>
      <c r="C1199" s="23" t="n">
        <f aca="false">a25_tax</f>
        <v>7.939</v>
      </c>
      <c r="D1199" s="23" t="n">
        <f aca="false">a26_tax</f>
        <v>10.493828284</v>
      </c>
      <c r="E1199" s="23" t="n">
        <f aca="false">E1198*tax</f>
        <v>8.45183490421244</v>
      </c>
      <c r="F1199" s="23" t="n">
        <f aca="false">F1198*tax</f>
        <v>3.79941988407899</v>
      </c>
      <c r="G1199" s="23" t="n">
        <f aca="false">G1198*tax</f>
        <v>3.14807009712276</v>
      </c>
    </row>
    <row r="1200" customFormat="false" ht="17.15" hidden="false" customHeight="false" outlineLevel="0" collapsed="false">
      <c r="A1200" s="3" t="s">
        <v>549</v>
      </c>
      <c r="B1200" s="0" t="s">
        <v>181</v>
      </c>
      <c r="C1200" s="23" t="n">
        <f aca="false">a25_mi</f>
        <v>0</v>
      </c>
      <c r="D1200" s="23" t="n">
        <f aca="false">a26_mi</f>
        <v>-0.134999999999987</v>
      </c>
      <c r="E1200" s="23" t="n">
        <f aca="false">0</f>
        <v>0</v>
      </c>
      <c r="F1200" s="23" t="n">
        <f aca="false">0</f>
        <v>0</v>
      </c>
      <c r="G1200" s="23" t="n">
        <f aca="false">0</f>
        <v>0</v>
      </c>
      <c r="K1200" s="7" t="s">
        <v>550</v>
      </c>
    </row>
    <row r="1201" customFormat="false" ht="15" hidden="false" customHeight="false" outlineLevel="0" collapsed="false">
      <c r="A1201" s="3" t="s">
        <v>428</v>
      </c>
      <c r="B1201" s="0" t="s">
        <v>181</v>
      </c>
      <c r="C1201" s="23" t="n">
        <f aca="false">C1198-C1199-C1200</f>
        <v>41.716</v>
      </c>
      <c r="D1201" s="23" t="n">
        <f aca="false">D1198-D1199-D1200</f>
        <v>91.869396916</v>
      </c>
      <c r="E1201" s="23" t="n">
        <f aca="false">E1198-E1199-E1200</f>
        <v>47.8937311238705</v>
      </c>
      <c r="F1201" s="23" t="n">
        <f aca="false">F1198-F1199-F1200</f>
        <v>21.530046009781</v>
      </c>
      <c r="G1201" s="23" t="n">
        <f aca="false">G1198-G1199-G1200</f>
        <v>17.8390638836957</v>
      </c>
      <c r="H1201" s="30" t="n">
        <f aca="false">H1184*H1205</f>
        <v>18.0501328953472</v>
      </c>
      <c r="I1201" s="30" t="n">
        <f aca="false">I1184*I1205</f>
        <v>17.6332857729113</v>
      </c>
      <c r="J1201" s="30" t="n">
        <f aca="false">J1184*J1205</f>
        <v>16.6024167584949</v>
      </c>
    </row>
    <row r="1202" customFormat="false" ht="15" hidden="false" customHeight="false" outlineLevel="0" collapsed="false">
      <c r="A1202" s="3" t="s">
        <v>551</v>
      </c>
      <c r="B1202" s="3" t="s">
        <v>250</v>
      </c>
      <c r="C1202" s="9" t="n">
        <f aca="false">a25_sh</f>
        <v>12.4898203592814</v>
      </c>
      <c r="D1202" s="9" t="n">
        <f aca="false">a26_sh</f>
        <v>12.4754339027235</v>
      </c>
      <c r="E1202" s="9" t="n">
        <f aca="false">q_sh*(1+sh_g)</f>
        <v>12.45</v>
      </c>
      <c r="F1202" s="9" t="n">
        <f aca="false">E1202*(1+sh_g)</f>
        <v>12.45</v>
      </c>
      <c r="G1202" s="9" t="n">
        <f aca="false">F1202*(1+sh_g)</f>
        <v>12.45</v>
      </c>
      <c r="H1202" s="32" t="n">
        <f aca="false">G1202*(1+sh_g)</f>
        <v>12.45</v>
      </c>
      <c r="I1202" s="32" t="n">
        <f aca="false">H1202*(1+sh_g)</f>
        <v>12.45</v>
      </c>
      <c r="J1202" s="32" t="n">
        <f aca="false">I1202*(1+sh_g)</f>
        <v>12.45</v>
      </c>
    </row>
    <row r="1203" customFormat="false" ht="17.15" hidden="false" customHeight="false" outlineLevel="0" collapsed="false">
      <c r="A1203" s="0" t="s">
        <v>434</v>
      </c>
      <c r="B1203" s="0" t="s">
        <v>260</v>
      </c>
      <c r="C1203" s="23" t="n">
        <f aca="false">C1201/C1202</f>
        <v>3.34</v>
      </c>
      <c r="D1203" s="23" t="n">
        <f aca="false">D1201/D1202</f>
        <v>7.36402418002826</v>
      </c>
      <c r="E1203" s="23" t="n">
        <f aca="false">E1201/E1202</f>
        <v>3.84688603404582</v>
      </c>
      <c r="F1203" s="23" t="n">
        <f aca="false">F1201/F1202</f>
        <v>1.72932096464104</v>
      </c>
      <c r="G1203" s="23" t="n">
        <f aca="false">G1201/G1202</f>
        <v>1.43285653684302</v>
      </c>
      <c r="H1203" s="30" t="n">
        <f aca="false">H1201/H1202</f>
        <v>1.44980987111223</v>
      </c>
      <c r="I1203" s="30" t="n">
        <f aca="false">I1201/I1202</f>
        <v>1.41632817453103</v>
      </c>
      <c r="J1203" s="30" t="n">
        <f aca="false">J1201/J1202</f>
        <v>1.33352745048152</v>
      </c>
    </row>
    <row r="1204" customFormat="false" ht="17.15" hidden="false" customHeight="false" outlineLevel="0" collapsed="false">
      <c r="A1204" s="0" t="s">
        <v>552</v>
      </c>
      <c r="B1204" s="0" t="s">
        <v>69</v>
      </c>
      <c r="D1204" s="21" t="n">
        <f aca="false">D1203/C1203-1</f>
        <v>1.2047976586911</v>
      </c>
      <c r="E1204" s="21" t="n">
        <f aca="false">E1203/D1203-1</f>
        <v>-0.477610890458665</v>
      </c>
      <c r="F1204" s="21" t="n">
        <f aca="false">F1203/E1203-1</f>
        <v>-0.550462127202065</v>
      </c>
      <c r="G1204" s="21" t="n">
        <f aca="false">G1203/F1203-1</f>
        <v>-0.171434010146031</v>
      </c>
      <c r="H1204" s="28" t="n">
        <f aca="false">H1203/G1203-1</f>
        <v>0.0118318434771938</v>
      </c>
      <c r="I1204" s="28" t="n">
        <f aca="false">I1203/H1203-1</f>
        <v>-0.0230938533723141</v>
      </c>
      <c r="J1204" s="28" t="n">
        <f aca="false">J1203/I1203-1</f>
        <v>-0.0584615384615386</v>
      </c>
    </row>
    <row r="1205" customFormat="false" ht="17.15" hidden="false" customHeight="false" outlineLevel="0" collapsed="false">
      <c r="A1205" s="3" t="s">
        <v>553</v>
      </c>
      <c r="B1205" s="0" t="s">
        <v>69</v>
      </c>
      <c r="C1205" s="15" t="n">
        <f aca="false">C1201/C1184</f>
        <v>0.175607127672562</v>
      </c>
      <c r="D1205" s="15" t="n">
        <f aca="false">D1201/D1184</f>
        <v>0.328417243409073</v>
      </c>
      <c r="E1205" s="15" t="n">
        <f aca="false">E1201/E1184</f>
        <v>0.171290201027196</v>
      </c>
      <c r="F1205" s="15" t="n">
        <f aca="false">F1201/F1184</f>
        <v>0.0828291256023782</v>
      </c>
      <c r="G1205" s="15" t="n">
        <f aca="false">G1201/G1184</f>
        <v>0.0614871521552756</v>
      </c>
      <c r="H1205" s="29" t="n">
        <f aca="false">$G1205+($G$1205*0.8-$G1205)*1/3</f>
        <v>0.0573880086782572</v>
      </c>
      <c r="I1205" s="29" t="n">
        <f aca="false">$G1205+($G$1205*0.8-$G1205)*2/3</f>
        <v>0.0532888652012389</v>
      </c>
      <c r="J1205" s="29" t="n">
        <f aca="false">$G1205+($G$1205*0.8-$G1205)*3/3</f>
        <v>0.0491897217242205</v>
      </c>
    </row>
    <row r="1208" customFormat="false" ht="17.15" hidden="false" customHeight="false" outlineLevel="0" collapsed="false">
      <c r="A1208" s="1" t="s">
        <v>867</v>
      </c>
    </row>
    <row r="1209" customFormat="false" ht="17.15" hidden="false" customHeight="false" outlineLevel="0" collapsed="false">
      <c r="A1209" s="4" t="s">
        <v>24</v>
      </c>
      <c r="B1209" s="4" t="s">
        <v>25</v>
      </c>
      <c r="C1209" s="16" t="s">
        <v>387</v>
      </c>
      <c r="D1209" s="16" t="s">
        <v>505</v>
      </c>
      <c r="E1209" s="16" t="s">
        <v>467</v>
      </c>
      <c r="F1209" s="16" t="s">
        <v>468</v>
      </c>
      <c r="G1209" s="16" t="s">
        <v>469</v>
      </c>
      <c r="H1209" s="16" t="s">
        <v>506</v>
      </c>
      <c r="I1209" s="16" t="s">
        <v>507</v>
      </c>
      <c r="J1209" s="16" t="s">
        <v>508</v>
      </c>
      <c r="K1209" s="4" t="s">
        <v>345</v>
      </c>
    </row>
    <row r="1210" customFormat="false" ht="17.15" hidden="false" customHeight="false" outlineLevel="0" collapsed="false">
      <c r="A1210" s="5" t="s">
        <v>526</v>
      </c>
    </row>
    <row r="1211" customFormat="false" ht="17.15" hidden="false" customHeight="false" outlineLevel="0" collapsed="false">
      <c r="A1211" s="3" t="s">
        <v>527</v>
      </c>
      <c r="B1211" s="3" t="s">
        <v>64</v>
      </c>
      <c r="D1211" s="22" t="n">
        <f aca="false">cap_26</f>
        <v>5230.46851955216</v>
      </c>
      <c r="E1211" s="22" t="n">
        <f aca="false">D1211*(1+capg27)*cap_adj</f>
        <v>5439.68726033425</v>
      </c>
      <c r="F1211" s="22" t="n">
        <f aca="false">E1211*(1+capg28)</f>
        <v>5820.46536855765</v>
      </c>
      <c r="G1211" s="22" t="n">
        <f aca="false">F1211*(1+capg29)</f>
        <v>6227.89794435668</v>
      </c>
    </row>
    <row r="1212" customFormat="false" ht="15" hidden="false" customHeight="false" outlineLevel="0" collapsed="false">
      <c r="A1212" s="3" t="s">
        <v>528</v>
      </c>
      <c r="B1212" s="0" t="s">
        <v>69</v>
      </c>
      <c r="D1212" s="21" t="n">
        <f aca="false">a26_ship/cap_26</f>
        <v>0.870578781414787</v>
      </c>
      <c r="E1212" s="21" t="n">
        <f aca="false">MIN(0.98,ut27_A+ut_adj)</f>
        <v>0.95</v>
      </c>
      <c r="F1212" s="21" t="n">
        <f aca="false">MIN(0.98,ut28_A+ut_adj)</f>
        <v>0.94</v>
      </c>
      <c r="G1212" s="21" t="n">
        <f aca="false">MIN(0.98,ut29_A+ut_adj)</f>
        <v>0.93</v>
      </c>
    </row>
    <row r="1213" customFormat="false" ht="17.15" hidden="false" customHeight="false" outlineLevel="0" collapsed="false">
      <c r="A1213" s="3" t="s">
        <v>529</v>
      </c>
      <c r="B1213" s="3" t="s">
        <v>64</v>
      </c>
      <c r="D1213" s="22" t="n">
        <f aca="false">D1211*D1212</f>
        <v>4553.53490998013</v>
      </c>
      <c r="E1213" s="22" t="n">
        <f aca="false">E1211*E1212</f>
        <v>5167.70289731754</v>
      </c>
      <c r="F1213" s="22" t="n">
        <f aca="false">F1211*F1212</f>
        <v>5471.23744644419</v>
      </c>
      <c r="G1213" s="22" t="n">
        <f aca="false">G1211*G1212</f>
        <v>5791.94508825172</v>
      </c>
    </row>
    <row r="1214" customFormat="false" ht="17.15" hidden="false" customHeight="false" outlineLevel="0" collapsed="false">
      <c r="A1214" s="3" t="s">
        <v>530</v>
      </c>
      <c r="B1214" s="0" t="s">
        <v>109</v>
      </c>
      <c r="D1214" s="22" t="n">
        <f aca="false">asp_26</f>
        <v>1878.17486396824</v>
      </c>
      <c r="E1214" s="22" t="n">
        <f aca="false">D1214*(1+asp27_A)*(1+asp_adj)</f>
        <v>2065.99235036507</v>
      </c>
      <c r="F1214" s="22" t="n">
        <f aca="false">E1214*(1+asp28_A)</f>
        <v>2127.97212087602</v>
      </c>
      <c r="G1214" s="22" t="n">
        <f aca="false">F1214*(1+asp29_A)</f>
        <v>2170.53156329354</v>
      </c>
    </row>
    <row r="1215" customFormat="false" ht="15" hidden="false" customHeight="false" outlineLevel="0" collapsed="false">
      <c r="A1215" s="3" t="s">
        <v>531</v>
      </c>
      <c r="B1215" s="0" t="s">
        <v>69</v>
      </c>
      <c r="E1215" s="21" t="n">
        <f aca="false">E1214/D1214-1</f>
        <v>0.1</v>
      </c>
      <c r="F1215" s="21" t="n">
        <f aca="false">F1214/E1214-1</f>
        <v>0.03</v>
      </c>
      <c r="G1215" s="21" t="n">
        <f aca="false">G1214/F1214-1</f>
        <v>0.02</v>
      </c>
    </row>
    <row r="1216" customFormat="false" ht="15" hidden="false" customHeight="false" outlineLevel="0" collapsed="false">
      <c r="A1216" s="3" t="s">
        <v>532</v>
      </c>
      <c r="B1216" s="0" t="s">
        <v>35</v>
      </c>
      <c r="D1216" s="23" t="n">
        <f aca="false">fx_26</f>
        <v>31.6</v>
      </c>
      <c r="E1216" s="23" t="n">
        <f aca="false">fx</f>
        <v>32</v>
      </c>
      <c r="F1216" s="23" t="n">
        <f aca="false">fx</f>
        <v>32</v>
      </c>
      <c r="G1216" s="23" t="n">
        <f aca="false">fx</f>
        <v>32</v>
      </c>
    </row>
    <row r="1217" customFormat="false" ht="17.15" hidden="false" customHeight="false" outlineLevel="0" collapsed="false">
      <c r="A1217" s="3" t="s">
        <v>533</v>
      </c>
      <c r="B1217" s="0" t="s">
        <v>181</v>
      </c>
      <c r="D1217" s="23" t="n">
        <f aca="false">D1213*D1214*D1216/1000000</f>
        <v>270.25378</v>
      </c>
      <c r="E1217" s="23" t="n">
        <f aca="false">E1213*E1214*E1216/1000000</f>
        <v>341.645908954158</v>
      </c>
      <c r="F1217" s="23" t="n">
        <f aca="false">F1213*F1214*F1216/1000000</f>
        <v>372.564504087237</v>
      </c>
      <c r="G1217" s="23" t="n">
        <f aca="false">G1213*G1214*G1216/1000000</f>
        <v>402.291188061227</v>
      </c>
    </row>
    <row r="1218" customFormat="false" ht="17.15" hidden="false" customHeight="false" outlineLevel="0" collapsed="false">
      <c r="A1218" s="5" t="s">
        <v>534</v>
      </c>
    </row>
    <row r="1219" customFormat="false" ht="17.15" hidden="false" customHeight="false" outlineLevel="0" collapsed="false">
      <c r="A1219" s="0" t="s">
        <v>535</v>
      </c>
      <c r="B1219" s="0" t="s">
        <v>138</v>
      </c>
      <c r="D1219" s="25" t="n">
        <f aca="false">ai_26</f>
        <v>0.3</v>
      </c>
      <c r="E1219" s="25" t="n">
        <f aca="false">D1219*(1+aig27_A)*ai_adj</f>
        <v>0.48</v>
      </c>
      <c r="F1219" s="25" t="n">
        <f aca="false">E1219*(1+aig_L)*um28_A</f>
        <v>0.696</v>
      </c>
      <c r="G1219" s="25" t="n">
        <f aca="false">F1219/um28_A*(1+aig_L)*um29_A</f>
        <v>1.0092</v>
      </c>
    </row>
    <row r="1220" customFormat="false" ht="17.15" hidden="false" customHeight="false" outlineLevel="0" collapsed="false">
      <c r="A1220" s="0" t="s">
        <v>536</v>
      </c>
      <c r="B1220" s="0" t="s">
        <v>181</v>
      </c>
      <c r="D1220" s="23" t="n">
        <f aca="false">D1219*D1216</f>
        <v>9.48</v>
      </c>
      <c r="E1220" s="23" t="n">
        <f aca="false">E1219*E1216</f>
        <v>15.36</v>
      </c>
      <c r="F1220" s="23" t="n">
        <f aca="false">F1219*F1216</f>
        <v>22.272</v>
      </c>
      <c r="G1220" s="23" t="n">
        <f aca="false">G1219*G1216</f>
        <v>32.2944</v>
      </c>
    </row>
    <row r="1221" customFormat="false" ht="17.15" hidden="false" customHeight="false" outlineLevel="0" collapsed="false">
      <c r="A1221" s="0" t="s">
        <v>537</v>
      </c>
      <c r="B1221" s="0" t="s">
        <v>138</v>
      </c>
      <c r="D1221" s="25" t="n">
        <f aca="false">0</f>
        <v>0</v>
      </c>
      <c r="E1221" s="25" t="n">
        <f aca="false">int_27</f>
        <v>0</v>
      </c>
      <c r="F1221" s="25" t="n">
        <f aca="false">int28_A</f>
        <v>0.25</v>
      </c>
      <c r="G1221" s="25" t="n">
        <f aca="false">int29_A</f>
        <v>0.5</v>
      </c>
    </row>
    <row r="1222" customFormat="false" ht="17.15" hidden="false" customHeight="false" outlineLevel="0" collapsed="false">
      <c r="A1222" s="0" t="s">
        <v>538</v>
      </c>
      <c r="B1222" s="0" t="s">
        <v>181</v>
      </c>
      <c r="D1222" s="23" t="n">
        <f aca="false">D1221*D1216</f>
        <v>0</v>
      </c>
      <c r="E1222" s="23" t="n">
        <f aca="false">E1221*E1216</f>
        <v>0</v>
      </c>
      <c r="F1222" s="23" t="n">
        <f aca="false">F1221*F1216</f>
        <v>8</v>
      </c>
      <c r="G1222" s="23" t="n">
        <f aca="false">G1221*G1216</f>
        <v>16</v>
      </c>
    </row>
    <row r="1223" customFormat="false" ht="17.15" hidden="false" customHeight="false" outlineLevel="0" collapsed="false">
      <c r="A1223" s="3" t="s">
        <v>393</v>
      </c>
      <c r="B1223" s="0" t="s">
        <v>181</v>
      </c>
      <c r="C1223" s="23" t="n">
        <f aca="false">a25_rev</f>
        <v>237.553</v>
      </c>
      <c r="D1223" s="23" t="n">
        <f aca="false">D1217+D1220+D1222</f>
        <v>279.73378</v>
      </c>
      <c r="E1223" s="23" t="n">
        <f aca="false">E1217+E1220+E1222</f>
        <v>357.005908954158</v>
      </c>
      <c r="F1223" s="23" t="n">
        <f aca="false">F1217+F1220+F1222</f>
        <v>402.836504087237</v>
      </c>
      <c r="G1223" s="23" t="n">
        <f aca="false">G1217+G1220+G1222</f>
        <v>450.585588061227</v>
      </c>
      <c r="H1223" s="30" t="n">
        <f aca="false">G1223*(1+H1225)</f>
        <v>495.203224084546</v>
      </c>
      <c r="I1223" s="30" t="n">
        <f aca="false">H1223*(1+I1225)</f>
        <v>534.577190214366</v>
      </c>
      <c r="J1223" s="30" t="n">
        <f aca="false">I1223*(1+J1225)</f>
        <v>566.651821627228</v>
      </c>
      <c r="K1223" s="7" t="s">
        <v>539</v>
      </c>
    </row>
    <row r="1224" customFormat="false" ht="17.15" hidden="false" customHeight="false" outlineLevel="0" collapsed="false">
      <c r="A1224" s="0" t="s">
        <v>540</v>
      </c>
      <c r="B1224" s="0" t="s">
        <v>69</v>
      </c>
      <c r="D1224" s="21" t="n">
        <f aca="false">D1220/D1223</f>
        <v>0.0338893643806622</v>
      </c>
      <c r="E1224" s="21" t="n">
        <f aca="false">E1220/E1223</f>
        <v>0.0430244979557813</v>
      </c>
      <c r="F1224" s="21" t="n">
        <f aca="false">F1220/F1223</f>
        <v>0.0552879388387723</v>
      </c>
      <c r="G1224" s="21" t="n">
        <f aca="false">G1220/G1223</f>
        <v>0.0716720659862999</v>
      </c>
    </row>
    <row r="1225" customFormat="false" ht="15" hidden="false" customHeight="false" outlineLevel="0" collapsed="false">
      <c r="A1225" s="3" t="s">
        <v>541</v>
      </c>
      <c r="B1225" s="0" t="s">
        <v>69</v>
      </c>
      <c r="D1225" s="21" t="n">
        <f aca="false">D1223/C1223-1</f>
        <v>0.177563659478096</v>
      </c>
      <c r="E1225" s="21" t="n">
        <f aca="false">E1223/D1223-1</f>
        <v>0.276234528965926</v>
      </c>
      <c r="F1225" s="21" t="n">
        <f aca="false">F1223/E1223-1</f>
        <v>0.128374892357772</v>
      </c>
      <c r="G1225" s="21" t="n">
        <f aca="false">G1223/F1223-1</f>
        <v>0.118532167491082</v>
      </c>
      <c r="H1225" s="28" t="n">
        <f aca="false">$G1225+(fade_gA-$G1225)*1/3</f>
        <v>0.099021444994055</v>
      </c>
      <c r="I1225" s="28" t="n">
        <f aca="false">$G1225+(fade_gA-$G1225)*2/3</f>
        <v>0.0795107224970275</v>
      </c>
      <c r="J1225" s="28" t="n">
        <f aca="false">$G1225+(fade_gA-$G1225)*3/3</f>
        <v>0.06</v>
      </c>
    </row>
    <row r="1226" customFormat="false" ht="17.15" hidden="false" customHeight="false" outlineLevel="0" collapsed="false">
      <c r="A1226" s="5" t="s">
        <v>542</v>
      </c>
    </row>
    <row r="1227" customFormat="false" ht="15" hidden="false" customHeight="false" outlineLevel="0" collapsed="false">
      <c r="A1227" s="3" t="s">
        <v>543</v>
      </c>
      <c r="B1227" s="0" t="s">
        <v>181</v>
      </c>
      <c r="D1227" s="23" t="n">
        <f aca="false">da_tot26*da_sh</f>
        <v>56.172</v>
      </c>
      <c r="E1227" s="23" t="n">
        <f aca="false">D1227*(1+dag_27+dag_adj)</f>
        <v>62.91264</v>
      </c>
      <c r="F1227" s="23" t="n">
        <f aca="false">E1227*(1+dag_28+dag_adj)</f>
        <v>69.203904</v>
      </c>
      <c r="G1227" s="23" t="n">
        <f aca="false">F1227*(1+dag_29+dag_adj)</f>
        <v>74.74021632</v>
      </c>
    </row>
    <row r="1228" customFormat="false" ht="17.15" hidden="false" customHeight="false" outlineLevel="0" collapsed="false">
      <c r="A1228" s="3" t="s">
        <v>544</v>
      </c>
      <c r="B1228" s="0" t="s">
        <v>545</v>
      </c>
      <c r="D1228" s="23" t="n">
        <f aca="false">(D1223-a26_gp-D1227-(1-m_new)*(D1220+D1222))/D1213*1000</f>
        <v>27.9465727870208</v>
      </c>
      <c r="E1228" s="23" t="n">
        <f aca="false">D1228*(1+cc_g_lo)</f>
        <v>27.9465727870208</v>
      </c>
      <c r="F1228" s="23" t="n">
        <f aca="false">E1228*(1+cc_g_lo)</f>
        <v>27.9465727870208</v>
      </c>
      <c r="G1228" s="23" t="n">
        <f aca="false">F1228*(1+cc_g_lo)</f>
        <v>27.9465727870208</v>
      </c>
      <c r="K1228" s="7" t="s">
        <v>546</v>
      </c>
    </row>
    <row r="1229" customFormat="false" ht="17.15" hidden="false" customHeight="false" outlineLevel="0" collapsed="false">
      <c r="A1229" s="3" t="s">
        <v>547</v>
      </c>
      <c r="B1229" s="0" t="s">
        <v>181</v>
      </c>
      <c r="D1229" s="23" t="n">
        <f aca="false">D1228*D1213/1000</f>
        <v>127.2556948</v>
      </c>
      <c r="E1229" s="23" t="n">
        <f aca="false">E1228*E1213/1000</f>
        <v>144.419585161583</v>
      </c>
      <c r="F1229" s="23" t="n">
        <f aca="false">F1228*F1213/1000</f>
        <v>152.902335532126</v>
      </c>
      <c r="G1229" s="23" t="n">
        <f aca="false">G1228*G1213/1000</f>
        <v>161.865014987254</v>
      </c>
    </row>
    <row r="1230" customFormat="false" ht="17.15" hidden="false" customHeight="false" outlineLevel="0" collapsed="false">
      <c r="A1230" s="3" t="s">
        <v>548</v>
      </c>
      <c r="B1230" s="0" t="s">
        <v>181</v>
      </c>
      <c r="D1230" s="23" t="n">
        <f aca="false">m_new*(D1220+D1222)</f>
        <v>4.266</v>
      </c>
      <c r="E1230" s="23" t="n">
        <f aca="false">m_new*(E1220+E1222)</f>
        <v>6.912</v>
      </c>
      <c r="F1230" s="23" t="n">
        <f aca="false">m_new*(F1220+F1222)</f>
        <v>13.6224</v>
      </c>
      <c r="G1230" s="23" t="n">
        <f aca="false">m_new*(G1220+G1222)</f>
        <v>21.73248</v>
      </c>
    </row>
    <row r="1231" customFormat="false" ht="15" hidden="false" customHeight="false" outlineLevel="0" collapsed="false">
      <c r="A1231" s="3" t="s">
        <v>411</v>
      </c>
      <c r="B1231" s="0" t="s">
        <v>181</v>
      </c>
      <c r="C1231" s="23" t="n">
        <f aca="false">a25_gp</f>
        <v>68.906</v>
      </c>
      <c r="D1231" s="23" t="n">
        <f aca="false">D1217-D1227-D1229+D1230</f>
        <v>91.0920852</v>
      </c>
      <c r="E1231" s="23" t="n">
        <f aca="false">E1217-E1227-E1229+E1230</f>
        <v>141.225683792575</v>
      </c>
      <c r="F1231" s="23" t="n">
        <f aca="false">F1217-F1227-F1229+F1230</f>
        <v>164.08066455511</v>
      </c>
      <c r="G1231" s="23" t="n">
        <f aca="false">G1217-G1227-G1229+G1230</f>
        <v>187.418436753973</v>
      </c>
    </row>
    <row r="1232" customFormat="false" ht="15" hidden="false" customHeight="false" outlineLevel="0" collapsed="false">
      <c r="A1232" s="3" t="s">
        <v>413</v>
      </c>
      <c r="B1232" s="0" t="s">
        <v>69</v>
      </c>
      <c r="C1232" s="15" t="n">
        <f aca="false">C1231/C1223</f>
        <v>0.290065795843454</v>
      </c>
      <c r="D1232" s="15" t="n">
        <f aca="false">D1231/D1223</f>
        <v>0.325638488136828</v>
      </c>
      <c r="E1232" s="15" t="n">
        <f aca="false">E1231/E1223</f>
        <v>0.395583603101397</v>
      </c>
      <c r="F1232" s="15" t="n">
        <f aca="false">F1231/F1223</f>
        <v>0.407313296809808</v>
      </c>
      <c r="G1232" s="15" t="n">
        <f aca="false">G1231/G1223</f>
        <v>0.415944144064603</v>
      </c>
    </row>
    <row r="1233" customFormat="false" ht="15" hidden="false" customHeight="false" outlineLevel="0" collapsed="false">
      <c r="A1233" s="3" t="s">
        <v>415</v>
      </c>
      <c r="B1233" s="0" t="s">
        <v>181</v>
      </c>
      <c r="C1233" s="23" t="n">
        <f aca="false">a25_opx</f>
        <v>25.056</v>
      </c>
      <c r="D1233" s="23" t="n">
        <f aca="false">a26_opx</f>
        <v>27.23586</v>
      </c>
      <c r="E1233" s="23" t="n">
        <f aca="false">D1233*(1+MAX(g_opx_min,phi*E1225))</f>
        <v>30.997602479041</v>
      </c>
      <c r="F1233" s="23" t="n">
        <f aca="false">E1233*(1+MAX(g_opx_min,phi*F1225))</f>
        <v>32.9872594198389</v>
      </c>
      <c r="G1233" s="23" t="n">
        <f aca="false">F1233*(1+MAX(g_opx_min,phi*G1225))</f>
        <v>34.942285099151</v>
      </c>
    </row>
    <row r="1234" customFormat="false" ht="15" hidden="false" customHeight="false" outlineLevel="0" collapsed="false">
      <c r="A1234" s="3" t="s">
        <v>418</v>
      </c>
      <c r="B1234" s="0" t="s">
        <v>181</v>
      </c>
      <c r="C1234" s="23" t="n">
        <f aca="false">C1231-C1233</f>
        <v>43.85</v>
      </c>
      <c r="D1234" s="23" t="n">
        <f aca="false">D1231-D1233</f>
        <v>63.8562252</v>
      </c>
      <c r="E1234" s="23" t="n">
        <f aca="false">E1231-E1233</f>
        <v>110.228081313534</v>
      </c>
      <c r="F1234" s="23" t="n">
        <f aca="false">F1231-F1233</f>
        <v>131.093405135271</v>
      </c>
      <c r="G1234" s="23" t="n">
        <f aca="false">G1231-G1233</f>
        <v>152.476151654822</v>
      </c>
    </row>
    <row r="1235" customFormat="false" ht="15" hidden="false" customHeight="false" outlineLevel="0" collapsed="false">
      <c r="A1235" s="3" t="s">
        <v>515</v>
      </c>
      <c r="B1235" s="0" t="s">
        <v>69</v>
      </c>
      <c r="C1235" s="15" t="n">
        <f aca="false">C1234/C1223</f>
        <v>0.184590386145408</v>
      </c>
      <c r="D1235" s="15" t="n">
        <f aca="false">D1234/D1223</f>
        <v>0.228274987740129</v>
      </c>
      <c r="E1235" s="15" t="n">
        <f aca="false">E1234/E1223</f>
        <v>0.308757022079677</v>
      </c>
      <c r="F1235" s="15" t="n">
        <f aca="false">F1234/F1223</f>
        <v>0.325425833570639</v>
      </c>
      <c r="G1235" s="15" t="n">
        <f aca="false">G1234/G1223</f>
        <v>0.338395536153062</v>
      </c>
    </row>
    <row r="1236" customFormat="false" ht="15" hidden="false" customHeight="false" outlineLevel="0" collapsed="false">
      <c r="A1236" s="3" t="s">
        <v>421</v>
      </c>
      <c r="B1236" s="0" t="s">
        <v>181</v>
      </c>
      <c r="C1236" s="23" t="n">
        <f aca="false">a25_nonop</f>
        <v>5.805</v>
      </c>
      <c r="D1236" s="23" t="n">
        <f aca="false">a26_nonop</f>
        <v>38.372</v>
      </c>
      <c r="E1236" s="23" t="n">
        <f aca="false">nonop_f</f>
        <v>4</v>
      </c>
      <c r="F1236" s="23" t="n">
        <f aca="false">nonop_f</f>
        <v>4</v>
      </c>
      <c r="G1236" s="23" t="n">
        <f aca="false">nonop_f</f>
        <v>4</v>
      </c>
    </row>
    <row r="1237" customFormat="false" ht="15" hidden="false" customHeight="false" outlineLevel="0" collapsed="false">
      <c r="A1237" s="3" t="s">
        <v>423</v>
      </c>
      <c r="B1237" s="0" t="s">
        <v>181</v>
      </c>
      <c r="C1237" s="23" t="n">
        <f aca="false">C1234+C1236</f>
        <v>49.655</v>
      </c>
      <c r="D1237" s="23" t="n">
        <f aca="false">D1234+D1236</f>
        <v>102.2282252</v>
      </c>
      <c r="E1237" s="23" t="n">
        <f aca="false">E1234+E1236</f>
        <v>114.228081313534</v>
      </c>
      <c r="F1237" s="23" t="n">
        <f aca="false">F1234+F1236</f>
        <v>135.093405135271</v>
      </c>
      <c r="G1237" s="23" t="n">
        <f aca="false">G1234+G1236</f>
        <v>156.476151654822</v>
      </c>
    </row>
    <row r="1238" customFormat="false" ht="15" hidden="false" customHeight="false" outlineLevel="0" collapsed="false">
      <c r="A1238" s="3" t="s">
        <v>425</v>
      </c>
      <c r="B1238" s="0" t="s">
        <v>181</v>
      </c>
      <c r="C1238" s="23" t="n">
        <f aca="false">a25_tax</f>
        <v>7.939</v>
      </c>
      <c r="D1238" s="23" t="n">
        <f aca="false">a26_tax</f>
        <v>10.493828284</v>
      </c>
      <c r="E1238" s="23" t="n">
        <f aca="false">E1237*tax</f>
        <v>17.1342121970301</v>
      </c>
      <c r="F1238" s="23" t="n">
        <f aca="false">F1237*tax</f>
        <v>20.2640107702907</v>
      </c>
      <c r="G1238" s="23" t="n">
        <f aca="false">G1237*tax</f>
        <v>23.4714227482233</v>
      </c>
    </row>
    <row r="1239" customFormat="false" ht="17.15" hidden="false" customHeight="false" outlineLevel="0" collapsed="false">
      <c r="A1239" s="3" t="s">
        <v>549</v>
      </c>
      <c r="B1239" s="0" t="s">
        <v>181</v>
      </c>
      <c r="C1239" s="23" t="n">
        <f aca="false">a25_mi</f>
        <v>0</v>
      </c>
      <c r="D1239" s="23" t="n">
        <f aca="false">a26_mi</f>
        <v>-0.134999999999987</v>
      </c>
      <c r="E1239" s="23" t="n">
        <f aca="false">0</f>
        <v>0</v>
      </c>
      <c r="F1239" s="23" t="n">
        <f aca="false">0</f>
        <v>0</v>
      </c>
      <c r="G1239" s="23" t="n">
        <f aca="false">0</f>
        <v>0</v>
      </c>
      <c r="K1239" s="7" t="s">
        <v>550</v>
      </c>
    </row>
    <row r="1240" customFormat="false" ht="15" hidden="false" customHeight="false" outlineLevel="0" collapsed="false">
      <c r="A1240" s="3" t="s">
        <v>428</v>
      </c>
      <c r="B1240" s="0" t="s">
        <v>181</v>
      </c>
      <c r="C1240" s="23" t="n">
        <f aca="false">C1237-C1238-C1239</f>
        <v>41.716</v>
      </c>
      <c r="D1240" s="23" t="n">
        <f aca="false">D1237-D1238-D1239</f>
        <v>91.869396916</v>
      </c>
      <c r="E1240" s="23" t="n">
        <f aca="false">E1237-E1238-E1239</f>
        <v>97.0938691165039</v>
      </c>
      <c r="F1240" s="23" t="n">
        <f aca="false">F1237-F1238-F1239</f>
        <v>114.829394364981</v>
      </c>
      <c r="G1240" s="23" t="n">
        <f aca="false">G1237-G1238-G1239</f>
        <v>133.004728906598</v>
      </c>
      <c r="H1240" s="30" t="n">
        <f aca="false">H1223*H1244</f>
        <v>146.175049353972</v>
      </c>
      <c r="I1240" s="30" t="n">
        <f aca="false">I1223*I1244</f>
        <v>157.797533139145</v>
      </c>
      <c r="J1240" s="30" t="n">
        <f aca="false">J1223*J1244</f>
        <v>167.265385127494</v>
      </c>
    </row>
    <row r="1241" customFormat="false" ht="15" hidden="false" customHeight="false" outlineLevel="0" collapsed="false">
      <c r="A1241" s="3" t="s">
        <v>551</v>
      </c>
      <c r="B1241" s="3" t="s">
        <v>250</v>
      </c>
      <c r="C1241" s="9" t="n">
        <f aca="false">a25_sh</f>
        <v>12.4898203592814</v>
      </c>
      <c r="D1241" s="9" t="n">
        <f aca="false">a26_sh</f>
        <v>12.4754339027235</v>
      </c>
      <c r="E1241" s="9" t="n">
        <f aca="false">q_sh*(1+sh_g)</f>
        <v>12.45</v>
      </c>
      <c r="F1241" s="9" t="n">
        <f aca="false">E1241*(1+sh_g)</f>
        <v>12.45</v>
      </c>
      <c r="G1241" s="9" t="n">
        <f aca="false">F1241*(1+sh_g)</f>
        <v>12.45</v>
      </c>
      <c r="H1241" s="32" t="n">
        <f aca="false">G1241*(1+sh_g)</f>
        <v>12.45</v>
      </c>
      <c r="I1241" s="32" t="n">
        <f aca="false">H1241*(1+sh_g)</f>
        <v>12.45</v>
      </c>
      <c r="J1241" s="32" t="n">
        <f aca="false">I1241*(1+sh_g)</f>
        <v>12.45</v>
      </c>
    </row>
    <row r="1242" customFormat="false" ht="17.15" hidden="false" customHeight="false" outlineLevel="0" collapsed="false">
      <c r="A1242" s="0" t="s">
        <v>434</v>
      </c>
      <c r="B1242" s="0" t="s">
        <v>260</v>
      </c>
      <c r="C1242" s="23" t="n">
        <f aca="false">C1240/C1241</f>
        <v>3.34</v>
      </c>
      <c r="D1242" s="23" t="n">
        <f aca="false">D1240/D1241</f>
        <v>7.36402418002826</v>
      </c>
      <c r="E1242" s="23" t="n">
        <f aca="false">E1240/E1241</f>
        <v>7.79870434670714</v>
      </c>
      <c r="F1242" s="23" t="n">
        <f aca="false">F1240/F1241</f>
        <v>9.22324452730767</v>
      </c>
      <c r="G1242" s="23" t="n">
        <f aca="false">G1240/G1241</f>
        <v>10.6831107555501</v>
      </c>
      <c r="H1242" s="30" t="n">
        <f aca="false">H1240/H1241</f>
        <v>11.7409678195962</v>
      </c>
      <c r="I1242" s="30" t="n">
        <f aca="false">I1240/I1241</f>
        <v>12.6745006537466</v>
      </c>
      <c r="J1242" s="30" t="n">
        <f aca="false">J1240/J1241</f>
        <v>13.4349706929714</v>
      </c>
    </row>
    <row r="1243" customFormat="false" ht="17.15" hidden="false" customHeight="false" outlineLevel="0" collapsed="false">
      <c r="A1243" s="0" t="s">
        <v>552</v>
      </c>
      <c r="B1243" s="0" t="s">
        <v>69</v>
      </c>
      <c r="D1243" s="21" t="n">
        <f aca="false">D1242/C1242-1</f>
        <v>1.2047976586911</v>
      </c>
      <c r="E1243" s="21" t="n">
        <f aca="false">E1242/D1242-1</f>
        <v>0.0590275311503949</v>
      </c>
      <c r="F1243" s="21" t="n">
        <f aca="false">F1242/E1242-1</f>
        <v>0.182663698643995</v>
      </c>
      <c r="G1243" s="21" t="n">
        <f aca="false">G1242/F1242-1</f>
        <v>0.158281201796191</v>
      </c>
      <c r="H1243" s="28" t="n">
        <f aca="false">H1242/G1242-1</f>
        <v>0.0990214449940552</v>
      </c>
      <c r="I1243" s="28" t="n">
        <f aca="false">I1242/H1242-1</f>
        <v>0.0795107224970275</v>
      </c>
      <c r="J1243" s="28" t="n">
        <f aca="false">J1242/I1242-1</f>
        <v>0.0600000000000003</v>
      </c>
    </row>
    <row r="1244" customFormat="false" ht="17.15" hidden="false" customHeight="false" outlineLevel="0" collapsed="false">
      <c r="A1244" s="3" t="s">
        <v>553</v>
      </c>
      <c r="B1244" s="0" t="s">
        <v>69</v>
      </c>
      <c r="C1244" s="15" t="n">
        <f aca="false">C1240/C1223</f>
        <v>0.175607127672562</v>
      </c>
      <c r="D1244" s="15" t="n">
        <f aca="false">D1240/D1223</f>
        <v>0.328417243409073</v>
      </c>
      <c r="E1244" s="15" t="n">
        <f aca="false">E1240/E1223</f>
        <v>0.271967120658979</v>
      </c>
      <c r="F1244" s="15" t="n">
        <f aca="false">F1240/F1223</f>
        <v>0.285052107244267</v>
      </c>
      <c r="G1244" s="15" t="n">
        <f aca="false">G1240/G1223</f>
        <v>0.295181941967761</v>
      </c>
      <c r="H1244" s="29" t="n">
        <f aca="false">$G1244+($G$1244*1-$G1244)*1/3</f>
        <v>0.295181941967761</v>
      </c>
      <c r="I1244" s="29" t="n">
        <f aca="false">$G1244+($G$1244*1-$G1244)*2/3</f>
        <v>0.295181941967761</v>
      </c>
      <c r="J1244" s="29" t="n">
        <f aca="false">$G1244+($G$1244*1-$G1244)*3/3</f>
        <v>0.295181941967761</v>
      </c>
    </row>
    <row r="1247" customFormat="false" ht="17.15" hidden="false" customHeight="false" outlineLevel="0" collapsed="false">
      <c r="A1247" s="1" t="s">
        <v>868</v>
      </c>
    </row>
    <row r="1248" customFormat="false" ht="17.15" hidden="false" customHeight="false" outlineLevel="0" collapsed="false">
      <c r="A1248" s="4" t="s">
        <v>24</v>
      </c>
      <c r="B1248" s="4" t="s">
        <v>25</v>
      </c>
      <c r="C1248" s="16" t="s">
        <v>387</v>
      </c>
      <c r="D1248" s="16" t="s">
        <v>505</v>
      </c>
      <c r="E1248" s="16" t="s">
        <v>467</v>
      </c>
      <c r="F1248" s="16" t="s">
        <v>468</v>
      </c>
      <c r="G1248" s="16" t="s">
        <v>469</v>
      </c>
      <c r="H1248" s="16" t="s">
        <v>506</v>
      </c>
      <c r="I1248" s="16" t="s">
        <v>507</v>
      </c>
      <c r="J1248" s="16" t="s">
        <v>508</v>
      </c>
      <c r="K1248" s="4" t="s">
        <v>345</v>
      </c>
    </row>
    <row r="1249" customFormat="false" ht="17.15" hidden="false" customHeight="false" outlineLevel="0" collapsed="false">
      <c r="A1249" s="5" t="s">
        <v>526</v>
      </c>
    </row>
    <row r="1250" customFormat="false" ht="17.15" hidden="false" customHeight="false" outlineLevel="0" collapsed="false">
      <c r="A1250" s="3" t="s">
        <v>527</v>
      </c>
      <c r="B1250" s="3" t="s">
        <v>64</v>
      </c>
      <c r="D1250" s="22" t="n">
        <f aca="false">cap_26</f>
        <v>5230.46851955216</v>
      </c>
      <c r="E1250" s="22" t="n">
        <f aca="false">D1250*(1+capg27)*cap_adj</f>
        <v>5439.68726033425</v>
      </c>
      <c r="F1250" s="22" t="n">
        <f aca="false">E1250*(1+capg28)</f>
        <v>5820.46536855765</v>
      </c>
      <c r="G1250" s="22" t="n">
        <f aca="false">F1250*(1+capg29)</f>
        <v>6227.89794435668</v>
      </c>
    </row>
    <row r="1251" customFormat="false" ht="15" hidden="false" customHeight="false" outlineLevel="0" collapsed="false">
      <c r="A1251" s="3" t="s">
        <v>528</v>
      </c>
      <c r="B1251" s="0" t="s">
        <v>69</v>
      </c>
      <c r="D1251" s="21" t="n">
        <f aca="false">a26_ship/cap_26</f>
        <v>0.870578781414787</v>
      </c>
      <c r="E1251" s="21" t="n">
        <f aca="false">MIN(0.98,ut27_B+ut_adj)</f>
        <v>0.9</v>
      </c>
      <c r="F1251" s="21" t="n">
        <f aca="false">MIN(0.98,ut28_B+ut_adj)</f>
        <v>0.87</v>
      </c>
      <c r="G1251" s="21" t="n">
        <f aca="false">MIN(0.98,ut29_B+ut_adj)</f>
        <v>0.88</v>
      </c>
    </row>
    <row r="1252" customFormat="false" ht="17.15" hidden="false" customHeight="false" outlineLevel="0" collapsed="false">
      <c r="A1252" s="3" t="s">
        <v>529</v>
      </c>
      <c r="B1252" s="3" t="s">
        <v>64</v>
      </c>
      <c r="D1252" s="22" t="n">
        <f aca="false">D1250*D1251</f>
        <v>4553.53490998013</v>
      </c>
      <c r="E1252" s="22" t="n">
        <f aca="false">E1250*E1251</f>
        <v>4895.71853430083</v>
      </c>
      <c r="F1252" s="22" t="n">
        <f aca="false">F1250*F1251</f>
        <v>5063.80487064515</v>
      </c>
      <c r="G1252" s="22" t="n">
        <f aca="false">G1250*G1251</f>
        <v>5480.55019103388</v>
      </c>
    </row>
    <row r="1253" customFormat="false" ht="17.15" hidden="false" customHeight="false" outlineLevel="0" collapsed="false">
      <c r="A1253" s="3" t="s">
        <v>530</v>
      </c>
      <c r="B1253" s="0" t="s">
        <v>109</v>
      </c>
      <c r="D1253" s="22" t="n">
        <f aca="false">asp_26</f>
        <v>1878.17486396824</v>
      </c>
      <c r="E1253" s="22" t="n">
        <f aca="false">D1253*(1+asp27_B)*(1+asp_adj)</f>
        <v>1972.08360716666</v>
      </c>
      <c r="F1253" s="22" t="n">
        <f aca="false">E1253*(1+asp28_B)</f>
        <v>1972.08360716666</v>
      </c>
      <c r="G1253" s="22" t="n">
        <f aca="false">F1253*(1+asp29_B)</f>
        <v>1972.08360716666</v>
      </c>
    </row>
    <row r="1254" customFormat="false" ht="15" hidden="false" customHeight="false" outlineLevel="0" collapsed="false">
      <c r="A1254" s="3" t="s">
        <v>531</v>
      </c>
      <c r="B1254" s="0" t="s">
        <v>69</v>
      </c>
      <c r="E1254" s="21" t="n">
        <f aca="false">E1253/D1253-1</f>
        <v>0.05</v>
      </c>
      <c r="F1254" s="21" t="n">
        <f aca="false">F1253/E1253-1</f>
        <v>0</v>
      </c>
      <c r="G1254" s="21" t="n">
        <f aca="false">G1253/F1253-1</f>
        <v>0</v>
      </c>
    </row>
    <row r="1255" customFormat="false" ht="15" hidden="false" customHeight="false" outlineLevel="0" collapsed="false">
      <c r="A1255" s="3" t="s">
        <v>532</v>
      </c>
      <c r="B1255" s="0" t="s">
        <v>35</v>
      </c>
      <c r="D1255" s="23" t="n">
        <f aca="false">fx_26</f>
        <v>31.6</v>
      </c>
      <c r="E1255" s="23" t="n">
        <f aca="false">fx</f>
        <v>32</v>
      </c>
      <c r="F1255" s="23" t="n">
        <f aca="false">fx</f>
        <v>32</v>
      </c>
      <c r="G1255" s="23" t="n">
        <f aca="false">fx</f>
        <v>32</v>
      </c>
    </row>
    <row r="1256" customFormat="false" ht="17.15" hidden="false" customHeight="false" outlineLevel="0" collapsed="false">
      <c r="A1256" s="3" t="s">
        <v>533</v>
      </c>
      <c r="B1256" s="0" t="s">
        <v>181</v>
      </c>
      <c r="D1256" s="23" t="n">
        <f aca="false">D1252*D1253*D1255/1000000</f>
        <v>270.25378</v>
      </c>
      <c r="E1256" s="23" t="n">
        <f aca="false">E1252*E1253*E1255/1000000</f>
        <v>308.952520537492</v>
      </c>
      <c r="F1256" s="23" t="n">
        <f aca="false">F1252*F1253*F1255/1000000</f>
        <v>319.559890409279</v>
      </c>
      <c r="G1256" s="23" t="n">
        <f aca="false">G1252*G1253*G1255/1000000</f>
        <v>345.859302079744</v>
      </c>
    </row>
    <row r="1257" customFormat="false" ht="17.15" hidden="false" customHeight="false" outlineLevel="0" collapsed="false">
      <c r="A1257" s="5" t="s">
        <v>534</v>
      </c>
    </row>
    <row r="1258" customFormat="false" ht="17.15" hidden="false" customHeight="false" outlineLevel="0" collapsed="false">
      <c r="A1258" s="0" t="s">
        <v>535</v>
      </c>
      <c r="B1258" s="0" t="s">
        <v>138</v>
      </c>
      <c r="D1258" s="25" t="n">
        <f aca="false">ai_26</f>
        <v>0.3</v>
      </c>
      <c r="E1258" s="25" t="n">
        <f aca="false">D1258*(1+aig27_B)*ai_adj</f>
        <v>0.42</v>
      </c>
      <c r="F1258" s="25" t="n">
        <f aca="false">E1258*(1+aig_L)*um28_B</f>
        <v>0.4872</v>
      </c>
      <c r="G1258" s="25" t="n">
        <f aca="false">F1258/um28_B*(1+aig_L)*um29_B</f>
        <v>0.7505925</v>
      </c>
    </row>
    <row r="1259" customFormat="false" ht="17.15" hidden="false" customHeight="false" outlineLevel="0" collapsed="false">
      <c r="A1259" s="0" t="s">
        <v>536</v>
      </c>
      <c r="B1259" s="0" t="s">
        <v>181</v>
      </c>
      <c r="D1259" s="23" t="n">
        <f aca="false">D1258*D1255</f>
        <v>9.48</v>
      </c>
      <c r="E1259" s="23" t="n">
        <f aca="false">E1258*E1255</f>
        <v>13.44</v>
      </c>
      <c r="F1259" s="23" t="n">
        <f aca="false">F1258*F1255</f>
        <v>15.5904</v>
      </c>
      <c r="G1259" s="23" t="n">
        <f aca="false">G1258*G1255</f>
        <v>24.01896</v>
      </c>
    </row>
    <row r="1260" customFormat="false" ht="17.15" hidden="false" customHeight="false" outlineLevel="0" collapsed="false">
      <c r="A1260" s="0" t="s">
        <v>537</v>
      </c>
      <c r="B1260" s="0" t="s">
        <v>138</v>
      </c>
      <c r="D1260" s="25" t="n">
        <f aca="false">0</f>
        <v>0</v>
      </c>
      <c r="E1260" s="25" t="n">
        <f aca="false">int_27</f>
        <v>0</v>
      </c>
      <c r="F1260" s="25" t="n">
        <f aca="false">int28_B</f>
        <v>0.12</v>
      </c>
      <c r="G1260" s="25" t="n">
        <f aca="false">int29_B</f>
        <v>0.3</v>
      </c>
    </row>
    <row r="1261" customFormat="false" ht="17.15" hidden="false" customHeight="false" outlineLevel="0" collapsed="false">
      <c r="A1261" s="0" t="s">
        <v>538</v>
      </c>
      <c r="B1261" s="0" t="s">
        <v>181</v>
      </c>
      <c r="D1261" s="23" t="n">
        <f aca="false">D1260*D1255</f>
        <v>0</v>
      </c>
      <c r="E1261" s="23" t="n">
        <f aca="false">E1260*E1255</f>
        <v>0</v>
      </c>
      <c r="F1261" s="23" t="n">
        <f aca="false">F1260*F1255</f>
        <v>3.84</v>
      </c>
      <c r="G1261" s="23" t="n">
        <f aca="false">G1260*G1255</f>
        <v>9.6</v>
      </c>
    </row>
    <row r="1262" customFormat="false" ht="17.15" hidden="false" customHeight="false" outlineLevel="0" collapsed="false">
      <c r="A1262" s="3" t="s">
        <v>393</v>
      </c>
      <c r="B1262" s="0" t="s">
        <v>181</v>
      </c>
      <c r="C1262" s="23" t="n">
        <f aca="false">a25_rev</f>
        <v>237.553</v>
      </c>
      <c r="D1262" s="23" t="n">
        <f aca="false">D1256+D1259+D1261</f>
        <v>279.73378</v>
      </c>
      <c r="E1262" s="23" t="n">
        <f aca="false">E1256+E1259+E1261</f>
        <v>322.392520537492</v>
      </c>
      <c r="F1262" s="23" t="n">
        <f aca="false">F1256+F1259+F1261</f>
        <v>338.990290409279</v>
      </c>
      <c r="G1262" s="23" t="n">
        <f aca="false">G1256+G1259+G1261</f>
        <v>379.478262079744</v>
      </c>
      <c r="H1262" s="30" t="n">
        <f aca="false">G1262*(1+H1264)</f>
        <v>414.75379367548</v>
      </c>
      <c r="I1262" s="30" t="n">
        <f aca="false">H1262*(1+I1264)</f>
        <v>442.326206375962</v>
      </c>
      <c r="J1262" s="30" t="n">
        <f aca="false">I1262*(1+J1264)</f>
        <v>460.019254631001</v>
      </c>
      <c r="K1262" s="7" t="s">
        <v>539</v>
      </c>
    </row>
    <row r="1263" customFormat="false" ht="17.15" hidden="false" customHeight="false" outlineLevel="0" collapsed="false">
      <c r="A1263" s="0" t="s">
        <v>540</v>
      </c>
      <c r="B1263" s="0" t="s">
        <v>69</v>
      </c>
      <c r="D1263" s="21" t="n">
        <f aca="false">D1259/D1262</f>
        <v>0.0338893643806622</v>
      </c>
      <c r="E1263" s="21" t="n">
        <f aca="false">E1259/E1262</f>
        <v>0.0416883120538679</v>
      </c>
      <c r="F1263" s="21" t="n">
        <f aca="false">F1259/F1262</f>
        <v>0.0459906977901254</v>
      </c>
      <c r="G1263" s="21" t="n">
        <f aca="false">G1259/G1262</f>
        <v>0.0632946927404042</v>
      </c>
    </row>
    <row r="1264" customFormat="false" ht="15" hidden="false" customHeight="false" outlineLevel="0" collapsed="false">
      <c r="A1264" s="3" t="s">
        <v>541</v>
      </c>
      <c r="B1264" s="0" t="s">
        <v>69</v>
      </c>
      <c r="D1264" s="21" t="n">
        <f aca="false">D1262/C1262-1</f>
        <v>0.177563659478096</v>
      </c>
      <c r="E1264" s="21" t="n">
        <f aca="false">E1262/D1262-1</f>
        <v>0.152497637351814</v>
      </c>
      <c r="F1264" s="21" t="n">
        <f aca="false">F1262/E1262-1</f>
        <v>0.0514831108492078</v>
      </c>
      <c r="G1264" s="21" t="n">
        <f aca="false">G1262/F1262-1</f>
        <v>0.119436965647547</v>
      </c>
      <c r="H1264" s="28" t="n">
        <f aca="false">$G1264+(fade_gB-$G1264)*1/3</f>
        <v>0.0929579770983645</v>
      </c>
      <c r="I1264" s="28" t="n">
        <f aca="false">$G1264+(fade_gB-$G1264)*2/3</f>
        <v>0.0664789885491822</v>
      </c>
      <c r="J1264" s="28" t="n">
        <f aca="false">$G1264+(fade_gB-$G1264)*3/3</f>
        <v>0.04</v>
      </c>
    </row>
    <row r="1265" customFormat="false" ht="17.15" hidden="false" customHeight="false" outlineLevel="0" collapsed="false">
      <c r="A1265" s="5" t="s">
        <v>542</v>
      </c>
    </row>
    <row r="1266" customFormat="false" ht="15" hidden="false" customHeight="false" outlineLevel="0" collapsed="false">
      <c r="A1266" s="3" t="s">
        <v>543</v>
      </c>
      <c r="B1266" s="0" t="s">
        <v>181</v>
      </c>
      <c r="D1266" s="23" t="n">
        <f aca="false">da_tot26*da_sh</f>
        <v>56.172</v>
      </c>
      <c r="E1266" s="23" t="n">
        <f aca="false">D1266*(1+dag_27+dag_adj)</f>
        <v>62.91264</v>
      </c>
      <c r="F1266" s="23" t="n">
        <f aca="false">E1266*(1+dag_28+dag_adj)</f>
        <v>69.203904</v>
      </c>
      <c r="G1266" s="23" t="n">
        <f aca="false">F1266*(1+dag_29+dag_adj)</f>
        <v>74.74021632</v>
      </c>
    </row>
    <row r="1267" customFormat="false" ht="17.15" hidden="false" customHeight="false" outlineLevel="0" collapsed="false">
      <c r="A1267" s="3" t="s">
        <v>544</v>
      </c>
      <c r="B1267" s="0" t="s">
        <v>545</v>
      </c>
      <c r="D1267" s="23" t="n">
        <f aca="false">(D1262-a26_gp-D1266-(1-m_new)*(D1259+D1261))/D1252*1000</f>
        <v>27.9465727870208</v>
      </c>
      <c r="E1267" s="23" t="n">
        <f aca="false">D1267*(1+cc_g_lo)</f>
        <v>27.9465727870208</v>
      </c>
      <c r="F1267" s="23" t="n">
        <f aca="false">E1267*(1+cc_g_lo)</f>
        <v>27.9465727870208</v>
      </c>
      <c r="G1267" s="23" t="n">
        <f aca="false">F1267*(1+cc_g_lo)</f>
        <v>27.9465727870208</v>
      </c>
      <c r="K1267" s="7" t="s">
        <v>546</v>
      </c>
    </row>
    <row r="1268" customFormat="false" ht="17.15" hidden="false" customHeight="false" outlineLevel="0" collapsed="false">
      <c r="A1268" s="3" t="s">
        <v>547</v>
      </c>
      <c r="B1268" s="0" t="s">
        <v>181</v>
      </c>
      <c r="D1268" s="23" t="n">
        <f aca="false">D1267*D1252/1000</f>
        <v>127.2556948</v>
      </c>
      <c r="E1268" s="23" t="n">
        <f aca="false">E1267*E1252/1000</f>
        <v>136.818554363605</v>
      </c>
      <c r="F1268" s="23" t="n">
        <f aca="false">F1267*F1252/1000</f>
        <v>141.515991396755</v>
      </c>
      <c r="G1268" s="23" t="n">
        <f aca="false">G1267*G1252/1000</f>
        <v>153.162594826649</v>
      </c>
    </row>
    <row r="1269" customFormat="false" ht="17.15" hidden="false" customHeight="false" outlineLevel="0" collapsed="false">
      <c r="A1269" s="3" t="s">
        <v>548</v>
      </c>
      <c r="B1269" s="0" t="s">
        <v>181</v>
      </c>
      <c r="D1269" s="23" t="n">
        <f aca="false">m_new*(D1259+D1261)</f>
        <v>4.266</v>
      </c>
      <c r="E1269" s="23" t="n">
        <f aca="false">m_new*(E1259+E1261)</f>
        <v>6.048</v>
      </c>
      <c r="F1269" s="23" t="n">
        <f aca="false">m_new*(F1259+F1261)</f>
        <v>8.74368</v>
      </c>
      <c r="G1269" s="23" t="n">
        <f aca="false">m_new*(G1259+G1261)</f>
        <v>15.128532</v>
      </c>
    </row>
    <row r="1270" customFormat="false" ht="15" hidden="false" customHeight="false" outlineLevel="0" collapsed="false">
      <c r="A1270" s="3" t="s">
        <v>411</v>
      </c>
      <c r="B1270" s="0" t="s">
        <v>181</v>
      </c>
      <c r="C1270" s="23" t="n">
        <f aca="false">a25_gp</f>
        <v>68.906</v>
      </c>
      <c r="D1270" s="23" t="n">
        <f aca="false">D1256-D1266-D1268+D1269</f>
        <v>91.0920852</v>
      </c>
      <c r="E1270" s="23" t="n">
        <f aca="false">E1256-E1266-E1268+E1269</f>
        <v>115.269326173887</v>
      </c>
      <c r="F1270" s="23" t="n">
        <f aca="false">F1256-F1266-F1268+F1269</f>
        <v>117.583675012524</v>
      </c>
      <c r="G1270" s="23" t="n">
        <f aca="false">G1256-G1266-G1268+G1269</f>
        <v>133.085022933095</v>
      </c>
    </row>
    <row r="1271" customFormat="false" ht="15" hidden="false" customHeight="false" outlineLevel="0" collapsed="false">
      <c r="A1271" s="3" t="s">
        <v>413</v>
      </c>
      <c r="B1271" s="0" t="s">
        <v>69</v>
      </c>
      <c r="C1271" s="15" t="n">
        <f aca="false">C1270/C1262</f>
        <v>0.290065795843454</v>
      </c>
      <c r="D1271" s="15" t="n">
        <f aca="false">D1270/D1262</f>
        <v>0.325638488136828</v>
      </c>
      <c r="E1271" s="15" t="n">
        <f aca="false">E1270/E1262</f>
        <v>0.357543425578579</v>
      </c>
      <c r="F1271" s="15" t="n">
        <f aca="false">F1270/F1262</f>
        <v>0.346864433404743</v>
      </c>
      <c r="G1271" s="15" t="n">
        <f aca="false">G1270/G1262</f>
        <v>0.350705260964667</v>
      </c>
    </row>
    <row r="1272" customFormat="false" ht="15" hidden="false" customHeight="false" outlineLevel="0" collapsed="false">
      <c r="A1272" s="3" t="s">
        <v>415</v>
      </c>
      <c r="B1272" s="0" t="s">
        <v>181</v>
      </c>
      <c r="C1272" s="23" t="n">
        <f aca="false">a25_opx</f>
        <v>25.056</v>
      </c>
      <c r="D1272" s="23" t="n">
        <f aca="false">a26_opx</f>
        <v>27.23586</v>
      </c>
      <c r="E1272" s="23" t="n">
        <f aca="false">D1272*(1+MAX(g_opx_min,phi*E1264))</f>
        <v>29.3125621506224</v>
      </c>
      <c r="F1272" s="23" t="n">
        <f aca="false">E1272*(1+MAX(g_opx_min,phi*F1264))</f>
        <v>30.1919390151411</v>
      </c>
      <c r="G1272" s="23" t="n">
        <f aca="false">F1272*(1+MAX(g_opx_min,phi*G1264))</f>
        <v>31.9949558066332</v>
      </c>
    </row>
    <row r="1273" customFormat="false" ht="15" hidden="false" customHeight="false" outlineLevel="0" collapsed="false">
      <c r="A1273" s="3" t="s">
        <v>418</v>
      </c>
      <c r="B1273" s="0" t="s">
        <v>181</v>
      </c>
      <c r="C1273" s="23" t="n">
        <f aca="false">C1270-C1272</f>
        <v>43.85</v>
      </c>
      <c r="D1273" s="23" t="n">
        <f aca="false">D1270-D1272</f>
        <v>63.8562252</v>
      </c>
      <c r="E1273" s="23" t="n">
        <f aca="false">E1270-E1272</f>
        <v>85.9567640232648</v>
      </c>
      <c r="F1273" s="23" t="n">
        <f aca="false">F1270-F1272</f>
        <v>87.3917359973829</v>
      </c>
      <c r="G1273" s="23" t="n">
        <f aca="false">G1270-G1272</f>
        <v>101.090067126462</v>
      </c>
    </row>
    <row r="1274" customFormat="false" ht="15" hidden="false" customHeight="false" outlineLevel="0" collapsed="false">
      <c r="A1274" s="3" t="s">
        <v>515</v>
      </c>
      <c r="B1274" s="0" t="s">
        <v>69</v>
      </c>
      <c r="C1274" s="15" t="n">
        <f aca="false">C1273/C1262</f>
        <v>0.184590386145408</v>
      </c>
      <c r="D1274" s="15" t="n">
        <f aca="false">D1273/D1262</f>
        <v>0.228274987740129</v>
      </c>
      <c r="E1274" s="15" t="n">
        <f aca="false">E1273/E1262</f>
        <v>0.266621458462987</v>
      </c>
      <c r="F1274" s="15" t="n">
        <f aca="false">F1273/F1262</f>
        <v>0.257800115430653</v>
      </c>
      <c r="G1274" s="15" t="n">
        <f aca="false">G1273/G1262</f>
        <v>0.266392247535956</v>
      </c>
    </row>
    <row r="1275" customFormat="false" ht="15" hidden="false" customHeight="false" outlineLevel="0" collapsed="false">
      <c r="A1275" s="3" t="s">
        <v>421</v>
      </c>
      <c r="B1275" s="0" t="s">
        <v>181</v>
      </c>
      <c r="C1275" s="23" t="n">
        <f aca="false">a25_nonop</f>
        <v>5.805</v>
      </c>
      <c r="D1275" s="23" t="n">
        <f aca="false">a26_nonop</f>
        <v>38.372</v>
      </c>
      <c r="E1275" s="23" t="n">
        <f aca="false">nonop_f</f>
        <v>4</v>
      </c>
      <c r="F1275" s="23" t="n">
        <f aca="false">nonop_f</f>
        <v>4</v>
      </c>
      <c r="G1275" s="23" t="n">
        <f aca="false">nonop_f</f>
        <v>4</v>
      </c>
    </row>
    <row r="1276" customFormat="false" ht="15" hidden="false" customHeight="false" outlineLevel="0" collapsed="false">
      <c r="A1276" s="3" t="s">
        <v>423</v>
      </c>
      <c r="B1276" s="0" t="s">
        <v>181</v>
      </c>
      <c r="C1276" s="23" t="n">
        <f aca="false">C1273+C1275</f>
        <v>49.655</v>
      </c>
      <c r="D1276" s="23" t="n">
        <f aca="false">D1273+D1275</f>
        <v>102.2282252</v>
      </c>
      <c r="E1276" s="23" t="n">
        <f aca="false">E1273+E1275</f>
        <v>89.9567640232648</v>
      </c>
      <c r="F1276" s="23" t="n">
        <f aca="false">F1273+F1275</f>
        <v>91.3917359973829</v>
      </c>
      <c r="G1276" s="23" t="n">
        <f aca="false">G1273+G1275</f>
        <v>105.090067126462</v>
      </c>
    </row>
    <row r="1277" customFormat="false" ht="15" hidden="false" customHeight="false" outlineLevel="0" collapsed="false">
      <c r="A1277" s="3" t="s">
        <v>425</v>
      </c>
      <c r="B1277" s="0" t="s">
        <v>181</v>
      </c>
      <c r="C1277" s="23" t="n">
        <f aca="false">a25_tax</f>
        <v>7.939</v>
      </c>
      <c r="D1277" s="23" t="n">
        <f aca="false">a26_tax</f>
        <v>10.493828284</v>
      </c>
      <c r="E1277" s="23" t="n">
        <f aca="false">E1276*tax</f>
        <v>13.4935146034897</v>
      </c>
      <c r="F1277" s="23" t="n">
        <f aca="false">F1276*tax</f>
        <v>13.7087603996074</v>
      </c>
      <c r="G1277" s="23" t="n">
        <f aca="false">G1276*tax</f>
        <v>15.7635100689693</v>
      </c>
    </row>
    <row r="1278" customFormat="false" ht="17.15" hidden="false" customHeight="false" outlineLevel="0" collapsed="false">
      <c r="A1278" s="3" t="s">
        <v>549</v>
      </c>
      <c r="B1278" s="0" t="s">
        <v>181</v>
      </c>
      <c r="C1278" s="23" t="n">
        <f aca="false">a25_mi</f>
        <v>0</v>
      </c>
      <c r="D1278" s="23" t="n">
        <f aca="false">a26_mi</f>
        <v>-0.134999999999987</v>
      </c>
      <c r="E1278" s="23" t="n">
        <f aca="false">0</f>
        <v>0</v>
      </c>
      <c r="F1278" s="23" t="n">
        <f aca="false">0</f>
        <v>0</v>
      </c>
      <c r="G1278" s="23" t="n">
        <f aca="false">0</f>
        <v>0</v>
      </c>
      <c r="K1278" s="7" t="s">
        <v>550</v>
      </c>
    </row>
    <row r="1279" customFormat="false" ht="15" hidden="false" customHeight="false" outlineLevel="0" collapsed="false">
      <c r="A1279" s="3" t="s">
        <v>428</v>
      </c>
      <c r="B1279" s="0" t="s">
        <v>181</v>
      </c>
      <c r="C1279" s="23" t="n">
        <f aca="false">C1276-C1277-C1278</f>
        <v>41.716</v>
      </c>
      <c r="D1279" s="23" t="n">
        <f aca="false">D1276-D1277-D1278</f>
        <v>91.869396916</v>
      </c>
      <c r="E1279" s="23" t="n">
        <f aca="false">E1276-E1277-E1278</f>
        <v>76.463249419775</v>
      </c>
      <c r="F1279" s="23" t="n">
        <f aca="false">F1276-F1277-F1278</f>
        <v>77.6829755977754</v>
      </c>
      <c r="G1279" s="23" t="n">
        <f aca="false">G1276-G1277-G1278</f>
        <v>89.3265570574925</v>
      </c>
      <c r="H1279" s="30" t="n">
        <f aca="false">H1262*H1283</f>
        <v>94.3758339992946</v>
      </c>
      <c r="I1279" s="30" t="n">
        <f aca="false">I1262*I1283</f>
        <v>97.1791597116377</v>
      </c>
      <c r="J1279" s="30" t="n">
        <f aca="false">J1262*J1283</f>
        <v>97.4568144536709</v>
      </c>
    </row>
    <row r="1280" customFormat="false" ht="15" hidden="false" customHeight="false" outlineLevel="0" collapsed="false">
      <c r="A1280" s="3" t="s">
        <v>551</v>
      </c>
      <c r="B1280" s="3" t="s">
        <v>250</v>
      </c>
      <c r="C1280" s="9" t="n">
        <f aca="false">a25_sh</f>
        <v>12.4898203592814</v>
      </c>
      <c r="D1280" s="9" t="n">
        <f aca="false">a26_sh</f>
        <v>12.4754339027235</v>
      </c>
      <c r="E1280" s="9" t="n">
        <f aca="false">q_sh*(1+sh_g)</f>
        <v>12.45</v>
      </c>
      <c r="F1280" s="9" t="n">
        <f aca="false">E1280*(1+sh_g)</f>
        <v>12.45</v>
      </c>
      <c r="G1280" s="9" t="n">
        <f aca="false">F1280*(1+sh_g)</f>
        <v>12.45</v>
      </c>
      <c r="H1280" s="32" t="n">
        <f aca="false">G1280*(1+sh_g)</f>
        <v>12.45</v>
      </c>
      <c r="I1280" s="32" t="n">
        <f aca="false">H1280*(1+sh_g)</f>
        <v>12.45</v>
      </c>
      <c r="J1280" s="32" t="n">
        <f aca="false">I1280*(1+sh_g)</f>
        <v>12.45</v>
      </c>
    </row>
    <row r="1281" customFormat="false" ht="17.15" hidden="false" customHeight="false" outlineLevel="0" collapsed="false">
      <c r="A1281" s="0" t="s">
        <v>434</v>
      </c>
      <c r="B1281" s="0" t="s">
        <v>260</v>
      </c>
      <c r="C1281" s="23" t="n">
        <f aca="false">C1279/C1280</f>
        <v>3.34</v>
      </c>
      <c r="D1281" s="23" t="n">
        <f aca="false">D1279/D1280</f>
        <v>7.36402418002826</v>
      </c>
      <c r="E1281" s="23" t="n">
        <f aca="false">E1279/E1280</f>
        <v>6.14162645941968</v>
      </c>
      <c r="F1281" s="23" t="n">
        <f aca="false">F1279/F1280</f>
        <v>6.23959643355626</v>
      </c>
      <c r="G1281" s="23" t="n">
        <f aca="false">G1279/G1280</f>
        <v>7.17482386003956</v>
      </c>
      <c r="H1281" s="30" t="n">
        <f aca="false">H1279/H1280</f>
        <v>7.58038827303571</v>
      </c>
      <c r="I1281" s="30" t="n">
        <f aca="false">I1279/I1280</f>
        <v>7.80555499691869</v>
      </c>
      <c r="J1281" s="30" t="n">
        <f aca="false">J1279/J1280</f>
        <v>7.82785658262417</v>
      </c>
    </row>
    <row r="1282" customFormat="false" ht="17.15" hidden="false" customHeight="false" outlineLevel="0" collapsed="false">
      <c r="A1282" s="0" t="s">
        <v>552</v>
      </c>
      <c r="B1282" s="0" t="s">
        <v>69</v>
      </c>
      <c r="D1282" s="21" t="n">
        <f aca="false">D1281/C1281-1</f>
        <v>1.2047976586911</v>
      </c>
      <c r="E1282" s="21" t="n">
        <f aca="false">E1281/D1281-1</f>
        <v>-0.165995886314959</v>
      </c>
      <c r="F1282" s="21" t="n">
        <f aca="false">F1281/E1281-1</f>
        <v>0.0159517962845681</v>
      </c>
      <c r="G1282" s="21" t="n">
        <f aca="false">G1281/F1281-1</f>
        <v>0.149885883877632</v>
      </c>
      <c r="H1282" s="28" t="n">
        <f aca="false">H1281/G1281-1</f>
        <v>0.0565260445284188</v>
      </c>
      <c r="I1282" s="28" t="n">
        <f aca="false">I1281/H1281-1</f>
        <v>0.0297038510130037</v>
      </c>
      <c r="J1282" s="28" t="n">
        <f aca="false">J1281/I1281-1</f>
        <v>0.00285714285714289</v>
      </c>
    </row>
    <row r="1283" customFormat="false" ht="17.15" hidden="false" customHeight="false" outlineLevel="0" collapsed="false">
      <c r="A1283" s="3" t="s">
        <v>553</v>
      </c>
      <c r="B1283" s="0" t="s">
        <v>69</v>
      </c>
      <c r="C1283" s="15" t="n">
        <f aca="false">C1279/C1262</f>
        <v>0.175607127672562</v>
      </c>
      <c r="D1283" s="15" t="n">
        <f aca="false">D1279/D1262</f>
        <v>0.328417243409073</v>
      </c>
      <c r="E1283" s="15" t="n">
        <f aca="false">E1279/E1262</f>
        <v>0.237174390064309</v>
      </c>
      <c r="F1283" s="15" t="n">
        <f aca="false">F1279/F1262</f>
        <v>0.229159883912855</v>
      </c>
      <c r="G1283" s="15" t="n">
        <f aca="false">G1279/G1262</f>
        <v>0.235393080404488</v>
      </c>
      <c r="H1283" s="29" t="n">
        <f aca="false">$G1283+($G$1283*0.9-$G1283)*1/3</f>
        <v>0.227546644391005</v>
      </c>
      <c r="I1283" s="29" t="n">
        <f aca="false">$G1283+($G$1283*0.9-$G1283)*2/3</f>
        <v>0.219700208377522</v>
      </c>
      <c r="J1283" s="29" t="n">
        <f aca="false">$G1283+($G$1283*0.9-$G1283)*3/3</f>
        <v>0.211853772364039</v>
      </c>
    </row>
    <row r="1286" customFormat="false" ht="17.15" hidden="false" customHeight="false" outlineLevel="0" collapsed="false">
      <c r="A1286" s="1" t="s">
        <v>869</v>
      </c>
    </row>
    <row r="1287" customFormat="false" ht="17.15" hidden="false" customHeight="false" outlineLevel="0" collapsed="false">
      <c r="A1287" s="4" t="s">
        <v>24</v>
      </c>
      <c r="B1287" s="4" t="s">
        <v>25</v>
      </c>
      <c r="C1287" s="16" t="s">
        <v>387</v>
      </c>
      <c r="D1287" s="16" t="s">
        <v>505</v>
      </c>
      <c r="E1287" s="16" t="s">
        <v>467</v>
      </c>
      <c r="F1287" s="16" t="s">
        <v>468</v>
      </c>
      <c r="G1287" s="16" t="s">
        <v>469</v>
      </c>
      <c r="H1287" s="16" t="s">
        <v>506</v>
      </c>
      <c r="I1287" s="16" t="s">
        <v>507</v>
      </c>
      <c r="J1287" s="16" t="s">
        <v>508</v>
      </c>
      <c r="K1287" s="4" t="s">
        <v>345</v>
      </c>
    </row>
    <row r="1288" customFormat="false" ht="17.15" hidden="false" customHeight="false" outlineLevel="0" collapsed="false">
      <c r="A1288" s="5" t="s">
        <v>526</v>
      </c>
    </row>
    <row r="1289" customFormat="false" ht="17.15" hidden="false" customHeight="false" outlineLevel="0" collapsed="false">
      <c r="A1289" s="3" t="s">
        <v>527</v>
      </c>
      <c r="B1289" s="3" t="s">
        <v>64</v>
      </c>
      <c r="D1289" s="22" t="n">
        <f aca="false">cap_26</f>
        <v>5230.46851955216</v>
      </c>
      <c r="E1289" s="22" t="n">
        <f aca="false">D1289*(1+capg27)*cap_adj</f>
        <v>5439.68726033425</v>
      </c>
      <c r="F1289" s="22" t="n">
        <f aca="false">E1289*(1+capg28)</f>
        <v>5820.46536855765</v>
      </c>
      <c r="G1289" s="22" t="n">
        <f aca="false">F1289*(1+capg29)</f>
        <v>6227.89794435668</v>
      </c>
    </row>
    <row r="1290" customFormat="false" ht="15" hidden="false" customHeight="false" outlineLevel="0" collapsed="false">
      <c r="A1290" s="3" t="s">
        <v>528</v>
      </c>
      <c r="B1290" s="0" t="s">
        <v>69</v>
      </c>
      <c r="D1290" s="21" t="n">
        <f aca="false">a26_ship/cap_26</f>
        <v>0.870578781414787</v>
      </c>
      <c r="E1290" s="21" t="n">
        <f aca="false">MIN(0.98,ut27_C+ut_adj)</f>
        <v>0.82</v>
      </c>
      <c r="F1290" s="21" t="n">
        <f aca="false">MIN(0.98,ut28_C+ut_adj)</f>
        <v>0.76</v>
      </c>
      <c r="G1290" s="21" t="n">
        <f aca="false">MIN(0.98,ut29_C+ut_adj)</f>
        <v>0.8</v>
      </c>
    </row>
    <row r="1291" customFormat="false" ht="17.15" hidden="false" customHeight="false" outlineLevel="0" collapsed="false">
      <c r="A1291" s="3" t="s">
        <v>529</v>
      </c>
      <c r="B1291" s="3" t="s">
        <v>64</v>
      </c>
      <c r="D1291" s="22" t="n">
        <f aca="false">D1289*D1290</f>
        <v>4553.53490998013</v>
      </c>
      <c r="E1291" s="22" t="n">
        <f aca="false">E1289*E1290</f>
        <v>4460.54355347409</v>
      </c>
      <c r="F1291" s="22" t="n">
        <f aca="false">F1289*F1290</f>
        <v>4423.55368010381</v>
      </c>
      <c r="G1291" s="22" t="n">
        <f aca="false">G1289*G1290</f>
        <v>4982.31835548535</v>
      </c>
    </row>
    <row r="1292" customFormat="false" ht="17.15" hidden="false" customHeight="false" outlineLevel="0" collapsed="false">
      <c r="A1292" s="3" t="s">
        <v>530</v>
      </c>
      <c r="B1292" s="0" t="s">
        <v>109</v>
      </c>
      <c r="D1292" s="22" t="n">
        <f aca="false">asp_26</f>
        <v>1878.17486396824</v>
      </c>
      <c r="E1292" s="22" t="n">
        <f aca="false">D1292*(1+asp27_C)*(1+asp_adj)</f>
        <v>1878.17486396824</v>
      </c>
      <c r="F1292" s="22" t="n">
        <f aca="false">E1292*(1+asp28_C)</f>
        <v>1765.48437213015</v>
      </c>
      <c r="G1292" s="22" t="n">
        <f aca="false">F1292*(1+asp29_C)</f>
        <v>1712.51984096625</v>
      </c>
    </row>
    <row r="1293" customFormat="false" ht="15" hidden="false" customHeight="false" outlineLevel="0" collapsed="false">
      <c r="A1293" s="3" t="s">
        <v>531</v>
      </c>
      <c r="B1293" s="0" t="s">
        <v>69</v>
      </c>
      <c r="E1293" s="21" t="n">
        <f aca="false">E1292/D1292-1</f>
        <v>0</v>
      </c>
      <c r="F1293" s="21" t="n">
        <f aca="false">F1292/E1292-1</f>
        <v>-0.0599999999999999</v>
      </c>
      <c r="G1293" s="21" t="n">
        <f aca="false">G1292/F1292-1</f>
        <v>-0.0299999999999999</v>
      </c>
    </row>
    <row r="1294" customFormat="false" ht="15" hidden="false" customHeight="false" outlineLevel="0" collapsed="false">
      <c r="A1294" s="3" t="s">
        <v>532</v>
      </c>
      <c r="B1294" s="0" t="s">
        <v>35</v>
      </c>
      <c r="D1294" s="23" t="n">
        <f aca="false">fx_26</f>
        <v>31.6</v>
      </c>
      <c r="E1294" s="23" t="n">
        <f aca="false">fx</f>
        <v>32</v>
      </c>
      <c r="F1294" s="23" t="n">
        <f aca="false">fx</f>
        <v>32</v>
      </c>
      <c r="G1294" s="23" t="n">
        <f aca="false">fx</f>
        <v>32</v>
      </c>
    </row>
    <row r="1295" customFormat="false" ht="17.15" hidden="false" customHeight="false" outlineLevel="0" collapsed="false">
      <c r="A1295" s="3" t="s">
        <v>533</v>
      </c>
      <c r="B1295" s="0" t="s">
        <v>181</v>
      </c>
      <c r="D1295" s="23" t="n">
        <f aca="false">D1291*D1292*D1294/1000000</f>
        <v>270.25378</v>
      </c>
      <c r="E1295" s="23" t="n">
        <f aca="false">E1291*E1292*E1294/1000000</f>
        <v>268.08578501666</v>
      </c>
      <c r="F1295" s="23" t="n">
        <f aca="false">F1291*F1292*F1294/1000000</f>
        <v>249.910876528067</v>
      </c>
      <c r="G1295" s="23" t="n">
        <f aca="false">G1291*G1292*G1294/1000000</f>
        <v>273.034209208927</v>
      </c>
    </row>
    <row r="1296" customFormat="false" ht="17.15" hidden="false" customHeight="false" outlineLevel="0" collapsed="false">
      <c r="A1296" s="5" t="s">
        <v>534</v>
      </c>
    </row>
    <row r="1297" customFormat="false" ht="17.15" hidden="false" customHeight="false" outlineLevel="0" collapsed="false">
      <c r="A1297" s="0" t="s">
        <v>535</v>
      </c>
      <c r="B1297" s="0" t="s">
        <v>138</v>
      </c>
      <c r="D1297" s="25" t="n">
        <f aca="false">ai_26</f>
        <v>0.3</v>
      </c>
      <c r="E1297" s="25" t="n">
        <f aca="false">D1297*(1+aig27_C)*ai_adj</f>
        <v>0.36</v>
      </c>
      <c r="F1297" s="25" t="n">
        <f aca="false">E1297*(1+aig_L)*um28_C</f>
        <v>0.3132</v>
      </c>
      <c r="G1297" s="25" t="n">
        <f aca="false">F1297/um28_C*(1+aig_L)*um29_C</f>
        <v>0.45414</v>
      </c>
    </row>
    <row r="1298" customFormat="false" ht="17.15" hidden="false" customHeight="false" outlineLevel="0" collapsed="false">
      <c r="A1298" s="0" t="s">
        <v>536</v>
      </c>
      <c r="B1298" s="0" t="s">
        <v>181</v>
      </c>
      <c r="D1298" s="23" t="n">
        <f aca="false">D1297*D1294</f>
        <v>9.48</v>
      </c>
      <c r="E1298" s="23" t="n">
        <f aca="false">E1297*E1294</f>
        <v>11.52</v>
      </c>
      <c r="F1298" s="23" t="n">
        <f aca="false">F1297*F1294</f>
        <v>10.0224</v>
      </c>
      <c r="G1298" s="23" t="n">
        <f aca="false">G1297*G1294</f>
        <v>14.53248</v>
      </c>
    </row>
    <row r="1299" customFormat="false" ht="17.15" hidden="false" customHeight="false" outlineLevel="0" collapsed="false">
      <c r="A1299" s="0" t="s">
        <v>537</v>
      </c>
      <c r="B1299" s="0" t="s">
        <v>138</v>
      </c>
      <c r="D1299" s="25" t="n">
        <f aca="false">0</f>
        <v>0</v>
      </c>
      <c r="E1299" s="25" t="n">
        <f aca="false">int_27</f>
        <v>0</v>
      </c>
      <c r="F1299" s="25" t="n">
        <f aca="false">int28_C</f>
        <v>0</v>
      </c>
      <c r="G1299" s="25" t="n">
        <f aca="false">int29_C</f>
        <v>0.08</v>
      </c>
    </row>
    <row r="1300" customFormat="false" ht="17.15" hidden="false" customHeight="false" outlineLevel="0" collapsed="false">
      <c r="A1300" s="0" t="s">
        <v>538</v>
      </c>
      <c r="B1300" s="0" t="s">
        <v>181</v>
      </c>
      <c r="D1300" s="23" t="n">
        <f aca="false">D1299*D1294</f>
        <v>0</v>
      </c>
      <c r="E1300" s="23" t="n">
        <f aca="false">E1299*E1294</f>
        <v>0</v>
      </c>
      <c r="F1300" s="23" t="n">
        <f aca="false">F1299*F1294</f>
        <v>0</v>
      </c>
      <c r="G1300" s="23" t="n">
        <f aca="false">G1299*G1294</f>
        <v>2.56</v>
      </c>
    </row>
    <row r="1301" customFormat="false" ht="17.15" hidden="false" customHeight="false" outlineLevel="0" collapsed="false">
      <c r="A1301" s="3" t="s">
        <v>393</v>
      </c>
      <c r="B1301" s="0" t="s">
        <v>181</v>
      </c>
      <c r="C1301" s="23" t="n">
        <f aca="false">a25_rev</f>
        <v>237.553</v>
      </c>
      <c r="D1301" s="23" t="n">
        <f aca="false">D1295+D1298+D1300</f>
        <v>279.73378</v>
      </c>
      <c r="E1301" s="23" t="n">
        <f aca="false">E1295+E1298+E1300</f>
        <v>279.60578501666</v>
      </c>
      <c r="F1301" s="23" t="n">
        <f aca="false">F1295+F1298+F1300</f>
        <v>259.933276528067</v>
      </c>
      <c r="G1301" s="23" t="n">
        <f aca="false">G1295+G1298+G1300</f>
        <v>290.126689208927</v>
      </c>
      <c r="H1301" s="30" t="n">
        <f aca="false">G1301*(1+H1303)</f>
        <v>314.527952983075</v>
      </c>
      <c r="I1301" s="30" t="n">
        <f aca="false">H1301*(1+I1303)</f>
        <v>330.900005213497</v>
      </c>
      <c r="J1301" s="30" t="n">
        <f aca="false">I1301*(1+J1303)</f>
        <v>337.518005317767</v>
      </c>
      <c r="K1301" s="7" t="s">
        <v>539</v>
      </c>
    </row>
    <row r="1302" customFormat="false" ht="17.15" hidden="false" customHeight="false" outlineLevel="0" collapsed="false">
      <c r="A1302" s="0" t="s">
        <v>540</v>
      </c>
      <c r="B1302" s="0" t="s">
        <v>69</v>
      </c>
      <c r="D1302" s="21" t="n">
        <f aca="false">D1298/D1301</f>
        <v>0.0338893643806622</v>
      </c>
      <c r="E1302" s="21" t="n">
        <f aca="false">E1298/E1301</f>
        <v>0.0412008642786615</v>
      </c>
      <c r="F1302" s="21" t="n">
        <f aca="false">F1298/F1301</f>
        <v>0.0385575872926674</v>
      </c>
      <c r="G1302" s="21" t="n">
        <f aca="false">G1298/G1301</f>
        <v>0.0500901176642002</v>
      </c>
    </row>
    <row r="1303" customFormat="false" ht="15" hidden="false" customHeight="false" outlineLevel="0" collapsed="false">
      <c r="A1303" s="3" t="s">
        <v>541</v>
      </c>
      <c r="B1303" s="0" t="s">
        <v>69</v>
      </c>
      <c r="D1303" s="21" t="n">
        <f aca="false">D1301/C1301-1</f>
        <v>0.177563659478096</v>
      </c>
      <c r="E1303" s="21" t="n">
        <f aca="false">E1301/D1301-1</f>
        <v>-0.000457559981995259</v>
      </c>
      <c r="F1303" s="21" t="n">
        <f aca="false">F1301/E1301-1</f>
        <v>-0.0703580166891779</v>
      </c>
      <c r="G1303" s="21" t="n">
        <f aca="false">G1301/F1301-1</f>
        <v>0.116158319874062</v>
      </c>
      <c r="H1303" s="28" t="n">
        <f aca="false">$G1303+(fade_gC-$G1303)*1/3</f>
        <v>0.0841055465827078</v>
      </c>
      <c r="I1303" s="28" t="n">
        <f aca="false">$G1303+(fade_gC-$G1303)*2/3</f>
        <v>0.0520527732913539</v>
      </c>
      <c r="J1303" s="28" t="n">
        <f aca="false">$G1303+(fade_gC-$G1303)*3/3</f>
        <v>0.02</v>
      </c>
    </row>
    <row r="1304" customFormat="false" ht="17.15" hidden="false" customHeight="false" outlineLevel="0" collapsed="false">
      <c r="A1304" s="5" t="s">
        <v>542</v>
      </c>
    </row>
    <row r="1305" customFormat="false" ht="15" hidden="false" customHeight="false" outlineLevel="0" collapsed="false">
      <c r="A1305" s="3" t="s">
        <v>543</v>
      </c>
      <c r="B1305" s="0" t="s">
        <v>181</v>
      </c>
      <c r="D1305" s="23" t="n">
        <f aca="false">da_tot26*da_sh</f>
        <v>56.172</v>
      </c>
      <c r="E1305" s="23" t="n">
        <f aca="false">D1305*(1+dag_27+dag_adj)</f>
        <v>62.91264</v>
      </c>
      <c r="F1305" s="23" t="n">
        <f aca="false">E1305*(1+dag_28+dag_adj)</f>
        <v>69.203904</v>
      </c>
      <c r="G1305" s="23" t="n">
        <f aca="false">F1305*(1+dag_29+dag_adj)</f>
        <v>74.74021632</v>
      </c>
    </row>
    <row r="1306" customFormat="false" ht="17.15" hidden="false" customHeight="false" outlineLevel="0" collapsed="false">
      <c r="A1306" s="3" t="s">
        <v>544</v>
      </c>
      <c r="B1306" s="0" t="s">
        <v>545</v>
      </c>
      <c r="D1306" s="23" t="n">
        <f aca="false">(D1301-a26_gp-D1305-(1-m_new)*(D1298+D1300))/D1291*1000</f>
        <v>27.9465727870208</v>
      </c>
      <c r="E1306" s="23" t="n">
        <f aca="false">D1306*(1+cc_g_lo)</f>
        <v>27.9465727870208</v>
      </c>
      <c r="F1306" s="23" t="n">
        <f aca="false">E1306*(1+cc_g_lo)</f>
        <v>27.9465727870208</v>
      </c>
      <c r="G1306" s="23" t="n">
        <f aca="false">F1306*(1+cc_g_lo)</f>
        <v>27.9465727870208</v>
      </c>
      <c r="K1306" s="7" t="s">
        <v>546</v>
      </c>
    </row>
    <row r="1307" customFormat="false" ht="17.15" hidden="false" customHeight="false" outlineLevel="0" collapsed="false">
      <c r="A1307" s="3" t="s">
        <v>547</v>
      </c>
      <c r="B1307" s="0" t="s">
        <v>181</v>
      </c>
      <c r="D1307" s="23" t="n">
        <f aca="false">D1306*D1291/1000</f>
        <v>127.2556948</v>
      </c>
      <c r="E1307" s="23" t="n">
        <f aca="false">E1306*E1291/1000</f>
        <v>124.65690508684</v>
      </c>
      <c r="F1307" s="23" t="n">
        <f aca="false">F1306*F1291/1000</f>
        <v>123.623164898315</v>
      </c>
      <c r="G1307" s="23" t="n">
        <f aca="false">G1306*G1291/1000</f>
        <v>139.238722569681</v>
      </c>
    </row>
    <row r="1308" customFormat="false" ht="17.15" hidden="false" customHeight="false" outlineLevel="0" collapsed="false">
      <c r="A1308" s="3" t="s">
        <v>548</v>
      </c>
      <c r="B1308" s="0" t="s">
        <v>181</v>
      </c>
      <c r="D1308" s="23" t="n">
        <f aca="false">m_new*(D1298+D1300)</f>
        <v>4.266</v>
      </c>
      <c r="E1308" s="23" t="n">
        <f aca="false">m_new*(E1298+E1300)</f>
        <v>5.184</v>
      </c>
      <c r="F1308" s="23" t="n">
        <f aca="false">m_new*(F1298+F1300)</f>
        <v>4.51008</v>
      </c>
      <c r="G1308" s="23" t="n">
        <f aca="false">m_new*(G1298+G1300)</f>
        <v>7.691616</v>
      </c>
    </row>
    <row r="1309" customFormat="false" ht="15" hidden="false" customHeight="false" outlineLevel="0" collapsed="false">
      <c r="A1309" s="3" t="s">
        <v>411</v>
      </c>
      <c r="B1309" s="0" t="s">
        <v>181</v>
      </c>
      <c r="C1309" s="23" t="n">
        <f aca="false">a25_gp</f>
        <v>68.906</v>
      </c>
      <c r="D1309" s="23" t="n">
        <f aca="false">D1295-D1305-D1307+D1308</f>
        <v>91.0920852</v>
      </c>
      <c r="E1309" s="23" t="n">
        <f aca="false">E1295-E1305-E1307+E1308</f>
        <v>85.7002399298197</v>
      </c>
      <c r="F1309" s="23" t="n">
        <f aca="false">F1295-F1305-F1307+F1308</f>
        <v>61.5938876297519</v>
      </c>
      <c r="G1309" s="23" t="n">
        <f aca="false">G1295-G1305-G1307+G1308</f>
        <v>66.7468863192459</v>
      </c>
    </row>
    <row r="1310" customFormat="false" ht="15" hidden="false" customHeight="false" outlineLevel="0" collapsed="false">
      <c r="A1310" s="3" t="s">
        <v>413</v>
      </c>
      <c r="B1310" s="0" t="s">
        <v>69</v>
      </c>
      <c r="C1310" s="15" t="n">
        <f aca="false">C1309/C1301</f>
        <v>0.290065795843454</v>
      </c>
      <c r="D1310" s="15" t="n">
        <f aca="false">D1309/D1301</f>
        <v>0.325638488136828</v>
      </c>
      <c r="E1310" s="15" t="n">
        <f aca="false">E1309/E1301</f>
        <v>0.306503815451148</v>
      </c>
      <c r="F1310" s="15" t="n">
        <f aca="false">F1309/F1301</f>
        <v>0.236960378649715</v>
      </c>
      <c r="G1310" s="15" t="n">
        <f aca="false">G1309/G1301</f>
        <v>0.23006117259064</v>
      </c>
    </row>
    <row r="1311" customFormat="false" ht="15" hidden="false" customHeight="false" outlineLevel="0" collapsed="false">
      <c r="A1311" s="3" t="s">
        <v>415</v>
      </c>
      <c r="B1311" s="0" t="s">
        <v>181</v>
      </c>
      <c r="C1311" s="23" t="n">
        <f aca="false">a25_opx</f>
        <v>25.056</v>
      </c>
      <c r="D1311" s="23" t="n">
        <f aca="false">a26_opx</f>
        <v>27.23586</v>
      </c>
      <c r="E1311" s="23" t="n">
        <f aca="false">D1311*(1+MAX(g_opx_min,phi*E1303))</f>
        <v>28.0529358</v>
      </c>
      <c r="F1311" s="23" t="n">
        <f aca="false">E1311*(1+MAX(g_opx_min,phi*F1303))</f>
        <v>28.894523874</v>
      </c>
      <c r="G1311" s="23" t="n">
        <f aca="false">F1311*(1+MAX(g_opx_min,phi*G1303))</f>
        <v>30.5726935473824</v>
      </c>
    </row>
    <row r="1312" customFormat="false" ht="15" hidden="false" customHeight="false" outlineLevel="0" collapsed="false">
      <c r="A1312" s="3" t="s">
        <v>418</v>
      </c>
      <c r="B1312" s="0" t="s">
        <v>181</v>
      </c>
      <c r="C1312" s="23" t="n">
        <f aca="false">C1309-C1311</f>
        <v>43.85</v>
      </c>
      <c r="D1312" s="23" t="n">
        <f aca="false">D1309-D1311</f>
        <v>63.8562252</v>
      </c>
      <c r="E1312" s="23" t="n">
        <f aca="false">E1309-E1311</f>
        <v>57.6473041298197</v>
      </c>
      <c r="F1312" s="23" t="n">
        <f aca="false">F1309-F1311</f>
        <v>32.6993637557519</v>
      </c>
      <c r="G1312" s="23" t="n">
        <f aca="false">G1309-G1311</f>
        <v>36.1741927718634</v>
      </c>
    </row>
    <row r="1313" customFormat="false" ht="15" hidden="false" customHeight="false" outlineLevel="0" collapsed="false">
      <c r="A1313" s="3" t="s">
        <v>515</v>
      </c>
      <c r="B1313" s="0" t="s">
        <v>69</v>
      </c>
      <c r="C1313" s="15" t="n">
        <f aca="false">C1312/C1301</f>
        <v>0.184590386145408</v>
      </c>
      <c r="D1313" s="15" t="n">
        <f aca="false">D1312/D1301</f>
        <v>0.228274987740129</v>
      </c>
      <c r="E1313" s="15" t="n">
        <f aca="false">E1312/E1301</f>
        <v>0.206173502906547</v>
      </c>
      <c r="F1313" s="15" t="n">
        <f aca="false">F1312/F1301</f>
        <v>0.125799067331885</v>
      </c>
      <c r="G1313" s="15" t="n">
        <f aca="false">G1312/G1301</f>
        <v>0.124684126339764</v>
      </c>
    </row>
    <row r="1314" customFormat="false" ht="15" hidden="false" customHeight="false" outlineLevel="0" collapsed="false">
      <c r="A1314" s="3" t="s">
        <v>421</v>
      </c>
      <c r="B1314" s="0" t="s">
        <v>181</v>
      </c>
      <c r="C1314" s="23" t="n">
        <f aca="false">a25_nonop</f>
        <v>5.805</v>
      </c>
      <c r="D1314" s="23" t="n">
        <f aca="false">a26_nonop</f>
        <v>38.372</v>
      </c>
      <c r="E1314" s="23" t="n">
        <f aca="false">nonop_f</f>
        <v>4</v>
      </c>
      <c r="F1314" s="23" t="n">
        <f aca="false">nonop_f</f>
        <v>4</v>
      </c>
      <c r="G1314" s="23" t="n">
        <f aca="false">nonop_f</f>
        <v>4</v>
      </c>
    </row>
    <row r="1315" customFormat="false" ht="15" hidden="false" customHeight="false" outlineLevel="0" collapsed="false">
      <c r="A1315" s="3" t="s">
        <v>423</v>
      </c>
      <c r="B1315" s="0" t="s">
        <v>181</v>
      </c>
      <c r="C1315" s="23" t="n">
        <f aca="false">C1312+C1314</f>
        <v>49.655</v>
      </c>
      <c r="D1315" s="23" t="n">
        <f aca="false">D1312+D1314</f>
        <v>102.2282252</v>
      </c>
      <c r="E1315" s="23" t="n">
        <f aca="false">E1312+E1314</f>
        <v>61.6473041298197</v>
      </c>
      <c r="F1315" s="23" t="n">
        <f aca="false">F1312+F1314</f>
        <v>36.6993637557519</v>
      </c>
      <c r="G1315" s="23" t="n">
        <f aca="false">G1312+G1314</f>
        <v>40.1741927718634</v>
      </c>
    </row>
    <row r="1316" customFormat="false" ht="15" hidden="false" customHeight="false" outlineLevel="0" collapsed="false">
      <c r="A1316" s="3" t="s">
        <v>425</v>
      </c>
      <c r="B1316" s="0" t="s">
        <v>181</v>
      </c>
      <c r="C1316" s="23" t="n">
        <f aca="false">a25_tax</f>
        <v>7.939</v>
      </c>
      <c r="D1316" s="23" t="n">
        <f aca="false">a26_tax</f>
        <v>10.493828284</v>
      </c>
      <c r="E1316" s="23" t="n">
        <f aca="false">E1315*tax</f>
        <v>9.24709561947296</v>
      </c>
      <c r="F1316" s="23" t="n">
        <f aca="false">F1315*tax</f>
        <v>5.50490456336278</v>
      </c>
      <c r="G1316" s="23" t="n">
        <f aca="false">G1315*tax</f>
        <v>6.02612891577952</v>
      </c>
    </row>
    <row r="1317" customFormat="false" ht="17.15" hidden="false" customHeight="false" outlineLevel="0" collapsed="false">
      <c r="A1317" s="3" t="s">
        <v>549</v>
      </c>
      <c r="B1317" s="0" t="s">
        <v>181</v>
      </c>
      <c r="C1317" s="23" t="n">
        <f aca="false">a25_mi</f>
        <v>0</v>
      </c>
      <c r="D1317" s="23" t="n">
        <f aca="false">a26_mi</f>
        <v>-0.134999999999987</v>
      </c>
      <c r="E1317" s="23" t="n">
        <f aca="false">0</f>
        <v>0</v>
      </c>
      <c r="F1317" s="23" t="n">
        <f aca="false">0</f>
        <v>0</v>
      </c>
      <c r="G1317" s="23" t="n">
        <f aca="false">0</f>
        <v>0</v>
      </c>
      <c r="K1317" s="7" t="s">
        <v>550</v>
      </c>
    </row>
    <row r="1318" customFormat="false" ht="15" hidden="false" customHeight="false" outlineLevel="0" collapsed="false">
      <c r="A1318" s="3" t="s">
        <v>428</v>
      </c>
      <c r="B1318" s="0" t="s">
        <v>181</v>
      </c>
      <c r="C1318" s="23" t="n">
        <f aca="false">C1315-C1316-C1317</f>
        <v>41.716</v>
      </c>
      <c r="D1318" s="23" t="n">
        <f aca="false">D1315-D1316-D1317</f>
        <v>91.869396916</v>
      </c>
      <c r="E1318" s="23" t="n">
        <f aca="false">E1315-E1316-E1317</f>
        <v>52.4002085103468</v>
      </c>
      <c r="F1318" s="23" t="n">
        <f aca="false">F1315-F1316-F1317</f>
        <v>31.1944591923891</v>
      </c>
      <c r="G1318" s="23" t="n">
        <f aca="false">G1315-G1316-G1317</f>
        <v>34.1480638560839</v>
      </c>
      <c r="H1318" s="30" t="n">
        <f aca="false">H1301*H1322</f>
        <v>34.5520984026784</v>
      </c>
      <c r="I1318" s="30" t="n">
        <f aca="false">I1301*I1322</f>
        <v>33.7541573084611</v>
      </c>
      <c r="J1318" s="30" t="n">
        <f aca="false">J1301*J1322</f>
        <v>31.7808373427357</v>
      </c>
    </row>
    <row r="1319" customFormat="false" ht="15" hidden="false" customHeight="false" outlineLevel="0" collapsed="false">
      <c r="A1319" s="3" t="s">
        <v>551</v>
      </c>
      <c r="B1319" s="3" t="s">
        <v>250</v>
      </c>
      <c r="C1319" s="9" t="n">
        <f aca="false">a25_sh</f>
        <v>12.4898203592814</v>
      </c>
      <c r="D1319" s="9" t="n">
        <f aca="false">a26_sh</f>
        <v>12.4754339027235</v>
      </c>
      <c r="E1319" s="9" t="n">
        <f aca="false">q_sh*(1+sh_g)</f>
        <v>12.45</v>
      </c>
      <c r="F1319" s="9" t="n">
        <f aca="false">E1319*(1+sh_g)</f>
        <v>12.45</v>
      </c>
      <c r="G1319" s="9" t="n">
        <f aca="false">F1319*(1+sh_g)</f>
        <v>12.45</v>
      </c>
      <c r="H1319" s="32" t="n">
        <f aca="false">G1319*(1+sh_g)</f>
        <v>12.45</v>
      </c>
      <c r="I1319" s="32" t="n">
        <f aca="false">H1319*(1+sh_g)</f>
        <v>12.45</v>
      </c>
      <c r="J1319" s="32" t="n">
        <f aca="false">I1319*(1+sh_g)</f>
        <v>12.45</v>
      </c>
    </row>
    <row r="1320" customFormat="false" ht="17.15" hidden="false" customHeight="false" outlineLevel="0" collapsed="false">
      <c r="A1320" s="0" t="s">
        <v>434</v>
      </c>
      <c r="B1320" s="0" t="s">
        <v>260</v>
      </c>
      <c r="C1320" s="23" t="n">
        <f aca="false">C1318/C1319</f>
        <v>3.34</v>
      </c>
      <c r="D1320" s="23" t="n">
        <f aca="false">D1318/D1319</f>
        <v>7.36402418002826</v>
      </c>
      <c r="E1320" s="23" t="n">
        <f aca="false">E1318/E1319</f>
        <v>4.20885208918448</v>
      </c>
      <c r="F1320" s="23" t="n">
        <f aca="false">F1318/F1319</f>
        <v>2.50557905159752</v>
      </c>
      <c r="G1320" s="23" t="n">
        <f aca="false">G1318/G1319</f>
        <v>2.74281637398264</v>
      </c>
      <c r="H1320" s="30" t="n">
        <f aca="false">H1318/H1319</f>
        <v>2.77526894800629</v>
      </c>
      <c r="I1320" s="30" t="n">
        <f aca="false">I1318/I1319</f>
        <v>2.7111772938523</v>
      </c>
      <c r="J1320" s="30" t="n">
        <f aca="false">J1318/J1319</f>
        <v>2.5526776982117</v>
      </c>
    </row>
    <row r="1321" customFormat="false" ht="17.15" hidden="false" customHeight="false" outlineLevel="0" collapsed="false">
      <c r="A1321" s="0" t="s">
        <v>552</v>
      </c>
      <c r="B1321" s="0" t="s">
        <v>69</v>
      </c>
      <c r="D1321" s="21" t="n">
        <f aca="false">D1320/C1320-1</f>
        <v>1.2047976586911</v>
      </c>
      <c r="E1321" s="21" t="n">
        <f aca="false">E1320/D1320-1</f>
        <v>-0.428457595155761</v>
      </c>
      <c r="F1321" s="21" t="n">
        <f aca="false">F1320/E1320-1</f>
        <v>-0.404688262142515</v>
      </c>
      <c r="G1321" s="21" t="n">
        <f aca="false">G1320/F1320-1</f>
        <v>0.0946836310089154</v>
      </c>
      <c r="H1321" s="28" t="n">
        <f aca="false">H1320/G1320-1</f>
        <v>0.0118318434771942</v>
      </c>
      <c r="I1321" s="28" t="n">
        <f aca="false">I1320/H1320-1</f>
        <v>-0.0230938533723145</v>
      </c>
      <c r="J1321" s="28" t="n">
        <f aca="false">J1320/I1320-1</f>
        <v>-0.0584615384615383</v>
      </c>
    </row>
    <row r="1322" customFormat="false" ht="17.15" hidden="false" customHeight="false" outlineLevel="0" collapsed="false">
      <c r="A1322" s="3" t="s">
        <v>553</v>
      </c>
      <c r="B1322" s="0" t="s">
        <v>69</v>
      </c>
      <c r="C1322" s="15" t="n">
        <f aca="false">C1318/C1301</f>
        <v>0.175607127672562</v>
      </c>
      <c r="D1322" s="15" t="n">
        <f aca="false">D1318/D1301</f>
        <v>0.328417243409073</v>
      </c>
      <c r="E1322" s="15" t="n">
        <f aca="false">E1318/E1301</f>
        <v>0.187407454775031</v>
      </c>
      <c r="F1322" s="15" t="n">
        <f aca="false">F1318/F1301</f>
        <v>0.12000948708474</v>
      </c>
      <c r="G1322" s="15" t="n">
        <f aca="false">G1318/G1301</f>
        <v>0.117700525757191</v>
      </c>
      <c r="H1322" s="29" t="n">
        <f aca="false">$G1322+($G$1322*0.8-$G1322)*1/3</f>
        <v>0.109853824040045</v>
      </c>
      <c r="I1322" s="29" t="n">
        <f aca="false">$G1322+($G$1322*0.8-$G1322)*2/3</f>
        <v>0.102007122322899</v>
      </c>
      <c r="J1322" s="29" t="n">
        <f aca="false">$G1322+($G$1322*0.8-$G1322)*3/3</f>
        <v>0.094160420605753</v>
      </c>
    </row>
    <row r="1325" customFormat="false" ht="17.15" hidden="false" customHeight="false" outlineLevel="0" collapsed="false">
      <c r="A1325" s="1" t="s">
        <v>870</v>
      </c>
    </row>
    <row r="1326" customFormat="false" ht="17.15" hidden="false" customHeight="false" outlineLevel="0" collapsed="false">
      <c r="A1326" s="4" t="s">
        <v>24</v>
      </c>
      <c r="B1326" s="4" t="s">
        <v>25</v>
      </c>
      <c r="C1326" s="16" t="s">
        <v>387</v>
      </c>
      <c r="D1326" s="16" t="s">
        <v>505</v>
      </c>
      <c r="E1326" s="16" t="s">
        <v>467</v>
      </c>
      <c r="F1326" s="16" t="s">
        <v>468</v>
      </c>
      <c r="G1326" s="16" t="s">
        <v>469</v>
      </c>
      <c r="H1326" s="16" t="s">
        <v>506</v>
      </c>
      <c r="I1326" s="16" t="s">
        <v>507</v>
      </c>
      <c r="J1326" s="16" t="s">
        <v>508</v>
      </c>
      <c r="K1326" s="4" t="s">
        <v>345</v>
      </c>
    </row>
    <row r="1327" customFormat="false" ht="17.15" hidden="false" customHeight="false" outlineLevel="0" collapsed="false">
      <c r="A1327" s="5" t="s">
        <v>526</v>
      </c>
    </row>
    <row r="1328" customFormat="false" ht="17.15" hidden="false" customHeight="false" outlineLevel="0" collapsed="false">
      <c r="A1328" s="3" t="s">
        <v>527</v>
      </c>
      <c r="B1328" s="3" t="s">
        <v>64</v>
      </c>
      <c r="D1328" s="22" t="n">
        <f aca="false">cap_26</f>
        <v>5230.46851955216</v>
      </c>
      <c r="E1328" s="22" t="n">
        <f aca="false">D1328*(1+capg27)*cap_adj</f>
        <v>5439.68726033425</v>
      </c>
      <c r="F1328" s="22" t="n">
        <f aca="false">E1328*(1+capg28)</f>
        <v>5820.46536855765</v>
      </c>
      <c r="G1328" s="22" t="n">
        <f aca="false">F1328*(1+capg29)</f>
        <v>6227.89794435668</v>
      </c>
    </row>
    <row r="1329" customFormat="false" ht="15" hidden="false" customHeight="false" outlineLevel="0" collapsed="false">
      <c r="A1329" s="3" t="s">
        <v>528</v>
      </c>
      <c r="B1329" s="0" t="s">
        <v>69</v>
      </c>
      <c r="D1329" s="21" t="n">
        <f aca="false">a26_ship/cap_26</f>
        <v>0.870578781414787</v>
      </c>
      <c r="E1329" s="21" t="n">
        <f aca="false">MIN(0.98,ut27_A+ut_adj)</f>
        <v>0.95</v>
      </c>
      <c r="F1329" s="21" t="n">
        <f aca="false">MIN(0.98,ut28_A+ut_adj)</f>
        <v>0.94</v>
      </c>
      <c r="G1329" s="21" t="n">
        <f aca="false">MIN(0.98,ut29_A+ut_adj)</f>
        <v>0.93</v>
      </c>
    </row>
    <row r="1330" customFormat="false" ht="17.15" hidden="false" customHeight="false" outlineLevel="0" collapsed="false">
      <c r="A1330" s="3" t="s">
        <v>529</v>
      </c>
      <c r="B1330" s="3" t="s">
        <v>64</v>
      </c>
      <c r="D1330" s="22" t="n">
        <f aca="false">D1328*D1329</f>
        <v>4553.53490998013</v>
      </c>
      <c r="E1330" s="22" t="n">
        <f aca="false">E1328*E1329</f>
        <v>5167.70289731754</v>
      </c>
      <c r="F1330" s="22" t="n">
        <f aca="false">F1328*F1329</f>
        <v>5471.23744644419</v>
      </c>
      <c r="G1330" s="22" t="n">
        <f aca="false">G1328*G1329</f>
        <v>5791.94508825172</v>
      </c>
    </row>
    <row r="1331" customFormat="false" ht="17.15" hidden="false" customHeight="false" outlineLevel="0" collapsed="false">
      <c r="A1331" s="3" t="s">
        <v>530</v>
      </c>
      <c r="B1331" s="0" t="s">
        <v>109</v>
      </c>
      <c r="D1331" s="22" t="n">
        <f aca="false">asp_26</f>
        <v>1878.17486396824</v>
      </c>
      <c r="E1331" s="22" t="n">
        <f aca="false">D1331*(1+asp27_A)*(1+asp_adj)</f>
        <v>2065.99235036507</v>
      </c>
      <c r="F1331" s="22" t="n">
        <f aca="false">E1331*(1+asp28_A)</f>
        <v>2127.97212087602</v>
      </c>
      <c r="G1331" s="22" t="n">
        <f aca="false">F1331*(1+asp29_A)</f>
        <v>2170.53156329354</v>
      </c>
    </row>
    <row r="1332" customFormat="false" ht="15" hidden="false" customHeight="false" outlineLevel="0" collapsed="false">
      <c r="A1332" s="3" t="s">
        <v>531</v>
      </c>
      <c r="B1332" s="0" t="s">
        <v>69</v>
      </c>
      <c r="E1332" s="21" t="n">
        <f aca="false">E1331/D1331-1</f>
        <v>0.1</v>
      </c>
      <c r="F1332" s="21" t="n">
        <f aca="false">F1331/E1331-1</f>
        <v>0.03</v>
      </c>
      <c r="G1332" s="21" t="n">
        <f aca="false">G1331/F1331-1</f>
        <v>0.02</v>
      </c>
    </row>
    <row r="1333" customFormat="false" ht="15" hidden="false" customHeight="false" outlineLevel="0" collapsed="false">
      <c r="A1333" s="3" t="s">
        <v>532</v>
      </c>
      <c r="B1333" s="0" t="s">
        <v>35</v>
      </c>
      <c r="D1333" s="23" t="n">
        <f aca="false">fx_26</f>
        <v>31.6</v>
      </c>
      <c r="E1333" s="23" t="n">
        <f aca="false">fx</f>
        <v>32</v>
      </c>
      <c r="F1333" s="23" t="n">
        <f aca="false">fx</f>
        <v>32</v>
      </c>
      <c r="G1333" s="23" t="n">
        <f aca="false">fx</f>
        <v>32</v>
      </c>
    </row>
    <row r="1334" customFormat="false" ht="17.15" hidden="false" customHeight="false" outlineLevel="0" collapsed="false">
      <c r="A1334" s="3" t="s">
        <v>533</v>
      </c>
      <c r="B1334" s="0" t="s">
        <v>181</v>
      </c>
      <c r="D1334" s="23" t="n">
        <f aca="false">D1330*D1331*D1333/1000000</f>
        <v>270.25378</v>
      </c>
      <c r="E1334" s="23" t="n">
        <f aca="false">E1330*E1331*E1333/1000000</f>
        <v>341.645908954158</v>
      </c>
      <c r="F1334" s="23" t="n">
        <f aca="false">F1330*F1331*F1333/1000000</f>
        <v>372.564504087237</v>
      </c>
      <c r="G1334" s="23" t="n">
        <f aca="false">G1330*G1331*G1333/1000000</f>
        <v>402.291188061227</v>
      </c>
    </row>
    <row r="1335" customFormat="false" ht="17.15" hidden="false" customHeight="false" outlineLevel="0" collapsed="false">
      <c r="A1335" s="5" t="s">
        <v>534</v>
      </c>
    </row>
    <row r="1336" customFormat="false" ht="17.15" hidden="false" customHeight="false" outlineLevel="0" collapsed="false">
      <c r="A1336" s="0" t="s">
        <v>535</v>
      </c>
      <c r="B1336" s="0" t="s">
        <v>138</v>
      </c>
      <c r="D1336" s="25" t="n">
        <f aca="false">ai_26</f>
        <v>0.3</v>
      </c>
      <c r="E1336" s="25" t="n">
        <f aca="false">D1336*(1+aig27_A)*ai_adj</f>
        <v>0.48</v>
      </c>
      <c r="F1336" s="25" t="n">
        <f aca="false">E1336*(1+aig_L)*um28_A</f>
        <v>0.696</v>
      </c>
      <c r="G1336" s="25" t="n">
        <f aca="false">F1336/um28_A*(1+aig_L)*um29_A</f>
        <v>1.0092</v>
      </c>
    </row>
    <row r="1337" customFormat="false" ht="17.15" hidden="false" customHeight="false" outlineLevel="0" collapsed="false">
      <c r="A1337" s="0" t="s">
        <v>536</v>
      </c>
      <c r="B1337" s="0" t="s">
        <v>181</v>
      </c>
      <c r="D1337" s="23" t="n">
        <f aca="false">D1336*D1333</f>
        <v>9.48</v>
      </c>
      <c r="E1337" s="23" t="n">
        <f aca="false">E1336*E1333</f>
        <v>15.36</v>
      </c>
      <c r="F1337" s="23" t="n">
        <f aca="false">F1336*F1333</f>
        <v>22.272</v>
      </c>
      <c r="G1337" s="23" t="n">
        <f aca="false">G1336*G1333</f>
        <v>32.2944</v>
      </c>
    </row>
    <row r="1338" customFormat="false" ht="17.15" hidden="false" customHeight="false" outlineLevel="0" collapsed="false">
      <c r="A1338" s="0" t="s">
        <v>537</v>
      </c>
      <c r="B1338" s="0" t="s">
        <v>138</v>
      </c>
      <c r="D1338" s="25" t="n">
        <f aca="false">0</f>
        <v>0</v>
      </c>
      <c r="E1338" s="25" t="n">
        <f aca="false">int_27</f>
        <v>0</v>
      </c>
      <c r="F1338" s="25" t="n">
        <f aca="false">int28_A</f>
        <v>0.25</v>
      </c>
      <c r="G1338" s="25" t="n">
        <f aca="false">int29_A</f>
        <v>0.5</v>
      </c>
    </row>
    <row r="1339" customFormat="false" ht="17.15" hidden="false" customHeight="false" outlineLevel="0" collapsed="false">
      <c r="A1339" s="0" t="s">
        <v>538</v>
      </c>
      <c r="B1339" s="0" t="s">
        <v>181</v>
      </c>
      <c r="D1339" s="23" t="n">
        <f aca="false">D1338*D1333</f>
        <v>0</v>
      </c>
      <c r="E1339" s="23" t="n">
        <f aca="false">E1338*E1333</f>
        <v>0</v>
      </c>
      <c r="F1339" s="23" t="n">
        <f aca="false">F1338*F1333</f>
        <v>8</v>
      </c>
      <c r="G1339" s="23" t="n">
        <f aca="false">G1338*G1333</f>
        <v>16</v>
      </c>
    </row>
    <row r="1340" customFormat="false" ht="17.15" hidden="false" customHeight="false" outlineLevel="0" collapsed="false">
      <c r="A1340" s="3" t="s">
        <v>393</v>
      </c>
      <c r="B1340" s="0" t="s">
        <v>181</v>
      </c>
      <c r="C1340" s="23" t="n">
        <f aca="false">a25_rev</f>
        <v>237.553</v>
      </c>
      <c r="D1340" s="23" t="n">
        <f aca="false">D1334+D1337+D1339</f>
        <v>279.73378</v>
      </c>
      <c r="E1340" s="23" t="n">
        <f aca="false">E1334+E1337+E1339</f>
        <v>357.005908954158</v>
      </c>
      <c r="F1340" s="23" t="n">
        <f aca="false">F1334+F1337+F1339</f>
        <v>402.836504087237</v>
      </c>
      <c r="G1340" s="23" t="n">
        <f aca="false">G1334+G1337+G1339</f>
        <v>450.585588061227</v>
      </c>
      <c r="H1340" s="30" t="n">
        <f aca="false">G1340*(1+H1342)</f>
        <v>495.203224084546</v>
      </c>
      <c r="I1340" s="30" t="n">
        <f aca="false">H1340*(1+I1342)</f>
        <v>534.577190214366</v>
      </c>
      <c r="J1340" s="30" t="n">
        <f aca="false">I1340*(1+J1342)</f>
        <v>566.651821627228</v>
      </c>
      <c r="K1340" s="7" t="s">
        <v>539</v>
      </c>
    </row>
    <row r="1341" customFormat="false" ht="17.15" hidden="false" customHeight="false" outlineLevel="0" collapsed="false">
      <c r="A1341" s="0" t="s">
        <v>540</v>
      </c>
      <c r="B1341" s="0" t="s">
        <v>69</v>
      </c>
      <c r="D1341" s="21" t="n">
        <f aca="false">D1337/D1340</f>
        <v>0.0338893643806622</v>
      </c>
      <c r="E1341" s="21" t="n">
        <f aca="false">E1337/E1340</f>
        <v>0.0430244979557813</v>
      </c>
      <c r="F1341" s="21" t="n">
        <f aca="false">F1337/F1340</f>
        <v>0.0552879388387723</v>
      </c>
      <c r="G1341" s="21" t="n">
        <f aca="false">G1337/G1340</f>
        <v>0.0716720659862999</v>
      </c>
    </row>
    <row r="1342" customFormat="false" ht="15" hidden="false" customHeight="false" outlineLevel="0" collapsed="false">
      <c r="A1342" s="3" t="s">
        <v>541</v>
      </c>
      <c r="B1342" s="0" t="s">
        <v>69</v>
      </c>
      <c r="D1342" s="21" t="n">
        <f aca="false">D1340/C1340-1</f>
        <v>0.177563659478096</v>
      </c>
      <c r="E1342" s="21" t="n">
        <f aca="false">E1340/D1340-1</f>
        <v>0.276234528965926</v>
      </c>
      <c r="F1342" s="21" t="n">
        <f aca="false">F1340/E1340-1</f>
        <v>0.128374892357772</v>
      </c>
      <c r="G1342" s="21" t="n">
        <f aca="false">G1340/F1340-1</f>
        <v>0.118532167491082</v>
      </c>
      <c r="H1342" s="28" t="n">
        <f aca="false">$G1342+(fade_gA-$G1342)*1/3</f>
        <v>0.099021444994055</v>
      </c>
      <c r="I1342" s="28" t="n">
        <f aca="false">$G1342+(fade_gA-$G1342)*2/3</f>
        <v>0.0795107224970275</v>
      </c>
      <c r="J1342" s="28" t="n">
        <f aca="false">$G1342+(fade_gA-$G1342)*3/3</f>
        <v>0.06</v>
      </c>
    </row>
    <row r="1343" customFormat="false" ht="17.15" hidden="false" customHeight="false" outlineLevel="0" collapsed="false">
      <c r="A1343" s="5" t="s">
        <v>542</v>
      </c>
    </row>
    <row r="1344" customFormat="false" ht="15" hidden="false" customHeight="false" outlineLevel="0" collapsed="false">
      <c r="A1344" s="3" t="s">
        <v>543</v>
      </c>
      <c r="B1344" s="0" t="s">
        <v>181</v>
      </c>
      <c r="D1344" s="23" t="n">
        <f aca="false">da_tot26*da_sh</f>
        <v>56.172</v>
      </c>
      <c r="E1344" s="23" t="n">
        <f aca="false">D1344*(1+dag_27+dag_adj)</f>
        <v>62.91264</v>
      </c>
      <c r="F1344" s="23" t="n">
        <f aca="false">E1344*(1+dag_28+dag_adj)</f>
        <v>69.203904</v>
      </c>
      <c r="G1344" s="23" t="n">
        <f aca="false">F1344*(1+dag_29+dag_adj)</f>
        <v>74.74021632</v>
      </c>
    </row>
    <row r="1345" customFormat="false" ht="17.15" hidden="false" customHeight="false" outlineLevel="0" collapsed="false">
      <c r="A1345" s="3" t="s">
        <v>544</v>
      </c>
      <c r="B1345" s="0" t="s">
        <v>545</v>
      </c>
      <c r="D1345" s="23" t="n">
        <f aca="false">(D1340-a26_gp-D1344-(1-m_new)*(D1337+D1339))/D1330*1000</f>
        <v>27.9465727870208</v>
      </c>
      <c r="E1345" s="23" t="n">
        <f aca="false">D1345*(1+cc_g_hi)</f>
        <v>29.0644356985017</v>
      </c>
      <c r="F1345" s="23" t="n">
        <f aca="false">E1345*(1+cc_g_hi)</f>
        <v>30.2270131264417</v>
      </c>
      <c r="G1345" s="23" t="n">
        <f aca="false">F1345*(1+cc_g_hi)</f>
        <v>31.4360936514994</v>
      </c>
      <c r="K1345" s="7" t="s">
        <v>546</v>
      </c>
    </row>
    <row r="1346" customFormat="false" ht="17.15" hidden="false" customHeight="false" outlineLevel="0" collapsed="false">
      <c r="A1346" s="3" t="s">
        <v>547</v>
      </c>
      <c r="B1346" s="0" t="s">
        <v>181</v>
      </c>
      <c r="D1346" s="23" t="n">
        <f aca="false">D1345*D1330/1000</f>
        <v>127.2556948</v>
      </c>
      <c r="E1346" s="23" t="n">
        <f aca="false">E1345*E1330/1000</f>
        <v>150.196368568046</v>
      </c>
      <c r="F1346" s="23" t="n">
        <f aca="false">F1345*F1330/1000</f>
        <v>165.379166111548</v>
      </c>
      <c r="G1346" s="23" t="n">
        <f aca="false">G1345*G1330/1000</f>
        <v>182.076128218623</v>
      </c>
    </row>
    <row r="1347" customFormat="false" ht="17.15" hidden="false" customHeight="false" outlineLevel="0" collapsed="false">
      <c r="A1347" s="3" t="s">
        <v>548</v>
      </c>
      <c r="B1347" s="0" t="s">
        <v>181</v>
      </c>
      <c r="D1347" s="23" t="n">
        <f aca="false">m_new*(D1337+D1339)</f>
        <v>4.266</v>
      </c>
      <c r="E1347" s="23" t="n">
        <f aca="false">m_new*(E1337+E1339)</f>
        <v>6.912</v>
      </c>
      <c r="F1347" s="23" t="n">
        <f aca="false">m_new*(F1337+F1339)</f>
        <v>13.6224</v>
      </c>
      <c r="G1347" s="23" t="n">
        <f aca="false">m_new*(G1337+G1339)</f>
        <v>21.73248</v>
      </c>
    </row>
    <row r="1348" customFormat="false" ht="15" hidden="false" customHeight="false" outlineLevel="0" collapsed="false">
      <c r="A1348" s="3" t="s">
        <v>411</v>
      </c>
      <c r="B1348" s="0" t="s">
        <v>181</v>
      </c>
      <c r="C1348" s="23" t="n">
        <f aca="false">a25_gp</f>
        <v>68.906</v>
      </c>
      <c r="D1348" s="23" t="n">
        <f aca="false">D1334-D1344-D1346+D1347</f>
        <v>91.0920852</v>
      </c>
      <c r="E1348" s="23" t="n">
        <f aca="false">E1334-E1344-E1346+E1347</f>
        <v>135.448900386112</v>
      </c>
      <c r="F1348" s="23" t="n">
        <f aca="false">F1334-F1344-F1346+F1347</f>
        <v>151.603833975689</v>
      </c>
      <c r="G1348" s="23" t="n">
        <f aca="false">G1334-G1344-G1346+G1347</f>
        <v>167.207323522604</v>
      </c>
    </row>
    <row r="1349" customFormat="false" ht="15" hidden="false" customHeight="false" outlineLevel="0" collapsed="false">
      <c r="A1349" s="3" t="s">
        <v>413</v>
      </c>
      <c r="B1349" s="0" t="s">
        <v>69</v>
      </c>
      <c r="C1349" s="15" t="n">
        <f aca="false">C1348/C1340</f>
        <v>0.290065795843454</v>
      </c>
      <c r="D1349" s="15" t="n">
        <f aca="false">D1348/D1340</f>
        <v>0.325638488136828</v>
      </c>
      <c r="E1349" s="15" t="n">
        <f aca="false">E1348/E1340</f>
        <v>0.379402404803065</v>
      </c>
      <c r="F1349" s="15" t="n">
        <f aca="false">F1348/F1340</f>
        <v>0.376340854012719</v>
      </c>
      <c r="G1349" s="15" t="n">
        <f aca="false">G1348/G1340</f>
        <v>0.371088929501854</v>
      </c>
    </row>
    <row r="1350" customFormat="false" ht="15" hidden="false" customHeight="false" outlineLevel="0" collapsed="false">
      <c r="A1350" s="3" t="s">
        <v>415</v>
      </c>
      <c r="B1350" s="0" t="s">
        <v>181</v>
      </c>
      <c r="C1350" s="23" t="n">
        <f aca="false">a25_opx</f>
        <v>25.056</v>
      </c>
      <c r="D1350" s="23" t="n">
        <f aca="false">a26_opx</f>
        <v>27.23586</v>
      </c>
      <c r="E1350" s="23" t="n">
        <f aca="false">D1350*(1+MAX(g_opx_min,phi*E1342))</f>
        <v>30.997602479041</v>
      </c>
      <c r="F1350" s="23" t="n">
        <f aca="false">E1350*(1+MAX(g_opx_min,phi*F1342))</f>
        <v>32.9872594198389</v>
      </c>
      <c r="G1350" s="23" t="n">
        <f aca="false">F1350*(1+MAX(g_opx_min,phi*G1342))</f>
        <v>34.942285099151</v>
      </c>
    </row>
    <row r="1351" customFormat="false" ht="15" hidden="false" customHeight="false" outlineLevel="0" collapsed="false">
      <c r="A1351" s="3" t="s">
        <v>418</v>
      </c>
      <c r="B1351" s="0" t="s">
        <v>181</v>
      </c>
      <c r="C1351" s="23" t="n">
        <f aca="false">C1348-C1350</f>
        <v>43.85</v>
      </c>
      <c r="D1351" s="23" t="n">
        <f aca="false">D1348-D1350</f>
        <v>63.8562252</v>
      </c>
      <c r="E1351" s="23" t="n">
        <f aca="false">E1348-E1350</f>
        <v>104.451297907071</v>
      </c>
      <c r="F1351" s="23" t="n">
        <f aca="false">F1348-F1350</f>
        <v>118.61657455585</v>
      </c>
      <c r="G1351" s="23" t="n">
        <f aca="false">G1348-G1350</f>
        <v>132.265038423453</v>
      </c>
    </row>
    <row r="1352" customFormat="false" ht="15" hidden="false" customHeight="false" outlineLevel="0" collapsed="false">
      <c r="A1352" s="3" t="s">
        <v>515</v>
      </c>
      <c r="B1352" s="0" t="s">
        <v>69</v>
      </c>
      <c r="C1352" s="15" t="n">
        <f aca="false">C1351/C1340</f>
        <v>0.184590386145408</v>
      </c>
      <c r="D1352" s="15" t="n">
        <f aca="false">D1351/D1340</f>
        <v>0.228274987740129</v>
      </c>
      <c r="E1352" s="15" t="n">
        <f aca="false">E1351/E1340</f>
        <v>0.292575823781345</v>
      </c>
      <c r="F1352" s="15" t="n">
        <f aca="false">F1351/F1340</f>
        <v>0.29445339077355</v>
      </c>
      <c r="G1352" s="15" t="n">
        <f aca="false">G1351/G1340</f>
        <v>0.293540321590314</v>
      </c>
    </row>
    <row r="1353" customFormat="false" ht="15" hidden="false" customHeight="false" outlineLevel="0" collapsed="false">
      <c r="A1353" s="3" t="s">
        <v>421</v>
      </c>
      <c r="B1353" s="0" t="s">
        <v>181</v>
      </c>
      <c r="C1353" s="23" t="n">
        <f aca="false">a25_nonop</f>
        <v>5.805</v>
      </c>
      <c r="D1353" s="23" t="n">
        <f aca="false">a26_nonop</f>
        <v>38.372</v>
      </c>
      <c r="E1353" s="23" t="n">
        <f aca="false">nonop_f</f>
        <v>4</v>
      </c>
      <c r="F1353" s="23" t="n">
        <f aca="false">nonop_f</f>
        <v>4</v>
      </c>
      <c r="G1353" s="23" t="n">
        <f aca="false">nonop_f</f>
        <v>4</v>
      </c>
    </row>
    <row r="1354" customFormat="false" ht="15" hidden="false" customHeight="false" outlineLevel="0" collapsed="false">
      <c r="A1354" s="3" t="s">
        <v>423</v>
      </c>
      <c r="B1354" s="0" t="s">
        <v>181</v>
      </c>
      <c r="C1354" s="23" t="n">
        <f aca="false">C1351+C1353</f>
        <v>49.655</v>
      </c>
      <c r="D1354" s="23" t="n">
        <f aca="false">D1351+D1353</f>
        <v>102.2282252</v>
      </c>
      <c r="E1354" s="23" t="n">
        <f aca="false">E1351+E1353</f>
        <v>108.451297907071</v>
      </c>
      <c r="F1354" s="23" t="n">
        <f aca="false">F1351+F1353</f>
        <v>122.61657455585</v>
      </c>
      <c r="G1354" s="23" t="n">
        <f aca="false">G1351+G1353</f>
        <v>136.265038423453</v>
      </c>
    </row>
    <row r="1355" customFormat="false" ht="15" hidden="false" customHeight="false" outlineLevel="0" collapsed="false">
      <c r="A1355" s="3" t="s">
        <v>425</v>
      </c>
      <c r="B1355" s="0" t="s">
        <v>181</v>
      </c>
      <c r="C1355" s="23" t="n">
        <f aca="false">a25_tax</f>
        <v>7.939</v>
      </c>
      <c r="D1355" s="23" t="n">
        <f aca="false">a26_tax</f>
        <v>10.493828284</v>
      </c>
      <c r="E1355" s="23" t="n">
        <f aca="false">E1354*tax</f>
        <v>16.2676946860606</v>
      </c>
      <c r="F1355" s="23" t="n">
        <f aca="false">F1354*tax</f>
        <v>18.3924861833775</v>
      </c>
      <c r="G1355" s="23" t="n">
        <f aca="false">G1354*tax</f>
        <v>20.439755763518</v>
      </c>
    </row>
    <row r="1356" customFormat="false" ht="17.15" hidden="false" customHeight="false" outlineLevel="0" collapsed="false">
      <c r="A1356" s="3" t="s">
        <v>549</v>
      </c>
      <c r="B1356" s="0" t="s">
        <v>181</v>
      </c>
      <c r="C1356" s="23" t="n">
        <f aca="false">a25_mi</f>
        <v>0</v>
      </c>
      <c r="D1356" s="23" t="n">
        <f aca="false">a26_mi</f>
        <v>-0.134999999999987</v>
      </c>
      <c r="E1356" s="23" t="n">
        <f aca="false">0</f>
        <v>0</v>
      </c>
      <c r="F1356" s="23" t="n">
        <f aca="false">0</f>
        <v>0</v>
      </c>
      <c r="G1356" s="23" t="n">
        <f aca="false">0</f>
        <v>0</v>
      </c>
      <c r="K1356" s="7" t="s">
        <v>550</v>
      </c>
    </row>
    <row r="1357" customFormat="false" ht="15" hidden="false" customHeight="false" outlineLevel="0" collapsed="false">
      <c r="A1357" s="3" t="s">
        <v>428</v>
      </c>
      <c r="B1357" s="0" t="s">
        <v>181</v>
      </c>
      <c r="C1357" s="23" t="n">
        <f aca="false">C1354-C1355-C1356</f>
        <v>41.716</v>
      </c>
      <c r="D1357" s="23" t="n">
        <f aca="false">D1354-D1355-D1356</f>
        <v>91.869396916</v>
      </c>
      <c r="E1357" s="23" t="n">
        <f aca="false">E1354-E1355-E1356</f>
        <v>92.1836032210101</v>
      </c>
      <c r="F1357" s="23" t="n">
        <f aca="false">F1354-F1355-F1356</f>
        <v>104.224088372472</v>
      </c>
      <c r="G1357" s="23" t="n">
        <f aca="false">G1354-G1355-G1356</f>
        <v>115.825282659935</v>
      </c>
      <c r="H1357" s="30" t="n">
        <f aca="false">H1340*H1361</f>
        <v>127.294469515767</v>
      </c>
      <c r="I1357" s="30" t="n">
        <f aca="false">I1340*I1361</f>
        <v>137.415744756841</v>
      </c>
      <c r="J1357" s="30" t="n">
        <f aca="false">J1340*J1361</f>
        <v>145.660689442252</v>
      </c>
    </row>
    <row r="1358" customFormat="false" ht="15" hidden="false" customHeight="false" outlineLevel="0" collapsed="false">
      <c r="A1358" s="3" t="s">
        <v>551</v>
      </c>
      <c r="B1358" s="3" t="s">
        <v>250</v>
      </c>
      <c r="C1358" s="9" t="n">
        <f aca="false">a25_sh</f>
        <v>12.4898203592814</v>
      </c>
      <c r="D1358" s="9" t="n">
        <f aca="false">a26_sh</f>
        <v>12.4754339027235</v>
      </c>
      <c r="E1358" s="9" t="n">
        <f aca="false">q_sh*(1+sh_g)</f>
        <v>12.45</v>
      </c>
      <c r="F1358" s="9" t="n">
        <f aca="false">E1358*(1+sh_g)</f>
        <v>12.45</v>
      </c>
      <c r="G1358" s="9" t="n">
        <f aca="false">F1358*(1+sh_g)</f>
        <v>12.45</v>
      </c>
      <c r="H1358" s="32" t="n">
        <f aca="false">G1358*(1+sh_g)</f>
        <v>12.45</v>
      </c>
      <c r="I1358" s="32" t="n">
        <f aca="false">H1358*(1+sh_g)</f>
        <v>12.45</v>
      </c>
      <c r="J1358" s="32" t="n">
        <f aca="false">I1358*(1+sh_g)</f>
        <v>12.45</v>
      </c>
    </row>
    <row r="1359" customFormat="false" ht="17.15" hidden="false" customHeight="false" outlineLevel="0" collapsed="false">
      <c r="A1359" s="0" t="s">
        <v>434</v>
      </c>
      <c r="B1359" s="0" t="s">
        <v>260</v>
      </c>
      <c r="C1359" s="23" t="n">
        <f aca="false">C1357/C1358</f>
        <v>3.34</v>
      </c>
      <c r="D1359" s="23" t="n">
        <f aca="false">D1357/D1358</f>
        <v>7.36402418002826</v>
      </c>
      <c r="E1359" s="23" t="n">
        <f aca="false">E1357/E1358</f>
        <v>7.4043054795992</v>
      </c>
      <c r="F1359" s="23" t="n">
        <f aca="false">F1357/F1358</f>
        <v>8.3714127206805</v>
      </c>
      <c r="G1359" s="23" t="n">
        <f aca="false">G1357/G1358</f>
        <v>9.30323555501488</v>
      </c>
      <c r="H1359" s="30" t="n">
        <f aca="false">H1357/H1358</f>
        <v>10.2244553827925</v>
      </c>
      <c r="I1359" s="30" t="n">
        <f aca="false">I1357/I1358</f>
        <v>11.037409217417</v>
      </c>
      <c r="J1359" s="30" t="n">
        <f aca="false">J1357/J1358</f>
        <v>11.699653770462</v>
      </c>
    </row>
    <row r="1360" customFormat="false" ht="17.15" hidden="false" customHeight="false" outlineLevel="0" collapsed="false">
      <c r="A1360" s="0" t="s">
        <v>552</v>
      </c>
      <c r="B1360" s="0" t="s">
        <v>69</v>
      </c>
      <c r="D1360" s="21" t="n">
        <f aca="false">D1359/C1359-1</f>
        <v>1.2047976586911</v>
      </c>
      <c r="E1360" s="21" t="n">
        <f aca="false">E1359/D1359-1</f>
        <v>0.00547001185577134</v>
      </c>
      <c r="F1360" s="21" t="n">
        <f aca="false">F1359/E1359-1</f>
        <v>0.13061417357049</v>
      </c>
      <c r="G1360" s="21" t="n">
        <f aca="false">G1359/F1359-1</f>
        <v>0.111310105644705</v>
      </c>
      <c r="H1360" s="28" t="n">
        <f aca="false">H1359/G1359-1</f>
        <v>0.0990214449940547</v>
      </c>
      <c r="I1360" s="28" t="n">
        <f aca="false">I1359/H1359-1</f>
        <v>0.0795107224970273</v>
      </c>
      <c r="J1360" s="28" t="n">
        <f aca="false">J1359/I1359-1</f>
        <v>0.0600000000000003</v>
      </c>
    </row>
    <row r="1361" customFormat="false" ht="17.15" hidden="false" customHeight="false" outlineLevel="0" collapsed="false">
      <c r="A1361" s="3" t="s">
        <v>553</v>
      </c>
      <c r="B1361" s="0" t="s">
        <v>69</v>
      </c>
      <c r="C1361" s="15" t="n">
        <f aca="false">C1357/C1340</f>
        <v>0.175607127672562</v>
      </c>
      <c r="D1361" s="15" t="n">
        <f aca="false">D1357/D1340</f>
        <v>0.328417243409073</v>
      </c>
      <c r="E1361" s="15" t="n">
        <f aca="false">E1357/E1340</f>
        <v>0.258213102105397</v>
      </c>
      <c r="F1361" s="15" t="n">
        <f aca="false">F1357/F1340</f>
        <v>0.258725530866741</v>
      </c>
      <c r="G1361" s="15" t="n">
        <f aca="false">G1357/G1340</f>
        <v>0.257055009589425</v>
      </c>
      <c r="H1361" s="29" t="n">
        <f aca="false">$G1361+($G$1361*1-$G1361)*1/3</f>
        <v>0.257055009589425</v>
      </c>
      <c r="I1361" s="29" t="n">
        <f aca="false">$G1361+($G$1361*1-$G1361)*2/3</f>
        <v>0.257055009589425</v>
      </c>
      <c r="J1361" s="29" t="n">
        <f aca="false">$G1361+($G$1361*1-$G1361)*3/3</f>
        <v>0.257055009589425</v>
      </c>
    </row>
    <row r="1364" customFormat="false" ht="17.15" hidden="false" customHeight="false" outlineLevel="0" collapsed="false">
      <c r="A1364" s="1" t="s">
        <v>871</v>
      </c>
    </row>
    <row r="1365" customFormat="false" ht="17.15" hidden="false" customHeight="false" outlineLevel="0" collapsed="false">
      <c r="A1365" s="4" t="s">
        <v>24</v>
      </c>
      <c r="B1365" s="4" t="s">
        <v>25</v>
      </c>
      <c r="C1365" s="16" t="s">
        <v>387</v>
      </c>
      <c r="D1365" s="16" t="s">
        <v>505</v>
      </c>
      <c r="E1365" s="16" t="s">
        <v>467</v>
      </c>
      <c r="F1365" s="16" t="s">
        <v>468</v>
      </c>
      <c r="G1365" s="16" t="s">
        <v>469</v>
      </c>
      <c r="H1365" s="16" t="s">
        <v>506</v>
      </c>
      <c r="I1365" s="16" t="s">
        <v>507</v>
      </c>
      <c r="J1365" s="16" t="s">
        <v>508</v>
      </c>
      <c r="K1365" s="4" t="s">
        <v>345</v>
      </c>
    </row>
    <row r="1366" customFormat="false" ht="17.15" hidden="false" customHeight="false" outlineLevel="0" collapsed="false">
      <c r="A1366" s="5" t="s">
        <v>526</v>
      </c>
    </row>
    <row r="1367" customFormat="false" ht="17.15" hidden="false" customHeight="false" outlineLevel="0" collapsed="false">
      <c r="A1367" s="3" t="s">
        <v>527</v>
      </c>
      <c r="B1367" s="3" t="s">
        <v>64</v>
      </c>
      <c r="D1367" s="22" t="n">
        <f aca="false">cap_26</f>
        <v>5230.46851955216</v>
      </c>
      <c r="E1367" s="22" t="n">
        <f aca="false">D1367*(1+capg27)*cap_adj</f>
        <v>5439.68726033425</v>
      </c>
      <c r="F1367" s="22" t="n">
        <f aca="false">E1367*(1+capg28)</f>
        <v>5820.46536855765</v>
      </c>
      <c r="G1367" s="22" t="n">
        <f aca="false">F1367*(1+capg29)</f>
        <v>6227.89794435668</v>
      </c>
    </row>
    <row r="1368" customFormat="false" ht="15" hidden="false" customHeight="false" outlineLevel="0" collapsed="false">
      <c r="A1368" s="3" t="s">
        <v>528</v>
      </c>
      <c r="B1368" s="0" t="s">
        <v>69</v>
      </c>
      <c r="D1368" s="21" t="n">
        <f aca="false">a26_ship/cap_26</f>
        <v>0.870578781414787</v>
      </c>
      <c r="E1368" s="21" t="n">
        <f aca="false">MIN(0.98,ut27_B+ut_adj)</f>
        <v>0.9</v>
      </c>
      <c r="F1368" s="21" t="n">
        <f aca="false">MIN(0.98,ut28_B+ut_adj)</f>
        <v>0.87</v>
      </c>
      <c r="G1368" s="21" t="n">
        <f aca="false">MIN(0.98,ut29_B+ut_adj)</f>
        <v>0.88</v>
      </c>
    </row>
    <row r="1369" customFormat="false" ht="17.15" hidden="false" customHeight="false" outlineLevel="0" collapsed="false">
      <c r="A1369" s="3" t="s">
        <v>529</v>
      </c>
      <c r="B1369" s="3" t="s">
        <v>64</v>
      </c>
      <c r="D1369" s="22" t="n">
        <f aca="false">D1367*D1368</f>
        <v>4553.53490998013</v>
      </c>
      <c r="E1369" s="22" t="n">
        <f aca="false">E1367*E1368</f>
        <v>4895.71853430083</v>
      </c>
      <c r="F1369" s="22" t="n">
        <f aca="false">F1367*F1368</f>
        <v>5063.80487064515</v>
      </c>
      <c r="G1369" s="22" t="n">
        <f aca="false">G1367*G1368</f>
        <v>5480.55019103388</v>
      </c>
    </row>
    <row r="1370" customFormat="false" ht="17.15" hidden="false" customHeight="false" outlineLevel="0" collapsed="false">
      <c r="A1370" s="3" t="s">
        <v>530</v>
      </c>
      <c r="B1370" s="0" t="s">
        <v>109</v>
      </c>
      <c r="D1370" s="22" t="n">
        <f aca="false">asp_26</f>
        <v>1878.17486396824</v>
      </c>
      <c r="E1370" s="22" t="n">
        <f aca="false">D1370*(1+asp27_B)*(1+asp_adj)</f>
        <v>1972.08360716666</v>
      </c>
      <c r="F1370" s="22" t="n">
        <f aca="false">E1370*(1+asp28_B)</f>
        <v>1972.08360716666</v>
      </c>
      <c r="G1370" s="22" t="n">
        <f aca="false">F1370*(1+asp29_B)</f>
        <v>1972.08360716666</v>
      </c>
    </row>
    <row r="1371" customFormat="false" ht="15" hidden="false" customHeight="false" outlineLevel="0" collapsed="false">
      <c r="A1371" s="3" t="s">
        <v>531</v>
      </c>
      <c r="B1371" s="0" t="s">
        <v>69</v>
      </c>
      <c r="E1371" s="21" t="n">
        <f aca="false">E1370/D1370-1</f>
        <v>0.05</v>
      </c>
      <c r="F1371" s="21" t="n">
        <f aca="false">F1370/E1370-1</f>
        <v>0</v>
      </c>
      <c r="G1371" s="21" t="n">
        <f aca="false">G1370/F1370-1</f>
        <v>0</v>
      </c>
    </row>
    <row r="1372" customFormat="false" ht="15" hidden="false" customHeight="false" outlineLevel="0" collapsed="false">
      <c r="A1372" s="3" t="s">
        <v>532</v>
      </c>
      <c r="B1372" s="0" t="s">
        <v>35</v>
      </c>
      <c r="D1372" s="23" t="n">
        <f aca="false">fx_26</f>
        <v>31.6</v>
      </c>
      <c r="E1372" s="23" t="n">
        <f aca="false">fx</f>
        <v>32</v>
      </c>
      <c r="F1372" s="23" t="n">
        <f aca="false">fx</f>
        <v>32</v>
      </c>
      <c r="G1372" s="23" t="n">
        <f aca="false">fx</f>
        <v>32</v>
      </c>
    </row>
    <row r="1373" customFormat="false" ht="17.15" hidden="false" customHeight="false" outlineLevel="0" collapsed="false">
      <c r="A1373" s="3" t="s">
        <v>533</v>
      </c>
      <c r="B1373" s="0" t="s">
        <v>181</v>
      </c>
      <c r="D1373" s="23" t="n">
        <f aca="false">D1369*D1370*D1372/1000000</f>
        <v>270.25378</v>
      </c>
      <c r="E1373" s="23" t="n">
        <f aca="false">E1369*E1370*E1372/1000000</f>
        <v>308.952520537492</v>
      </c>
      <c r="F1373" s="23" t="n">
        <f aca="false">F1369*F1370*F1372/1000000</f>
        <v>319.559890409279</v>
      </c>
      <c r="G1373" s="23" t="n">
        <f aca="false">G1369*G1370*G1372/1000000</f>
        <v>345.859302079744</v>
      </c>
    </row>
    <row r="1374" customFormat="false" ht="17.15" hidden="false" customHeight="false" outlineLevel="0" collapsed="false">
      <c r="A1374" s="5" t="s">
        <v>534</v>
      </c>
    </row>
    <row r="1375" customFormat="false" ht="17.15" hidden="false" customHeight="false" outlineLevel="0" collapsed="false">
      <c r="A1375" s="0" t="s">
        <v>535</v>
      </c>
      <c r="B1375" s="0" t="s">
        <v>138</v>
      </c>
      <c r="D1375" s="25" t="n">
        <f aca="false">ai_26</f>
        <v>0.3</v>
      </c>
      <c r="E1375" s="25" t="n">
        <f aca="false">D1375*(1+aig27_B)*ai_adj</f>
        <v>0.42</v>
      </c>
      <c r="F1375" s="25" t="n">
        <f aca="false">E1375*(1+aig_L)*um28_B</f>
        <v>0.4872</v>
      </c>
      <c r="G1375" s="25" t="n">
        <f aca="false">F1375/um28_B*(1+aig_L)*um29_B</f>
        <v>0.7505925</v>
      </c>
    </row>
    <row r="1376" customFormat="false" ht="17.15" hidden="false" customHeight="false" outlineLevel="0" collapsed="false">
      <c r="A1376" s="0" t="s">
        <v>536</v>
      </c>
      <c r="B1376" s="0" t="s">
        <v>181</v>
      </c>
      <c r="D1376" s="23" t="n">
        <f aca="false">D1375*D1372</f>
        <v>9.48</v>
      </c>
      <c r="E1376" s="23" t="n">
        <f aca="false">E1375*E1372</f>
        <v>13.44</v>
      </c>
      <c r="F1376" s="23" t="n">
        <f aca="false">F1375*F1372</f>
        <v>15.5904</v>
      </c>
      <c r="G1376" s="23" t="n">
        <f aca="false">G1375*G1372</f>
        <v>24.01896</v>
      </c>
    </row>
    <row r="1377" customFormat="false" ht="17.15" hidden="false" customHeight="false" outlineLevel="0" collapsed="false">
      <c r="A1377" s="0" t="s">
        <v>537</v>
      </c>
      <c r="B1377" s="0" t="s">
        <v>138</v>
      </c>
      <c r="D1377" s="25" t="n">
        <f aca="false">0</f>
        <v>0</v>
      </c>
      <c r="E1377" s="25" t="n">
        <f aca="false">int_27</f>
        <v>0</v>
      </c>
      <c r="F1377" s="25" t="n">
        <f aca="false">int28_B</f>
        <v>0.12</v>
      </c>
      <c r="G1377" s="25" t="n">
        <f aca="false">int29_B</f>
        <v>0.3</v>
      </c>
    </row>
    <row r="1378" customFormat="false" ht="17.15" hidden="false" customHeight="false" outlineLevel="0" collapsed="false">
      <c r="A1378" s="0" t="s">
        <v>538</v>
      </c>
      <c r="B1378" s="0" t="s">
        <v>181</v>
      </c>
      <c r="D1378" s="23" t="n">
        <f aca="false">D1377*D1372</f>
        <v>0</v>
      </c>
      <c r="E1378" s="23" t="n">
        <f aca="false">E1377*E1372</f>
        <v>0</v>
      </c>
      <c r="F1378" s="23" t="n">
        <f aca="false">F1377*F1372</f>
        <v>3.84</v>
      </c>
      <c r="G1378" s="23" t="n">
        <f aca="false">G1377*G1372</f>
        <v>9.6</v>
      </c>
    </row>
    <row r="1379" customFormat="false" ht="17.15" hidden="false" customHeight="false" outlineLevel="0" collapsed="false">
      <c r="A1379" s="3" t="s">
        <v>393</v>
      </c>
      <c r="B1379" s="0" t="s">
        <v>181</v>
      </c>
      <c r="C1379" s="23" t="n">
        <f aca="false">a25_rev</f>
        <v>237.553</v>
      </c>
      <c r="D1379" s="23" t="n">
        <f aca="false">D1373+D1376+D1378</f>
        <v>279.73378</v>
      </c>
      <c r="E1379" s="23" t="n">
        <f aca="false">E1373+E1376+E1378</f>
        <v>322.392520537492</v>
      </c>
      <c r="F1379" s="23" t="n">
        <f aca="false">F1373+F1376+F1378</f>
        <v>338.990290409279</v>
      </c>
      <c r="G1379" s="23" t="n">
        <f aca="false">G1373+G1376+G1378</f>
        <v>379.478262079744</v>
      </c>
      <c r="H1379" s="30" t="n">
        <f aca="false">G1379*(1+H1381)</f>
        <v>414.75379367548</v>
      </c>
      <c r="I1379" s="30" t="n">
        <f aca="false">H1379*(1+I1381)</f>
        <v>442.326206375962</v>
      </c>
      <c r="J1379" s="30" t="n">
        <f aca="false">I1379*(1+J1381)</f>
        <v>460.019254631001</v>
      </c>
      <c r="K1379" s="7" t="s">
        <v>539</v>
      </c>
    </row>
    <row r="1380" customFormat="false" ht="17.15" hidden="false" customHeight="false" outlineLevel="0" collapsed="false">
      <c r="A1380" s="0" t="s">
        <v>540</v>
      </c>
      <c r="B1380" s="0" t="s">
        <v>69</v>
      </c>
      <c r="D1380" s="21" t="n">
        <f aca="false">D1376/D1379</f>
        <v>0.0338893643806622</v>
      </c>
      <c r="E1380" s="21" t="n">
        <f aca="false">E1376/E1379</f>
        <v>0.0416883120538679</v>
      </c>
      <c r="F1380" s="21" t="n">
        <f aca="false">F1376/F1379</f>
        <v>0.0459906977901254</v>
      </c>
      <c r="G1380" s="21" t="n">
        <f aca="false">G1376/G1379</f>
        <v>0.0632946927404042</v>
      </c>
    </row>
    <row r="1381" customFormat="false" ht="15" hidden="false" customHeight="false" outlineLevel="0" collapsed="false">
      <c r="A1381" s="3" t="s">
        <v>541</v>
      </c>
      <c r="B1381" s="0" t="s">
        <v>69</v>
      </c>
      <c r="D1381" s="21" t="n">
        <f aca="false">D1379/C1379-1</f>
        <v>0.177563659478096</v>
      </c>
      <c r="E1381" s="21" t="n">
        <f aca="false">E1379/D1379-1</f>
        <v>0.152497637351814</v>
      </c>
      <c r="F1381" s="21" t="n">
        <f aca="false">F1379/E1379-1</f>
        <v>0.0514831108492078</v>
      </c>
      <c r="G1381" s="21" t="n">
        <f aca="false">G1379/F1379-1</f>
        <v>0.119436965647547</v>
      </c>
      <c r="H1381" s="28" t="n">
        <f aca="false">$G1381+(fade_gB-$G1381)*1/3</f>
        <v>0.0929579770983645</v>
      </c>
      <c r="I1381" s="28" t="n">
        <f aca="false">$G1381+(fade_gB-$G1381)*2/3</f>
        <v>0.0664789885491822</v>
      </c>
      <c r="J1381" s="28" t="n">
        <f aca="false">$G1381+(fade_gB-$G1381)*3/3</f>
        <v>0.04</v>
      </c>
    </row>
    <row r="1382" customFormat="false" ht="17.15" hidden="false" customHeight="false" outlineLevel="0" collapsed="false">
      <c r="A1382" s="5" t="s">
        <v>542</v>
      </c>
    </row>
    <row r="1383" customFormat="false" ht="15" hidden="false" customHeight="false" outlineLevel="0" collapsed="false">
      <c r="A1383" s="3" t="s">
        <v>543</v>
      </c>
      <c r="B1383" s="0" t="s">
        <v>181</v>
      </c>
      <c r="D1383" s="23" t="n">
        <f aca="false">da_tot26*da_sh</f>
        <v>56.172</v>
      </c>
      <c r="E1383" s="23" t="n">
        <f aca="false">D1383*(1+dag_27+dag_adj)</f>
        <v>62.91264</v>
      </c>
      <c r="F1383" s="23" t="n">
        <f aca="false">E1383*(1+dag_28+dag_adj)</f>
        <v>69.203904</v>
      </c>
      <c r="G1383" s="23" t="n">
        <f aca="false">F1383*(1+dag_29+dag_adj)</f>
        <v>74.74021632</v>
      </c>
    </row>
    <row r="1384" customFormat="false" ht="17.15" hidden="false" customHeight="false" outlineLevel="0" collapsed="false">
      <c r="A1384" s="3" t="s">
        <v>544</v>
      </c>
      <c r="B1384" s="0" t="s">
        <v>545</v>
      </c>
      <c r="D1384" s="23" t="n">
        <f aca="false">(D1379-a26_gp-D1383-(1-m_new)*(D1376+D1378))/D1369*1000</f>
        <v>27.9465727870208</v>
      </c>
      <c r="E1384" s="23" t="n">
        <f aca="false">D1384*(1+cc_g_hi)</f>
        <v>29.0644356985017</v>
      </c>
      <c r="F1384" s="23" t="n">
        <f aca="false">E1384*(1+cc_g_hi)</f>
        <v>30.2270131264417</v>
      </c>
      <c r="G1384" s="23" t="n">
        <f aca="false">F1384*(1+cc_g_hi)</f>
        <v>31.4360936514994</v>
      </c>
      <c r="K1384" s="7" t="s">
        <v>546</v>
      </c>
    </row>
    <row r="1385" customFormat="false" ht="17.15" hidden="false" customHeight="false" outlineLevel="0" collapsed="false">
      <c r="A1385" s="3" t="s">
        <v>547</v>
      </c>
      <c r="B1385" s="0" t="s">
        <v>181</v>
      </c>
      <c r="D1385" s="23" t="n">
        <f aca="false">D1384*D1369/1000</f>
        <v>127.2556948</v>
      </c>
      <c r="E1385" s="23" t="n">
        <f aca="false">E1384*E1369/1000</f>
        <v>142.291296538149</v>
      </c>
      <c r="F1385" s="23" t="n">
        <f aca="false">F1384*F1369/1000</f>
        <v>153.063696294731</v>
      </c>
      <c r="G1385" s="23" t="n">
        <f aca="false">G1384*G1369/1000</f>
        <v>172.287089067084</v>
      </c>
    </row>
    <row r="1386" customFormat="false" ht="17.15" hidden="false" customHeight="false" outlineLevel="0" collapsed="false">
      <c r="A1386" s="3" t="s">
        <v>548</v>
      </c>
      <c r="B1386" s="0" t="s">
        <v>181</v>
      </c>
      <c r="D1386" s="23" t="n">
        <f aca="false">m_new*(D1376+D1378)</f>
        <v>4.266</v>
      </c>
      <c r="E1386" s="23" t="n">
        <f aca="false">m_new*(E1376+E1378)</f>
        <v>6.048</v>
      </c>
      <c r="F1386" s="23" t="n">
        <f aca="false">m_new*(F1376+F1378)</f>
        <v>8.74368</v>
      </c>
      <c r="G1386" s="23" t="n">
        <f aca="false">m_new*(G1376+G1378)</f>
        <v>15.128532</v>
      </c>
    </row>
    <row r="1387" customFormat="false" ht="15" hidden="false" customHeight="false" outlineLevel="0" collapsed="false">
      <c r="A1387" s="3" t="s">
        <v>411</v>
      </c>
      <c r="B1387" s="0" t="s">
        <v>181</v>
      </c>
      <c r="C1387" s="23" t="n">
        <f aca="false">a25_gp</f>
        <v>68.906</v>
      </c>
      <c r="D1387" s="23" t="n">
        <f aca="false">D1373-D1383-D1385+D1386</f>
        <v>91.0920852</v>
      </c>
      <c r="E1387" s="23" t="n">
        <f aca="false">E1373-E1383-E1385+E1386</f>
        <v>109.796583999343</v>
      </c>
      <c r="F1387" s="23" t="n">
        <f aca="false">F1373-F1383-F1385+F1386</f>
        <v>106.035970114549</v>
      </c>
      <c r="G1387" s="23" t="n">
        <f aca="false">G1373-G1383-G1385+G1386</f>
        <v>113.96052869266</v>
      </c>
    </row>
    <row r="1388" customFormat="false" ht="15" hidden="false" customHeight="false" outlineLevel="0" collapsed="false">
      <c r="A1388" s="3" t="s">
        <v>413</v>
      </c>
      <c r="B1388" s="0" t="s">
        <v>69</v>
      </c>
      <c r="C1388" s="15" t="n">
        <f aca="false">C1387/C1379</f>
        <v>0.290065795843454</v>
      </c>
      <c r="D1388" s="15" t="n">
        <f aca="false">D1387/D1379</f>
        <v>0.325638488136828</v>
      </c>
      <c r="E1388" s="15" t="n">
        <f aca="false">E1387/E1379</f>
        <v>0.340568025015873</v>
      </c>
      <c r="F1388" s="15" t="n">
        <f aca="false">F1387/F1379</f>
        <v>0.312799431471994</v>
      </c>
      <c r="G1388" s="15" t="n">
        <f aca="false">G1387/G1379</f>
        <v>0.300308449996834</v>
      </c>
    </row>
    <row r="1389" customFormat="false" ht="15" hidden="false" customHeight="false" outlineLevel="0" collapsed="false">
      <c r="A1389" s="3" t="s">
        <v>415</v>
      </c>
      <c r="B1389" s="0" t="s">
        <v>181</v>
      </c>
      <c r="C1389" s="23" t="n">
        <f aca="false">a25_opx</f>
        <v>25.056</v>
      </c>
      <c r="D1389" s="23" t="n">
        <f aca="false">a26_opx</f>
        <v>27.23586</v>
      </c>
      <c r="E1389" s="23" t="n">
        <f aca="false">D1389*(1+MAX(g_opx_min,phi*E1381))</f>
        <v>29.3125621506224</v>
      </c>
      <c r="F1389" s="23" t="n">
        <f aca="false">E1389*(1+MAX(g_opx_min,phi*F1381))</f>
        <v>30.1919390151411</v>
      </c>
      <c r="G1389" s="23" t="n">
        <f aca="false">F1389*(1+MAX(g_opx_min,phi*G1381))</f>
        <v>31.9949558066332</v>
      </c>
    </row>
    <row r="1390" customFormat="false" ht="15" hidden="false" customHeight="false" outlineLevel="0" collapsed="false">
      <c r="A1390" s="3" t="s">
        <v>418</v>
      </c>
      <c r="B1390" s="0" t="s">
        <v>181</v>
      </c>
      <c r="C1390" s="23" t="n">
        <f aca="false">C1387-C1389</f>
        <v>43.85</v>
      </c>
      <c r="D1390" s="23" t="n">
        <f aca="false">D1387-D1389</f>
        <v>63.8562252</v>
      </c>
      <c r="E1390" s="23" t="n">
        <f aca="false">E1387-E1389</f>
        <v>80.4840218487206</v>
      </c>
      <c r="F1390" s="23" t="n">
        <f aca="false">F1387-F1389</f>
        <v>75.8440310994076</v>
      </c>
      <c r="G1390" s="23" t="n">
        <f aca="false">G1387-G1389</f>
        <v>81.965572886027</v>
      </c>
    </row>
    <row r="1391" customFormat="false" ht="15" hidden="false" customHeight="false" outlineLevel="0" collapsed="false">
      <c r="A1391" s="3" t="s">
        <v>515</v>
      </c>
      <c r="B1391" s="0" t="s">
        <v>69</v>
      </c>
      <c r="C1391" s="15" t="n">
        <f aca="false">C1390/C1379</f>
        <v>0.184590386145408</v>
      </c>
      <c r="D1391" s="15" t="n">
        <f aca="false">D1390/D1379</f>
        <v>0.228274987740129</v>
      </c>
      <c r="E1391" s="15" t="n">
        <f aca="false">E1390/E1379</f>
        <v>0.249646057900282</v>
      </c>
      <c r="F1391" s="15" t="n">
        <f aca="false">F1390/F1379</f>
        <v>0.223735113497904</v>
      </c>
      <c r="G1391" s="15" t="n">
        <f aca="false">G1390/G1379</f>
        <v>0.215995436568123</v>
      </c>
    </row>
    <row r="1392" customFormat="false" ht="15" hidden="false" customHeight="false" outlineLevel="0" collapsed="false">
      <c r="A1392" s="3" t="s">
        <v>421</v>
      </c>
      <c r="B1392" s="0" t="s">
        <v>181</v>
      </c>
      <c r="C1392" s="23" t="n">
        <f aca="false">a25_nonop</f>
        <v>5.805</v>
      </c>
      <c r="D1392" s="23" t="n">
        <f aca="false">a26_nonop</f>
        <v>38.372</v>
      </c>
      <c r="E1392" s="23" t="n">
        <f aca="false">nonop_f</f>
        <v>4</v>
      </c>
      <c r="F1392" s="23" t="n">
        <f aca="false">nonop_f</f>
        <v>4</v>
      </c>
      <c r="G1392" s="23" t="n">
        <f aca="false">nonop_f</f>
        <v>4</v>
      </c>
    </row>
    <row r="1393" customFormat="false" ht="15" hidden="false" customHeight="false" outlineLevel="0" collapsed="false">
      <c r="A1393" s="3" t="s">
        <v>423</v>
      </c>
      <c r="B1393" s="0" t="s">
        <v>181</v>
      </c>
      <c r="C1393" s="23" t="n">
        <f aca="false">C1390+C1392</f>
        <v>49.655</v>
      </c>
      <c r="D1393" s="23" t="n">
        <f aca="false">D1390+D1392</f>
        <v>102.2282252</v>
      </c>
      <c r="E1393" s="23" t="n">
        <f aca="false">E1390+E1392</f>
        <v>84.4840218487206</v>
      </c>
      <c r="F1393" s="23" t="n">
        <f aca="false">F1390+F1392</f>
        <v>79.8440310994076</v>
      </c>
      <c r="G1393" s="23" t="n">
        <f aca="false">G1390+G1392</f>
        <v>85.965572886027</v>
      </c>
    </row>
    <row r="1394" customFormat="false" ht="15" hidden="false" customHeight="false" outlineLevel="0" collapsed="false">
      <c r="A1394" s="3" t="s">
        <v>425</v>
      </c>
      <c r="B1394" s="0" t="s">
        <v>181</v>
      </c>
      <c r="C1394" s="23" t="n">
        <f aca="false">a25_tax</f>
        <v>7.939</v>
      </c>
      <c r="D1394" s="23" t="n">
        <f aca="false">a26_tax</f>
        <v>10.493828284</v>
      </c>
      <c r="E1394" s="23" t="n">
        <f aca="false">E1393*tax</f>
        <v>12.6726032773081</v>
      </c>
      <c r="F1394" s="23" t="n">
        <f aca="false">F1393*tax</f>
        <v>11.9766046649111</v>
      </c>
      <c r="G1394" s="23" t="n">
        <f aca="false">G1393*tax</f>
        <v>12.894835932904</v>
      </c>
    </row>
    <row r="1395" customFormat="false" ht="17.15" hidden="false" customHeight="false" outlineLevel="0" collapsed="false">
      <c r="A1395" s="3" t="s">
        <v>549</v>
      </c>
      <c r="B1395" s="0" t="s">
        <v>181</v>
      </c>
      <c r="C1395" s="23" t="n">
        <f aca="false">a25_mi</f>
        <v>0</v>
      </c>
      <c r="D1395" s="23" t="n">
        <f aca="false">a26_mi</f>
        <v>-0.134999999999987</v>
      </c>
      <c r="E1395" s="23" t="n">
        <f aca="false">0</f>
        <v>0</v>
      </c>
      <c r="F1395" s="23" t="n">
        <f aca="false">0</f>
        <v>0</v>
      </c>
      <c r="G1395" s="23" t="n">
        <f aca="false">0</f>
        <v>0</v>
      </c>
      <c r="K1395" s="7" t="s">
        <v>550</v>
      </c>
    </row>
    <row r="1396" customFormat="false" ht="15" hidden="false" customHeight="false" outlineLevel="0" collapsed="false">
      <c r="A1396" s="3" t="s">
        <v>428</v>
      </c>
      <c r="B1396" s="0" t="s">
        <v>181</v>
      </c>
      <c r="C1396" s="23" t="n">
        <f aca="false">C1393-C1394-C1395</f>
        <v>41.716</v>
      </c>
      <c r="D1396" s="23" t="n">
        <f aca="false">D1393-D1394-D1395</f>
        <v>91.869396916</v>
      </c>
      <c r="E1396" s="23" t="n">
        <f aca="false">E1393-E1394-E1395</f>
        <v>71.8114185714125</v>
      </c>
      <c r="F1396" s="23" t="n">
        <f aca="false">F1393-F1394-F1395</f>
        <v>67.8674264344965</v>
      </c>
      <c r="G1396" s="23" t="n">
        <f aca="false">G1393-G1394-G1395</f>
        <v>73.0707369531229</v>
      </c>
      <c r="H1396" s="30" t="n">
        <f aca="false">H1379*H1400</f>
        <v>77.2011366838595</v>
      </c>
      <c r="I1396" s="30" t="n">
        <f aca="false">I1379*I1400</f>
        <v>79.4943077459514</v>
      </c>
      <c r="J1396" s="30" t="n">
        <f aca="false">J1379*J1400</f>
        <v>79.7214343395113</v>
      </c>
    </row>
    <row r="1397" customFormat="false" ht="15" hidden="false" customHeight="false" outlineLevel="0" collapsed="false">
      <c r="A1397" s="3" t="s">
        <v>551</v>
      </c>
      <c r="B1397" s="3" t="s">
        <v>250</v>
      </c>
      <c r="C1397" s="9" t="n">
        <f aca="false">a25_sh</f>
        <v>12.4898203592814</v>
      </c>
      <c r="D1397" s="9" t="n">
        <f aca="false">a26_sh</f>
        <v>12.4754339027235</v>
      </c>
      <c r="E1397" s="9" t="n">
        <f aca="false">q_sh*(1+sh_g)</f>
        <v>12.45</v>
      </c>
      <c r="F1397" s="9" t="n">
        <f aca="false">E1397*(1+sh_g)</f>
        <v>12.45</v>
      </c>
      <c r="G1397" s="9" t="n">
        <f aca="false">F1397*(1+sh_g)</f>
        <v>12.45</v>
      </c>
      <c r="H1397" s="32" t="n">
        <f aca="false">G1397*(1+sh_g)</f>
        <v>12.45</v>
      </c>
      <c r="I1397" s="32" t="n">
        <f aca="false">H1397*(1+sh_g)</f>
        <v>12.45</v>
      </c>
      <c r="J1397" s="32" t="n">
        <f aca="false">I1397*(1+sh_g)</f>
        <v>12.45</v>
      </c>
    </row>
    <row r="1398" customFormat="false" ht="17.15" hidden="false" customHeight="false" outlineLevel="0" collapsed="false">
      <c r="A1398" s="0" t="s">
        <v>434</v>
      </c>
      <c r="B1398" s="0" t="s">
        <v>260</v>
      </c>
      <c r="C1398" s="23" t="n">
        <f aca="false">C1396/C1397</f>
        <v>3.34</v>
      </c>
      <c r="D1398" s="23" t="n">
        <f aca="false">D1396/D1397</f>
        <v>7.36402418002826</v>
      </c>
      <c r="E1398" s="23" t="n">
        <f aca="false">E1396/E1397</f>
        <v>5.76798542742269</v>
      </c>
      <c r="F1398" s="23" t="n">
        <f aca="false">F1396/F1397</f>
        <v>5.45119891040132</v>
      </c>
      <c r="G1398" s="23" t="n">
        <f aca="false">G1396/G1397</f>
        <v>5.8691354982428</v>
      </c>
      <c r="H1398" s="30" t="n">
        <f aca="false">H1396/H1397</f>
        <v>6.2008945127598</v>
      </c>
      <c r="I1398" s="30" t="n">
        <f aca="false">I1396/I1397</f>
        <v>6.38508495951417</v>
      </c>
      <c r="J1398" s="30" t="n">
        <f aca="false">J1396/J1397</f>
        <v>6.4033280593985</v>
      </c>
    </row>
    <row r="1399" customFormat="false" ht="17.15" hidden="false" customHeight="false" outlineLevel="0" collapsed="false">
      <c r="A1399" s="0" t="s">
        <v>552</v>
      </c>
      <c r="B1399" s="0" t="s">
        <v>69</v>
      </c>
      <c r="D1399" s="21" t="n">
        <f aca="false">D1398/C1398-1</f>
        <v>1.2047976586911</v>
      </c>
      <c r="E1399" s="21" t="n">
        <f aca="false">E1398/D1398-1</f>
        <v>-0.216734588804602</v>
      </c>
      <c r="F1399" s="21" t="n">
        <f aca="false">F1398/E1398-1</f>
        <v>-0.0549215182679331</v>
      </c>
      <c r="G1399" s="21" t="n">
        <f aca="false">G1398/F1398-1</f>
        <v>0.0766687465841736</v>
      </c>
      <c r="H1399" s="28" t="n">
        <f aca="false">H1398/G1398-1</f>
        <v>0.0565260445284188</v>
      </c>
      <c r="I1399" s="28" t="n">
        <f aca="false">I1398/H1398-1</f>
        <v>0.0297038510130037</v>
      </c>
      <c r="J1399" s="28" t="n">
        <f aca="false">J1398/I1398-1</f>
        <v>0.00285714285714289</v>
      </c>
    </row>
    <row r="1400" customFormat="false" ht="17.15" hidden="false" customHeight="false" outlineLevel="0" collapsed="false">
      <c r="A1400" s="3" t="s">
        <v>553</v>
      </c>
      <c r="B1400" s="0" t="s">
        <v>69</v>
      </c>
      <c r="C1400" s="15" t="n">
        <f aca="false">C1396/C1379</f>
        <v>0.175607127672562</v>
      </c>
      <c r="D1400" s="15" t="n">
        <f aca="false">D1396/D1379</f>
        <v>0.328417243409073</v>
      </c>
      <c r="E1400" s="15" t="n">
        <f aca="false">E1396/E1379</f>
        <v>0.22274529958601</v>
      </c>
      <c r="F1400" s="15" t="n">
        <f aca="false">F1396/F1379</f>
        <v>0.200204632270018</v>
      </c>
      <c r="G1400" s="15" t="n">
        <f aca="false">G1396/G1379</f>
        <v>0.192555791081829</v>
      </c>
      <c r="H1400" s="29" t="n">
        <f aca="false">$G1400+($G$1400*0.9-$G1400)*1/3</f>
        <v>0.186137264712435</v>
      </c>
      <c r="I1400" s="29" t="n">
        <f aca="false">$G1400+($G$1400*0.9-$G1400)*2/3</f>
        <v>0.179718738343041</v>
      </c>
      <c r="J1400" s="29" t="n">
        <f aca="false">$G1400+($G$1400*0.9-$G1400)*3/3</f>
        <v>0.173300211973646</v>
      </c>
    </row>
    <row r="1403" customFormat="false" ht="17.15" hidden="false" customHeight="false" outlineLevel="0" collapsed="false">
      <c r="A1403" s="1" t="s">
        <v>872</v>
      </c>
    </row>
    <row r="1404" customFormat="false" ht="17.15" hidden="false" customHeight="false" outlineLevel="0" collapsed="false">
      <c r="A1404" s="4" t="s">
        <v>24</v>
      </c>
      <c r="B1404" s="4" t="s">
        <v>25</v>
      </c>
      <c r="C1404" s="16" t="s">
        <v>387</v>
      </c>
      <c r="D1404" s="16" t="s">
        <v>505</v>
      </c>
      <c r="E1404" s="16" t="s">
        <v>467</v>
      </c>
      <c r="F1404" s="16" t="s">
        <v>468</v>
      </c>
      <c r="G1404" s="16" t="s">
        <v>469</v>
      </c>
      <c r="H1404" s="16" t="s">
        <v>506</v>
      </c>
      <c r="I1404" s="16" t="s">
        <v>507</v>
      </c>
      <c r="J1404" s="16" t="s">
        <v>508</v>
      </c>
      <c r="K1404" s="4" t="s">
        <v>345</v>
      </c>
    </row>
    <row r="1405" customFormat="false" ht="17.15" hidden="false" customHeight="false" outlineLevel="0" collapsed="false">
      <c r="A1405" s="5" t="s">
        <v>526</v>
      </c>
    </row>
    <row r="1406" customFormat="false" ht="17.15" hidden="false" customHeight="false" outlineLevel="0" collapsed="false">
      <c r="A1406" s="3" t="s">
        <v>527</v>
      </c>
      <c r="B1406" s="3" t="s">
        <v>64</v>
      </c>
      <c r="D1406" s="22" t="n">
        <f aca="false">cap_26</f>
        <v>5230.46851955216</v>
      </c>
      <c r="E1406" s="22" t="n">
        <f aca="false">D1406*(1+capg27)*cap_adj</f>
        <v>5439.68726033425</v>
      </c>
      <c r="F1406" s="22" t="n">
        <f aca="false">E1406*(1+capg28)</f>
        <v>5820.46536855765</v>
      </c>
      <c r="G1406" s="22" t="n">
        <f aca="false">F1406*(1+capg29)</f>
        <v>6227.89794435668</v>
      </c>
    </row>
    <row r="1407" customFormat="false" ht="15" hidden="false" customHeight="false" outlineLevel="0" collapsed="false">
      <c r="A1407" s="3" t="s">
        <v>528</v>
      </c>
      <c r="B1407" s="0" t="s">
        <v>69</v>
      </c>
      <c r="D1407" s="21" t="n">
        <f aca="false">a26_ship/cap_26</f>
        <v>0.870578781414787</v>
      </c>
      <c r="E1407" s="21" t="n">
        <f aca="false">MIN(0.98,ut27_C+ut_adj)</f>
        <v>0.82</v>
      </c>
      <c r="F1407" s="21" t="n">
        <f aca="false">MIN(0.98,ut28_C+ut_adj)</f>
        <v>0.76</v>
      </c>
      <c r="G1407" s="21" t="n">
        <f aca="false">MIN(0.98,ut29_C+ut_adj)</f>
        <v>0.8</v>
      </c>
    </row>
    <row r="1408" customFormat="false" ht="17.15" hidden="false" customHeight="false" outlineLevel="0" collapsed="false">
      <c r="A1408" s="3" t="s">
        <v>529</v>
      </c>
      <c r="B1408" s="3" t="s">
        <v>64</v>
      </c>
      <c r="D1408" s="22" t="n">
        <f aca="false">D1406*D1407</f>
        <v>4553.53490998013</v>
      </c>
      <c r="E1408" s="22" t="n">
        <f aca="false">E1406*E1407</f>
        <v>4460.54355347409</v>
      </c>
      <c r="F1408" s="22" t="n">
        <f aca="false">F1406*F1407</f>
        <v>4423.55368010381</v>
      </c>
      <c r="G1408" s="22" t="n">
        <f aca="false">G1406*G1407</f>
        <v>4982.31835548535</v>
      </c>
    </row>
    <row r="1409" customFormat="false" ht="17.15" hidden="false" customHeight="false" outlineLevel="0" collapsed="false">
      <c r="A1409" s="3" t="s">
        <v>530</v>
      </c>
      <c r="B1409" s="0" t="s">
        <v>109</v>
      </c>
      <c r="D1409" s="22" t="n">
        <f aca="false">asp_26</f>
        <v>1878.17486396824</v>
      </c>
      <c r="E1409" s="22" t="n">
        <f aca="false">D1409*(1+asp27_C)*(1+asp_adj)</f>
        <v>1878.17486396824</v>
      </c>
      <c r="F1409" s="22" t="n">
        <f aca="false">E1409*(1+asp28_C)</f>
        <v>1765.48437213015</v>
      </c>
      <c r="G1409" s="22" t="n">
        <f aca="false">F1409*(1+asp29_C)</f>
        <v>1712.51984096625</v>
      </c>
    </row>
    <row r="1410" customFormat="false" ht="15" hidden="false" customHeight="false" outlineLevel="0" collapsed="false">
      <c r="A1410" s="3" t="s">
        <v>531</v>
      </c>
      <c r="B1410" s="0" t="s">
        <v>69</v>
      </c>
      <c r="E1410" s="21" t="n">
        <f aca="false">E1409/D1409-1</f>
        <v>0</v>
      </c>
      <c r="F1410" s="21" t="n">
        <f aca="false">F1409/E1409-1</f>
        <v>-0.0599999999999999</v>
      </c>
      <c r="G1410" s="21" t="n">
        <f aca="false">G1409/F1409-1</f>
        <v>-0.0299999999999999</v>
      </c>
    </row>
    <row r="1411" customFormat="false" ht="15" hidden="false" customHeight="false" outlineLevel="0" collapsed="false">
      <c r="A1411" s="3" t="s">
        <v>532</v>
      </c>
      <c r="B1411" s="0" t="s">
        <v>35</v>
      </c>
      <c r="D1411" s="23" t="n">
        <f aca="false">fx_26</f>
        <v>31.6</v>
      </c>
      <c r="E1411" s="23" t="n">
        <f aca="false">fx</f>
        <v>32</v>
      </c>
      <c r="F1411" s="23" t="n">
        <f aca="false">fx</f>
        <v>32</v>
      </c>
      <c r="G1411" s="23" t="n">
        <f aca="false">fx</f>
        <v>32</v>
      </c>
    </row>
    <row r="1412" customFormat="false" ht="17.15" hidden="false" customHeight="false" outlineLevel="0" collapsed="false">
      <c r="A1412" s="3" t="s">
        <v>533</v>
      </c>
      <c r="B1412" s="0" t="s">
        <v>181</v>
      </c>
      <c r="D1412" s="23" t="n">
        <f aca="false">D1408*D1409*D1411/1000000</f>
        <v>270.25378</v>
      </c>
      <c r="E1412" s="23" t="n">
        <f aca="false">E1408*E1409*E1411/1000000</f>
        <v>268.08578501666</v>
      </c>
      <c r="F1412" s="23" t="n">
        <f aca="false">F1408*F1409*F1411/1000000</f>
        <v>249.910876528067</v>
      </c>
      <c r="G1412" s="23" t="n">
        <f aca="false">G1408*G1409*G1411/1000000</f>
        <v>273.034209208927</v>
      </c>
    </row>
    <row r="1413" customFormat="false" ht="17.15" hidden="false" customHeight="false" outlineLevel="0" collapsed="false">
      <c r="A1413" s="5" t="s">
        <v>534</v>
      </c>
    </row>
    <row r="1414" customFormat="false" ht="17.15" hidden="false" customHeight="false" outlineLevel="0" collapsed="false">
      <c r="A1414" s="0" t="s">
        <v>535</v>
      </c>
      <c r="B1414" s="0" t="s">
        <v>138</v>
      </c>
      <c r="D1414" s="25" t="n">
        <f aca="false">ai_26</f>
        <v>0.3</v>
      </c>
      <c r="E1414" s="25" t="n">
        <f aca="false">D1414*(1+aig27_C)*ai_adj</f>
        <v>0.36</v>
      </c>
      <c r="F1414" s="25" t="n">
        <f aca="false">E1414*(1+aig_L)*um28_C</f>
        <v>0.3132</v>
      </c>
      <c r="G1414" s="25" t="n">
        <f aca="false">F1414/um28_C*(1+aig_L)*um29_C</f>
        <v>0.45414</v>
      </c>
    </row>
    <row r="1415" customFormat="false" ht="17.15" hidden="false" customHeight="false" outlineLevel="0" collapsed="false">
      <c r="A1415" s="0" t="s">
        <v>536</v>
      </c>
      <c r="B1415" s="0" t="s">
        <v>181</v>
      </c>
      <c r="D1415" s="23" t="n">
        <f aca="false">D1414*D1411</f>
        <v>9.48</v>
      </c>
      <c r="E1415" s="23" t="n">
        <f aca="false">E1414*E1411</f>
        <v>11.52</v>
      </c>
      <c r="F1415" s="23" t="n">
        <f aca="false">F1414*F1411</f>
        <v>10.0224</v>
      </c>
      <c r="G1415" s="23" t="n">
        <f aca="false">G1414*G1411</f>
        <v>14.53248</v>
      </c>
    </row>
    <row r="1416" customFormat="false" ht="17.15" hidden="false" customHeight="false" outlineLevel="0" collapsed="false">
      <c r="A1416" s="0" t="s">
        <v>537</v>
      </c>
      <c r="B1416" s="0" t="s">
        <v>138</v>
      </c>
      <c r="D1416" s="25" t="n">
        <f aca="false">0</f>
        <v>0</v>
      </c>
      <c r="E1416" s="25" t="n">
        <f aca="false">int_27</f>
        <v>0</v>
      </c>
      <c r="F1416" s="25" t="n">
        <f aca="false">int28_C</f>
        <v>0</v>
      </c>
      <c r="G1416" s="25" t="n">
        <f aca="false">int29_C</f>
        <v>0.08</v>
      </c>
    </row>
    <row r="1417" customFormat="false" ht="17.15" hidden="false" customHeight="false" outlineLevel="0" collapsed="false">
      <c r="A1417" s="0" t="s">
        <v>538</v>
      </c>
      <c r="B1417" s="0" t="s">
        <v>181</v>
      </c>
      <c r="D1417" s="23" t="n">
        <f aca="false">D1416*D1411</f>
        <v>0</v>
      </c>
      <c r="E1417" s="23" t="n">
        <f aca="false">E1416*E1411</f>
        <v>0</v>
      </c>
      <c r="F1417" s="23" t="n">
        <f aca="false">F1416*F1411</f>
        <v>0</v>
      </c>
      <c r="G1417" s="23" t="n">
        <f aca="false">G1416*G1411</f>
        <v>2.56</v>
      </c>
    </row>
    <row r="1418" customFormat="false" ht="17.15" hidden="false" customHeight="false" outlineLevel="0" collapsed="false">
      <c r="A1418" s="3" t="s">
        <v>393</v>
      </c>
      <c r="B1418" s="0" t="s">
        <v>181</v>
      </c>
      <c r="C1418" s="23" t="n">
        <f aca="false">a25_rev</f>
        <v>237.553</v>
      </c>
      <c r="D1418" s="23" t="n">
        <f aca="false">D1412+D1415+D1417</f>
        <v>279.73378</v>
      </c>
      <c r="E1418" s="23" t="n">
        <f aca="false">E1412+E1415+E1417</f>
        <v>279.60578501666</v>
      </c>
      <c r="F1418" s="23" t="n">
        <f aca="false">F1412+F1415+F1417</f>
        <v>259.933276528067</v>
      </c>
      <c r="G1418" s="23" t="n">
        <f aca="false">G1412+G1415+G1417</f>
        <v>290.126689208927</v>
      </c>
      <c r="H1418" s="30" t="n">
        <f aca="false">G1418*(1+H1420)</f>
        <v>314.527952983075</v>
      </c>
      <c r="I1418" s="30" t="n">
        <f aca="false">H1418*(1+I1420)</f>
        <v>330.900005213497</v>
      </c>
      <c r="J1418" s="30" t="n">
        <f aca="false">I1418*(1+J1420)</f>
        <v>337.518005317767</v>
      </c>
      <c r="K1418" s="7" t="s">
        <v>539</v>
      </c>
    </row>
    <row r="1419" customFormat="false" ht="17.15" hidden="false" customHeight="false" outlineLevel="0" collapsed="false">
      <c r="A1419" s="0" t="s">
        <v>540</v>
      </c>
      <c r="B1419" s="0" t="s">
        <v>69</v>
      </c>
      <c r="D1419" s="21" t="n">
        <f aca="false">D1415/D1418</f>
        <v>0.0338893643806622</v>
      </c>
      <c r="E1419" s="21" t="n">
        <f aca="false">E1415/E1418</f>
        <v>0.0412008642786615</v>
      </c>
      <c r="F1419" s="21" t="n">
        <f aca="false">F1415/F1418</f>
        <v>0.0385575872926674</v>
      </c>
      <c r="G1419" s="21" t="n">
        <f aca="false">G1415/G1418</f>
        <v>0.0500901176642002</v>
      </c>
    </row>
    <row r="1420" customFormat="false" ht="15" hidden="false" customHeight="false" outlineLevel="0" collapsed="false">
      <c r="A1420" s="3" t="s">
        <v>541</v>
      </c>
      <c r="B1420" s="0" t="s">
        <v>69</v>
      </c>
      <c r="D1420" s="21" t="n">
        <f aca="false">D1418/C1418-1</f>
        <v>0.177563659478096</v>
      </c>
      <c r="E1420" s="21" t="n">
        <f aca="false">E1418/D1418-1</f>
        <v>-0.000457559981995259</v>
      </c>
      <c r="F1420" s="21" t="n">
        <f aca="false">F1418/E1418-1</f>
        <v>-0.0703580166891779</v>
      </c>
      <c r="G1420" s="21" t="n">
        <f aca="false">G1418/F1418-1</f>
        <v>0.116158319874062</v>
      </c>
      <c r="H1420" s="28" t="n">
        <f aca="false">$G1420+(fade_gC-$G1420)*1/3</f>
        <v>0.0841055465827078</v>
      </c>
      <c r="I1420" s="28" t="n">
        <f aca="false">$G1420+(fade_gC-$G1420)*2/3</f>
        <v>0.0520527732913539</v>
      </c>
      <c r="J1420" s="28" t="n">
        <f aca="false">$G1420+(fade_gC-$G1420)*3/3</f>
        <v>0.02</v>
      </c>
    </row>
    <row r="1421" customFormat="false" ht="17.15" hidden="false" customHeight="false" outlineLevel="0" collapsed="false">
      <c r="A1421" s="5" t="s">
        <v>542</v>
      </c>
    </row>
    <row r="1422" customFormat="false" ht="15" hidden="false" customHeight="false" outlineLevel="0" collapsed="false">
      <c r="A1422" s="3" t="s">
        <v>543</v>
      </c>
      <c r="B1422" s="0" t="s">
        <v>181</v>
      </c>
      <c r="D1422" s="23" t="n">
        <f aca="false">da_tot26*da_sh</f>
        <v>56.172</v>
      </c>
      <c r="E1422" s="23" t="n">
        <f aca="false">D1422*(1+dag_27+dag_adj)</f>
        <v>62.91264</v>
      </c>
      <c r="F1422" s="23" t="n">
        <f aca="false">E1422*(1+dag_28+dag_adj)</f>
        <v>69.203904</v>
      </c>
      <c r="G1422" s="23" t="n">
        <f aca="false">F1422*(1+dag_29+dag_adj)</f>
        <v>74.74021632</v>
      </c>
    </row>
    <row r="1423" customFormat="false" ht="17.15" hidden="false" customHeight="false" outlineLevel="0" collapsed="false">
      <c r="A1423" s="3" t="s">
        <v>544</v>
      </c>
      <c r="B1423" s="0" t="s">
        <v>545</v>
      </c>
      <c r="D1423" s="23" t="n">
        <f aca="false">(D1418-a26_gp-D1422-(1-m_new)*(D1415+D1417))/D1408*1000</f>
        <v>27.9465727870208</v>
      </c>
      <c r="E1423" s="23" t="n">
        <f aca="false">D1423*(1+cc_g_hi)</f>
        <v>29.0644356985017</v>
      </c>
      <c r="F1423" s="23" t="n">
        <f aca="false">E1423*(1+cc_g_hi)</f>
        <v>30.2270131264417</v>
      </c>
      <c r="G1423" s="23" t="n">
        <f aca="false">F1423*(1+cc_g_hi)</f>
        <v>31.4360936514994</v>
      </c>
      <c r="K1423" s="7" t="s">
        <v>546</v>
      </c>
    </row>
    <row r="1424" customFormat="false" ht="17.15" hidden="false" customHeight="false" outlineLevel="0" collapsed="false">
      <c r="A1424" s="3" t="s">
        <v>547</v>
      </c>
      <c r="B1424" s="0" t="s">
        <v>181</v>
      </c>
      <c r="D1424" s="23" t="n">
        <f aca="false">D1423*D1408/1000</f>
        <v>127.2556948</v>
      </c>
      <c r="E1424" s="23" t="n">
        <f aca="false">E1423*E1408/1000</f>
        <v>129.643181290314</v>
      </c>
      <c r="F1424" s="23" t="n">
        <f aca="false">F1423*F1408/1000</f>
        <v>133.710815154018</v>
      </c>
      <c r="G1424" s="23" t="n">
        <f aca="false">G1423*G1408/1000</f>
        <v>156.624626424622</v>
      </c>
    </row>
    <row r="1425" customFormat="false" ht="17.15" hidden="false" customHeight="false" outlineLevel="0" collapsed="false">
      <c r="A1425" s="3" t="s">
        <v>548</v>
      </c>
      <c r="B1425" s="0" t="s">
        <v>181</v>
      </c>
      <c r="D1425" s="23" t="n">
        <f aca="false">m_new*(D1415+D1417)</f>
        <v>4.266</v>
      </c>
      <c r="E1425" s="23" t="n">
        <f aca="false">m_new*(E1415+E1417)</f>
        <v>5.184</v>
      </c>
      <c r="F1425" s="23" t="n">
        <f aca="false">m_new*(F1415+F1417)</f>
        <v>4.51008</v>
      </c>
      <c r="G1425" s="23" t="n">
        <f aca="false">m_new*(G1415+G1417)</f>
        <v>7.691616</v>
      </c>
    </row>
    <row r="1426" customFormat="false" ht="15" hidden="false" customHeight="false" outlineLevel="0" collapsed="false">
      <c r="A1426" s="3" t="s">
        <v>411</v>
      </c>
      <c r="B1426" s="0" t="s">
        <v>181</v>
      </c>
      <c r="C1426" s="23" t="n">
        <f aca="false">a25_gp</f>
        <v>68.906</v>
      </c>
      <c r="D1426" s="23" t="n">
        <f aca="false">D1412-D1422-D1424+D1425</f>
        <v>91.0920852</v>
      </c>
      <c r="E1426" s="23" t="n">
        <f aca="false">E1412-E1422-E1424+E1425</f>
        <v>80.7139637263461</v>
      </c>
      <c r="F1426" s="23" t="n">
        <f aca="false">F1412-F1422-F1424+F1425</f>
        <v>51.5062373740494</v>
      </c>
      <c r="G1426" s="23" t="n">
        <f aca="false">G1412-G1422-G1424+G1425</f>
        <v>49.3609824643052</v>
      </c>
    </row>
    <row r="1427" customFormat="false" ht="15" hidden="false" customHeight="false" outlineLevel="0" collapsed="false">
      <c r="A1427" s="3" t="s">
        <v>413</v>
      </c>
      <c r="B1427" s="0" t="s">
        <v>69</v>
      </c>
      <c r="C1427" s="15" t="n">
        <f aca="false">C1426/C1418</f>
        <v>0.290065795843454</v>
      </c>
      <c r="D1427" s="15" t="n">
        <f aca="false">D1426/D1418</f>
        <v>0.325638488136828</v>
      </c>
      <c r="E1427" s="15" t="n">
        <f aca="false">E1426/E1418</f>
        <v>0.288670578548784</v>
      </c>
      <c r="F1427" s="15" t="n">
        <f aca="false">F1426/F1418</f>
        <v>0.198151764414388</v>
      </c>
      <c r="G1427" s="15" t="n">
        <f aca="false">G1426/G1418</f>
        <v>0.170135958876776</v>
      </c>
    </row>
    <row r="1428" customFormat="false" ht="15" hidden="false" customHeight="false" outlineLevel="0" collapsed="false">
      <c r="A1428" s="3" t="s">
        <v>415</v>
      </c>
      <c r="B1428" s="0" t="s">
        <v>181</v>
      </c>
      <c r="C1428" s="23" t="n">
        <f aca="false">a25_opx</f>
        <v>25.056</v>
      </c>
      <c r="D1428" s="23" t="n">
        <f aca="false">a26_opx</f>
        <v>27.23586</v>
      </c>
      <c r="E1428" s="23" t="n">
        <f aca="false">D1428*(1+MAX(g_opx_min,phi*E1420))</f>
        <v>28.0529358</v>
      </c>
      <c r="F1428" s="23" t="n">
        <f aca="false">E1428*(1+MAX(g_opx_min,phi*F1420))</f>
        <v>28.894523874</v>
      </c>
      <c r="G1428" s="23" t="n">
        <f aca="false">F1428*(1+MAX(g_opx_min,phi*G1420))</f>
        <v>30.5726935473824</v>
      </c>
    </row>
    <row r="1429" customFormat="false" ht="15" hidden="false" customHeight="false" outlineLevel="0" collapsed="false">
      <c r="A1429" s="3" t="s">
        <v>418</v>
      </c>
      <c r="B1429" s="0" t="s">
        <v>181</v>
      </c>
      <c r="C1429" s="23" t="n">
        <f aca="false">C1426-C1428</f>
        <v>43.85</v>
      </c>
      <c r="D1429" s="23" t="n">
        <f aca="false">D1426-D1428</f>
        <v>63.8562252</v>
      </c>
      <c r="E1429" s="23" t="n">
        <f aca="false">E1426-E1428</f>
        <v>52.6610279263461</v>
      </c>
      <c r="F1429" s="23" t="n">
        <f aca="false">F1426-F1428</f>
        <v>22.6117135000494</v>
      </c>
      <c r="G1429" s="23" t="n">
        <f aca="false">G1426-G1428</f>
        <v>18.7882889169228</v>
      </c>
    </row>
    <row r="1430" customFormat="false" ht="15" hidden="false" customHeight="false" outlineLevel="0" collapsed="false">
      <c r="A1430" s="3" t="s">
        <v>515</v>
      </c>
      <c r="B1430" s="0" t="s">
        <v>69</v>
      </c>
      <c r="C1430" s="15" t="n">
        <f aca="false">C1429/C1418</f>
        <v>0.184590386145408</v>
      </c>
      <c r="D1430" s="15" t="n">
        <f aca="false">D1429/D1418</f>
        <v>0.228274987740129</v>
      </c>
      <c r="E1430" s="15" t="n">
        <f aca="false">E1429/E1418</f>
        <v>0.188340266004183</v>
      </c>
      <c r="F1430" s="15" t="n">
        <f aca="false">F1429/F1418</f>
        <v>0.0869904530965577</v>
      </c>
      <c r="G1430" s="15" t="n">
        <f aca="false">G1429/G1418</f>
        <v>0.0647589126259008</v>
      </c>
    </row>
    <row r="1431" customFormat="false" ht="15" hidden="false" customHeight="false" outlineLevel="0" collapsed="false">
      <c r="A1431" s="3" t="s">
        <v>421</v>
      </c>
      <c r="B1431" s="0" t="s">
        <v>181</v>
      </c>
      <c r="C1431" s="23" t="n">
        <f aca="false">a25_nonop</f>
        <v>5.805</v>
      </c>
      <c r="D1431" s="23" t="n">
        <f aca="false">a26_nonop</f>
        <v>38.372</v>
      </c>
      <c r="E1431" s="23" t="n">
        <f aca="false">nonop_f</f>
        <v>4</v>
      </c>
      <c r="F1431" s="23" t="n">
        <f aca="false">nonop_f</f>
        <v>4</v>
      </c>
      <c r="G1431" s="23" t="n">
        <f aca="false">nonop_f</f>
        <v>4</v>
      </c>
    </row>
    <row r="1432" customFormat="false" ht="15" hidden="false" customHeight="false" outlineLevel="0" collapsed="false">
      <c r="A1432" s="3" t="s">
        <v>423</v>
      </c>
      <c r="B1432" s="0" t="s">
        <v>181</v>
      </c>
      <c r="C1432" s="23" t="n">
        <f aca="false">C1429+C1431</f>
        <v>49.655</v>
      </c>
      <c r="D1432" s="23" t="n">
        <f aca="false">D1429+D1431</f>
        <v>102.2282252</v>
      </c>
      <c r="E1432" s="23" t="n">
        <f aca="false">E1429+E1431</f>
        <v>56.6610279263461</v>
      </c>
      <c r="F1432" s="23" t="n">
        <f aca="false">F1429+F1431</f>
        <v>26.6117135000494</v>
      </c>
      <c r="G1432" s="23" t="n">
        <f aca="false">G1429+G1431</f>
        <v>22.7882889169228</v>
      </c>
    </row>
    <row r="1433" customFormat="false" ht="15" hidden="false" customHeight="false" outlineLevel="0" collapsed="false">
      <c r="A1433" s="3" t="s">
        <v>425</v>
      </c>
      <c r="B1433" s="0" t="s">
        <v>181</v>
      </c>
      <c r="C1433" s="23" t="n">
        <f aca="false">a25_tax</f>
        <v>7.939</v>
      </c>
      <c r="D1433" s="23" t="n">
        <f aca="false">a26_tax</f>
        <v>10.493828284</v>
      </c>
      <c r="E1433" s="23" t="n">
        <f aca="false">E1432*tax</f>
        <v>8.49915418895192</v>
      </c>
      <c r="F1433" s="23" t="n">
        <f aca="false">F1432*tax</f>
        <v>3.99175702500741</v>
      </c>
      <c r="G1433" s="23" t="n">
        <f aca="false">G1432*tax</f>
        <v>3.41824333753842</v>
      </c>
    </row>
    <row r="1434" customFormat="false" ht="17.15" hidden="false" customHeight="false" outlineLevel="0" collapsed="false">
      <c r="A1434" s="3" t="s">
        <v>549</v>
      </c>
      <c r="B1434" s="0" t="s">
        <v>181</v>
      </c>
      <c r="C1434" s="23" t="n">
        <f aca="false">a25_mi</f>
        <v>0</v>
      </c>
      <c r="D1434" s="23" t="n">
        <f aca="false">a26_mi</f>
        <v>-0.134999999999987</v>
      </c>
      <c r="E1434" s="23" t="n">
        <f aca="false">0</f>
        <v>0</v>
      </c>
      <c r="F1434" s="23" t="n">
        <f aca="false">0</f>
        <v>0</v>
      </c>
      <c r="G1434" s="23" t="n">
        <f aca="false">0</f>
        <v>0</v>
      </c>
      <c r="K1434" s="7" t="s">
        <v>550</v>
      </c>
    </row>
    <row r="1435" customFormat="false" ht="15" hidden="false" customHeight="false" outlineLevel="0" collapsed="false">
      <c r="A1435" s="3" t="s">
        <v>428</v>
      </c>
      <c r="B1435" s="0" t="s">
        <v>181</v>
      </c>
      <c r="C1435" s="23" t="n">
        <f aca="false">C1432-C1433-C1434</f>
        <v>41.716</v>
      </c>
      <c r="D1435" s="23" t="n">
        <f aca="false">D1432-D1433-D1434</f>
        <v>91.869396916</v>
      </c>
      <c r="E1435" s="23" t="n">
        <f aca="false">E1432-E1433-E1434</f>
        <v>48.1618737373942</v>
      </c>
      <c r="F1435" s="23" t="n">
        <f aca="false">F1432-F1433-F1434</f>
        <v>22.619956475042</v>
      </c>
      <c r="G1435" s="23" t="n">
        <f aca="false">G1432-G1433-G1434</f>
        <v>19.3700455793844</v>
      </c>
      <c r="H1435" s="30" t="n">
        <f aca="false">H1418*H1439</f>
        <v>19.5992289268258</v>
      </c>
      <c r="I1435" s="30" t="n">
        <f aca="false">I1418*I1439</f>
        <v>19.1466072077792</v>
      </c>
      <c r="J1435" s="30" t="n">
        <f aca="false">J1418*J1439</f>
        <v>18.0272670940937</v>
      </c>
    </row>
    <row r="1436" customFormat="false" ht="15" hidden="false" customHeight="false" outlineLevel="0" collapsed="false">
      <c r="A1436" s="3" t="s">
        <v>551</v>
      </c>
      <c r="B1436" s="3" t="s">
        <v>250</v>
      </c>
      <c r="C1436" s="9" t="n">
        <f aca="false">a25_sh</f>
        <v>12.4898203592814</v>
      </c>
      <c r="D1436" s="9" t="n">
        <f aca="false">a26_sh</f>
        <v>12.4754339027235</v>
      </c>
      <c r="E1436" s="9" t="n">
        <f aca="false">q_sh*(1+sh_g)</f>
        <v>12.45</v>
      </c>
      <c r="F1436" s="9" t="n">
        <f aca="false">E1436*(1+sh_g)</f>
        <v>12.45</v>
      </c>
      <c r="G1436" s="9" t="n">
        <f aca="false">F1436*(1+sh_g)</f>
        <v>12.45</v>
      </c>
      <c r="H1436" s="32" t="n">
        <f aca="false">G1436*(1+sh_g)</f>
        <v>12.45</v>
      </c>
      <c r="I1436" s="32" t="n">
        <f aca="false">H1436*(1+sh_g)</f>
        <v>12.45</v>
      </c>
      <c r="J1436" s="32" t="n">
        <f aca="false">I1436*(1+sh_g)</f>
        <v>12.45</v>
      </c>
    </row>
    <row r="1437" customFormat="false" ht="17.15" hidden="false" customHeight="false" outlineLevel="0" collapsed="false">
      <c r="A1437" s="0" t="s">
        <v>434</v>
      </c>
      <c r="B1437" s="0" t="s">
        <v>260</v>
      </c>
      <c r="C1437" s="23" t="n">
        <f aca="false">C1435/C1436</f>
        <v>3.34</v>
      </c>
      <c r="D1437" s="23" t="n">
        <f aca="false">D1435/D1436</f>
        <v>7.36402418002826</v>
      </c>
      <c r="E1437" s="23" t="n">
        <f aca="false">E1435/E1436</f>
        <v>3.868423593365</v>
      </c>
      <c r="F1437" s="23" t="n">
        <f aca="false">F1435/F1436</f>
        <v>1.81686397389895</v>
      </c>
      <c r="G1437" s="23" t="n">
        <f aca="false">G1435/G1436</f>
        <v>1.55582695416742</v>
      </c>
      <c r="H1437" s="30" t="n">
        <f aca="false">H1435/H1436</f>
        <v>1.57423525516673</v>
      </c>
      <c r="I1437" s="30" t="n">
        <f aca="false">I1435/I1436</f>
        <v>1.53788009701038</v>
      </c>
      <c r="J1437" s="30" t="n">
        <f aca="false">J1435/J1436</f>
        <v>1.44797326056977</v>
      </c>
    </row>
    <row r="1438" customFormat="false" ht="17.15" hidden="false" customHeight="false" outlineLevel="0" collapsed="false">
      <c r="A1438" s="0" t="s">
        <v>552</v>
      </c>
      <c r="B1438" s="0" t="s">
        <v>69</v>
      </c>
      <c r="D1438" s="21" t="n">
        <f aca="false">D1437/C1437-1</f>
        <v>1.2047976586911</v>
      </c>
      <c r="E1438" s="21" t="n">
        <f aca="false">E1437/D1437-1</f>
        <v>-0.474686190757436</v>
      </c>
      <c r="F1438" s="21" t="n">
        <f aca="false">F1437/E1437-1</f>
        <v>-0.530334791408267</v>
      </c>
      <c r="G1438" s="21" t="n">
        <f aca="false">G1437/F1437-1</f>
        <v>-0.143674498191163</v>
      </c>
      <c r="H1438" s="28" t="n">
        <f aca="false">H1437/G1437-1</f>
        <v>0.011831843477194</v>
      </c>
      <c r="I1438" s="28" t="n">
        <f aca="false">I1437/H1437-1</f>
        <v>-0.0230938533723144</v>
      </c>
      <c r="J1438" s="28" t="n">
        <f aca="false">J1437/I1437-1</f>
        <v>-0.0584615384615383</v>
      </c>
    </row>
    <row r="1439" customFormat="false" ht="17.15" hidden="false" customHeight="false" outlineLevel="0" collapsed="false">
      <c r="A1439" s="3" t="s">
        <v>553</v>
      </c>
      <c r="B1439" s="0" t="s">
        <v>69</v>
      </c>
      <c r="C1439" s="15" t="n">
        <f aca="false">C1435/C1418</f>
        <v>0.175607127672562</v>
      </c>
      <c r="D1439" s="15" t="n">
        <f aca="false">D1435/D1418</f>
        <v>0.328417243409073</v>
      </c>
      <c r="E1439" s="15" t="n">
        <f aca="false">E1435/E1418</f>
        <v>0.172249203408022</v>
      </c>
      <c r="F1439" s="15" t="n">
        <f aca="false">F1435/F1418</f>
        <v>0.0870221649847111</v>
      </c>
      <c r="G1439" s="15" t="n">
        <f aca="false">G1435/G1418</f>
        <v>0.0667640941004071</v>
      </c>
      <c r="H1439" s="29" t="n">
        <f aca="false">$G1439+($G$1439*0.8-$G1439)*1/3</f>
        <v>0.0623131544937133</v>
      </c>
      <c r="I1439" s="29" t="n">
        <f aca="false">$G1439+($G$1439*0.8-$G1439)*2/3</f>
        <v>0.0578622148870194</v>
      </c>
      <c r="J1439" s="29" t="n">
        <f aca="false">$G1439+($G$1439*0.8-$G1439)*3/3</f>
        <v>0.0534112752803256</v>
      </c>
    </row>
    <row r="1442" customFormat="false" ht="17.15" hidden="false" customHeight="false" outlineLevel="0" collapsed="false">
      <c r="A1442" s="1" t="s">
        <v>873</v>
      </c>
    </row>
    <row r="1443" customFormat="false" ht="17.15" hidden="false" customHeight="false" outlineLevel="0" collapsed="false">
      <c r="A1443" s="4" t="s">
        <v>24</v>
      </c>
      <c r="B1443" s="4" t="s">
        <v>25</v>
      </c>
      <c r="C1443" s="16" t="s">
        <v>387</v>
      </c>
      <c r="D1443" s="16" t="s">
        <v>505</v>
      </c>
      <c r="E1443" s="16" t="s">
        <v>467</v>
      </c>
      <c r="F1443" s="16" t="s">
        <v>468</v>
      </c>
      <c r="G1443" s="16" t="s">
        <v>469</v>
      </c>
      <c r="H1443" s="16" t="s">
        <v>506</v>
      </c>
      <c r="I1443" s="16" t="s">
        <v>507</v>
      </c>
      <c r="J1443" s="16" t="s">
        <v>508</v>
      </c>
      <c r="K1443" s="4" t="s">
        <v>345</v>
      </c>
    </row>
    <row r="1444" customFormat="false" ht="17.15" hidden="false" customHeight="false" outlineLevel="0" collapsed="false">
      <c r="A1444" s="5" t="s">
        <v>526</v>
      </c>
    </row>
    <row r="1445" customFormat="false" ht="17.15" hidden="false" customHeight="false" outlineLevel="0" collapsed="false">
      <c r="A1445" s="3" t="s">
        <v>527</v>
      </c>
      <c r="B1445" s="3" t="s">
        <v>64</v>
      </c>
      <c r="D1445" s="22" t="n">
        <f aca="false">cap_26</f>
        <v>5230.46851955216</v>
      </c>
      <c r="E1445" s="22" t="n">
        <f aca="false">D1445*(1+capg27)*cap_adj</f>
        <v>5439.68726033425</v>
      </c>
      <c r="F1445" s="22" t="n">
        <f aca="false">E1445*(1+capg28)</f>
        <v>5820.46536855765</v>
      </c>
      <c r="G1445" s="22" t="n">
        <f aca="false">F1445*(1+capg29)</f>
        <v>6227.89794435668</v>
      </c>
    </row>
    <row r="1446" customFormat="false" ht="15" hidden="false" customHeight="false" outlineLevel="0" collapsed="false">
      <c r="A1446" s="3" t="s">
        <v>528</v>
      </c>
      <c r="B1446" s="0" t="s">
        <v>69</v>
      </c>
      <c r="D1446" s="21" t="n">
        <f aca="false">a26_ship/cap_26</f>
        <v>0.870578781414787</v>
      </c>
      <c r="E1446" s="21" t="n">
        <f aca="false">MIN(0.98,ut27_A+ut_adj)</f>
        <v>0.95</v>
      </c>
      <c r="F1446" s="21" t="n">
        <f aca="false">MIN(0.98,ut28_A+ut_adj)</f>
        <v>0.94</v>
      </c>
      <c r="G1446" s="21" t="n">
        <f aca="false">MIN(0.98,ut29_A+ut_adj)</f>
        <v>0.93</v>
      </c>
    </row>
    <row r="1447" customFormat="false" ht="17.15" hidden="false" customHeight="false" outlineLevel="0" collapsed="false">
      <c r="A1447" s="3" t="s">
        <v>529</v>
      </c>
      <c r="B1447" s="3" t="s">
        <v>64</v>
      </c>
      <c r="D1447" s="22" t="n">
        <f aca="false">D1445*D1446</f>
        <v>4553.53490998013</v>
      </c>
      <c r="E1447" s="22" t="n">
        <f aca="false">E1445*E1446</f>
        <v>5167.70289731754</v>
      </c>
      <c r="F1447" s="22" t="n">
        <f aca="false">F1445*F1446</f>
        <v>5471.23744644419</v>
      </c>
      <c r="G1447" s="22" t="n">
        <f aca="false">G1445*G1446</f>
        <v>5791.94508825172</v>
      </c>
    </row>
    <row r="1448" customFormat="false" ht="17.15" hidden="false" customHeight="false" outlineLevel="0" collapsed="false">
      <c r="A1448" s="3" t="s">
        <v>530</v>
      </c>
      <c r="B1448" s="0" t="s">
        <v>109</v>
      </c>
      <c r="D1448" s="22" t="n">
        <f aca="false">asp_26</f>
        <v>1878.17486396824</v>
      </c>
      <c r="E1448" s="22" t="n">
        <f aca="false">D1448*(1+asp27_A)*(1+asp_adj)</f>
        <v>2065.99235036507</v>
      </c>
      <c r="F1448" s="22" t="n">
        <f aca="false">E1448*(1+asp28_A)</f>
        <v>2127.97212087602</v>
      </c>
      <c r="G1448" s="22" t="n">
        <f aca="false">F1448*(1+asp29_A)</f>
        <v>2170.53156329354</v>
      </c>
    </row>
    <row r="1449" customFormat="false" ht="15" hidden="false" customHeight="false" outlineLevel="0" collapsed="false">
      <c r="A1449" s="3" t="s">
        <v>531</v>
      </c>
      <c r="B1449" s="0" t="s">
        <v>69</v>
      </c>
      <c r="E1449" s="21" t="n">
        <f aca="false">E1448/D1448-1</f>
        <v>0.1</v>
      </c>
      <c r="F1449" s="21" t="n">
        <f aca="false">F1448/E1448-1</f>
        <v>0.03</v>
      </c>
      <c r="G1449" s="21" t="n">
        <f aca="false">G1448/F1448-1</f>
        <v>0.02</v>
      </c>
    </row>
    <row r="1450" customFormat="false" ht="15" hidden="false" customHeight="false" outlineLevel="0" collapsed="false">
      <c r="A1450" s="3" t="s">
        <v>532</v>
      </c>
      <c r="B1450" s="0" t="s">
        <v>35</v>
      </c>
      <c r="D1450" s="23" t="n">
        <f aca="false">fx_26</f>
        <v>31.6</v>
      </c>
      <c r="E1450" s="23" t="n">
        <f aca="false">fx</f>
        <v>32</v>
      </c>
      <c r="F1450" s="23" t="n">
        <f aca="false">fx</f>
        <v>32</v>
      </c>
      <c r="G1450" s="23" t="n">
        <f aca="false">fx</f>
        <v>32</v>
      </c>
    </row>
    <row r="1451" customFormat="false" ht="17.15" hidden="false" customHeight="false" outlineLevel="0" collapsed="false">
      <c r="A1451" s="3" t="s">
        <v>533</v>
      </c>
      <c r="B1451" s="0" t="s">
        <v>181</v>
      </c>
      <c r="D1451" s="23" t="n">
        <f aca="false">D1447*D1448*D1450/1000000</f>
        <v>270.25378</v>
      </c>
      <c r="E1451" s="23" t="n">
        <f aca="false">E1447*E1448*E1450/1000000</f>
        <v>341.645908954158</v>
      </c>
      <c r="F1451" s="23" t="n">
        <f aca="false">F1447*F1448*F1450/1000000</f>
        <v>372.564504087237</v>
      </c>
      <c r="G1451" s="23" t="n">
        <f aca="false">G1447*G1448*G1450/1000000</f>
        <v>402.291188061227</v>
      </c>
    </row>
    <row r="1452" customFormat="false" ht="17.15" hidden="false" customHeight="false" outlineLevel="0" collapsed="false">
      <c r="A1452" s="5" t="s">
        <v>534</v>
      </c>
    </row>
    <row r="1453" customFormat="false" ht="17.15" hidden="false" customHeight="false" outlineLevel="0" collapsed="false">
      <c r="A1453" s="0" t="s">
        <v>535</v>
      </c>
      <c r="B1453" s="0" t="s">
        <v>138</v>
      </c>
      <c r="D1453" s="25" t="n">
        <f aca="false">ai_26</f>
        <v>0.3</v>
      </c>
      <c r="E1453" s="25" t="n">
        <f aca="false">D1453*(1+aig27_A)*ai_adj</f>
        <v>0.48</v>
      </c>
      <c r="F1453" s="25" t="n">
        <f aca="false">E1453*(1+aig_L)*um28_A</f>
        <v>0.696</v>
      </c>
      <c r="G1453" s="25" t="n">
        <f aca="false">F1453/um28_A*(1+aig_L)*um29_A</f>
        <v>1.0092</v>
      </c>
    </row>
    <row r="1454" customFormat="false" ht="17.15" hidden="false" customHeight="false" outlineLevel="0" collapsed="false">
      <c r="A1454" s="0" t="s">
        <v>536</v>
      </c>
      <c r="B1454" s="0" t="s">
        <v>181</v>
      </c>
      <c r="D1454" s="23" t="n">
        <f aca="false">D1453*D1450</f>
        <v>9.48</v>
      </c>
      <c r="E1454" s="23" t="n">
        <f aca="false">E1453*E1450</f>
        <v>15.36</v>
      </c>
      <c r="F1454" s="23" t="n">
        <f aca="false">F1453*F1450</f>
        <v>22.272</v>
      </c>
      <c r="G1454" s="23" t="n">
        <f aca="false">G1453*G1450</f>
        <v>32.2944</v>
      </c>
    </row>
    <row r="1455" customFormat="false" ht="17.15" hidden="false" customHeight="false" outlineLevel="0" collapsed="false">
      <c r="A1455" s="0" t="s">
        <v>537</v>
      </c>
      <c r="B1455" s="0" t="s">
        <v>138</v>
      </c>
      <c r="D1455" s="25" t="n">
        <f aca="false">0</f>
        <v>0</v>
      </c>
      <c r="E1455" s="25" t="n">
        <f aca="false">int_27</f>
        <v>0</v>
      </c>
      <c r="F1455" s="25" t="n">
        <f aca="false">int28_A</f>
        <v>0.25</v>
      </c>
      <c r="G1455" s="25" t="n">
        <f aca="false">int29_A</f>
        <v>0.5</v>
      </c>
    </row>
    <row r="1456" customFormat="false" ht="17.15" hidden="false" customHeight="false" outlineLevel="0" collapsed="false">
      <c r="A1456" s="0" t="s">
        <v>538</v>
      </c>
      <c r="B1456" s="0" t="s">
        <v>181</v>
      </c>
      <c r="D1456" s="23" t="n">
        <f aca="false">D1455*D1450</f>
        <v>0</v>
      </c>
      <c r="E1456" s="23" t="n">
        <f aca="false">E1455*E1450</f>
        <v>0</v>
      </c>
      <c r="F1456" s="23" t="n">
        <f aca="false">F1455*F1450</f>
        <v>8</v>
      </c>
      <c r="G1456" s="23" t="n">
        <f aca="false">G1455*G1450</f>
        <v>16</v>
      </c>
    </row>
    <row r="1457" customFormat="false" ht="17.15" hidden="false" customHeight="false" outlineLevel="0" collapsed="false">
      <c r="A1457" s="3" t="s">
        <v>393</v>
      </c>
      <c r="B1457" s="0" t="s">
        <v>181</v>
      </c>
      <c r="C1457" s="23" t="n">
        <f aca="false">a25_rev</f>
        <v>237.553</v>
      </c>
      <c r="D1457" s="23" t="n">
        <f aca="false">D1451+D1454+D1456</f>
        <v>279.73378</v>
      </c>
      <c r="E1457" s="23" t="n">
        <f aca="false">E1451+E1454+E1456</f>
        <v>357.005908954158</v>
      </c>
      <c r="F1457" s="23" t="n">
        <f aca="false">F1451+F1454+F1456</f>
        <v>402.836504087237</v>
      </c>
      <c r="G1457" s="23" t="n">
        <f aca="false">G1451+G1454+G1456</f>
        <v>450.585588061227</v>
      </c>
      <c r="H1457" s="30" t="n">
        <f aca="false">G1457*(1+H1459)</f>
        <v>495.203224084546</v>
      </c>
      <c r="I1457" s="30" t="n">
        <f aca="false">H1457*(1+I1459)</f>
        <v>534.577190214366</v>
      </c>
      <c r="J1457" s="30" t="n">
        <f aca="false">I1457*(1+J1459)</f>
        <v>566.651821627228</v>
      </c>
      <c r="K1457" s="7" t="s">
        <v>539</v>
      </c>
    </row>
    <row r="1458" customFormat="false" ht="17.15" hidden="false" customHeight="false" outlineLevel="0" collapsed="false">
      <c r="A1458" s="0" t="s">
        <v>540</v>
      </c>
      <c r="B1458" s="0" t="s">
        <v>69</v>
      </c>
      <c r="D1458" s="21" t="n">
        <f aca="false">D1454/D1457</f>
        <v>0.0338893643806622</v>
      </c>
      <c r="E1458" s="21" t="n">
        <f aca="false">E1454/E1457</f>
        <v>0.0430244979557813</v>
      </c>
      <c r="F1458" s="21" t="n">
        <f aca="false">F1454/F1457</f>
        <v>0.0552879388387723</v>
      </c>
      <c r="G1458" s="21" t="n">
        <f aca="false">G1454/G1457</f>
        <v>0.0716720659862999</v>
      </c>
    </row>
    <row r="1459" customFormat="false" ht="15" hidden="false" customHeight="false" outlineLevel="0" collapsed="false">
      <c r="A1459" s="3" t="s">
        <v>541</v>
      </c>
      <c r="B1459" s="0" t="s">
        <v>69</v>
      </c>
      <c r="D1459" s="21" t="n">
        <f aca="false">D1457/C1457-1</f>
        <v>0.177563659478096</v>
      </c>
      <c r="E1459" s="21" t="n">
        <f aca="false">E1457/D1457-1</f>
        <v>0.276234528965926</v>
      </c>
      <c r="F1459" s="21" t="n">
        <f aca="false">F1457/E1457-1</f>
        <v>0.128374892357772</v>
      </c>
      <c r="G1459" s="21" t="n">
        <f aca="false">G1457/F1457-1</f>
        <v>0.118532167491082</v>
      </c>
      <c r="H1459" s="28" t="n">
        <f aca="false">$G1459+(fade_gA-$G1459)*1/3</f>
        <v>0.099021444994055</v>
      </c>
      <c r="I1459" s="28" t="n">
        <f aca="false">$G1459+(fade_gA-$G1459)*2/3</f>
        <v>0.0795107224970275</v>
      </c>
      <c r="J1459" s="28" t="n">
        <f aca="false">$G1459+(fade_gA-$G1459)*3/3</f>
        <v>0.06</v>
      </c>
    </row>
    <row r="1460" customFormat="false" ht="17.15" hidden="false" customHeight="false" outlineLevel="0" collapsed="false">
      <c r="A1460" s="5" t="s">
        <v>542</v>
      </c>
    </row>
    <row r="1461" customFormat="false" ht="15" hidden="false" customHeight="false" outlineLevel="0" collapsed="false">
      <c r="A1461" s="3" t="s">
        <v>543</v>
      </c>
      <c r="B1461" s="0" t="s">
        <v>181</v>
      </c>
      <c r="D1461" s="23" t="n">
        <f aca="false">da_tot26*da_sh</f>
        <v>56.172</v>
      </c>
      <c r="E1461" s="23" t="n">
        <f aca="false">D1461*(1+dag_27+dag_adj)</f>
        <v>62.91264</v>
      </c>
      <c r="F1461" s="23" t="n">
        <f aca="false">E1461*(1+dag_28+dag_adj)</f>
        <v>69.203904</v>
      </c>
      <c r="G1461" s="23" t="n">
        <f aca="false">F1461*(1+dag_29+dag_adj)</f>
        <v>74.74021632</v>
      </c>
    </row>
    <row r="1462" customFormat="false" ht="17.15" hidden="false" customHeight="false" outlineLevel="0" collapsed="false">
      <c r="A1462" s="3" t="s">
        <v>544</v>
      </c>
      <c r="B1462" s="0" t="s">
        <v>545</v>
      </c>
      <c r="D1462" s="23" t="n">
        <f aca="false">(D1457-a26_gp-D1461-(1-m_new)*(D1454+D1456))/D1447*1000</f>
        <v>27.9465727870208</v>
      </c>
      <c r="E1462" s="23" t="n">
        <f aca="false">D1462*(1+cc_g)</f>
        <v>28.5055042427612</v>
      </c>
      <c r="F1462" s="23" t="n">
        <f aca="false">E1462*(1+cc_g)</f>
        <v>29.0756143276165</v>
      </c>
      <c r="G1462" s="23" t="n">
        <f aca="false">F1462*(1+cc_g)</f>
        <v>29.6571266141688</v>
      </c>
      <c r="K1462" s="7" t="s">
        <v>546</v>
      </c>
    </row>
    <row r="1463" customFormat="false" ht="17.15" hidden="false" customHeight="false" outlineLevel="0" collapsed="false">
      <c r="A1463" s="3" t="s">
        <v>547</v>
      </c>
      <c r="B1463" s="0" t="s">
        <v>181</v>
      </c>
      <c r="D1463" s="23" t="n">
        <f aca="false">D1462*D1447/1000</f>
        <v>127.2556948</v>
      </c>
      <c r="E1463" s="23" t="n">
        <f aca="false">E1462*E1447/1000</f>
        <v>147.307976864815</v>
      </c>
      <c r="F1463" s="23" t="n">
        <f aca="false">F1462*F1447/1000</f>
        <v>159.079589887624</v>
      </c>
      <c r="G1463" s="23" t="n">
        <f aca="false">G1462*G1447/1000</f>
        <v>171.772448824594</v>
      </c>
    </row>
    <row r="1464" customFormat="false" ht="17.15" hidden="false" customHeight="false" outlineLevel="0" collapsed="false">
      <c r="A1464" s="3" t="s">
        <v>548</v>
      </c>
      <c r="B1464" s="0" t="s">
        <v>181</v>
      </c>
      <c r="D1464" s="23" t="n">
        <f aca="false">m_new*(D1454+D1456)</f>
        <v>4.266</v>
      </c>
      <c r="E1464" s="23" t="n">
        <f aca="false">m_new*(E1454+E1456)</f>
        <v>6.912</v>
      </c>
      <c r="F1464" s="23" t="n">
        <f aca="false">m_new*(F1454+F1456)</f>
        <v>13.6224</v>
      </c>
      <c r="G1464" s="23" t="n">
        <f aca="false">m_new*(G1454+G1456)</f>
        <v>21.73248</v>
      </c>
    </row>
    <row r="1465" customFormat="false" ht="15" hidden="false" customHeight="false" outlineLevel="0" collapsed="false">
      <c r="A1465" s="3" t="s">
        <v>411</v>
      </c>
      <c r="B1465" s="0" t="s">
        <v>181</v>
      </c>
      <c r="C1465" s="23" t="n">
        <f aca="false">a25_gp</f>
        <v>68.906</v>
      </c>
      <c r="D1465" s="23" t="n">
        <f aca="false">D1451-D1461-D1463+D1464</f>
        <v>91.0920852</v>
      </c>
      <c r="E1465" s="23" t="n">
        <f aca="false">E1451-E1461-E1463+E1464</f>
        <v>138.337292089343</v>
      </c>
      <c r="F1465" s="23" t="n">
        <f aca="false">F1451-F1461-F1463+F1464</f>
        <v>157.903410199612</v>
      </c>
      <c r="G1465" s="23" t="n">
        <f aca="false">G1451-G1461-G1463+G1464</f>
        <v>177.511002916633</v>
      </c>
    </row>
    <row r="1466" customFormat="false" ht="15" hidden="false" customHeight="false" outlineLevel="0" collapsed="false">
      <c r="A1466" s="3" t="s">
        <v>413</v>
      </c>
      <c r="B1466" s="0" t="s">
        <v>69</v>
      </c>
      <c r="C1466" s="15" t="n">
        <f aca="false">C1465/C1457</f>
        <v>0.290065795843454</v>
      </c>
      <c r="D1466" s="15" t="n">
        <f aca="false">D1465/D1457</f>
        <v>0.325638488136828</v>
      </c>
      <c r="E1466" s="15" t="n">
        <f aca="false">E1465/E1457</f>
        <v>0.387493003952231</v>
      </c>
      <c r="F1466" s="15" t="n">
        <f aca="false">F1465/F1457</f>
        <v>0.391978901111249</v>
      </c>
      <c r="G1466" s="15" t="n">
        <f aca="false">G1465/G1457</f>
        <v>0.39395623743854</v>
      </c>
    </row>
    <row r="1467" customFormat="false" ht="15" hidden="false" customHeight="false" outlineLevel="0" collapsed="false">
      <c r="A1467" s="3" t="s">
        <v>415</v>
      </c>
      <c r="B1467" s="0" t="s">
        <v>181</v>
      </c>
      <c r="C1467" s="23" t="n">
        <f aca="false">a25_opx</f>
        <v>25.056</v>
      </c>
      <c r="D1467" s="23" t="n">
        <f aca="false">a26_opx</f>
        <v>27.23586</v>
      </c>
      <c r="E1467" s="23" t="n">
        <f aca="false">D1467*(1+MAX(g_opx_min,phi_lo*E1459))</f>
        <v>29.4929054874246</v>
      </c>
      <c r="F1467" s="23" t="n">
        <f aca="false">E1467*(1+MAX(g_opx_min,phi_lo*F1459))</f>
        <v>30.6287500576044</v>
      </c>
      <c r="G1467" s="23" t="n">
        <f aca="false">F1467*(1+MAX(g_opx_min,phi_lo*G1459))</f>
        <v>31.7178976971655</v>
      </c>
    </row>
    <row r="1468" customFormat="false" ht="15" hidden="false" customHeight="false" outlineLevel="0" collapsed="false">
      <c r="A1468" s="3" t="s">
        <v>418</v>
      </c>
      <c r="B1468" s="0" t="s">
        <v>181</v>
      </c>
      <c r="C1468" s="23" t="n">
        <f aca="false">C1465-C1467</f>
        <v>43.85</v>
      </c>
      <c r="D1468" s="23" t="n">
        <f aca="false">D1465-D1467</f>
        <v>63.8562252</v>
      </c>
      <c r="E1468" s="23" t="n">
        <f aca="false">E1465-E1467</f>
        <v>108.844386601919</v>
      </c>
      <c r="F1468" s="23" t="n">
        <f aca="false">F1465-F1467</f>
        <v>127.274660142008</v>
      </c>
      <c r="G1468" s="23" t="n">
        <f aca="false">G1465-G1467</f>
        <v>145.793105219467</v>
      </c>
    </row>
    <row r="1469" customFormat="false" ht="15" hidden="false" customHeight="false" outlineLevel="0" collapsed="false">
      <c r="A1469" s="3" t="s">
        <v>515</v>
      </c>
      <c r="B1469" s="0" t="s">
        <v>69</v>
      </c>
      <c r="C1469" s="15" t="n">
        <f aca="false">C1468/C1457</f>
        <v>0.184590386145408</v>
      </c>
      <c r="D1469" s="15" t="n">
        <f aca="false">D1468/D1457</f>
        <v>0.228274987740129</v>
      </c>
      <c r="E1469" s="15" t="n">
        <f aca="false">E1468/E1457</f>
        <v>0.304881190680502</v>
      </c>
      <c r="F1469" s="15" t="n">
        <f aca="false">F1468/F1457</f>
        <v>0.315946193680714</v>
      </c>
      <c r="G1469" s="15" t="n">
        <f aca="false">G1468/G1457</f>
        <v>0.32356362272212</v>
      </c>
    </row>
    <row r="1470" customFormat="false" ht="15" hidden="false" customHeight="false" outlineLevel="0" collapsed="false">
      <c r="A1470" s="3" t="s">
        <v>421</v>
      </c>
      <c r="B1470" s="0" t="s">
        <v>181</v>
      </c>
      <c r="C1470" s="23" t="n">
        <f aca="false">a25_nonop</f>
        <v>5.805</v>
      </c>
      <c r="D1470" s="23" t="n">
        <f aca="false">a26_nonop</f>
        <v>38.372</v>
      </c>
      <c r="E1470" s="23" t="n">
        <f aca="false">nonop_f</f>
        <v>4</v>
      </c>
      <c r="F1470" s="23" t="n">
        <f aca="false">nonop_f</f>
        <v>4</v>
      </c>
      <c r="G1470" s="23" t="n">
        <f aca="false">nonop_f</f>
        <v>4</v>
      </c>
    </row>
    <row r="1471" customFormat="false" ht="15" hidden="false" customHeight="false" outlineLevel="0" collapsed="false">
      <c r="A1471" s="3" t="s">
        <v>423</v>
      </c>
      <c r="B1471" s="0" t="s">
        <v>181</v>
      </c>
      <c r="C1471" s="23" t="n">
        <f aca="false">C1468+C1470</f>
        <v>49.655</v>
      </c>
      <c r="D1471" s="23" t="n">
        <f aca="false">D1468+D1470</f>
        <v>102.2282252</v>
      </c>
      <c r="E1471" s="23" t="n">
        <f aca="false">E1468+E1470</f>
        <v>112.844386601919</v>
      </c>
      <c r="F1471" s="23" t="n">
        <f aca="false">F1468+F1470</f>
        <v>131.274660142008</v>
      </c>
      <c r="G1471" s="23" t="n">
        <f aca="false">G1468+G1470</f>
        <v>149.793105219467</v>
      </c>
    </row>
    <row r="1472" customFormat="false" ht="15" hidden="false" customHeight="false" outlineLevel="0" collapsed="false">
      <c r="A1472" s="3" t="s">
        <v>425</v>
      </c>
      <c r="B1472" s="0" t="s">
        <v>181</v>
      </c>
      <c r="C1472" s="23" t="n">
        <f aca="false">a25_tax</f>
        <v>7.939</v>
      </c>
      <c r="D1472" s="23" t="n">
        <f aca="false">a26_tax</f>
        <v>10.493828284</v>
      </c>
      <c r="E1472" s="23" t="n">
        <f aca="false">E1471*tax</f>
        <v>16.9266579902878</v>
      </c>
      <c r="F1472" s="23" t="n">
        <f aca="false">F1471*tax</f>
        <v>19.6911990213012</v>
      </c>
      <c r="G1472" s="23" t="n">
        <f aca="false">G1471*tax</f>
        <v>22.4689657829201</v>
      </c>
    </row>
    <row r="1473" customFormat="false" ht="17.15" hidden="false" customHeight="false" outlineLevel="0" collapsed="false">
      <c r="A1473" s="3" t="s">
        <v>549</v>
      </c>
      <c r="B1473" s="0" t="s">
        <v>181</v>
      </c>
      <c r="C1473" s="23" t="n">
        <f aca="false">a25_mi</f>
        <v>0</v>
      </c>
      <c r="D1473" s="23" t="n">
        <f aca="false">a26_mi</f>
        <v>-0.134999999999987</v>
      </c>
      <c r="E1473" s="23" t="n">
        <f aca="false">0</f>
        <v>0</v>
      </c>
      <c r="F1473" s="23" t="n">
        <f aca="false">0</f>
        <v>0</v>
      </c>
      <c r="G1473" s="23" t="n">
        <f aca="false">0</f>
        <v>0</v>
      </c>
      <c r="K1473" s="7" t="s">
        <v>550</v>
      </c>
    </row>
    <row r="1474" customFormat="false" ht="15" hidden="false" customHeight="false" outlineLevel="0" collapsed="false">
      <c r="A1474" s="3" t="s">
        <v>428</v>
      </c>
      <c r="B1474" s="0" t="s">
        <v>181</v>
      </c>
      <c r="C1474" s="23" t="n">
        <f aca="false">C1471-C1472-C1473</f>
        <v>41.716</v>
      </c>
      <c r="D1474" s="23" t="n">
        <f aca="false">D1471-D1472-D1473</f>
        <v>91.869396916</v>
      </c>
      <c r="E1474" s="23" t="n">
        <f aca="false">E1471-E1472-E1473</f>
        <v>95.9177286116309</v>
      </c>
      <c r="F1474" s="23" t="n">
        <f aca="false">F1471-F1472-F1473</f>
        <v>111.583461120707</v>
      </c>
      <c r="G1474" s="23" t="n">
        <f aca="false">G1471-G1472-G1473</f>
        <v>127.324139436547</v>
      </c>
      <c r="H1474" s="30" t="n">
        <f aca="false">H1457*H1478</f>
        <v>139.931959706179</v>
      </c>
      <c r="I1474" s="30" t="n">
        <f aca="false">I1457*I1478</f>
        <v>151.058050922842</v>
      </c>
      <c r="J1474" s="30" t="n">
        <f aca="false">J1457*J1478</f>
        <v>160.121533978212</v>
      </c>
    </row>
    <row r="1475" customFormat="false" ht="15" hidden="false" customHeight="false" outlineLevel="0" collapsed="false">
      <c r="A1475" s="3" t="s">
        <v>551</v>
      </c>
      <c r="B1475" s="3" t="s">
        <v>250</v>
      </c>
      <c r="C1475" s="9" t="n">
        <f aca="false">a25_sh</f>
        <v>12.4898203592814</v>
      </c>
      <c r="D1475" s="9" t="n">
        <f aca="false">a26_sh</f>
        <v>12.4754339027235</v>
      </c>
      <c r="E1475" s="9" t="n">
        <f aca="false">q_sh*(1+sh_g)</f>
        <v>12.45</v>
      </c>
      <c r="F1475" s="9" t="n">
        <f aca="false">E1475*(1+sh_g)</f>
        <v>12.45</v>
      </c>
      <c r="G1475" s="9" t="n">
        <f aca="false">F1475*(1+sh_g)</f>
        <v>12.45</v>
      </c>
      <c r="H1475" s="32" t="n">
        <f aca="false">G1475*(1+sh_g)</f>
        <v>12.45</v>
      </c>
      <c r="I1475" s="32" t="n">
        <f aca="false">H1475*(1+sh_g)</f>
        <v>12.45</v>
      </c>
      <c r="J1475" s="32" t="n">
        <f aca="false">I1475*(1+sh_g)</f>
        <v>12.45</v>
      </c>
    </row>
    <row r="1476" customFormat="false" ht="17.15" hidden="false" customHeight="false" outlineLevel="0" collapsed="false">
      <c r="A1476" s="0" t="s">
        <v>434</v>
      </c>
      <c r="B1476" s="0" t="s">
        <v>260</v>
      </c>
      <c r="C1476" s="23" t="n">
        <f aca="false">C1474/C1475</f>
        <v>3.34</v>
      </c>
      <c r="D1476" s="23" t="n">
        <f aca="false">D1474/D1475</f>
        <v>7.36402418002826</v>
      </c>
      <c r="E1476" s="23" t="n">
        <f aca="false">E1474/E1475</f>
        <v>7.70423522984987</v>
      </c>
      <c r="F1476" s="23" t="n">
        <f aca="false">F1474/F1475</f>
        <v>8.96252699764712</v>
      </c>
      <c r="G1476" s="23" t="n">
        <f aca="false">G1474/G1475</f>
        <v>10.2268385089596</v>
      </c>
      <c r="H1476" s="30" t="n">
        <f aca="false">H1474/H1475</f>
        <v>11.2395148358376</v>
      </c>
      <c r="I1476" s="30" t="n">
        <f aca="false">I1474/I1475</f>
        <v>12.1331767809512</v>
      </c>
      <c r="J1476" s="30" t="n">
        <f aca="false">J1474/J1475</f>
        <v>12.8611673878082</v>
      </c>
    </row>
    <row r="1477" customFormat="false" ht="17.15" hidden="false" customHeight="false" outlineLevel="0" collapsed="false">
      <c r="A1477" s="0" t="s">
        <v>552</v>
      </c>
      <c r="B1477" s="0" t="s">
        <v>69</v>
      </c>
      <c r="D1477" s="21" t="n">
        <f aca="false">D1476/C1476-1</f>
        <v>1.2047976586911</v>
      </c>
      <c r="E1477" s="21" t="n">
        <f aca="false">E1476/D1476-1</f>
        <v>0.0461990674534023</v>
      </c>
      <c r="F1477" s="21" t="n">
        <f aca="false">F1476/E1476-1</f>
        <v>0.163324681847982</v>
      </c>
      <c r="G1477" s="21" t="n">
        <f aca="false">G1476/F1476-1</f>
        <v>0.141066410359981</v>
      </c>
      <c r="H1477" s="28" t="n">
        <f aca="false">H1476/G1476-1</f>
        <v>0.099021444994055</v>
      </c>
      <c r="I1477" s="28" t="n">
        <f aca="false">I1476/H1476-1</f>
        <v>0.0795107224970275</v>
      </c>
      <c r="J1477" s="28" t="n">
        <f aca="false">J1476/I1476-1</f>
        <v>0.0600000000000003</v>
      </c>
    </row>
    <row r="1478" customFormat="false" ht="17.15" hidden="false" customHeight="false" outlineLevel="0" collapsed="false">
      <c r="A1478" s="3" t="s">
        <v>553</v>
      </c>
      <c r="B1478" s="0" t="s">
        <v>69</v>
      </c>
      <c r="C1478" s="15" t="n">
        <f aca="false">C1474/C1457</f>
        <v>0.175607127672562</v>
      </c>
      <c r="D1478" s="15" t="n">
        <f aca="false">D1474/D1457</f>
        <v>0.328417243409073</v>
      </c>
      <c r="E1478" s="15" t="n">
        <f aca="false">E1474/E1457</f>
        <v>0.268672663969681</v>
      </c>
      <c r="F1478" s="15" t="n">
        <f aca="false">F1474/F1457</f>
        <v>0.27699441333783</v>
      </c>
      <c r="G1478" s="15" t="n">
        <f aca="false">G1474/G1457</f>
        <v>0.28257481555146</v>
      </c>
      <c r="H1478" s="29" t="n">
        <f aca="false">$G1478+($G$1478*1-$G1478)*1/3</f>
        <v>0.28257481555146</v>
      </c>
      <c r="I1478" s="29" t="n">
        <f aca="false">$G1478+($G$1478*1-$G1478)*2/3</f>
        <v>0.28257481555146</v>
      </c>
      <c r="J1478" s="29" t="n">
        <f aca="false">$G1478+($G$1478*1-$G1478)*3/3</f>
        <v>0.28257481555146</v>
      </c>
    </row>
    <row r="1481" customFormat="false" ht="17.15" hidden="false" customHeight="false" outlineLevel="0" collapsed="false">
      <c r="A1481" s="1" t="s">
        <v>874</v>
      </c>
    </row>
    <row r="1482" customFormat="false" ht="17.15" hidden="false" customHeight="false" outlineLevel="0" collapsed="false">
      <c r="A1482" s="4" t="s">
        <v>24</v>
      </c>
      <c r="B1482" s="4" t="s">
        <v>25</v>
      </c>
      <c r="C1482" s="16" t="s">
        <v>387</v>
      </c>
      <c r="D1482" s="16" t="s">
        <v>505</v>
      </c>
      <c r="E1482" s="16" t="s">
        <v>467</v>
      </c>
      <c r="F1482" s="16" t="s">
        <v>468</v>
      </c>
      <c r="G1482" s="16" t="s">
        <v>469</v>
      </c>
      <c r="H1482" s="16" t="s">
        <v>506</v>
      </c>
      <c r="I1482" s="16" t="s">
        <v>507</v>
      </c>
      <c r="J1482" s="16" t="s">
        <v>508</v>
      </c>
      <c r="K1482" s="4" t="s">
        <v>345</v>
      </c>
    </row>
    <row r="1483" customFormat="false" ht="17.15" hidden="false" customHeight="false" outlineLevel="0" collapsed="false">
      <c r="A1483" s="5" t="s">
        <v>526</v>
      </c>
    </row>
    <row r="1484" customFormat="false" ht="17.15" hidden="false" customHeight="false" outlineLevel="0" collapsed="false">
      <c r="A1484" s="3" t="s">
        <v>527</v>
      </c>
      <c r="B1484" s="3" t="s">
        <v>64</v>
      </c>
      <c r="D1484" s="22" t="n">
        <f aca="false">cap_26</f>
        <v>5230.46851955216</v>
      </c>
      <c r="E1484" s="22" t="n">
        <f aca="false">D1484*(1+capg27)*cap_adj</f>
        <v>5439.68726033425</v>
      </c>
      <c r="F1484" s="22" t="n">
        <f aca="false">E1484*(1+capg28)</f>
        <v>5820.46536855765</v>
      </c>
      <c r="G1484" s="22" t="n">
        <f aca="false">F1484*(1+capg29)</f>
        <v>6227.89794435668</v>
      </c>
    </row>
    <row r="1485" customFormat="false" ht="15" hidden="false" customHeight="false" outlineLevel="0" collapsed="false">
      <c r="A1485" s="3" t="s">
        <v>528</v>
      </c>
      <c r="B1485" s="0" t="s">
        <v>69</v>
      </c>
      <c r="D1485" s="21" t="n">
        <f aca="false">a26_ship/cap_26</f>
        <v>0.870578781414787</v>
      </c>
      <c r="E1485" s="21" t="n">
        <f aca="false">MIN(0.98,ut27_B+ut_adj)</f>
        <v>0.9</v>
      </c>
      <c r="F1485" s="21" t="n">
        <f aca="false">MIN(0.98,ut28_B+ut_adj)</f>
        <v>0.87</v>
      </c>
      <c r="G1485" s="21" t="n">
        <f aca="false">MIN(0.98,ut29_B+ut_adj)</f>
        <v>0.88</v>
      </c>
    </row>
    <row r="1486" customFormat="false" ht="17.15" hidden="false" customHeight="false" outlineLevel="0" collapsed="false">
      <c r="A1486" s="3" t="s">
        <v>529</v>
      </c>
      <c r="B1486" s="3" t="s">
        <v>64</v>
      </c>
      <c r="D1486" s="22" t="n">
        <f aca="false">D1484*D1485</f>
        <v>4553.53490998013</v>
      </c>
      <c r="E1486" s="22" t="n">
        <f aca="false">E1484*E1485</f>
        <v>4895.71853430083</v>
      </c>
      <c r="F1486" s="22" t="n">
        <f aca="false">F1484*F1485</f>
        <v>5063.80487064515</v>
      </c>
      <c r="G1486" s="22" t="n">
        <f aca="false">G1484*G1485</f>
        <v>5480.55019103388</v>
      </c>
    </row>
    <row r="1487" customFormat="false" ht="17.15" hidden="false" customHeight="false" outlineLevel="0" collapsed="false">
      <c r="A1487" s="3" t="s">
        <v>530</v>
      </c>
      <c r="B1487" s="0" t="s">
        <v>109</v>
      </c>
      <c r="D1487" s="22" t="n">
        <f aca="false">asp_26</f>
        <v>1878.17486396824</v>
      </c>
      <c r="E1487" s="22" t="n">
        <f aca="false">D1487*(1+asp27_B)*(1+asp_adj)</f>
        <v>1972.08360716666</v>
      </c>
      <c r="F1487" s="22" t="n">
        <f aca="false">E1487*(1+asp28_B)</f>
        <v>1972.08360716666</v>
      </c>
      <c r="G1487" s="22" t="n">
        <f aca="false">F1487*(1+asp29_B)</f>
        <v>1972.08360716666</v>
      </c>
    </row>
    <row r="1488" customFormat="false" ht="15" hidden="false" customHeight="false" outlineLevel="0" collapsed="false">
      <c r="A1488" s="3" t="s">
        <v>531</v>
      </c>
      <c r="B1488" s="0" t="s">
        <v>69</v>
      </c>
      <c r="E1488" s="21" t="n">
        <f aca="false">E1487/D1487-1</f>
        <v>0.05</v>
      </c>
      <c r="F1488" s="21" t="n">
        <f aca="false">F1487/E1487-1</f>
        <v>0</v>
      </c>
      <c r="G1488" s="21" t="n">
        <f aca="false">G1487/F1487-1</f>
        <v>0</v>
      </c>
    </row>
    <row r="1489" customFormat="false" ht="15" hidden="false" customHeight="false" outlineLevel="0" collapsed="false">
      <c r="A1489" s="3" t="s">
        <v>532</v>
      </c>
      <c r="B1489" s="0" t="s">
        <v>35</v>
      </c>
      <c r="D1489" s="23" t="n">
        <f aca="false">fx_26</f>
        <v>31.6</v>
      </c>
      <c r="E1489" s="23" t="n">
        <f aca="false">fx</f>
        <v>32</v>
      </c>
      <c r="F1489" s="23" t="n">
        <f aca="false">fx</f>
        <v>32</v>
      </c>
      <c r="G1489" s="23" t="n">
        <f aca="false">fx</f>
        <v>32</v>
      </c>
    </row>
    <row r="1490" customFormat="false" ht="17.15" hidden="false" customHeight="false" outlineLevel="0" collapsed="false">
      <c r="A1490" s="3" t="s">
        <v>533</v>
      </c>
      <c r="B1490" s="0" t="s">
        <v>181</v>
      </c>
      <c r="D1490" s="23" t="n">
        <f aca="false">D1486*D1487*D1489/1000000</f>
        <v>270.25378</v>
      </c>
      <c r="E1490" s="23" t="n">
        <f aca="false">E1486*E1487*E1489/1000000</f>
        <v>308.952520537492</v>
      </c>
      <c r="F1490" s="23" t="n">
        <f aca="false">F1486*F1487*F1489/1000000</f>
        <v>319.559890409279</v>
      </c>
      <c r="G1490" s="23" t="n">
        <f aca="false">G1486*G1487*G1489/1000000</f>
        <v>345.859302079744</v>
      </c>
    </row>
    <row r="1491" customFormat="false" ht="17.15" hidden="false" customHeight="false" outlineLevel="0" collapsed="false">
      <c r="A1491" s="5" t="s">
        <v>534</v>
      </c>
    </row>
    <row r="1492" customFormat="false" ht="17.15" hidden="false" customHeight="false" outlineLevel="0" collapsed="false">
      <c r="A1492" s="0" t="s">
        <v>535</v>
      </c>
      <c r="B1492" s="0" t="s">
        <v>138</v>
      </c>
      <c r="D1492" s="25" t="n">
        <f aca="false">ai_26</f>
        <v>0.3</v>
      </c>
      <c r="E1492" s="25" t="n">
        <f aca="false">D1492*(1+aig27_B)*ai_adj</f>
        <v>0.42</v>
      </c>
      <c r="F1492" s="25" t="n">
        <f aca="false">E1492*(1+aig_L)*um28_B</f>
        <v>0.4872</v>
      </c>
      <c r="G1492" s="25" t="n">
        <f aca="false">F1492/um28_B*(1+aig_L)*um29_B</f>
        <v>0.7505925</v>
      </c>
    </row>
    <row r="1493" customFormat="false" ht="17.15" hidden="false" customHeight="false" outlineLevel="0" collapsed="false">
      <c r="A1493" s="0" t="s">
        <v>536</v>
      </c>
      <c r="B1493" s="0" t="s">
        <v>181</v>
      </c>
      <c r="D1493" s="23" t="n">
        <f aca="false">D1492*D1489</f>
        <v>9.48</v>
      </c>
      <c r="E1493" s="23" t="n">
        <f aca="false">E1492*E1489</f>
        <v>13.44</v>
      </c>
      <c r="F1493" s="23" t="n">
        <f aca="false">F1492*F1489</f>
        <v>15.5904</v>
      </c>
      <c r="G1493" s="23" t="n">
        <f aca="false">G1492*G1489</f>
        <v>24.01896</v>
      </c>
    </row>
    <row r="1494" customFormat="false" ht="17.15" hidden="false" customHeight="false" outlineLevel="0" collapsed="false">
      <c r="A1494" s="0" t="s">
        <v>537</v>
      </c>
      <c r="B1494" s="0" t="s">
        <v>138</v>
      </c>
      <c r="D1494" s="25" t="n">
        <f aca="false">0</f>
        <v>0</v>
      </c>
      <c r="E1494" s="25" t="n">
        <f aca="false">int_27</f>
        <v>0</v>
      </c>
      <c r="F1494" s="25" t="n">
        <f aca="false">int28_B</f>
        <v>0.12</v>
      </c>
      <c r="G1494" s="25" t="n">
        <f aca="false">int29_B</f>
        <v>0.3</v>
      </c>
    </row>
    <row r="1495" customFormat="false" ht="17.15" hidden="false" customHeight="false" outlineLevel="0" collapsed="false">
      <c r="A1495" s="0" t="s">
        <v>538</v>
      </c>
      <c r="B1495" s="0" t="s">
        <v>181</v>
      </c>
      <c r="D1495" s="23" t="n">
        <f aca="false">D1494*D1489</f>
        <v>0</v>
      </c>
      <c r="E1495" s="23" t="n">
        <f aca="false">E1494*E1489</f>
        <v>0</v>
      </c>
      <c r="F1495" s="23" t="n">
        <f aca="false">F1494*F1489</f>
        <v>3.84</v>
      </c>
      <c r="G1495" s="23" t="n">
        <f aca="false">G1494*G1489</f>
        <v>9.6</v>
      </c>
    </row>
    <row r="1496" customFormat="false" ht="17.15" hidden="false" customHeight="false" outlineLevel="0" collapsed="false">
      <c r="A1496" s="3" t="s">
        <v>393</v>
      </c>
      <c r="B1496" s="0" t="s">
        <v>181</v>
      </c>
      <c r="C1496" s="23" t="n">
        <f aca="false">a25_rev</f>
        <v>237.553</v>
      </c>
      <c r="D1496" s="23" t="n">
        <f aca="false">D1490+D1493+D1495</f>
        <v>279.73378</v>
      </c>
      <c r="E1496" s="23" t="n">
        <f aca="false">E1490+E1493+E1495</f>
        <v>322.392520537492</v>
      </c>
      <c r="F1496" s="23" t="n">
        <f aca="false">F1490+F1493+F1495</f>
        <v>338.990290409279</v>
      </c>
      <c r="G1496" s="23" t="n">
        <f aca="false">G1490+G1493+G1495</f>
        <v>379.478262079744</v>
      </c>
      <c r="H1496" s="30" t="n">
        <f aca="false">G1496*(1+H1498)</f>
        <v>414.75379367548</v>
      </c>
      <c r="I1496" s="30" t="n">
        <f aca="false">H1496*(1+I1498)</f>
        <v>442.326206375962</v>
      </c>
      <c r="J1496" s="30" t="n">
        <f aca="false">I1496*(1+J1498)</f>
        <v>460.019254631001</v>
      </c>
      <c r="K1496" s="7" t="s">
        <v>539</v>
      </c>
    </row>
    <row r="1497" customFormat="false" ht="17.15" hidden="false" customHeight="false" outlineLevel="0" collapsed="false">
      <c r="A1497" s="0" t="s">
        <v>540</v>
      </c>
      <c r="B1497" s="0" t="s">
        <v>69</v>
      </c>
      <c r="D1497" s="21" t="n">
        <f aca="false">D1493/D1496</f>
        <v>0.0338893643806622</v>
      </c>
      <c r="E1497" s="21" t="n">
        <f aca="false">E1493/E1496</f>
        <v>0.0416883120538679</v>
      </c>
      <c r="F1497" s="21" t="n">
        <f aca="false">F1493/F1496</f>
        <v>0.0459906977901254</v>
      </c>
      <c r="G1497" s="21" t="n">
        <f aca="false">G1493/G1496</f>
        <v>0.0632946927404042</v>
      </c>
    </row>
    <row r="1498" customFormat="false" ht="15" hidden="false" customHeight="false" outlineLevel="0" collapsed="false">
      <c r="A1498" s="3" t="s">
        <v>541</v>
      </c>
      <c r="B1498" s="0" t="s">
        <v>69</v>
      </c>
      <c r="D1498" s="21" t="n">
        <f aca="false">D1496/C1496-1</f>
        <v>0.177563659478096</v>
      </c>
      <c r="E1498" s="21" t="n">
        <f aca="false">E1496/D1496-1</f>
        <v>0.152497637351814</v>
      </c>
      <c r="F1498" s="21" t="n">
        <f aca="false">F1496/E1496-1</f>
        <v>0.0514831108492078</v>
      </c>
      <c r="G1498" s="21" t="n">
        <f aca="false">G1496/F1496-1</f>
        <v>0.119436965647547</v>
      </c>
      <c r="H1498" s="28" t="n">
        <f aca="false">$G1498+(fade_gB-$G1498)*1/3</f>
        <v>0.0929579770983645</v>
      </c>
      <c r="I1498" s="28" t="n">
        <f aca="false">$G1498+(fade_gB-$G1498)*2/3</f>
        <v>0.0664789885491822</v>
      </c>
      <c r="J1498" s="28" t="n">
        <f aca="false">$G1498+(fade_gB-$G1498)*3/3</f>
        <v>0.04</v>
      </c>
    </row>
    <row r="1499" customFormat="false" ht="17.15" hidden="false" customHeight="false" outlineLevel="0" collapsed="false">
      <c r="A1499" s="5" t="s">
        <v>542</v>
      </c>
    </row>
    <row r="1500" customFormat="false" ht="15" hidden="false" customHeight="false" outlineLevel="0" collapsed="false">
      <c r="A1500" s="3" t="s">
        <v>543</v>
      </c>
      <c r="B1500" s="0" t="s">
        <v>181</v>
      </c>
      <c r="D1500" s="23" t="n">
        <f aca="false">da_tot26*da_sh</f>
        <v>56.172</v>
      </c>
      <c r="E1500" s="23" t="n">
        <f aca="false">D1500*(1+dag_27+dag_adj)</f>
        <v>62.91264</v>
      </c>
      <c r="F1500" s="23" t="n">
        <f aca="false">E1500*(1+dag_28+dag_adj)</f>
        <v>69.203904</v>
      </c>
      <c r="G1500" s="23" t="n">
        <f aca="false">F1500*(1+dag_29+dag_adj)</f>
        <v>74.74021632</v>
      </c>
    </row>
    <row r="1501" customFormat="false" ht="17.15" hidden="false" customHeight="false" outlineLevel="0" collapsed="false">
      <c r="A1501" s="3" t="s">
        <v>544</v>
      </c>
      <c r="B1501" s="0" t="s">
        <v>545</v>
      </c>
      <c r="D1501" s="23" t="n">
        <f aca="false">(D1496-a26_gp-D1500-(1-m_new)*(D1493+D1495))/D1486*1000</f>
        <v>27.9465727870208</v>
      </c>
      <c r="E1501" s="23" t="n">
        <f aca="false">D1501*(1+cc_g)</f>
        <v>28.5055042427612</v>
      </c>
      <c r="F1501" s="23" t="n">
        <f aca="false">E1501*(1+cc_g)</f>
        <v>29.0756143276165</v>
      </c>
      <c r="G1501" s="23" t="n">
        <f aca="false">F1501*(1+cc_g)</f>
        <v>29.6571266141688</v>
      </c>
      <c r="K1501" s="7" t="s">
        <v>546</v>
      </c>
    </row>
    <row r="1502" customFormat="false" ht="17.15" hidden="false" customHeight="false" outlineLevel="0" collapsed="false">
      <c r="A1502" s="3" t="s">
        <v>547</v>
      </c>
      <c r="B1502" s="0" t="s">
        <v>181</v>
      </c>
      <c r="D1502" s="23" t="n">
        <f aca="false">D1501*D1486/1000</f>
        <v>127.2556948</v>
      </c>
      <c r="E1502" s="23" t="n">
        <f aca="false">E1501*E1486/1000</f>
        <v>139.554925450877</v>
      </c>
      <c r="F1502" s="23" t="n">
        <f aca="false">F1501*F1486/1000</f>
        <v>147.233237449184</v>
      </c>
      <c r="G1502" s="23" t="n">
        <f aca="false">G1501*G1486/1000</f>
        <v>162.537370930799</v>
      </c>
    </row>
    <row r="1503" customFormat="false" ht="17.15" hidden="false" customHeight="false" outlineLevel="0" collapsed="false">
      <c r="A1503" s="3" t="s">
        <v>548</v>
      </c>
      <c r="B1503" s="0" t="s">
        <v>181</v>
      </c>
      <c r="D1503" s="23" t="n">
        <f aca="false">m_new*(D1493+D1495)</f>
        <v>4.266</v>
      </c>
      <c r="E1503" s="23" t="n">
        <f aca="false">m_new*(E1493+E1495)</f>
        <v>6.048</v>
      </c>
      <c r="F1503" s="23" t="n">
        <f aca="false">m_new*(F1493+F1495)</f>
        <v>8.74368</v>
      </c>
      <c r="G1503" s="23" t="n">
        <f aca="false">m_new*(G1493+G1495)</f>
        <v>15.128532</v>
      </c>
    </row>
    <row r="1504" customFormat="false" ht="15" hidden="false" customHeight="false" outlineLevel="0" collapsed="false">
      <c r="A1504" s="3" t="s">
        <v>411</v>
      </c>
      <c r="B1504" s="0" t="s">
        <v>181</v>
      </c>
      <c r="C1504" s="23" t="n">
        <f aca="false">a25_gp</f>
        <v>68.906</v>
      </c>
      <c r="D1504" s="23" t="n">
        <f aca="false">D1490-D1500-D1502+D1503</f>
        <v>91.0920852</v>
      </c>
      <c r="E1504" s="23" t="n">
        <f aca="false">E1490-E1500-E1502+E1503</f>
        <v>112.532955086615</v>
      </c>
      <c r="F1504" s="23" t="n">
        <f aca="false">F1490-F1500-F1502+F1503</f>
        <v>111.866428960095</v>
      </c>
      <c r="G1504" s="23" t="n">
        <f aca="false">G1490-G1500-G1502+G1503</f>
        <v>123.710246828945</v>
      </c>
    </row>
    <row r="1505" customFormat="false" ht="15" hidden="false" customHeight="false" outlineLevel="0" collapsed="false">
      <c r="A1505" s="3" t="s">
        <v>413</v>
      </c>
      <c r="B1505" s="0" t="s">
        <v>69</v>
      </c>
      <c r="C1505" s="15" t="n">
        <f aca="false">C1504/C1496</f>
        <v>0.290065795843454</v>
      </c>
      <c r="D1505" s="15" t="n">
        <f aca="false">D1504/D1496</f>
        <v>0.325638488136828</v>
      </c>
      <c r="E1505" s="15" t="n">
        <f aca="false">E1504/E1496</f>
        <v>0.349055725297226</v>
      </c>
      <c r="F1505" s="15" t="n">
        <f aca="false">F1504/F1496</f>
        <v>0.32999891774196</v>
      </c>
      <c r="G1505" s="15" t="n">
        <f aca="false">G1504/G1496</f>
        <v>0.326000878550847</v>
      </c>
    </row>
    <row r="1506" customFormat="false" ht="15" hidden="false" customHeight="false" outlineLevel="0" collapsed="false">
      <c r="A1506" s="3" t="s">
        <v>415</v>
      </c>
      <c r="B1506" s="0" t="s">
        <v>181</v>
      </c>
      <c r="C1506" s="23" t="n">
        <f aca="false">a25_opx</f>
        <v>25.056</v>
      </c>
      <c r="D1506" s="23" t="n">
        <f aca="false">a26_opx</f>
        <v>27.23586</v>
      </c>
      <c r="E1506" s="23" t="n">
        <f aca="false">D1506*(1+MAX(g_opx_min,phi_lo*E1498))</f>
        <v>28.4818812903734</v>
      </c>
      <c r="F1506" s="23" t="n">
        <f aca="false">E1506*(1+MAX(g_opx_min,phi_lo*F1498))</f>
        <v>29.3363377290846</v>
      </c>
      <c r="G1506" s="23" t="n">
        <f aca="false">F1506*(1+MAX(g_opx_min,phi_lo*G1498))</f>
        <v>30.3874906775567</v>
      </c>
    </row>
    <row r="1507" customFormat="false" ht="15" hidden="false" customHeight="false" outlineLevel="0" collapsed="false">
      <c r="A1507" s="3" t="s">
        <v>418</v>
      </c>
      <c r="B1507" s="0" t="s">
        <v>181</v>
      </c>
      <c r="C1507" s="23" t="n">
        <f aca="false">C1504-C1506</f>
        <v>43.85</v>
      </c>
      <c r="D1507" s="23" t="n">
        <f aca="false">D1504-D1506</f>
        <v>63.8562252</v>
      </c>
      <c r="E1507" s="23" t="n">
        <f aca="false">E1504-E1506</f>
        <v>84.0510737962416</v>
      </c>
      <c r="F1507" s="23" t="n">
        <f aca="false">F1504-F1506</f>
        <v>82.5300912310104</v>
      </c>
      <c r="G1507" s="23" t="n">
        <f aca="false">G1504-G1506</f>
        <v>93.3227561513887</v>
      </c>
    </row>
    <row r="1508" customFormat="false" ht="15" hidden="false" customHeight="false" outlineLevel="0" collapsed="false">
      <c r="A1508" s="3" t="s">
        <v>515</v>
      </c>
      <c r="B1508" s="0" t="s">
        <v>69</v>
      </c>
      <c r="C1508" s="15" t="n">
        <f aca="false">C1507/C1496</f>
        <v>0.184590386145408</v>
      </c>
      <c r="D1508" s="15" t="n">
        <f aca="false">D1507/D1496</f>
        <v>0.228274987740129</v>
      </c>
      <c r="E1508" s="15" t="n">
        <f aca="false">E1507/E1496</f>
        <v>0.260710371494078</v>
      </c>
      <c r="F1508" s="15" t="n">
        <f aca="false">F1507/F1496</f>
        <v>0.243458569658051</v>
      </c>
      <c r="G1508" s="15" t="n">
        <f aca="false">G1507/G1496</f>
        <v>0.245923852501932</v>
      </c>
    </row>
    <row r="1509" customFormat="false" ht="15" hidden="false" customHeight="false" outlineLevel="0" collapsed="false">
      <c r="A1509" s="3" t="s">
        <v>421</v>
      </c>
      <c r="B1509" s="0" t="s">
        <v>181</v>
      </c>
      <c r="C1509" s="23" t="n">
        <f aca="false">a25_nonop</f>
        <v>5.805</v>
      </c>
      <c r="D1509" s="23" t="n">
        <f aca="false">a26_nonop</f>
        <v>38.372</v>
      </c>
      <c r="E1509" s="23" t="n">
        <f aca="false">nonop_f</f>
        <v>4</v>
      </c>
      <c r="F1509" s="23" t="n">
        <f aca="false">nonop_f</f>
        <v>4</v>
      </c>
      <c r="G1509" s="23" t="n">
        <f aca="false">nonop_f</f>
        <v>4</v>
      </c>
    </row>
    <row r="1510" customFormat="false" ht="15" hidden="false" customHeight="false" outlineLevel="0" collapsed="false">
      <c r="A1510" s="3" t="s">
        <v>423</v>
      </c>
      <c r="B1510" s="0" t="s">
        <v>181</v>
      </c>
      <c r="C1510" s="23" t="n">
        <f aca="false">C1507+C1509</f>
        <v>49.655</v>
      </c>
      <c r="D1510" s="23" t="n">
        <f aca="false">D1507+D1509</f>
        <v>102.2282252</v>
      </c>
      <c r="E1510" s="23" t="n">
        <f aca="false">E1507+E1509</f>
        <v>88.0510737962416</v>
      </c>
      <c r="F1510" s="23" t="n">
        <f aca="false">F1507+F1509</f>
        <v>86.5300912310104</v>
      </c>
      <c r="G1510" s="23" t="n">
        <f aca="false">G1507+G1509</f>
        <v>97.3227561513887</v>
      </c>
    </row>
    <row r="1511" customFormat="false" ht="15" hidden="false" customHeight="false" outlineLevel="0" collapsed="false">
      <c r="A1511" s="3" t="s">
        <v>425</v>
      </c>
      <c r="B1511" s="0" t="s">
        <v>181</v>
      </c>
      <c r="C1511" s="23" t="n">
        <f aca="false">a25_tax</f>
        <v>7.939</v>
      </c>
      <c r="D1511" s="23" t="n">
        <f aca="false">a26_tax</f>
        <v>10.493828284</v>
      </c>
      <c r="E1511" s="23" t="n">
        <f aca="false">E1510*tax</f>
        <v>13.2076610694362</v>
      </c>
      <c r="F1511" s="23" t="n">
        <f aca="false">F1510*tax</f>
        <v>12.9795136846516</v>
      </c>
      <c r="G1511" s="23" t="n">
        <f aca="false">G1510*tax</f>
        <v>14.5984134227083</v>
      </c>
    </row>
    <row r="1512" customFormat="false" ht="17.15" hidden="false" customHeight="false" outlineLevel="0" collapsed="false">
      <c r="A1512" s="3" t="s">
        <v>549</v>
      </c>
      <c r="B1512" s="0" t="s">
        <v>181</v>
      </c>
      <c r="C1512" s="23" t="n">
        <f aca="false">a25_mi</f>
        <v>0</v>
      </c>
      <c r="D1512" s="23" t="n">
        <f aca="false">a26_mi</f>
        <v>-0.134999999999987</v>
      </c>
      <c r="E1512" s="23" t="n">
        <f aca="false">0</f>
        <v>0</v>
      </c>
      <c r="F1512" s="23" t="n">
        <f aca="false">0</f>
        <v>0</v>
      </c>
      <c r="G1512" s="23" t="n">
        <f aca="false">0</f>
        <v>0</v>
      </c>
      <c r="K1512" s="7" t="s">
        <v>550</v>
      </c>
    </row>
    <row r="1513" customFormat="false" ht="15" hidden="false" customHeight="false" outlineLevel="0" collapsed="false">
      <c r="A1513" s="3" t="s">
        <v>428</v>
      </c>
      <c r="B1513" s="0" t="s">
        <v>181</v>
      </c>
      <c r="C1513" s="23" t="n">
        <f aca="false">C1510-C1511-C1512</f>
        <v>41.716</v>
      </c>
      <c r="D1513" s="23" t="n">
        <f aca="false">D1510-D1511-D1512</f>
        <v>91.869396916</v>
      </c>
      <c r="E1513" s="23" t="n">
        <f aca="false">E1510-E1511-E1512</f>
        <v>74.8434127268054</v>
      </c>
      <c r="F1513" s="23" t="n">
        <f aca="false">F1510-F1511-F1512</f>
        <v>73.5505775463588</v>
      </c>
      <c r="G1513" s="23" t="n">
        <f aca="false">G1510-G1511-G1512</f>
        <v>82.7243427286804</v>
      </c>
      <c r="H1513" s="30" t="n">
        <f aca="false">H1496*H1517</f>
        <v>87.4004226093459</v>
      </c>
      <c r="I1513" s="30" t="n">
        <f aca="false">I1496*I1517</f>
        <v>89.9965517410075</v>
      </c>
      <c r="J1513" s="30" t="n">
        <f aca="false">J1496*J1517</f>
        <v>90.2536847459818</v>
      </c>
    </row>
    <row r="1514" customFormat="false" ht="15" hidden="false" customHeight="false" outlineLevel="0" collapsed="false">
      <c r="A1514" s="3" t="s">
        <v>551</v>
      </c>
      <c r="B1514" s="3" t="s">
        <v>250</v>
      </c>
      <c r="C1514" s="9" t="n">
        <f aca="false">a25_sh</f>
        <v>12.4898203592814</v>
      </c>
      <c r="D1514" s="9" t="n">
        <f aca="false">a26_sh</f>
        <v>12.4754339027235</v>
      </c>
      <c r="E1514" s="9" t="n">
        <f aca="false">q_sh*(1+sh_g)</f>
        <v>12.45</v>
      </c>
      <c r="F1514" s="9" t="n">
        <f aca="false">E1514*(1+sh_g)</f>
        <v>12.45</v>
      </c>
      <c r="G1514" s="9" t="n">
        <f aca="false">F1514*(1+sh_g)</f>
        <v>12.45</v>
      </c>
      <c r="H1514" s="32" t="n">
        <f aca="false">G1514*(1+sh_g)</f>
        <v>12.45</v>
      </c>
      <c r="I1514" s="32" t="n">
        <f aca="false">H1514*(1+sh_g)</f>
        <v>12.45</v>
      </c>
      <c r="J1514" s="32" t="n">
        <f aca="false">I1514*(1+sh_g)</f>
        <v>12.45</v>
      </c>
    </row>
    <row r="1515" customFormat="false" ht="17.15" hidden="false" customHeight="false" outlineLevel="0" collapsed="false">
      <c r="A1515" s="0" t="s">
        <v>434</v>
      </c>
      <c r="B1515" s="0" t="s">
        <v>260</v>
      </c>
      <c r="C1515" s="23" t="n">
        <f aca="false">C1513/C1514</f>
        <v>3.34</v>
      </c>
      <c r="D1515" s="23" t="n">
        <f aca="false">D1513/D1514</f>
        <v>7.36402418002826</v>
      </c>
      <c r="E1515" s="23" t="n">
        <f aca="false">E1513/E1514</f>
        <v>6.01151909452252</v>
      </c>
      <c r="F1515" s="23" t="n">
        <f aca="false">F1513/F1514</f>
        <v>5.90767691135412</v>
      </c>
      <c r="G1515" s="23" t="n">
        <f aca="false">G1513/G1514</f>
        <v>6.64452552037593</v>
      </c>
      <c r="H1515" s="30" t="n">
        <f aca="false">H1513/H1514</f>
        <v>7.02011426581092</v>
      </c>
      <c r="I1515" s="30" t="n">
        <f aca="false">I1513/I1514</f>
        <v>7.22863869405683</v>
      </c>
      <c r="J1515" s="30" t="n">
        <f aca="false">J1513/J1514</f>
        <v>7.24929194746842</v>
      </c>
    </row>
    <row r="1516" customFormat="false" ht="17.15" hidden="false" customHeight="false" outlineLevel="0" collapsed="false">
      <c r="A1516" s="0" t="s">
        <v>552</v>
      </c>
      <c r="B1516" s="0" t="s">
        <v>69</v>
      </c>
      <c r="D1516" s="21" t="n">
        <f aca="false">D1515/C1515-1</f>
        <v>1.2047976586911</v>
      </c>
      <c r="E1516" s="21" t="n">
        <f aca="false">E1515/D1515-1</f>
        <v>-0.183663857211907</v>
      </c>
      <c r="F1516" s="21" t="n">
        <f aca="false">F1515/E1515-1</f>
        <v>-0.0172738673096817</v>
      </c>
      <c r="G1516" s="21" t="n">
        <f aca="false">G1515/F1515-1</f>
        <v>0.124727303147815</v>
      </c>
      <c r="H1516" s="28" t="n">
        <f aca="false">H1515/G1515-1</f>
        <v>0.056526044528419</v>
      </c>
      <c r="I1516" s="28" t="n">
        <f aca="false">I1515/H1515-1</f>
        <v>0.0297038510130037</v>
      </c>
      <c r="J1516" s="28" t="n">
        <f aca="false">J1515/I1515-1</f>
        <v>0.00285714285714289</v>
      </c>
    </row>
    <row r="1517" customFormat="false" ht="17.15" hidden="false" customHeight="false" outlineLevel="0" collapsed="false">
      <c r="A1517" s="3" t="s">
        <v>553</v>
      </c>
      <c r="B1517" s="0" t="s">
        <v>69</v>
      </c>
      <c r="C1517" s="15" t="n">
        <f aca="false">C1513/C1496</f>
        <v>0.175607127672562</v>
      </c>
      <c r="D1517" s="15" t="n">
        <f aca="false">D1513/D1496</f>
        <v>0.328417243409073</v>
      </c>
      <c r="E1517" s="15" t="n">
        <f aca="false">E1513/E1496</f>
        <v>0.232149966140736</v>
      </c>
      <c r="F1517" s="15" t="n">
        <f aca="false">F1513/F1496</f>
        <v>0.216969570006143</v>
      </c>
      <c r="G1517" s="15" t="n">
        <f aca="false">G1513/G1496</f>
        <v>0.217994944625567</v>
      </c>
      <c r="H1517" s="29" t="n">
        <f aca="false">$G1517+($G$1517*0.9-$G1517)*1/3</f>
        <v>0.210728446471382</v>
      </c>
      <c r="I1517" s="29" t="n">
        <f aca="false">$G1517+($G$1517*0.9-$G1517)*2/3</f>
        <v>0.203461948317196</v>
      </c>
      <c r="J1517" s="29" t="n">
        <f aca="false">$G1517+($G$1517*0.9-$G1517)*3/3</f>
        <v>0.196195450163011</v>
      </c>
    </row>
    <row r="1520" customFormat="false" ht="17.15" hidden="false" customHeight="false" outlineLevel="0" collapsed="false">
      <c r="A1520" s="1" t="s">
        <v>875</v>
      </c>
    </row>
    <row r="1521" customFormat="false" ht="17.15" hidden="false" customHeight="false" outlineLevel="0" collapsed="false">
      <c r="A1521" s="4" t="s">
        <v>24</v>
      </c>
      <c r="B1521" s="4" t="s">
        <v>25</v>
      </c>
      <c r="C1521" s="16" t="s">
        <v>387</v>
      </c>
      <c r="D1521" s="16" t="s">
        <v>505</v>
      </c>
      <c r="E1521" s="16" t="s">
        <v>467</v>
      </c>
      <c r="F1521" s="16" t="s">
        <v>468</v>
      </c>
      <c r="G1521" s="16" t="s">
        <v>469</v>
      </c>
      <c r="H1521" s="16" t="s">
        <v>506</v>
      </c>
      <c r="I1521" s="16" t="s">
        <v>507</v>
      </c>
      <c r="J1521" s="16" t="s">
        <v>508</v>
      </c>
      <c r="K1521" s="4" t="s">
        <v>345</v>
      </c>
    </row>
    <row r="1522" customFormat="false" ht="17.15" hidden="false" customHeight="false" outlineLevel="0" collapsed="false">
      <c r="A1522" s="5" t="s">
        <v>526</v>
      </c>
    </row>
    <row r="1523" customFormat="false" ht="17.15" hidden="false" customHeight="false" outlineLevel="0" collapsed="false">
      <c r="A1523" s="3" t="s">
        <v>527</v>
      </c>
      <c r="B1523" s="3" t="s">
        <v>64</v>
      </c>
      <c r="D1523" s="22" t="n">
        <f aca="false">cap_26</f>
        <v>5230.46851955216</v>
      </c>
      <c r="E1523" s="22" t="n">
        <f aca="false">D1523*(1+capg27)*cap_adj</f>
        <v>5439.68726033425</v>
      </c>
      <c r="F1523" s="22" t="n">
        <f aca="false">E1523*(1+capg28)</f>
        <v>5820.46536855765</v>
      </c>
      <c r="G1523" s="22" t="n">
        <f aca="false">F1523*(1+capg29)</f>
        <v>6227.89794435668</v>
      </c>
    </row>
    <row r="1524" customFormat="false" ht="15" hidden="false" customHeight="false" outlineLevel="0" collapsed="false">
      <c r="A1524" s="3" t="s">
        <v>528</v>
      </c>
      <c r="B1524" s="0" t="s">
        <v>69</v>
      </c>
      <c r="D1524" s="21" t="n">
        <f aca="false">a26_ship/cap_26</f>
        <v>0.870578781414787</v>
      </c>
      <c r="E1524" s="21" t="n">
        <f aca="false">MIN(0.98,ut27_C+ut_adj)</f>
        <v>0.82</v>
      </c>
      <c r="F1524" s="21" t="n">
        <f aca="false">MIN(0.98,ut28_C+ut_adj)</f>
        <v>0.76</v>
      </c>
      <c r="G1524" s="21" t="n">
        <f aca="false">MIN(0.98,ut29_C+ut_adj)</f>
        <v>0.8</v>
      </c>
    </row>
    <row r="1525" customFormat="false" ht="17.15" hidden="false" customHeight="false" outlineLevel="0" collapsed="false">
      <c r="A1525" s="3" t="s">
        <v>529</v>
      </c>
      <c r="B1525" s="3" t="s">
        <v>64</v>
      </c>
      <c r="D1525" s="22" t="n">
        <f aca="false">D1523*D1524</f>
        <v>4553.53490998013</v>
      </c>
      <c r="E1525" s="22" t="n">
        <f aca="false">E1523*E1524</f>
        <v>4460.54355347409</v>
      </c>
      <c r="F1525" s="22" t="n">
        <f aca="false">F1523*F1524</f>
        <v>4423.55368010381</v>
      </c>
      <c r="G1525" s="22" t="n">
        <f aca="false">G1523*G1524</f>
        <v>4982.31835548535</v>
      </c>
    </row>
    <row r="1526" customFormat="false" ht="17.15" hidden="false" customHeight="false" outlineLevel="0" collapsed="false">
      <c r="A1526" s="3" t="s">
        <v>530</v>
      </c>
      <c r="B1526" s="0" t="s">
        <v>109</v>
      </c>
      <c r="D1526" s="22" t="n">
        <f aca="false">asp_26</f>
        <v>1878.17486396824</v>
      </c>
      <c r="E1526" s="22" t="n">
        <f aca="false">D1526*(1+asp27_C)*(1+asp_adj)</f>
        <v>1878.17486396824</v>
      </c>
      <c r="F1526" s="22" t="n">
        <f aca="false">E1526*(1+asp28_C)</f>
        <v>1765.48437213015</v>
      </c>
      <c r="G1526" s="22" t="n">
        <f aca="false">F1526*(1+asp29_C)</f>
        <v>1712.51984096625</v>
      </c>
    </row>
    <row r="1527" customFormat="false" ht="15" hidden="false" customHeight="false" outlineLevel="0" collapsed="false">
      <c r="A1527" s="3" t="s">
        <v>531</v>
      </c>
      <c r="B1527" s="0" t="s">
        <v>69</v>
      </c>
      <c r="E1527" s="21" t="n">
        <f aca="false">E1526/D1526-1</f>
        <v>0</v>
      </c>
      <c r="F1527" s="21" t="n">
        <f aca="false">F1526/E1526-1</f>
        <v>-0.0599999999999999</v>
      </c>
      <c r="G1527" s="21" t="n">
        <f aca="false">G1526/F1526-1</f>
        <v>-0.0299999999999999</v>
      </c>
    </row>
    <row r="1528" customFormat="false" ht="15" hidden="false" customHeight="false" outlineLevel="0" collapsed="false">
      <c r="A1528" s="3" t="s">
        <v>532</v>
      </c>
      <c r="B1528" s="0" t="s">
        <v>35</v>
      </c>
      <c r="D1528" s="23" t="n">
        <f aca="false">fx_26</f>
        <v>31.6</v>
      </c>
      <c r="E1528" s="23" t="n">
        <f aca="false">fx</f>
        <v>32</v>
      </c>
      <c r="F1528" s="23" t="n">
        <f aca="false">fx</f>
        <v>32</v>
      </c>
      <c r="G1528" s="23" t="n">
        <f aca="false">fx</f>
        <v>32</v>
      </c>
    </row>
    <row r="1529" customFormat="false" ht="17.15" hidden="false" customHeight="false" outlineLevel="0" collapsed="false">
      <c r="A1529" s="3" t="s">
        <v>533</v>
      </c>
      <c r="B1529" s="0" t="s">
        <v>181</v>
      </c>
      <c r="D1529" s="23" t="n">
        <f aca="false">D1525*D1526*D1528/1000000</f>
        <v>270.25378</v>
      </c>
      <c r="E1529" s="23" t="n">
        <f aca="false">E1525*E1526*E1528/1000000</f>
        <v>268.08578501666</v>
      </c>
      <c r="F1529" s="23" t="n">
        <f aca="false">F1525*F1526*F1528/1000000</f>
        <v>249.910876528067</v>
      </c>
      <c r="G1529" s="23" t="n">
        <f aca="false">G1525*G1526*G1528/1000000</f>
        <v>273.034209208927</v>
      </c>
    </row>
    <row r="1530" customFormat="false" ht="17.15" hidden="false" customHeight="false" outlineLevel="0" collapsed="false">
      <c r="A1530" s="5" t="s">
        <v>534</v>
      </c>
    </row>
    <row r="1531" customFormat="false" ht="17.15" hidden="false" customHeight="false" outlineLevel="0" collapsed="false">
      <c r="A1531" s="0" t="s">
        <v>535</v>
      </c>
      <c r="B1531" s="0" t="s">
        <v>138</v>
      </c>
      <c r="D1531" s="25" t="n">
        <f aca="false">ai_26</f>
        <v>0.3</v>
      </c>
      <c r="E1531" s="25" t="n">
        <f aca="false">D1531*(1+aig27_C)*ai_adj</f>
        <v>0.36</v>
      </c>
      <c r="F1531" s="25" t="n">
        <f aca="false">E1531*(1+aig_L)*um28_C</f>
        <v>0.3132</v>
      </c>
      <c r="G1531" s="25" t="n">
        <f aca="false">F1531/um28_C*(1+aig_L)*um29_C</f>
        <v>0.45414</v>
      </c>
    </row>
    <row r="1532" customFormat="false" ht="17.15" hidden="false" customHeight="false" outlineLevel="0" collapsed="false">
      <c r="A1532" s="0" t="s">
        <v>536</v>
      </c>
      <c r="B1532" s="0" t="s">
        <v>181</v>
      </c>
      <c r="D1532" s="23" t="n">
        <f aca="false">D1531*D1528</f>
        <v>9.48</v>
      </c>
      <c r="E1532" s="23" t="n">
        <f aca="false">E1531*E1528</f>
        <v>11.52</v>
      </c>
      <c r="F1532" s="23" t="n">
        <f aca="false">F1531*F1528</f>
        <v>10.0224</v>
      </c>
      <c r="G1532" s="23" t="n">
        <f aca="false">G1531*G1528</f>
        <v>14.53248</v>
      </c>
    </row>
    <row r="1533" customFormat="false" ht="17.15" hidden="false" customHeight="false" outlineLevel="0" collapsed="false">
      <c r="A1533" s="0" t="s">
        <v>537</v>
      </c>
      <c r="B1533" s="0" t="s">
        <v>138</v>
      </c>
      <c r="D1533" s="25" t="n">
        <f aca="false">0</f>
        <v>0</v>
      </c>
      <c r="E1533" s="25" t="n">
        <f aca="false">int_27</f>
        <v>0</v>
      </c>
      <c r="F1533" s="25" t="n">
        <f aca="false">int28_C</f>
        <v>0</v>
      </c>
      <c r="G1533" s="25" t="n">
        <f aca="false">int29_C</f>
        <v>0.08</v>
      </c>
    </row>
    <row r="1534" customFormat="false" ht="17.15" hidden="false" customHeight="false" outlineLevel="0" collapsed="false">
      <c r="A1534" s="0" t="s">
        <v>538</v>
      </c>
      <c r="B1534" s="0" t="s">
        <v>181</v>
      </c>
      <c r="D1534" s="23" t="n">
        <f aca="false">D1533*D1528</f>
        <v>0</v>
      </c>
      <c r="E1534" s="23" t="n">
        <f aca="false">E1533*E1528</f>
        <v>0</v>
      </c>
      <c r="F1534" s="23" t="n">
        <f aca="false">F1533*F1528</f>
        <v>0</v>
      </c>
      <c r="G1534" s="23" t="n">
        <f aca="false">G1533*G1528</f>
        <v>2.56</v>
      </c>
    </row>
    <row r="1535" customFormat="false" ht="17.15" hidden="false" customHeight="false" outlineLevel="0" collapsed="false">
      <c r="A1535" s="3" t="s">
        <v>393</v>
      </c>
      <c r="B1535" s="0" t="s">
        <v>181</v>
      </c>
      <c r="C1535" s="23" t="n">
        <f aca="false">a25_rev</f>
        <v>237.553</v>
      </c>
      <c r="D1535" s="23" t="n">
        <f aca="false">D1529+D1532+D1534</f>
        <v>279.73378</v>
      </c>
      <c r="E1535" s="23" t="n">
        <f aca="false">E1529+E1532+E1534</f>
        <v>279.60578501666</v>
      </c>
      <c r="F1535" s="23" t="n">
        <f aca="false">F1529+F1532+F1534</f>
        <v>259.933276528067</v>
      </c>
      <c r="G1535" s="23" t="n">
        <f aca="false">G1529+G1532+G1534</f>
        <v>290.126689208927</v>
      </c>
      <c r="H1535" s="30" t="n">
        <f aca="false">G1535*(1+H1537)</f>
        <v>314.527952983075</v>
      </c>
      <c r="I1535" s="30" t="n">
        <f aca="false">H1535*(1+I1537)</f>
        <v>330.900005213497</v>
      </c>
      <c r="J1535" s="30" t="n">
        <f aca="false">I1535*(1+J1537)</f>
        <v>337.518005317767</v>
      </c>
      <c r="K1535" s="7" t="s">
        <v>539</v>
      </c>
    </row>
    <row r="1536" customFormat="false" ht="17.15" hidden="false" customHeight="false" outlineLevel="0" collapsed="false">
      <c r="A1536" s="0" t="s">
        <v>540</v>
      </c>
      <c r="B1536" s="0" t="s">
        <v>69</v>
      </c>
      <c r="D1536" s="21" t="n">
        <f aca="false">D1532/D1535</f>
        <v>0.0338893643806622</v>
      </c>
      <c r="E1536" s="21" t="n">
        <f aca="false">E1532/E1535</f>
        <v>0.0412008642786615</v>
      </c>
      <c r="F1536" s="21" t="n">
        <f aca="false">F1532/F1535</f>
        <v>0.0385575872926674</v>
      </c>
      <c r="G1536" s="21" t="n">
        <f aca="false">G1532/G1535</f>
        <v>0.0500901176642002</v>
      </c>
    </row>
    <row r="1537" customFormat="false" ht="15" hidden="false" customHeight="false" outlineLevel="0" collapsed="false">
      <c r="A1537" s="3" t="s">
        <v>541</v>
      </c>
      <c r="B1537" s="0" t="s">
        <v>69</v>
      </c>
      <c r="D1537" s="21" t="n">
        <f aca="false">D1535/C1535-1</f>
        <v>0.177563659478096</v>
      </c>
      <c r="E1537" s="21" t="n">
        <f aca="false">E1535/D1535-1</f>
        <v>-0.000457559981995259</v>
      </c>
      <c r="F1537" s="21" t="n">
        <f aca="false">F1535/E1535-1</f>
        <v>-0.0703580166891779</v>
      </c>
      <c r="G1537" s="21" t="n">
        <f aca="false">G1535/F1535-1</f>
        <v>0.116158319874062</v>
      </c>
      <c r="H1537" s="28" t="n">
        <f aca="false">$G1537+(fade_gC-$G1537)*1/3</f>
        <v>0.0841055465827078</v>
      </c>
      <c r="I1537" s="28" t="n">
        <f aca="false">$G1537+(fade_gC-$G1537)*2/3</f>
        <v>0.0520527732913539</v>
      </c>
      <c r="J1537" s="28" t="n">
        <f aca="false">$G1537+(fade_gC-$G1537)*3/3</f>
        <v>0.02</v>
      </c>
    </row>
    <row r="1538" customFormat="false" ht="17.15" hidden="false" customHeight="false" outlineLevel="0" collapsed="false">
      <c r="A1538" s="5" t="s">
        <v>542</v>
      </c>
    </row>
    <row r="1539" customFormat="false" ht="15" hidden="false" customHeight="false" outlineLevel="0" collapsed="false">
      <c r="A1539" s="3" t="s">
        <v>543</v>
      </c>
      <c r="B1539" s="0" t="s">
        <v>181</v>
      </c>
      <c r="D1539" s="23" t="n">
        <f aca="false">da_tot26*da_sh</f>
        <v>56.172</v>
      </c>
      <c r="E1539" s="23" t="n">
        <f aca="false">D1539*(1+dag_27+dag_adj)</f>
        <v>62.91264</v>
      </c>
      <c r="F1539" s="23" t="n">
        <f aca="false">E1539*(1+dag_28+dag_adj)</f>
        <v>69.203904</v>
      </c>
      <c r="G1539" s="23" t="n">
        <f aca="false">F1539*(1+dag_29+dag_adj)</f>
        <v>74.74021632</v>
      </c>
    </row>
    <row r="1540" customFormat="false" ht="17.15" hidden="false" customHeight="false" outlineLevel="0" collapsed="false">
      <c r="A1540" s="3" t="s">
        <v>544</v>
      </c>
      <c r="B1540" s="0" t="s">
        <v>545</v>
      </c>
      <c r="D1540" s="23" t="n">
        <f aca="false">(D1535-a26_gp-D1539-(1-m_new)*(D1532+D1534))/D1525*1000</f>
        <v>27.9465727870208</v>
      </c>
      <c r="E1540" s="23" t="n">
        <f aca="false">D1540*(1+cc_g)</f>
        <v>28.5055042427612</v>
      </c>
      <c r="F1540" s="23" t="n">
        <f aca="false">E1540*(1+cc_g)</f>
        <v>29.0756143276165</v>
      </c>
      <c r="G1540" s="23" t="n">
        <f aca="false">F1540*(1+cc_g)</f>
        <v>29.6571266141688</v>
      </c>
      <c r="K1540" s="7" t="s">
        <v>546</v>
      </c>
    </row>
    <row r="1541" customFormat="false" ht="17.15" hidden="false" customHeight="false" outlineLevel="0" collapsed="false">
      <c r="A1541" s="3" t="s">
        <v>547</v>
      </c>
      <c r="B1541" s="0" t="s">
        <v>181</v>
      </c>
      <c r="D1541" s="23" t="n">
        <f aca="false">D1540*D1525/1000</f>
        <v>127.2556948</v>
      </c>
      <c r="E1541" s="23" t="n">
        <f aca="false">E1540*E1525/1000</f>
        <v>127.150043188577</v>
      </c>
      <c r="F1541" s="23" t="n">
        <f aca="false">F1540*F1525/1000</f>
        <v>128.617540760207</v>
      </c>
      <c r="G1541" s="23" t="n">
        <f aca="false">G1540*G1525/1000</f>
        <v>147.761246300726</v>
      </c>
    </row>
    <row r="1542" customFormat="false" ht="17.15" hidden="false" customHeight="false" outlineLevel="0" collapsed="false">
      <c r="A1542" s="3" t="s">
        <v>548</v>
      </c>
      <c r="B1542" s="0" t="s">
        <v>181</v>
      </c>
      <c r="D1542" s="23" t="n">
        <f aca="false">m_new*(D1532+D1534)</f>
        <v>4.266</v>
      </c>
      <c r="E1542" s="23" t="n">
        <f aca="false">m_new*(E1532+E1534)</f>
        <v>5.184</v>
      </c>
      <c r="F1542" s="23" t="n">
        <f aca="false">m_new*(F1532+F1534)</f>
        <v>4.51008</v>
      </c>
      <c r="G1542" s="23" t="n">
        <f aca="false">m_new*(G1532+G1534)</f>
        <v>7.691616</v>
      </c>
    </row>
    <row r="1543" customFormat="false" ht="15" hidden="false" customHeight="false" outlineLevel="0" collapsed="false">
      <c r="A1543" s="3" t="s">
        <v>411</v>
      </c>
      <c r="B1543" s="0" t="s">
        <v>181</v>
      </c>
      <c r="C1543" s="23" t="n">
        <f aca="false">a25_gp</f>
        <v>68.906</v>
      </c>
      <c r="D1543" s="23" t="n">
        <f aca="false">D1529-D1539-D1541+D1542</f>
        <v>91.0920852</v>
      </c>
      <c r="E1543" s="23" t="n">
        <f aca="false">E1529-E1539-E1541+E1542</f>
        <v>83.2071018280829</v>
      </c>
      <c r="F1543" s="23" t="n">
        <f aca="false">F1529-F1539-F1541+F1542</f>
        <v>56.59951176786</v>
      </c>
      <c r="G1543" s="23" t="n">
        <f aca="false">G1529-G1539-G1541+G1542</f>
        <v>58.2243625882008</v>
      </c>
    </row>
    <row r="1544" customFormat="false" ht="15" hidden="false" customHeight="false" outlineLevel="0" collapsed="false">
      <c r="A1544" s="3" t="s">
        <v>413</v>
      </c>
      <c r="B1544" s="0" t="s">
        <v>69</v>
      </c>
      <c r="C1544" s="15" t="n">
        <f aca="false">C1543/C1535</f>
        <v>0.290065795843454</v>
      </c>
      <c r="D1544" s="15" t="n">
        <f aca="false">D1543/D1535</f>
        <v>0.325638488136828</v>
      </c>
      <c r="E1544" s="15" t="n">
        <f aca="false">E1543/E1535</f>
        <v>0.297587196999966</v>
      </c>
      <c r="F1544" s="15" t="n">
        <f aca="false">F1543/F1535</f>
        <v>0.217746309837127</v>
      </c>
      <c r="G1544" s="15" t="n">
        <f aca="false">G1543/G1535</f>
        <v>0.200685992546767</v>
      </c>
    </row>
    <row r="1545" customFormat="false" ht="15" hidden="false" customHeight="false" outlineLevel="0" collapsed="false">
      <c r="A1545" s="3" t="s">
        <v>415</v>
      </c>
      <c r="B1545" s="0" t="s">
        <v>181</v>
      </c>
      <c r="C1545" s="23" t="n">
        <f aca="false">a25_opx</f>
        <v>25.056</v>
      </c>
      <c r="D1545" s="23" t="n">
        <f aca="false">a26_opx</f>
        <v>27.23586</v>
      </c>
      <c r="E1545" s="23" t="n">
        <f aca="false">D1545*(1+MAX(g_opx_min,phi_lo*E1537))</f>
        <v>28.0529358</v>
      </c>
      <c r="F1545" s="23" t="n">
        <f aca="false">E1545*(1+MAX(g_opx_min,phi_lo*F1537))</f>
        <v>28.894523874</v>
      </c>
      <c r="G1545" s="23" t="n">
        <f aca="false">F1545*(1+MAX(g_opx_min,phi_lo*G1537))</f>
        <v>29.9014256780295</v>
      </c>
    </row>
    <row r="1546" customFormat="false" ht="15" hidden="false" customHeight="false" outlineLevel="0" collapsed="false">
      <c r="A1546" s="3" t="s">
        <v>418</v>
      </c>
      <c r="B1546" s="0" t="s">
        <v>181</v>
      </c>
      <c r="C1546" s="23" t="n">
        <f aca="false">C1543-C1545</f>
        <v>43.85</v>
      </c>
      <c r="D1546" s="23" t="n">
        <f aca="false">D1543-D1545</f>
        <v>63.8562252</v>
      </c>
      <c r="E1546" s="23" t="n">
        <f aca="false">E1543-E1545</f>
        <v>55.1541660280829</v>
      </c>
      <c r="F1546" s="23" t="n">
        <f aca="false">F1543-F1545</f>
        <v>27.70498789386</v>
      </c>
      <c r="G1546" s="23" t="n">
        <f aca="false">G1543-G1545</f>
        <v>28.3229369101714</v>
      </c>
    </row>
    <row r="1547" customFormat="false" ht="15" hidden="false" customHeight="false" outlineLevel="0" collapsed="false">
      <c r="A1547" s="3" t="s">
        <v>515</v>
      </c>
      <c r="B1547" s="0" t="s">
        <v>69</v>
      </c>
      <c r="C1547" s="15" t="n">
        <f aca="false">C1546/C1535</f>
        <v>0.184590386145408</v>
      </c>
      <c r="D1547" s="15" t="n">
        <f aca="false">D1546/D1535</f>
        <v>0.228274987740129</v>
      </c>
      <c r="E1547" s="15" t="n">
        <f aca="false">E1546/E1535</f>
        <v>0.197256884455365</v>
      </c>
      <c r="F1547" s="15" t="n">
        <f aca="false">F1546/F1535</f>
        <v>0.106584998519297</v>
      </c>
      <c r="G1547" s="15" t="n">
        <f aca="false">G1546/G1535</f>
        <v>0.0976226523226733</v>
      </c>
    </row>
    <row r="1548" customFormat="false" ht="15" hidden="false" customHeight="false" outlineLevel="0" collapsed="false">
      <c r="A1548" s="3" t="s">
        <v>421</v>
      </c>
      <c r="B1548" s="0" t="s">
        <v>181</v>
      </c>
      <c r="C1548" s="23" t="n">
        <f aca="false">a25_nonop</f>
        <v>5.805</v>
      </c>
      <c r="D1548" s="23" t="n">
        <f aca="false">a26_nonop</f>
        <v>38.372</v>
      </c>
      <c r="E1548" s="23" t="n">
        <f aca="false">nonop_f</f>
        <v>4</v>
      </c>
      <c r="F1548" s="23" t="n">
        <f aca="false">nonop_f</f>
        <v>4</v>
      </c>
      <c r="G1548" s="23" t="n">
        <f aca="false">nonop_f</f>
        <v>4</v>
      </c>
    </row>
    <row r="1549" customFormat="false" ht="15" hidden="false" customHeight="false" outlineLevel="0" collapsed="false">
      <c r="A1549" s="3" t="s">
        <v>423</v>
      </c>
      <c r="B1549" s="0" t="s">
        <v>181</v>
      </c>
      <c r="C1549" s="23" t="n">
        <f aca="false">C1546+C1548</f>
        <v>49.655</v>
      </c>
      <c r="D1549" s="23" t="n">
        <f aca="false">D1546+D1548</f>
        <v>102.2282252</v>
      </c>
      <c r="E1549" s="23" t="n">
        <f aca="false">E1546+E1548</f>
        <v>59.1541660280829</v>
      </c>
      <c r="F1549" s="23" t="n">
        <f aca="false">F1546+F1548</f>
        <v>31.70498789386</v>
      </c>
      <c r="G1549" s="23" t="n">
        <f aca="false">G1546+G1548</f>
        <v>32.3229369101714</v>
      </c>
    </row>
    <row r="1550" customFormat="false" ht="15" hidden="false" customHeight="false" outlineLevel="0" collapsed="false">
      <c r="A1550" s="3" t="s">
        <v>425</v>
      </c>
      <c r="B1550" s="0" t="s">
        <v>181</v>
      </c>
      <c r="C1550" s="23" t="n">
        <f aca="false">a25_tax</f>
        <v>7.939</v>
      </c>
      <c r="D1550" s="23" t="n">
        <f aca="false">a26_tax</f>
        <v>10.493828284</v>
      </c>
      <c r="E1550" s="23" t="n">
        <f aca="false">E1549*tax</f>
        <v>8.87312490421244</v>
      </c>
      <c r="F1550" s="23" t="n">
        <f aca="false">F1549*tax</f>
        <v>4.75574818407899</v>
      </c>
      <c r="G1550" s="23" t="n">
        <f aca="false">G1549*tax</f>
        <v>4.84844053652571</v>
      </c>
    </row>
    <row r="1551" customFormat="false" ht="17.15" hidden="false" customHeight="false" outlineLevel="0" collapsed="false">
      <c r="A1551" s="3" t="s">
        <v>549</v>
      </c>
      <c r="B1551" s="0" t="s">
        <v>181</v>
      </c>
      <c r="C1551" s="23" t="n">
        <f aca="false">a25_mi</f>
        <v>0</v>
      </c>
      <c r="D1551" s="23" t="n">
        <f aca="false">a26_mi</f>
        <v>-0.134999999999987</v>
      </c>
      <c r="E1551" s="23" t="n">
        <f aca="false">0</f>
        <v>0</v>
      </c>
      <c r="F1551" s="23" t="n">
        <f aca="false">0</f>
        <v>0</v>
      </c>
      <c r="G1551" s="23" t="n">
        <f aca="false">0</f>
        <v>0</v>
      </c>
      <c r="K1551" s="7" t="s">
        <v>550</v>
      </c>
    </row>
    <row r="1552" customFormat="false" ht="15" hidden="false" customHeight="false" outlineLevel="0" collapsed="false">
      <c r="A1552" s="3" t="s">
        <v>428</v>
      </c>
      <c r="B1552" s="0" t="s">
        <v>181</v>
      </c>
      <c r="C1552" s="23" t="n">
        <f aca="false">C1549-C1550-C1551</f>
        <v>41.716</v>
      </c>
      <c r="D1552" s="23" t="n">
        <f aca="false">D1549-D1550-D1551</f>
        <v>91.869396916</v>
      </c>
      <c r="E1552" s="23" t="n">
        <f aca="false">E1549-E1550-E1551</f>
        <v>50.2810411238705</v>
      </c>
      <c r="F1552" s="23" t="n">
        <f aca="false">F1549-F1550-F1551</f>
        <v>26.949239709781</v>
      </c>
      <c r="G1552" s="23" t="n">
        <f aca="false">G1549-G1550-G1551</f>
        <v>27.4744963736457</v>
      </c>
      <c r="H1552" s="30" t="n">
        <f aca="false">H1535*H1556</f>
        <v>27.7995703143534</v>
      </c>
      <c r="I1552" s="30" t="n">
        <f aca="false">I1535*I1556</f>
        <v>27.1575711137004</v>
      </c>
      <c r="J1552" s="30" t="n">
        <f aca="false">J1535*J1556</f>
        <v>25.5698977255148</v>
      </c>
    </row>
    <row r="1553" customFormat="false" ht="15" hidden="false" customHeight="false" outlineLevel="0" collapsed="false">
      <c r="A1553" s="3" t="s">
        <v>551</v>
      </c>
      <c r="B1553" s="3" t="s">
        <v>250</v>
      </c>
      <c r="C1553" s="9" t="n">
        <f aca="false">a25_sh</f>
        <v>12.4898203592814</v>
      </c>
      <c r="D1553" s="9" t="n">
        <f aca="false">a26_sh</f>
        <v>12.4754339027235</v>
      </c>
      <c r="E1553" s="9" t="n">
        <f aca="false">q_sh*(1+sh_g)</f>
        <v>12.45</v>
      </c>
      <c r="F1553" s="9" t="n">
        <f aca="false">E1553*(1+sh_g)</f>
        <v>12.45</v>
      </c>
      <c r="G1553" s="9" t="n">
        <f aca="false">F1553*(1+sh_g)</f>
        <v>12.45</v>
      </c>
      <c r="H1553" s="32" t="n">
        <f aca="false">G1553*(1+sh_g)</f>
        <v>12.45</v>
      </c>
      <c r="I1553" s="32" t="n">
        <f aca="false">H1553*(1+sh_g)</f>
        <v>12.45</v>
      </c>
      <c r="J1553" s="32" t="n">
        <f aca="false">I1553*(1+sh_g)</f>
        <v>12.45</v>
      </c>
    </row>
    <row r="1554" customFormat="false" ht="17.15" hidden="false" customHeight="false" outlineLevel="0" collapsed="false">
      <c r="A1554" s="0" t="s">
        <v>434</v>
      </c>
      <c r="B1554" s="0" t="s">
        <v>260</v>
      </c>
      <c r="C1554" s="23" t="n">
        <f aca="false">C1552/C1553</f>
        <v>3.34</v>
      </c>
      <c r="D1554" s="23" t="n">
        <f aca="false">D1552/D1553</f>
        <v>7.36402418002826</v>
      </c>
      <c r="E1554" s="23" t="n">
        <f aca="false">E1552/E1553</f>
        <v>4.03863784127474</v>
      </c>
      <c r="F1554" s="23" t="n">
        <f aca="false">F1552/F1553</f>
        <v>2.16459756705068</v>
      </c>
      <c r="G1554" s="23" t="n">
        <f aca="false">G1552/G1553</f>
        <v>2.20678685732094</v>
      </c>
      <c r="H1554" s="30" t="n">
        <f aca="false">H1552/H1553</f>
        <v>2.23289721400429</v>
      </c>
      <c r="I1554" s="30" t="n">
        <f aca="false">I1552/I1553</f>
        <v>2.18133101314862</v>
      </c>
      <c r="J1554" s="30" t="n">
        <f aca="false">J1552/J1553</f>
        <v>2.05380704622609</v>
      </c>
    </row>
    <row r="1555" customFormat="false" ht="17.15" hidden="false" customHeight="false" outlineLevel="0" collapsed="false">
      <c r="A1555" s="0" t="s">
        <v>552</v>
      </c>
      <c r="B1555" s="0" t="s">
        <v>69</v>
      </c>
      <c r="D1555" s="21" t="n">
        <f aca="false">D1554/C1554-1</f>
        <v>1.2047976586911</v>
      </c>
      <c r="E1555" s="21" t="n">
        <f aca="false">E1554/D1554-1</f>
        <v>-0.451571892956599</v>
      </c>
      <c r="F1555" s="21" t="n">
        <f aca="false">F1554/E1554-1</f>
        <v>-0.464027810335315</v>
      </c>
      <c r="G1555" s="21" t="n">
        <f aca="false">G1554/F1554-1</f>
        <v>0.0194905930379206</v>
      </c>
      <c r="H1555" s="28" t="n">
        <f aca="false">H1554/G1554-1</f>
        <v>0.0118318434771942</v>
      </c>
      <c r="I1555" s="28" t="n">
        <f aca="false">I1554/H1554-1</f>
        <v>-0.0230938533723144</v>
      </c>
      <c r="J1555" s="28" t="n">
        <f aca="false">J1554/I1554-1</f>
        <v>-0.0584615384615385</v>
      </c>
    </row>
    <row r="1556" customFormat="false" ht="17.15" hidden="false" customHeight="false" outlineLevel="0" collapsed="false">
      <c r="A1556" s="3" t="s">
        <v>553</v>
      </c>
      <c r="B1556" s="0" t="s">
        <v>69</v>
      </c>
      <c r="C1556" s="15" t="n">
        <f aca="false">C1552/C1535</f>
        <v>0.175607127672562</v>
      </c>
      <c r="D1556" s="15" t="n">
        <f aca="false">D1552/D1535</f>
        <v>0.328417243409073</v>
      </c>
      <c r="E1556" s="15" t="n">
        <f aca="false">E1552/E1535</f>
        <v>0.179828329091526</v>
      </c>
      <c r="F1556" s="15" t="n">
        <f aca="false">F1552/F1535</f>
        <v>0.103677528594039</v>
      </c>
      <c r="G1556" s="15" t="n">
        <f aca="false">G1552/G1535</f>
        <v>0.0946982728426637</v>
      </c>
      <c r="H1556" s="29" t="n">
        <f aca="false">$G1556+($G$1556*0.8-$G1556)*1/3</f>
        <v>0.0883850546531528</v>
      </c>
      <c r="I1556" s="29" t="n">
        <f aca="false">$G1556+($G$1556*0.8-$G1556)*2/3</f>
        <v>0.0820718364636419</v>
      </c>
      <c r="J1556" s="29" t="n">
        <f aca="false">$G1556+($G$1556*0.8-$G1556)*3/3</f>
        <v>0.075758618274131</v>
      </c>
    </row>
    <row r="1559" customFormat="false" ht="17.15" hidden="false" customHeight="false" outlineLevel="0" collapsed="false">
      <c r="A1559" s="1" t="s">
        <v>876</v>
      </c>
    </row>
    <row r="1560" customFormat="false" ht="17.15" hidden="false" customHeight="false" outlineLevel="0" collapsed="false">
      <c r="A1560" s="4" t="s">
        <v>24</v>
      </c>
      <c r="B1560" s="4" t="s">
        <v>25</v>
      </c>
      <c r="C1560" s="16" t="s">
        <v>387</v>
      </c>
      <c r="D1560" s="16" t="s">
        <v>505</v>
      </c>
      <c r="E1560" s="16" t="s">
        <v>467</v>
      </c>
      <c r="F1560" s="16" t="s">
        <v>468</v>
      </c>
      <c r="G1560" s="16" t="s">
        <v>469</v>
      </c>
      <c r="H1560" s="16" t="s">
        <v>506</v>
      </c>
      <c r="I1560" s="16" t="s">
        <v>507</v>
      </c>
      <c r="J1560" s="16" t="s">
        <v>508</v>
      </c>
      <c r="K1560" s="4" t="s">
        <v>345</v>
      </c>
    </row>
    <row r="1561" customFormat="false" ht="17.15" hidden="false" customHeight="false" outlineLevel="0" collapsed="false">
      <c r="A1561" s="5" t="s">
        <v>526</v>
      </c>
    </row>
    <row r="1562" customFormat="false" ht="17.15" hidden="false" customHeight="false" outlineLevel="0" collapsed="false">
      <c r="A1562" s="3" t="s">
        <v>527</v>
      </c>
      <c r="B1562" s="3" t="s">
        <v>64</v>
      </c>
      <c r="D1562" s="22" t="n">
        <f aca="false">cap_26</f>
        <v>5230.46851955216</v>
      </c>
      <c r="E1562" s="22" t="n">
        <f aca="false">D1562*(1+capg27)*cap_adj</f>
        <v>5439.68726033425</v>
      </c>
      <c r="F1562" s="22" t="n">
        <f aca="false">E1562*(1+capg28)</f>
        <v>5820.46536855765</v>
      </c>
      <c r="G1562" s="22" t="n">
        <f aca="false">F1562*(1+capg29)</f>
        <v>6227.89794435668</v>
      </c>
    </row>
    <row r="1563" customFormat="false" ht="15" hidden="false" customHeight="false" outlineLevel="0" collapsed="false">
      <c r="A1563" s="3" t="s">
        <v>528</v>
      </c>
      <c r="B1563" s="0" t="s">
        <v>69</v>
      </c>
      <c r="D1563" s="21" t="n">
        <f aca="false">a26_ship/cap_26</f>
        <v>0.870578781414787</v>
      </c>
      <c r="E1563" s="21" t="n">
        <f aca="false">MIN(0.98,ut27_A+ut_adj)</f>
        <v>0.95</v>
      </c>
      <c r="F1563" s="21" t="n">
        <f aca="false">MIN(0.98,ut28_A+ut_adj)</f>
        <v>0.94</v>
      </c>
      <c r="G1563" s="21" t="n">
        <f aca="false">MIN(0.98,ut29_A+ut_adj)</f>
        <v>0.93</v>
      </c>
    </row>
    <row r="1564" customFormat="false" ht="17.15" hidden="false" customHeight="false" outlineLevel="0" collapsed="false">
      <c r="A1564" s="3" t="s">
        <v>529</v>
      </c>
      <c r="B1564" s="3" t="s">
        <v>64</v>
      </c>
      <c r="D1564" s="22" t="n">
        <f aca="false">D1562*D1563</f>
        <v>4553.53490998013</v>
      </c>
      <c r="E1564" s="22" t="n">
        <f aca="false">E1562*E1563</f>
        <v>5167.70289731754</v>
      </c>
      <c r="F1564" s="22" t="n">
        <f aca="false">F1562*F1563</f>
        <v>5471.23744644419</v>
      </c>
      <c r="G1564" s="22" t="n">
        <f aca="false">G1562*G1563</f>
        <v>5791.94508825172</v>
      </c>
    </row>
    <row r="1565" customFormat="false" ht="17.15" hidden="false" customHeight="false" outlineLevel="0" collapsed="false">
      <c r="A1565" s="3" t="s">
        <v>530</v>
      </c>
      <c r="B1565" s="0" t="s">
        <v>109</v>
      </c>
      <c r="D1565" s="22" t="n">
        <f aca="false">asp_26</f>
        <v>1878.17486396824</v>
      </c>
      <c r="E1565" s="22" t="n">
        <f aca="false">D1565*(1+asp27_A)*(1+asp_adj)</f>
        <v>2065.99235036507</v>
      </c>
      <c r="F1565" s="22" t="n">
        <f aca="false">E1565*(1+asp28_A)</f>
        <v>2127.97212087602</v>
      </c>
      <c r="G1565" s="22" t="n">
        <f aca="false">F1565*(1+asp29_A)</f>
        <v>2170.53156329354</v>
      </c>
    </row>
    <row r="1566" customFormat="false" ht="15" hidden="false" customHeight="false" outlineLevel="0" collapsed="false">
      <c r="A1566" s="3" t="s">
        <v>531</v>
      </c>
      <c r="B1566" s="0" t="s">
        <v>69</v>
      </c>
      <c r="E1566" s="21" t="n">
        <f aca="false">E1565/D1565-1</f>
        <v>0.1</v>
      </c>
      <c r="F1566" s="21" t="n">
        <f aca="false">F1565/E1565-1</f>
        <v>0.03</v>
      </c>
      <c r="G1566" s="21" t="n">
        <f aca="false">G1565/F1565-1</f>
        <v>0.02</v>
      </c>
    </row>
    <row r="1567" customFormat="false" ht="15" hidden="false" customHeight="false" outlineLevel="0" collapsed="false">
      <c r="A1567" s="3" t="s">
        <v>532</v>
      </c>
      <c r="B1567" s="0" t="s">
        <v>35</v>
      </c>
      <c r="D1567" s="23" t="n">
        <f aca="false">fx_26</f>
        <v>31.6</v>
      </c>
      <c r="E1567" s="23" t="n">
        <f aca="false">fx</f>
        <v>32</v>
      </c>
      <c r="F1567" s="23" t="n">
        <f aca="false">fx</f>
        <v>32</v>
      </c>
      <c r="G1567" s="23" t="n">
        <f aca="false">fx</f>
        <v>32</v>
      </c>
    </row>
    <row r="1568" customFormat="false" ht="17.15" hidden="false" customHeight="false" outlineLevel="0" collapsed="false">
      <c r="A1568" s="3" t="s">
        <v>533</v>
      </c>
      <c r="B1568" s="0" t="s">
        <v>181</v>
      </c>
      <c r="D1568" s="23" t="n">
        <f aca="false">D1564*D1565*D1567/1000000</f>
        <v>270.25378</v>
      </c>
      <c r="E1568" s="23" t="n">
        <f aca="false">E1564*E1565*E1567/1000000</f>
        <v>341.645908954158</v>
      </c>
      <c r="F1568" s="23" t="n">
        <f aca="false">F1564*F1565*F1567/1000000</f>
        <v>372.564504087237</v>
      </c>
      <c r="G1568" s="23" t="n">
        <f aca="false">G1564*G1565*G1567/1000000</f>
        <v>402.291188061227</v>
      </c>
    </row>
    <row r="1569" customFormat="false" ht="17.15" hidden="false" customHeight="false" outlineLevel="0" collapsed="false">
      <c r="A1569" s="5" t="s">
        <v>534</v>
      </c>
    </row>
    <row r="1570" customFormat="false" ht="17.15" hidden="false" customHeight="false" outlineLevel="0" collapsed="false">
      <c r="A1570" s="0" t="s">
        <v>535</v>
      </c>
      <c r="B1570" s="0" t="s">
        <v>138</v>
      </c>
      <c r="D1570" s="25" t="n">
        <f aca="false">ai_26</f>
        <v>0.3</v>
      </c>
      <c r="E1570" s="25" t="n">
        <f aca="false">D1570*(1+aig27_A)*ai_adj</f>
        <v>0.48</v>
      </c>
      <c r="F1570" s="25" t="n">
        <f aca="false">E1570*(1+aig_L)*um28_A</f>
        <v>0.696</v>
      </c>
      <c r="G1570" s="25" t="n">
        <f aca="false">F1570/um28_A*(1+aig_L)*um29_A</f>
        <v>1.0092</v>
      </c>
    </row>
    <row r="1571" customFormat="false" ht="17.15" hidden="false" customHeight="false" outlineLevel="0" collapsed="false">
      <c r="A1571" s="0" t="s">
        <v>536</v>
      </c>
      <c r="B1571" s="0" t="s">
        <v>181</v>
      </c>
      <c r="D1571" s="23" t="n">
        <f aca="false">D1570*D1567</f>
        <v>9.48</v>
      </c>
      <c r="E1571" s="23" t="n">
        <f aca="false">E1570*E1567</f>
        <v>15.36</v>
      </c>
      <c r="F1571" s="23" t="n">
        <f aca="false">F1570*F1567</f>
        <v>22.272</v>
      </c>
      <c r="G1571" s="23" t="n">
        <f aca="false">G1570*G1567</f>
        <v>32.2944</v>
      </c>
    </row>
    <row r="1572" customFormat="false" ht="17.15" hidden="false" customHeight="false" outlineLevel="0" collapsed="false">
      <c r="A1572" s="0" t="s">
        <v>537</v>
      </c>
      <c r="B1572" s="0" t="s">
        <v>138</v>
      </c>
      <c r="D1572" s="25" t="n">
        <f aca="false">0</f>
        <v>0</v>
      </c>
      <c r="E1572" s="25" t="n">
        <f aca="false">int_27</f>
        <v>0</v>
      </c>
      <c r="F1572" s="25" t="n">
        <f aca="false">int28_A</f>
        <v>0.25</v>
      </c>
      <c r="G1572" s="25" t="n">
        <f aca="false">int29_A</f>
        <v>0.5</v>
      </c>
    </row>
    <row r="1573" customFormat="false" ht="17.15" hidden="false" customHeight="false" outlineLevel="0" collapsed="false">
      <c r="A1573" s="0" t="s">
        <v>538</v>
      </c>
      <c r="B1573" s="0" t="s">
        <v>181</v>
      </c>
      <c r="D1573" s="23" t="n">
        <f aca="false">D1572*D1567</f>
        <v>0</v>
      </c>
      <c r="E1573" s="23" t="n">
        <f aca="false">E1572*E1567</f>
        <v>0</v>
      </c>
      <c r="F1573" s="23" t="n">
        <f aca="false">F1572*F1567</f>
        <v>8</v>
      </c>
      <c r="G1573" s="23" t="n">
        <f aca="false">G1572*G1567</f>
        <v>16</v>
      </c>
    </row>
    <row r="1574" customFormat="false" ht="17.15" hidden="false" customHeight="false" outlineLevel="0" collapsed="false">
      <c r="A1574" s="3" t="s">
        <v>393</v>
      </c>
      <c r="B1574" s="0" t="s">
        <v>181</v>
      </c>
      <c r="C1574" s="23" t="n">
        <f aca="false">a25_rev</f>
        <v>237.553</v>
      </c>
      <c r="D1574" s="23" t="n">
        <f aca="false">D1568+D1571+D1573</f>
        <v>279.73378</v>
      </c>
      <c r="E1574" s="23" t="n">
        <f aca="false">E1568+E1571+E1573</f>
        <v>357.005908954158</v>
      </c>
      <c r="F1574" s="23" t="n">
        <f aca="false">F1568+F1571+F1573</f>
        <v>402.836504087237</v>
      </c>
      <c r="G1574" s="23" t="n">
        <f aca="false">G1568+G1571+G1573</f>
        <v>450.585588061227</v>
      </c>
      <c r="H1574" s="30" t="n">
        <f aca="false">G1574*(1+H1576)</f>
        <v>495.203224084546</v>
      </c>
      <c r="I1574" s="30" t="n">
        <f aca="false">H1574*(1+I1576)</f>
        <v>534.577190214366</v>
      </c>
      <c r="J1574" s="30" t="n">
        <f aca="false">I1574*(1+J1576)</f>
        <v>566.651821627228</v>
      </c>
      <c r="K1574" s="7" t="s">
        <v>539</v>
      </c>
    </row>
    <row r="1575" customFormat="false" ht="17.15" hidden="false" customHeight="false" outlineLevel="0" collapsed="false">
      <c r="A1575" s="0" t="s">
        <v>540</v>
      </c>
      <c r="B1575" s="0" t="s">
        <v>69</v>
      </c>
      <c r="D1575" s="21" t="n">
        <f aca="false">D1571/D1574</f>
        <v>0.0338893643806622</v>
      </c>
      <c r="E1575" s="21" t="n">
        <f aca="false">E1571/E1574</f>
        <v>0.0430244979557813</v>
      </c>
      <c r="F1575" s="21" t="n">
        <f aca="false">F1571/F1574</f>
        <v>0.0552879388387723</v>
      </c>
      <c r="G1575" s="21" t="n">
        <f aca="false">G1571/G1574</f>
        <v>0.0716720659862999</v>
      </c>
    </row>
    <row r="1576" customFormat="false" ht="15" hidden="false" customHeight="false" outlineLevel="0" collapsed="false">
      <c r="A1576" s="3" t="s">
        <v>541</v>
      </c>
      <c r="B1576" s="0" t="s">
        <v>69</v>
      </c>
      <c r="D1576" s="21" t="n">
        <f aca="false">D1574/C1574-1</f>
        <v>0.177563659478096</v>
      </c>
      <c r="E1576" s="21" t="n">
        <f aca="false">E1574/D1574-1</f>
        <v>0.276234528965926</v>
      </c>
      <c r="F1576" s="21" t="n">
        <f aca="false">F1574/E1574-1</f>
        <v>0.128374892357772</v>
      </c>
      <c r="G1576" s="21" t="n">
        <f aca="false">G1574/F1574-1</f>
        <v>0.118532167491082</v>
      </c>
      <c r="H1576" s="28" t="n">
        <f aca="false">$G1576+(fade_gA-$G1576)*1/3</f>
        <v>0.099021444994055</v>
      </c>
      <c r="I1576" s="28" t="n">
        <f aca="false">$G1576+(fade_gA-$G1576)*2/3</f>
        <v>0.0795107224970275</v>
      </c>
      <c r="J1576" s="28" t="n">
        <f aca="false">$G1576+(fade_gA-$G1576)*3/3</f>
        <v>0.06</v>
      </c>
    </row>
    <row r="1577" customFormat="false" ht="17.15" hidden="false" customHeight="false" outlineLevel="0" collapsed="false">
      <c r="A1577" s="5" t="s">
        <v>542</v>
      </c>
    </row>
    <row r="1578" customFormat="false" ht="15" hidden="false" customHeight="false" outlineLevel="0" collapsed="false">
      <c r="A1578" s="3" t="s">
        <v>543</v>
      </c>
      <c r="B1578" s="0" t="s">
        <v>181</v>
      </c>
      <c r="D1578" s="23" t="n">
        <f aca="false">da_tot26*da_sh</f>
        <v>56.172</v>
      </c>
      <c r="E1578" s="23" t="n">
        <f aca="false">D1578*(1+dag_27+dag_adj)</f>
        <v>62.91264</v>
      </c>
      <c r="F1578" s="23" t="n">
        <f aca="false">E1578*(1+dag_28+dag_adj)</f>
        <v>69.203904</v>
      </c>
      <c r="G1578" s="23" t="n">
        <f aca="false">F1578*(1+dag_29+dag_adj)</f>
        <v>74.74021632</v>
      </c>
    </row>
    <row r="1579" customFormat="false" ht="17.15" hidden="false" customHeight="false" outlineLevel="0" collapsed="false">
      <c r="A1579" s="3" t="s">
        <v>544</v>
      </c>
      <c r="B1579" s="0" t="s">
        <v>545</v>
      </c>
      <c r="D1579" s="23" t="n">
        <f aca="false">(D1574-a26_gp-D1578-(1-m_new)*(D1571+D1573))/D1564*1000</f>
        <v>27.9465727870208</v>
      </c>
      <c r="E1579" s="23" t="n">
        <f aca="false">D1579*(1+cc_g)</f>
        <v>28.5055042427612</v>
      </c>
      <c r="F1579" s="23" t="n">
        <f aca="false">E1579*(1+cc_g)</f>
        <v>29.0756143276165</v>
      </c>
      <c r="G1579" s="23" t="n">
        <f aca="false">F1579*(1+cc_g)</f>
        <v>29.6571266141688</v>
      </c>
      <c r="K1579" s="7" t="s">
        <v>546</v>
      </c>
    </row>
    <row r="1580" customFormat="false" ht="17.15" hidden="false" customHeight="false" outlineLevel="0" collapsed="false">
      <c r="A1580" s="3" t="s">
        <v>547</v>
      </c>
      <c r="B1580" s="0" t="s">
        <v>181</v>
      </c>
      <c r="D1580" s="23" t="n">
        <f aca="false">D1579*D1564/1000</f>
        <v>127.2556948</v>
      </c>
      <c r="E1580" s="23" t="n">
        <f aca="false">E1579*E1564/1000</f>
        <v>147.307976864815</v>
      </c>
      <c r="F1580" s="23" t="n">
        <f aca="false">F1579*F1564/1000</f>
        <v>159.079589887624</v>
      </c>
      <c r="G1580" s="23" t="n">
        <f aca="false">G1579*G1564/1000</f>
        <v>171.772448824594</v>
      </c>
    </row>
    <row r="1581" customFormat="false" ht="17.15" hidden="false" customHeight="false" outlineLevel="0" collapsed="false">
      <c r="A1581" s="3" t="s">
        <v>548</v>
      </c>
      <c r="B1581" s="0" t="s">
        <v>181</v>
      </c>
      <c r="D1581" s="23" t="n">
        <f aca="false">m_new*(D1571+D1573)</f>
        <v>4.266</v>
      </c>
      <c r="E1581" s="23" t="n">
        <f aca="false">m_new*(E1571+E1573)</f>
        <v>6.912</v>
      </c>
      <c r="F1581" s="23" t="n">
        <f aca="false">m_new*(F1571+F1573)</f>
        <v>13.6224</v>
      </c>
      <c r="G1581" s="23" t="n">
        <f aca="false">m_new*(G1571+G1573)</f>
        <v>21.73248</v>
      </c>
    </row>
    <row r="1582" customFormat="false" ht="15" hidden="false" customHeight="false" outlineLevel="0" collapsed="false">
      <c r="A1582" s="3" t="s">
        <v>411</v>
      </c>
      <c r="B1582" s="0" t="s">
        <v>181</v>
      </c>
      <c r="C1582" s="23" t="n">
        <f aca="false">a25_gp</f>
        <v>68.906</v>
      </c>
      <c r="D1582" s="23" t="n">
        <f aca="false">D1568-D1578-D1580+D1581</f>
        <v>91.0920852</v>
      </c>
      <c r="E1582" s="23" t="n">
        <f aca="false">E1568-E1578-E1580+E1581</f>
        <v>138.337292089343</v>
      </c>
      <c r="F1582" s="23" t="n">
        <f aca="false">F1568-F1578-F1580+F1581</f>
        <v>157.903410199612</v>
      </c>
      <c r="G1582" s="23" t="n">
        <f aca="false">G1568-G1578-G1580+G1581</f>
        <v>177.511002916633</v>
      </c>
    </row>
    <row r="1583" customFormat="false" ht="15" hidden="false" customHeight="false" outlineLevel="0" collapsed="false">
      <c r="A1583" s="3" t="s">
        <v>413</v>
      </c>
      <c r="B1583" s="0" t="s">
        <v>69</v>
      </c>
      <c r="C1583" s="15" t="n">
        <f aca="false">C1582/C1574</f>
        <v>0.290065795843454</v>
      </c>
      <c r="D1583" s="15" t="n">
        <f aca="false">D1582/D1574</f>
        <v>0.325638488136828</v>
      </c>
      <c r="E1583" s="15" t="n">
        <f aca="false">E1582/E1574</f>
        <v>0.387493003952231</v>
      </c>
      <c r="F1583" s="15" t="n">
        <f aca="false">F1582/F1574</f>
        <v>0.391978901111249</v>
      </c>
      <c r="G1583" s="15" t="n">
        <f aca="false">G1582/G1574</f>
        <v>0.39395623743854</v>
      </c>
    </row>
    <row r="1584" customFormat="false" ht="15" hidden="false" customHeight="false" outlineLevel="0" collapsed="false">
      <c r="A1584" s="3" t="s">
        <v>415</v>
      </c>
      <c r="B1584" s="0" t="s">
        <v>181</v>
      </c>
      <c r="C1584" s="23" t="n">
        <f aca="false">a25_opx</f>
        <v>25.056</v>
      </c>
      <c r="D1584" s="23" t="n">
        <f aca="false">a26_opx</f>
        <v>27.23586</v>
      </c>
      <c r="E1584" s="23" t="n">
        <f aca="false">D1584*(1+MAX(g_opx_min,phi_hi*E1576))</f>
        <v>33.2546479664655</v>
      </c>
      <c r="F1584" s="23" t="n">
        <f aca="false">E1584*(1+MAX(g_opx_min,phi_hi*F1576))</f>
        <v>36.669897448938</v>
      </c>
      <c r="G1584" s="23" t="n">
        <f aca="false">F1584*(1+MAX(g_opx_min,phi_hi*G1576))</f>
        <v>40.1471473899767</v>
      </c>
    </row>
    <row r="1585" customFormat="false" ht="15" hidden="false" customHeight="false" outlineLevel="0" collapsed="false">
      <c r="A1585" s="3" t="s">
        <v>418</v>
      </c>
      <c r="B1585" s="0" t="s">
        <v>181</v>
      </c>
      <c r="C1585" s="23" t="n">
        <f aca="false">C1582-C1584</f>
        <v>43.85</v>
      </c>
      <c r="D1585" s="23" t="n">
        <f aca="false">D1582-D1584</f>
        <v>63.8562252</v>
      </c>
      <c r="E1585" s="23" t="n">
        <f aca="false">E1582-E1584</f>
        <v>105.082644122878</v>
      </c>
      <c r="F1585" s="23" t="n">
        <f aca="false">F1582-F1584</f>
        <v>121.233512750674</v>
      </c>
      <c r="G1585" s="23" t="n">
        <f aca="false">G1582-G1584</f>
        <v>137.363855526656</v>
      </c>
    </row>
    <row r="1586" customFormat="false" ht="15" hidden="false" customHeight="false" outlineLevel="0" collapsed="false">
      <c r="A1586" s="3" t="s">
        <v>515</v>
      </c>
      <c r="B1586" s="0" t="s">
        <v>69</v>
      </c>
      <c r="C1586" s="15" t="n">
        <f aca="false">C1585/C1574</f>
        <v>0.184590386145408</v>
      </c>
      <c r="D1586" s="15" t="n">
        <f aca="false">D1585/D1574</f>
        <v>0.228274987740129</v>
      </c>
      <c r="E1586" s="15" t="n">
        <f aca="false">E1585/E1574</f>
        <v>0.294344271305524</v>
      </c>
      <c r="F1586" s="15" t="n">
        <f aca="false">F1585/F1574</f>
        <v>0.30094966945801</v>
      </c>
      <c r="G1586" s="15" t="n">
        <f aca="false">G1585/G1574</f>
        <v>0.304856300703499</v>
      </c>
    </row>
    <row r="1587" customFormat="false" ht="15" hidden="false" customHeight="false" outlineLevel="0" collapsed="false">
      <c r="A1587" s="3" t="s">
        <v>421</v>
      </c>
      <c r="B1587" s="0" t="s">
        <v>181</v>
      </c>
      <c r="C1587" s="23" t="n">
        <f aca="false">a25_nonop</f>
        <v>5.805</v>
      </c>
      <c r="D1587" s="23" t="n">
        <f aca="false">a26_nonop</f>
        <v>38.372</v>
      </c>
      <c r="E1587" s="23" t="n">
        <f aca="false">nonop_f</f>
        <v>4</v>
      </c>
      <c r="F1587" s="23" t="n">
        <f aca="false">nonop_f</f>
        <v>4</v>
      </c>
      <c r="G1587" s="23" t="n">
        <f aca="false">nonop_f</f>
        <v>4</v>
      </c>
    </row>
    <row r="1588" customFormat="false" ht="15" hidden="false" customHeight="false" outlineLevel="0" collapsed="false">
      <c r="A1588" s="3" t="s">
        <v>423</v>
      </c>
      <c r="B1588" s="0" t="s">
        <v>181</v>
      </c>
      <c r="C1588" s="23" t="n">
        <f aca="false">C1585+C1587</f>
        <v>49.655</v>
      </c>
      <c r="D1588" s="23" t="n">
        <f aca="false">D1585+D1587</f>
        <v>102.2282252</v>
      </c>
      <c r="E1588" s="23" t="n">
        <f aca="false">E1585+E1587</f>
        <v>109.082644122878</v>
      </c>
      <c r="F1588" s="23" t="n">
        <f aca="false">F1585+F1587</f>
        <v>125.233512750674</v>
      </c>
      <c r="G1588" s="23" t="n">
        <f aca="false">G1585+G1587</f>
        <v>141.363855526656</v>
      </c>
    </row>
    <row r="1589" customFormat="false" ht="15" hidden="false" customHeight="false" outlineLevel="0" collapsed="false">
      <c r="A1589" s="3" t="s">
        <v>425</v>
      </c>
      <c r="B1589" s="0" t="s">
        <v>181</v>
      </c>
      <c r="C1589" s="23" t="n">
        <f aca="false">a25_tax</f>
        <v>7.939</v>
      </c>
      <c r="D1589" s="23" t="n">
        <f aca="false">a26_tax</f>
        <v>10.493828284</v>
      </c>
      <c r="E1589" s="23" t="n">
        <f aca="false">E1588*tax</f>
        <v>16.3623966184317</v>
      </c>
      <c r="F1589" s="23" t="n">
        <f aca="false">F1588*tax</f>
        <v>18.7850269126011</v>
      </c>
      <c r="G1589" s="23" t="n">
        <f aca="false">G1588*tax</f>
        <v>21.2045783289984</v>
      </c>
    </row>
    <row r="1590" customFormat="false" ht="17.15" hidden="false" customHeight="false" outlineLevel="0" collapsed="false">
      <c r="A1590" s="3" t="s">
        <v>549</v>
      </c>
      <c r="B1590" s="0" t="s">
        <v>181</v>
      </c>
      <c r="C1590" s="23" t="n">
        <f aca="false">a25_mi</f>
        <v>0</v>
      </c>
      <c r="D1590" s="23" t="n">
        <f aca="false">a26_mi</f>
        <v>-0.134999999999987</v>
      </c>
      <c r="E1590" s="23" t="n">
        <f aca="false">0</f>
        <v>0</v>
      </c>
      <c r="F1590" s="23" t="n">
        <f aca="false">0</f>
        <v>0</v>
      </c>
      <c r="G1590" s="23" t="n">
        <f aca="false">0</f>
        <v>0</v>
      </c>
      <c r="K1590" s="7" t="s">
        <v>550</v>
      </c>
    </row>
    <row r="1591" customFormat="false" ht="15" hidden="false" customHeight="false" outlineLevel="0" collapsed="false">
      <c r="A1591" s="3" t="s">
        <v>428</v>
      </c>
      <c r="B1591" s="0" t="s">
        <v>181</v>
      </c>
      <c r="C1591" s="23" t="n">
        <f aca="false">C1588-C1589-C1590</f>
        <v>41.716</v>
      </c>
      <c r="D1591" s="23" t="n">
        <f aca="false">D1588-D1589-D1590</f>
        <v>91.869396916</v>
      </c>
      <c r="E1591" s="23" t="n">
        <f aca="false">E1588-E1589-E1590</f>
        <v>92.7202475044461</v>
      </c>
      <c r="F1591" s="23" t="n">
        <f aca="false">F1588-F1589-F1590</f>
        <v>106.448485838073</v>
      </c>
      <c r="G1591" s="23" t="n">
        <f aca="false">G1588-G1589-G1590</f>
        <v>120.159277197658</v>
      </c>
      <c r="H1591" s="30" t="n">
        <f aca="false">H1574*H1595</f>
        <v>132.057622455211</v>
      </c>
      <c r="I1591" s="30" t="n">
        <f aca="false">I1574*I1595</f>
        <v>142.557619427865</v>
      </c>
      <c r="J1591" s="30" t="n">
        <f aca="false">J1574*J1595</f>
        <v>151.111076593536</v>
      </c>
    </row>
    <row r="1592" customFormat="false" ht="15" hidden="false" customHeight="false" outlineLevel="0" collapsed="false">
      <c r="A1592" s="3" t="s">
        <v>551</v>
      </c>
      <c r="B1592" s="3" t="s">
        <v>250</v>
      </c>
      <c r="C1592" s="9" t="n">
        <f aca="false">a25_sh</f>
        <v>12.4898203592814</v>
      </c>
      <c r="D1592" s="9" t="n">
        <f aca="false">a26_sh</f>
        <v>12.4754339027235</v>
      </c>
      <c r="E1592" s="9" t="n">
        <f aca="false">q_sh*(1+sh_g)</f>
        <v>12.45</v>
      </c>
      <c r="F1592" s="9" t="n">
        <f aca="false">E1592*(1+sh_g)</f>
        <v>12.45</v>
      </c>
      <c r="G1592" s="9" t="n">
        <f aca="false">F1592*(1+sh_g)</f>
        <v>12.45</v>
      </c>
      <c r="H1592" s="32" t="n">
        <f aca="false">G1592*(1+sh_g)</f>
        <v>12.45</v>
      </c>
      <c r="I1592" s="32" t="n">
        <f aca="false">H1592*(1+sh_g)</f>
        <v>12.45</v>
      </c>
      <c r="J1592" s="32" t="n">
        <f aca="false">I1592*(1+sh_g)</f>
        <v>12.45</v>
      </c>
    </row>
    <row r="1593" customFormat="false" ht="17.15" hidden="false" customHeight="false" outlineLevel="0" collapsed="false">
      <c r="A1593" s="0" t="s">
        <v>434</v>
      </c>
      <c r="B1593" s="0" t="s">
        <v>260</v>
      </c>
      <c r="C1593" s="23" t="n">
        <f aca="false">C1591/C1592</f>
        <v>3.34</v>
      </c>
      <c r="D1593" s="23" t="n">
        <f aca="false">D1591/D1592</f>
        <v>7.36402418002826</v>
      </c>
      <c r="E1593" s="23" t="n">
        <f aca="false">E1591/E1592</f>
        <v>7.44740943810812</v>
      </c>
      <c r="F1593" s="23" t="n">
        <f aca="false">F1591/F1592</f>
        <v>8.55007918378097</v>
      </c>
      <c r="G1593" s="23" t="n">
        <f aca="false">G1591/G1592</f>
        <v>9.65134756607693</v>
      </c>
      <c r="H1593" s="30" t="n">
        <f aca="false">H1591/H1592</f>
        <v>10.6070379482097</v>
      </c>
      <c r="I1593" s="30" t="n">
        <f aca="false">I1591/I1592</f>
        <v>11.4504111990253</v>
      </c>
      <c r="J1593" s="30" t="n">
        <f aca="false">J1591/J1592</f>
        <v>12.1374358709668</v>
      </c>
    </row>
    <row r="1594" customFormat="false" ht="17.15" hidden="false" customHeight="false" outlineLevel="0" collapsed="false">
      <c r="A1594" s="0" t="s">
        <v>552</v>
      </c>
      <c r="B1594" s="0" t="s">
        <v>69</v>
      </c>
      <c r="D1594" s="21" t="n">
        <f aca="false">D1593/C1593-1</f>
        <v>1.2047976586911</v>
      </c>
      <c r="E1594" s="21" t="n">
        <f aca="false">E1593/D1593-1</f>
        <v>0.0113233275776043</v>
      </c>
      <c r="F1594" s="21" t="n">
        <f aca="false">F1593/E1593-1</f>
        <v>0.148060846504628</v>
      </c>
      <c r="G1594" s="21" t="n">
        <f aca="false">G1593/F1593-1</f>
        <v>0.128802126696675</v>
      </c>
      <c r="H1594" s="28" t="n">
        <f aca="false">H1593/G1593-1</f>
        <v>0.0990214449940547</v>
      </c>
      <c r="I1594" s="28" t="n">
        <f aca="false">I1593/H1593-1</f>
        <v>0.0795107224970277</v>
      </c>
      <c r="J1594" s="28" t="n">
        <f aca="false">J1593/I1593-1</f>
        <v>0.0600000000000001</v>
      </c>
    </row>
    <row r="1595" customFormat="false" ht="17.15" hidden="false" customHeight="false" outlineLevel="0" collapsed="false">
      <c r="A1595" s="3" t="s">
        <v>553</v>
      </c>
      <c r="B1595" s="0" t="s">
        <v>69</v>
      </c>
      <c r="C1595" s="15" t="n">
        <f aca="false">C1591/C1574</f>
        <v>0.175607127672562</v>
      </c>
      <c r="D1595" s="15" t="n">
        <f aca="false">D1591/D1574</f>
        <v>0.328417243409073</v>
      </c>
      <c r="E1595" s="15" t="n">
        <f aca="false">E1591/E1574</f>
        <v>0.259716282500949</v>
      </c>
      <c r="F1595" s="15" t="n">
        <f aca="false">F1591/F1574</f>
        <v>0.264247367748532</v>
      </c>
      <c r="G1595" s="15" t="n">
        <f aca="false">G1591/G1574</f>
        <v>0.266673591835632</v>
      </c>
      <c r="H1595" s="29" t="n">
        <f aca="false">$G1595+($G$1595*1-$G1595)*1/3</f>
        <v>0.266673591835632</v>
      </c>
      <c r="I1595" s="29" t="n">
        <f aca="false">$G1595+($G$1595*1-$G1595)*2/3</f>
        <v>0.266673591835632</v>
      </c>
      <c r="J1595" s="29" t="n">
        <f aca="false">$G1595+($G$1595*1-$G1595)*3/3</f>
        <v>0.266673591835632</v>
      </c>
    </row>
    <row r="1598" customFormat="false" ht="17.15" hidden="false" customHeight="false" outlineLevel="0" collapsed="false">
      <c r="A1598" s="1" t="s">
        <v>877</v>
      </c>
    </row>
    <row r="1599" customFormat="false" ht="17.15" hidden="false" customHeight="false" outlineLevel="0" collapsed="false">
      <c r="A1599" s="4" t="s">
        <v>24</v>
      </c>
      <c r="B1599" s="4" t="s">
        <v>25</v>
      </c>
      <c r="C1599" s="16" t="s">
        <v>387</v>
      </c>
      <c r="D1599" s="16" t="s">
        <v>505</v>
      </c>
      <c r="E1599" s="16" t="s">
        <v>467</v>
      </c>
      <c r="F1599" s="16" t="s">
        <v>468</v>
      </c>
      <c r="G1599" s="16" t="s">
        <v>469</v>
      </c>
      <c r="H1599" s="16" t="s">
        <v>506</v>
      </c>
      <c r="I1599" s="16" t="s">
        <v>507</v>
      </c>
      <c r="J1599" s="16" t="s">
        <v>508</v>
      </c>
      <c r="K1599" s="4" t="s">
        <v>345</v>
      </c>
    </row>
    <row r="1600" customFormat="false" ht="17.15" hidden="false" customHeight="false" outlineLevel="0" collapsed="false">
      <c r="A1600" s="5" t="s">
        <v>526</v>
      </c>
    </row>
    <row r="1601" customFormat="false" ht="17.15" hidden="false" customHeight="false" outlineLevel="0" collapsed="false">
      <c r="A1601" s="3" t="s">
        <v>527</v>
      </c>
      <c r="B1601" s="3" t="s">
        <v>64</v>
      </c>
      <c r="D1601" s="22" t="n">
        <f aca="false">cap_26</f>
        <v>5230.46851955216</v>
      </c>
      <c r="E1601" s="22" t="n">
        <f aca="false">D1601*(1+capg27)*cap_adj</f>
        <v>5439.68726033425</v>
      </c>
      <c r="F1601" s="22" t="n">
        <f aca="false">E1601*(1+capg28)</f>
        <v>5820.46536855765</v>
      </c>
      <c r="G1601" s="22" t="n">
        <f aca="false">F1601*(1+capg29)</f>
        <v>6227.89794435668</v>
      </c>
    </row>
    <row r="1602" customFormat="false" ht="15" hidden="false" customHeight="false" outlineLevel="0" collapsed="false">
      <c r="A1602" s="3" t="s">
        <v>528</v>
      </c>
      <c r="B1602" s="0" t="s">
        <v>69</v>
      </c>
      <c r="D1602" s="21" t="n">
        <f aca="false">a26_ship/cap_26</f>
        <v>0.870578781414787</v>
      </c>
      <c r="E1602" s="21" t="n">
        <f aca="false">MIN(0.98,ut27_B+ut_adj)</f>
        <v>0.9</v>
      </c>
      <c r="F1602" s="21" t="n">
        <f aca="false">MIN(0.98,ut28_B+ut_adj)</f>
        <v>0.87</v>
      </c>
      <c r="G1602" s="21" t="n">
        <f aca="false">MIN(0.98,ut29_B+ut_adj)</f>
        <v>0.88</v>
      </c>
    </row>
    <row r="1603" customFormat="false" ht="17.15" hidden="false" customHeight="false" outlineLevel="0" collapsed="false">
      <c r="A1603" s="3" t="s">
        <v>529</v>
      </c>
      <c r="B1603" s="3" t="s">
        <v>64</v>
      </c>
      <c r="D1603" s="22" t="n">
        <f aca="false">D1601*D1602</f>
        <v>4553.53490998013</v>
      </c>
      <c r="E1603" s="22" t="n">
        <f aca="false">E1601*E1602</f>
        <v>4895.71853430083</v>
      </c>
      <c r="F1603" s="22" t="n">
        <f aca="false">F1601*F1602</f>
        <v>5063.80487064515</v>
      </c>
      <c r="G1603" s="22" t="n">
        <f aca="false">G1601*G1602</f>
        <v>5480.55019103388</v>
      </c>
    </row>
    <row r="1604" customFormat="false" ht="17.15" hidden="false" customHeight="false" outlineLevel="0" collapsed="false">
      <c r="A1604" s="3" t="s">
        <v>530</v>
      </c>
      <c r="B1604" s="0" t="s">
        <v>109</v>
      </c>
      <c r="D1604" s="22" t="n">
        <f aca="false">asp_26</f>
        <v>1878.17486396824</v>
      </c>
      <c r="E1604" s="22" t="n">
        <f aca="false">D1604*(1+asp27_B)*(1+asp_adj)</f>
        <v>1972.08360716666</v>
      </c>
      <c r="F1604" s="22" t="n">
        <f aca="false">E1604*(1+asp28_B)</f>
        <v>1972.08360716666</v>
      </c>
      <c r="G1604" s="22" t="n">
        <f aca="false">F1604*(1+asp29_B)</f>
        <v>1972.08360716666</v>
      </c>
    </row>
    <row r="1605" customFormat="false" ht="15" hidden="false" customHeight="false" outlineLevel="0" collapsed="false">
      <c r="A1605" s="3" t="s">
        <v>531</v>
      </c>
      <c r="B1605" s="0" t="s">
        <v>69</v>
      </c>
      <c r="E1605" s="21" t="n">
        <f aca="false">E1604/D1604-1</f>
        <v>0.05</v>
      </c>
      <c r="F1605" s="21" t="n">
        <f aca="false">F1604/E1604-1</f>
        <v>0</v>
      </c>
      <c r="G1605" s="21" t="n">
        <f aca="false">G1604/F1604-1</f>
        <v>0</v>
      </c>
    </row>
    <row r="1606" customFormat="false" ht="15" hidden="false" customHeight="false" outlineLevel="0" collapsed="false">
      <c r="A1606" s="3" t="s">
        <v>532</v>
      </c>
      <c r="B1606" s="0" t="s">
        <v>35</v>
      </c>
      <c r="D1606" s="23" t="n">
        <f aca="false">fx_26</f>
        <v>31.6</v>
      </c>
      <c r="E1606" s="23" t="n">
        <f aca="false">fx</f>
        <v>32</v>
      </c>
      <c r="F1606" s="23" t="n">
        <f aca="false">fx</f>
        <v>32</v>
      </c>
      <c r="G1606" s="23" t="n">
        <f aca="false">fx</f>
        <v>32</v>
      </c>
    </row>
    <row r="1607" customFormat="false" ht="17.15" hidden="false" customHeight="false" outlineLevel="0" collapsed="false">
      <c r="A1607" s="3" t="s">
        <v>533</v>
      </c>
      <c r="B1607" s="0" t="s">
        <v>181</v>
      </c>
      <c r="D1607" s="23" t="n">
        <f aca="false">D1603*D1604*D1606/1000000</f>
        <v>270.25378</v>
      </c>
      <c r="E1607" s="23" t="n">
        <f aca="false">E1603*E1604*E1606/1000000</f>
        <v>308.952520537492</v>
      </c>
      <c r="F1607" s="23" t="n">
        <f aca="false">F1603*F1604*F1606/1000000</f>
        <v>319.559890409279</v>
      </c>
      <c r="G1607" s="23" t="n">
        <f aca="false">G1603*G1604*G1606/1000000</f>
        <v>345.859302079744</v>
      </c>
    </row>
    <row r="1608" customFormat="false" ht="17.15" hidden="false" customHeight="false" outlineLevel="0" collapsed="false">
      <c r="A1608" s="5" t="s">
        <v>534</v>
      </c>
    </row>
    <row r="1609" customFormat="false" ht="17.15" hidden="false" customHeight="false" outlineLevel="0" collapsed="false">
      <c r="A1609" s="0" t="s">
        <v>535</v>
      </c>
      <c r="B1609" s="0" t="s">
        <v>138</v>
      </c>
      <c r="D1609" s="25" t="n">
        <f aca="false">ai_26</f>
        <v>0.3</v>
      </c>
      <c r="E1609" s="25" t="n">
        <f aca="false">D1609*(1+aig27_B)*ai_adj</f>
        <v>0.42</v>
      </c>
      <c r="F1609" s="25" t="n">
        <f aca="false">E1609*(1+aig_L)*um28_B</f>
        <v>0.4872</v>
      </c>
      <c r="G1609" s="25" t="n">
        <f aca="false">F1609/um28_B*(1+aig_L)*um29_B</f>
        <v>0.7505925</v>
      </c>
    </row>
    <row r="1610" customFormat="false" ht="17.15" hidden="false" customHeight="false" outlineLevel="0" collapsed="false">
      <c r="A1610" s="0" t="s">
        <v>536</v>
      </c>
      <c r="B1610" s="0" t="s">
        <v>181</v>
      </c>
      <c r="D1610" s="23" t="n">
        <f aca="false">D1609*D1606</f>
        <v>9.48</v>
      </c>
      <c r="E1610" s="23" t="n">
        <f aca="false">E1609*E1606</f>
        <v>13.44</v>
      </c>
      <c r="F1610" s="23" t="n">
        <f aca="false">F1609*F1606</f>
        <v>15.5904</v>
      </c>
      <c r="G1610" s="23" t="n">
        <f aca="false">G1609*G1606</f>
        <v>24.01896</v>
      </c>
    </row>
    <row r="1611" customFormat="false" ht="17.15" hidden="false" customHeight="false" outlineLevel="0" collapsed="false">
      <c r="A1611" s="0" t="s">
        <v>537</v>
      </c>
      <c r="B1611" s="0" t="s">
        <v>138</v>
      </c>
      <c r="D1611" s="25" t="n">
        <f aca="false">0</f>
        <v>0</v>
      </c>
      <c r="E1611" s="25" t="n">
        <f aca="false">int_27</f>
        <v>0</v>
      </c>
      <c r="F1611" s="25" t="n">
        <f aca="false">int28_B</f>
        <v>0.12</v>
      </c>
      <c r="G1611" s="25" t="n">
        <f aca="false">int29_B</f>
        <v>0.3</v>
      </c>
    </row>
    <row r="1612" customFormat="false" ht="17.15" hidden="false" customHeight="false" outlineLevel="0" collapsed="false">
      <c r="A1612" s="0" t="s">
        <v>538</v>
      </c>
      <c r="B1612" s="0" t="s">
        <v>181</v>
      </c>
      <c r="D1612" s="23" t="n">
        <f aca="false">D1611*D1606</f>
        <v>0</v>
      </c>
      <c r="E1612" s="23" t="n">
        <f aca="false">E1611*E1606</f>
        <v>0</v>
      </c>
      <c r="F1612" s="23" t="n">
        <f aca="false">F1611*F1606</f>
        <v>3.84</v>
      </c>
      <c r="G1612" s="23" t="n">
        <f aca="false">G1611*G1606</f>
        <v>9.6</v>
      </c>
    </row>
    <row r="1613" customFormat="false" ht="17.15" hidden="false" customHeight="false" outlineLevel="0" collapsed="false">
      <c r="A1613" s="3" t="s">
        <v>393</v>
      </c>
      <c r="B1613" s="0" t="s">
        <v>181</v>
      </c>
      <c r="C1613" s="23" t="n">
        <f aca="false">a25_rev</f>
        <v>237.553</v>
      </c>
      <c r="D1613" s="23" t="n">
        <f aca="false">D1607+D1610+D1612</f>
        <v>279.73378</v>
      </c>
      <c r="E1613" s="23" t="n">
        <f aca="false">E1607+E1610+E1612</f>
        <v>322.392520537492</v>
      </c>
      <c r="F1613" s="23" t="n">
        <f aca="false">F1607+F1610+F1612</f>
        <v>338.990290409279</v>
      </c>
      <c r="G1613" s="23" t="n">
        <f aca="false">G1607+G1610+G1612</f>
        <v>379.478262079744</v>
      </c>
      <c r="H1613" s="30" t="n">
        <f aca="false">G1613*(1+H1615)</f>
        <v>414.75379367548</v>
      </c>
      <c r="I1613" s="30" t="n">
        <f aca="false">H1613*(1+I1615)</f>
        <v>442.326206375962</v>
      </c>
      <c r="J1613" s="30" t="n">
        <f aca="false">I1613*(1+J1615)</f>
        <v>460.019254631001</v>
      </c>
      <c r="K1613" s="7" t="s">
        <v>539</v>
      </c>
    </row>
    <row r="1614" customFormat="false" ht="17.15" hidden="false" customHeight="false" outlineLevel="0" collapsed="false">
      <c r="A1614" s="0" t="s">
        <v>540</v>
      </c>
      <c r="B1614" s="0" t="s">
        <v>69</v>
      </c>
      <c r="D1614" s="21" t="n">
        <f aca="false">D1610/D1613</f>
        <v>0.0338893643806622</v>
      </c>
      <c r="E1614" s="21" t="n">
        <f aca="false">E1610/E1613</f>
        <v>0.0416883120538679</v>
      </c>
      <c r="F1614" s="21" t="n">
        <f aca="false">F1610/F1613</f>
        <v>0.0459906977901254</v>
      </c>
      <c r="G1614" s="21" t="n">
        <f aca="false">G1610/G1613</f>
        <v>0.0632946927404042</v>
      </c>
    </row>
    <row r="1615" customFormat="false" ht="15" hidden="false" customHeight="false" outlineLevel="0" collapsed="false">
      <c r="A1615" s="3" t="s">
        <v>541</v>
      </c>
      <c r="B1615" s="0" t="s">
        <v>69</v>
      </c>
      <c r="D1615" s="21" t="n">
        <f aca="false">D1613/C1613-1</f>
        <v>0.177563659478096</v>
      </c>
      <c r="E1615" s="21" t="n">
        <f aca="false">E1613/D1613-1</f>
        <v>0.152497637351814</v>
      </c>
      <c r="F1615" s="21" t="n">
        <f aca="false">F1613/E1613-1</f>
        <v>0.0514831108492078</v>
      </c>
      <c r="G1615" s="21" t="n">
        <f aca="false">G1613/F1613-1</f>
        <v>0.119436965647547</v>
      </c>
      <c r="H1615" s="28" t="n">
        <f aca="false">$G1615+(fade_gB-$G1615)*1/3</f>
        <v>0.0929579770983645</v>
      </c>
      <c r="I1615" s="28" t="n">
        <f aca="false">$G1615+(fade_gB-$G1615)*2/3</f>
        <v>0.0664789885491822</v>
      </c>
      <c r="J1615" s="28" t="n">
        <f aca="false">$G1615+(fade_gB-$G1615)*3/3</f>
        <v>0.04</v>
      </c>
    </row>
    <row r="1616" customFormat="false" ht="17.15" hidden="false" customHeight="false" outlineLevel="0" collapsed="false">
      <c r="A1616" s="5" t="s">
        <v>542</v>
      </c>
    </row>
    <row r="1617" customFormat="false" ht="15" hidden="false" customHeight="false" outlineLevel="0" collapsed="false">
      <c r="A1617" s="3" t="s">
        <v>543</v>
      </c>
      <c r="B1617" s="0" t="s">
        <v>181</v>
      </c>
      <c r="D1617" s="23" t="n">
        <f aca="false">da_tot26*da_sh</f>
        <v>56.172</v>
      </c>
      <c r="E1617" s="23" t="n">
        <f aca="false">D1617*(1+dag_27+dag_adj)</f>
        <v>62.91264</v>
      </c>
      <c r="F1617" s="23" t="n">
        <f aca="false">E1617*(1+dag_28+dag_adj)</f>
        <v>69.203904</v>
      </c>
      <c r="G1617" s="23" t="n">
        <f aca="false">F1617*(1+dag_29+dag_adj)</f>
        <v>74.74021632</v>
      </c>
    </row>
    <row r="1618" customFormat="false" ht="17.15" hidden="false" customHeight="false" outlineLevel="0" collapsed="false">
      <c r="A1618" s="3" t="s">
        <v>544</v>
      </c>
      <c r="B1618" s="0" t="s">
        <v>545</v>
      </c>
      <c r="D1618" s="23" t="n">
        <f aca="false">(D1613-a26_gp-D1617-(1-m_new)*(D1610+D1612))/D1603*1000</f>
        <v>27.9465727870208</v>
      </c>
      <c r="E1618" s="23" t="n">
        <f aca="false">D1618*(1+cc_g)</f>
        <v>28.5055042427612</v>
      </c>
      <c r="F1618" s="23" t="n">
        <f aca="false">E1618*(1+cc_g)</f>
        <v>29.0756143276165</v>
      </c>
      <c r="G1618" s="23" t="n">
        <f aca="false">F1618*(1+cc_g)</f>
        <v>29.6571266141688</v>
      </c>
      <c r="K1618" s="7" t="s">
        <v>546</v>
      </c>
    </row>
    <row r="1619" customFormat="false" ht="17.15" hidden="false" customHeight="false" outlineLevel="0" collapsed="false">
      <c r="A1619" s="3" t="s">
        <v>547</v>
      </c>
      <c r="B1619" s="0" t="s">
        <v>181</v>
      </c>
      <c r="D1619" s="23" t="n">
        <f aca="false">D1618*D1603/1000</f>
        <v>127.2556948</v>
      </c>
      <c r="E1619" s="23" t="n">
        <f aca="false">E1618*E1603/1000</f>
        <v>139.554925450877</v>
      </c>
      <c r="F1619" s="23" t="n">
        <f aca="false">F1618*F1603/1000</f>
        <v>147.233237449184</v>
      </c>
      <c r="G1619" s="23" t="n">
        <f aca="false">G1618*G1603/1000</f>
        <v>162.537370930799</v>
      </c>
    </row>
    <row r="1620" customFormat="false" ht="17.15" hidden="false" customHeight="false" outlineLevel="0" collapsed="false">
      <c r="A1620" s="3" t="s">
        <v>548</v>
      </c>
      <c r="B1620" s="0" t="s">
        <v>181</v>
      </c>
      <c r="D1620" s="23" t="n">
        <f aca="false">m_new*(D1610+D1612)</f>
        <v>4.266</v>
      </c>
      <c r="E1620" s="23" t="n">
        <f aca="false">m_new*(E1610+E1612)</f>
        <v>6.048</v>
      </c>
      <c r="F1620" s="23" t="n">
        <f aca="false">m_new*(F1610+F1612)</f>
        <v>8.74368</v>
      </c>
      <c r="G1620" s="23" t="n">
        <f aca="false">m_new*(G1610+G1612)</f>
        <v>15.128532</v>
      </c>
    </row>
    <row r="1621" customFormat="false" ht="15" hidden="false" customHeight="false" outlineLevel="0" collapsed="false">
      <c r="A1621" s="3" t="s">
        <v>411</v>
      </c>
      <c r="B1621" s="0" t="s">
        <v>181</v>
      </c>
      <c r="C1621" s="23" t="n">
        <f aca="false">a25_gp</f>
        <v>68.906</v>
      </c>
      <c r="D1621" s="23" t="n">
        <f aca="false">D1607-D1617-D1619+D1620</f>
        <v>91.0920852</v>
      </c>
      <c r="E1621" s="23" t="n">
        <f aca="false">E1607-E1617-E1619+E1620</f>
        <v>112.532955086615</v>
      </c>
      <c r="F1621" s="23" t="n">
        <f aca="false">F1607-F1617-F1619+F1620</f>
        <v>111.866428960095</v>
      </c>
      <c r="G1621" s="23" t="n">
        <f aca="false">G1607-G1617-G1619+G1620</f>
        <v>123.710246828945</v>
      </c>
    </row>
    <row r="1622" customFormat="false" ht="15" hidden="false" customHeight="false" outlineLevel="0" collapsed="false">
      <c r="A1622" s="3" t="s">
        <v>413</v>
      </c>
      <c r="B1622" s="0" t="s">
        <v>69</v>
      </c>
      <c r="C1622" s="15" t="n">
        <f aca="false">C1621/C1613</f>
        <v>0.290065795843454</v>
      </c>
      <c r="D1622" s="15" t="n">
        <f aca="false">D1621/D1613</f>
        <v>0.325638488136828</v>
      </c>
      <c r="E1622" s="15" t="n">
        <f aca="false">E1621/E1613</f>
        <v>0.349055725297226</v>
      </c>
      <c r="F1622" s="15" t="n">
        <f aca="false">F1621/F1613</f>
        <v>0.32999891774196</v>
      </c>
      <c r="G1622" s="15" t="n">
        <f aca="false">G1621/G1613</f>
        <v>0.326000878550847</v>
      </c>
    </row>
    <row r="1623" customFormat="false" ht="15" hidden="false" customHeight="false" outlineLevel="0" collapsed="false">
      <c r="A1623" s="3" t="s">
        <v>415</v>
      </c>
      <c r="B1623" s="0" t="s">
        <v>181</v>
      </c>
      <c r="C1623" s="23" t="n">
        <f aca="false">a25_opx</f>
        <v>25.056</v>
      </c>
      <c r="D1623" s="23" t="n">
        <f aca="false">a26_opx</f>
        <v>27.23586</v>
      </c>
      <c r="E1623" s="23" t="n">
        <f aca="false">D1623*(1+MAX(g_opx_min,phi_hi*E1615))</f>
        <v>30.5585834409958</v>
      </c>
      <c r="F1623" s="23" t="n">
        <f aca="false">E1623*(1+MAX(g_opx_min,phi_hi*F1615))</f>
        <v>31.8171841919459</v>
      </c>
      <c r="G1623" s="23" t="n">
        <f aca="false">F1623*(1+MAX(g_opx_min,phi_hi*G1615))</f>
        <v>34.857302540214</v>
      </c>
    </row>
    <row r="1624" customFormat="false" ht="15" hidden="false" customHeight="false" outlineLevel="0" collapsed="false">
      <c r="A1624" s="3" t="s">
        <v>418</v>
      </c>
      <c r="B1624" s="0" t="s">
        <v>181</v>
      </c>
      <c r="C1624" s="23" t="n">
        <f aca="false">C1621-C1623</f>
        <v>43.85</v>
      </c>
      <c r="D1624" s="23" t="n">
        <f aca="false">D1621-D1623</f>
        <v>63.8562252</v>
      </c>
      <c r="E1624" s="23" t="n">
        <f aca="false">E1621-E1623</f>
        <v>81.9743716456192</v>
      </c>
      <c r="F1624" s="23" t="n">
        <f aca="false">F1621-F1623</f>
        <v>80.0492447681491</v>
      </c>
      <c r="G1624" s="23" t="n">
        <f aca="false">G1621-G1623</f>
        <v>88.8529442887314</v>
      </c>
    </row>
    <row r="1625" customFormat="false" ht="15" hidden="false" customHeight="false" outlineLevel="0" collapsed="false">
      <c r="A1625" s="3" t="s">
        <v>515</v>
      </c>
      <c r="B1625" s="0" t="s">
        <v>69</v>
      </c>
      <c r="C1625" s="15" t="n">
        <f aca="false">C1624/C1613</f>
        <v>0.184590386145408</v>
      </c>
      <c r="D1625" s="15" t="n">
        <f aca="false">D1624/D1613</f>
        <v>0.228274987740129</v>
      </c>
      <c r="E1625" s="15" t="n">
        <f aca="false">E1624/E1613</f>
        <v>0.25426883821297</v>
      </c>
      <c r="F1625" s="15" t="n">
        <f aca="false">F1624/F1613</f>
        <v>0.236140228888272</v>
      </c>
      <c r="G1625" s="15" t="n">
        <f aca="false">G1624/G1613</f>
        <v>0.234145017429377</v>
      </c>
    </row>
    <row r="1626" customFormat="false" ht="15" hidden="false" customHeight="false" outlineLevel="0" collapsed="false">
      <c r="A1626" s="3" t="s">
        <v>421</v>
      </c>
      <c r="B1626" s="0" t="s">
        <v>181</v>
      </c>
      <c r="C1626" s="23" t="n">
        <f aca="false">a25_nonop</f>
        <v>5.805</v>
      </c>
      <c r="D1626" s="23" t="n">
        <f aca="false">a26_nonop</f>
        <v>38.372</v>
      </c>
      <c r="E1626" s="23" t="n">
        <f aca="false">nonop_f</f>
        <v>4</v>
      </c>
      <c r="F1626" s="23" t="n">
        <f aca="false">nonop_f</f>
        <v>4</v>
      </c>
      <c r="G1626" s="23" t="n">
        <f aca="false">nonop_f</f>
        <v>4</v>
      </c>
    </row>
    <row r="1627" customFormat="false" ht="15" hidden="false" customHeight="false" outlineLevel="0" collapsed="false">
      <c r="A1627" s="3" t="s">
        <v>423</v>
      </c>
      <c r="B1627" s="0" t="s">
        <v>181</v>
      </c>
      <c r="C1627" s="23" t="n">
        <f aca="false">C1624+C1626</f>
        <v>49.655</v>
      </c>
      <c r="D1627" s="23" t="n">
        <f aca="false">D1624+D1626</f>
        <v>102.2282252</v>
      </c>
      <c r="E1627" s="23" t="n">
        <f aca="false">E1624+E1626</f>
        <v>85.9743716456192</v>
      </c>
      <c r="F1627" s="23" t="n">
        <f aca="false">F1624+F1626</f>
        <v>84.0492447681491</v>
      </c>
      <c r="G1627" s="23" t="n">
        <f aca="false">G1624+G1626</f>
        <v>92.8529442887314</v>
      </c>
    </row>
    <row r="1628" customFormat="false" ht="15" hidden="false" customHeight="false" outlineLevel="0" collapsed="false">
      <c r="A1628" s="3" t="s">
        <v>425</v>
      </c>
      <c r="B1628" s="0" t="s">
        <v>181</v>
      </c>
      <c r="C1628" s="23" t="n">
        <f aca="false">a25_tax</f>
        <v>7.939</v>
      </c>
      <c r="D1628" s="23" t="n">
        <f aca="false">a26_tax</f>
        <v>10.493828284</v>
      </c>
      <c r="E1628" s="23" t="n">
        <f aca="false">E1627*tax</f>
        <v>12.8961557468429</v>
      </c>
      <c r="F1628" s="23" t="n">
        <f aca="false">F1627*tax</f>
        <v>12.6073867152224</v>
      </c>
      <c r="G1628" s="23" t="n">
        <f aca="false">G1627*tax</f>
        <v>13.9279416433097</v>
      </c>
    </row>
    <row r="1629" customFormat="false" ht="17.15" hidden="false" customHeight="false" outlineLevel="0" collapsed="false">
      <c r="A1629" s="3" t="s">
        <v>549</v>
      </c>
      <c r="B1629" s="0" t="s">
        <v>181</v>
      </c>
      <c r="C1629" s="23" t="n">
        <f aca="false">a25_mi</f>
        <v>0</v>
      </c>
      <c r="D1629" s="23" t="n">
        <f aca="false">a26_mi</f>
        <v>-0.134999999999987</v>
      </c>
      <c r="E1629" s="23" t="n">
        <f aca="false">0</f>
        <v>0</v>
      </c>
      <c r="F1629" s="23" t="n">
        <f aca="false">0</f>
        <v>0</v>
      </c>
      <c r="G1629" s="23" t="n">
        <f aca="false">0</f>
        <v>0</v>
      </c>
      <c r="K1629" s="7" t="s">
        <v>550</v>
      </c>
    </row>
    <row r="1630" customFormat="false" ht="15" hidden="false" customHeight="false" outlineLevel="0" collapsed="false">
      <c r="A1630" s="3" t="s">
        <v>428</v>
      </c>
      <c r="B1630" s="0" t="s">
        <v>181</v>
      </c>
      <c r="C1630" s="23" t="n">
        <f aca="false">C1627-C1628-C1629</f>
        <v>41.716</v>
      </c>
      <c r="D1630" s="23" t="n">
        <f aca="false">D1627-D1628-D1629</f>
        <v>91.869396916</v>
      </c>
      <c r="E1630" s="23" t="n">
        <f aca="false">E1627-E1628-E1629</f>
        <v>73.0782158987764</v>
      </c>
      <c r="F1630" s="23" t="n">
        <f aca="false">F1627-F1628-F1629</f>
        <v>71.4418580529268</v>
      </c>
      <c r="G1630" s="23" t="n">
        <f aca="false">G1627-G1628-G1629</f>
        <v>78.9250026454217</v>
      </c>
      <c r="H1630" s="30" t="n">
        <f aca="false">H1613*H1634</f>
        <v>83.3863208593623</v>
      </c>
      <c r="I1630" s="30" t="n">
        <f aca="false">I1613*I1634</f>
        <v>85.8632157106914</v>
      </c>
      <c r="J1630" s="30" t="n">
        <f aca="false">J1613*J1634</f>
        <v>86.1085391841505</v>
      </c>
    </row>
    <row r="1631" customFormat="false" ht="15" hidden="false" customHeight="false" outlineLevel="0" collapsed="false">
      <c r="A1631" s="3" t="s">
        <v>551</v>
      </c>
      <c r="B1631" s="3" t="s">
        <v>250</v>
      </c>
      <c r="C1631" s="9" t="n">
        <f aca="false">a25_sh</f>
        <v>12.4898203592814</v>
      </c>
      <c r="D1631" s="9" t="n">
        <f aca="false">a26_sh</f>
        <v>12.4754339027235</v>
      </c>
      <c r="E1631" s="9" t="n">
        <f aca="false">q_sh*(1+sh_g)</f>
        <v>12.45</v>
      </c>
      <c r="F1631" s="9" t="n">
        <f aca="false">E1631*(1+sh_g)</f>
        <v>12.45</v>
      </c>
      <c r="G1631" s="9" t="n">
        <f aca="false">F1631*(1+sh_g)</f>
        <v>12.45</v>
      </c>
      <c r="H1631" s="32" t="n">
        <f aca="false">G1631*(1+sh_g)</f>
        <v>12.45</v>
      </c>
      <c r="I1631" s="32" t="n">
        <f aca="false">H1631*(1+sh_g)</f>
        <v>12.45</v>
      </c>
      <c r="J1631" s="32" t="n">
        <f aca="false">I1631*(1+sh_g)</f>
        <v>12.45</v>
      </c>
    </row>
    <row r="1632" customFormat="false" ht="17.15" hidden="false" customHeight="false" outlineLevel="0" collapsed="false">
      <c r="A1632" s="0" t="s">
        <v>434</v>
      </c>
      <c r="B1632" s="0" t="s">
        <v>260</v>
      </c>
      <c r="C1632" s="23" t="n">
        <f aca="false">C1630/C1631</f>
        <v>3.34</v>
      </c>
      <c r="D1632" s="23" t="n">
        <f aca="false">D1630/D1631</f>
        <v>7.36402418002826</v>
      </c>
      <c r="E1632" s="23" t="n">
        <f aca="false">E1630/E1631</f>
        <v>5.86973621676918</v>
      </c>
      <c r="F1632" s="23" t="n">
        <f aca="false">F1630/F1631</f>
        <v>5.7383018516407</v>
      </c>
      <c r="G1632" s="23" t="n">
        <f aca="false">G1630/G1631</f>
        <v>6.33935764220254</v>
      </c>
      <c r="H1632" s="30" t="n">
        <f aca="false">H1630/H1631</f>
        <v>6.69769645456726</v>
      </c>
      <c r="I1632" s="30" t="n">
        <f aca="false">I1630/I1631</f>
        <v>6.89664383218405</v>
      </c>
      <c r="J1632" s="30" t="n">
        <f aca="false">J1630/J1631</f>
        <v>6.91634852884743</v>
      </c>
    </row>
    <row r="1633" customFormat="false" ht="17.15" hidden="false" customHeight="false" outlineLevel="0" collapsed="false">
      <c r="A1633" s="0" t="s">
        <v>552</v>
      </c>
      <c r="B1633" s="0" t="s">
        <v>69</v>
      </c>
      <c r="D1633" s="21" t="n">
        <f aca="false">D1632/C1632-1</f>
        <v>1.2047976586911</v>
      </c>
      <c r="E1633" s="21" t="n">
        <f aca="false">E1632/D1632-1</f>
        <v>-0.202917308081591</v>
      </c>
      <c r="F1633" s="21" t="n">
        <f aca="false">F1632/E1632-1</f>
        <v>-0.0223918691189201</v>
      </c>
      <c r="G1633" s="21" t="n">
        <f aca="false">G1632/F1632-1</f>
        <v>0.104744540475853</v>
      </c>
      <c r="H1633" s="28" t="n">
        <f aca="false">H1632/G1632-1</f>
        <v>0.0565260445284186</v>
      </c>
      <c r="I1633" s="28" t="n">
        <f aca="false">I1632/H1632-1</f>
        <v>0.0297038510130039</v>
      </c>
      <c r="J1633" s="28" t="n">
        <f aca="false">J1632/I1632-1</f>
        <v>0.00285714285714267</v>
      </c>
    </row>
    <row r="1634" customFormat="false" ht="17.15" hidden="false" customHeight="false" outlineLevel="0" collapsed="false">
      <c r="A1634" s="3" t="s">
        <v>553</v>
      </c>
      <c r="B1634" s="0" t="s">
        <v>69</v>
      </c>
      <c r="C1634" s="15" t="n">
        <f aca="false">C1630/C1613</f>
        <v>0.175607127672562</v>
      </c>
      <c r="D1634" s="15" t="n">
        <f aca="false">D1630/D1613</f>
        <v>0.328417243409073</v>
      </c>
      <c r="E1634" s="15" t="n">
        <f aca="false">E1630/E1613</f>
        <v>0.226674662851795</v>
      </c>
      <c r="F1634" s="15" t="n">
        <f aca="false">F1630/F1613</f>
        <v>0.210748980351831</v>
      </c>
      <c r="G1634" s="15" t="n">
        <f aca="false">G1630/G1613</f>
        <v>0.207982934813895</v>
      </c>
      <c r="H1634" s="29" t="n">
        <f aca="false">$G1634+($G$1634*0.9-$G1634)*1/3</f>
        <v>0.201050170320099</v>
      </c>
      <c r="I1634" s="29" t="n">
        <f aca="false">$G1634+($G$1634*0.9-$G1634)*2/3</f>
        <v>0.194117405826302</v>
      </c>
      <c r="J1634" s="29" t="n">
        <f aca="false">$G1634+($G$1634*0.9-$G1634)*3/3</f>
        <v>0.187184641332506</v>
      </c>
    </row>
    <row r="1637" customFormat="false" ht="17.15" hidden="false" customHeight="false" outlineLevel="0" collapsed="false">
      <c r="A1637" s="1" t="s">
        <v>878</v>
      </c>
    </row>
    <row r="1638" customFormat="false" ht="17.15" hidden="false" customHeight="false" outlineLevel="0" collapsed="false">
      <c r="A1638" s="4" t="s">
        <v>24</v>
      </c>
      <c r="B1638" s="4" t="s">
        <v>25</v>
      </c>
      <c r="C1638" s="16" t="s">
        <v>387</v>
      </c>
      <c r="D1638" s="16" t="s">
        <v>505</v>
      </c>
      <c r="E1638" s="16" t="s">
        <v>467</v>
      </c>
      <c r="F1638" s="16" t="s">
        <v>468</v>
      </c>
      <c r="G1638" s="16" t="s">
        <v>469</v>
      </c>
      <c r="H1638" s="16" t="s">
        <v>506</v>
      </c>
      <c r="I1638" s="16" t="s">
        <v>507</v>
      </c>
      <c r="J1638" s="16" t="s">
        <v>508</v>
      </c>
      <c r="K1638" s="4" t="s">
        <v>345</v>
      </c>
    </row>
    <row r="1639" customFormat="false" ht="17.15" hidden="false" customHeight="false" outlineLevel="0" collapsed="false">
      <c r="A1639" s="5" t="s">
        <v>526</v>
      </c>
    </row>
    <row r="1640" customFormat="false" ht="17.15" hidden="false" customHeight="false" outlineLevel="0" collapsed="false">
      <c r="A1640" s="3" t="s">
        <v>527</v>
      </c>
      <c r="B1640" s="3" t="s">
        <v>64</v>
      </c>
      <c r="D1640" s="22" t="n">
        <f aca="false">cap_26</f>
        <v>5230.46851955216</v>
      </c>
      <c r="E1640" s="22" t="n">
        <f aca="false">D1640*(1+capg27)*cap_adj</f>
        <v>5439.68726033425</v>
      </c>
      <c r="F1640" s="22" t="n">
        <f aca="false">E1640*(1+capg28)</f>
        <v>5820.46536855765</v>
      </c>
      <c r="G1640" s="22" t="n">
        <f aca="false">F1640*(1+capg29)</f>
        <v>6227.89794435668</v>
      </c>
    </row>
    <row r="1641" customFormat="false" ht="15" hidden="false" customHeight="false" outlineLevel="0" collapsed="false">
      <c r="A1641" s="3" t="s">
        <v>528</v>
      </c>
      <c r="B1641" s="0" t="s">
        <v>69</v>
      </c>
      <c r="D1641" s="21" t="n">
        <f aca="false">a26_ship/cap_26</f>
        <v>0.870578781414787</v>
      </c>
      <c r="E1641" s="21" t="n">
        <f aca="false">MIN(0.98,ut27_C+ut_adj)</f>
        <v>0.82</v>
      </c>
      <c r="F1641" s="21" t="n">
        <f aca="false">MIN(0.98,ut28_C+ut_adj)</f>
        <v>0.76</v>
      </c>
      <c r="G1641" s="21" t="n">
        <f aca="false">MIN(0.98,ut29_C+ut_adj)</f>
        <v>0.8</v>
      </c>
    </row>
    <row r="1642" customFormat="false" ht="17.15" hidden="false" customHeight="false" outlineLevel="0" collapsed="false">
      <c r="A1642" s="3" t="s">
        <v>529</v>
      </c>
      <c r="B1642" s="3" t="s">
        <v>64</v>
      </c>
      <c r="D1642" s="22" t="n">
        <f aca="false">D1640*D1641</f>
        <v>4553.53490998013</v>
      </c>
      <c r="E1642" s="22" t="n">
        <f aca="false">E1640*E1641</f>
        <v>4460.54355347409</v>
      </c>
      <c r="F1642" s="22" t="n">
        <f aca="false">F1640*F1641</f>
        <v>4423.55368010381</v>
      </c>
      <c r="G1642" s="22" t="n">
        <f aca="false">G1640*G1641</f>
        <v>4982.31835548535</v>
      </c>
    </row>
    <row r="1643" customFormat="false" ht="17.15" hidden="false" customHeight="false" outlineLevel="0" collapsed="false">
      <c r="A1643" s="3" t="s">
        <v>530</v>
      </c>
      <c r="B1643" s="0" t="s">
        <v>109</v>
      </c>
      <c r="D1643" s="22" t="n">
        <f aca="false">asp_26</f>
        <v>1878.17486396824</v>
      </c>
      <c r="E1643" s="22" t="n">
        <f aca="false">D1643*(1+asp27_C)*(1+asp_adj)</f>
        <v>1878.17486396824</v>
      </c>
      <c r="F1643" s="22" t="n">
        <f aca="false">E1643*(1+asp28_C)</f>
        <v>1765.48437213015</v>
      </c>
      <c r="G1643" s="22" t="n">
        <f aca="false">F1643*(1+asp29_C)</f>
        <v>1712.51984096625</v>
      </c>
    </row>
    <row r="1644" customFormat="false" ht="15" hidden="false" customHeight="false" outlineLevel="0" collapsed="false">
      <c r="A1644" s="3" t="s">
        <v>531</v>
      </c>
      <c r="B1644" s="0" t="s">
        <v>69</v>
      </c>
      <c r="E1644" s="21" t="n">
        <f aca="false">E1643/D1643-1</f>
        <v>0</v>
      </c>
      <c r="F1644" s="21" t="n">
        <f aca="false">F1643/E1643-1</f>
        <v>-0.0599999999999999</v>
      </c>
      <c r="G1644" s="21" t="n">
        <f aca="false">G1643/F1643-1</f>
        <v>-0.0299999999999999</v>
      </c>
    </row>
    <row r="1645" customFormat="false" ht="15" hidden="false" customHeight="false" outlineLevel="0" collapsed="false">
      <c r="A1645" s="3" t="s">
        <v>532</v>
      </c>
      <c r="B1645" s="0" t="s">
        <v>35</v>
      </c>
      <c r="D1645" s="23" t="n">
        <f aca="false">fx_26</f>
        <v>31.6</v>
      </c>
      <c r="E1645" s="23" t="n">
        <f aca="false">fx</f>
        <v>32</v>
      </c>
      <c r="F1645" s="23" t="n">
        <f aca="false">fx</f>
        <v>32</v>
      </c>
      <c r="G1645" s="23" t="n">
        <f aca="false">fx</f>
        <v>32</v>
      </c>
    </row>
    <row r="1646" customFormat="false" ht="17.15" hidden="false" customHeight="false" outlineLevel="0" collapsed="false">
      <c r="A1646" s="3" t="s">
        <v>533</v>
      </c>
      <c r="B1646" s="0" t="s">
        <v>181</v>
      </c>
      <c r="D1646" s="23" t="n">
        <f aca="false">D1642*D1643*D1645/1000000</f>
        <v>270.25378</v>
      </c>
      <c r="E1646" s="23" t="n">
        <f aca="false">E1642*E1643*E1645/1000000</f>
        <v>268.08578501666</v>
      </c>
      <c r="F1646" s="23" t="n">
        <f aca="false">F1642*F1643*F1645/1000000</f>
        <v>249.910876528067</v>
      </c>
      <c r="G1646" s="23" t="n">
        <f aca="false">G1642*G1643*G1645/1000000</f>
        <v>273.034209208927</v>
      </c>
    </row>
    <row r="1647" customFormat="false" ht="17.15" hidden="false" customHeight="false" outlineLevel="0" collapsed="false">
      <c r="A1647" s="5" t="s">
        <v>534</v>
      </c>
    </row>
    <row r="1648" customFormat="false" ht="17.15" hidden="false" customHeight="false" outlineLevel="0" collapsed="false">
      <c r="A1648" s="0" t="s">
        <v>535</v>
      </c>
      <c r="B1648" s="0" t="s">
        <v>138</v>
      </c>
      <c r="D1648" s="25" t="n">
        <f aca="false">ai_26</f>
        <v>0.3</v>
      </c>
      <c r="E1648" s="25" t="n">
        <f aca="false">D1648*(1+aig27_C)*ai_adj</f>
        <v>0.36</v>
      </c>
      <c r="F1648" s="25" t="n">
        <f aca="false">E1648*(1+aig_L)*um28_C</f>
        <v>0.3132</v>
      </c>
      <c r="G1648" s="25" t="n">
        <f aca="false">F1648/um28_C*(1+aig_L)*um29_C</f>
        <v>0.45414</v>
      </c>
    </row>
    <row r="1649" customFormat="false" ht="17.15" hidden="false" customHeight="false" outlineLevel="0" collapsed="false">
      <c r="A1649" s="0" t="s">
        <v>536</v>
      </c>
      <c r="B1649" s="0" t="s">
        <v>181</v>
      </c>
      <c r="D1649" s="23" t="n">
        <f aca="false">D1648*D1645</f>
        <v>9.48</v>
      </c>
      <c r="E1649" s="23" t="n">
        <f aca="false">E1648*E1645</f>
        <v>11.52</v>
      </c>
      <c r="F1649" s="23" t="n">
        <f aca="false">F1648*F1645</f>
        <v>10.0224</v>
      </c>
      <c r="G1649" s="23" t="n">
        <f aca="false">G1648*G1645</f>
        <v>14.53248</v>
      </c>
    </row>
    <row r="1650" customFormat="false" ht="17.15" hidden="false" customHeight="false" outlineLevel="0" collapsed="false">
      <c r="A1650" s="0" t="s">
        <v>537</v>
      </c>
      <c r="B1650" s="0" t="s">
        <v>138</v>
      </c>
      <c r="D1650" s="25" t="n">
        <f aca="false">0</f>
        <v>0</v>
      </c>
      <c r="E1650" s="25" t="n">
        <f aca="false">int_27</f>
        <v>0</v>
      </c>
      <c r="F1650" s="25" t="n">
        <f aca="false">int28_C</f>
        <v>0</v>
      </c>
      <c r="G1650" s="25" t="n">
        <f aca="false">int29_C</f>
        <v>0.08</v>
      </c>
    </row>
    <row r="1651" customFormat="false" ht="17.15" hidden="false" customHeight="false" outlineLevel="0" collapsed="false">
      <c r="A1651" s="0" t="s">
        <v>538</v>
      </c>
      <c r="B1651" s="0" t="s">
        <v>181</v>
      </c>
      <c r="D1651" s="23" t="n">
        <f aca="false">D1650*D1645</f>
        <v>0</v>
      </c>
      <c r="E1651" s="23" t="n">
        <f aca="false">E1650*E1645</f>
        <v>0</v>
      </c>
      <c r="F1651" s="23" t="n">
        <f aca="false">F1650*F1645</f>
        <v>0</v>
      </c>
      <c r="G1651" s="23" t="n">
        <f aca="false">G1650*G1645</f>
        <v>2.56</v>
      </c>
    </row>
    <row r="1652" customFormat="false" ht="17.15" hidden="false" customHeight="false" outlineLevel="0" collapsed="false">
      <c r="A1652" s="3" t="s">
        <v>393</v>
      </c>
      <c r="B1652" s="0" t="s">
        <v>181</v>
      </c>
      <c r="C1652" s="23" t="n">
        <f aca="false">a25_rev</f>
        <v>237.553</v>
      </c>
      <c r="D1652" s="23" t="n">
        <f aca="false">D1646+D1649+D1651</f>
        <v>279.73378</v>
      </c>
      <c r="E1652" s="23" t="n">
        <f aca="false">E1646+E1649+E1651</f>
        <v>279.60578501666</v>
      </c>
      <c r="F1652" s="23" t="n">
        <f aca="false">F1646+F1649+F1651</f>
        <v>259.933276528067</v>
      </c>
      <c r="G1652" s="23" t="n">
        <f aca="false">G1646+G1649+G1651</f>
        <v>290.126689208927</v>
      </c>
      <c r="H1652" s="30" t="n">
        <f aca="false">G1652*(1+H1654)</f>
        <v>314.527952983075</v>
      </c>
      <c r="I1652" s="30" t="n">
        <f aca="false">H1652*(1+I1654)</f>
        <v>330.900005213497</v>
      </c>
      <c r="J1652" s="30" t="n">
        <f aca="false">I1652*(1+J1654)</f>
        <v>337.518005317767</v>
      </c>
      <c r="K1652" s="7" t="s">
        <v>539</v>
      </c>
    </row>
    <row r="1653" customFormat="false" ht="17.15" hidden="false" customHeight="false" outlineLevel="0" collapsed="false">
      <c r="A1653" s="0" t="s">
        <v>540</v>
      </c>
      <c r="B1653" s="0" t="s">
        <v>69</v>
      </c>
      <c r="D1653" s="21" t="n">
        <f aca="false">D1649/D1652</f>
        <v>0.0338893643806622</v>
      </c>
      <c r="E1653" s="21" t="n">
        <f aca="false">E1649/E1652</f>
        <v>0.0412008642786615</v>
      </c>
      <c r="F1653" s="21" t="n">
        <f aca="false">F1649/F1652</f>
        <v>0.0385575872926674</v>
      </c>
      <c r="G1653" s="21" t="n">
        <f aca="false">G1649/G1652</f>
        <v>0.0500901176642002</v>
      </c>
    </row>
    <row r="1654" customFormat="false" ht="15" hidden="false" customHeight="false" outlineLevel="0" collapsed="false">
      <c r="A1654" s="3" t="s">
        <v>541</v>
      </c>
      <c r="B1654" s="0" t="s">
        <v>69</v>
      </c>
      <c r="D1654" s="21" t="n">
        <f aca="false">D1652/C1652-1</f>
        <v>0.177563659478096</v>
      </c>
      <c r="E1654" s="21" t="n">
        <f aca="false">E1652/D1652-1</f>
        <v>-0.000457559981995259</v>
      </c>
      <c r="F1654" s="21" t="n">
        <f aca="false">F1652/E1652-1</f>
        <v>-0.0703580166891779</v>
      </c>
      <c r="G1654" s="21" t="n">
        <f aca="false">G1652/F1652-1</f>
        <v>0.116158319874062</v>
      </c>
      <c r="H1654" s="28" t="n">
        <f aca="false">$G1654+(fade_gC-$G1654)*1/3</f>
        <v>0.0841055465827078</v>
      </c>
      <c r="I1654" s="28" t="n">
        <f aca="false">$G1654+(fade_gC-$G1654)*2/3</f>
        <v>0.0520527732913539</v>
      </c>
      <c r="J1654" s="28" t="n">
        <f aca="false">$G1654+(fade_gC-$G1654)*3/3</f>
        <v>0.02</v>
      </c>
    </row>
    <row r="1655" customFormat="false" ht="17.15" hidden="false" customHeight="false" outlineLevel="0" collapsed="false">
      <c r="A1655" s="5" t="s">
        <v>542</v>
      </c>
    </row>
    <row r="1656" customFormat="false" ht="15" hidden="false" customHeight="false" outlineLevel="0" collapsed="false">
      <c r="A1656" s="3" t="s">
        <v>543</v>
      </c>
      <c r="B1656" s="0" t="s">
        <v>181</v>
      </c>
      <c r="D1656" s="23" t="n">
        <f aca="false">da_tot26*da_sh</f>
        <v>56.172</v>
      </c>
      <c r="E1656" s="23" t="n">
        <f aca="false">D1656*(1+dag_27+dag_adj)</f>
        <v>62.91264</v>
      </c>
      <c r="F1656" s="23" t="n">
        <f aca="false">E1656*(1+dag_28+dag_adj)</f>
        <v>69.203904</v>
      </c>
      <c r="G1656" s="23" t="n">
        <f aca="false">F1656*(1+dag_29+dag_adj)</f>
        <v>74.74021632</v>
      </c>
    </row>
    <row r="1657" customFormat="false" ht="17.15" hidden="false" customHeight="false" outlineLevel="0" collapsed="false">
      <c r="A1657" s="3" t="s">
        <v>544</v>
      </c>
      <c r="B1657" s="0" t="s">
        <v>545</v>
      </c>
      <c r="D1657" s="23" t="n">
        <f aca="false">(D1652-a26_gp-D1656-(1-m_new)*(D1649+D1651))/D1642*1000</f>
        <v>27.9465727870208</v>
      </c>
      <c r="E1657" s="23" t="n">
        <f aca="false">D1657*(1+cc_g)</f>
        <v>28.5055042427612</v>
      </c>
      <c r="F1657" s="23" t="n">
        <f aca="false">E1657*(1+cc_g)</f>
        <v>29.0756143276165</v>
      </c>
      <c r="G1657" s="23" t="n">
        <f aca="false">F1657*(1+cc_g)</f>
        <v>29.6571266141688</v>
      </c>
      <c r="K1657" s="7" t="s">
        <v>546</v>
      </c>
    </row>
    <row r="1658" customFormat="false" ht="17.15" hidden="false" customHeight="false" outlineLevel="0" collapsed="false">
      <c r="A1658" s="3" t="s">
        <v>547</v>
      </c>
      <c r="B1658" s="0" t="s">
        <v>181</v>
      </c>
      <c r="D1658" s="23" t="n">
        <f aca="false">D1657*D1642/1000</f>
        <v>127.2556948</v>
      </c>
      <c r="E1658" s="23" t="n">
        <f aca="false">E1657*E1642/1000</f>
        <v>127.150043188577</v>
      </c>
      <c r="F1658" s="23" t="n">
        <f aca="false">F1657*F1642/1000</f>
        <v>128.617540760207</v>
      </c>
      <c r="G1658" s="23" t="n">
        <f aca="false">G1657*G1642/1000</f>
        <v>147.761246300726</v>
      </c>
    </row>
    <row r="1659" customFormat="false" ht="17.15" hidden="false" customHeight="false" outlineLevel="0" collapsed="false">
      <c r="A1659" s="3" t="s">
        <v>548</v>
      </c>
      <c r="B1659" s="0" t="s">
        <v>181</v>
      </c>
      <c r="D1659" s="23" t="n">
        <f aca="false">m_new*(D1649+D1651)</f>
        <v>4.266</v>
      </c>
      <c r="E1659" s="23" t="n">
        <f aca="false">m_new*(E1649+E1651)</f>
        <v>5.184</v>
      </c>
      <c r="F1659" s="23" t="n">
        <f aca="false">m_new*(F1649+F1651)</f>
        <v>4.51008</v>
      </c>
      <c r="G1659" s="23" t="n">
        <f aca="false">m_new*(G1649+G1651)</f>
        <v>7.691616</v>
      </c>
    </row>
    <row r="1660" customFormat="false" ht="15" hidden="false" customHeight="false" outlineLevel="0" collapsed="false">
      <c r="A1660" s="3" t="s">
        <v>411</v>
      </c>
      <c r="B1660" s="0" t="s">
        <v>181</v>
      </c>
      <c r="C1660" s="23" t="n">
        <f aca="false">a25_gp</f>
        <v>68.906</v>
      </c>
      <c r="D1660" s="23" t="n">
        <f aca="false">D1646-D1656-D1658+D1659</f>
        <v>91.0920852</v>
      </c>
      <c r="E1660" s="23" t="n">
        <f aca="false">E1646-E1656-E1658+E1659</f>
        <v>83.2071018280829</v>
      </c>
      <c r="F1660" s="23" t="n">
        <f aca="false">F1646-F1656-F1658+F1659</f>
        <v>56.59951176786</v>
      </c>
      <c r="G1660" s="23" t="n">
        <f aca="false">G1646-G1656-G1658+G1659</f>
        <v>58.2243625882008</v>
      </c>
    </row>
    <row r="1661" customFormat="false" ht="15" hidden="false" customHeight="false" outlineLevel="0" collapsed="false">
      <c r="A1661" s="3" t="s">
        <v>413</v>
      </c>
      <c r="B1661" s="0" t="s">
        <v>69</v>
      </c>
      <c r="C1661" s="15" t="n">
        <f aca="false">C1660/C1652</f>
        <v>0.290065795843454</v>
      </c>
      <c r="D1661" s="15" t="n">
        <f aca="false">D1660/D1652</f>
        <v>0.325638488136828</v>
      </c>
      <c r="E1661" s="15" t="n">
        <f aca="false">E1660/E1652</f>
        <v>0.297587196999966</v>
      </c>
      <c r="F1661" s="15" t="n">
        <f aca="false">F1660/F1652</f>
        <v>0.217746309837127</v>
      </c>
      <c r="G1661" s="15" t="n">
        <f aca="false">G1660/G1652</f>
        <v>0.200685992546767</v>
      </c>
    </row>
    <row r="1662" customFormat="false" ht="15" hidden="false" customHeight="false" outlineLevel="0" collapsed="false">
      <c r="A1662" s="3" t="s">
        <v>415</v>
      </c>
      <c r="B1662" s="0" t="s">
        <v>181</v>
      </c>
      <c r="C1662" s="23" t="n">
        <f aca="false">a25_opx</f>
        <v>25.056</v>
      </c>
      <c r="D1662" s="23" t="n">
        <f aca="false">a26_opx</f>
        <v>27.23586</v>
      </c>
      <c r="E1662" s="23" t="n">
        <f aca="false">D1662*(1+MAX(g_opx_min,phi_hi*E1654))</f>
        <v>28.0529358</v>
      </c>
      <c r="F1662" s="23" t="n">
        <f aca="false">E1662*(1+MAX(g_opx_min,phi_hi*F1654))</f>
        <v>28.894523874</v>
      </c>
      <c r="G1662" s="23" t="n">
        <f aca="false">F1662*(1+MAX(g_opx_min,phi_hi*G1654))</f>
        <v>31.5795953514119</v>
      </c>
    </row>
    <row r="1663" customFormat="false" ht="15" hidden="false" customHeight="false" outlineLevel="0" collapsed="false">
      <c r="A1663" s="3" t="s">
        <v>418</v>
      </c>
      <c r="B1663" s="0" t="s">
        <v>181</v>
      </c>
      <c r="C1663" s="23" t="n">
        <f aca="false">C1660-C1662</f>
        <v>43.85</v>
      </c>
      <c r="D1663" s="23" t="n">
        <f aca="false">D1660-D1662</f>
        <v>63.8562252</v>
      </c>
      <c r="E1663" s="23" t="n">
        <f aca="false">E1660-E1662</f>
        <v>55.1541660280829</v>
      </c>
      <c r="F1663" s="23" t="n">
        <f aca="false">F1660-F1662</f>
        <v>27.70498789386</v>
      </c>
      <c r="G1663" s="23" t="n">
        <f aca="false">G1660-G1662</f>
        <v>26.644767236789</v>
      </c>
    </row>
    <row r="1664" customFormat="false" ht="15" hidden="false" customHeight="false" outlineLevel="0" collapsed="false">
      <c r="A1664" s="3" t="s">
        <v>515</v>
      </c>
      <c r="B1664" s="0" t="s">
        <v>69</v>
      </c>
      <c r="C1664" s="15" t="n">
        <f aca="false">C1663/C1652</f>
        <v>0.184590386145408</v>
      </c>
      <c r="D1664" s="15" t="n">
        <f aca="false">D1663/D1652</f>
        <v>0.228274987740129</v>
      </c>
      <c r="E1664" s="15" t="n">
        <f aca="false">E1663/E1652</f>
        <v>0.197256884455365</v>
      </c>
      <c r="F1664" s="15" t="n">
        <f aca="false">F1663/F1652</f>
        <v>0.106584998519297</v>
      </c>
      <c r="G1664" s="15" t="n">
        <f aca="false">G1663/G1652</f>
        <v>0.0918383872557187</v>
      </c>
    </row>
    <row r="1665" customFormat="false" ht="15" hidden="false" customHeight="false" outlineLevel="0" collapsed="false">
      <c r="A1665" s="3" t="s">
        <v>421</v>
      </c>
      <c r="B1665" s="0" t="s">
        <v>181</v>
      </c>
      <c r="C1665" s="23" t="n">
        <f aca="false">a25_nonop</f>
        <v>5.805</v>
      </c>
      <c r="D1665" s="23" t="n">
        <f aca="false">a26_nonop</f>
        <v>38.372</v>
      </c>
      <c r="E1665" s="23" t="n">
        <f aca="false">nonop_f</f>
        <v>4</v>
      </c>
      <c r="F1665" s="23" t="n">
        <f aca="false">nonop_f</f>
        <v>4</v>
      </c>
      <c r="G1665" s="23" t="n">
        <f aca="false">nonop_f</f>
        <v>4</v>
      </c>
    </row>
    <row r="1666" customFormat="false" ht="15" hidden="false" customHeight="false" outlineLevel="0" collapsed="false">
      <c r="A1666" s="3" t="s">
        <v>423</v>
      </c>
      <c r="B1666" s="0" t="s">
        <v>181</v>
      </c>
      <c r="C1666" s="23" t="n">
        <f aca="false">C1663+C1665</f>
        <v>49.655</v>
      </c>
      <c r="D1666" s="23" t="n">
        <f aca="false">D1663+D1665</f>
        <v>102.2282252</v>
      </c>
      <c r="E1666" s="23" t="n">
        <f aca="false">E1663+E1665</f>
        <v>59.1541660280829</v>
      </c>
      <c r="F1666" s="23" t="n">
        <f aca="false">F1663+F1665</f>
        <v>31.70498789386</v>
      </c>
      <c r="G1666" s="23" t="n">
        <f aca="false">G1663+G1665</f>
        <v>30.644767236789</v>
      </c>
    </row>
    <row r="1667" customFormat="false" ht="15" hidden="false" customHeight="false" outlineLevel="0" collapsed="false">
      <c r="A1667" s="3" t="s">
        <v>425</v>
      </c>
      <c r="B1667" s="0" t="s">
        <v>181</v>
      </c>
      <c r="C1667" s="23" t="n">
        <f aca="false">a25_tax</f>
        <v>7.939</v>
      </c>
      <c r="D1667" s="23" t="n">
        <f aca="false">a26_tax</f>
        <v>10.493828284</v>
      </c>
      <c r="E1667" s="23" t="n">
        <f aca="false">E1666*tax</f>
        <v>8.87312490421244</v>
      </c>
      <c r="F1667" s="23" t="n">
        <f aca="false">F1666*tax</f>
        <v>4.75574818407899</v>
      </c>
      <c r="G1667" s="23" t="n">
        <f aca="false">G1666*tax</f>
        <v>4.59671508551835</v>
      </c>
    </row>
    <row r="1668" customFormat="false" ht="17.15" hidden="false" customHeight="false" outlineLevel="0" collapsed="false">
      <c r="A1668" s="3" t="s">
        <v>549</v>
      </c>
      <c r="B1668" s="0" t="s">
        <v>181</v>
      </c>
      <c r="C1668" s="23" t="n">
        <f aca="false">a25_mi</f>
        <v>0</v>
      </c>
      <c r="D1668" s="23" t="n">
        <f aca="false">a26_mi</f>
        <v>-0.134999999999987</v>
      </c>
      <c r="E1668" s="23" t="n">
        <f aca="false">0</f>
        <v>0</v>
      </c>
      <c r="F1668" s="23" t="n">
        <f aca="false">0</f>
        <v>0</v>
      </c>
      <c r="G1668" s="23" t="n">
        <f aca="false">0</f>
        <v>0</v>
      </c>
      <c r="K1668" s="7" t="s">
        <v>550</v>
      </c>
    </row>
    <row r="1669" customFormat="false" ht="15" hidden="false" customHeight="false" outlineLevel="0" collapsed="false">
      <c r="A1669" s="3" t="s">
        <v>428</v>
      </c>
      <c r="B1669" s="0" t="s">
        <v>181</v>
      </c>
      <c r="C1669" s="23" t="n">
        <f aca="false">C1666-C1667-C1668</f>
        <v>41.716</v>
      </c>
      <c r="D1669" s="23" t="n">
        <f aca="false">D1666-D1667-D1668</f>
        <v>91.869396916</v>
      </c>
      <c r="E1669" s="23" t="n">
        <f aca="false">E1666-E1667-E1668</f>
        <v>50.2810411238705</v>
      </c>
      <c r="F1669" s="23" t="n">
        <f aca="false">F1666-F1667-F1668</f>
        <v>26.949239709781</v>
      </c>
      <c r="G1669" s="23" t="n">
        <f aca="false">G1666-G1667-G1668</f>
        <v>26.0480521512706</v>
      </c>
      <c r="H1669" s="30" t="n">
        <f aca="false">H1652*H1673</f>
        <v>26.3562486272103</v>
      </c>
      <c r="I1669" s="30" t="n">
        <f aca="false">I1652*I1673</f>
        <v>25.7475812859692</v>
      </c>
      <c r="J1669" s="30" t="n">
        <f aca="false">J1652*J1673</f>
        <v>24.2423380723279</v>
      </c>
    </row>
    <row r="1670" customFormat="false" ht="15" hidden="false" customHeight="false" outlineLevel="0" collapsed="false">
      <c r="A1670" s="3" t="s">
        <v>551</v>
      </c>
      <c r="B1670" s="3" t="s">
        <v>250</v>
      </c>
      <c r="C1670" s="9" t="n">
        <f aca="false">a25_sh</f>
        <v>12.4898203592814</v>
      </c>
      <c r="D1670" s="9" t="n">
        <f aca="false">a26_sh</f>
        <v>12.4754339027235</v>
      </c>
      <c r="E1670" s="9" t="n">
        <f aca="false">q_sh*(1+sh_g)</f>
        <v>12.45</v>
      </c>
      <c r="F1670" s="9" t="n">
        <f aca="false">E1670*(1+sh_g)</f>
        <v>12.45</v>
      </c>
      <c r="G1670" s="9" t="n">
        <f aca="false">F1670*(1+sh_g)</f>
        <v>12.45</v>
      </c>
      <c r="H1670" s="32" t="n">
        <f aca="false">G1670*(1+sh_g)</f>
        <v>12.45</v>
      </c>
      <c r="I1670" s="32" t="n">
        <f aca="false">H1670*(1+sh_g)</f>
        <v>12.45</v>
      </c>
      <c r="J1670" s="32" t="n">
        <f aca="false">I1670*(1+sh_g)</f>
        <v>12.45</v>
      </c>
    </row>
    <row r="1671" customFormat="false" ht="17.15" hidden="false" customHeight="false" outlineLevel="0" collapsed="false">
      <c r="A1671" s="0" t="s">
        <v>434</v>
      </c>
      <c r="B1671" s="0" t="s">
        <v>260</v>
      </c>
      <c r="C1671" s="23" t="n">
        <f aca="false">C1669/C1670</f>
        <v>3.34</v>
      </c>
      <c r="D1671" s="23" t="n">
        <f aca="false">D1669/D1670</f>
        <v>7.36402418002826</v>
      </c>
      <c r="E1671" s="23" t="n">
        <f aca="false">E1669/E1670</f>
        <v>4.03863784127474</v>
      </c>
      <c r="F1671" s="23" t="n">
        <f aca="false">F1669/F1670</f>
        <v>2.16459756705068</v>
      </c>
      <c r="G1671" s="23" t="n">
        <f aca="false">G1669/G1670</f>
        <v>2.09221302419844</v>
      </c>
      <c r="H1671" s="30" t="n">
        <f aca="false">H1669/H1670</f>
        <v>2.11696776122171</v>
      </c>
      <c r="I1671" s="30" t="n">
        <f aca="false">I1669/I1670</f>
        <v>2.06807881815014</v>
      </c>
      <c r="J1671" s="30" t="n">
        <f aca="false">J1669/J1670</f>
        <v>1.94717574878136</v>
      </c>
    </row>
    <row r="1672" customFormat="false" ht="17.15" hidden="false" customHeight="false" outlineLevel="0" collapsed="false">
      <c r="A1672" s="0" t="s">
        <v>552</v>
      </c>
      <c r="B1672" s="0" t="s">
        <v>69</v>
      </c>
      <c r="D1672" s="21" t="n">
        <f aca="false">D1671/C1671-1</f>
        <v>1.2047976586911</v>
      </c>
      <c r="E1672" s="21" t="n">
        <f aca="false">E1671/D1671-1</f>
        <v>-0.451571892956599</v>
      </c>
      <c r="F1672" s="21" t="n">
        <f aca="false">F1671/E1671-1</f>
        <v>-0.464027810335315</v>
      </c>
      <c r="G1672" s="21" t="n">
        <f aca="false">G1671/F1671-1</f>
        <v>-0.0334401848888988</v>
      </c>
      <c r="H1672" s="28" t="n">
        <f aca="false">H1671/G1671-1</f>
        <v>0.0118318434771938</v>
      </c>
      <c r="I1672" s="28" t="n">
        <f aca="false">I1671/H1671-1</f>
        <v>-0.0230938533723141</v>
      </c>
      <c r="J1672" s="28" t="n">
        <f aca="false">J1671/I1671-1</f>
        <v>-0.0584615384615386</v>
      </c>
    </row>
    <row r="1673" customFormat="false" ht="17.15" hidden="false" customHeight="false" outlineLevel="0" collapsed="false">
      <c r="A1673" s="3" t="s">
        <v>553</v>
      </c>
      <c r="B1673" s="0" t="s">
        <v>69</v>
      </c>
      <c r="C1673" s="15" t="n">
        <f aca="false">C1669/C1652</f>
        <v>0.175607127672562</v>
      </c>
      <c r="D1673" s="15" t="n">
        <f aca="false">D1669/D1652</f>
        <v>0.328417243409073</v>
      </c>
      <c r="E1673" s="15" t="n">
        <f aca="false">E1669/E1652</f>
        <v>0.179828329091526</v>
      </c>
      <c r="F1673" s="15" t="n">
        <f aca="false">F1669/F1652</f>
        <v>0.103677528594039</v>
      </c>
      <c r="G1673" s="15" t="n">
        <f aca="false">G1669/G1652</f>
        <v>0.0897816475357523</v>
      </c>
      <c r="H1673" s="29" t="n">
        <f aca="false">$G1673+($G$1673*0.8-$G1673)*1/3</f>
        <v>0.0837962043667021</v>
      </c>
      <c r="I1673" s="29" t="n">
        <f aca="false">$G1673+($G$1673*0.8-$G1673)*2/3</f>
        <v>0.077810761197652</v>
      </c>
      <c r="J1673" s="29" t="n">
        <f aca="false">$G1673+($G$1673*0.8-$G1673)*3/3</f>
        <v>0.0718253180286018</v>
      </c>
    </row>
    <row r="1676" customFormat="false" ht="17.15" hidden="false" customHeight="false" outlineLevel="0" collapsed="false">
      <c r="A1676" s="1" t="s">
        <v>879</v>
      </c>
    </row>
    <row r="1677" customFormat="false" ht="17.15" hidden="false" customHeight="false" outlineLevel="0" collapsed="false">
      <c r="A1677" s="4" t="s">
        <v>24</v>
      </c>
      <c r="B1677" s="4" t="s">
        <v>25</v>
      </c>
      <c r="C1677" s="16" t="s">
        <v>387</v>
      </c>
      <c r="D1677" s="16" t="s">
        <v>505</v>
      </c>
      <c r="E1677" s="16" t="s">
        <v>467</v>
      </c>
      <c r="F1677" s="16" t="s">
        <v>468</v>
      </c>
      <c r="G1677" s="16" t="s">
        <v>469</v>
      </c>
      <c r="H1677" s="16" t="s">
        <v>506</v>
      </c>
      <c r="I1677" s="16" t="s">
        <v>507</v>
      </c>
      <c r="J1677" s="16" t="s">
        <v>508</v>
      </c>
      <c r="K1677" s="4" t="s">
        <v>345</v>
      </c>
    </row>
    <row r="1678" customFormat="false" ht="17.15" hidden="false" customHeight="false" outlineLevel="0" collapsed="false">
      <c r="A1678" s="5" t="s">
        <v>526</v>
      </c>
    </row>
    <row r="1679" customFormat="false" ht="17.15" hidden="false" customHeight="false" outlineLevel="0" collapsed="false">
      <c r="A1679" s="3" t="s">
        <v>527</v>
      </c>
      <c r="B1679" s="3" t="s">
        <v>64</v>
      </c>
      <c r="D1679" s="22" t="n">
        <f aca="false">cap_26</f>
        <v>5230.46851955216</v>
      </c>
      <c r="E1679" s="22" t="n">
        <f aca="false">D1679*(1+capg27)*cap_adj</f>
        <v>5439.68726033425</v>
      </c>
      <c r="F1679" s="22" t="n">
        <f aca="false">E1679*(1+capg28)</f>
        <v>5820.46536855765</v>
      </c>
      <c r="G1679" s="22" t="n">
        <f aca="false">F1679*(1+capg29)</f>
        <v>6227.89794435668</v>
      </c>
    </row>
    <row r="1680" customFormat="false" ht="15" hidden="false" customHeight="false" outlineLevel="0" collapsed="false">
      <c r="A1680" s="3" t="s">
        <v>528</v>
      </c>
      <c r="B1680" s="0" t="s">
        <v>69</v>
      </c>
      <c r="D1680" s="21" t="n">
        <f aca="false">a26_ship/cap_26</f>
        <v>0.870578781414787</v>
      </c>
      <c r="E1680" s="21" t="n">
        <f aca="false">MIN(0.98,ut27_A+ut_adj)</f>
        <v>0.95</v>
      </c>
      <c r="F1680" s="21" t="n">
        <f aca="false">MIN(0.98,ut28_A+ut_adj)</f>
        <v>0.94</v>
      </c>
      <c r="G1680" s="21" t="n">
        <f aca="false">MIN(0.98,ut29_A+ut_adj)</f>
        <v>0.93</v>
      </c>
    </row>
    <row r="1681" customFormat="false" ht="17.15" hidden="false" customHeight="false" outlineLevel="0" collapsed="false">
      <c r="A1681" s="3" t="s">
        <v>529</v>
      </c>
      <c r="B1681" s="3" t="s">
        <v>64</v>
      </c>
      <c r="D1681" s="22" t="n">
        <f aca="false">D1679*D1680</f>
        <v>4553.53490998013</v>
      </c>
      <c r="E1681" s="22" t="n">
        <f aca="false">E1679*E1680</f>
        <v>5167.70289731754</v>
      </c>
      <c r="F1681" s="22" t="n">
        <f aca="false">F1679*F1680</f>
        <v>5471.23744644419</v>
      </c>
      <c r="G1681" s="22" t="n">
        <f aca="false">G1679*G1680</f>
        <v>5791.94508825172</v>
      </c>
    </row>
    <row r="1682" customFormat="false" ht="17.15" hidden="false" customHeight="false" outlineLevel="0" collapsed="false">
      <c r="A1682" s="3" t="s">
        <v>530</v>
      </c>
      <c r="B1682" s="0" t="s">
        <v>109</v>
      </c>
      <c r="D1682" s="22" t="n">
        <f aca="false">asp_26</f>
        <v>1878.17486396824</v>
      </c>
      <c r="E1682" s="22" t="n">
        <f aca="false">D1682*(1+asp27_A)*(1+asp_adj)</f>
        <v>2065.99235036507</v>
      </c>
      <c r="F1682" s="22" t="n">
        <f aca="false">E1682*(1+asp28_A)</f>
        <v>2127.97212087602</v>
      </c>
      <c r="G1682" s="22" t="n">
        <f aca="false">F1682*(1+asp29_A)</f>
        <v>2170.53156329354</v>
      </c>
    </row>
    <row r="1683" customFormat="false" ht="15" hidden="false" customHeight="false" outlineLevel="0" collapsed="false">
      <c r="A1683" s="3" t="s">
        <v>531</v>
      </c>
      <c r="B1683" s="0" t="s">
        <v>69</v>
      </c>
      <c r="E1683" s="21" t="n">
        <f aca="false">E1682/D1682-1</f>
        <v>0.1</v>
      </c>
      <c r="F1683" s="21" t="n">
        <f aca="false">F1682/E1682-1</f>
        <v>0.03</v>
      </c>
      <c r="G1683" s="21" t="n">
        <f aca="false">G1682/F1682-1</f>
        <v>0.02</v>
      </c>
    </row>
    <row r="1684" customFormat="false" ht="15" hidden="false" customHeight="false" outlineLevel="0" collapsed="false">
      <c r="A1684" s="3" t="s">
        <v>532</v>
      </c>
      <c r="B1684" s="0" t="s">
        <v>35</v>
      </c>
      <c r="D1684" s="23" t="n">
        <f aca="false">fx_26</f>
        <v>31.6</v>
      </c>
      <c r="E1684" s="23" t="n">
        <f aca="false">fx</f>
        <v>32</v>
      </c>
      <c r="F1684" s="23" t="n">
        <f aca="false">fx</f>
        <v>32</v>
      </c>
      <c r="G1684" s="23" t="n">
        <f aca="false">fx</f>
        <v>32</v>
      </c>
    </row>
    <row r="1685" customFormat="false" ht="17.15" hidden="false" customHeight="false" outlineLevel="0" collapsed="false">
      <c r="A1685" s="3" t="s">
        <v>533</v>
      </c>
      <c r="B1685" s="0" t="s">
        <v>181</v>
      </c>
      <c r="D1685" s="23" t="n">
        <f aca="false">D1681*D1682*D1684/1000000</f>
        <v>270.25378</v>
      </c>
      <c r="E1685" s="23" t="n">
        <f aca="false">E1681*E1682*E1684/1000000</f>
        <v>341.645908954158</v>
      </c>
      <c r="F1685" s="23" t="n">
        <f aca="false">F1681*F1682*F1684/1000000</f>
        <v>372.564504087237</v>
      </c>
      <c r="G1685" s="23" t="n">
        <f aca="false">G1681*G1682*G1684/1000000</f>
        <v>402.291188061227</v>
      </c>
    </row>
    <row r="1686" customFormat="false" ht="17.15" hidden="false" customHeight="false" outlineLevel="0" collapsed="false">
      <c r="A1686" s="5" t="s">
        <v>534</v>
      </c>
    </row>
    <row r="1687" customFormat="false" ht="17.15" hidden="false" customHeight="false" outlineLevel="0" collapsed="false">
      <c r="A1687" s="0" t="s">
        <v>535</v>
      </c>
      <c r="B1687" s="0" t="s">
        <v>138</v>
      </c>
      <c r="D1687" s="25" t="n">
        <f aca="false">ai_26</f>
        <v>0.3</v>
      </c>
      <c r="E1687" s="25" t="n">
        <f aca="false">D1687*(1+aig27_A)*ai_adj</f>
        <v>0.48</v>
      </c>
      <c r="F1687" s="25" t="n">
        <f aca="false">E1687*(1+aig_L)*um28_A</f>
        <v>0.696</v>
      </c>
      <c r="G1687" s="25" t="n">
        <f aca="false">F1687/um28_A*(1+aig_L)*um29_A</f>
        <v>1.0092</v>
      </c>
    </row>
    <row r="1688" customFormat="false" ht="17.15" hidden="false" customHeight="false" outlineLevel="0" collapsed="false">
      <c r="A1688" s="0" t="s">
        <v>536</v>
      </c>
      <c r="B1688" s="0" t="s">
        <v>181</v>
      </c>
      <c r="D1688" s="23" t="n">
        <f aca="false">D1687*D1684</f>
        <v>9.48</v>
      </c>
      <c r="E1688" s="23" t="n">
        <f aca="false">E1687*E1684</f>
        <v>15.36</v>
      </c>
      <c r="F1688" s="23" t="n">
        <f aca="false">F1687*F1684</f>
        <v>22.272</v>
      </c>
      <c r="G1688" s="23" t="n">
        <f aca="false">G1687*G1684</f>
        <v>32.2944</v>
      </c>
    </row>
    <row r="1689" customFormat="false" ht="17.15" hidden="false" customHeight="false" outlineLevel="0" collapsed="false">
      <c r="A1689" s="0" t="s">
        <v>537</v>
      </c>
      <c r="B1689" s="0" t="s">
        <v>138</v>
      </c>
      <c r="D1689" s="25" t="n">
        <f aca="false">0</f>
        <v>0</v>
      </c>
      <c r="E1689" s="25" t="n">
        <f aca="false">int_27</f>
        <v>0</v>
      </c>
      <c r="F1689" s="25" t="n">
        <f aca="false">int28_A</f>
        <v>0.25</v>
      </c>
      <c r="G1689" s="25" t="n">
        <f aca="false">int29_A</f>
        <v>0.5</v>
      </c>
    </row>
    <row r="1690" customFormat="false" ht="17.15" hidden="false" customHeight="false" outlineLevel="0" collapsed="false">
      <c r="A1690" s="0" t="s">
        <v>538</v>
      </c>
      <c r="B1690" s="0" t="s">
        <v>181</v>
      </c>
      <c r="D1690" s="23" t="n">
        <f aca="false">D1689*D1684</f>
        <v>0</v>
      </c>
      <c r="E1690" s="23" t="n">
        <f aca="false">E1689*E1684</f>
        <v>0</v>
      </c>
      <c r="F1690" s="23" t="n">
        <f aca="false">F1689*F1684</f>
        <v>8</v>
      </c>
      <c r="G1690" s="23" t="n">
        <f aca="false">G1689*G1684</f>
        <v>16</v>
      </c>
    </row>
    <row r="1691" customFormat="false" ht="17.15" hidden="false" customHeight="false" outlineLevel="0" collapsed="false">
      <c r="A1691" s="3" t="s">
        <v>393</v>
      </c>
      <c r="B1691" s="0" t="s">
        <v>181</v>
      </c>
      <c r="C1691" s="23" t="n">
        <f aca="false">a25_rev</f>
        <v>237.553</v>
      </c>
      <c r="D1691" s="23" t="n">
        <f aca="false">D1685+D1688+D1690</f>
        <v>279.73378</v>
      </c>
      <c r="E1691" s="23" t="n">
        <f aca="false">E1685+E1688+E1690</f>
        <v>357.005908954158</v>
      </c>
      <c r="F1691" s="23" t="n">
        <f aca="false">F1685+F1688+F1690</f>
        <v>402.836504087237</v>
      </c>
      <c r="G1691" s="23" t="n">
        <f aca="false">G1685+G1688+G1690</f>
        <v>450.585588061227</v>
      </c>
      <c r="H1691" s="30" t="n">
        <f aca="false">G1691*(1+H1693)</f>
        <v>495.203224084546</v>
      </c>
      <c r="I1691" s="30" t="n">
        <f aca="false">H1691*(1+I1693)</f>
        <v>534.577190214366</v>
      </c>
      <c r="J1691" s="30" t="n">
        <f aca="false">I1691*(1+J1693)</f>
        <v>566.651821627228</v>
      </c>
      <c r="K1691" s="7" t="s">
        <v>539</v>
      </c>
    </row>
    <row r="1692" customFormat="false" ht="17.15" hidden="false" customHeight="false" outlineLevel="0" collapsed="false">
      <c r="A1692" s="0" t="s">
        <v>540</v>
      </c>
      <c r="B1692" s="0" t="s">
        <v>69</v>
      </c>
      <c r="D1692" s="21" t="n">
        <f aca="false">D1688/D1691</f>
        <v>0.0338893643806622</v>
      </c>
      <c r="E1692" s="21" t="n">
        <f aca="false">E1688/E1691</f>
        <v>0.0430244979557813</v>
      </c>
      <c r="F1692" s="21" t="n">
        <f aca="false">F1688/F1691</f>
        <v>0.0552879388387723</v>
      </c>
      <c r="G1692" s="21" t="n">
        <f aca="false">G1688/G1691</f>
        <v>0.0716720659862999</v>
      </c>
    </row>
    <row r="1693" customFormat="false" ht="15" hidden="false" customHeight="false" outlineLevel="0" collapsed="false">
      <c r="A1693" s="3" t="s">
        <v>541</v>
      </c>
      <c r="B1693" s="0" t="s">
        <v>69</v>
      </c>
      <c r="D1693" s="21" t="n">
        <f aca="false">D1691/C1691-1</f>
        <v>0.177563659478096</v>
      </c>
      <c r="E1693" s="21" t="n">
        <f aca="false">E1691/D1691-1</f>
        <v>0.276234528965926</v>
      </c>
      <c r="F1693" s="21" t="n">
        <f aca="false">F1691/E1691-1</f>
        <v>0.128374892357772</v>
      </c>
      <c r="G1693" s="21" t="n">
        <f aca="false">G1691/F1691-1</f>
        <v>0.118532167491082</v>
      </c>
      <c r="H1693" s="28" t="n">
        <f aca="false">$G1693+(fade_gA-$G1693)*1/3</f>
        <v>0.099021444994055</v>
      </c>
      <c r="I1693" s="28" t="n">
        <f aca="false">$G1693+(fade_gA-$G1693)*2/3</f>
        <v>0.0795107224970275</v>
      </c>
      <c r="J1693" s="28" t="n">
        <f aca="false">$G1693+(fade_gA-$G1693)*3/3</f>
        <v>0.06</v>
      </c>
    </row>
    <row r="1694" customFormat="false" ht="17.15" hidden="false" customHeight="false" outlineLevel="0" collapsed="false">
      <c r="A1694" s="5" t="s">
        <v>542</v>
      </c>
    </row>
    <row r="1695" customFormat="false" ht="15" hidden="false" customHeight="false" outlineLevel="0" collapsed="false">
      <c r="A1695" s="3" t="s">
        <v>543</v>
      </c>
      <c r="B1695" s="0" t="s">
        <v>181</v>
      </c>
      <c r="D1695" s="23" t="n">
        <f aca="false">da_tot26*da_sh</f>
        <v>56.172</v>
      </c>
      <c r="E1695" s="23" t="n">
        <f aca="false">D1695*(1+dag_27+dag_adj)</f>
        <v>62.91264</v>
      </c>
      <c r="F1695" s="23" t="n">
        <f aca="false">E1695*(1+dag_28+dag_adj)</f>
        <v>69.203904</v>
      </c>
      <c r="G1695" s="23" t="n">
        <f aca="false">F1695*(1+dag_29+dag_adj)</f>
        <v>74.74021632</v>
      </c>
    </row>
    <row r="1696" customFormat="false" ht="17.15" hidden="false" customHeight="false" outlineLevel="0" collapsed="false">
      <c r="A1696" s="3" t="s">
        <v>544</v>
      </c>
      <c r="B1696" s="0" t="s">
        <v>545</v>
      </c>
      <c r="D1696" s="23" t="n">
        <f aca="false">(D1691-a26_gp-D1695-(1-m_new)*(D1688+D1690))/D1681*1000</f>
        <v>27.9465727870208</v>
      </c>
      <c r="E1696" s="23" t="n">
        <f aca="false">D1696*(1+cc_g)</f>
        <v>28.5055042427612</v>
      </c>
      <c r="F1696" s="23" t="n">
        <f aca="false">E1696*(1+cc_g)</f>
        <v>29.0756143276165</v>
      </c>
      <c r="G1696" s="23" t="n">
        <f aca="false">F1696*(1+cc_g)</f>
        <v>29.6571266141688</v>
      </c>
      <c r="K1696" s="7" t="s">
        <v>546</v>
      </c>
    </row>
    <row r="1697" customFormat="false" ht="17.15" hidden="false" customHeight="false" outlineLevel="0" collapsed="false">
      <c r="A1697" s="3" t="s">
        <v>547</v>
      </c>
      <c r="B1697" s="0" t="s">
        <v>181</v>
      </c>
      <c r="D1697" s="23" t="n">
        <f aca="false">D1696*D1681/1000</f>
        <v>127.2556948</v>
      </c>
      <c r="E1697" s="23" t="n">
        <f aca="false">E1696*E1681/1000</f>
        <v>147.307976864815</v>
      </c>
      <c r="F1697" s="23" t="n">
        <f aca="false">F1696*F1681/1000</f>
        <v>159.079589887624</v>
      </c>
      <c r="G1697" s="23" t="n">
        <f aca="false">G1696*G1681/1000</f>
        <v>171.772448824594</v>
      </c>
    </row>
    <row r="1698" customFormat="false" ht="17.15" hidden="false" customHeight="false" outlineLevel="0" collapsed="false">
      <c r="A1698" s="3" t="s">
        <v>548</v>
      </c>
      <c r="B1698" s="0" t="s">
        <v>181</v>
      </c>
      <c r="D1698" s="23" t="n">
        <f aca="false">m_new*(D1688+D1690)</f>
        <v>4.266</v>
      </c>
      <c r="E1698" s="23" t="n">
        <f aca="false">m_new*(E1688+E1690)</f>
        <v>6.912</v>
      </c>
      <c r="F1698" s="23" t="n">
        <f aca="false">m_new*(F1688+F1690)</f>
        <v>13.6224</v>
      </c>
      <c r="G1698" s="23" t="n">
        <f aca="false">m_new*(G1688+G1690)</f>
        <v>21.73248</v>
      </c>
    </row>
    <row r="1699" customFormat="false" ht="15" hidden="false" customHeight="false" outlineLevel="0" collapsed="false">
      <c r="A1699" s="3" t="s">
        <v>411</v>
      </c>
      <c r="B1699" s="0" t="s">
        <v>181</v>
      </c>
      <c r="C1699" s="23" t="n">
        <f aca="false">a25_gp</f>
        <v>68.906</v>
      </c>
      <c r="D1699" s="23" t="n">
        <f aca="false">D1685-D1695-D1697+D1698</f>
        <v>91.0920852</v>
      </c>
      <c r="E1699" s="23" t="n">
        <f aca="false">E1685-E1695-E1697+E1698</f>
        <v>138.337292089343</v>
      </c>
      <c r="F1699" s="23" t="n">
        <f aca="false">F1685-F1695-F1697+F1698</f>
        <v>157.903410199612</v>
      </c>
      <c r="G1699" s="23" t="n">
        <f aca="false">G1685-G1695-G1697+G1698</f>
        <v>177.511002916633</v>
      </c>
    </row>
    <row r="1700" customFormat="false" ht="15" hidden="false" customHeight="false" outlineLevel="0" collapsed="false">
      <c r="A1700" s="3" t="s">
        <v>413</v>
      </c>
      <c r="B1700" s="0" t="s">
        <v>69</v>
      </c>
      <c r="C1700" s="15" t="n">
        <f aca="false">C1699/C1691</f>
        <v>0.290065795843454</v>
      </c>
      <c r="D1700" s="15" t="n">
        <f aca="false">D1699/D1691</f>
        <v>0.325638488136828</v>
      </c>
      <c r="E1700" s="15" t="n">
        <f aca="false">E1699/E1691</f>
        <v>0.387493003952231</v>
      </c>
      <c r="F1700" s="15" t="n">
        <f aca="false">F1699/F1691</f>
        <v>0.391978901111249</v>
      </c>
      <c r="G1700" s="15" t="n">
        <f aca="false">G1699/G1691</f>
        <v>0.39395623743854</v>
      </c>
    </row>
    <row r="1701" customFormat="false" ht="15" hidden="false" customHeight="false" outlineLevel="0" collapsed="false">
      <c r="A1701" s="3" t="s">
        <v>415</v>
      </c>
      <c r="B1701" s="0" t="s">
        <v>181</v>
      </c>
      <c r="C1701" s="23" t="n">
        <f aca="false">a25_opx</f>
        <v>25.056</v>
      </c>
      <c r="D1701" s="23" t="n">
        <f aca="false">a26_opx</f>
        <v>27.23586</v>
      </c>
      <c r="E1701" s="23" t="n">
        <f aca="false">D1701*(1+MAX(g_opx_min,phi*E1693))</f>
        <v>30.997602479041</v>
      </c>
      <c r="F1701" s="23" t="n">
        <f aca="false">E1701*(1+MAX(g_opx_min,phi*F1693))</f>
        <v>32.9872594198389</v>
      </c>
      <c r="G1701" s="23" t="n">
        <f aca="false">F1701*(1+MAX(g_opx_min,phi*G1693))</f>
        <v>34.942285099151</v>
      </c>
    </row>
    <row r="1702" customFormat="false" ht="15" hidden="false" customHeight="false" outlineLevel="0" collapsed="false">
      <c r="A1702" s="3" t="s">
        <v>418</v>
      </c>
      <c r="B1702" s="0" t="s">
        <v>181</v>
      </c>
      <c r="C1702" s="23" t="n">
        <f aca="false">C1699-C1701</f>
        <v>43.85</v>
      </c>
      <c r="D1702" s="23" t="n">
        <f aca="false">D1699-D1701</f>
        <v>63.8562252</v>
      </c>
      <c r="E1702" s="23" t="n">
        <f aca="false">E1699-E1701</f>
        <v>107.339689610302</v>
      </c>
      <c r="F1702" s="23" t="n">
        <f aca="false">F1699-F1701</f>
        <v>124.916150779773</v>
      </c>
      <c r="G1702" s="23" t="n">
        <f aca="false">G1699-G1701</f>
        <v>142.568717817482</v>
      </c>
    </row>
    <row r="1703" customFormat="false" ht="15" hidden="false" customHeight="false" outlineLevel="0" collapsed="false">
      <c r="A1703" s="3" t="s">
        <v>515</v>
      </c>
      <c r="B1703" s="0" t="s">
        <v>69</v>
      </c>
      <c r="C1703" s="15" t="n">
        <f aca="false">C1702/C1691</f>
        <v>0.184590386145408</v>
      </c>
      <c r="D1703" s="15" t="n">
        <f aca="false">D1702/D1691</f>
        <v>0.228274987740129</v>
      </c>
      <c r="E1703" s="15" t="n">
        <f aca="false">E1702/E1691</f>
        <v>0.300666422930511</v>
      </c>
      <c r="F1703" s="15" t="n">
        <f aca="false">F1702/F1691</f>
        <v>0.31009143787208</v>
      </c>
      <c r="G1703" s="15" t="n">
        <f aca="false">G1702/G1691</f>
        <v>0.316407629526999</v>
      </c>
    </row>
    <row r="1704" customFormat="false" ht="15" hidden="false" customHeight="false" outlineLevel="0" collapsed="false">
      <c r="A1704" s="3" t="s">
        <v>421</v>
      </c>
      <c r="B1704" s="0" t="s">
        <v>181</v>
      </c>
      <c r="C1704" s="23" t="n">
        <f aca="false">a25_nonop</f>
        <v>5.805</v>
      </c>
      <c r="D1704" s="23" t="n">
        <f aca="false">a26_nonop</f>
        <v>38.372</v>
      </c>
      <c r="E1704" s="23" t="n">
        <f aca="false">nonop_f_lo</f>
        <v>2</v>
      </c>
      <c r="F1704" s="23" t="n">
        <f aca="false">nonop_f_lo</f>
        <v>2</v>
      </c>
      <c r="G1704" s="23" t="n">
        <f aca="false">nonop_f_lo</f>
        <v>2</v>
      </c>
    </row>
    <row r="1705" customFormat="false" ht="15" hidden="false" customHeight="false" outlineLevel="0" collapsed="false">
      <c r="A1705" s="3" t="s">
        <v>423</v>
      </c>
      <c r="B1705" s="0" t="s">
        <v>181</v>
      </c>
      <c r="C1705" s="23" t="n">
        <f aca="false">C1702+C1704</f>
        <v>49.655</v>
      </c>
      <c r="D1705" s="23" t="n">
        <f aca="false">D1702+D1704</f>
        <v>102.2282252</v>
      </c>
      <c r="E1705" s="23" t="n">
        <f aca="false">E1702+E1704</f>
        <v>109.339689610302</v>
      </c>
      <c r="F1705" s="23" t="n">
        <f aca="false">F1702+F1704</f>
        <v>126.916150779773</v>
      </c>
      <c r="G1705" s="23" t="n">
        <f aca="false">G1702+G1704</f>
        <v>144.568717817482</v>
      </c>
    </row>
    <row r="1706" customFormat="false" ht="15" hidden="false" customHeight="false" outlineLevel="0" collapsed="false">
      <c r="A1706" s="3" t="s">
        <v>425</v>
      </c>
      <c r="B1706" s="0" t="s">
        <v>181</v>
      </c>
      <c r="C1706" s="23" t="n">
        <f aca="false">a25_tax</f>
        <v>7.939</v>
      </c>
      <c r="D1706" s="23" t="n">
        <f aca="false">a26_tax</f>
        <v>10.493828284</v>
      </c>
      <c r="E1706" s="23" t="n">
        <f aca="false">E1705*tax</f>
        <v>16.4009534415454</v>
      </c>
      <c r="F1706" s="23" t="n">
        <f aca="false">F1705*tax</f>
        <v>19.037422616966</v>
      </c>
      <c r="G1706" s="23" t="n">
        <f aca="false">G1705*tax</f>
        <v>21.6853076726223</v>
      </c>
    </row>
    <row r="1707" customFormat="false" ht="17.15" hidden="false" customHeight="false" outlineLevel="0" collapsed="false">
      <c r="A1707" s="3" t="s">
        <v>549</v>
      </c>
      <c r="B1707" s="0" t="s">
        <v>181</v>
      </c>
      <c r="C1707" s="23" t="n">
        <f aca="false">a25_mi</f>
        <v>0</v>
      </c>
      <c r="D1707" s="23" t="n">
        <f aca="false">a26_mi</f>
        <v>-0.134999999999987</v>
      </c>
      <c r="E1707" s="23" t="n">
        <f aca="false">0</f>
        <v>0</v>
      </c>
      <c r="F1707" s="23" t="n">
        <f aca="false">0</f>
        <v>0</v>
      </c>
      <c r="G1707" s="23" t="n">
        <f aca="false">0</f>
        <v>0</v>
      </c>
      <c r="K1707" s="7" t="s">
        <v>550</v>
      </c>
    </row>
    <row r="1708" customFormat="false" ht="15" hidden="false" customHeight="false" outlineLevel="0" collapsed="false">
      <c r="A1708" s="3" t="s">
        <v>428</v>
      </c>
      <c r="B1708" s="0" t="s">
        <v>181</v>
      </c>
      <c r="C1708" s="23" t="n">
        <f aca="false">C1705-C1706-C1707</f>
        <v>41.716</v>
      </c>
      <c r="D1708" s="23" t="n">
        <f aca="false">D1705-D1706-D1707</f>
        <v>91.869396916</v>
      </c>
      <c r="E1708" s="23" t="n">
        <f aca="false">E1705-E1706-E1707</f>
        <v>92.938736168757</v>
      </c>
      <c r="F1708" s="23" t="n">
        <f aca="false">F1705-F1706-F1707</f>
        <v>107.878728162807</v>
      </c>
      <c r="G1708" s="23" t="n">
        <f aca="false">G1705-G1706-G1707</f>
        <v>122.88341014486</v>
      </c>
      <c r="H1708" s="30" t="n">
        <f aca="false">H1691*H1712</f>
        <v>135.051502983201</v>
      </c>
      <c r="I1708" s="30" t="n">
        <f aca="false">I1691*I1712</f>
        <v>145.789545559704</v>
      </c>
      <c r="J1708" s="30" t="n">
        <f aca="false">J1691*J1712</f>
        <v>154.536918293287</v>
      </c>
    </row>
    <row r="1709" customFormat="false" ht="15" hidden="false" customHeight="false" outlineLevel="0" collapsed="false">
      <c r="A1709" s="3" t="s">
        <v>551</v>
      </c>
      <c r="B1709" s="3" t="s">
        <v>250</v>
      </c>
      <c r="C1709" s="9" t="n">
        <f aca="false">a25_sh</f>
        <v>12.4898203592814</v>
      </c>
      <c r="D1709" s="9" t="n">
        <f aca="false">a26_sh</f>
        <v>12.4754339027235</v>
      </c>
      <c r="E1709" s="9" t="n">
        <f aca="false">q_sh*(1+sh_g)</f>
        <v>12.45</v>
      </c>
      <c r="F1709" s="9" t="n">
        <f aca="false">E1709*(1+sh_g)</f>
        <v>12.45</v>
      </c>
      <c r="G1709" s="9" t="n">
        <f aca="false">F1709*(1+sh_g)</f>
        <v>12.45</v>
      </c>
      <c r="H1709" s="32" t="n">
        <f aca="false">G1709*(1+sh_g)</f>
        <v>12.45</v>
      </c>
      <c r="I1709" s="32" t="n">
        <f aca="false">H1709*(1+sh_g)</f>
        <v>12.45</v>
      </c>
      <c r="J1709" s="32" t="n">
        <f aca="false">I1709*(1+sh_g)</f>
        <v>12.45</v>
      </c>
    </row>
    <row r="1710" customFormat="false" ht="17.15" hidden="false" customHeight="false" outlineLevel="0" collapsed="false">
      <c r="A1710" s="0" t="s">
        <v>434</v>
      </c>
      <c r="B1710" s="0" t="s">
        <v>260</v>
      </c>
      <c r="C1710" s="23" t="n">
        <f aca="false">C1708/C1709</f>
        <v>3.34</v>
      </c>
      <c r="D1710" s="23" t="n">
        <f aca="false">D1708/D1709</f>
        <v>7.36402418002826</v>
      </c>
      <c r="E1710" s="23" t="n">
        <f aca="false">E1708/E1709</f>
        <v>7.46495872841422</v>
      </c>
      <c r="F1710" s="23" t="n">
        <f aca="false">F1708/F1709</f>
        <v>8.66495808536605</v>
      </c>
      <c r="G1710" s="23" t="n">
        <f aca="false">G1708/G1709</f>
        <v>9.87015342528993</v>
      </c>
      <c r="H1710" s="30" t="n">
        <f aca="false">H1708/H1709</f>
        <v>10.8475102797752</v>
      </c>
      <c r="I1710" s="30" t="n">
        <f aca="false">I1708/I1709</f>
        <v>11.710003659414</v>
      </c>
      <c r="J1710" s="30" t="n">
        <f aca="false">J1708/J1709</f>
        <v>12.4126038789789</v>
      </c>
    </row>
    <row r="1711" customFormat="false" ht="17.15" hidden="false" customHeight="false" outlineLevel="0" collapsed="false">
      <c r="A1711" s="0" t="s">
        <v>552</v>
      </c>
      <c r="B1711" s="0" t="s">
        <v>69</v>
      </c>
      <c r="D1711" s="21" t="n">
        <f aca="false">D1710/C1710-1</f>
        <v>1.2047976586911</v>
      </c>
      <c r="E1711" s="21" t="n">
        <f aca="false">E1710/D1710-1</f>
        <v>0.0137064390227961</v>
      </c>
      <c r="F1711" s="21" t="n">
        <f aca="false">F1710/E1710-1</f>
        <v>0.160750970046789</v>
      </c>
      <c r="G1711" s="21" t="n">
        <f aca="false">G1710/F1710-1</f>
        <v>0.139088421207633</v>
      </c>
      <c r="H1711" s="28" t="n">
        <f aca="false">H1710/G1710-1</f>
        <v>0.099021444994055</v>
      </c>
      <c r="I1711" s="28" t="n">
        <f aca="false">I1710/H1710-1</f>
        <v>0.0795107224970275</v>
      </c>
      <c r="J1711" s="28" t="n">
        <f aca="false">J1710/I1710-1</f>
        <v>0.0600000000000003</v>
      </c>
    </row>
    <row r="1712" customFormat="false" ht="17.15" hidden="false" customHeight="false" outlineLevel="0" collapsed="false">
      <c r="A1712" s="3" t="s">
        <v>553</v>
      </c>
      <c r="B1712" s="0" t="s">
        <v>69</v>
      </c>
      <c r="C1712" s="15" t="n">
        <f aca="false">C1708/C1691</f>
        <v>0.175607127672562</v>
      </c>
      <c r="D1712" s="15" t="n">
        <f aca="false">D1708/D1691</f>
        <v>0.328417243409073</v>
      </c>
      <c r="E1712" s="15" t="n">
        <f aca="false">E1708/E1691</f>
        <v>0.260328285436561</v>
      </c>
      <c r="F1712" s="15" t="n">
        <f aca="false">F1708/F1691</f>
        <v>0.26779779654588</v>
      </c>
      <c r="G1712" s="15" t="n">
        <f aca="false">G1708/G1691</f>
        <v>0.272719353216778</v>
      </c>
      <c r="H1712" s="29" t="n">
        <f aca="false">$G1712+($G$1712*1-$G1712)*1/3</f>
        <v>0.272719353216778</v>
      </c>
      <c r="I1712" s="29" t="n">
        <f aca="false">$G1712+($G$1712*1-$G1712)*2/3</f>
        <v>0.272719353216778</v>
      </c>
      <c r="J1712" s="29" t="n">
        <f aca="false">$G1712+($G$1712*1-$G1712)*3/3</f>
        <v>0.272719353216778</v>
      </c>
    </row>
    <row r="1715" customFormat="false" ht="17.15" hidden="false" customHeight="false" outlineLevel="0" collapsed="false">
      <c r="A1715" s="1" t="s">
        <v>880</v>
      </c>
    </row>
    <row r="1716" customFormat="false" ht="17.15" hidden="false" customHeight="false" outlineLevel="0" collapsed="false">
      <c r="A1716" s="4" t="s">
        <v>24</v>
      </c>
      <c r="B1716" s="4" t="s">
        <v>25</v>
      </c>
      <c r="C1716" s="16" t="s">
        <v>387</v>
      </c>
      <c r="D1716" s="16" t="s">
        <v>505</v>
      </c>
      <c r="E1716" s="16" t="s">
        <v>467</v>
      </c>
      <c r="F1716" s="16" t="s">
        <v>468</v>
      </c>
      <c r="G1716" s="16" t="s">
        <v>469</v>
      </c>
      <c r="H1716" s="16" t="s">
        <v>506</v>
      </c>
      <c r="I1716" s="16" t="s">
        <v>507</v>
      </c>
      <c r="J1716" s="16" t="s">
        <v>508</v>
      </c>
      <c r="K1716" s="4" t="s">
        <v>345</v>
      </c>
    </row>
    <row r="1717" customFormat="false" ht="17.15" hidden="false" customHeight="false" outlineLevel="0" collapsed="false">
      <c r="A1717" s="5" t="s">
        <v>526</v>
      </c>
    </row>
    <row r="1718" customFormat="false" ht="17.15" hidden="false" customHeight="false" outlineLevel="0" collapsed="false">
      <c r="A1718" s="3" t="s">
        <v>527</v>
      </c>
      <c r="B1718" s="3" t="s">
        <v>64</v>
      </c>
      <c r="D1718" s="22" t="n">
        <f aca="false">cap_26</f>
        <v>5230.46851955216</v>
      </c>
      <c r="E1718" s="22" t="n">
        <f aca="false">D1718*(1+capg27)*cap_adj</f>
        <v>5439.68726033425</v>
      </c>
      <c r="F1718" s="22" t="n">
        <f aca="false">E1718*(1+capg28)</f>
        <v>5820.46536855765</v>
      </c>
      <c r="G1718" s="22" t="n">
        <f aca="false">F1718*(1+capg29)</f>
        <v>6227.89794435668</v>
      </c>
    </row>
    <row r="1719" customFormat="false" ht="15" hidden="false" customHeight="false" outlineLevel="0" collapsed="false">
      <c r="A1719" s="3" t="s">
        <v>528</v>
      </c>
      <c r="B1719" s="0" t="s">
        <v>69</v>
      </c>
      <c r="D1719" s="21" t="n">
        <f aca="false">a26_ship/cap_26</f>
        <v>0.870578781414787</v>
      </c>
      <c r="E1719" s="21" t="n">
        <f aca="false">MIN(0.98,ut27_B+ut_adj)</f>
        <v>0.9</v>
      </c>
      <c r="F1719" s="21" t="n">
        <f aca="false">MIN(0.98,ut28_B+ut_adj)</f>
        <v>0.87</v>
      </c>
      <c r="G1719" s="21" t="n">
        <f aca="false">MIN(0.98,ut29_B+ut_adj)</f>
        <v>0.88</v>
      </c>
    </row>
    <row r="1720" customFormat="false" ht="17.15" hidden="false" customHeight="false" outlineLevel="0" collapsed="false">
      <c r="A1720" s="3" t="s">
        <v>529</v>
      </c>
      <c r="B1720" s="3" t="s">
        <v>64</v>
      </c>
      <c r="D1720" s="22" t="n">
        <f aca="false">D1718*D1719</f>
        <v>4553.53490998013</v>
      </c>
      <c r="E1720" s="22" t="n">
        <f aca="false">E1718*E1719</f>
        <v>4895.71853430083</v>
      </c>
      <c r="F1720" s="22" t="n">
        <f aca="false">F1718*F1719</f>
        <v>5063.80487064515</v>
      </c>
      <c r="G1720" s="22" t="n">
        <f aca="false">G1718*G1719</f>
        <v>5480.55019103388</v>
      </c>
    </row>
    <row r="1721" customFormat="false" ht="17.15" hidden="false" customHeight="false" outlineLevel="0" collapsed="false">
      <c r="A1721" s="3" t="s">
        <v>530</v>
      </c>
      <c r="B1721" s="0" t="s">
        <v>109</v>
      </c>
      <c r="D1721" s="22" t="n">
        <f aca="false">asp_26</f>
        <v>1878.17486396824</v>
      </c>
      <c r="E1721" s="22" t="n">
        <f aca="false">D1721*(1+asp27_B)*(1+asp_adj)</f>
        <v>1972.08360716666</v>
      </c>
      <c r="F1721" s="22" t="n">
        <f aca="false">E1721*(1+asp28_B)</f>
        <v>1972.08360716666</v>
      </c>
      <c r="G1721" s="22" t="n">
        <f aca="false">F1721*(1+asp29_B)</f>
        <v>1972.08360716666</v>
      </c>
    </row>
    <row r="1722" customFormat="false" ht="15" hidden="false" customHeight="false" outlineLevel="0" collapsed="false">
      <c r="A1722" s="3" t="s">
        <v>531</v>
      </c>
      <c r="B1722" s="0" t="s">
        <v>69</v>
      </c>
      <c r="E1722" s="21" t="n">
        <f aca="false">E1721/D1721-1</f>
        <v>0.05</v>
      </c>
      <c r="F1722" s="21" t="n">
        <f aca="false">F1721/E1721-1</f>
        <v>0</v>
      </c>
      <c r="G1722" s="21" t="n">
        <f aca="false">G1721/F1721-1</f>
        <v>0</v>
      </c>
    </row>
    <row r="1723" customFormat="false" ht="15" hidden="false" customHeight="false" outlineLevel="0" collapsed="false">
      <c r="A1723" s="3" t="s">
        <v>532</v>
      </c>
      <c r="B1723" s="0" t="s">
        <v>35</v>
      </c>
      <c r="D1723" s="23" t="n">
        <f aca="false">fx_26</f>
        <v>31.6</v>
      </c>
      <c r="E1723" s="23" t="n">
        <f aca="false">fx</f>
        <v>32</v>
      </c>
      <c r="F1723" s="23" t="n">
        <f aca="false">fx</f>
        <v>32</v>
      </c>
      <c r="G1723" s="23" t="n">
        <f aca="false">fx</f>
        <v>32</v>
      </c>
    </row>
    <row r="1724" customFormat="false" ht="17.15" hidden="false" customHeight="false" outlineLevel="0" collapsed="false">
      <c r="A1724" s="3" t="s">
        <v>533</v>
      </c>
      <c r="B1724" s="0" t="s">
        <v>181</v>
      </c>
      <c r="D1724" s="23" t="n">
        <f aca="false">D1720*D1721*D1723/1000000</f>
        <v>270.25378</v>
      </c>
      <c r="E1724" s="23" t="n">
        <f aca="false">E1720*E1721*E1723/1000000</f>
        <v>308.952520537492</v>
      </c>
      <c r="F1724" s="23" t="n">
        <f aca="false">F1720*F1721*F1723/1000000</f>
        <v>319.559890409279</v>
      </c>
      <c r="G1724" s="23" t="n">
        <f aca="false">G1720*G1721*G1723/1000000</f>
        <v>345.859302079744</v>
      </c>
    </row>
    <row r="1725" customFormat="false" ht="17.15" hidden="false" customHeight="false" outlineLevel="0" collapsed="false">
      <c r="A1725" s="5" t="s">
        <v>534</v>
      </c>
    </row>
    <row r="1726" customFormat="false" ht="17.15" hidden="false" customHeight="false" outlineLevel="0" collapsed="false">
      <c r="A1726" s="0" t="s">
        <v>535</v>
      </c>
      <c r="B1726" s="0" t="s">
        <v>138</v>
      </c>
      <c r="D1726" s="25" t="n">
        <f aca="false">ai_26</f>
        <v>0.3</v>
      </c>
      <c r="E1726" s="25" t="n">
        <f aca="false">D1726*(1+aig27_B)*ai_adj</f>
        <v>0.42</v>
      </c>
      <c r="F1726" s="25" t="n">
        <f aca="false">E1726*(1+aig_L)*um28_B</f>
        <v>0.4872</v>
      </c>
      <c r="G1726" s="25" t="n">
        <f aca="false">F1726/um28_B*(1+aig_L)*um29_B</f>
        <v>0.7505925</v>
      </c>
    </row>
    <row r="1727" customFormat="false" ht="17.15" hidden="false" customHeight="false" outlineLevel="0" collapsed="false">
      <c r="A1727" s="0" t="s">
        <v>536</v>
      </c>
      <c r="B1727" s="0" t="s">
        <v>181</v>
      </c>
      <c r="D1727" s="23" t="n">
        <f aca="false">D1726*D1723</f>
        <v>9.48</v>
      </c>
      <c r="E1727" s="23" t="n">
        <f aca="false">E1726*E1723</f>
        <v>13.44</v>
      </c>
      <c r="F1727" s="23" t="n">
        <f aca="false">F1726*F1723</f>
        <v>15.5904</v>
      </c>
      <c r="G1727" s="23" t="n">
        <f aca="false">G1726*G1723</f>
        <v>24.01896</v>
      </c>
    </row>
    <row r="1728" customFormat="false" ht="17.15" hidden="false" customHeight="false" outlineLevel="0" collapsed="false">
      <c r="A1728" s="0" t="s">
        <v>537</v>
      </c>
      <c r="B1728" s="0" t="s">
        <v>138</v>
      </c>
      <c r="D1728" s="25" t="n">
        <f aca="false">0</f>
        <v>0</v>
      </c>
      <c r="E1728" s="25" t="n">
        <f aca="false">int_27</f>
        <v>0</v>
      </c>
      <c r="F1728" s="25" t="n">
        <f aca="false">int28_B</f>
        <v>0.12</v>
      </c>
      <c r="G1728" s="25" t="n">
        <f aca="false">int29_B</f>
        <v>0.3</v>
      </c>
    </row>
    <row r="1729" customFormat="false" ht="17.15" hidden="false" customHeight="false" outlineLevel="0" collapsed="false">
      <c r="A1729" s="0" t="s">
        <v>538</v>
      </c>
      <c r="B1729" s="0" t="s">
        <v>181</v>
      </c>
      <c r="D1729" s="23" t="n">
        <f aca="false">D1728*D1723</f>
        <v>0</v>
      </c>
      <c r="E1729" s="23" t="n">
        <f aca="false">E1728*E1723</f>
        <v>0</v>
      </c>
      <c r="F1729" s="23" t="n">
        <f aca="false">F1728*F1723</f>
        <v>3.84</v>
      </c>
      <c r="G1729" s="23" t="n">
        <f aca="false">G1728*G1723</f>
        <v>9.6</v>
      </c>
    </row>
    <row r="1730" customFormat="false" ht="17.15" hidden="false" customHeight="false" outlineLevel="0" collapsed="false">
      <c r="A1730" s="3" t="s">
        <v>393</v>
      </c>
      <c r="B1730" s="0" t="s">
        <v>181</v>
      </c>
      <c r="C1730" s="23" t="n">
        <f aca="false">a25_rev</f>
        <v>237.553</v>
      </c>
      <c r="D1730" s="23" t="n">
        <f aca="false">D1724+D1727+D1729</f>
        <v>279.73378</v>
      </c>
      <c r="E1730" s="23" t="n">
        <f aca="false">E1724+E1727+E1729</f>
        <v>322.392520537492</v>
      </c>
      <c r="F1730" s="23" t="n">
        <f aca="false">F1724+F1727+F1729</f>
        <v>338.990290409279</v>
      </c>
      <c r="G1730" s="23" t="n">
        <f aca="false">G1724+G1727+G1729</f>
        <v>379.478262079744</v>
      </c>
      <c r="H1730" s="30" t="n">
        <f aca="false">G1730*(1+H1732)</f>
        <v>414.75379367548</v>
      </c>
      <c r="I1730" s="30" t="n">
        <f aca="false">H1730*(1+I1732)</f>
        <v>442.326206375962</v>
      </c>
      <c r="J1730" s="30" t="n">
        <f aca="false">I1730*(1+J1732)</f>
        <v>460.019254631001</v>
      </c>
      <c r="K1730" s="7" t="s">
        <v>539</v>
      </c>
    </row>
    <row r="1731" customFormat="false" ht="17.15" hidden="false" customHeight="false" outlineLevel="0" collapsed="false">
      <c r="A1731" s="0" t="s">
        <v>540</v>
      </c>
      <c r="B1731" s="0" t="s">
        <v>69</v>
      </c>
      <c r="D1731" s="21" t="n">
        <f aca="false">D1727/D1730</f>
        <v>0.0338893643806622</v>
      </c>
      <c r="E1731" s="21" t="n">
        <f aca="false">E1727/E1730</f>
        <v>0.0416883120538679</v>
      </c>
      <c r="F1731" s="21" t="n">
        <f aca="false">F1727/F1730</f>
        <v>0.0459906977901254</v>
      </c>
      <c r="G1731" s="21" t="n">
        <f aca="false">G1727/G1730</f>
        <v>0.0632946927404042</v>
      </c>
    </row>
    <row r="1732" customFormat="false" ht="15" hidden="false" customHeight="false" outlineLevel="0" collapsed="false">
      <c r="A1732" s="3" t="s">
        <v>541</v>
      </c>
      <c r="B1732" s="0" t="s">
        <v>69</v>
      </c>
      <c r="D1732" s="21" t="n">
        <f aca="false">D1730/C1730-1</f>
        <v>0.177563659478096</v>
      </c>
      <c r="E1732" s="21" t="n">
        <f aca="false">E1730/D1730-1</f>
        <v>0.152497637351814</v>
      </c>
      <c r="F1732" s="21" t="n">
        <f aca="false">F1730/E1730-1</f>
        <v>0.0514831108492078</v>
      </c>
      <c r="G1732" s="21" t="n">
        <f aca="false">G1730/F1730-1</f>
        <v>0.119436965647547</v>
      </c>
      <c r="H1732" s="28" t="n">
        <f aca="false">$G1732+(fade_gB-$G1732)*1/3</f>
        <v>0.0929579770983645</v>
      </c>
      <c r="I1732" s="28" t="n">
        <f aca="false">$G1732+(fade_gB-$G1732)*2/3</f>
        <v>0.0664789885491822</v>
      </c>
      <c r="J1732" s="28" t="n">
        <f aca="false">$G1732+(fade_gB-$G1732)*3/3</f>
        <v>0.04</v>
      </c>
    </row>
    <row r="1733" customFormat="false" ht="17.15" hidden="false" customHeight="false" outlineLevel="0" collapsed="false">
      <c r="A1733" s="5" t="s">
        <v>542</v>
      </c>
    </row>
    <row r="1734" customFormat="false" ht="15" hidden="false" customHeight="false" outlineLevel="0" collapsed="false">
      <c r="A1734" s="3" t="s">
        <v>543</v>
      </c>
      <c r="B1734" s="0" t="s">
        <v>181</v>
      </c>
      <c r="D1734" s="23" t="n">
        <f aca="false">da_tot26*da_sh</f>
        <v>56.172</v>
      </c>
      <c r="E1734" s="23" t="n">
        <f aca="false">D1734*(1+dag_27+dag_adj)</f>
        <v>62.91264</v>
      </c>
      <c r="F1734" s="23" t="n">
        <f aca="false">E1734*(1+dag_28+dag_adj)</f>
        <v>69.203904</v>
      </c>
      <c r="G1734" s="23" t="n">
        <f aca="false">F1734*(1+dag_29+dag_adj)</f>
        <v>74.74021632</v>
      </c>
    </row>
    <row r="1735" customFormat="false" ht="17.15" hidden="false" customHeight="false" outlineLevel="0" collapsed="false">
      <c r="A1735" s="3" t="s">
        <v>544</v>
      </c>
      <c r="B1735" s="0" t="s">
        <v>545</v>
      </c>
      <c r="D1735" s="23" t="n">
        <f aca="false">(D1730-a26_gp-D1734-(1-m_new)*(D1727+D1729))/D1720*1000</f>
        <v>27.9465727870208</v>
      </c>
      <c r="E1735" s="23" t="n">
        <f aca="false">D1735*(1+cc_g)</f>
        <v>28.5055042427612</v>
      </c>
      <c r="F1735" s="23" t="n">
        <f aca="false">E1735*(1+cc_g)</f>
        <v>29.0756143276165</v>
      </c>
      <c r="G1735" s="23" t="n">
        <f aca="false">F1735*(1+cc_g)</f>
        <v>29.6571266141688</v>
      </c>
      <c r="K1735" s="7" t="s">
        <v>546</v>
      </c>
    </row>
    <row r="1736" customFormat="false" ht="17.15" hidden="false" customHeight="false" outlineLevel="0" collapsed="false">
      <c r="A1736" s="3" t="s">
        <v>547</v>
      </c>
      <c r="B1736" s="0" t="s">
        <v>181</v>
      </c>
      <c r="D1736" s="23" t="n">
        <f aca="false">D1735*D1720/1000</f>
        <v>127.2556948</v>
      </c>
      <c r="E1736" s="23" t="n">
        <f aca="false">E1735*E1720/1000</f>
        <v>139.554925450877</v>
      </c>
      <c r="F1736" s="23" t="n">
        <f aca="false">F1735*F1720/1000</f>
        <v>147.233237449184</v>
      </c>
      <c r="G1736" s="23" t="n">
        <f aca="false">G1735*G1720/1000</f>
        <v>162.537370930799</v>
      </c>
    </row>
    <row r="1737" customFormat="false" ht="17.15" hidden="false" customHeight="false" outlineLevel="0" collapsed="false">
      <c r="A1737" s="3" t="s">
        <v>548</v>
      </c>
      <c r="B1737" s="0" t="s">
        <v>181</v>
      </c>
      <c r="D1737" s="23" t="n">
        <f aca="false">m_new*(D1727+D1729)</f>
        <v>4.266</v>
      </c>
      <c r="E1737" s="23" t="n">
        <f aca="false">m_new*(E1727+E1729)</f>
        <v>6.048</v>
      </c>
      <c r="F1737" s="23" t="n">
        <f aca="false">m_new*(F1727+F1729)</f>
        <v>8.74368</v>
      </c>
      <c r="G1737" s="23" t="n">
        <f aca="false">m_new*(G1727+G1729)</f>
        <v>15.128532</v>
      </c>
    </row>
    <row r="1738" customFormat="false" ht="15" hidden="false" customHeight="false" outlineLevel="0" collapsed="false">
      <c r="A1738" s="3" t="s">
        <v>411</v>
      </c>
      <c r="B1738" s="0" t="s">
        <v>181</v>
      </c>
      <c r="C1738" s="23" t="n">
        <f aca="false">a25_gp</f>
        <v>68.906</v>
      </c>
      <c r="D1738" s="23" t="n">
        <f aca="false">D1724-D1734-D1736+D1737</f>
        <v>91.0920852</v>
      </c>
      <c r="E1738" s="23" t="n">
        <f aca="false">E1724-E1734-E1736+E1737</f>
        <v>112.532955086615</v>
      </c>
      <c r="F1738" s="23" t="n">
        <f aca="false">F1724-F1734-F1736+F1737</f>
        <v>111.866428960095</v>
      </c>
      <c r="G1738" s="23" t="n">
        <f aca="false">G1724-G1734-G1736+G1737</f>
        <v>123.710246828945</v>
      </c>
    </row>
    <row r="1739" customFormat="false" ht="15" hidden="false" customHeight="false" outlineLevel="0" collapsed="false">
      <c r="A1739" s="3" t="s">
        <v>413</v>
      </c>
      <c r="B1739" s="0" t="s">
        <v>69</v>
      </c>
      <c r="C1739" s="15" t="n">
        <f aca="false">C1738/C1730</f>
        <v>0.290065795843454</v>
      </c>
      <c r="D1739" s="15" t="n">
        <f aca="false">D1738/D1730</f>
        <v>0.325638488136828</v>
      </c>
      <c r="E1739" s="15" t="n">
        <f aca="false">E1738/E1730</f>
        <v>0.349055725297226</v>
      </c>
      <c r="F1739" s="15" t="n">
        <f aca="false">F1738/F1730</f>
        <v>0.32999891774196</v>
      </c>
      <c r="G1739" s="15" t="n">
        <f aca="false">G1738/G1730</f>
        <v>0.326000878550847</v>
      </c>
    </row>
    <row r="1740" customFormat="false" ht="15" hidden="false" customHeight="false" outlineLevel="0" collapsed="false">
      <c r="A1740" s="3" t="s">
        <v>415</v>
      </c>
      <c r="B1740" s="0" t="s">
        <v>181</v>
      </c>
      <c r="C1740" s="23" t="n">
        <f aca="false">a25_opx</f>
        <v>25.056</v>
      </c>
      <c r="D1740" s="23" t="n">
        <f aca="false">a26_opx</f>
        <v>27.23586</v>
      </c>
      <c r="E1740" s="23" t="n">
        <f aca="false">D1740*(1+MAX(g_opx_min,phi*E1732))</f>
        <v>29.3125621506224</v>
      </c>
      <c r="F1740" s="23" t="n">
        <f aca="false">E1740*(1+MAX(g_opx_min,phi*F1732))</f>
        <v>30.1919390151411</v>
      </c>
      <c r="G1740" s="23" t="n">
        <f aca="false">F1740*(1+MAX(g_opx_min,phi*G1732))</f>
        <v>31.9949558066332</v>
      </c>
    </row>
    <row r="1741" customFormat="false" ht="15" hidden="false" customHeight="false" outlineLevel="0" collapsed="false">
      <c r="A1741" s="3" t="s">
        <v>418</v>
      </c>
      <c r="B1741" s="0" t="s">
        <v>181</v>
      </c>
      <c r="C1741" s="23" t="n">
        <f aca="false">C1738-C1740</f>
        <v>43.85</v>
      </c>
      <c r="D1741" s="23" t="n">
        <f aca="false">D1738-D1740</f>
        <v>63.8562252</v>
      </c>
      <c r="E1741" s="23" t="n">
        <f aca="false">E1738-E1740</f>
        <v>83.2203929359927</v>
      </c>
      <c r="F1741" s="23" t="n">
        <f aca="false">F1738-F1740</f>
        <v>81.6744899449539</v>
      </c>
      <c r="G1741" s="23" t="n">
        <f aca="false">G1738-G1740</f>
        <v>91.7152910223122</v>
      </c>
    </row>
    <row r="1742" customFormat="false" ht="15" hidden="false" customHeight="false" outlineLevel="0" collapsed="false">
      <c r="A1742" s="3" t="s">
        <v>515</v>
      </c>
      <c r="B1742" s="0" t="s">
        <v>69</v>
      </c>
      <c r="C1742" s="15" t="n">
        <f aca="false">C1741/C1730</f>
        <v>0.184590386145408</v>
      </c>
      <c r="D1742" s="15" t="n">
        <f aca="false">D1741/D1730</f>
        <v>0.228274987740129</v>
      </c>
      <c r="E1742" s="15" t="n">
        <f aca="false">E1741/E1730</f>
        <v>0.258133758181635</v>
      </c>
      <c r="F1742" s="15" t="n">
        <f aca="false">F1741/F1730</f>
        <v>0.240934599767871</v>
      </c>
      <c r="G1742" s="15" t="n">
        <f aca="false">G1741/G1730</f>
        <v>0.241687865122137</v>
      </c>
    </row>
    <row r="1743" customFormat="false" ht="15" hidden="false" customHeight="false" outlineLevel="0" collapsed="false">
      <c r="A1743" s="3" t="s">
        <v>421</v>
      </c>
      <c r="B1743" s="0" t="s">
        <v>181</v>
      </c>
      <c r="C1743" s="23" t="n">
        <f aca="false">a25_nonop</f>
        <v>5.805</v>
      </c>
      <c r="D1743" s="23" t="n">
        <f aca="false">a26_nonop</f>
        <v>38.372</v>
      </c>
      <c r="E1743" s="23" t="n">
        <f aca="false">nonop_f_lo</f>
        <v>2</v>
      </c>
      <c r="F1743" s="23" t="n">
        <f aca="false">nonop_f_lo</f>
        <v>2</v>
      </c>
      <c r="G1743" s="23" t="n">
        <f aca="false">nonop_f_lo</f>
        <v>2</v>
      </c>
    </row>
    <row r="1744" customFormat="false" ht="15" hidden="false" customHeight="false" outlineLevel="0" collapsed="false">
      <c r="A1744" s="3" t="s">
        <v>423</v>
      </c>
      <c r="B1744" s="0" t="s">
        <v>181</v>
      </c>
      <c r="C1744" s="23" t="n">
        <f aca="false">C1741+C1743</f>
        <v>49.655</v>
      </c>
      <c r="D1744" s="23" t="n">
        <f aca="false">D1741+D1743</f>
        <v>102.2282252</v>
      </c>
      <c r="E1744" s="23" t="n">
        <f aca="false">E1741+E1743</f>
        <v>85.2203929359927</v>
      </c>
      <c r="F1744" s="23" t="n">
        <f aca="false">F1741+F1743</f>
        <v>83.6744899449539</v>
      </c>
      <c r="G1744" s="23" t="n">
        <f aca="false">G1741+G1743</f>
        <v>93.7152910223122</v>
      </c>
    </row>
    <row r="1745" customFormat="false" ht="15" hidden="false" customHeight="false" outlineLevel="0" collapsed="false">
      <c r="A1745" s="3" t="s">
        <v>425</v>
      </c>
      <c r="B1745" s="0" t="s">
        <v>181</v>
      </c>
      <c r="C1745" s="23" t="n">
        <f aca="false">a25_tax</f>
        <v>7.939</v>
      </c>
      <c r="D1745" s="23" t="n">
        <f aca="false">a26_tax</f>
        <v>10.493828284</v>
      </c>
      <c r="E1745" s="23" t="n">
        <f aca="false">E1744*tax</f>
        <v>12.7830589403989</v>
      </c>
      <c r="F1745" s="23" t="n">
        <f aca="false">F1744*tax</f>
        <v>12.5511734917431</v>
      </c>
      <c r="G1745" s="23" t="n">
        <f aca="false">G1744*tax</f>
        <v>14.0572936533468</v>
      </c>
    </row>
    <row r="1746" customFormat="false" ht="17.15" hidden="false" customHeight="false" outlineLevel="0" collapsed="false">
      <c r="A1746" s="3" t="s">
        <v>549</v>
      </c>
      <c r="B1746" s="0" t="s">
        <v>181</v>
      </c>
      <c r="C1746" s="23" t="n">
        <f aca="false">a25_mi</f>
        <v>0</v>
      </c>
      <c r="D1746" s="23" t="n">
        <f aca="false">a26_mi</f>
        <v>-0.134999999999987</v>
      </c>
      <c r="E1746" s="23" t="n">
        <f aca="false">0</f>
        <v>0</v>
      </c>
      <c r="F1746" s="23" t="n">
        <f aca="false">0</f>
        <v>0</v>
      </c>
      <c r="G1746" s="23" t="n">
        <f aca="false">0</f>
        <v>0</v>
      </c>
      <c r="K1746" s="7" t="s">
        <v>550</v>
      </c>
    </row>
    <row r="1747" customFormat="false" ht="15" hidden="false" customHeight="false" outlineLevel="0" collapsed="false">
      <c r="A1747" s="3" t="s">
        <v>428</v>
      </c>
      <c r="B1747" s="0" t="s">
        <v>181</v>
      </c>
      <c r="C1747" s="23" t="n">
        <f aca="false">C1744-C1745-C1746</f>
        <v>41.716</v>
      </c>
      <c r="D1747" s="23" t="n">
        <f aca="false">D1744-D1745-D1746</f>
        <v>91.869396916</v>
      </c>
      <c r="E1747" s="23" t="n">
        <f aca="false">E1744-E1745-E1746</f>
        <v>72.4373339955938</v>
      </c>
      <c r="F1747" s="23" t="n">
        <f aca="false">F1744-F1745-F1746</f>
        <v>71.1233164532109</v>
      </c>
      <c r="G1747" s="23" t="n">
        <f aca="false">G1744-G1745-G1746</f>
        <v>79.6579973689653</v>
      </c>
      <c r="H1747" s="30" t="n">
        <f aca="false">H1730*H1751</f>
        <v>84.1607488752882</v>
      </c>
      <c r="I1747" s="30" t="n">
        <f aca="false">I1730*I1751</f>
        <v>86.6606472210225</v>
      </c>
      <c r="J1747" s="30" t="n">
        <f aca="false">J1730*J1751</f>
        <v>86.9082490702255</v>
      </c>
    </row>
    <row r="1748" customFormat="false" ht="15" hidden="false" customHeight="false" outlineLevel="0" collapsed="false">
      <c r="A1748" s="3" t="s">
        <v>551</v>
      </c>
      <c r="B1748" s="3" t="s">
        <v>250</v>
      </c>
      <c r="C1748" s="9" t="n">
        <f aca="false">a25_sh</f>
        <v>12.4898203592814</v>
      </c>
      <c r="D1748" s="9" t="n">
        <f aca="false">a26_sh</f>
        <v>12.4754339027235</v>
      </c>
      <c r="E1748" s="9" t="n">
        <f aca="false">q_sh*(1+sh_g)</f>
        <v>12.45</v>
      </c>
      <c r="F1748" s="9" t="n">
        <f aca="false">E1748*(1+sh_g)</f>
        <v>12.45</v>
      </c>
      <c r="G1748" s="9" t="n">
        <f aca="false">F1748*(1+sh_g)</f>
        <v>12.45</v>
      </c>
      <c r="H1748" s="32" t="n">
        <f aca="false">G1748*(1+sh_g)</f>
        <v>12.45</v>
      </c>
      <c r="I1748" s="32" t="n">
        <f aca="false">H1748*(1+sh_g)</f>
        <v>12.45</v>
      </c>
      <c r="J1748" s="32" t="n">
        <f aca="false">I1748*(1+sh_g)</f>
        <v>12.45</v>
      </c>
    </row>
    <row r="1749" customFormat="false" ht="17.15" hidden="false" customHeight="false" outlineLevel="0" collapsed="false">
      <c r="A1749" s="0" t="s">
        <v>434</v>
      </c>
      <c r="B1749" s="0" t="s">
        <v>260</v>
      </c>
      <c r="C1749" s="23" t="n">
        <f aca="false">C1747/C1748</f>
        <v>3.34</v>
      </c>
      <c r="D1749" s="23" t="n">
        <f aca="false">D1747/D1748</f>
        <v>7.36402418002826</v>
      </c>
      <c r="E1749" s="23" t="n">
        <f aca="false">E1747/E1748</f>
        <v>5.81825975868223</v>
      </c>
      <c r="F1749" s="23" t="n">
        <f aca="false">F1747/F1748</f>
        <v>5.71271618098079</v>
      </c>
      <c r="G1749" s="23" t="n">
        <f aca="false">G1747/G1748</f>
        <v>6.39823272039882</v>
      </c>
      <c r="H1749" s="30" t="n">
        <f aca="false">H1747/H1748</f>
        <v>6.75989950805527</v>
      </c>
      <c r="I1749" s="30" t="n">
        <f aca="false">I1747/I1748</f>
        <v>6.96069455590542</v>
      </c>
      <c r="J1749" s="30" t="n">
        <f aca="false">J1747/J1748</f>
        <v>6.98058225463658</v>
      </c>
    </row>
    <row r="1750" customFormat="false" ht="17.15" hidden="false" customHeight="false" outlineLevel="0" collapsed="false">
      <c r="A1750" s="0" t="s">
        <v>552</v>
      </c>
      <c r="B1750" s="0" t="s">
        <v>69</v>
      </c>
      <c r="D1750" s="21" t="n">
        <f aca="false">D1749/C1749-1</f>
        <v>1.2047976586911</v>
      </c>
      <c r="E1750" s="21" t="n">
        <f aca="false">E1749/D1749-1</f>
        <v>-0.209907570040067</v>
      </c>
      <c r="F1750" s="21" t="n">
        <f aca="false">F1749/E1749-1</f>
        <v>-0.0181400594127724</v>
      </c>
      <c r="G1750" s="21" t="n">
        <f aca="false">G1749/F1749-1</f>
        <v>0.119998354145495</v>
      </c>
      <c r="H1750" s="28" t="n">
        <f aca="false">H1749/G1749-1</f>
        <v>0.056526044528419</v>
      </c>
      <c r="I1750" s="28" t="n">
        <f aca="false">I1749/H1749-1</f>
        <v>0.0297038510130037</v>
      </c>
      <c r="J1750" s="28" t="n">
        <f aca="false">J1749/I1749-1</f>
        <v>0.00285714285714289</v>
      </c>
    </row>
    <row r="1751" customFormat="false" ht="17.15" hidden="false" customHeight="false" outlineLevel="0" collapsed="false">
      <c r="A1751" s="3" t="s">
        <v>553</v>
      </c>
      <c r="B1751" s="0" t="s">
        <v>69</v>
      </c>
      <c r="C1751" s="15" t="n">
        <f aca="false">C1747/C1730</f>
        <v>0.175607127672562</v>
      </c>
      <c r="D1751" s="15" t="n">
        <f aca="false">D1747/D1730</f>
        <v>0.328417243409073</v>
      </c>
      <c r="E1751" s="15" t="n">
        <f aca="false">E1747/E1730</f>
        <v>0.224686769639775</v>
      </c>
      <c r="F1751" s="15" t="n">
        <f aca="false">F1747/F1730</f>
        <v>0.20980930270109</v>
      </c>
      <c r="G1751" s="15" t="n">
        <f aca="false">G1747/G1730</f>
        <v>0.209914520353279</v>
      </c>
      <c r="H1751" s="29" t="n">
        <f aca="false">$G1751+($G$1751*0.9-$G1751)*1/3</f>
        <v>0.202917369674836</v>
      </c>
      <c r="I1751" s="29" t="n">
        <f aca="false">$G1751+($G$1751*0.9-$G1751)*2/3</f>
        <v>0.195920218996394</v>
      </c>
      <c r="J1751" s="29" t="n">
        <f aca="false">$G1751+($G$1751*0.9-$G1751)*3/3</f>
        <v>0.188923068317951</v>
      </c>
    </row>
    <row r="1754" customFormat="false" ht="17.15" hidden="false" customHeight="false" outlineLevel="0" collapsed="false">
      <c r="A1754" s="1" t="s">
        <v>881</v>
      </c>
    </row>
    <row r="1755" customFormat="false" ht="17.15" hidden="false" customHeight="false" outlineLevel="0" collapsed="false">
      <c r="A1755" s="4" t="s">
        <v>24</v>
      </c>
      <c r="B1755" s="4" t="s">
        <v>25</v>
      </c>
      <c r="C1755" s="16" t="s">
        <v>387</v>
      </c>
      <c r="D1755" s="16" t="s">
        <v>505</v>
      </c>
      <c r="E1755" s="16" t="s">
        <v>467</v>
      </c>
      <c r="F1755" s="16" t="s">
        <v>468</v>
      </c>
      <c r="G1755" s="16" t="s">
        <v>469</v>
      </c>
      <c r="H1755" s="16" t="s">
        <v>506</v>
      </c>
      <c r="I1755" s="16" t="s">
        <v>507</v>
      </c>
      <c r="J1755" s="16" t="s">
        <v>508</v>
      </c>
      <c r="K1755" s="4" t="s">
        <v>345</v>
      </c>
    </row>
    <row r="1756" customFormat="false" ht="17.15" hidden="false" customHeight="false" outlineLevel="0" collapsed="false">
      <c r="A1756" s="5" t="s">
        <v>526</v>
      </c>
    </row>
    <row r="1757" customFormat="false" ht="17.15" hidden="false" customHeight="false" outlineLevel="0" collapsed="false">
      <c r="A1757" s="3" t="s">
        <v>527</v>
      </c>
      <c r="B1757" s="3" t="s">
        <v>64</v>
      </c>
      <c r="D1757" s="22" t="n">
        <f aca="false">cap_26</f>
        <v>5230.46851955216</v>
      </c>
      <c r="E1757" s="22" t="n">
        <f aca="false">D1757*(1+capg27)*cap_adj</f>
        <v>5439.68726033425</v>
      </c>
      <c r="F1757" s="22" t="n">
        <f aca="false">E1757*(1+capg28)</f>
        <v>5820.46536855765</v>
      </c>
      <c r="G1757" s="22" t="n">
        <f aca="false">F1757*(1+capg29)</f>
        <v>6227.89794435668</v>
      </c>
    </row>
    <row r="1758" customFormat="false" ht="15" hidden="false" customHeight="false" outlineLevel="0" collapsed="false">
      <c r="A1758" s="3" t="s">
        <v>528</v>
      </c>
      <c r="B1758" s="0" t="s">
        <v>69</v>
      </c>
      <c r="D1758" s="21" t="n">
        <f aca="false">a26_ship/cap_26</f>
        <v>0.870578781414787</v>
      </c>
      <c r="E1758" s="21" t="n">
        <f aca="false">MIN(0.98,ut27_C+ut_adj)</f>
        <v>0.82</v>
      </c>
      <c r="F1758" s="21" t="n">
        <f aca="false">MIN(0.98,ut28_C+ut_adj)</f>
        <v>0.76</v>
      </c>
      <c r="G1758" s="21" t="n">
        <f aca="false">MIN(0.98,ut29_C+ut_adj)</f>
        <v>0.8</v>
      </c>
    </row>
    <row r="1759" customFormat="false" ht="17.15" hidden="false" customHeight="false" outlineLevel="0" collapsed="false">
      <c r="A1759" s="3" t="s">
        <v>529</v>
      </c>
      <c r="B1759" s="3" t="s">
        <v>64</v>
      </c>
      <c r="D1759" s="22" t="n">
        <f aca="false">D1757*D1758</f>
        <v>4553.53490998013</v>
      </c>
      <c r="E1759" s="22" t="n">
        <f aca="false">E1757*E1758</f>
        <v>4460.54355347409</v>
      </c>
      <c r="F1759" s="22" t="n">
        <f aca="false">F1757*F1758</f>
        <v>4423.55368010381</v>
      </c>
      <c r="G1759" s="22" t="n">
        <f aca="false">G1757*G1758</f>
        <v>4982.31835548535</v>
      </c>
    </row>
    <row r="1760" customFormat="false" ht="17.15" hidden="false" customHeight="false" outlineLevel="0" collapsed="false">
      <c r="A1760" s="3" t="s">
        <v>530</v>
      </c>
      <c r="B1760" s="0" t="s">
        <v>109</v>
      </c>
      <c r="D1760" s="22" t="n">
        <f aca="false">asp_26</f>
        <v>1878.17486396824</v>
      </c>
      <c r="E1760" s="22" t="n">
        <f aca="false">D1760*(1+asp27_C)*(1+asp_adj)</f>
        <v>1878.17486396824</v>
      </c>
      <c r="F1760" s="22" t="n">
        <f aca="false">E1760*(1+asp28_C)</f>
        <v>1765.48437213015</v>
      </c>
      <c r="G1760" s="22" t="n">
        <f aca="false">F1760*(1+asp29_C)</f>
        <v>1712.51984096625</v>
      </c>
    </row>
    <row r="1761" customFormat="false" ht="15" hidden="false" customHeight="false" outlineLevel="0" collapsed="false">
      <c r="A1761" s="3" t="s">
        <v>531</v>
      </c>
      <c r="B1761" s="0" t="s">
        <v>69</v>
      </c>
      <c r="E1761" s="21" t="n">
        <f aca="false">E1760/D1760-1</f>
        <v>0</v>
      </c>
      <c r="F1761" s="21" t="n">
        <f aca="false">F1760/E1760-1</f>
        <v>-0.0599999999999999</v>
      </c>
      <c r="G1761" s="21" t="n">
        <f aca="false">G1760/F1760-1</f>
        <v>-0.0299999999999999</v>
      </c>
    </row>
    <row r="1762" customFormat="false" ht="15" hidden="false" customHeight="false" outlineLevel="0" collapsed="false">
      <c r="A1762" s="3" t="s">
        <v>532</v>
      </c>
      <c r="B1762" s="0" t="s">
        <v>35</v>
      </c>
      <c r="D1762" s="23" t="n">
        <f aca="false">fx_26</f>
        <v>31.6</v>
      </c>
      <c r="E1762" s="23" t="n">
        <f aca="false">fx</f>
        <v>32</v>
      </c>
      <c r="F1762" s="23" t="n">
        <f aca="false">fx</f>
        <v>32</v>
      </c>
      <c r="G1762" s="23" t="n">
        <f aca="false">fx</f>
        <v>32</v>
      </c>
    </row>
    <row r="1763" customFormat="false" ht="17.15" hidden="false" customHeight="false" outlineLevel="0" collapsed="false">
      <c r="A1763" s="3" t="s">
        <v>533</v>
      </c>
      <c r="B1763" s="0" t="s">
        <v>181</v>
      </c>
      <c r="D1763" s="23" t="n">
        <f aca="false">D1759*D1760*D1762/1000000</f>
        <v>270.25378</v>
      </c>
      <c r="E1763" s="23" t="n">
        <f aca="false">E1759*E1760*E1762/1000000</f>
        <v>268.08578501666</v>
      </c>
      <c r="F1763" s="23" t="n">
        <f aca="false">F1759*F1760*F1762/1000000</f>
        <v>249.910876528067</v>
      </c>
      <c r="G1763" s="23" t="n">
        <f aca="false">G1759*G1760*G1762/1000000</f>
        <v>273.034209208927</v>
      </c>
    </row>
    <row r="1764" customFormat="false" ht="17.15" hidden="false" customHeight="false" outlineLevel="0" collapsed="false">
      <c r="A1764" s="5" t="s">
        <v>534</v>
      </c>
    </row>
    <row r="1765" customFormat="false" ht="17.15" hidden="false" customHeight="false" outlineLevel="0" collapsed="false">
      <c r="A1765" s="0" t="s">
        <v>535</v>
      </c>
      <c r="B1765" s="0" t="s">
        <v>138</v>
      </c>
      <c r="D1765" s="25" t="n">
        <f aca="false">ai_26</f>
        <v>0.3</v>
      </c>
      <c r="E1765" s="25" t="n">
        <f aca="false">D1765*(1+aig27_C)*ai_adj</f>
        <v>0.36</v>
      </c>
      <c r="F1765" s="25" t="n">
        <f aca="false">E1765*(1+aig_L)*um28_C</f>
        <v>0.3132</v>
      </c>
      <c r="G1765" s="25" t="n">
        <f aca="false">F1765/um28_C*(1+aig_L)*um29_C</f>
        <v>0.45414</v>
      </c>
    </row>
    <row r="1766" customFormat="false" ht="17.15" hidden="false" customHeight="false" outlineLevel="0" collapsed="false">
      <c r="A1766" s="0" t="s">
        <v>536</v>
      </c>
      <c r="B1766" s="0" t="s">
        <v>181</v>
      </c>
      <c r="D1766" s="23" t="n">
        <f aca="false">D1765*D1762</f>
        <v>9.48</v>
      </c>
      <c r="E1766" s="23" t="n">
        <f aca="false">E1765*E1762</f>
        <v>11.52</v>
      </c>
      <c r="F1766" s="23" t="n">
        <f aca="false">F1765*F1762</f>
        <v>10.0224</v>
      </c>
      <c r="G1766" s="23" t="n">
        <f aca="false">G1765*G1762</f>
        <v>14.53248</v>
      </c>
    </row>
    <row r="1767" customFormat="false" ht="17.15" hidden="false" customHeight="false" outlineLevel="0" collapsed="false">
      <c r="A1767" s="0" t="s">
        <v>537</v>
      </c>
      <c r="B1767" s="0" t="s">
        <v>138</v>
      </c>
      <c r="D1767" s="25" t="n">
        <f aca="false">0</f>
        <v>0</v>
      </c>
      <c r="E1767" s="25" t="n">
        <f aca="false">int_27</f>
        <v>0</v>
      </c>
      <c r="F1767" s="25" t="n">
        <f aca="false">int28_C</f>
        <v>0</v>
      </c>
      <c r="G1767" s="25" t="n">
        <f aca="false">int29_C</f>
        <v>0.08</v>
      </c>
    </row>
    <row r="1768" customFormat="false" ht="17.15" hidden="false" customHeight="false" outlineLevel="0" collapsed="false">
      <c r="A1768" s="0" t="s">
        <v>538</v>
      </c>
      <c r="B1768" s="0" t="s">
        <v>181</v>
      </c>
      <c r="D1768" s="23" t="n">
        <f aca="false">D1767*D1762</f>
        <v>0</v>
      </c>
      <c r="E1768" s="23" t="n">
        <f aca="false">E1767*E1762</f>
        <v>0</v>
      </c>
      <c r="F1768" s="23" t="n">
        <f aca="false">F1767*F1762</f>
        <v>0</v>
      </c>
      <c r="G1768" s="23" t="n">
        <f aca="false">G1767*G1762</f>
        <v>2.56</v>
      </c>
    </row>
    <row r="1769" customFormat="false" ht="17.15" hidden="false" customHeight="false" outlineLevel="0" collapsed="false">
      <c r="A1769" s="3" t="s">
        <v>393</v>
      </c>
      <c r="B1769" s="0" t="s">
        <v>181</v>
      </c>
      <c r="C1769" s="23" t="n">
        <f aca="false">a25_rev</f>
        <v>237.553</v>
      </c>
      <c r="D1769" s="23" t="n">
        <f aca="false">D1763+D1766+D1768</f>
        <v>279.73378</v>
      </c>
      <c r="E1769" s="23" t="n">
        <f aca="false">E1763+E1766+E1768</f>
        <v>279.60578501666</v>
      </c>
      <c r="F1769" s="23" t="n">
        <f aca="false">F1763+F1766+F1768</f>
        <v>259.933276528067</v>
      </c>
      <c r="G1769" s="23" t="n">
        <f aca="false">G1763+G1766+G1768</f>
        <v>290.126689208927</v>
      </c>
      <c r="H1769" s="30" t="n">
        <f aca="false">G1769*(1+H1771)</f>
        <v>314.527952983075</v>
      </c>
      <c r="I1769" s="30" t="n">
        <f aca="false">H1769*(1+I1771)</f>
        <v>330.900005213497</v>
      </c>
      <c r="J1769" s="30" t="n">
        <f aca="false">I1769*(1+J1771)</f>
        <v>337.518005317767</v>
      </c>
      <c r="K1769" s="7" t="s">
        <v>539</v>
      </c>
    </row>
    <row r="1770" customFormat="false" ht="17.15" hidden="false" customHeight="false" outlineLevel="0" collapsed="false">
      <c r="A1770" s="0" t="s">
        <v>540</v>
      </c>
      <c r="B1770" s="0" t="s">
        <v>69</v>
      </c>
      <c r="D1770" s="21" t="n">
        <f aca="false">D1766/D1769</f>
        <v>0.0338893643806622</v>
      </c>
      <c r="E1770" s="21" t="n">
        <f aca="false">E1766/E1769</f>
        <v>0.0412008642786615</v>
      </c>
      <c r="F1770" s="21" t="n">
        <f aca="false">F1766/F1769</f>
        <v>0.0385575872926674</v>
      </c>
      <c r="G1770" s="21" t="n">
        <f aca="false">G1766/G1769</f>
        <v>0.0500901176642002</v>
      </c>
    </row>
    <row r="1771" customFormat="false" ht="15" hidden="false" customHeight="false" outlineLevel="0" collapsed="false">
      <c r="A1771" s="3" t="s">
        <v>541</v>
      </c>
      <c r="B1771" s="0" t="s">
        <v>69</v>
      </c>
      <c r="D1771" s="21" t="n">
        <f aca="false">D1769/C1769-1</f>
        <v>0.177563659478096</v>
      </c>
      <c r="E1771" s="21" t="n">
        <f aca="false">E1769/D1769-1</f>
        <v>-0.000457559981995259</v>
      </c>
      <c r="F1771" s="21" t="n">
        <f aca="false">F1769/E1769-1</f>
        <v>-0.0703580166891779</v>
      </c>
      <c r="G1771" s="21" t="n">
        <f aca="false">G1769/F1769-1</f>
        <v>0.116158319874062</v>
      </c>
      <c r="H1771" s="28" t="n">
        <f aca="false">$G1771+(fade_gC-$G1771)*1/3</f>
        <v>0.0841055465827078</v>
      </c>
      <c r="I1771" s="28" t="n">
        <f aca="false">$G1771+(fade_gC-$G1771)*2/3</f>
        <v>0.0520527732913539</v>
      </c>
      <c r="J1771" s="28" t="n">
        <f aca="false">$G1771+(fade_gC-$G1771)*3/3</f>
        <v>0.02</v>
      </c>
    </row>
    <row r="1772" customFormat="false" ht="17.15" hidden="false" customHeight="false" outlineLevel="0" collapsed="false">
      <c r="A1772" s="5" t="s">
        <v>542</v>
      </c>
    </row>
    <row r="1773" customFormat="false" ht="15" hidden="false" customHeight="false" outlineLevel="0" collapsed="false">
      <c r="A1773" s="3" t="s">
        <v>543</v>
      </c>
      <c r="B1773" s="0" t="s">
        <v>181</v>
      </c>
      <c r="D1773" s="23" t="n">
        <f aca="false">da_tot26*da_sh</f>
        <v>56.172</v>
      </c>
      <c r="E1773" s="23" t="n">
        <f aca="false">D1773*(1+dag_27+dag_adj)</f>
        <v>62.91264</v>
      </c>
      <c r="F1773" s="23" t="n">
        <f aca="false">E1773*(1+dag_28+dag_adj)</f>
        <v>69.203904</v>
      </c>
      <c r="G1773" s="23" t="n">
        <f aca="false">F1773*(1+dag_29+dag_adj)</f>
        <v>74.74021632</v>
      </c>
    </row>
    <row r="1774" customFormat="false" ht="17.15" hidden="false" customHeight="false" outlineLevel="0" collapsed="false">
      <c r="A1774" s="3" t="s">
        <v>544</v>
      </c>
      <c r="B1774" s="0" t="s">
        <v>545</v>
      </c>
      <c r="D1774" s="23" t="n">
        <f aca="false">(D1769-a26_gp-D1773-(1-m_new)*(D1766+D1768))/D1759*1000</f>
        <v>27.9465727870208</v>
      </c>
      <c r="E1774" s="23" t="n">
        <f aca="false">D1774*(1+cc_g)</f>
        <v>28.5055042427612</v>
      </c>
      <c r="F1774" s="23" t="n">
        <f aca="false">E1774*(1+cc_g)</f>
        <v>29.0756143276165</v>
      </c>
      <c r="G1774" s="23" t="n">
        <f aca="false">F1774*(1+cc_g)</f>
        <v>29.6571266141688</v>
      </c>
      <c r="K1774" s="7" t="s">
        <v>546</v>
      </c>
    </row>
    <row r="1775" customFormat="false" ht="17.15" hidden="false" customHeight="false" outlineLevel="0" collapsed="false">
      <c r="A1775" s="3" t="s">
        <v>547</v>
      </c>
      <c r="B1775" s="0" t="s">
        <v>181</v>
      </c>
      <c r="D1775" s="23" t="n">
        <f aca="false">D1774*D1759/1000</f>
        <v>127.2556948</v>
      </c>
      <c r="E1775" s="23" t="n">
        <f aca="false">E1774*E1759/1000</f>
        <v>127.150043188577</v>
      </c>
      <c r="F1775" s="23" t="n">
        <f aca="false">F1774*F1759/1000</f>
        <v>128.617540760207</v>
      </c>
      <c r="G1775" s="23" t="n">
        <f aca="false">G1774*G1759/1000</f>
        <v>147.761246300726</v>
      </c>
    </row>
    <row r="1776" customFormat="false" ht="17.15" hidden="false" customHeight="false" outlineLevel="0" collapsed="false">
      <c r="A1776" s="3" t="s">
        <v>548</v>
      </c>
      <c r="B1776" s="0" t="s">
        <v>181</v>
      </c>
      <c r="D1776" s="23" t="n">
        <f aca="false">m_new*(D1766+D1768)</f>
        <v>4.266</v>
      </c>
      <c r="E1776" s="23" t="n">
        <f aca="false">m_new*(E1766+E1768)</f>
        <v>5.184</v>
      </c>
      <c r="F1776" s="23" t="n">
        <f aca="false">m_new*(F1766+F1768)</f>
        <v>4.51008</v>
      </c>
      <c r="G1776" s="23" t="n">
        <f aca="false">m_new*(G1766+G1768)</f>
        <v>7.691616</v>
      </c>
    </row>
    <row r="1777" customFormat="false" ht="15" hidden="false" customHeight="false" outlineLevel="0" collapsed="false">
      <c r="A1777" s="3" t="s">
        <v>411</v>
      </c>
      <c r="B1777" s="0" t="s">
        <v>181</v>
      </c>
      <c r="C1777" s="23" t="n">
        <f aca="false">a25_gp</f>
        <v>68.906</v>
      </c>
      <c r="D1777" s="23" t="n">
        <f aca="false">D1763-D1773-D1775+D1776</f>
        <v>91.0920852</v>
      </c>
      <c r="E1777" s="23" t="n">
        <f aca="false">E1763-E1773-E1775+E1776</f>
        <v>83.2071018280829</v>
      </c>
      <c r="F1777" s="23" t="n">
        <f aca="false">F1763-F1773-F1775+F1776</f>
        <v>56.59951176786</v>
      </c>
      <c r="G1777" s="23" t="n">
        <f aca="false">G1763-G1773-G1775+G1776</f>
        <v>58.2243625882008</v>
      </c>
    </row>
    <row r="1778" customFormat="false" ht="15" hidden="false" customHeight="false" outlineLevel="0" collapsed="false">
      <c r="A1778" s="3" t="s">
        <v>413</v>
      </c>
      <c r="B1778" s="0" t="s">
        <v>69</v>
      </c>
      <c r="C1778" s="15" t="n">
        <f aca="false">C1777/C1769</f>
        <v>0.290065795843454</v>
      </c>
      <c r="D1778" s="15" t="n">
        <f aca="false">D1777/D1769</f>
        <v>0.325638488136828</v>
      </c>
      <c r="E1778" s="15" t="n">
        <f aca="false">E1777/E1769</f>
        <v>0.297587196999966</v>
      </c>
      <c r="F1778" s="15" t="n">
        <f aca="false">F1777/F1769</f>
        <v>0.217746309837127</v>
      </c>
      <c r="G1778" s="15" t="n">
        <f aca="false">G1777/G1769</f>
        <v>0.200685992546767</v>
      </c>
    </row>
    <row r="1779" customFormat="false" ht="15" hidden="false" customHeight="false" outlineLevel="0" collapsed="false">
      <c r="A1779" s="3" t="s">
        <v>415</v>
      </c>
      <c r="B1779" s="0" t="s">
        <v>181</v>
      </c>
      <c r="C1779" s="23" t="n">
        <f aca="false">a25_opx</f>
        <v>25.056</v>
      </c>
      <c r="D1779" s="23" t="n">
        <f aca="false">a26_opx</f>
        <v>27.23586</v>
      </c>
      <c r="E1779" s="23" t="n">
        <f aca="false">D1779*(1+MAX(g_opx_min,phi*E1771))</f>
        <v>28.0529358</v>
      </c>
      <c r="F1779" s="23" t="n">
        <f aca="false">E1779*(1+MAX(g_opx_min,phi*F1771))</f>
        <v>28.894523874</v>
      </c>
      <c r="G1779" s="23" t="n">
        <f aca="false">F1779*(1+MAX(g_opx_min,phi*G1771))</f>
        <v>30.5726935473824</v>
      </c>
    </row>
    <row r="1780" customFormat="false" ht="15" hidden="false" customHeight="false" outlineLevel="0" collapsed="false">
      <c r="A1780" s="3" t="s">
        <v>418</v>
      </c>
      <c r="B1780" s="0" t="s">
        <v>181</v>
      </c>
      <c r="C1780" s="23" t="n">
        <f aca="false">C1777-C1779</f>
        <v>43.85</v>
      </c>
      <c r="D1780" s="23" t="n">
        <f aca="false">D1777-D1779</f>
        <v>63.8562252</v>
      </c>
      <c r="E1780" s="23" t="n">
        <f aca="false">E1777-E1779</f>
        <v>55.1541660280829</v>
      </c>
      <c r="F1780" s="23" t="n">
        <f aca="false">F1777-F1779</f>
        <v>27.70498789386</v>
      </c>
      <c r="G1780" s="23" t="n">
        <f aca="false">G1777-G1779</f>
        <v>27.6516690408184</v>
      </c>
    </row>
    <row r="1781" customFormat="false" ht="15" hidden="false" customHeight="false" outlineLevel="0" collapsed="false">
      <c r="A1781" s="3" t="s">
        <v>515</v>
      </c>
      <c r="B1781" s="0" t="s">
        <v>69</v>
      </c>
      <c r="C1781" s="15" t="n">
        <f aca="false">C1780/C1769</f>
        <v>0.184590386145408</v>
      </c>
      <c r="D1781" s="15" t="n">
        <f aca="false">D1780/D1769</f>
        <v>0.228274987740129</v>
      </c>
      <c r="E1781" s="15" t="n">
        <f aca="false">E1780/E1769</f>
        <v>0.197256884455365</v>
      </c>
      <c r="F1781" s="15" t="n">
        <f aca="false">F1780/F1769</f>
        <v>0.106584998519297</v>
      </c>
      <c r="G1781" s="15" t="n">
        <f aca="false">G1780/G1769</f>
        <v>0.0953089462958914</v>
      </c>
    </row>
    <row r="1782" customFormat="false" ht="15" hidden="false" customHeight="false" outlineLevel="0" collapsed="false">
      <c r="A1782" s="3" t="s">
        <v>421</v>
      </c>
      <c r="B1782" s="0" t="s">
        <v>181</v>
      </c>
      <c r="C1782" s="23" t="n">
        <f aca="false">a25_nonop</f>
        <v>5.805</v>
      </c>
      <c r="D1782" s="23" t="n">
        <f aca="false">a26_nonop</f>
        <v>38.372</v>
      </c>
      <c r="E1782" s="23" t="n">
        <f aca="false">nonop_f_lo</f>
        <v>2</v>
      </c>
      <c r="F1782" s="23" t="n">
        <f aca="false">nonop_f_lo</f>
        <v>2</v>
      </c>
      <c r="G1782" s="23" t="n">
        <f aca="false">nonop_f_lo</f>
        <v>2</v>
      </c>
    </row>
    <row r="1783" customFormat="false" ht="15" hidden="false" customHeight="false" outlineLevel="0" collapsed="false">
      <c r="A1783" s="3" t="s">
        <v>423</v>
      </c>
      <c r="B1783" s="0" t="s">
        <v>181</v>
      </c>
      <c r="C1783" s="23" t="n">
        <f aca="false">C1780+C1782</f>
        <v>49.655</v>
      </c>
      <c r="D1783" s="23" t="n">
        <f aca="false">D1780+D1782</f>
        <v>102.2282252</v>
      </c>
      <c r="E1783" s="23" t="n">
        <f aca="false">E1780+E1782</f>
        <v>57.1541660280829</v>
      </c>
      <c r="F1783" s="23" t="n">
        <f aca="false">F1780+F1782</f>
        <v>29.70498789386</v>
      </c>
      <c r="G1783" s="23" t="n">
        <f aca="false">G1780+G1782</f>
        <v>29.6516690408184</v>
      </c>
    </row>
    <row r="1784" customFormat="false" ht="15" hidden="false" customHeight="false" outlineLevel="0" collapsed="false">
      <c r="A1784" s="3" t="s">
        <v>425</v>
      </c>
      <c r="B1784" s="0" t="s">
        <v>181</v>
      </c>
      <c r="C1784" s="23" t="n">
        <f aca="false">a25_tax</f>
        <v>7.939</v>
      </c>
      <c r="D1784" s="23" t="n">
        <f aca="false">a26_tax</f>
        <v>10.493828284</v>
      </c>
      <c r="E1784" s="23" t="n">
        <f aca="false">E1783*tax</f>
        <v>8.57312490421244</v>
      </c>
      <c r="F1784" s="23" t="n">
        <f aca="false">F1783*tax</f>
        <v>4.45574818407899</v>
      </c>
      <c r="G1784" s="23" t="n">
        <f aca="false">G1783*tax</f>
        <v>4.44775035612276</v>
      </c>
    </row>
    <row r="1785" customFormat="false" ht="17.15" hidden="false" customHeight="false" outlineLevel="0" collapsed="false">
      <c r="A1785" s="3" t="s">
        <v>549</v>
      </c>
      <c r="B1785" s="0" t="s">
        <v>181</v>
      </c>
      <c r="C1785" s="23" t="n">
        <f aca="false">a25_mi</f>
        <v>0</v>
      </c>
      <c r="D1785" s="23" t="n">
        <f aca="false">a26_mi</f>
        <v>-0.134999999999987</v>
      </c>
      <c r="E1785" s="23" t="n">
        <f aca="false">0</f>
        <v>0</v>
      </c>
      <c r="F1785" s="23" t="n">
        <f aca="false">0</f>
        <v>0</v>
      </c>
      <c r="G1785" s="23" t="n">
        <f aca="false">0</f>
        <v>0</v>
      </c>
      <c r="K1785" s="7" t="s">
        <v>550</v>
      </c>
    </row>
    <row r="1786" customFormat="false" ht="15" hidden="false" customHeight="false" outlineLevel="0" collapsed="false">
      <c r="A1786" s="3" t="s">
        <v>428</v>
      </c>
      <c r="B1786" s="0" t="s">
        <v>181</v>
      </c>
      <c r="C1786" s="23" t="n">
        <f aca="false">C1783-C1784-C1785</f>
        <v>41.716</v>
      </c>
      <c r="D1786" s="23" t="n">
        <f aca="false">D1783-D1784-D1785</f>
        <v>91.869396916</v>
      </c>
      <c r="E1786" s="23" t="n">
        <f aca="false">E1783-E1784-E1785</f>
        <v>48.5810411238705</v>
      </c>
      <c r="F1786" s="23" t="n">
        <f aca="false">F1783-F1784-F1785</f>
        <v>25.249239709781</v>
      </c>
      <c r="G1786" s="23" t="n">
        <f aca="false">G1783-G1784-G1785</f>
        <v>25.2039186846957</v>
      </c>
      <c r="H1786" s="30" t="n">
        <f aca="false">H1769*H1790</f>
        <v>25.5021275055849</v>
      </c>
      <c r="I1786" s="30" t="n">
        <f aca="false">I1769*I1790</f>
        <v>24.9131851122889</v>
      </c>
      <c r="J1786" s="30" t="n">
        <f aca="false">J1769*J1790</f>
        <v>23.4567219826474</v>
      </c>
    </row>
    <row r="1787" customFormat="false" ht="15" hidden="false" customHeight="false" outlineLevel="0" collapsed="false">
      <c r="A1787" s="3" t="s">
        <v>551</v>
      </c>
      <c r="B1787" s="3" t="s">
        <v>250</v>
      </c>
      <c r="C1787" s="9" t="n">
        <f aca="false">a25_sh</f>
        <v>12.4898203592814</v>
      </c>
      <c r="D1787" s="9" t="n">
        <f aca="false">a26_sh</f>
        <v>12.4754339027235</v>
      </c>
      <c r="E1787" s="9" t="n">
        <f aca="false">q_sh*(1+sh_g)</f>
        <v>12.45</v>
      </c>
      <c r="F1787" s="9" t="n">
        <f aca="false">E1787*(1+sh_g)</f>
        <v>12.45</v>
      </c>
      <c r="G1787" s="9" t="n">
        <f aca="false">F1787*(1+sh_g)</f>
        <v>12.45</v>
      </c>
      <c r="H1787" s="32" t="n">
        <f aca="false">G1787*(1+sh_g)</f>
        <v>12.45</v>
      </c>
      <c r="I1787" s="32" t="n">
        <f aca="false">H1787*(1+sh_g)</f>
        <v>12.45</v>
      </c>
      <c r="J1787" s="32" t="n">
        <f aca="false">I1787*(1+sh_g)</f>
        <v>12.45</v>
      </c>
    </row>
    <row r="1788" customFormat="false" ht="17.15" hidden="false" customHeight="false" outlineLevel="0" collapsed="false">
      <c r="A1788" s="0" t="s">
        <v>434</v>
      </c>
      <c r="B1788" s="0" t="s">
        <v>260</v>
      </c>
      <c r="C1788" s="23" t="n">
        <f aca="false">C1786/C1787</f>
        <v>3.34</v>
      </c>
      <c r="D1788" s="23" t="n">
        <f aca="false">D1786/D1787</f>
        <v>7.36402418002826</v>
      </c>
      <c r="E1788" s="23" t="n">
        <f aca="false">E1786/E1787</f>
        <v>3.90209165653578</v>
      </c>
      <c r="F1788" s="23" t="n">
        <f aca="false">F1786/F1787</f>
        <v>2.02805138231172</v>
      </c>
      <c r="G1788" s="23" t="n">
        <f aca="false">G1786/G1787</f>
        <v>2.02441113933298</v>
      </c>
      <c r="H1788" s="30" t="n">
        <f aca="false">H1786/H1787</f>
        <v>2.04836365506706</v>
      </c>
      <c r="I1788" s="30" t="n">
        <f aca="false">I1786/I1787</f>
        <v>2.00105904516376</v>
      </c>
      <c r="J1788" s="30" t="n">
        <f aca="false">J1786/J1787</f>
        <v>1.88407405483111</v>
      </c>
    </row>
    <row r="1789" customFormat="false" ht="17.15" hidden="false" customHeight="false" outlineLevel="0" collapsed="false">
      <c r="A1789" s="0" t="s">
        <v>552</v>
      </c>
      <c r="B1789" s="0" t="s">
        <v>69</v>
      </c>
      <c r="D1789" s="21" t="n">
        <f aca="false">D1788/C1788-1</f>
        <v>1.2047976586911</v>
      </c>
      <c r="E1789" s="21" t="n">
        <f aca="false">E1788/D1788-1</f>
        <v>-0.470114225436885</v>
      </c>
      <c r="F1789" s="21" t="n">
        <f aca="false">F1788/E1788-1</f>
        <v>-0.480265570155213</v>
      </c>
      <c r="G1789" s="21" t="n">
        <f aca="false">G1788/F1788-1</f>
        <v>-0.00179494612931863</v>
      </c>
      <c r="H1789" s="28" t="n">
        <f aca="false">H1788/G1788-1</f>
        <v>0.0118318434771938</v>
      </c>
      <c r="I1789" s="28" t="n">
        <f aca="false">I1788/H1788-1</f>
        <v>-0.0230938533723141</v>
      </c>
      <c r="J1789" s="28" t="n">
        <f aca="false">J1788/I1788-1</f>
        <v>-0.0584615384615387</v>
      </c>
    </row>
    <row r="1790" customFormat="false" ht="17.15" hidden="false" customHeight="false" outlineLevel="0" collapsed="false">
      <c r="A1790" s="3" t="s">
        <v>553</v>
      </c>
      <c r="B1790" s="0" t="s">
        <v>69</v>
      </c>
      <c r="C1790" s="15" t="n">
        <f aca="false">C1786/C1769</f>
        <v>0.175607127672562</v>
      </c>
      <c r="D1790" s="15" t="n">
        <f aca="false">D1786/D1769</f>
        <v>0.328417243409073</v>
      </c>
      <c r="E1790" s="15" t="n">
        <f aca="false">E1786/E1769</f>
        <v>0.173748340439293</v>
      </c>
      <c r="F1790" s="15" t="n">
        <f aca="false">F1786/F1769</f>
        <v>0.0971373886677207</v>
      </c>
      <c r="G1790" s="15" t="n">
        <f aca="false">G1786/G1769</f>
        <v>0.0868721135357034</v>
      </c>
      <c r="H1790" s="29" t="n">
        <f aca="false">$G1790+($G$1790*0.8-$G1790)*1/3</f>
        <v>0.0810806392999899</v>
      </c>
      <c r="I1790" s="29" t="n">
        <f aca="false">$G1790+($G$1790*0.8-$G1790)*2/3</f>
        <v>0.0752891650642763</v>
      </c>
      <c r="J1790" s="29" t="n">
        <f aca="false">$G1790+($G$1790*0.8-$G1790)*3/3</f>
        <v>0.0694976908285627</v>
      </c>
    </row>
    <row r="1793" customFormat="false" ht="17.15" hidden="false" customHeight="false" outlineLevel="0" collapsed="false">
      <c r="A1793" s="1" t="s">
        <v>882</v>
      </c>
    </row>
    <row r="1794" customFormat="false" ht="17.15" hidden="false" customHeight="false" outlineLevel="0" collapsed="false">
      <c r="A1794" s="4" t="s">
        <v>24</v>
      </c>
      <c r="B1794" s="4" t="s">
        <v>25</v>
      </c>
      <c r="C1794" s="16" t="s">
        <v>387</v>
      </c>
      <c r="D1794" s="16" t="s">
        <v>505</v>
      </c>
      <c r="E1794" s="16" t="s">
        <v>467</v>
      </c>
      <c r="F1794" s="16" t="s">
        <v>468</v>
      </c>
      <c r="G1794" s="16" t="s">
        <v>469</v>
      </c>
      <c r="H1794" s="16" t="s">
        <v>506</v>
      </c>
      <c r="I1794" s="16" t="s">
        <v>507</v>
      </c>
      <c r="J1794" s="16" t="s">
        <v>508</v>
      </c>
      <c r="K1794" s="4" t="s">
        <v>345</v>
      </c>
    </row>
    <row r="1795" customFormat="false" ht="17.15" hidden="false" customHeight="false" outlineLevel="0" collapsed="false">
      <c r="A1795" s="5" t="s">
        <v>526</v>
      </c>
    </row>
    <row r="1796" customFormat="false" ht="17.15" hidden="false" customHeight="false" outlineLevel="0" collapsed="false">
      <c r="A1796" s="3" t="s">
        <v>527</v>
      </c>
      <c r="B1796" s="3" t="s">
        <v>64</v>
      </c>
      <c r="D1796" s="22" t="n">
        <f aca="false">cap_26</f>
        <v>5230.46851955216</v>
      </c>
      <c r="E1796" s="22" t="n">
        <f aca="false">D1796*(1+capg27)*cap_adj</f>
        <v>5439.68726033425</v>
      </c>
      <c r="F1796" s="22" t="n">
        <f aca="false">E1796*(1+capg28)</f>
        <v>5820.46536855765</v>
      </c>
      <c r="G1796" s="22" t="n">
        <f aca="false">F1796*(1+capg29)</f>
        <v>6227.89794435668</v>
      </c>
    </row>
    <row r="1797" customFormat="false" ht="15" hidden="false" customHeight="false" outlineLevel="0" collapsed="false">
      <c r="A1797" s="3" t="s">
        <v>528</v>
      </c>
      <c r="B1797" s="0" t="s">
        <v>69</v>
      </c>
      <c r="D1797" s="21" t="n">
        <f aca="false">a26_ship/cap_26</f>
        <v>0.870578781414787</v>
      </c>
      <c r="E1797" s="21" t="n">
        <f aca="false">MIN(0.98,ut27_A+ut_adj)</f>
        <v>0.95</v>
      </c>
      <c r="F1797" s="21" t="n">
        <f aca="false">MIN(0.98,ut28_A+ut_adj)</f>
        <v>0.94</v>
      </c>
      <c r="G1797" s="21" t="n">
        <f aca="false">MIN(0.98,ut29_A+ut_adj)</f>
        <v>0.93</v>
      </c>
    </row>
    <row r="1798" customFormat="false" ht="17.15" hidden="false" customHeight="false" outlineLevel="0" collapsed="false">
      <c r="A1798" s="3" t="s">
        <v>529</v>
      </c>
      <c r="B1798" s="3" t="s">
        <v>64</v>
      </c>
      <c r="D1798" s="22" t="n">
        <f aca="false">D1796*D1797</f>
        <v>4553.53490998013</v>
      </c>
      <c r="E1798" s="22" t="n">
        <f aca="false">E1796*E1797</f>
        <v>5167.70289731754</v>
      </c>
      <c r="F1798" s="22" t="n">
        <f aca="false">F1796*F1797</f>
        <v>5471.23744644419</v>
      </c>
      <c r="G1798" s="22" t="n">
        <f aca="false">G1796*G1797</f>
        <v>5791.94508825172</v>
      </c>
    </row>
    <row r="1799" customFormat="false" ht="17.15" hidden="false" customHeight="false" outlineLevel="0" collapsed="false">
      <c r="A1799" s="3" t="s">
        <v>530</v>
      </c>
      <c r="B1799" s="0" t="s">
        <v>109</v>
      </c>
      <c r="D1799" s="22" t="n">
        <f aca="false">asp_26</f>
        <v>1878.17486396824</v>
      </c>
      <c r="E1799" s="22" t="n">
        <f aca="false">D1799*(1+asp27_A)*(1+asp_adj)</f>
        <v>2065.99235036507</v>
      </c>
      <c r="F1799" s="22" t="n">
        <f aca="false">E1799*(1+asp28_A)</f>
        <v>2127.97212087602</v>
      </c>
      <c r="G1799" s="22" t="n">
        <f aca="false">F1799*(1+asp29_A)</f>
        <v>2170.53156329354</v>
      </c>
    </row>
    <row r="1800" customFormat="false" ht="15" hidden="false" customHeight="false" outlineLevel="0" collapsed="false">
      <c r="A1800" s="3" t="s">
        <v>531</v>
      </c>
      <c r="B1800" s="0" t="s">
        <v>69</v>
      </c>
      <c r="E1800" s="21" t="n">
        <f aca="false">E1799/D1799-1</f>
        <v>0.1</v>
      </c>
      <c r="F1800" s="21" t="n">
        <f aca="false">F1799/E1799-1</f>
        <v>0.03</v>
      </c>
      <c r="G1800" s="21" t="n">
        <f aca="false">G1799/F1799-1</f>
        <v>0.02</v>
      </c>
    </row>
    <row r="1801" customFormat="false" ht="15" hidden="false" customHeight="false" outlineLevel="0" collapsed="false">
      <c r="A1801" s="3" t="s">
        <v>532</v>
      </c>
      <c r="B1801" s="0" t="s">
        <v>35</v>
      </c>
      <c r="D1801" s="23" t="n">
        <f aca="false">fx_26</f>
        <v>31.6</v>
      </c>
      <c r="E1801" s="23" t="n">
        <f aca="false">fx</f>
        <v>32</v>
      </c>
      <c r="F1801" s="23" t="n">
        <f aca="false">fx</f>
        <v>32</v>
      </c>
      <c r="G1801" s="23" t="n">
        <f aca="false">fx</f>
        <v>32</v>
      </c>
    </row>
    <row r="1802" customFormat="false" ht="17.15" hidden="false" customHeight="false" outlineLevel="0" collapsed="false">
      <c r="A1802" s="3" t="s">
        <v>533</v>
      </c>
      <c r="B1802" s="0" t="s">
        <v>181</v>
      </c>
      <c r="D1802" s="23" t="n">
        <f aca="false">D1798*D1799*D1801/1000000</f>
        <v>270.25378</v>
      </c>
      <c r="E1802" s="23" t="n">
        <f aca="false">E1798*E1799*E1801/1000000</f>
        <v>341.645908954158</v>
      </c>
      <c r="F1802" s="23" t="n">
        <f aca="false">F1798*F1799*F1801/1000000</f>
        <v>372.564504087237</v>
      </c>
      <c r="G1802" s="23" t="n">
        <f aca="false">G1798*G1799*G1801/1000000</f>
        <v>402.291188061227</v>
      </c>
    </row>
    <row r="1803" customFormat="false" ht="17.15" hidden="false" customHeight="false" outlineLevel="0" collapsed="false">
      <c r="A1803" s="5" t="s">
        <v>534</v>
      </c>
    </row>
    <row r="1804" customFormat="false" ht="17.15" hidden="false" customHeight="false" outlineLevel="0" collapsed="false">
      <c r="A1804" s="0" t="s">
        <v>535</v>
      </c>
      <c r="B1804" s="0" t="s">
        <v>138</v>
      </c>
      <c r="D1804" s="25" t="n">
        <f aca="false">ai_26</f>
        <v>0.3</v>
      </c>
      <c r="E1804" s="25" t="n">
        <f aca="false">D1804*(1+aig27_A)*ai_adj</f>
        <v>0.48</v>
      </c>
      <c r="F1804" s="25" t="n">
        <f aca="false">E1804*(1+aig_L)*um28_A</f>
        <v>0.696</v>
      </c>
      <c r="G1804" s="25" t="n">
        <f aca="false">F1804/um28_A*(1+aig_L)*um29_A</f>
        <v>1.0092</v>
      </c>
    </row>
    <row r="1805" customFormat="false" ht="17.15" hidden="false" customHeight="false" outlineLevel="0" collapsed="false">
      <c r="A1805" s="0" t="s">
        <v>536</v>
      </c>
      <c r="B1805" s="0" t="s">
        <v>181</v>
      </c>
      <c r="D1805" s="23" t="n">
        <f aca="false">D1804*D1801</f>
        <v>9.48</v>
      </c>
      <c r="E1805" s="23" t="n">
        <f aca="false">E1804*E1801</f>
        <v>15.36</v>
      </c>
      <c r="F1805" s="23" t="n">
        <f aca="false">F1804*F1801</f>
        <v>22.272</v>
      </c>
      <c r="G1805" s="23" t="n">
        <f aca="false">G1804*G1801</f>
        <v>32.2944</v>
      </c>
    </row>
    <row r="1806" customFormat="false" ht="17.15" hidden="false" customHeight="false" outlineLevel="0" collapsed="false">
      <c r="A1806" s="0" t="s">
        <v>537</v>
      </c>
      <c r="B1806" s="0" t="s">
        <v>138</v>
      </c>
      <c r="D1806" s="25" t="n">
        <f aca="false">0</f>
        <v>0</v>
      </c>
      <c r="E1806" s="25" t="n">
        <f aca="false">int_27</f>
        <v>0</v>
      </c>
      <c r="F1806" s="25" t="n">
        <f aca="false">int28_A</f>
        <v>0.25</v>
      </c>
      <c r="G1806" s="25" t="n">
        <f aca="false">int29_A</f>
        <v>0.5</v>
      </c>
    </row>
    <row r="1807" customFormat="false" ht="17.15" hidden="false" customHeight="false" outlineLevel="0" collapsed="false">
      <c r="A1807" s="0" t="s">
        <v>538</v>
      </c>
      <c r="B1807" s="0" t="s">
        <v>181</v>
      </c>
      <c r="D1807" s="23" t="n">
        <f aca="false">D1806*D1801</f>
        <v>0</v>
      </c>
      <c r="E1807" s="23" t="n">
        <f aca="false">E1806*E1801</f>
        <v>0</v>
      </c>
      <c r="F1807" s="23" t="n">
        <f aca="false">F1806*F1801</f>
        <v>8</v>
      </c>
      <c r="G1807" s="23" t="n">
        <f aca="false">G1806*G1801</f>
        <v>16</v>
      </c>
    </row>
    <row r="1808" customFormat="false" ht="17.15" hidden="false" customHeight="false" outlineLevel="0" collapsed="false">
      <c r="A1808" s="3" t="s">
        <v>393</v>
      </c>
      <c r="B1808" s="0" t="s">
        <v>181</v>
      </c>
      <c r="C1808" s="23" t="n">
        <f aca="false">a25_rev</f>
        <v>237.553</v>
      </c>
      <c r="D1808" s="23" t="n">
        <f aca="false">D1802+D1805+D1807</f>
        <v>279.73378</v>
      </c>
      <c r="E1808" s="23" t="n">
        <f aca="false">E1802+E1805+E1807</f>
        <v>357.005908954158</v>
      </c>
      <c r="F1808" s="23" t="n">
        <f aca="false">F1802+F1805+F1807</f>
        <v>402.836504087237</v>
      </c>
      <c r="G1808" s="23" t="n">
        <f aca="false">G1802+G1805+G1807</f>
        <v>450.585588061227</v>
      </c>
      <c r="H1808" s="30" t="n">
        <f aca="false">G1808*(1+H1810)</f>
        <v>495.203224084546</v>
      </c>
      <c r="I1808" s="30" t="n">
        <f aca="false">H1808*(1+I1810)</f>
        <v>534.577190214366</v>
      </c>
      <c r="J1808" s="30" t="n">
        <f aca="false">I1808*(1+J1810)</f>
        <v>566.651821627228</v>
      </c>
      <c r="K1808" s="7" t="s">
        <v>539</v>
      </c>
    </row>
    <row r="1809" customFormat="false" ht="17.15" hidden="false" customHeight="false" outlineLevel="0" collapsed="false">
      <c r="A1809" s="0" t="s">
        <v>540</v>
      </c>
      <c r="B1809" s="0" t="s">
        <v>69</v>
      </c>
      <c r="D1809" s="21" t="n">
        <f aca="false">D1805/D1808</f>
        <v>0.0338893643806622</v>
      </c>
      <c r="E1809" s="21" t="n">
        <f aca="false">E1805/E1808</f>
        <v>0.0430244979557813</v>
      </c>
      <c r="F1809" s="21" t="n">
        <f aca="false">F1805/F1808</f>
        <v>0.0552879388387723</v>
      </c>
      <c r="G1809" s="21" t="n">
        <f aca="false">G1805/G1808</f>
        <v>0.0716720659862999</v>
      </c>
    </row>
    <row r="1810" customFormat="false" ht="15" hidden="false" customHeight="false" outlineLevel="0" collapsed="false">
      <c r="A1810" s="3" t="s">
        <v>541</v>
      </c>
      <c r="B1810" s="0" t="s">
        <v>69</v>
      </c>
      <c r="D1810" s="21" t="n">
        <f aca="false">D1808/C1808-1</f>
        <v>0.177563659478096</v>
      </c>
      <c r="E1810" s="21" t="n">
        <f aca="false">E1808/D1808-1</f>
        <v>0.276234528965926</v>
      </c>
      <c r="F1810" s="21" t="n">
        <f aca="false">F1808/E1808-1</f>
        <v>0.128374892357772</v>
      </c>
      <c r="G1810" s="21" t="n">
        <f aca="false">G1808/F1808-1</f>
        <v>0.118532167491082</v>
      </c>
      <c r="H1810" s="28" t="n">
        <f aca="false">$G1810+(fade_gA-$G1810)*1/3</f>
        <v>0.099021444994055</v>
      </c>
      <c r="I1810" s="28" t="n">
        <f aca="false">$G1810+(fade_gA-$G1810)*2/3</f>
        <v>0.0795107224970275</v>
      </c>
      <c r="J1810" s="28" t="n">
        <f aca="false">$G1810+(fade_gA-$G1810)*3/3</f>
        <v>0.06</v>
      </c>
    </row>
    <row r="1811" customFormat="false" ht="17.15" hidden="false" customHeight="false" outlineLevel="0" collapsed="false">
      <c r="A1811" s="5" t="s">
        <v>542</v>
      </c>
    </row>
    <row r="1812" customFormat="false" ht="15" hidden="false" customHeight="false" outlineLevel="0" collapsed="false">
      <c r="A1812" s="3" t="s">
        <v>543</v>
      </c>
      <c r="B1812" s="0" t="s">
        <v>181</v>
      </c>
      <c r="D1812" s="23" t="n">
        <f aca="false">da_tot26*da_sh</f>
        <v>56.172</v>
      </c>
      <c r="E1812" s="23" t="n">
        <f aca="false">D1812*(1+dag_27+dag_adj)</f>
        <v>62.91264</v>
      </c>
      <c r="F1812" s="23" t="n">
        <f aca="false">E1812*(1+dag_28+dag_adj)</f>
        <v>69.203904</v>
      </c>
      <c r="G1812" s="23" t="n">
        <f aca="false">F1812*(1+dag_29+dag_adj)</f>
        <v>74.74021632</v>
      </c>
    </row>
    <row r="1813" customFormat="false" ht="17.15" hidden="false" customHeight="false" outlineLevel="0" collapsed="false">
      <c r="A1813" s="3" t="s">
        <v>544</v>
      </c>
      <c r="B1813" s="0" t="s">
        <v>545</v>
      </c>
      <c r="D1813" s="23" t="n">
        <f aca="false">(D1808-a26_gp-D1812-(1-m_new)*(D1805+D1807))/D1798*1000</f>
        <v>27.9465727870208</v>
      </c>
      <c r="E1813" s="23" t="n">
        <f aca="false">D1813*(1+cc_g)</f>
        <v>28.5055042427612</v>
      </c>
      <c r="F1813" s="23" t="n">
        <f aca="false">E1813*(1+cc_g)</f>
        <v>29.0756143276165</v>
      </c>
      <c r="G1813" s="23" t="n">
        <f aca="false">F1813*(1+cc_g)</f>
        <v>29.6571266141688</v>
      </c>
      <c r="K1813" s="7" t="s">
        <v>546</v>
      </c>
    </row>
    <row r="1814" customFormat="false" ht="17.15" hidden="false" customHeight="false" outlineLevel="0" collapsed="false">
      <c r="A1814" s="3" t="s">
        <v>547</v>
      </c>
      <c r="B1814" s="0" t="s">
        <v>181</v>
      </c>
      <c r="D1814" s="23" t="n">
        <f aca="false">D1813*D1798/1000</f>
        <v>127.2556948</v>
      </c>
      <c r="E1814" s="23" t="n">
        <f aca="false">E1813*E1798/1000</f>
        <v>147.307976864815</v>
      </c>
      <c r="F1814" s="23" t="n">
        <f aca="false">F1813*F1798/1000</f>
        <v>159.079589887624</v>
      </c>
      <c r="G1814" s="23" t="n">
        <f aca="false">G1813*G1798/1000</f>
        <v>171.772448824594</v>
      </c>
    </row>
    <row r="1815" customFormat="false" ht="17.15" hidden="false" customHeight="false" outlineLevel="0" collapsed="false">
      <c r="A1815" s="3" t="s">
        <v>548</v>
      </c>
      <c r="B1815" s="0" t="s">
        <v>181</v>
      </c>
      <c r="D1815" s="23" t="n">
        <f aca="false">m_new*(D1805+D1807)</f>
        <v>4.266</v>
      </c>
      <c r="E1815" s="23" t="n">
        <f aca="false">m_new*(E1805+E1807)</f>
        <v>6.912</v>
      </c>
      <c r="F1815" s="23" t="n">
        <f aca="false">m_new*(F1805+F1807)</f>
        <v>13.6224</v>
      </c>
      <c r="G1815" s="23" t="n">
        <f aca="false">m_new*(G1805+G1807)</f>
        <v>21.73248</v>
      </c>
    </row>
    <row r="1816" customFormat="false" ht="15" hidden="false" customHeight="false" outlineLevel="0" collapsed="false">
      <c r="A1816" s="3" t="s">
        <v>411</v>
      </c>
      <c r="B1816" s="0" t="s">
        <v>181</v>
      </c>
      <c r="C1816" s="23" t="n">
        <f aca="false">a25_gp</f>
        <v>68.906</v>
      </c>
      <c r="D1816" s="23" t="n">
        <f aca="false">D1802-D1812-D1814+D1815</f>
        <v>91.0920852</v>
      </c>
      <c r="E1816" s="23" t="n">
        <f aca="false">E1802-E1812-E1814+E1815</f>
        <v>138.337292089343</v>
      </c>
      <c r="F1816" s="23" t="n">
        <f aca="false">F1802-F1812-F1814+F1815</f>
        <v>157.903410199612</v>
      </c>
      <c r="G1816" s="23" t="n">
        <f aca="false">G1802-G1812-G1814+G1815</f>
        <v>177.511002916633</v>
      </c>
    </row>
    <row r="1817" customFormat="false" ht="15" hidden="false" customHeight="false" outlineLevel="0" collapsed="false">
      <c r="A1817" s="3" t="s">
        <v>413</v>
      </c>
      <c r="B1817" s="0" t="s">
        <v>69</v>
      </c>
      <c r="C1817" s="15" t="n">
        <f aca="false">C1816/C1808</f>
        <v>0.290065795843454</v>
      </c>
      <c r="D1817" s="15" t="n">
        <f aca="false">D1816/D1808</f>
        <v>0.325638488136828</v>
      </c>
      <c r="E1817" s="15" t="n">
        <f aca="false">E1816/E1808</f>
        <v>0.387493003952231</v>
      </c>
      <c r="F1817" s="15" t="n">
        <f aca="false">F1816/F1808</f>
        <v>0.391978901111249</v>
      </c>
      <c r="G1817" s="15" t="n">
        <f aca="false">G1816/G1808</f>
        <v>0.39395623743854</v>
      </c>
    </row>
    <row r="1818" customFormat="false" ht="15" hidden="false" customHeight="false" outlineLevel="0" collapsed="false">
      <c r="A1818" s="3" t="s">
        <v>415</v>
      </c>
      <c r="B1818" s="0" t="s">
        <v>181</v>
      </c>
      <c r="C1818" s="23" t="n">
        <f aca="false">a25_opx</f>
        <v>25.056</v>
      </c>
      <c r="D1818" s="23" t="n">
        <f aca="false">a26_opx</f>
        <v>27.23586</v>
      </c>
      <c r="E1818" s="23" t="n">
        <f aca="false">D1818*(1+MAX(g_opx_min,phi*E1810))</f>
        <v>30.997602479041</v>
      </c>
      <c r="F1818" s="23" t="n">
        <f aca="false">E1818*(1+MAX(g_opx_min,phi*F1810))</f>
        <v>32.9872594198389</v>
      </c>
      <c r="G1818" s="23" t="n">
        <f aca="false">F1818*(1+MAX(g_opx_min,phi*G1810))</f>
        <v>34.942285099151</v>
      </c>
    </row>
    <row r="1819" customFormat="false" ht="15" hidden="false" customHeight="false" outlineLevel="0" collapsed="false">
      <c r="A1819" s="3" t="s">
        <v>418</v>
      </c>
      <c r="B1819" s="0" t="s">
        <v>181</v>
      </c>
      <c r="C1819" s="23" t="n">
        <f aca="false">C1816-C1818</f>
        <v>43.85</v>
      </c>
      <c r="D1819" s="23" t="n">
        <f aca="false">D1816-D1818</f>
        <v>63.8562252</v>
      </c>
      <c r="E1819" s="23" t="n">
        <f aca="false">E1816-E1818</f>
        <v>107.339689610302</v>
      </c>
      <c r="F1819" s="23" t="n">
        <f aca="false">F1816-F1818</f>
        <v>124.916150779773</v>
      </c>
      <c r="G1819" s="23" t="n">
        <f aca="false">G1816-G1818</f>
        <v>142.568717817482</v>
      </c>
    </row>
    <row r="1820" customFormat="false" ht="15" hidden="false" customHeight="false" outlineLevel="0" collapsed="false">
      <c r="A1820" s="3" t="s">
        <v>515</v>
      </c>
      <c r="B1820" s="0" t="s">
        <v>69</v>
      </c>
      <c r="C1820" s="15" t="n">
        <f aca="false">C1819/C1808</f>
        <v>0.184590386145408</v>
      </c>
      <c r="D1820" s="15" t="n">
        <f aca="false">D1819/D1808</f>
        <v>0.228274987740129</v>
      </c>
      <c r="E1820" s="15" t="n">
        <f aca="false">E1819/E1808</f>
        <v>0.300666422930511</v>
      </c>
      <c r="F1820" s="15" t="n">
        <f aca="false">F1819/F1808</f>
        <v>0.31009143787208</v>
      </c>
      <c r="G1820" s="15" t="n">
        <f aca="false">G1819/G1808</f>
        <v>0.316407629526999</v>
      </c>
    </row>
    <row r="1821" customFormat="false" ht="15" hidden="false" customHeight="false" outlineLevel="0" collapsed="false">
      <c r="A1821" s="3" t="s">
        <v>421</v>
      </c>
      <c r="B1821" s="0" t="s">
        <v>181</v>
      </c>
      <c r="C1821" s="23" t="n">
        <f aca="false">a25_nonop</f>
        <v>5.805</v>
      </c>
      <c r="D1821" s="23" t="n">
        <f aca="false">a26_nonop</f>
        <v>38.372</v>
      </c>
      <c r="E1821" s="23" t="n">
        <f aca="false">nonop_f_hi</f>
        <v>8</v>
      </c>
      <c r="F1821" s="23" t="n">
        <f aca="false">nonop_f_hi</f>
        <v>8</v>
      </c>
      <c r="G1821" s="23" t="n">
        <f aca="false">nonop_f_hi</f>
        <v>8</v>
      </c>
    </row>
    <row r="1822" customFormat="false" ht="15" hidden="false" customHeight="false" outlineLevel="0" collapsed="false">
      <c r="A1822" s="3" t="s">
        <v>423</v>
      </c>
      <c r="B1822" s="0" t="s">
        <v>181</v>
      </c>
      <c r="C1822" s="23" t="n">
        <f aca="false">C1819+C1821</f>
        <v>49.655</v>
      </c>
      <c r="D1822" s="23" t="n">
        <f aca="false">D1819+D1821</f>
        <v>102.2282252</v>
      </c>
      <c r="E1822" s="23" t="n">
        <f aca="false">E1819+E1821</f>
        <v>115.339689610302</v>
      </c>
      <c r="F1822" s="23" t="n">
        <f aca="false">F1819+F1821</f>
        <v>132.916150779773</v>
      </c>
      <c r="G1822" s="23" t="n">
        <f aca="false">G1819+G1821</f>
        <v>150.568717817482</v>
      </c>
    </row>
    <row r="1823" customFormat="false" ht="15" hidden="false" customHeight="false" outlineLevel="0" collapsed="false">
      <c r="A1823" s="3" t="s">
        <v>425</v>
      </c>
      <c r="B1823" s="0" t="s">
        <v>181</v>
      </c>
      <c r="C1823" s="23" t="n">
        <f aca="false">a25_tax</f>
        <v>7.939</v>
      </c>
      <c r="D1823" s="23" t="n">
        <f aca="false">a26_tax</f>
        <v>10.493828284</v>
      </c>
      <c r="E1823" s="23" t="n">
        <f aca="false">E1822*tax</f>
        <v>17.3009534415454</v>
      </c>
      <c r="F1823" s="23" t="n">
        <f aca="false">F1822*tax</f>
        <v>19.937422616966</v>
      </c>
      <c r="G1823" s="23" t="n">
        <f aca="false">G1822*tax</f>
        <v>22.5853076726223</v>
      </c>
    </row>
    <row r="1824" customFormat="false" ht="17.15" hidden="false" customHeight="false" outlineLevel="0" collapsed="false">
      <c r="A1824" s="3" t="s">
        <v>549</v>
      </c>
      <c r="B1824" s="0" t="s">
        <v>181</v>
      </c>
      <c r="C1824" s="23" t="n">
        <f aca="false">a25_mi</f>
        <v>0</v>
      </c>
      <c r="D1824" s="23" t="n">
        <f aca="false">a26_mi</f>
        <v>-0.134999999999987</v>
      </c>
      <c r="E1824" s="23" t="n">
        <f aca="false">0</f>
        <v>0</v>
      </c>
      <c r="F1824" s="23" t="n">
        <f aca="false">0</f>
        <v>0</v>
      </c>
      <c r="G1824" s="23" t="n">
        <f aca="false">0</f>
        <v>0</v>
      </c>
      <c r="K1824" s="7" t="s">
        <v>550</v>
      </c>
    </row>
    <row r="1825" customFormat="false" ht="15" hidden="false" customHeight="false" outlineLevel="0" collapsed="false">
      <c r="A1825" s="3" t="s">
        <v>428</v>
      </c>
      <c r="B1825" s="0" t="s">
        <v>181</v>
      </c>
      <c r="C1825" s="23" t="n">
        <f aca="false">C1822-C1823-C1824</f>
        <v>41.716</v>
      </c>
      <c r="D1825" s="23" t="n">
        <f aca="false">D1822-D1823-D1824</f>
        <v>91.869396916</v>
      </c>
      <c r="E1825" s="23" t="n">
        <f aca="false">E1822-E1823-E1824</f>
        <v>98.038736168757</v>
      </c>
      <c r="F1825" s="23" t="n">
        <f aca="false">F1822-F1823-F1824</f>
        <v>112.978728162807</v>
      </c>
      <c r="G1825" s="23" t="n">
        <f aca="false">G1822-G1823-G1824</f>
        <v>127.98341014486</v>
      </c>
      <c r="H1825" s="30" t="n">
        <f aca="false">H1808*H1829</f>
        <v>140.65651235267</v>
      </c>
      <c r="I1825" s="30" t="n">
        <f aca="false">I1808*I1829</f>
        <v>151.840213273743</v>
      </c>
      <c r="J1825" s="30" t="n">
        <f aca="false">J1808*J1829</f>
        <v>160.950626070168</v>
      </c>
    </row>
    <row r="1826" customFormat="false" ht="15" hidden="false" customHeight="false" outlineLevel="0" collapsed="false">
      <c r="A1826" s="3" t="s">
        <v>551</v>
      </c>
      <c r="B1826" s="3" t="s">
        <v>250</v>
      </c>
      <c r="C1826" s="9" t="n">
        <f aca="false">a25_sh</f>
        <v>12.4898203592814</v>
      </c>
      <c r="D1826" s="9" t="n">
        <f aca="false">a26_sh</f>
        <v>12.4754339027235</v>
      </c>
      <c r="E1826" s="9" t="n">
        <f aca="false">q_sh*(1+sh_g)</f>
        <v>12.45</v>
      </c>
      <c r="F1826" s="9" t="n">
        <f aca="false">E1826*(1+sh_g)</f>
        <v>12.45</v>
      </c>
      <c r="G1826" s="9" t="n">
        <f aca="false">F1826*(1+sh_g)</f>
        <v>12.45</v>
      </c>
      <c r="H1826" s="32" t="n">
        <f aca="false">G1826*(1+sh_g)</f>
        <v>12.45</v>
      </c>
      <c r="I1826" s="32" t="n">
        <f aca="false">H1826*(1+sh_g)</f>
        <v>12.45</v>
      </c>
      <c r="J1826" s="32" t="n">
        <f aca="false">I1826*(1+sh_g)</f>
        <v>12.45</v>
      </c>
    </row>
    <row r="1827" customFormat="false" ht="17.15" hidden="false" customHeight="false" outlineLevel="0" collapsed="false">
      <c r="A1827" s="0" t="s">
        <v>434</v>
      </c>
      <c r="B1827" s="0" t="s">
        <v>260</v>
      </c>
      <c r="C1827" s="23" t="n">
        <f aca="false">C1825/C1826</f>
        <v>3.34</v>
      </c>
      <c r="D1827" s="23" t="n">
        <f aca="false">D1825/D1826</f>
        <v>7.36402418002826</v>
      </c>
      <c r="E1827" s="23" t="n">
        <f aca="false">E1825/E1826</f>
        <v>7.87459728263108</v>
      </c>
      <c r="F1827" s="23" t="n">
        <f aca="false">F1825/F1826</f>
        <v>9.07459663958292</v>
      </c>
      <c r="G1827" s="23" t="n">
        <f aca="false">G1825/G1826</f>
        <v>10.2797919795068</v>
      </c>
      <c r="H1827" s="30" t="n">
        <f aca="false">H1825/H1826</f>
        <v>11.2977118355559</v>
      </c>
      <c r="I1827" s="30" t="n">
        <f aca="false">I1825/I1826</f>
        <v>12.1960010661641</v>
      </c>
      <c r="J1827" s="30" t="n">
        <f aca="false">J1825/J1826</f>
        <v>12.927761130134</v>
      </c>
    </row>
    <row r="1828" customFormat="false" ht="17.15" hidden="false" customHeight="false" outlineLevel="0" collapsed="false">
      <c r="A1828" s="0" t="s">
        <v>552</v>
      </c>
      <c r="B1828" s="0" t="s">
        <v>69</v>
      </c>
      <c r="D1828" s="21" t="n">
        <f aca="false">D1827/C1827-1</f>
        <v>1.2047976586911</v>
      </c>
      <c r="E1828" s="21" t="n">
        <f aca="false">E1827/D1827-1</f>
        <v>0.0693334364636566</v>
      </c>
      <c r="F1828" s="21" t="n">
        <f aca="false">F1827/E1827-1</f>
        <v>0.152388663684257</v>
      </c>
      <c r="G1828" s="21" t="n">
        <f aca="false">G1827/F1827-1</f>
        <v>0.132809797260506</v>
      </c>
      <c r="H1828" s="28" t="n">
        <f aca="false">H1827/G1827-1</f>
        <v>0.099021444994055</v>
      </c>
      <c r="I1828" s="28" t="n">
        <f aca="false">I1827/H1827-1</f>
        <v>0.0795107224970275</v>
      </c>
      <c r="J1828" s="28" t="n">
        <f aca="false">J1827/I1827-1</f>
        <v>0.0600000000000001</v>
      </c>
    </row>
    <row r="1829" customFormat="false" ht="17.15" hidden="false" customHeight="false" outlineLevel="0" collapsed="false">
      <c r="A1829" s="3" t="s">
        <v>553</v>
      </c>
      <c r="B1829" s="0" t="s">
        <v>69</v>
      </c>
      <c r="C1829" s="15" t="n">
        <f aca="false">C1825/C1808</f>
        <v>0.175607127672562</v>
      </c>
      <c r="D1829" s="15" t="n">
        <f aca="false">D1825/D1808</f>
        <v>0.328417243409073</v>
      </c>
      <c r="E1829" s="15" t="n">
        <f aca="false">E1825/E1808</f>
        <v>0.274613763273442</v>
      </c>
      <c r="F1829" s="15" t="n">
        <f aca="false">F1825/F1808</f>
        <v>0.280458019609715</v>
      </c>
      <c r="G1829" s="15" t="n">
        <f aca="false">G1825/G1808</f>
        <v>0.284037957573265</v>
      </c>
      <c r="H1829" s="29" t="n">
        <f aca="false">$G1829+($G$1829*1-$G1829)*1/3</f>
        <v>0.284037957573265</v>
      </c>
      <c r="I1829" s="29" t="n">
        <f aca="false">$G1829+($G$1829*1-$G1829)*2/3</f>
        <v>0.284037957573265</v>
      </c>
      <c r="J1829" s="29" t="n">
        <f aca="false">$G1829+($G$1829*1-$G1829)*3/3</f>
        <v>0.284037957573265</v>
      </c>
    </row>
    <row r="1832" customFormat="false" ht="17.15" hidden="false" customHeight="false" outlineLevel="0" collapsed="false">
      <c r="A1832" s="1" t="s">
        <v>883</v>
      </c>
    </row>
    <row r="1833" customFormat="false" ht="17.15" hidden="false" customHeight="false" outlineLevel="0" collapsed="false">
      <c r="A1833" s="4" t="s">
        <v>24</v>
      </c>
      <c r="B1833" s="4" t="s">
        <v>25</v>
      </c>
      <c r="C1833" s="16" t="s">
        <v>387</v>
      </c>
      <c r="D1833" s="16" t="s">
        <v>505</v>
      </c>
      <c r="E1833" s="16" t="s">
        <v>467</v>
      </c>
      <c r="F1833" s="16" t="s">
        <v>468</v>
      </c>
      <c r="G1833" s="16" t="s">
        <v>469</v>
      </c>
      <c r="H1833" s="16" t="s">
        <v>506</v>
      </c>
      <c r="I1833" s="16" t="s">
        <v>507</v>
      </c>
      <c r="J1833" s="16" t="s">
        <v>508</v>
      </c>
      <c r="K1833" s="4" t="s">
        <v>345</v>
      </c>
    </row>
    <row r="1834" customFormat="false" ht="17.15" hidden="false" customHeight="false" outlineLevel="0" collapsed="false">
      <c r="A1834" s="5" t="s">
        <v>526</v>
      </c>
    </row>
    <row r="1835" customFormat="false" ht="17.15" hidden="false" customHeight="false" outlineLevel="0" collapsed="false">
      <c r="A1835" s="3" t="s">
        <v>527</v>
      </c>
      <c r="B1835" s="3" t="s">
        <v>64</v>
      </c>
      <c r="D1835" s="22" t="n">
        <f aca="false">cap_26</f>
        <v>5230.46851955216</v>
      </c>
      <c r="E1835" s="22" t="n">
        <f aca="false">D1835*(1+capg27)*cap_adj</f>
        <v>5439.68726033425</v>
      </c>
      <c r="F1835" s="22" t="n">
        <f aca="false">E1835*(1+capg28)</f>
        <v>5820.46536855765</v>
      </c>
      <c r="G1835" s="22" t="n">
        <f aca="false">F1835*(1+capg29)</f>
        <v>6227.89794435668</v>
      </c>
    </row>
    <row r="1836" customFormat="false" ht="15" hidden="false" customHeight="false" outlineLevel="0" collapsed="false">
      <c r="A1836" s="3" t="s">
        <v>528</v>
      </c>
      <c r="B1836" s="0" t="s">
        <v>69</v>
      </c>
      <c r="D1836" s="21" t="n">
        <f aca="false">a26_ship/cap_26</f>
        <v>0.870578781414787</v>
      </c>
      <c r="E1836" s="21" t="n">
        <f aca="false">MIN(0.98,ut27_B+ut_adj)</f>
        <v>0.9</v>
      </c>
      <c r="F1836" s="21" t="n">
        <f aca="false">MIN(0.98,ut28_B+ut_adj)</f>
        <v>0.87</v>
      </c>
      <c r="G1836" s="21" t="n">
        <f aca="false">MIN(0.98,ut29_B+ut_adj)</f>
        <v>0.88</v>
      </c>
    </row>
    <row r="1837" customFormat="false" ht="17.15" hidden="false" customHeight="false" outlineLevel="0" collapsed="false">
      <c r="A1837" s="3" t="s">
        <v>529</v>
      </c>
      <c r="B1837" s="3" t="s">
        <v>64</v>
      </c>
      <c r="D1837" s="22" t="n">
        <f aca="false">D1835*D1836</f>
        <v>4553.53490998013</v>
      </c>
      <c r="E1837" s="22" t="n">
        <f aca="false">E1835*E1836</f>
        <v>4895.71853430083</v>
      </c>
      <c r="F1837" s="22" t="n">
        <f aca="false">F1835*F1836</f>
        <v>5063.80487064515</v>
      </c>
      <c r="G1837" s="22" t="n">
        <f aca="false">G1835*G1836</f>
        <v>5480.55019103388</v>
      </c>
    </row>
    <row r="1838" customFormat="false" ht="17.15" hidden="false" customHeight="false" outlineLevel="0" collapsed="false">
      <c r="A1838" s="3" t="s">
        <v>530</v>
      </c>
      <c r="B1838" s="0" t="s">
        <v>109</v>
      </c>
      <c r="D1838" s="22" t="n">
        <f aca="false">asp_26</f>
        <v>1878.17486396824</v>
      </c>
      <c r="E1838" s="22" t="n">
        <f aca="false">D1838*(1+asp27_B)*(1+asp_adj)</f>
        <v>1972.08360716666</v>
      </c>
      <c r="F1838" s="22" t="n">
        <f aca="false">E1838*(1+asp28_B)</f>
        <v>1972.08360716666</v>
      </c>
      <c r="G1838" s="22" t="n">
        <f aca="false">F1838*(1+asp29_B)</f>
        <v>1972.08360716666</v>
      </c>
    </row>
    <row r="1839" customFormat="false" ht="15" hidden="false" customHeight="false" outlineLevel="0" collapsed="false">
      <c r="A1839" s="3" t="s">
        <v>531</v>
      </c>
      <c r="B1839" s="0" t="s">
        <v>69</v>
      </c>
      <c r="E1839" s="21" t="n">
        <f aca="false">E1838/D1838-1</f>
        <v>0.05</v>
      </c>
      <c r="F1839" s="21" t="n">
        <f aca="false">F1838/E1838-1</f>
        <v>0</v>
      </c>
      <c r="G1839" s="21" t="n">
        <f aca="false">G1838/F1838-1</f>
        <v>0</v>
      </c>
    </row>
    <row r="1840" customFormat="false" ht="15" hidden="false" customHeight="false" outlineLevel="0" collapsed="false">
      <c r="A1840" s="3" t="s">
        <v>532</v>
      </c>
      <c r="B1840" s="0" t="s">
        <v>35</v>
      </c>
      <c r="D1840" s="23" t="n">
        <f aca="false">fx_26</f>
        <v>31.6</v>
      </c>
      <c r="E1840" s="23" t="n">
        <f aca="false">fx</f>
        <v>32</v>
      </c>
      <c r="F1840" s="23" t="n">
        <f aca="false">fx</f>
        <v>32</v>
      </c>
      <c r="G1840" s="23" t="n">
        <f aca="false">fx</f>
        <v>32</v>
      </c>
    </row>
    <row r="1841" customFormat="false" ht="17.15" hidden="false" customHeight="false" outlineLevel="0" collapsed="false">
      <c r="A1841" s="3" t="s">
        <v>533</v>
      </c>
      <c r="B1841" s="0" t="s">
        <v>181</v>
      </c>
      <c r="D1841" s="23" t="n">
        <f aca="false">D1837*D1838*D1840/1000000</f>
        <v>270.25378</v>
      </c>
      <c r="E1841" s="23" t="n">
        <f aca="false">E1837*E1838*E1840/1000000</f>
        <v>308.952520537492</v>
      </c>
      <c r="F1841" s="23" t="n">
        <f aca="false">F1837*F1838*F1840/1000000</f>
        <v>319.559890409279</v>
      </c>
      <c r="G1841" s="23" t="n">
        <f aca="false">G1837*G1838*G1840/1000000</f>
        <v>345.859302079744</v>
      </c>
    </row>
    <row r="1842" customFormat="false" ht="17.15" hidden="false" customHeight="false" outlineLevel="0" collapsed="false">
      <c r="A1842" s="5" t="s">
        <v>534</v>
      </c>
    </row>
    <row r="1843" customFormat="false" ht="17.15" hidden="false" customHeight="false" outlineLevel="0" collapsed="false">
      <c r="A1843" s="0" t="s">
        <v>535</v>
      </c>
      <c r="B1843" s="0" t="s">
        <v>138</v>
      </c>
      <c r="D1843" s="25" t="n">
        <f aca="false">ai_26</f>
        <v>0.3</v>
      </c>
      <c r="E1843" s="25" t="n">
        <f aca="false">D1843*(1+aig27_B)*ai_adj</f>
        <v>0.42</v>
      </c>
      <c r="F1843" s="25" t="n">
        <f aca="false">E1843*(1+aig_L)*um28_B</f>
        <v>0.4872</v>
      </c>
      <c r="G1843" s="25" t="n">
        <f aca="false">F1843/um28_B*(1+aig_L)*um29_B</f>
        <v>0.7505925</v>
      </c>
    </row>
    <row r="1844" customFormat="false" ht="17.15" hidden="false" customHeight="false" outlineLevel="0" collapsed="false">
      <c r="A1844" s="0" t="s">
        <v>536</v>
      </c>
      <c r="B1844" s="0" t="s">
        <v>181</v>
      </c>
      <c r="D1844" s="23" t="n">
        <f aca="false">D1843*D1840</f>
        <v>9.48</v>
      </c>
      <c r="E1844" s="23" t="n">
        <f aca="false">E1843*E1840</f>
        <v>13.44</v>
      </c>
      <c r="F1844" s="23" t="n">
        <f aca="false">F1843*F1840</f>
        <v>15.5904</v>
      </c>
      <c r="G1844" s="23" t="n">
        <f aca="false">G1843*G1840</f>
        <v>24.01896</v>
      </c>
    </row>
    <row r="1845" customFormat="false" ht="17.15" hidden="false" customHeight="false" outlineLevel="0" collapsed="false">
      <c r="A1845" s="0" t="s">
        <v>537</v>
      </c>
      <c r="B1845" s="0" t="s">
        <v>138</v>
      </c>
      <c r="D1845" s="25" t="n">
        <f aca="false">0</f>
        <v>0</v>
      </c>
      <c r="E1845" s="25" t="n">
        <f aca="false">int_27</f>
        <v>0</v>
      </c>
      <c r="F1845" s="25" t="n">
        <f aca="false">int28_B</f>
        <v>0.12</v>
      </c>
      <c r="G1845" s="25" t="n">
        <f aca="false">int29_B</f>
        <v>0.3</v>
      </c>
    </row>
    <row r="1846" customFormat="false" ht="17.15" hidden="false" customHeight="false" outlineLevel="0" collapsed="false">
      <c r="A1846" s="0" t="s">
        <v>538</v>
      </c>
      <c r="B1846" s="0" t="s">
        <v>181</v>
      </c>
      <c r="D1846" s="23" t="n">
        <f aca="false">D1845*D1840</f>
        <v>0</v>
      </c>
      <c r="E1846" s="23" t="n">
        <f aca="false">E1845*E1840</f>
        <v>0</v>
      </c>
      <c r="F1846" s="23" t="n">
        <f aca="false">F1845*F1840</f>
        <v>3.84</v>
      </c>
      <c r="G1846" s="23" t="n">
        <f aca="false">G1845*G1840</f>
        <v>9.6</v>
      </c>
    </row>
    <row r="1847" customFormat="false" ht="17.15" hidden="false" customHeight="false" outlineLevel="0" collapsed="false">
      <c r="A1847" s="3" t="s">
        <v>393</v>
      </c>
      <c r="B1847" s="0" t="s">
        <v>181</v>
      </c>
      <c r="C1847" s="23" t="n">
        <f aca="false">a25_rev</f>
        <v>237.553</v>
      </c>
      <c r="D1847" s="23" t="n">
        <f aca="false">D1841+D1844+D1846</f>
        <v>279.73378</v>
      </c>
      <c r="E1847" s="23" t="n">
        <f aca="false">E1841+E1844+E1846</f>
        <v>322.392520537492</v>
      </c>
      <c r="F1847" s="23" t="n">
        <f aca="false">F1841+F1844+F1846</f>
        <v>338.990290409279</v>
      </c>
      <c r="G1847" s="23" t="n">
        <f aca="false">G1841+G1844+G1846</f>
        <v>379.478262079744</v>
      </c>
      <c r="H1847" s="30" t="n">
        <f aca="false">G1847*(1+H1849)</f>
        <v>414.75379367548</v>
      </c>
      <c r="I1847" s="30" t="n">
        <f aca="false">H1847*(1+I1849)</f>
        <v>442.326206375962</v>
      </c>
      <c r="J1847" s="30" t="n">
        <f aca="false">I1847*(1+J1849)</f>
        <v>460.019254631001</v>
      </c>
      <c r="K1847" s="7" t="s">
        <v>539</v>
      </c>
    </row>
    <row r="1848" customFormat="false" ht="17.15" hidden="false" customHeight="false" outlineLevel="0" collapsed="false">
      <c r="A1848" s="0" t="s">
        <v>540</v>
      </c>
      <c r="B1848" s="0" t="s">
        <v>69</v>
      </c>
      <c r="D1848" s="21" t="n">
        <f aca="false">D1844/D1847</f>
        <v>0.0338893643806622</v>
      </c>
      <c r="E1848" s="21" t="n">
        <f aca="false">E1844/E1847</f>
        <v>0.0416883120538679</v>
      </c>
      <c r="F1848" s="21" t="n">
        <f aca="false">F1844/F1847</f>
        <v>0.0459906977901254</v>
      </c>
      <c r="G1848" s="21" t="n">
        <f aca="false">G1844/G1847</f>
        <v>0.0632946927404042</v>
      </c>
    </row>
    <row r="1849" customFormat="false" ht="15" hidden="false" customHeight="false" outlineLevel="0" collapsed="false">
      <c r="A1849" s="3" t="s">
        <v>541</v>
      </c>
      <c r="B1849" s="0" t="s">
        <v>69</v>
      </c>
      <c r="D1849" s="21" t="n">
        <f aca="false">D1847/C1847-1</f>
        <v>0.177563659478096</v>
      </c>
      <c r="E1849" s="21" t="n">
        <f aca="false">E1847/D1847-1</f>
        <v>0.152497637351814</v>
      </c>
      <c r="F1849" s="21" t="n">
        <f aca="false">F1847/E1847-1</f>
        <v>0.0514831108492078</v>
      </c>
      <c r="G1849" s="21" t="n">
        <f aca="false">G1847/F1847-1</f>
        <v>0.119436965647547</v>
      </c>
      <c r="H1849" s="28" t="n">
        <f aca="false">$G1849+(fade_gB-$G1849)*1/3</f>
        <v>0.0929579770983645</v>
      </c>
      <c r="I1849" s="28" t="n">
        <f aca="false">$G1849+(fade_gB-$G1849)*2/3</f>
        <v>0.0664789885491822</v>
      </c>
      <c r="J1849" s="28" t="n">
        <f aca="false">$G1849+(fade_gB-$G1849)*3/3</f>
        <v>0.04</v>
      </c>
    </row>
    <row r="1850" customFormat="false" ht="17.15" hidden="false" customHeight="false" outlineLevel="0" collapsed="false">
      <c r="A1850" s="5" t="s">
        <v>542</v>
      </c>
    </row>
    <row r="1851" customFormat="false" ht="15" hidden="false" customHeight="false" outlineLevel="0" collapsed="false">
      <c r="A1851" s="3" t="s">
        <v>543</v>
      </c>
      <c r="B1851" s="0" t="s">
        <v>181</v>
      </c>
      <c r="D1851" s="23" t="n">
        <f aca="false">da_tot26*da_sh</f>
        <v>56.172</v>
      </c>
      <c r="E1851" s="23" t="n">
        <f aca="false">D1851*(1+dag_27+dag_adj)</f>
        <v>62.91264</v>
      </c>
      <c r="F1851" s="23" t="n">
        <f aca="false">E1851*(1+dag_28+dag_adj)</f>
        <v>69.203904</v>
      </c>
      <c r="G1851" s="23" t="n">
        <f aca="false">F1851*(1+dag_29+dag_adj)</f>
        <v>74.74021632</v>
      </c>
    </row>
    <row r="1852" customFormat="false" ht="17.15" hidden="false" customHeight="false" outlineLevel="0" collapsed="false">
      <c r="A1852" s="3" t="s">
        <v>544</v>
      </c>
      <c r="B1852" s="0" t="s">
        <v>545</v>
      </c>
      <c r="D1852" s="23" t="n">
        <f aca="false">(D1847-a26_gp-D1851-(1-m_new)*(D1844+D1846))/D1837*1000</f>
        <v>27.9465727870208</v>
      </c>
      <c r="E1852" s="23" t="n">
        <f aca="false">D1852*(1+cc_g)</f>
        <v>28.5055042427612</v>
      </c>
      <c r="F1852" s="23" t="n">
        <f aca="false">E1852*(1+cc_g)</f>
        <v>29.0756143276165</v>
      </c>
      <c r="G1852" s="23" t="n">
        <f aca="false">F1852*(1+cc_g)</f>
        <v>29.6571266141688</v>
      </c>
      <c r="K1852" s="7" t="s">
        <v>546</v>
      </c>
    </row>
    <row r="1853" customFormat="false" ht="17.15" hidden="false" customHeight="false" outlineLevel="0" collapsed="false">
      <c r="A1853" s="3" t="s">
        <v>547</v>
      </c>
      <c r="B1853" s="0" t="s">
        <v>181</v>
      </c>
      <c r="D1853" s="23" t="n">
        <f aca="false">D1852*D1837/1000</f>
        <v>127.2556948</v>
      </c>
      <c r="E1853" s="23" t="n">
        <f aca="false">E1852*E1837/1000</f>
        <v>139.554925450877</v>
      </c>
      <c r="F1853" s="23" t="n">
        <f aca="false">F1852*F1837/1000</f>
        <v>147.233237449184</v>
      </c>
      <c r="G1853" s="23" t="n">
        <f aca="false">G1852*G1837/1000</f>
        <v>162.537370930799</v>
      </c>
    </row>
    <row r="1854" customFormat="false" ht="17.15" hidden="false" customHeight="false" outlineLevel="0" collapsed="false">
      <c r="A1854" s="3" t="s">
        <v>548</v>
      </c>
      <c r="B1854" s="0" t="s">
        <v>181</v>
      </c>
      <c r="D1854" s="23" t="n">
        <f aca="false">m_new*(D1844+D1846)</f>
        <v>4.266</v>
      </c>
      <c r="E1854" s="23" t="n">
        <f aca="false">m_new*(E1844+E1846)</f>
        <v>6.048</v>
      </c>
      <c r="F1854" s="23" t="n">
        <f aca="false">m_new*(F1844+F1846)</f>
        <v>8.74368</v>
      </c>
      <c r="G1854" s="23" t="n">
        <f aca="false">m_new*(G1844+G1846)</f>
        <v>15.128532</v>
      </c>
    </row>
    <row r="1855" customFormat="false" ht="15" hidden="false" customHeight="false" outlineLevel="0" collapsed="false">
      <c r="A1855" s="3" t="s">
        <v>411</v>
      </c>
      <c r="B1855" s="0" t="s">
        <v>181</v>
      </c>
      <c r="C1855" s="23" t="n">
        <f aca="false">a25_gp</f>
        <v>68.906</v>
      </c>
      <c r="D1855" s="23" t="n">
        <f aca="false">D1841-D1851-D1853+D1854</f>
        <v>91.0920852</v>
      </c>
      <c r="E1855" s="23" t="n">
        <f aca="false">E1841-E1851-E1853+E1854</f>
        <v>112.532955086615</v>
      </c>
      <c r="F1855" s="23" t="n">
        <f aca="false">F1841-F1851-F1853+F1854</f>
        <v>111.866428960095</v>
      </c>
      <c r="G1855" s="23" t="n">
        <f aca="false">G1841-G1851-G1853+G1854</f>
        <v>123.710246828945</v>
      </c>
    </row>
    <row r="1856" customFormat="false" ht="15" hidden="false" customHeight="false" outlineLevel="0" collapsed="false">
      <c r="A1856" s="3" t="s">
        <v>413</v>
      </c>
      <c r="B1856" s="0" t="s">
        <v>69</v>
      </c>
      <c r="C1856" s="15" t="n">
        <f aca="false">C1855/C1847</f>
        <v>0.290065795843454</v>
      </c>
      <c r="D1856" s="15" t="n">
        <f aca="false">D1855/D1847</f>
        <v>0.325638488136828</v>
      </c>
      <c r="E1856" s="15" t="n">
        <f aca="false">E1855/E1847</f>
        <v>0.349055725297226</v>
      </c>
      <c r="F1856" s="15" t="n">
        <f aca="false">F1855/F1847</f>
        <v>0.32999891774196</v>
      </c>
      <c r="G1856" s="15" t="n">
        <f aca="false">G1855/G1847</f>
        <v>0.326000878550847</v>
      </c>
    </row>
    <row r="1857" customFormat="false" ht="15" hidden="false" customHeight="false" outlineLevel="0" collapsed="false">
      <c r="A1857" s="3" t="s">
        <v>415</v>
      </c>
      <c r="B1857" s="0" t="s">
        <v>181</v>
      </c>
      <c r="C1857" s="23" t="n">
        <f aca="false">a25_opx</f>
        <v>25.056</v>
      </c>
      <c r="D1857" s="23" t="n">
        <f aca="false">a26_opx</f>
        <v>27.23586</v>
      </c>
      <c r="E1857" s="23" t="n">
        <f aca="false">D1857*(1+MAX(g_opx_min,phi*E1849))</f>
        <v>29.3125621506224</v>
      </c>
      <c r="F1857" s="23" t="n">
        <f aca="false">E1857*(1+MAX(g_opx_min,phi*F1849))</f>
        <v>30.1919390151411</v>
      </c>
      <c r="G1857" s="23" t="n">
        <f aca="false">F1857*(1+MAX(g_opx_min,phi*G1849))</f>
        <v>31.9949558066332</v>
      </c>
    </row>
    <row r="1858" customFormat="false" ht="15" hidden="false" customHeight="false" outlineLevel="0" collapsed="false">
      <c r="A1858" s="3" t="s">
        <v>418</v>
      </c>
      <c r="B1858" s="0" t="s">
        <v>181</v>
      </c>
      <c r="C1858" s="23" t="n">
        <f aca="false">C1855-C1857</f>
        <v>43.85</v>
      </c>
      <c r="D1858" s="23" t="n">
        <f aca="false">D1855-D1857</f>
        <v>63.8562252</v>
      </c>
      <c r="E1858" s="23" t="n">
        <f aca="false">E1855-E1857</f>
        <v>83.2203929359927</v>
      </c>
      <c r="F1858" s="23" t="n">
        <f aca="false">F1855-F1857</f>
        <v>81.6744899449539</v>
      </c>
      <c r="G1858" s="23" t="n">
        <f aca="false">G1855-G1857</f>
        <v>91.7152910223122</v>
      </c>
    </row>
    <row r="1859" customFormat="false" ht="15" hidden="false" customHeight="false" outlineLevel="0" collapsed="false">
      <c r="A1859" s="3" t="s">
        <v>515</v>
      </c>
      <c r="B1859" s="0" t="s">
        <v>69</v>
      </c>
      <c r="C1859" s="15" t="n">
        <f aca="false">C1858/C1847</f>
        <v>0.184590386145408</v>
      </c>
      <c r="D1859" s="15" t="n">
        <f aca="false">D1858/D1847</f>
        <v>0.228274987740129</v>
      </c>
      <c r="E1859" s="15" t="n">
        <f aca="false">E1858/E1847</f>
        <v>0.258133758181635</v>
      </c>
      <c r="F1859" s="15" t="n">
        <f aca="false">F1858/F1847</f>
        <v>0.240934599767871</v>
      </c>
      <c r="G1859" s="15" t="n">
        <f aca="false">G1858/G1847</f>
        <v>0.241687865122137</v>
      </c>
    </row>
    <row r="1860" customFormat="false" ht="15" hidden="false" customHeight="false" outlineLevel="0" collapsed="false">
      <c r="A1860" s="3" t="s">
        <v>421</v>
      </c>
      <c r="B1860" s="0" t="s">
        <v>181</v>
      </c>
      <c r="C1860" s="23" t="n">
        <f aca="false">a25_nonop</f>
        <v>5.805</v>
      </c>
      <c r="D1860" s="23" t="n">
        <f aca="false">a26_nonop</f>
        <v>38.372</v>
      </c>
      <c r="E1860" s="23" t="n">
        <f aca="false">nonop_f_hi</f>
        <v>8</v>
      </c>
      <c r="F1860" s="23" t="n">
        <f aca="false">nonop_f_hi</f>
        <v>8</v>
      </c>
      <c r="G1860" s="23" t="n">
        <f aca="false">nonop_f_hi</f>
        <v>8</v>
      </c>
    </row>
    <row r="1861" customFormat="false" ht="15" hidden="false" customHeight="false" outlineLevel="0" collapsed="false">
      <c r="A1861" s="3" t="s">
        <v>423</v>
      </c>
      <c r="B1861" s="0" t="s">
        <v>181</v>
      </c>
      <c r="C1861" s="23" t="n">
        <f aca="false">C1858+C1860</f>
        <v>49.655</v>
      </c>
      <c r="D1861" s="23" t="n">
        <f aca="false">D1858+D1860</f>
        <v>102.2282252</v>
      </c>
      <c r="E1861" s="23" t="n">
        <f aca="false">E1858+E1860</f>
        <v>91.2203929359927</v>
      </c>
      <c r="F1861" s="23" t="n">
        <f aca="false">F1858+F1860</f>
        <v>89.6744899449539</v>
      </c>
      <c r="G1861" s="23" t="n">
        <f aca="false">G1858+G1860</f>
        <v>99.7152910223122</v>
      </c>
    </row>
    <row r="1862" customFormat="false" ht="15" hidden="false" customHeight="false" outlineLevel="0" collapsed="false">
      <c r="A1862" s="3" t="s">
        <v>425</v>
      </c>
      <c r="B1862" s="0" t="s">
        <v>181</v>
      </c>
      <c r="C1862" s="23" t="n">
        <f aca="false">a25_tax</f>
        <v>7.939</v>
      </c>
      <c r="D1862" s="23" t="n">
        <f aca="false">a26_tax</f>
        <v>10.493828284</v>
      </c>
      <c r="E1862" s="23" t="n">
        <f aca="false">E1861*tax</f>
        <v>13.6830589403989</v>
      </c>
      <c r="F1862" s="23" t="n">
        <f aca="false">F1861*tax</f>
        <v>13.4511734917431</v>
      </c>
      <c r="G1862" s="23" t="n">
        <f aca="false">G1861*tax</f>
        <v>14.9572936533468</v>
      </c>
    </row>
    <row r="1863" customFormat="false" ht="17.15" hidden="false" customHeight="false" outlineLevel="0" collapsed="false">
      <c r="A1863" s="3" t="s">
        <v>549</v>
      </c>
      <c r="B1863" s="0" t="s">
        <v>181</v>
      </c>
      <c r="C1863" s="23" t="n">
        <f aca="false">a25_mi</f>
        <v>0</v>
      </c>
      <c r="D1863" s="23" t="n">
        <f aca="false">a26_mi</f>
        <v>-0.134999999999987</v>
      </c>
      <c r="E1863" s="23" t="n">
        <f aca="false">0</f>
        <v>0</v>
      </c>
      <c r="F1863" s="23" t="n">
        <f aca="false">0</f>
        <v>0</v>
      </c>
      <c r="G1863" s="23" t="n">
        <f aca="false">0</f>
        <v>0</v>
      </c>
      <c r="K1863" s="7" t="s">
        <v>550</v>
      </c>
    </row>
    <row r="1864" customFormat="false" ht="15" hidden="false" customHeight="false" outlineLevel="0" collapsed="false">
      <c r="A1864" s="3" t="s">
        <v>428</v>
      </c>
      <c r="B1864" s="0" t="s">
        <v>181</v>
      </c>
      <c r="C1864" s="23" t="n">
        <f aca="false">C1861-C1862-C1863</f>
        <v>41.716</v>
      </c>
      <c r="D1864" s="23" t="n">
        <f aca="false">D1861-D1862-D1863</f>
        <v>91.869396916</v>
      </c>
      <c r="E1864" s="23" t="n">
        <f aca="false">E1861-E1862-E1863</f>
        <v>77.5373339955938</v>
      </c>
      <c r="F1864" s="23" t="n">
        <f aca="false">F1861-F1862-F1863</f>
        <v>76.2233164532108</v>
      </c>
      <c r="G1864" s="23" t="n">
        <f aca="false">G1861-G1862-G1863</f>
        <v>84.7579973689653</v>
      </c>
      <c r="H1864" s="30" t="n">
        <f aca="false">H1847*H1868</f>
        <v>89.5490317023831</v>
      </c>
      <c r="I1864" s="30" t="n">
        <f aca="false">I1847*I1868</f>
        <v>92.2089827984294</v>
      </c>
      <c r="J1864" s="30" t="n">
        <f aca="false">J1847*J1868</f>
        <v>92.4724370349964</v>
      </c>
    </row>
    <row r="1865" customFormat="false" ht="15" hidden="false" customHeight="false" outlineLevel="0" collapsed="false">
      <c r="A1865" s="3" t="s">
        <v>551</v>
      </c>
      <c r="B1865" s="3" t="s">
        <v>250</v>
      </c>
      <c r="C1865" s="9" t="n">
        <f aca="false">a25_sh</f>
        <v>12.4898203592814</v>
      </c>
      <c r="D1865" s="9" t="n">
        <f aca="false">a26_sh</f>
        <v>12.4754339027235</v>
      </c>
      <c r="E1865" s="9" t="n">
        <f aca="false">q_sh*(1+sh_g)</f>
        <v>12.45</v>
      </c>
      <c r="F1865" s="9" t="n">
        <f aca="false">E1865*(1+sh_g)</f>
        <v>12.45</v>
      </c>
      <c r="G1865" s="9" t="n">
        <f aca="false">F1865*(1+sh_g)</f>
        <v>12.45</v>
      </c>
      <c r="H1865" s="32" t="n">
        <f aca="false">G1865*(1+sh_g)</f>
        <v>12.45</v>
      </c>
      <c r="I1865" s="32" t="n">
        <f aca="false">H1865*(1+sh_g)</f>
        <v>12.45</v>
      </c>
      <c r="J1865" s="32" t="n">
        <f aca="false">I1865*(1+sh_g)</f>
        <v>12.45</v>
      </c>
    </row>
    <row r="1866" customFormat="false" ht="17.15" hidden="false" customHeight="false" outlineLevel="0" collapsed="false">
      <c r="A1866" s="0" t="s">
        <v>434</v>
      </c>
      <c r="B1866" s="0" t="s">
        <v>260</v>
      </c>
      <c r="C1866" s="23" t="n">
        <f aca="false">C1864/C1865</f>
        <v>3.34</v>
      </c>
      <c r="D1866" s="23" t="n">
        <f aca="false">D1864/D1865</f>
        <v>7.36402418002826</v>
      </c>
      <c r="E1866" s="23" t="n">
        <f aca="false">E1864/E1865</f>
        <v>6.2278983128991</v>
      </c>
      <c r="F1866" s="23" t="n">
        <f aca="false">F1864/F1865</f>
        <v>6.12235473519766</v>
      </c>
      <c r="G1866" s="23" t="n">
        <f aca="false">G1864/G1865</f>
        <v>6.80787127461569</v>
      </c>
      <c r="H1866" s="30" t="n">
        <f aca="false">H1864/H1865</f>
        <v>7.19269330942836</v>
      </c>
      <c r="I1866" s="30" t="n">
        <f aca="false">I1864/I1865</f>
        <v>7.40634399987385</v>
      </c>
      <c r="J1866" s="30" t="n">
        <f aca="false">J1864/J1865</f>
        <v>7.42750498273063</v>
      </c>
    </row>
    <row r="1867" customFormat="false" ht="17.15" hidden="false" customHeight="false" outlineLevel="0" collapsed="false">
      <c r="A1867" s="0" t="s">
        <v>552</v>
      </c>
      <c r="B1867" s="0" t="s">
        <v>69</v>
      </c>
      <c r="D1867" s="21" t="n">
        <f aca="false">D1866/C1866-1</f>
        <v>1.2047976586911</v>
      </c>
      <c r="E1867" s="21" t="n">
        <f aca="false">E1866/D1866-1</f>
        <v>-0.154280572599207</v>
      </c>
      <c r="F1867" s="21" t="n">
        <f aca="false">F1866/E1866-1</f>
        <v>-0.0169469012496304</v>
      </c>
      <c r="G1867" s="21" t="n">
        <f aca="false">G1866/F1866-1</f>
        <v>0.111969425011748</v>
      </c>
      <c r="H1867" s="28" t="n">
        <f aca="false">H1866/G1866-1</f>
        <v>0.056526044528419</v>
      </c>
      <c r="I1867" s="28" t="n">
        <f aca="false">I1866/H1866-1</f>
        <v>0.0297038510130037</v>
      </c>
      <c r="J1867" s="28" t="n">
        <f aca="false">J1866/I1866-1</f>
        <v>0.00285714285714267</v>
      </c>
    </row>
    <row r="1868" customFormat="false" ht="17.15" hidden="false" customHeight="false" outlineLevel="0" collapsed="false">
      <c r="A1868" s="3" t="s">
        <v>553</v>
      </c>
      <c r="B1868" s="0" t="s">
        <v>69</v>
      </c>
      <c r="C1868" s="15" t="n">
        <f aca="false">C1864/C1847</f>
        <v>0.175607127672562</v>
      </c>
      <c r="D1868" s="15" t="n">
        <f aca="false">D1864/D1847</f>
        <v>0.328417243409073</v>
      </c>
      <c r="E1868" s="15" t="n">
        <f aca="false">E1864/E1847</f>
        <v>0.24050599519593</v>
      </c>
      <c r="F1868" s="15" t="n">
        <f aca="false">F1864/F1847</f>
        <v>0.224853981396289</v>
      </c>
      <c r="G1868" s="15" t="n">
        <f aca="false">G1864/G1847</f>
        <v>0.223354025351666</v>
      </c>
      <c r="H1868" s="29" t="n">
        <f aca="false">$G1868+($G$1868*0.9-$G1868)*1/3</f>
        <v>0.215908891173277</v>
      </c>
      <c r="I1868" s="29" t="n">
        <f aca="false">$G1868+($G$1868*0.9-$G1868)*2/3</f>
        <v>0.208463756994888</v>
      </c>
      <c r="J1868" s="29" t="n">
        <f aca="false">$G1868+($G$1868*0.9-$G1868)*3/3</f>
        <v>0.201018622816499</v>
      </c>
    </row>
    <row r="1871" customFormat="false" ht="17.15" hidden="false" customHeight="false" outlineLevel="0" collapsed="false">
      <c r="A1871" s="1" t="s">
        <v>884</v>
      </c>
    </row>
    <row r="1872" customFormat="false" ht="17.15" hidden="false" customHeight="false" outlineLevel="0" collapsed="false">
      <c r="A1872" s="4" t="s">
        <v>24</v>
      </c>
      <c r="B1872" s="4" t="s">
        <v>25</v>
      </c>
      <c r="C1872" s="16" t="s">
        <v>387</v>
      </c>
      <c r="D1872" s="16" t="s">
        <v>505</v>
      </c>
      <c r="E1872" s="16" t="s">
        <v>467</v>
      </c>
      <c r="F1872" s="16" t="s">
        <v>468</v>
      </c>
      <c r="G1872" s="16" t="s">
        <v>469</v>
      </c>
      <c r="H1872" s="16" t="s">
        <v>506</v>
      </c>
      <c r="I1872" s="16" t="s">
        <v>507</v>
      </c>
      <c r="J1872" s="16" t="s">
        <v>508</v>
      </c>
      <c r="K1872" s="4" t="s">
        <v>345</v>
      </c>
    </row>
    <row r="1873" customFormat="false" ht="17.15" hidden="false" customHeight="false" outlineLevel="0" collapsed="false">
      <c r="A1873" s="5" t="s">
        <v>526</v>
      </c>
    </row>
    <row r="1874" customFormat="false" ht="17.15" hidden="false" customHeight="false" outlineLevel="0" collapsed="false">
      <c r="A1874" s="3" t="s">
        <v>527</v>
      </c>
      <c r="B1874" s="3" t="s">
        <v>64</v>
      </c>
      <c r="D1874" s="22" t="n">
        <f aca="false">cap_26</f>
        <v>5230.46851955216</v>
      </c>
      <c r="E1874" s="22" t="n">
        <f aca="false">D1874*(1+capg27)*cap_adj</f>
        <v>5439.68726033425</v>
      </c>
      <c r="F1874" s="22" t="n">
        <f aca="false">E1874*(1+capg28)</f>
        <v>5820.46536855765</v>
      </c>
      <c r="G1874" s="22" t="n">
        <f aca="false">F1874*(1+capg29)</f>
        <v>6227.89794435668</v>
      </c>
    </row>
    <row r="1875" customFormat="false" ht="15" hidden="false" customHeight="false" outlineLevel="0" collapsed="false">
      <c r="A1875" s="3" t="s">
        <v>528</v>
      </c>
      <c r="B1875" s="0" t="s">
        <v>69</v>
      </c>
      <c r="D1875" s="21" t="n">
        <f aca="false">a26_ship/cap_26</f>
        <v>0.870578781414787</v>
      </c>
      <c r="E1875" s="21" t="n">
        <f aca="false">MIN(0.98,ut27_C+ut_adj)</f>
        <v>0.82</v>
      </c>
      <c r="F1875" s="21" t="n">
        <f aca="false">MIN(0.98,ut28_C+ut_adj)</f>
        <v>0.76</v>
      </c>
      <c r="G1875" s="21" t="n">
        <f aca="false">MIN(0.98,ut29_C+ut_adj)</f>
        <v>0.8</v>
      </c>
    </row>
    <row r="1876" customFormat="false" ht="17.15" hidden="false" customHeight="false" outlineLevel="0" collapsed="false">
      <c r="A1876" s="3" t="s">
        <v>529</v>
      </c>
      <c r="B1876" s="3" t="s">
        <v>64</v>
      </c>
      <c r="D1876" s="22" t="n">
        <f aca="false">D1874*D1875</f>
        <v>4553.53490998013</v>
      </c>
      <c r="E1876" s="22" t="n">
        <f aca="false">E1874*E1875</f>
        <v>4460.54355347409</v>
      </c>
      <c r="F1876" s="22" t="n">
        <f aca="false">F1874*F1875</f>
        <v>4423.55368010381</v>
      </c>
      <c r="G1876" s="22" t="n">
        <f aca="false">G1874*G1875</f>
        <v>4982.31835548535</v>
      </c>
    </row>
    <row r="1877" customFormat="false" ht="17.15" hidden="false" customHeight="false" outlineLevel="0" collapsed="false">
      <c r="A1877" s="3" t="s">
        <v>530</v>
      </c>
      <c r="B1877" s="0" t="s">
        <v>109</v>
      </c>
      <c r="D1877" s="22" t="n">
        <f aca="false">asp_26</f>
        <v>1878.17486396824</v>
      </c>
      <c r="E1877" s="22" t="n">
        <f aca="false">D1877*(1+asp27_C)*(1+asp_adj)</f>
        <v>1878.17486396824</v>
      </c>
      <c r="F1877" s="22" t="n">
        <f aca="false">E1877*(1+asp28_C)</f>
        <v>1765.48437213015</v>
      </c>
      <c r="G1877" s="22" t="n">
        <f aca="false">F1877*(1+asp29_C)</f>
        <v>1712.51984096625</v>
      </c>
    </row>
    <row r="1878" customFormat="false" ht="15" hidden="false" customHeight="false" outlineLevel="0" collapsed="false">
      <c r="A1878" s="3" t="s">
        <v>531</v>
      </c>
      <c r="B1878" s="0" t="s">
        <v>69</v>
      </c>
      <c r="E1878" s="21" t="n">
        <f aca="false">E1877/D1877-1</f>
        <v>0</v>
      </c>
      <c r="F1878" s="21" t="n">
        <f aca="false">F1877/E1877-1</f>
        <v>-0.0599999999999999</v>
      </c>
      <c r="G1878" s="21" t="n">
        <f aca="false">G1877/F1877-1</f>
        <v>-0.0299999999999999</v>
      </c>
    </row>
    <row r="1879" customFormat="false" ht="15" hidden="false" customHeight="false" outlineLevel="0" collapsed="false">
      <c r="A1879" s="3" t="s">
        <v>532</v>
      </c>
      <c r="B1879" s="0" t="s">
        <v>35</v>
      </c>
      <c r="D1879" s="23" t="n">
        <f aca="false">fx_26</f>
        <v>31.6</v>
      </c>
      <c r="E1879" s="23" t="n">
        <f aca="false">fx</f>
        <v>32</v>
      </c>
      <c r="F1879" s="23" t="n">
        <f aca="false">fx</f>
        <v>32</v>
      </c>
      <c r="G1879" s="23" t="n">
        <f aca="false">fx</f>
        <v>32</v>
      </c>
    </row>
    <row r="1880" customFormat="false" ht="17.15" hidden="false" customHeight="false" outlineLevel="0" collapsed="false">
      <c r="A1880" s="3" t="s">
        <v>533</v>
      </c>
      <c r="B1880" s="0" t="s">
        <v>181</v>
      </c>
      <c r="D1880" s="23" t="n">
        <f aca="false">D1876*D1877*D1879/1000000</f>
        <v>270.25378</v>
      </c>
      <c r="E1880" s="23" t="n">
        <f aca="false">E1876*E1877*E1879/1000000</f>
        <v>268.08578501666</v>
      </c>
      <c r="F1880" s="23" t="n">
        <f aca="false">F1876*F1877*F1879/1000000</f>
        <v>249.910876528067</v>
      </c>
      <c r="G1880" s="23" t="n">
        <f aca="false">G1876*G1877*G1879/1000000</f>
        <v>273.034209208927</v>
      </c>
    </row>
    <row r="1881" customFormat="false" ht="17.15" hidden="false" customHeight="false" outlineLevel="0" collapsed="false">
      <c r="A1881" s="5" t="s">
        <v>534</v>
      </c>
    </row>
    <row r="1882" customFormat="false" ht="17.15" hidden="false" customHeight="false" outlineLevel="0" collapsed="false">
      <c r="A1882" s="0" t="s">
        <v>535</v>
      </c>
      <c r="B1882" s="0" t="s">
        <v>138</v>
      </c>
      <c r="D1882" s="25" t="n">
        <f aca="false">ai_26</f>
        <v>0.3</v>
      </c>
      <c r="E1882" s="25" t="n">
        <f aca="false">D1882*(1+aig27_C)*ai_adj</f>
        <v>0.36</v>
      </c>
      <c r="F1882" s="25" t="n">
        <f aca="false">E1882*(1+aig_L)*um28_C</f>
        <v>0.3132</v>
      </c>
      <c r="G1882" s="25" t="n">
        <f aca="false">F1882/um28_C*(1+aig_L)*um29_C</f>
        <v>0.45414</v>
      </c>
    </row>
    <row r="1883" customFormat="false" ht="17.15" hidden="false" customHeight="false" outlineLevel="0" collapsed="false">
      <c r="A1883" s="0" t="s">
        <v>536</v>
      </c>
      <c r="B1883" s="0" t="s">
        <v>181</v>
      </c>
      <c r="D1883" s="23" t="n">
        <f aca="false">D1882*D1879</f>
        <v>9.48</v>
      </c>
      <c r="E1883" s="23" t="n">
        <f aca="false">E1882*E1879</f>
        <v>11.52</v>
      </c>
      <c r="F1883" s="23" t="n">
        <f aca="false">F1882*F1879</f>
        <v>10.0224</v>
      </c>
      <c r="G1883" s="23" t="n">
        <f aca="false">G1882*G1879</f>
        <v>14.53248</v>
      </c>
    </row>
    <row r="1884" customFormat="false" ht="17.15" hidden="false" customHeight="false" outlineLevel="0" collapsed="false">
      <c r="A1884" s="0" t="s">
        <v>537</v>
      </c>
      <c r="B1884" s="0" t="s">
        <v>138</v>
      </c>
      <c r="D1884" s="25" t="n">
        <f aca="false">0</f>
        <v>0</v>
      </c>
      <c r="E1884" s="25" t="n">
        <f aca="false">int_27</f>
        <v>0</v>
      </c>
      <c r="F1884" s="25" t="n">
        <f aca="false">int28_C</f>
        <v>0</v>
      </c>
      <c r="G1884" s="25" t="n">
        <f aca="false">int29_C</f>
        <v>0.08</v>
      </c>
    </row>
    <row r="1885" customFormat="false" ht="17.15" hidden="false" customHeight="false" outlineLevel="0" collapsed="false">
      <c r="A1885" s="0" t="s">
        <v>538</v>
      </c>
      <c r="B1885" s="0" t="s">
        <v>181</v>
      </c>
      <c r="D1885" s="23" t="n">
        <f aca="false">D1884*D1879</f>
        <v>0</v>
      </c>
      <c r="E1885" s="23" t="n">
        <f aca="false">E1884*E1879</f>
        <v>0</v>
      </c>
      <c r="F1885" s="23" t="n">
        <f aca="false">F1884*F1879</f>
        <v>0</v>
      </c>
      <c r="G1885" s="23" t="n">
        <f aca="false">G1884*G1879</f>
        <v>2.56</v>
      </c>
    </row>
    <row r="1886" customFormat="false" ht="17.15" hidden="false" customHeight="false" outlineLevel="0" collapsed="false">
      <c r="A1886" s="3" t="s">
        <v>393</v>
      </c>
      <c r="B1886" s="0" t="s">
        <v>181</v>
      </c>
      <c r="C1886" s="23" t="n">
        <f aca="false">a25_rev</f>
        <v>237.553</v>
      </c>
      <c r="D1886" s="23" t="n">
        <f aca="false">D1880+D1883+D1885</f>
        <v>279.73378</v>
      </c>
      <c r="E1886" s="23" t="n">
        <f aca="false">E1880+E1883+E1885</f>
        <v>279.60578501666</v>
      </c>
      <c r="F1886" s="23" t="n">
        <f aca="false">F1880+F1883+F1885</f>
        <v>259.933276528067</v>
      </c>
      <c r="G1886" s="23" t="n">
        <f aca="false">G1880+G1883+G1885</f>
        <v>290.126689208927</v>
      </c>
      <c r="H1886" s="30" t="n">
        <f aca="false">G1886*(1+H1888)</f>
        <v>314.527952983075</v>
      </c>
      <c r="I1886" s="30" t="n">
        <f aca="false">H1886*(1+I1888)</f>
        <v>330.900005213497</v>
      </c>
      <c r="J1886" s="30" t="n">
        <f aca="false">I1886*(1+J1888)</f>
        <v>337.518005317767</v>
      </c>
      <c r="K1886" s="7" t="s">
        <v>539</v>
      </c>
    </row>
    <row r="1887" customFormat="false" ht="17.15" hidden="false" customHeight="false" outlineLevel="0" collapsed="false">
      <c r="A1887" s="0" t="s">
        <v>540</v>
      </c>
      <c r="B1887" s="0" t="s">
        <v>69</v>
      </c>
      <c r="D1887" s="21" t="n">
        <f aca="false">D1883/D1886</f>
        <v>0.0338893643806622</v>
      </c>
      <c r="E1887" s="21" t="n">
        <f aca="false">E1883/E1886</f>
        <v>0.0412008642786615</v>
      </c>
      <c r="F1887" s="21" t="n">
        <f aca="false">F1883/F1886</f>
        <v>0.0385575872926674</v>
      </c>
      <c r="G1887" s="21" t="n">
        <f aca="false">G1883/G1886</f>
        <v>0.0500901176642002</v>
      </c>
    </row>
    <row r="1888" customFormat="false" ht="15" hidden="false" customHeight="false" outlineLevel="0" collapsed="false">
      <c r="A1888" s="3" t="s">
        <v>541</v>
      </c>
      <c r="B1888" s="0" t="s">
        <v>69</v>
      </c>
      <c r="D1888" s="21" t="n">
        <f aca="false">D1886/C1886-1</f>
        <v>0.177563659478096</v>
      </c>
      <c r="E1888" s="21" t="n">
        <f aca="false">E1886/D1886-1</f>
        <v>-0.000457559981995259</v>
      </c>
      <c r="F1888" s="21" t="n">
        <f aca="false">F1886/E1886-1</f>
        <v>-0.0703580166891779</v>
      </c>
      <c r="G1888" s="21" t="n">
        <f aca="false">G1886/F1886-1</f>
        <v>0.116158319874062</v>
      </c>
      <c r="H1888" s="28" t="n">
        <f aca="false">$G1888+(fade_gC-$G1888)*1/3</f>
        <v>0.0841055465827078</v>
      </c>
      <c r="I1888" s="28" t="n">
        <f aca="false">$G1888+(fade_gC-$G1888)*2/3</f>
        <v>0.0520527732913539</v>
      </c>
      <c r="J1888" s="28" t="n">
        <f aca="false">$G1888+(fade_gC-$G1888)*3/3</f>
        <v>0.02</v>
      </c>
    </row>
    <row r="1889" customFormat="false" ht="17.15" hidden="false" customHeight="false" outlineLevel="0" collapsed="false">
      <c r="A1889" s="5" t="s">
        <v>542</v>
      </c>
    </row>
    <row r="1890" customFormat="false" ht="15" hidden="false" customHeight="false" outlineLevel="0" collapsed="false">
      <c r="A1890" s="3" t="s">
        <v>543</v>
      </c>
      <c r="B1890" s="0" t="s">
        <v>181</v>
      </c>
      <c r="D1890" s="23" t="n">
        <f aca="false">da_tot26*da_sh</f>
        <v>56.172</v>
      </c>
      <c r="E1890" s="23" t="n">
        <f aca="false">D1890*(1+dag_27+dag_adj)</f>
        <v>62.91264</v>
      </c>
      <c r="F1890" s="23" t="n">
        <f aca="false">E1890*(1+dag_28+dag_adj)</f>
        <v>69.203904</v>
      </c>
      <c r="G1890" s="23" t="n">
        <f aca="false">F1890*(1+dag_29+dag_adj)</f>
        <v>74.74021632</v>
      </c>
    </row>
    <row r="1891" customFormat="false" ht="17.15" hidden="false" customHeight="false" outlineLevel="0" collapsed="false">
      <c r="A1891" s="3" t="s">
        <v>544</v>
      </c>
      <c r="B1891" s="0" t="s">
        <v>545</v>
      </c>
      <c r="D1891" s="23" t="n">
        <f aca="false">(D1886-a26_gp-D1890-(1-m_new)*(D1883+D1885))/D1876*1000</f>
        <v>27.9465727870208</v>
      </c>
      <c r="E1891" s="23" t="n">
        <f aca="false">D1891*(1+cc_g)</f>
        <v>28.5055042427612</v>
      </c>
      <c r="F1891" s="23" t="n">
        <f aca="false">E1891*(1+cc_g)</f>
        <v>29.0756143276165</v>
      </c>
      <c r="G1891" s="23" t="n">
        <f aca="false">F1891*(1+cc_g)</f>
        <v>29.6571266141688</v>
      </c>
      <c r="K1891" s="7" t="s">
        <v>546</v>
      </c>
    </row>
    <row r="1892" customFormat="false" ht="17.15" hidden="false" customHeight="false" outlineLevel="0" collapsed="false">
      <c r="A1892" s="3" t="s">
        <v>547</v>
      </c>
      <c r="B1892" s="0" t="s">
        <v>181</v>
      </c>
      <c r="D1892" s="23" t="n">
        <f aca="false">D1891*D1876/1000</f>
        <v>127.2556948</v>
      </c>
      <c r="E1892" s="23" t="n">
        <f aca="false">E1891*E1876/1000</f>
        <v>127.150043188577</v>
      </c>
      <c r="F1892" s="23" t="n">
        <f aca="false">F1891*F1876/1000</f>
        <v>128.617540760207</v>
      </c>
      <c r="G1892" s="23" t="n">
        <f aca="false">G1891*G1876/1000</f>
        <v>147.761246300726</v>
      </c>
    </row>
    <row r="1893" customFormat="false" ht="17.15" hidden="false" customHeight="false" outlineLevel="0" collapsed="false">
      <c r="A1893" s="3" t="s">
        <v>548</v>
      </c>
      <c r="B1893" s="0" t="s">
        <v>181</v>
      </c>
      <c r="D1893" s="23" t="n">
        <f aca="false">m_new*(D1883+D1885)</f>
        <v>4.266</v>
      </c>
      <c r="E1893" s="23" t="n">
        <f aca="false">m_new*(E1883+E1885)</f>
        <v>5.184</v>
      </c>
      <c r="F1893" s="23" t="n">
        <f aca="false">m_new*(F1883+F1885)</f>
        <v>4.51008</v>
      </c>
      <c r="G1893" s="23" t="n">
        <f aca="false">m_new*(G1883+G1885)</f>
        <v>7.691616</v>
      </c>
    </row>
    <row r="1894" customFormat="false" ht="15" hidden="false" customHeight="false" outlineLevel="0" collapsed="false">
      <c r="A1894" s="3" t="s">
        <v>411</v>
      </c>
      <c r="B1894" s="0" t="s">
        <v>181</v>
      </c>
      <c r="C1894" s="23" t="n">
        <f aca="false">a25_gp</f>
        <v>68.906</v>
      </c>
      <c r="D1894" s="23" t="n">
        <f aca="false">D1880-D1890-D1892+D1893</f>
        <v>91.0920852</v>
      </c>
      <c r="E1894" s="23" t="n">
        <f aca="false">E1880-E1890-E1892+E1893</f>
        <v>83.2071018280829</v>
      </c>
      <c r="F1894" s="23" t="n">
        <f aca="false">F1880-F1890-F1892+F1893</f>
        <v>56.59951176786</v>
      </c>
      <c r="G1894" s="23" t="n">
        <f aca="false">G1880-G1890-G1892+G1893</f>
        <v>58.2243625882008</v>
      </c>
    </row>
    <row r="1895" customFormat="false" ht="15" hidden="false" customHeight="false" outlineLevel="0" collapsed="false">
      <c r="A1895" s="3" t="s">
        <v>413</v>
      </c>
      <c r="B1895" s="0" t="s">
        <v>69</v>
      </c>
      <c r="C1895" s="15" t="n">
        <f aca="false">C1894/C1886</f>
        <v>0.290065795843454</v>
      </c>
      <c r="D1895" s="15" t="n">
        <f aca="false">D1894/D1886</f>
        <v>0.325638488136828</v>
      </c>
      <c r="E1895" s="15" t="n">
        <f aca="false">E1894/E1886</f>
        <v>0.297587196999966</v>
      </c>
      <c r="F1895" s="15" t="n">
        <f aca="false">F1894/F1886</f>
        <v>0.217746309837127</v>
      </c>
      <c r="G1895" s="15" t="n">
        <f aca="false">G1894/G1886</f>
        <v>0.200685992546767</v>
      </c>
    </row>
    <row r="1896" customFormat="false" ht="15" hidden="false" customHeight="false" outlineLevel="0" collapsed="false">
      <c r="A1896" s="3" t="s">
        <v>415</v>
      </c>
      <c r="B1896" s="0" t="s">
        <v>181</v>
      </c>
      <c r="C1896" s="23" t="n">
        <f aca="false">a25_opx</f>
        <v>25.056</v>
      </c>
      <c r="D1896" s="23" t="n">
        <f aca="false">a26_opx</f>
        <v>27.23586</v>
      </c>
      <c r="E1896" s="23" t="n">
        <f aca="false">D1896*(1+MAX(g_opx_min,phi*E1888))</f>
        <v>28.0529358</v>
      </c>
      <c r="F1896" s="23" t="n">
        <f aca="false">E1896*(1+MAX(g_opx_min,phi*F1888))</f>
        <v>28.894523874</v>
      </c>
      <c r="G1896" s="23" t="n">
        <f aca="false">F1896*(1+MAX(g_opx_min,phi*G1888))</f>
        <v>30.5726935473824</v>
      </c>
    </row>
    <row r="1897" customFormat="false" ht="15" hidden="false" customHeight="false" outlineLevel="0" collapsed="false">
      <c r="A1897" s="3" t="s">
        <v>418</v>
      </c>
      <c r="B1897" s="0" t="s">
        <v>181</v>
      </c>
      <c r="C1897" s="23" t="n">
        <f aca="false">C1894-C1896</f>
        <v>43.85</v>
      </c>
      <c r="D1897" s="23" t="n">
        <f aca="false">D1894-D1896</f>
        <v>63.8562252</v>
      </c>
      <c r="E1897" s="23" t="n">
        <f aca="false">E1894-E1896</f>
        <v>55.1541660280829</v>
      </c>
      <c r="F1897" s="23" t="n">
        <f aca="false">F1894-F1896</f>
        <v>27.70498789386</v>
      </c>
      <c r="G1897" s="23" t="n">
        <f aca="false">G1894-G1896</f>
        <v>27.6516690408184</v>
      </c>
    </row>
    <row r="1898" customFormat="false" ht="15" hidden="false" customHeight="false" outlineLevel="0" collapsed="false">
      <c r="A1898" s="3" t="s">
        <v>515</v>
      </c>
      <c r="B1898" s="0" t="s">
        <v>69</v>
      </c>
      <c r="C1898" s="15" t="n">
        <f aca="false">C1897/C1886</f>
        <v>0.184590386145408</v>
      </c>
      <c r="D1898" s="15" t="n">
        <f aca="false">D1897/D1886</f>
        <v>0.228274987740129</v>
      </c>
      <c r="E1898" s="15" t="n">
        <f aca="false">E1897/E1886</f>
        <v>0.197256884455365</v>
      </c>
      <c r="F1898" s="15" t="n">
        <f aca="false">F1897/F1886</f>
        <v>0.106584998519297</v>
      </c>
      <c r="G1898" s="15" t="n">
        <f aca="false">G1897/G1886</f>
        <v>0.0953089462958914</v>
      </c>
    </row>
    <row r="1899" customFormat="false" ht="15" hidden="false" customHeight="false" outlineLevel="0" collapsed="false">
      <c r="A1899" s="3" t="s">
        <v>421</v>
      </c>
      <c r="B1899" s="0" t="s">
        <v>181</v>
      </c>
      <c r="C1899" s="23" t="n">
        <f aca="false">a25_nonop</f>
        <v>5.805</v>
      </c>
      <c r="D1899" s="23" t="n">
        <f aca="false">a26_nonop</f>
        <v>38.372</v>
      </c>
      <c r="E1899" s="23" t="n">
        <f aca="false">nonop_f_hi</f>
        <v>8</v>
      </c>
      <c r="F1899" s="23" t="n">
        <f aca="false">nonop_f_hi</f>
        <v>8</v>
      </c>
      <c r="G1899" s="23" t="n">
        <f aca="false">nonop_f_hi</f>
        <v>8</v>
      </c>
    </row>
    <row r="1900" customFormat="false" ht="15" hidden="false" customHeight="false" outlineLevel="0" collapsed="false">
      <c r="A1900" s="3" t="s">
        <v>423</v>
      </c>
      <c r="B1900" s="0" t="s">
        <v>181</v>
      </c>
      <c r="C1900" s="23" t="n">
        <f aca="false">C1897+C1899</f>
        <v>49.655</v>
      </c>
      <c r="D1900" s="23" t="n">
        <f aca="false">D1897+D1899</f>
        <v>102.2282252</v>
      </c>
      <c r="E1900" s="23" t="n">
        <f aca="false">E1897+E1899</f>
        <v>63.1541660280829</v>
      </c>
      <c r="F1900" s="23" t="n">
        <f aca="false">F1897+F1899</f>
        <v>35.70498789386</v>
      </c>
      <c r="G1900" s="23" t="n">
        <f aca="false">G1897+G1899</f>
        <v>35.6516690408184</v>
      </c>
    </row>
    <row r="1901" customFormat="false" ht="15" hidden="false" customHeight="false" outlineLevel="0" collapsed="false">
      <c r="A1901" s="3" t="s">
        <v>425</v>
      </c>
      <c r="B1901" s="0" t="s">
        <v>181</v>
      </c>
      <c r="C1901" s="23" t="n">
        <f aca="false">a25_tax</f>
        <v>7.939</v>
      </c>
      <c r="D1901" s="23" t="n">
        <f aca="false">a26_tax</f>
        <v>10.493828284</v>
      </c>
      <c r="E1901" s="23" t="n">
        <f aca="false">E1900*tax</f>
        <v>9.47312490421244</v>
      </c>
      <c r="F1901" s="23" t="n">
        <f aca="false">F1900*tax</f>
        <v>5.35574818407899</v>
      </c>
      <c r="G1901" s="23" t="n">
        <f aca="false">G1900*tax</f>
        <v>5.34775035612276</v>
      </c>
    </row>
    <row r="1902" customFormat="false" ht="17.15" hidden="false" customHeight="false" outlineLevel="0" collapsed="false">
      <c r="A1902" s="3" t="s">
        <v>549</v>
      </c>
      <c r="B1902" s="0" t="s">
        <v>181</v>
      </c>
      <c r="C1902" s="23" t="n">
        <f aca="false">a25_mi</f>
        <v>0</v>
      </c>
      <c r="D1902" s="23" t="n">
        <f aca="false">a26_mi</f>
        <v>-0.134999999999987</v>
      </c>
      <c r="E1902" s="23" t="n">
        <f aca="false">0</f>
        <v>0</v>
      </c>
      <c r="F1902" s="23" t="n">
        <f aca="false">0</f>
        <v>0</v>
      </c>
      <c r="G1902" s="23" t="n">
        <f aca="false">0</f>
        <v>0</v>
      </c>
      <c r="K1902" s="7" t="s">
        <v>550</v>
      </c>
    </row>
    <row r="1903" customFormat="false" ht="15" hidden="false" customHeight="false" outlineLevel="0" collapsed="false">
      <c r="A1903" s="3" t="s">
        <v>428</v>
      </c>
      <c r="B1903" s="0" t="s">
        <v>181</v>
      </c>
      <c r="C1903" s="23" t="n">
        <f aca="false">C1900-C1901-C1902</f>
        <v>41.716</v>
      </c>
      <c r="D1903" s="23" t="n">
        <f aca="false">D1900-D1901-D1902</f>
        <v>91.869396916</v>
      </c>
      <c r="E1903" s="23" t="n">
        <f aca="false">E1900-E1901-E1902</f>
        <v>53.6810411238705</v>
      </c>
      <c r="F1903" s="23" t="n">
        <f aca="false">F1900-F1901-F1902</f>
        <v>30.349239709781</v>
      </c>
      <c r="G1903" s="23" t="n">
        <f aca="false">G1900-G1901-G1902</f>
        <v>30.3039186846957</v>
      </c>
      <c r="H1903" s="30" t="n">
        <f aca="false">H1886*H1907</f>
        <v>30.6624699073186</v>
      </c>
      <c r="I1903" s="30" t="n">
        <f aca="false">I1886*I1907</f>
        <v>29.954355323246</v>
      </c>
      <c r="J1903" s="30" t="n">
        <f aca="false">J1886*J1907</f>
        <v>28.2031776274254</v>
      </c>
    </row>
    <row r="1904" customFormat="false" ht="15" hidden="false" customHeight="false" outlineLevel="0" collapsed="false">
      <c r="A1904" s="3" t="s">
        <v>551</v>
      </c>
      <c r="B1904" s="3" t="s">
        <v>250</v>
      </c>
      <c r="C1904" s="9" t="n">
        <f aca="false">a25_sh</f>
        <v>12.4898203592814</v>
      </c>
      <c r="D1904" s="9" t="n">
        <f aca="false">a26_sh</f>
        <v>12.4754339027235</v>
      </c>
      <c r="E1904" s="9" t="n">
        <f aca="false">q_sh*(1+sh_g)</f>
        <v>12.45</v>
      </c>
      <c r="F1904" s="9" t="n">
        <f aca="false">E1904*(1+sh_g)</f>
        <v>12.45</v>
      </c>
      <c r="G1904" s="9" t="n">
        <f aca="false">F1904*(1+sh_g)</f>
        <v>12.45</v>
      </c>
      <c r="H1904" s="32" t="n">
        <f aca="false">G1904*(1+sh_g)</f>
        <v>12.45</v>
      </c>
      <c r="I1904" s="32" t="n">
        <f aca="false">H1904*(1+sh_g)</f>
        <v>12.45</v>
      </c>
      <c r="J1904" s="32" t="n">
        <f aca="false">I1904*(1+sh_g)</f>
        <v>12.45</v>
      </c>
    </row>
    <row r="1905" customFormat="false" ht="17.15" hidden="false" customHeight="false" outlineLevel="0" collapsed="false">
      <c r="A1905" s="0" t="s">
        <v>434</v>
      </c>
      <c r="B1905" s="0" t="s">
        <v>260</v>
      </c>
      <c r="C1905" s="23" t="n">
        <f aca="false">C1903/C1904</f>
        <v>3.34</v>
      </c>
      <c r="D1905" s="23" t="n">
        <f aca="false">D1903/D1904</f>
        <v>7.36402418002826</v>
      </c>
      <c r="E1905" s="23" t="n">
        <f aca="false">E1903/E1904</f>
        <v>4.31173021075265</v>
      </c>
      <c r="F1905" s="23" t="n">
        <f aca="false">F1903/F1904</f>
        <v>2.43768993652859</v>
      </c>
      <c r="G1905" s="23" t="n">
        <f aca="false">G1903/G1904</f>
        <v>2.43404969354985</v>
      </c>
      <c r="H1905" s="30" t="n">
        <f aca="false">H1903/H1904</f>
        <v>2.46284898853965</v>
      </c>
      <c r="I1905" s="30" t="n">
        <f aca="false">I1903/I1904</f>
        <v>2.40597231512016</v>
      </c>
      <c r="J1905" s="30" t="n">
        <f aca="false">J1903/J1904</f>
        <v>2.26531547208236</v>
      </c>
    </row>
    <row r="1906" customFormat="false" ht="17.15" hidden="false" customHeight="false" outlineLevel="0" collapsed="false">
      <c r="A1906" s="0" t="s">
        <v>552</v>
      </c>
      <c r="B1906" s="0" t="s">
        <v>69</v>
      </c>
      <c r="D1906" s="21" t="n">
        <f aca="false">D1905/C1905-1</f>
        <v>1.2047976586911</v>
      </c>
      <c r="E1906" s="21" t="n">
        <f aca="false">E1905/D1905-1</f>
        <v>-0.414487227996025</v>
      </c>
      <c r="F1906" s="21" t="n">
        <f aca="false">F1905/E1905-1</f>
        <v>-0.434637647214232</v>
      </c>
      <c r="G1906" s="21" t="n">
        <f aca="false">G1905/F1905-1</f>
        <v>-0.00149331665368535</v>
      </c>
      <c r="H1906" s="28" t="n">
        <f aca="false">H1905/G1905-1</f>
        <v>0.011831843477194</v>
      </c>
      <c r="I1906" s="28" t="n">
        <f aca="false">I1905/H1905-1</f>
        <v>-0.0230938533723142</v>
      </c>
      <c r="J1906" s="28" t="n">
        <f aca="false">J1905/I1905-1</f>
        <v>-0.0584615384615386</v>
      </c>
    </row>
    <row r="1907" customFormat="false" ht="17.15" hidden="false" customHeight="false" outlineLevel="0" collapsed="false">
      <c r="A1907" s="3" t="s">
        <v>553</v>
      </c>
      <c r="B1907" s="0" t="s">
        <v>69</v>
      </c>
      <c r="C1907" s="15" t="n">
        <f aca="false">C1903/C1886</f>
        <v>0.175607127672562</v>
      </c>
      <c r="D1907" s="15" t="n">
        <f aca="false">D1903/D1886</f>
        <v>0.328417243409073</v>
      </c>
      <c r="E1907" s="15" t="n">
        <f aca="false">E1903/E1886</f>
        <v>0.191988306395992</v>
      </c>
      <c r="F1907" s="15" t="n">
        <f aca="false">F1903/F1886</f>
        <v>0.116757808446676</v>
      </c>
      <c r="G1907" s="15" t="n">
        <f aca="false">G1903/G1886</f>
        <v>0.104450641088291</v>
      </c>
      <c r="H1907" s="29" t="n">
        <f aca="false">$G1907+($G$1907*0.8-$G1907)*1/3</f>
        <v>0.0974872650157378</v>
      </c>
      <c r="I1907" s="29" t="n">
        <f aca="false">$G1907+($G$1907*0.8-$G1907)*2/3</f>
        <v>0.0905238889431851</v>
      </c>
      <c r="J1907" s="29" t="n">
        <f aca="false">$G1907+($G$1907*0.8-$G1907)*3/3</f>
        <v>0.0835605128706324</v>
      </c>
    </row>
    <row r="1910" customFormat="false" ht="17.15" hidden="false" customHeight="false" outlineLevel="0" collapsed="false">
      <c r="A1910" s="1" t="s">
        <v>885</v>
      </c>
    </row>
    <row r="1911" customFormat="false" ht="17.15" hidden="false" customHeight="false" outlineLevel="0" collapsed="false">
      <c r="A1911" s="4" t="s">
        <v>24</v>
      </c>
      <c r="B1911" s="4" t="s">
        <v>25</v>
      </c>
      <c r="C1911" s="16" t="s">
        <v>387</v>
      </c>
      <c r="D1911" s="16" t="s">
        <v>505</v>
      </c>
      <c r="E1911" s="16" t="s">
        <v>467</v>
      </c>
      <c r="F1911" s="16" t="s">
        <v>468</v>
      </c>
      <c r="G1911" s="16" t="s">
        <v>469</v>
      </c>
      <c r="H1911" s="16" t="s">
        <v>506</v>
      </c>
      <c r="I1911" s="16" t="s">
        <v>507</v>
      </c>
      <c r="J1911" s="16" t="s">
        <v>508</v>
      </c>
      <c r="K1911" s="4" t="s">
        <v>345</v>
      </c>
    </row>
    <row r="1912" customFormat="false" ht="17.15" hidden="false" customHeight="false" outlineLevel="0" collapsed="false">
      <c r="A1912" s="5" t="s">
        <v>526</v>
      </c>
    </row>
    <row r="1913" customFormat="false" ht="17.15" hidden="false" customHeight="false" outlineLevel="0" collapsed="false">
      <c r="A1913" s="3" t="s">
        <v>527</v>
      </c>
      <c r="B1913" s="3" t="s">
        <v>64</v>
      </c>
      <c r="D1913" s="22" t="n">
        <f aca="false">cap_26</f>
        <v>5230.46851955216</v>
      </c>
      <c r="E1913" s="22" t="n">
        <f aca="false">D1913*(1+capg27)*cap_adj</f>
        <v>5439.68726033425</v>
      </c>
      <c r="F1913" s="22" t="n">
        <f aca="false">E1913*(1+capg28)</f>
        <v>5820.46536855765</v>
      </c>
      <c r="G1913" s="22" t="n">
        <f aca="false">F1913*(1+capg29)</f>
        <v>6227.89794435668</v>
      </c>
    </row>
    <row r="1914" customFormat="false" ht="15" hidden="false" customHeight="false" outlineLevel="0" collapsed="false">
      <c r="A1914" s="3" t="s">
        <v>528</v>
      </c>
      <c r="B1914" s="0" t="s">
        <v>69</v>
      </c>
      <c r="D1914" s="21" t="n">
        <f aca="false">a26_ship/cap_26</f>
        <v>0.870578781414787</v>
      </c>
      <c r="E1914" s="21" t="n">
        <f aca="false">MIN(0.98,ut27_A+ut_adj)</f>
        <v>0.95</v>
      </c>
      <c r="F1914" s="21" t="n">
        <f aca="false">MIN(0.98,ut28_A+ut_adj)</f>
        <v>0.94</v>
      </c>
      <c r="G1914" s="21" t="n">
        <f aca="false">MIN(0.98,ut29_A+ut_adj)</f>
        <v>0.93</v>
      </c>
    </row>
    <row r="1915" customFormat="false" ht="17.15" hidden="false" customHeight="false" outlineLevel="0" collapsed="false">
      <c r="A1915" s="3" t="s">
        <v>529</v>
      </c>
      <c r="B1915" s="3" t="s">
        <v>64</v>
      </c>
      <c r="D1915" s="22" t="n">
        <f aca="false">D1913*D1914</f>
        <v>4553.53490998013</v>
      </c>
      <c r="E1915" s="22" t="n">
        <f aca="false">E1913*E1914</f>
        <v>5167.70289731754</v>
      </c>
      <c r="F1915" s="22" t="n">
        <f aca="false">F1913*F1914</f>
        <v>5471.23744644419</v>
      </c>
      <c r="G1915" s="22" t="n">
        <f aca="false">G1913*G1914</f>
        <v>5791.94508825172</v>
      </c>
    </row>
    <row r="1916" customFormat="false" ht="17.15" hidden="false" customHeight="false" outlineLevel="0" collapsed="false">
      <c r="A1916" s="3" t="s">
        <v>530</v>
      </c>
      <c r="B1916" s="0" t="s">
        <v>109</v>
      </c>
      <c r="D1916" s="22" t="n">
        <f aca="false">asp_26</f>
        <v>1878.17486396824</v>
      </c>
      <c r="E1916" s="22" t="n">
        <f aca="false">D1916*(1+asp27_A)*(1+asp_adj)</f>
        <v>2065.99235036507</v>
      </c>
      <c r="F1916" s="22" t="n">
        <f aca="false">E1916*(1+asp28_A)</f>
        <v>2127.97212087602</v>
      </c>
      <c r="G1916" s="22" t="n">
        <f aca="false">F1916*(1+asp29_A)</f>
        <v>2170.53156329354</v>
      </c>
    </row>
    <row r="1917" customFormat="false" ht="15" hidden="false" customHeight="false" outlineLevel="0" collapsed="false">
      <c r="A1917" s="3" t="s">
        <v>531</v>
      </c>
      <c r="B1917" s="0" t="s">
        <v>69</v>
      </c>
      <c r="E1917" s="21" t="n">
        <f aca="false">E1916/D1916-1</f>
        <v>0.1</v>
      </c>
      <c r="F1917" s="21" t="n">
        <f aca="false">F1916/E1916-1</f>
        <v>0.03</v>
      </c>
      <c r="G1917" s="21" t="n">
        <f aca="false">G1916/F1916-1</f>
        <v>0.02</v>
      </c>
    </row>
    <row r="1918" customFormat="false" ht="15" hidden="false" customHeight="false" outlineLevel="0" collapsed="false">
      <c r="A1918" s="3" t="s">
        <v>532</v>
      </c>
      <c r="B1918" s="0" t="s">
        <v>35</v>
      </c>
      <c r="D1918" s="23" t="n">
        <f aca="false">fx_26</f>
        <v>31.6</v>
      </c>
      <c r="E1918" s="23" t="n">
        <f aca="false">fx</f>
        <v>32</v>
      </c>
      <c r="F1918" s="23" t="n">
        <f aca="false">fx</f>
        <v>32</v>
      </c>
      <c r="G1918" s="23" t="n">
        <f aca="false">fx</f>
        <v>32</v>
      </c>
    </row>
    <row r="1919" customFormat="false" ht="17.15" hidden="false" customHeight="false" outlineLevel="0" collapsed="false">
      <c r="A1919" s="3" t="s">
        <v>533</v>
      </c>
      <c r="B1919" s="0" t="s">
        <v>181</v>
      </c>
      <c r="D1919" s="23" t="n">
        <f aca="false">D1915*D1916*D1918/1000000</f>
        <v>270.25378</v>
      </c>
      <c r="E1919" s="23" t="n">
        <f aca="false">E1915*E1916*E1918/1000000</f>
        <v>341.645908954158</v>
      </c>
      <c r="F1919" s="23" t="n">
        <f aca="false">F1915*F1916*F1918/1000000</f>
        <v>372.564504087237</v>
      </c>
      <c r="G1919" s="23" t="n">
        <f aca="false">G1915*G1916*G1918/1000000</f>
        <v>402.291188061227</v>
      </c>
    </row>
    <row r="1920" customFormat="false" ht="17.15" hidden="false" customHeight="false" outlineLevel="0" collapsed="false">
      <c r="A1920" s="5" t="s">
        <v>534</v>
      </c>
    </row>
    <row r="1921" customFormat="false" ht="17.15" hidden="false" customHeight="false" outlineLevel="0" collapsed="false">
      <c r="A1921" s="0" t="s">
        <v>535</v>
      </c>
      <c r="B1921" s="0" t="s">
        <v>138</v>
      </c>
      <c r="D1921" s="25" t="n">
        <f aca="false">ai_26</f>
        <v>0.3</v>
      </c>
      <c r="E1921" s="25" t="n">
        <f aca="false">D1921*(1+aig27_A)*ai_adj</f>
        <v>0.48</v>
      </c>
      <c r="F1921" s="25" t="n">
        <f aca="false">E1921*(1+aig_L)*um28_A</f>
        <v>0.696</v>
      </c>
      <c r="G1921" s="25" t="n">
        <f aca="false">F1921/um28_A*(1+aig_L)*um29_A</f>
        <v>1.0092</v>
      </c>
    </row>
    <row r="1922" customFormat="false" ht="17.15" hidden="false" customHeight="false" outlineLevel="0" collapsed="false">
      <c r="A1922" s="0" t="s">
        <v>536</v>
      </c>
      <c r="B1922" s="0" t="s">
        <v>181</v>
      </c>
      <c r="D1922" s="23" t="n">
        <f aca="false">D1921*D1918</f>
        <v>9.48</v>
      </c>
      <c r="E1922" s="23" t="n">
        <f aca="false">E1921*E1918</f>
        <v>15.36</v>
      </c>
      <c r="F1922" s="23" t="n">
        <f aca="false">F1921*F1918</f>
        <v>22.272</v>
      </c>
      <c r="G1922" s="23" t="n">
        <f aca="false">G1921*G1918</f>
        <v>32.2944</v>
      </c>
    </row>
    <row r="1923" customFormat="false" ht="17.15" hidden="false" customHeight="false" outlineLevel="0" collapsed="false">
      <c r="A1923" s="0" t="s">
        <v>537</v>
      </c>
      <c r="B1923" s="0" t="s">
        <v>138</v>
      </c>
      <c r="D1923" s="25" t="n">
        <f aca="false">0</f>
        <v>0</v>
      </c>
      <c r="E1923" s="25" t="n">
        <f aca="false">int_27</f>
        <v>0</v>
      </c>
      <c r="F1923" s="25" t="n">
        <f aca="false">int28_A</f>
        <v>0.25</v>
      </c>
      <c r="G1923" s="25" t="n">
        <f aca="false">int29_A</f>
        <v>0.5</v>
      </c>
    </row>
    <row r="1924" customFormat="false" ht="17.15" hidden="false" customHeight="false" outlineLevel="0" collapsed="false">
      <c r="A1924" s="0" t="s">
        <v>538</v>
      </c>
      <c r="B1924" s="0" t="s">
        <v>181</v>
      </c>
      <c r="D1924" s="23" t="n">
        <f aca="false">D1923*D1918</f>
        <v>0</v>
      </c>
      <c r="E1924" s="23" t="n">
        <f aca="false">E1923*E1918</f>
        <v>0</v>
      </c>
      <c r="F1924" s="23" t="n">
        <f aca="false">F1923*F1918</f>
        <v>8</v>
      </c>
      <c r="G1924" s="23" t="n">
        <f aca="false">G1923*G1918</f>
        <v>16</v>
      </c>
    </row>
    <row r="1925" customFormat="false" ht="17.15" hidden="false" customHeight="false" outlineLevel="0" collapsed="false">
      <c r="A1925" s="3" t="s">
        <v>393</v>
      </c>
      <c r="B1925" s="0" t="s">
        <v>181</v>
      </c>
      <c r="C1925" s="23" t="n">
        <f aca="false">a25_rev</f>
        <v>237.553</v>
      </c>
      <c r="D1925" s="23" t="n">
        <f aca="false">D1919+D1922+D1924</f>
        <v>279.73378</v>
      </c>
      <c r="E1925" s="23" t="n">
        <f aca="false">E1919+E1922+E1924</f>
        <v>357.005908954158</v>
      </c>
      <c r="F1925" s="23" t="n">
        <f aca="false">F1919+F1922+F1924</f>
        <v>402.836504087237</v>
      </c>
      <c r="G1925" s="23" t="n">
        <f aca="false">G1919+G1922+G1924</f>
        <v>450.585588061227</v>
      </c>
      <c r="H1925" s="30" t="n">
        <f aca="false">G1925*(1+H1927)</f>
        <v>495.203224084546</v>
      </c>
      <c r="I1925" s="30" t="n">
        <f aca="false">H1925*(1+I1927)</f>
        <v>534.577190214366</v>
      </c>
      <c r="J1925" s="30" t="n">
        <f aca="false">I1925*(1+J1927)</f>
        <v>566.651821627228</v>
      </c>
      <c r="K1925" s="7" t="s">
        <v>539</v>
      </c>
    </row>
    <row r="1926" customFormat="false" ht="17.15" hidden="false" customHeight="false" outlineLevel="0" collapsed="false">
      <c r="A1926" s="0" t="s">
        <v>540</v>
      </c>
      <c r="B1926" s="0" t="s">
        <v>69</v>
      </c>
      <c r="D1926" s="21" t="n">
        <f aca="false">D1922/D1925</f>
        <v>0.0338893643806622</v>
      </c>
      <c r="E1926" s="21" t="n">
        <f aca="false">E1922/E1925</f>
        <v>0.0430244979557813</v>
      </c>
      <c r="F1926" s="21" t="n">
        <f aca="false">F1922/F1925</f>
        <v>0.0552879388387723</v>
      </c>
      <c r="G1926" s="21" t="n">
        <f aca="false">G1922/G1925</f>
        <v>0.0716720659862999</v>
      </c>
    </row>
    <row r="1927" customFormat="false" ht="15" hidden="false" customHeight="false" outlineLevel="0" collapsed="false">
      <c r="A1927" s="3" t="s">
        <v>541</v>
      </c>
      <c r="B1927" s="0" t="s">
        <v>69</v>
      </c>
      <c r="D1927" s="21" t="n">
        <f aca="false">D1925/C1925-1</f>
        <v>0.177563659478096</v>
      </c>
      <c r="E1927" s="21" t="n">
        <f aca="false">E1925/D1925-1</f>
        <v>0.276234528965926</v>
      </c>
      <c r="F1927" s="21" t="n">
        <f aca="false">F1925/E1925-1</f>
        <v>0.128374892357772</v>
      </c>
      <c r="G1927" s="21" t="n">
        <f aca="false">G1925/F1925-1</f>
        <v>0.118532167491082</v>
      </c>
      <c r="H1927" s="28" t="n">
        <f aca="false">$G1927+(fade_gA-$G1927)*1/3</f>
        <v>0.099021444994055</v>
      </c>
      <c r="I1927" s="28" t="n">
        <f aca="false">$G1927+(fade_gA-$G1927)*2/3</f>
        <v>0.0795107224970275</v>
      </c>
      <c r="J1927" s="28" t="n">
        <f aca="false">$G1927+(fade_gA-$G1927)*3/3</f>
        <v>0.06</v>
      </c>
    </row>
    <row r="1928" customFormat="false" ht="17.15" hidden="false" customHeight="false" outlineLevel="0" collapsed="false">
      <c r="A1928" s="5" t="s">
        <v>542</v>
      </c>
    </row>
    <row r="1929" customFormat="false" ht="15" hidden="false" customHeight="false" outlineLevel="0" collapsed="false">
      <c r="A1929" s="3" t="s">
        <v>543</v>
      </c>
      <c r="B1929" s="0" t="s">
        <v>181</v>
      </c>
      <c r="D1929" s="23" t="n">
        <f aca="false">da_tot26*da_sh</f>
        <v>56.172</v>
      </c>
      <c r="E1929" s="23" t="n">
        <f aca="false">D1929*(1+dag_27+dag_adj)</f>
        <v>62.91264</v>
      </c>
      <c r="F1929" s="23" t="n">
        <f aca="false">E1929*(1+dag_28+dag_adj)</f>
        <v>69.203904</v>
      </c>
      <c r="G1929" s="23" t="n">
        <f aca="false">F1929*(1+dag_29+dag_adj)</f>
        <v>74.74021632</v>
      </c>
    </row>
    <row r="1930" customFormat="false" ht="17.15" hidden="false" customHeight="false" outlineLevel="0" collapsed="false">
      <c r="A1930" s="3" t="s">
        <v>544</v>
      </c>
      <c r="B1930" s="0" t="s">
        <v>545</v>
      </c>
      <c r="D1930" s="23" t="n">
        <f aca="false">(D1925-a26_gp-D1929-(1-m_new)*(D1922+D1924))/D1915*1000</f>
        <v>27.9465727870208</v>
      </c>
      <c r="E1930" s="23" t="n">
        <f aca="false">D1930*(1+cc_g)</f>
        <v>28.5055042427612</v>
      </c>
      <c r="F1930" s="23" t="n">
        <f aca="false">E1930*(1+cc_g)</f>
        <v>29.0756143276165</v>
      </c>
      <c r="G1930" s="23" t="n">
        <f aca="false">F1930*(1+cc_g)</f>
        <v>29.6571266141688</v>
      </c>
      <c r="K1930" s="7" t="s">
        <v>546</v>
      </c>
    </row>
    <row r="1931" customFormat="false" ht="17.15" hidden="false" customHeight="false" outlineLevel="0" collapsed="false">
      <c r="A1931" s="3" t="s">
        <v>547</v>
      </c>
      <c r="B1931" s="0" t="s">
        <v>181</v>
      </c>
      <c r="D1931" s="23" t="n">
        <f aca="false">D1930*D1915/1000</f>
        <v>127.2556948</v>
      </c>
      <c r="E1931" s="23" t="n">
        <f aca="false">E1930*E1915/1000</f>
        <v>147.307976864815</v>
      </c>
      <c r="F1931" s="23" t="n">
        <f aca="false">F1930*F1915/1000</f>
        <v>159.079589887624</v>
      </c>
      <c r="G1931" s="23" t="n">
        <f aca="false">G1930*G1915/1000</f>
        <v>171.772448824594</v>
      </c>
    </row>
    <row r="1932" customFormat="false" ht="17.15" hidden="false" customHeight="false" outlineLevel="0" collapsed="false">
      <c r="A1932" s="3" t="s">
        <v>548</v>
      </c>
      <c r="B1932" s="0" t="s">
        <v>181</v>
      </c>
      <c r="D1932" s="23" t="n">
        <f aca="false">m_new*(D1922+D1924)</f>
        <v>4.266</v>
      </c>
      <c r="E1932" s="23" t="n">
        <f aca="false">m_new*(E1922+E1924)</f>
        <v>6.912</v>
      </c>
      <c r="F1932" s="23" t="n">
        <f aca="false">m_new*(F1922+F1924)</f>
        <v>13.6224</v>
      </c>
      <c r="G1932" s="23" t="n">
        <f aca="false">m_new*(G1922+G1924)</f>
        <v>21.73248</v>
      </c>
    </row>
    <row r="1933" customFormat="false" ht="15" hidden="false" customHeight="false" outlineLevel="0" collapsed="false">
      <c r="A1933" s="3" t="s">
        <v>411</v>
      </c>
      <c r="B1933" s="0" t="s">
        <v>181</v>
      </c>
      <c r="C1933" s="23" t="n">
        <f aca="false">a25_gp</f>
        <v>68.906</v>
      </c>
      <c r="D1933" s="23" t="n">
        <f aca="false">D1919-D1929-D1931+D1932</f>
        <v>91.0920852</v>
      </c>
      <c r="E1933" s="23" t="n">
        <f aca="false">E1919-E1929-E1931+E1932</f>
        <v>138.337292089343</v>
      </c>
      <c r="F1933" s="23" t="n">
        <f aca="false">F1919-F1929-F1931+F1932</f>
        <v>157.903410199612</v>
      </c>
      <c r="G1933" s="23" t="n">
        <f aca="false">G1919-G1929-G1931+G1932</f>
        <v>177.511002916633</v>
      </c>
    </row>
    <row r="1934" customFormat="false" ht="15" hidden="false" customHeight="false" outlineLevel="0" collapsed="false">
      <c r="A1934" s="3" t="s">
        <v>413</v>
      </c>
      <c r="B1934" s="0" t="s">
        <v>69</v>
      </c>
      <c r="C1934" s="15" t="n">
        <f aca="false">C1933/C1925</f>
        <v>0.290065795843454</v>
      </c>
      <c r="D1934" s="15" t="n">
        <f aca="false">D1933/D1925</f>
        <v>0.325638488136828</v>
      </c>
      <c r="E1934" s="15" t="n">
        <f aca="false">E1933/E1925</f>
        <v>0.387493003952231</v>
      </c>
      <c r="F1934" s="15" t="n">
        <f aca="false">F1933/F1925</f>
        <v>0.391978901111249</v>
      </c>
      <c r="G1934" s="15" t="n">
        <f aca="false">G1933/G1925</f>
        <v>0.39395623743854</v>
      </c>
    </row>
    <row r="1935" customFormat="false" ht="15" hidden="false" customHeight="false" outlineLevel="0" collapsed="false">
      <c r="A1935" s="3" t="s">
        <v>415</v>
      </c>
      <c r="B1935" s="0" t="s">
        <v>181</v>
      </c>
      <c r="C1935" s="23" t="n">
        <f aca="false">a25_opx</f>
        <v>25.056</v>
      </c>
      <c r="D1935" s="23" t="n">
        <f aca="false">a26_opx</f>
        <v>27.23586</v>
      </c>
      <c r="E1935" s="23" t="n">
        <f aca="false">D1935*(1+MAX(g_opx_min,phi*E1927))</f>
        <v>30.997602479041</v>
      </c>
      <c r="F1935" s="23" t="n">
        <f aca="false">E1935*(1+MAX(g_opx_min,phi*F1927))</f>
        <v>32.9872594198389</v>
      </c>
      <c r="G1935" s="23" t="n">
        <f aca="false">F1935*(1+MAX(g_opx_min,phi*G1927))</f>
        <v>34.942285099151</v>
      </c>
    </row>
    <row r="1936" customFormat="false" ht="15" hidden="false" customHeight="false" outlineLevel="0" collapsed="false">
      <c r="A1936" s="3" t="s">
        <v>418</v>
      </c>
      <c r="B1936" s="0" t="s">
        <v>181</v>
      </c>
      <c r="C1936" s="23" t="n">
        <f aca="false">C1933-C1935</f>
        <v>43.85</v>
      </c>
      <c r="D1936" s="23" t="n">
        <f aca="false">D1933-D1935</f>
        <v>63.8562252</v>
      </c>
      <c r="E1936" s="23" t="n">
        <f aca="false">E1933-E1935</f>
        <v>107.339689610302</v>
      </c>
      <c r="F1936" s="23" t="n">
        <f aca="false">F1933-F1935</f>
        <v>124.916150779773</v>
      </c>
      <c r="G1936" s="23" t="n">
        <f aca="false">G1933-G1935</f>
        <v>142.568717817482</v>
      </c>
    </row>
    <row r="1937" customFormat="false" ht="15" hidden="false" customHeight="false" outlineLevel="0" collapsed="false">
      <c r="A1937" s="3" t="s">
        <v>515</v>
      </c>
      <c r="B1937" s="0" t="s">
        <v>69</v>
      </c>
      <c r="C1937" s="15" t="n">
        <f aca="false">C1936/C1925</f>
        <v>0.184590386145408</v>
      </c>
      <c r="D1937" s="15" t="n">
        <f aca="false">D1936/D1925</f>
        <v>0.228274987740129</v>
      </c>
      <c r="E1937" s="15" t="n">
        <f aca="false">E1936/E1925</f>
        <v>0.300666422930511</v>
      </c>
      <c r="F1937" s="15" t="n">
        <f aca="false">F1936/F1925</f>
        <v>0.31009143787208</v>
      </c>
      <c r="G1937" s="15" t="n">
        <f aca="false">G1936/G1925</f>
        <v>0.316407629526999</v>
      </c>
    </row>
    <row r="1938" customFormat="false" ht="15" hidden="false" customHeight="false" outlineLevel="0" collapsed="false">
      <c r="A1938" s="3" t="s">
        <v>421</v>
      </c>
      <c r="B1938" s="0" t="s">
        <v>181</v>
      </c>
      <c r="C1938" s="23" t="n">
        <f aca="false">a25_nonop</f>
        <v>5.805</v>
      </c>
      <c r="D1938" s="23" t="n">
        <f aca="false">a26_nonop</f>
        <v>38.372</v>
      </c>
      <c r="E1938" s="23" t="n">
        <f aca="false">nonop_f</f>
        <v>4</v>
      </c>
      <c r="F1938" s="23" t="n">
        <f aca="false">nonop_f</f>
        <v>4</v>
      </c>
      <c r="G1938" s="23" t="n">
        <f aca="false">nonop_f</f>
        <v>4</v>
      </c>
    </row>
    <row r="1939" customFormat="false" ht="15" hidden="false" customHeight="false" outlineLevel="0" collapsed="false">
      <c r="A1939" s="3" t="s">
        <v>423</v>
      </c>
      <c r="B1939" s="0" t="s">
        <v>181</v>
      </c>
      <c r="C1939" s="23" t="n">
        <f aca="false">C1936+C1938</f>
        <v>49.655</v>
      </c>
      <c r="D1939" s="23" t="n">
        <f aca="false">D1936+D1938</f>
        <v>102.2282252</v>
      </c>
      <c r="E1939" s="23" t="n">
        <f aca="false">E1936+E1938</f>
        <v>111.339689610302</v>
      </c>
      <c r="F1939" s="23" t="n">
        <f aca="false">F1936+F1938</f>
        <v>128.916150779773</v>
      </c>
      <c r="G1939" s="23" t="n">
        <f aca="false">G1936+G1938</f>
        <v>146.568717817482</v>
      </c>
    </row>
    <row r="1940" customFormat="false" ht="15" hidden="false" customHeight="false" outlineLevel="0" collapsed="false">
      <c r="A1940" s="3" t="s">
        <v>425</v>
      </c>
      <c r="B1940" s="0" t="s">
        <v>181</v>
      </c>
      <c r="C1940" s="23" t="n">
        <f aca="false">a25_tax</f>
        <v>7.939</v>
      </c>
      <c r="D1940" s="23" t="n">
        <f aca="false">a26_tax</f>
        <v>10.493828284</v>
      </c>
      <c r="E1940" s="23" t="n">
        <f aca="false">E1939*tax_lo</f>
        <v>13.3607627532363</v>
      </c>
      <c r="F1940" s="23" t="n">
        <f aca="false">F1939*tax_lo</f>
        <v>15.4699380935728</v>
      </c>
      <c r="G1940" s="23" t="n">
        <f aca="false">G1939*tax_lo</f>
        <v>17.5882461380978</v>
      </c>
    </row>
    <row r="1941" customFormat="false" ht="17.15" hidden="false" customHeight="false" outlineLevel="0" collapsed="false">
      <c r="A1941" s="3" t="s">
        <v>549</v>
      </c>
      <c r="B1941" s="0" t="s">
        <v>181</v>
      </c>
      <c r="C1941" s="23" t="n">
        <f aca="false">a25_mi</f>
        <v>0</v>
      </c>
      <c r="D1941" s="23" t="n">
        <f aca="false">a26_mi</f>
        <v>-0.134999999999987</v>
      </c>
      <c r="E1941" s="23" t="n">
        <f aca="false">0</f>
        <v>0</v>
      </c>
      <c r="F1941" s="23" t="n">
        <f aca="false">0</f>
        <v>0</v>
      </c>
      <c r="G1941" s="23" t="n">
        <f aca="false">0</f>
        <v>0</v>
      </c>
      <c r="K1941" s="7" t="s">
        <v>550</v>
      </c>
    </row>
    <row r="1942" customFormat="false" ht="15" hidden="false" customHeight="false" outlineLevel="0" collapsed="false">
      <c r="A1942" s="3" t="s">
        <v>428</v>
      </c>
      <c r="B1942" s="0" t="s">
        <v>181</v>
      </c>
      <c r="C1942" s="23" t="n">
        <f aca="false">C1939-C1940-C1941</f>
        <v>41.716</v>
      </c>
      <c r="D1942" s="23" t="n">
        <f aca="false">D1939-D1940-D1941</f>
        <v>91.869396916</v>
      </c>
      <c r="E1942" s="23" t="n">
        <f aca="false">E1939-E1940-E1941</f>
        <v>97.9789268570661</v>
      </c>
      <c r="F1942" s="23" t="n">
        <f aca="false">F1939-F1940-F1941</f>
        <v>113.446212686201</v>
      </c>
      <c r="G1942" s="23" t="n">
        <f aca="false">G1939-G1940-G1941</f>
        <v>128.980471679384</v>
      </c>
      <c r="H1942" s="30" t="n">
        <f aca="false">H1925*H1946</f>
        <v>141.752304361091</v>
      </c>
      <c r="I1942" s="30" t="n">
        <f aca="false">I1925*I1946</f>
        <v>153.02313249646</v>
      </c>
      <c r="J1942" s="30" t="n">
        <f aca="false">J1925*J1946</f>
        <v>162.204520446248</v>
      </c>
    </row>
    <row r="1943" customFormat="false" ht="15" hidden="false" customHeight="false" outlineLevel="0" collapsed="false">
      <c r="A1943" s="3" t="s">
        <v>551</v>
      </c>
      <c r="B1943" s="3" t="s">
        <v>250</v>
      </c>
      <c r="C1943" s="9" t="n">
        <f aca="false">a25_sh</f>
        <v>12.4898203592814</v>
      </c>
      <c r="D1943" s="9" t="n">
        <f aca="false">a26_sh</f>
        <v>12.4754339027235</v>
      </c>
      <c r="E1943" s="9" t="n">
        <f aca="false">q_sh*(1+sh_g)</f>
        <v>12.45</v>
      </c>
      <c r="F1943" s="9" t="n">
        <f aca="false">E1943*(1+sh_g)</f>
        <v>12.45</v>
      </c>
      <c r="G1943" s="9" t="n">
        <f aca="false">F1943*(1+sh_g)</f>
        <v>12.45</v>
      </c>
      <c r="H1943" s="32" t="n">
        <f aca="false">G1943*(1+sh_g)</f>
        <v>12.45</v>
      </c>
      <c r="I1943" s="32" t="n">
        <f aca="false">H1943*(1+sh_g)</f>
        <v>12.45</v>
      </c>
      <c r="J1943" s="32" t="n">
        <f aca="false">I1943*(1+sh_g)</f>
        <v>12.45</v>
      </c>
    </row>
    <row r="1944" customFormat="false" ht="17.15" hidden="false" customHeight="false" outlineLevel="0" collapsed="false">
      <c r="A1944" s="0" t="s">
        <v>434</v>
      </c>
      <c r="B1944" s="0" t="s">
        <v>260</v>
      </c>
      <c r="C1944" s="23" t="n">
        <f aca="false">C1942/C1943</f>
        <v>3.34</v>
      </c>
      <c r="D1944" s="23" t="n">
        <f aca="false">D1942/D1943</f>
        <v>7.36402418002826</v>
      </c>
      <c r="E1944" s="23" t="n">
        <f aca="false">E1942/E1943</f>
        <v>7.8697933218527</v>
      </c>
      <c r="F1944" s="23" t="n">
        <f aca="false">F1942/F1943</f>
        <v>9.11214559728518</v>
      </c>
      <c r="G1944" s="23" t="n">
        <f aca="false">G1942/G1943</f>
        <v>10.359877243324</v>
      </c>
      <c r="H1944" s="30" t="n">
        <f aca="false">H1942/H1943</f>
        <v>11.385727257919</v>
      </c>
      <c r="I1944" s="30" t="n">
        <f aca="false">I1942/I1943</f>
        <v>12.2910146583502</v>
      </c>
      <c r="J1944" s="30" t="n">
        <f aca="false">J1942/J1943</f>
        <v>13.0284755378512</v>
      </c>
    </row>
    <row r="1945" customFormat="false" ht="17.15" hidden="false" customHeight="false" outlineLevel="0" collapsed="false">
      <c r="A1945" s="0" t="s">
        <v>552</v>
      </c>
      <c r="B1945" s="0" t="s">
        <v>69</v>
      </c>
      <c r="D1945" s="21" t="n">
        <f aca="false">D1944/C1944-1</f>
        <v>1.2047976586911</v>
      </c>
      <c r="E1945" s="21" t="n">
        <f aca="false">E1944/D1944-1</f>
        <v>0.0686810810855449</v>
      </c>
      <c r="F1945" s="21" t="n">
        <f aca="false">F1944/E1944-1</f>
        <v>0.157863392928344</v>
      </c>
      <c r="G1945" s="21" t="n">
        <f aca="false">G1944/F1944-1</f>
        <v>0.136930609011623</v>
      </c>
      <c r="H1945" s="28" t="n">
        <f aca="false">H1944/G1944-1</f>
        <v>0.099021444994055</v>
      </c>
      <c r="I1945" s="28" t="n">
        <f aca="false">I1944/H1944-1</f>
        <v>0.0795107224970275</v>
      </c>
      <c r="J1945" s="28" t="n">
        <f aca="false">J1944/I1944-1</f>
        <v>0.0600000000000001</v>
      </c>
    </row>
    <row r="1946" customFormat="false" ht="17.15" hidden="false" customHeight="false" outlineLevel="0" collapsed="false">
      <c r="A1946" s="3" t="s">
        <v>553</v>
      </c>
      <c r="B1946" s="0" t="s">
        <v>69</v>
      </c>
      <c r="C1946" s="15" t="n">
        <f aca="false">C1942/C1925</f>
        <v>0.175607127672562</v>
      </c>
      <c r="D1946" s="15" t="n">
        <f aca="false">D1942/D1925</f>
        <v>0.328417243409073</v>
      </c>
      <c r="E1946" s="15" t="n">
        <f aca="false">E1942/E1925</f>
        <v>0.274446232960383</v>
      </c>
      <c r="F1946" s="15" t="n">
        <f aca="false">F1942/F1925</f>
        <v>0.281618501638156</v>
      </c>
      <c r="G1946" s="15" t="n">
        <f aca="false">G1942/G1925</f>
        <v>0.286250770323923</v>
      </c>
      <c r="H1946" s="29" t="n">
        <f aca="false">$G1946+($G$1946*1-$G1946)*1/3</f>
        <v>0.286250770323923</v>
      </c>
      <c r="I1946" s="29" t="n">
        <f aca="false">$G1946+($G$1946*1-$G1946)*2/3</f>
        <v>0.286250770323923</v>
      </c>
      <c r="J1946" s="29" t="n">
        <f aca="false">$G1946+($G$1946*1-$G1946)*3/3</f>
        <v>0.286250770323923</v>
      </c>
    </row>
    <row r="1949" customFormat="false" ht="17.15" hidden="false" customHeight="false" outlineLevel="0" collapsed="false">
      <c r="A1949" s="1" t="s">
        <v>886</v>
      </c>
    </row>
    <row r="1950" customFormat="false" ht="17.15" hidden="false" customHeight="false" outlineLevel="0" collapsed="false">
      <c r="A1950" s="4" t="s">
        <v>24</v>
      </c>
      <c r="B1950" s="4" t="s">
        <v>25</v>
      </c>
      <c r="C1950" s="16" t="s">
        <v>387</v>
      </c>
      <c r="D1950" s="16" t="s">
        <v>505</v>
      </c>
      <c r="E1950" s="16" t="s">
        <v>467</v>
      </c>
      <c r="F1950" s="16" t="s">
        <v>468</v>
      </c>
      <c r="G1950" s="16" t="s">
        <v>469</v>
      </c>
      <c r="H1950" s="16" t="s">
        <v>506</v>
      </c>
      <c r="I1950" s="16" t="s">
        <v>507</v>
      </c>
      <c r="J1950" s="16" t="s">
        <v>508</v>
      </c>
      <c r="K1950" s="4" t="s">
        <v>345</v>
      </c>
    </row>
    <row r="1951" customFormat="false" ht="17.15" hidden="false" customHeight="false" outlineLevel="0" collapsed="false">
      <c r="A1951" s="5" t="s">
        <v>526</v>
      </c>
    </row>
    <row r="1952" customFormat="false" ht="17.15" hidden="false" customHeight="false" outlineLevel="0" collapsed="false">
      <c r="A1952" s="3" t="s">
        <v>527</v>
      </c>
      <c r="B1952" s="3" t="s">
        <v>64</v>
      </c>
      <c r="D1952" s="22" t="n">
        <f aca="false">cap_26</f>
        <v>5230.46851955216</v>
      </c>
      <c r="E1952" s="22" t="n">
        <f aca="false">D1952*(1+capg27)*cap_adj</f>
        <v>5439.68726033425</v>
      </c>
      <c r="F1952" s="22" t="n">
        <f aca="false">E1952*(1+capg28)</f>
        <v>5820.46536855765</v>
      </c>
      <c r="G1952" s="22" t="n">
        <f aca="false">F1952*(1+capg29)</f>
        <v>6227.89794435668</v>
      </c>
    </row>
    <row r="1953" customFormat="false" ht="15" hidden="false" customHeight="false" outlineLevel="0" collapsed="false">
      <c r="A1953" s="3" t="s">
        <v>528</v>
      </c>
      <c r="B1953" s="0" t="s">
        <v>69</v>
      </c>
      <c r="D1953" s="21" t="n">
        <f aca="false">a26_ship/cap_26</f>
        <v>0.870578781414787</v>
      </c>
      <c r="E1953" s="21" t="n">
        <f aca="false">MIN(0.98,ut27_B+ut_adj)</f>
        <v>0.9</v>
      </c>
      <c r="F1953" s="21" t="n">
        <f aca="false">MIN(0.98,ut28_B+ut_adj)</f>
        <v>0.87</v>
      </c>
      <c r="G1953" s="21" t="n">
        <f aca="false">MIN(0.98,ut29_B+ut_adj)</f>
        <v>0.88</v>
      </c>
    </row>
    <row r="1954" customFormat="false" ht="17.15" hidden="false" customHeight="false" outlineLevel="0" collapsed="false">
      <c r="A1954" s="3" t="s">
        <v>529</v>
      </c>
      <c r="B1954" s="3" t="s">
        <v>64</v>
      </c>
      <c r="D1954" s="22" t="n">
        <f aca="false">D1952*D1953</f>
        <v>4553.53490998013</v>
      </c>
      <c r="E1954" s="22" t="n">
        <f aca="false">E1952*E1953</f>
        <v>4895.71853430083</v>
      </c>
      <c r="F1954" s="22" t="n">
        <f aca="false">F1952*F1953</f>
        <v>5063.80487064515</v>
      </c>
      <c r="G1954" s="22" t="n">
        <f aca="false">G1952*G1953</f>
        <v>5480.55019103388</v>
      </c>
    </row>
    <row r="1955" customFormat="false" ht="17.15" hidden="false" customHeight="false" outlineLevel="0" collapsed="false">
      <c r="A1955" s="3" t="s">
        <v>530</v>
      </c>
      <c r="B1955" s="0" t="s">
        <v>109</v>
      </c>
      <c r="D1955" s="22" t="n">
        <f aca="false">asp_26</f>
        <v>1878.17486396824</v>
      </c>
      <c r="E1955" s="22" t="n">
        <f aca="false">D1955*(1+asp27_B)*(1+asp_adj)</f>
        <v>1972.08360716666</v>
      </c>
      <c r="F1955" s="22" t="n">
        <f aca="false">E1955*(1+asp28_B)</f>
        <v>1972.08360716666</v>
      </c>
      <c r="G1955" s="22" t="n">
        <f aca="false">F1955*(1+asp29_B)</f>
        <v>1972.08360716666</v>
      </c>
    </row>
    <row r="1956" customFormat="false" ht="15" hidden="false" customHeight="false" outlineLevel="0" collapsed="false">
      <c r="A1956" s="3" t="s">
        <v>531</v>
      </c>
      <c r="B1956" s="0" t="s">
        <v>69</v>
      </c>
      <c r="E1956" s="21" t="n">
        <f aca="false">E1955/D1955-1</f>
        <v>0.05</v>
      </c>
      <c r="F1956" s="21" t="n">
        <f aca="false">F1955/E1955-1</f>
        <v>0</v>
      </c>
      <c r="G1956" s="21" t="n">
        <f aca="false">G1955/F1955-1</f>
        <v>0</v>
      </c>
    </row>
    <row r="1957" customFormat="false" ht="15" hidden="false" customHeight="false" outlineLevel="0" collapsed="false">
      <c r="A1957" s="3" t="s">
        <v>532</v>
      </c>
      <c r="B1957" s="0" t="s">
        <v>35</v>
      </c>
      <c r="D1957" s="23" t="n">
        <f aca="false">fx_26</f>
        <v>31.6</v>
      </c>
      <c r="E1957" s="23" t="n">
        <f aca="false">fx</f>
        <v>32</v>
      </c>
      <c r="F1957" s="23" t="n">
        <f aca="false">fx</f>
        <v>32</v>
      </c>
      <c r="G1957" s="23" t="n">
        <f aca="false">fx</f>
        <v>32</v>
      </c>
    </row>
    <row r="1958" customFormat="false" ht="17.15" hidden="false" customHeight="false" outlineLevel="0" collapsed="false">
      <c r="A1958" s="3" t="s">
        <v>533</v>
      </c>
      <c r="B1958" s="0" t="s">
        <v>181</v>
      </c>
      <c r="D1958" s="23" t="n">
        <f aca="false">D1954*D1955*D1957/1000000</f>
        <v>270.25378</v>
      </c>
      <c r="E1958" s="23" t="n">
        <f aca="false">E1954*E1955*E1957/1000000</f>
        <v>308.952520537492</v>
      </c>
      <c r="F1958" s="23" t="n">
        <f aca="false">F1954*F1955*F1957/1000000</f>
        <v>319.559890409279</v>
      </c>
      <c r="G1958" s="23" t="n">
        <f aca="false">G1954*G1955*G1957/1000000</f>
        <v>345.859302079744</v>
      </c>
    </row>
    <row r="1959" customFormat="false" ht="17.15" hidden="false" customHeight="false" outlineLevel="0" collapsed="false">
      <c r="A1959" s="5" t="s">
        <v>534</v>
      </c>
    </row>
    <row r="1960" customFormat="false" ht="17.15" hidden="false" customHeight="false" outlineLevel="0" collapsed="false">
      <c r="A1960" s="0" t="s">
        <v>535</v>
      </c>
      <c r="B1960" s="0" t="s">
        <v>138</v>
      </c>
      <c r="D1960" s="25" t="n">
        <f aca="false">ai_26</f>
        <v>0.3</v>
      </c>
      <c r="E1960" s="25" t="n">
        <f aca="false">D1960*(1+aig27_B)*ai_adj</f>
        <v>0.42</v>
      </c>
      <c r="F1960" s="25" t="n">
        <f aca="false">E1960*(1+aig_L)*um28_B</f>
        <v>0.4872</v>
      </c>
      <c r="G1960" s="25" t="n">
        <f aca="false">F1960/um28_B*(1+aig_L)*um29_B</f>
        <v>0.7505925</v>
      </c>
    </row>
    <row r="1961" customFormat="false" ht="17.15" hidden="false" customHeight="false" outlineLevel="0" collapsed="false">
      <c r="A1961" s="0" t="s">
        <v>536</v>
      </c>
      <c r="B1961" s="0" t="s">
        <v>181</v>
      </c>
      <c r="D1961" s="23" t="n">
        <f aca="false">D1960*D1957</f>
        <v>9.48</v>
      </c>
      <c r="E1961" s="23" t="n">
        <f aca="false">E1960*E1957</f>
        <v>13.44</v>
      </c>
      <c r="F1961" s="23" t="n">
        <f aca="false">F1960*F1957</f>
        <v>15.5904</v>
      </c>
      <c r="G1961" s="23" t="n">
        <f aca="false">G1960*G1957</f>
        <v>24.01896</v>
      </c>
    </row>
    <row r="1962" customFormat="false" ht="17.15" hidden="false" customHeight="false" outlineLevel="0" collapsed="false">
      <c r="A1962" s="0" t="s">
        <v>537</v>
      </c>
      <c r="B1962" s="0" t="s">
        <v>138</v>
      </c>
      <c r="D1962" s="25" t="n">
        <f aca="false">0</f>
        <v>0</v>
      </c>
      <c r="E1962" s="25" t="n">
        <f aca="false">int_27</f>
        <v>0</v>
      </c>
      <c r="F1962" s="25" t="n">
        <f aca="false">int28_B</f>
        <v>0.12</v>
      </c>
      <c r="G1962" s="25" t="n">
        <f aca="false">int29_B</f>
        <v>0.3</v>
      </c>
    </row>
    <row r="1963" customFormat="false" ht="17.15" hidden="false" customHeight="false" outlineLevel="0" collapsed="false">
      <c r="A1963" s="0" t="s">
        <v>538</v>
      </c>
      <c r="B1963" s="0" t="s">
        <v>181</v>
      </c>
      <c r="D1963" s="23" t="n">
        <f aca="false">D1962*D1957</f>
        <v>0</v>
      </c>
      <c r="E1963" s="23" t="n">
        <f aca="false">E1962*E1957</f>
        <v>0</v>
      </c>
      <c r="F1963" s="23" t="n">
        <f aca="false">F1962*F1957</f>
        <v>3.84</v>
      </c>
      <c r="G1963" s="23" t="n">
        <f aca="false">G1962*G1957</f>
        <v>9.6</v>
      </c>
    </row>
    <row r="1964" customFormat="false" ht="17.15" hidden="false" customHeight="false" outlineLevel="0" collapsed="false">
      <c r="A1964" s="3" t="s">
        <v>393</v>
      </c>
      <c r="B1964" s="0" t="s">
        <v>181</v>
      </c>
      <c r="C1964" s="23" t="n">
        <f aca="false">a25_rev</f>
        <v>237.553</v>
      </c>
      <c r="D1964" s="23" t="n">
        <f aca="false">D1958+D1961+D1963</f>
        <v>279.73378</v>
      </c>
      <c r="E1964" s="23" t="n">
        <f aca="false">E1958+E1961+E1963</f>
        <v>322.392520537492</v>
      </c>
      <c r="F1964" s="23" t="n">
        <f aca="false">F1958+F1961+F1963</f>
        <v>338.990290409279</v>
      </c>
      <c r="G1964" s="23" t="n">
        <f aca="false">G1958+G1961+G1963</f>
        <v>379.478262079744</v>
      </c>
      <c r="H1964" s="30" t="n">
        <f aca="false">G1964*(1+H1966)</f>
        <v>414.75379367548</v>
      </c>
      <c r="I1964" s="30" t="n">
        <f aca="false">H1964*(1+I1966)</f>
        <v>442.326206375962</v>
      </c>
      <c r="J1964" s="30" t="n">
        <f aca="false">I1964*(1+J1966)</f>
        <v>460.019254631001</v>
      </c>
      <c r="K1964" s="7" t="s">
        <v>539</v>
      </c>
    </row>
    <row r="1965" customFormat="false" ht="17.15" hidden="false" customHeight="false" outlineLevel="0" collapsed="false">
      <c r="A1965" s="0" t="s">
        <v>540</v>
      </c>
      <c r="B1965" s="0" t="s">
        <v>69</v>
      </c>
      <c r="D1965" s="21" t="n">
        <f aca="false">D1961/D1964</f>
        <v>0.0338893643806622</v>
      </c>
      <c r="E1965" s="21" t="n">
        <f aca="false">E1961/E1964</f>
        <v>0.0416883120538679</v>
      </c>
      <c r="F1965" s="21" t="n">
        <f aca="false">F1961/F1964</f>
        <v>0.0459906977901254</v>
      </c>
      <c r="G1965" s="21" t="n">
        <f aca="false">G1961/G1964</f>
        <v>0.0632946927404042</v>
      </c>
    </row>
    <row r="1966" customFormat="false" ht="15" hidden="false" customHeight="false" outlineLevel="0" collapsed="false">
      <c r="A1966" s="3" t="s">
        <v>541</v>
      </c>
      <c r="B1966" s="0" t="s">
        <v>69</v>
      </c>
      <c r="D1966" s="21" t="n">
        <f aca="false">D1964/C1964-1</f>
        <v>0.177563659478096</v>
      </c>
      <c r="E1966" s="21" t="n">
        <f aca="false">E1964/D1964-1</f>
        <v>0.152497637351814</v>
      </c>
      <c r="F1966" s="21" t="n">
        <f aca="false">F1964/E1964-1</f>
        <v>0.0514831108492078</v>
      </c>
      <c r="G1966" s="21" t="n">
        <f aca="false">G1964/F1964-1</f>
        <v>0.119436965647547</v>
      </c>
      <c r="H1966" s="28" t="n">
        <f aca="false">$G1966+(fade_gB-$G1966)*1/3</f>
        <v>0.0929579770983645</v>
      </c>
      <c r="I1966" s="28" t="n">
        <f aca="false">$G1966+(fade_gB-$G1966)*2/3</f>
        <v>0.0664789885491822</v>
      </c>
      <c r="J1966" s="28" t="n">
        <f aca="false">$G1966+(fade_gB-$G1966)*3/3</f>
        <v>0.04</v>
      </c>
    </row>
    <row r="1967" customFormat="false" ht="17.15" hidden="false" customHeight="false" outlineLevel="0" collapsed="false">
      <c r="A1967" s="5" t="s">
        <v>542</v>
      </c>
    </row>
    <row r="1968" customFormat="false" ht="15" hidden="false" customHeight="false" outlineLevel="0" collapsed="false">
      <c r="A1968" s="3" t="s">
        <v>543</v>
      </c>
      <c r="B1968" s="0" t="s">
        <v>181</v>
      </c>
      <c r="D1968" s="23" t="n">
        <f aca="false">da_tot26*da_sh</f>
        <v>56.172</v>
      </c>
      <c r="E1968" s="23" t="n">
        <f aca="false">D1968*(1+dag_27+dag_adj)</f>
        <v>62.91264</v>
      </c>
      <c r="F1968" s="23" t="n">
        <f aca="false">E1968*(1+dag_28+dag_adj)</f>
        <v>69.203904</v>
      </c>
      <c r="G1968" s="23" t="n">
        <f aca="false">F1968*(1+dag_29+dag_adj)</f>
        <v>74.74021632</v>
      </c>
    </row>
    <row r="1969" customFormat="false" ht="17.15" hidden="false" customHeight="false" outlineLevel="0" collapsed="false">
      <c r="A1969" s="3" t="s">
        <v>544</v>
      </c>
      <c r="B1969" s="0" t="s">
        <v>545</v>
      </c>
      <c r="D1969" s="23" t="n">
        <f aca="false">(D1964-a26_gp-D1968-(1-m_new)*(D1961+D1963))/D1954*1000</f>
        <v>27.9465727870208</v>
      </c>
      <c r="E1969" s="23" t="n">
        <f aca="false">D1969*(1+cc_g)</f>
        <v>28.5055042427612</v>
      </c>
      <c r="F1969" s="23" t="n">
        <f aca="false">E1969*(1+cc_g)</f>
        <v>29.0756143276165</v>
      </c>
      <c r="G1969" s="23" t="n">
        <f aca="false">F1969*(1+cc_g)</f>
        <v>29.6571266141688</v>
      </c>
      <c r="K1969" s="7" t="s">
        <v>546</v>
      </c>
    </row>
    <row r="1970" customFormat="false" ht="17.15" hidden="false" customHeight="false" outlineLevel="0" collapsed="false">
      <c r="A1970" s="3" t="s">
        <v>547</v>
      </c>
      <c r="B1970" s="0" t="s">
        <v>181</v>
      </c>
      <c r="D1970" s="23" t="n">
        <f aca="false">D1969*D1954/1000</f>
        <v>127.2556948</v>
      </c>
      <c r="E1970" s="23" t="n">
        <f aca="false">E1969*E1954/1000</f>
        <v>139.554925450877</v>
      </c>
      <c r="F1970" s="23" t="n">
        <f aca="false">F1969*F1954/1000</f>
        <v>147.233237449184</v>
      </c>
      <c r="G1970" s="23" t="n">
        <f aca="false">G1969*G1954/1000</f>
        <v>162.537370930799</v>
      </c>
    </row>
    <row r="1971" customFormat="false" ht="17.15" hidden="false" customHeight="false" outlineLevel="0" collapsed="false">
      <c r="A1971" s="3" t="s">
        <v>548</v>
      </c>
      <c r="B1971" s="0" t="s">
        <v>181</v>
      </c>
      <c r="D1971" s="23" t="n">
        <f aca="false">m_new*(D1961+D1963)</f>
        <v>4.266</v>
      </c>
      <c r="E1971" s="23" t="n">
        <f aca="false">m_new*(E1961+E1963)</f>
        <v>6.048</v>
      </c>
      <c r="F1971" s="23" t="n">
        <f aca="false">m_new*(F1961+F1963)</f>
        <v>8.74368</v>
      </c>
      <c r="G1971" s="23" t="n">
        <f aca="false">m_new*(G1961+G1963)</f>
        <v>15.128532</v>
      </c>
    </row>
    <row r="1972" customFormat="false" ht="15" hidden="false" customHeight="false" outlineLevel="0" collapsed="false">
      <c r="A1972" s="3" t="s">
        <v>411</v>
      </c>
      <c r="B1972" s="0" t="s">
        <v>181</v>
      </c>
      <c r="C1972" s="23" t="n">
        <f aca="false">a25_gp</f>
        <v>68.906</v>
      </c>
      <c r="D1972" s="23" t="n">
        <f aca="false">D1958-D1968-D1970+D1971</f>
        <v>91.0920852</v>
      </c>
      <c r="E1972" s="23" t="n">
        <f aca="false">E1958-E1968-E1970+E1971</f>
        <v>112.532955086615</v>
      </c>
      <c r="F1972" s="23" t="n">
        <f aca="false">F1958-F1968-F1970+F1971</f>
        <v>111.866428960095</v>
      </c>
      <c r="G1972" s="23" t="n">
        <f aca="false">G1958-G1968-G1970+G1971</f>
        <v>123.710246828945</v>
      </c>
    </row>
    <row r="1973" customFormat="false" ht="15" hidden="false" customHeight="false" outlineLevel="0" collapsed="false">
      <c r="A1973" s="3" t="s">
        <v>413</v>
      </c>
      <c r="B1973" s="0" t="s">
        <v>69</v>
      </c>
      <c r="C1973" s="15" t="n">
        <f aca="false">C1972/C1964</f>
        <v>0.290065795843454</v>
      </c>
      <c r="D1973" s="15" t="n">
        <f aca="false">D1972/D1964</f>
        <v>0.325638488136828</v>
      </c>
      <c r="E1973" s="15" t="n">
        <f aca="false">E1972/E1964</f>
        <v>0.349055725297226</v>
      </c>
      <c r="F1973" s="15" t="n">
        <f aca="false">F1972/F1964</f>
        <v>0.32999891774196</v>
      </c>
      <c r="G1973" s="15" t="n">
        <f aca="false">G1972/G1964</f>
        <v>0.326000878550847</v>
      </c>
    </row>
    <row r="1974" customFormat="false" ht="15" hidden="false" customHeight="false" outlineLevel="0" collapsed="false">
      <c r="A1974" s="3" t="s">
        <v>415</v>
      </c>
      <c r="B1974" s="0" t="s">
        <v>181</v>
      </c>
      <c r="C1974" s="23" t="n">
        <f aca="false">a25_opx</f>
        <v>25.056</v>
      </c>
      <c r="D1974" s="23" t="n">
        <f aca="false">a26_opx</f>
        <v>27.23586</v>
      </c>
      <c r="E1974" s="23" t="n">
        <f aca="false">D1974*(1+MAX(g_opx_min,phi*E1966))</f>
        <v>29.3125621506224</v>
      </c>
      <c r="F1974" s="23" t="n">
        <f aca="false">E1974*(1+MAX(g_opx_min,phi*F1966))</f>
        <v>30.1919390151411</v>
      </c>
      <c r="G1974" s="23" t="n">
        <f aca="false">F1974*(1+MAX(g_opx_min,phi*G1966))</f>
        <v>31.9949558066332</v>
      </c>
    </row>
    <row r="1975" customFormat="false" ht="15" hidden="false" customHeight="false" outlineLevel="0" collapsed="false">
      <c r="A1975" s="3" t="s">
        <v>418</v>
      </c>
      <c r="B1975" s="0" t="s">
        <v>181</v>
      </c>
      <c r="C1975" s="23" t="n">
        <f aca="false">C1972-C1974</f>
        <v>43.85</v>
      </c>
      <c r="D1975" s="23" t="n">
        <f aca="false">D1972-D1974</f>
        <v>63.8562252</v>
      </c>
      <c r="E1975" s="23" t="n">
        <f aca="false">E1972-E1974</f>
        <v>83.2203929359927</v>
      </c>
      <c r="F1975" s="23" t="n">
        <f aca="false">F1972-F1974</f>
        <v>81.6744899449539</v>
      </c>
      <c r="G1975" s="23" t="n">
        <f aca="false">G1972-G1974</f>
        <v>91.7152910223122</v>
      </c>
    </row>
    <row r="1976" customFormat="false" ht="15" hidden="false" customHeight="false" outlineLevel="0" collapsed="false">
      <c r="A1976" s="3" t="s">
        <v>515</v>
      </c>
      <c r="B1976" s="0" t="s">
        <v>69</v>
      </c>
      <c r="C1976" s="15" t="n">
        <f aca="false">C1975/C1964</f>
        <v>0.184590386145408</v>
      </c>
      <c r="D1976" s="15" t="n">
        <f aca="false">D1975/D1964</f>
        <v>0.228274987740129</v>
      </c>
      <c r="E1976" s="15" t="n">
        <f aca="false">E1975/E1964</f>
        <v>0.258133758181635</v>
      </c>
      <c r="F1976" s="15" t="n">
        <f aca="false">F1975/F1964</f>
        <v>0.240934599767871</v>
      </c>
      <c r="G1976" s="15" t="n">
        <f aca="false">G1975/G1964</f>
        <v>0.241687865122137</v>
      </c>
    </row>
    <row r="1977" customFormat="false" ht="15" hidden="false" customHeight="false" outlineLevel="0" collapsed="false">
      <c r="A1977" s="3" t="s">
        <v>421</v>
      </c>
      <c r="B1977" s="0" t="s">
        <v>181</v>
      </c>
      <c r="C1977" s="23" t="n">
        <f aca="false">a25_nonop</f>
        <v>5.805</v>
      </c>
      <c r="D1977" s="23" t="n">
        <f aca="false">a26_nonop</f>
        <v>38.372</v>
      </c>
      <c r="E1977" s="23" t="n">
        <f aca="false">nonop_f</f>
        <v>4</v>
      </c>
      <c r="F1977" s="23" t="n">
        <f aca="false">nonop_f</f>
        <v>4</v>
      </c>
      <c r="G1977" s="23" t="n">
        <f aca="false">nonop_f</f>
        <v>4</v>
      </c>
    </row>
    <row r="1978" customFormat="false" ht="15" hidden="false" customHeight="false" outlineLevel="0" collapsed="false">
      <c r="A1978" s="3" t="s">
        <v>423</v>
      </c>
      <c r="B1978" s="0" t="s">
        <v>181</v>
      </c>
      <c r="C1978" s="23" t="n">
        <f aca="false">C1975+C1977</f>
        <v>49.655</v>
      </c>
      <c r="D1978" s="23" t="n">
        <f aca="false">D1975+D1977</f>
        <v>102.2282252</v>
      </c>
      <c r="E1978" s="23" t="n">
        <f aca="false">E1975+E1977</f>
        <v>87.2203929359927</v>
      </c>
      <c r="F1978" s="23" t="n">
        <f aca="false">F1975+F1977</f>
        <v>85.6744899449539</v>
      </c>
      <c r="G1978" s="23" t="n">
        <f aca="false">G1975+G1977</f>
        <v>95.7152910223122</v>
      </c>
    </row>
    <row r="1979" customFormat="false" ht="15" hidden="false" customHeight="false" outlineLevel="0" collapsed="false">
      <c r="A1979" s="3" t="s">
        <v>425</v>
      </c>
      <c r="B1979" s="0" t="s">
        <v>181</v>
      </c>
      <c r="C1979" s="23" t="n">
        <f aca="false">a25_tax</f>
        <v>7.939</v>
      </c>
      <c r="D1979" s="23" t="n">
        <f aca="false">a26_tax</f>
        <v>10.493828284</v>
      </c>
      <c r="E1979" s="23" t="n">
        <f aca="false">E1978*tax_lo</f>
        <v>10.4664471523191</v>
      </c>
      <c r="F1979" s="23" t="n">
        <f aca="false">F1978*tax_lo</f>
        <v>10.2809387933945</v>
      </c>
      <c r="G1979" s="23" t="n">
        <f aca="false">G1978*tax_lo</f>
        <v>11.4858349226775</v>
      </c>
    </row>
    <row r="1980" customFormat="false" ht="17.15" hidden="false" customHeight="false" outlineLevel="0" collapsed="false">
      <c r="A1980" s="3" t="s">
        <v>549</v>
      </c>
      <c r="B1980" s="0" t="s">
        <v>181</v>
      </c>
      <c r="C1980" s="23" t="n">
        <f aca="false">a25_mi</f>
        <v>0</v>
      </c>
      <c r="D1980" s="23" t="n">
        <f aca="false">a26_mi</f>
        <v>-0.134999999999987</v>
      </c>
      <c r="E1980" s="23" t="n">
        <f aca="false">0</f>
        <v>0</v>
      </c>
      <c r="F1980" s="23" t="n">
        <f aca="false">0</f>
        <v>0</v>
      </c>
      <c r="G1980" s="23" t="n">
        <f aca="false">0</f>
        <v>0</v>
      </c>
      <c r="K1980" s="7" t="s">
        <v>550</v>
      </c>
    </row>
    <row r="1981" customFormat="false" ht="15" hidden="false" customHeight="false" outlineLevel="0" collapsed="false">
      <c r="A1981" s="3" t="s">
        <v>428</v>
      </c>
      <c r="B1981" s="0" t="s">
        <v>181</v>
      </c>
      <c r="C1981" s="23" t="n">
        <f aca="false">C1978-C1979-C1980</f>
        <v>41.716</v>
      </c>
      <c r="D1981" s="23" t="n">
        <f aca="false">D1978-D1979-D1980</f>
        <v>91.869396916</v>
      </c>
      <c r="E1981" s="23" t="n">
        <f aca="false">E1978-E1979-E1980</f>
        <v>76.7539457836735</v>
      </c>
      <c r="F1981" s="23" t="n">
        <f aca="false">F1978-F1979-F1980</f>
        <v>75.3935511515595</v>
      </c>
      <c r="G1981" s="23" t="n">
        <f aca="false">G1978-G1979-G1980</f>
        <v>84.2294560996347</v>
      </c>
      <c r="H1981" s="30" t="n">
        <f aca="false">H1964*H1985</f>
        <v>88.9906140857272</v>
      </c>
      <c r="I1981" s="30" t="n">
        <f aca="false">I1964*I1985</f>
        <v>91.6339780280853</v>
      </c>
      <c r="J1981" s="30" t="n">
        <f aca="false">J1964*J1985</f>
        <v>91.8957893938798</v>
      </c>
    </row>
    <row r="1982" customFormat="false" ht="15" hidden="false" customHeight="false" outlineLevel="0" collapsed="false">
      <c r="A1982" s="3" t="s">
        <v>551</v>
      </c>
      <c r="B1982" s="3" t="s">
        <v>250</v>
      </c>
      <c r="C1982" s="9" t="n">
        <f aca="false">a25_sh</f>
        <v>12.4898203592814</v>
      </c>
      <c r="D1982" s="9" t="n">
        <f aca="false">a26_sh</f>
        <v>12.4754339027235</v>
      </c>
      <c r="E1982" s="9" t="n">
        <f aca="false">q_sh*(1+sh_g)</f>
        <v>12.45</v>
      </c>
      <c r="F1982" s="9" t="n">
        <f aca="false">E1982*(1+sh_g)</f>
        <v>12.45</v>
      </c>
      <c r="G1982" s="9" t="n">
        <f aca="false">F1982*(1+sh_g)</f>
        <v>12.45</v>
      </c>
      <c r="H1982" s="32" t="n">
        <f aca="false">G1982*(1+sh_g)</f>
        <v>12.45</v>
      </c>
      <c r="I1982" s="32" t="n">
        <f aca="false">H1982*(1+sh_g)</f>
        <v>12.45</v>
      </c>
      <c r="J1982" s="32" t="n">
        <f aca="false">I1982*(1+sh_g)</f>
        <v>12.45</v>
      </c>
    </row>
    <row r="1983" customFormat="false" ht="17.15" hidden="false" customHeight="false" outlineLevel="0" collapsed="false">
      <c r="A1983" s="0" t="s">
        <v>434</v>
      </c>
      <c r="B1983" s="0" t="s">
        <v>260</v>
      </c>
      <c r="C1983" s="23" t="n">
        <f aca="false">C1981/C1982</f>
        <v>3.34</v>
      </c>
      <c r="D1983" s="23" t="n">
        <f aca="false">D1981/D1982</f>
        <v>7.36402418002826</v>
      </c>
      <c r="E1983" s="23" t="n">
        <f aca="false">E1981/E1982</f>
        <v>6.1649755649537</v>
      </c>
      <c r="F1983" s="23" t="n">
        <f aca="false">F1981/F1982</f>
        <v>6.05570691980397</v>
      </c>
      <c r="G1983" s="23" t="n">
        <f aca="false">G1981/G1982</f>
        <v>6.76541816061323</v>
      </c>
      <c r="H1983" s="30" t="n">
        <f aca="false">H1981/H1982</f>
        <v>7.14784048881343</v>
      </c>
      <c r="I1983" s="30" t="n">
        <f aca="false">I1981/I1982</f>
        <v>7.36015887775785</v>
      </c>
      <c r="J1983" s="30" t="n">
        <f aca="false">J1981/J1982</f>
        <v>7.38118790312288</v>
      </c>
    </row>
    <row r="1984" customFormat="false" ht="17.15" hidden="false" customHeight="false" outlineLevel="0" collapsed="false">
      <c r="A1984" s="0" t="s">
        <v>552</v>
      </c>
      <c r="B1984" s="0" t="s">
        <v>69</v>
      </c>
      <c r="D1984" s="21" t="n">
        <f aca="false">D1983/C1983-1</f>
        <v>1.2047976586911</v>
      </c>
      <c r="E1984" s="21" t="n">
        <f aca="false">E1983/D1983-1</f>
        <v>-0.162825187120714</v>
      </c>
      <c r="F1984" s="21" t="n">
        <f aca="false">F1983/E1983-1</f>
        <v>-0.0177241002820659</v>
      </c>
      <c r="G1984" s="21" t="n">
        <f aca="false">G1983/F1983-1</f>
        <v>0.117197091967626</v>
      </c>
      <c r="H1984" s="28" t="n">
        <f aca="false">H1983/G1983-1</f>
        <v>0.0565260445284188</v>
      </c>
      <c r="I1984" s="28" t="n">
        <f aca="false">I1983/H1983-1</f>
        <v>0.0297038510130037</v>
      </c>
      <c r="J1984" s="28" t="n">
        <f aca="false">J1983/I1983-1</f>
        <v>0.00285714285714289</v>
      </c>
    </row>
    <row r="1985" customFormat="false" ht="17.15" hidden="false" customHeight="false" outlineLevel="0" collapsed="false">
      <c r="A1985" s="3" t="s">
        <v>553</v>
      </c>
      <c r="B1985" s="0" t="s">
        <v>69</v>
      </c>
      <c r="C1985" s="15" t="n">
        <f aca="false">C1981/C1964</f>
        <v>0.175607127672562</v>
      </c>
      <c r="D1985" s="15" t="n">
        <f aca="false">D1981/D1964</f>
        <v>0.328417243409073</v>
      </c>
      <c r="E1985" s="15" t="n">
        <f aca="false">E1981/E1964</f>
        <v>0.238076074642518</v>
      </c>
      <c r="F1985" s="15" t="n">
        <f aca="false">F1981/F1964</f>
        <v>0.222406226032413</v>
      </c>
      <c r="G1985" s="15" t="n">
        <f aca="false">G1981/G1964</f>
        <v>0.221961214953426</v>
      </c>
      <c r="H1985" s="29" t="n">
        <f aca="false">$G1985+($G$1985*0.9-$G1985)*1/3</f>
        <v>0.214562507788312</v>
      </c>
      <c r="I1985" s="29" t="n">
        <f aca="false">$G1985+($G$1985*0.9-$G1985)*2/3</f>
        <v>0.207163800623198</v>
      </c>
      <c r="J1985" s="29" t="n">
        <f aca="false">$G1985+($G$1985*0.9-$G1985)*3/3</f>
        <v>0.199765093458084</v>
      </c>
    </row>
    <row r="1988" customFormat="false" ht="17.15" hidden="false" customHeight="false" outlineLevel="0" collapsed="false">
      <c r="A1988" s="1" t="s">
        <v>887</v>
      </c>
    </row>
    <row r="1989" customFormat="false" ht="17.15" hidden="false" customHeight="false" outlineLevel="0" collapsed="false">
      <c r="A1989" s="4" t="s">
        <v>24</v>
      </c>
      <c r="B1989" s="4" t="s">
        <v>25</v>
      </c>
      <c r="C1989" s="16" t="s">
        <v>387</v>
      </c>
      <c r="D1989" s="16" t="s">
        <v>505</v>
      </c>
      <c r="E1989" s="16" t="s">
        <v>467</v>
      </c>
      <c r="F1989" s="16" t="s">
        <v>468</v>
      </c>
      <c r="G1989" s="16" t="s">
        <v>469</v>
      </c>
      <c r="H1989" s="16" t="s">
        <v>506</v>
      </c>
      <c r="I1989" s="16" t="s">
        <v>507</v>
      </c>
      <c r="J1989" s="16" t="s">
        <v>508</v>
      </c>
      <c r="K1989" s="4" t="s">
        <v>345</v>
      </c>
    </row>
    <row r="1990" customFormat="false" ht="17.15" hidden="false" customHeight="false" outlineLevel="0" collapsed="false">
      <c r="A1990" s="5" t="s">
        <v>526</v>
      </c>
    </row>
    <row r="1991" customFormat="false" ht="17.15" hidden="false" customHeight="false" outlineLevel="0" collapsed="false">
      <c r="A1991" s="3" t="s">
        <v>527</v>
      </c>
      <c r="B1991" s="3" t="s">
        <v>64</v>
      </c>
      <c r="D1991" s="22" t="n">
        <f aca="false">cap_26</f>
        <v>5230.46851955216</v>
      </c>
      <c r="E1991" s="22" t="n">
        <f aca="false">D1991*(1+capg27)*cap_adj</f>
        <v>5439.68726033425</v>
      </c>
      <c r="F1991" s="22" t="n">
        <f aca="false">E1991*(1+capg28)</f>
        <v>5820.46536855765</v>
      </c>
      <c r="G1991" s="22" t="n">
        <f aca="false">F1991*(1+capg29)</f>
        <v>6227.89794435668</v>
      </c>
    </row>
    <row r="1992" customFormat="false" ht="15" hidden="false" customHeight="false" outlineLevel="0" collapsed="false">
      <c r="A1992" s="3" t="s">
        <v>528</v>
      </c>
      <c r="B1992" s="0" t="s">
        <v>69</v>
      </c>
      <c r="D1992" s="21" t="n">
        <f aca="false">a26_ship/cap_26</f>
        <v>0.870578781414787</v>
      </c>
      <c r="E1992" s="21" t="n">
        <f aca="false">MIN(0.98,ut27_C+ut_adj)</f>
        <v>0.82</v>
      </c>
      <c r="F1992" s="21" t="n">
        <f aca="false">MIN(0.98,ut28_C+ut_adj)</f>
        <v>0.76</v>
      </c>
      <c r="G1992" s="21" t="n">
        <f aca="false">MIN(0.98,ut29_C+ut_adj)</f>
        <v>0.8</v>
      </c>
    </row>
    <row r="1993" customFormat="false" ht="17.15" hidden="false" customHeight="false" outlineLevel="0" collapsed="false">
      <c r="A1993" s="3" t="s">
        <v>529</v>
      </c>
      <c r="B1993" s="3" t="s">
        <v>64</v>
      </c>
      <c r="D1993" s="22" t="n">
        <f aca="false">D1991*D1992</f>
        <v>4553.53490998013</v>
      </c>
      <c r="E1993" s="22" t="n">
        <f aca="false">E1991*E1992</f>
        <v>4460.54355347409</v>
      </c>
      <c r="F1993" s="22" t="n">
        <f aca="false">F1991*F1992</f>
        <v>4423.55368010381</v>
      </c>
      <c r="G1993" s="22" t="n">
        <f aca="false">G1991*G1992</f>
        <v>4982.31835548535</v>
      </c>
    </row>
    <row r="1994" customFormat="false" ht="17.15" hidden="false" customHeight="false" outlineLevel="0" collapsed="false">
      <c r="A1994" s="3" t="s">
        <v>530</v>
      </c>
      <c r="B1994" s="0" t="s">
        <v>109</v>
      </c>
      <c r="D1994" s="22" t="n">
        <f aca="false">asp_26</f>
        <v>1878.17486396824</v>
      </c>
      <c r="E1994" s="22" t="n">
        <f aca="false">D1994*(1+asp27_C)*(1+asp_adj)</f>
        <v>1878.17486396824</v>
      </c>
      <c r="F1994" s="22" t="n">
        <f aca="false">E1994*(1+asp28_C)</f>
        <v>1765.48437213015</v>
      </c>
      <c r="G1994" s="22" t="n">
        <f aca="false">F1994*(1+asp29_C)</f>
        <v>1712.51984096625</v>
      </c>
    </row>
    <row r="1995" customFormat="false" ht="15" hidden="false" customHeight="false" outlineLevel="0" collapsed="false">
      <c r="A1995" s="3" t="s">
        <v>531</v>
      </c>
      <c r="B1995" s="0" t="s">
        <v>69</v>
      </c>
      <c r="E1995" s="21" t="n">
        <f aca="false">E1994/D1994-1</f>
        <v>0</v>
      </c>
      <c r="F1995" s="21" t="n">
        <f aca="false">F1994/E1994-1</f>
        <v>-0.0599999999999999</v>
      </c>
      <c r="G1995" s="21" t="n">
        <f aca="false">G1994/F1994-1</f>
        <v>-0.0299999999999999</v>
      </c>
    </row>
    <row r="1996" customFormat="false" ht="15" hidden="false" customHeight="false" outlineLevel="0" collapsed="false">
      <c r="A1996" s="3" t="s">
        <v>532</v>
      </c>
      <c r="B1996" s="0" t="s">
        <v>35</v>
      </c>
      <c r="D1996" s="23" t="n">
        <f aca="false">fx_26</f>
        <v>31.6</v>
      </c>
      <c r="E1996" s="23" t="n">
        <f aca="false">fx</f>
        <v>32</v>
      </c>
      <c r="F1996" s="23" t="n">
        <f aca="false">fx</f>
        <v>32</v>
      </c>
      <c r="G1996" s="23" t="n">
        <f aca="false">fx</f>
        <v>32</v>
      </c>
    </row>
    <row r="1997" customFormat="false" ht="17.15" hidden="false" customHeight="false" outlineLevel="0" collapsed="false">
      <c r="A1997" s="3" t="s">
        <v>533</v>
      </c>
      <c r="B1997" s="0" t="s">
        <v>181</v>
      </c>
      <c r="D1997" s="23" t="n">
        <f aca="false">D1993*D1994*D1996/1000000</f>
        <v>270.25378</v>
      </c>
      <c r="E1997" s="23" t="n">
        <f aca="false">E1993*E1994*E1996/1000000</f>
        <v>268.08578501666</v>
      </c>
      <c r="F1997" s="23" t="n">
        <f aca="false">F1993*F1994*F1996/1000000</f>
        <v>249.910876528067</v>
      </c>
      <c r="G1997" s="23" t="n">
        <f aca="false">G1993*G1994*G1996/1000000</f>
        <v>273.034209208927</v>
      </c>
    </row>
    <row r="1998" customFormat="false" ht="17.15" hidden="false" customHeight="false" outlineLevel="0" collapsed="false">
      <c r="A1998" s="5" t="s">
        <v>534</v>
      </c>
    </row>
    <row r="1999" customFormat="false" ht="17.15" hidden="false" customHeight="false" outlineLevel="0" collapsed="false">
      <c r="A1999" s="0" t="s">
        <v>535</v>
      </c>
      <c r="B1999" s="0" t="s">
        <v>138</v>
      </c>
      <c r="D1999" s="25" t="n">
        <f aca="false">ai_26</f>
        <v>0.3</v>
      </c>
      <c r="E1999" s="25" t="n">
        <f aca="false">D1999*(1+aig27_C)*ai_adj</f>
        <v>0.36</v>
      </c>
      <c r="F1999" s="25" t="n">
        <f aca="false">E1999*(1+aig_L)*um28_C</f>
        <v>0.3132</v>
      </c>
      <c r="G1999" s="25" t="n">
        <f aca="false">F1999/um28_C*(1+aig_L)*um29_C</f>
        <v>0.45414</v>
      </c>
    </row>
    <row r="2000" customFormat="false" ht="17.15" hidden="false" customHeight="false" outlineLevel="0" collapsed="false">
      <c r="A2000" s="0" t="s">
        <v>536</v>
      </c>
      <c r="B2000" s="0" t="s">
        <v>181</v>
      </c>
      <c r="D2000" s="23" t="n">
        <f aca="false">D1999*D1996</f>
        <v>9.48</v>
      </c>
      <c r="E2000" s="23" t="n">
        <f aca="false">E1999*E1996</f>
        <v>11.52</v>
      </c>
      <c r="F2000" s="23" t="n">
        <f aca="false">F1999*F1996</f>
        <v>10.0224</v>
      </c>
      <c r="G2000" s="23" t="n">
        <f aca="false">G1999*G1996</f>
        <v>14.53248</v>
      </c>
    </row>
    <row r="2001" customFormat="false" ht="17.15" hidden="false" customHeight="false" outlineLevel="0" collapsed="false">
      <c r="A2001" s="0" t="s">
        <v>537</v>
      </c>
      <c r="B2001" s="0" t="s">
        <v>138</v>
      </c>
      <c r="D2001" s="25" t="n">
        <f aca="false">0</f>
        <v>0</v>
      </c>
      <c r="E2001" s="25" t="n">
        <f aca="false">int_27</f>
        <v>0</v>
      </c>
      <c r="F2001" s="25" t="n">
        <f aca="false">int28_C</f>
        <v>0</v>
      </c>
      <c r="G2001" s="25" t="n">
        <f aca="false">int29_C</f>
        <v>0.08</v>
      </c>
    </row>
    <row r="2002" customFormat="false" ht="17.15" hidden="false" customHeight="false" outlineLevel="0" collapsed="false">
      <c r="A2002" s="0" t="s">
        <v>538</v>
      </c>
      <c r="B2002" s="0" t="s">
        <v>181</v>
      </c>
      <c r="D2002" s="23" t="n">
        <f aca="false">D2001*D1996</f>
        <v>0</v>
      </c>
      <c r="E2002" s="23" t="n">
        <f aca="false">E2001*E1996</f>
        <v>0</v>
      </c>
      <c r="F2002" s="23" t="n">
        <f aca="false">F2001*F1996</f>
        <v>0</v>
      </c>
      <c r="G2002" s="23" t="n">
        <f aca="false">G2001*G1996</f>
        <v>2.56</v>
      </c>
    </row>
    <row r="2003" customFormat="false" ht="17.15" hidden="false" customHeight="false" outlineLevel="0" collapsed="false">
      <c r="A2003" s="3" t="s">
        <v>393</v>
      </c>
      <c r="B2003" s="0" t="s">
        <v>181</v>
      </c>
      <c r="C2003" s="23" t="n">
        <f aca="false">a25_rev</f>
        <v>237.553</v>
      </c>
      <c r="D2003" s="23" t="n">
        <f aca="false">D1997+D2000+D2002</f>
        <v>279.73378</v>
      </c>
      <c r="E2003" s="23" t="n">
        <f aca="false">E1997+E2000+E2002</f>
        <v>279.60578501666</v>
      </c>
      <c r="F2003" s="23" t="n">
        <f aca="false">F1997+F2000+F2002</f>
        <v>259.933276528067</v>
      </c>
      <c r="G2003" s="23" t="n">
        <f aca="false">G1997+G2000+G2002</f>
        <v>290.126689208927</v>
      </c>
      <c r="H2003" s="30" t="n">
        <f aca="false">G2003*(1+H2005)</f>
        <v>314.527952983075</v>
      </c>
      <c r="I2003" s="30" t="n">
        <f aca="false">H2003*(1+I2005)</f>
        <v>330.900005213497</v>
      </c>
      <c r="J2003" s="30" t="n">
        <f aca="false">I2003*(1+J2005)</f>
        <v>337.518005317767</v>
      </c>
      <c r="K2003" s="7" t="s">
        <v>539</v>
      </c>
    </row>
    <row r="2004" customFormat="false" ht="17.15" hidden="false" customHeight="false" outlineLevel="0" collapsed="false">
      <c r="A2004" s="0" t="s">
        <v>540</v>
      </c>
      <c r="B2004" s="0" t="s">
        <v>69</v>
      </c>
      <c r="D2004" s="21" t="n">
        <f aca="false">D2000/D2003</f>
        <v>0.0338893643806622</v>
      </c>
      <c r="E2004" s="21" t="n">
        <f aca="false">E2000/E2003</f>
        <v>0.0412008642786615</v>
      </c>
      <c r="F2004" s="21" t="n">
        <f aca="false">F2000/F2003</f>
        <v>0.0385575872926674</v>
      </c>
      <c r="G2004" s="21" t="n">
        <f aca="false">G2000/G2003</f>
        <v>0.0500901176642002</v>
      </c>
    </row>
    <row r="2005" customFormat="false" ht="15" hidden="false" customHeight="false" outlineLevel="0" collapsed="false">
      <c r="A2005" s="3" t="s">
        <v>541</v>
      </c>
      <c r="B2005" s="0" t="s">
        <v>69</v>
      </c>
      <c r="D2005" s="21" t="n">
        <f aca="false">D2003/C2003-1</f>
        <v>0.177563659478096</v>
      </c>
      <c r="E2005" s="21" t="n">
        <f aca="false">E2003/D2003-1</f>
        <v>-0.000457559981995259</v>
      </c>
      <c r="F2005" s="21" t="n">
        <f aca="false">F2003/E2003-1</f>
        <v>-0.0703580166891779</v>
      </c>
      <c r="G2005" s="21" t="n">
        <f aca="false">G2003/F2003-1</f>
        <v>0.116158319874062</v>
      </c>
      <c r="H2005" s="28" t="n">
        <f aca="false">$G2005+(fade_gC-$G2005)*1/3</f>
        <v>0.0841055465827078</v>
      </c>
      <c r="I2005" s="28" t="n">
        <f aca="false">$G2005+(fade_gC-$G2005)*2/3</f>
        <v>0.0520527732913539</v>
      </c>
      <c r="J2005" s="28" t="n">
        <f aca="false">$G2005+(fade_gC-$G2005)*3/3</f>
        <v>0.02</v>
      </c>
    </row>
    <row r="2006" customFormat="false" ht="17.15" hidden="false" customHeight="false" outlineLevel="0" collapsed="false">
      <c r="A2006" s="5" t="s">
        <v>542</v>
      </c>
    </row>
    <row r="2007" customFormat="false" ht="15" hidden="false" customHeight="false" outlineLevel="0" collapsed="false">
      <c r="A2007" s="3" t="s">
        <v>543</v>
      </c>
      <c r="B2007" s="0" t="s">
        <v>181</v>
      </c>
      <c r="D2007" s="23" t="n">
        <f aca="false">da_tot26*da_sh</f>
        <v>56.172</v>
      </c>
      <c r="E2007" s="23" t="n">
        <f aca="false">D2007*(1+dag_27+dag_adj)</f>
        <v>62.91264</v>
      </c>
      <c r="F2007" s="23" t="n">
        <f aca="false">E2007*(1+dag_28+dag_adj)</f>
        <v>69.203904</v>
      </c>
      <c r="G2007" s="23" t="n">
        <f aca="false">F2007*(1+dag_29+dag_adj)</f>
        <v>74.74021632</v>
      </c>
    </row>
    <row r="2008" customFormat="false" ht="17.15" hidden="false" customHeight="false" outlineLevel="0" collapsed="false">
      <c r="A2008" s="3" t="s">
        <v>544</v>
      </c>
      <c r="B2008" s="0" t="s">
        <v>545</v>
      </c>
      <c r="D2008" s="23" t="n">
        <f aca="false">(D2003-a26_gp-D2007-(1-m_new)*(D2000+D2002))/D1993*1000</f>
        <v>27.9465727870208</v>
      </c>
      <c r="E2008" s="23" t="n">
        <f aca="false">D2008*(1+cc_g)</f>
        <v>28.5055042427612</v>
      </c>
      <c r="F2008" s="23" t="n">
        <f aca="false">E2008*(1+cc_g)</f>
        <v>29.0756143276165</v>
      </c>
      <c r="G2008" s="23" t="n">
        <f aca="false">F2008*(1+cc_g)</f>
        <v>29.6571266141688</v>
      </c>
      <c r="K2008" s="7" t="s">
        <v>546</v>
      </c>
    </row>
    <row r="2009" customFormat="false" ht="17.15" hidden="false" customHeight="false" outlineLevel="0" collapsed="false">
      <c r="A2009" s="3" t="s">
        <v>547</v>
      </c>
      <c r="B2009" s="0" t="s">
        <v>181</v>
      </c>
      <c r="D2009" s="23" t="n">
        <f aca="false">D2008*D1993/1000</f>
        <v>127.2556948</v>
      </c>
      <c r="E2009" s="23" t="n">
        <f aca="false">E2008*E1993/1000</f>
        <v>127.150043188577</v>
      </c>
      <c r="F2009" s="23" t="n">
        <f aca="false">F2008*F1993/1000</f>
        <v>128.617540760207</v>
      </c>
      <c r="G2009" s="23" t="n">
        <f aca="false">G2008*G1993/1000</f>
        <v>147.761246300726</v>
      </c>
    </row>
    <row r="2010" customFormat="false" ht="17.15" hidden="false" customHeight="false" outlineLevel="0" collapsed="false">
      <c r="A2010" s="3" t="s">
        <v>548</v>
      </c>
      <c r="B2010" s="0" t="s">
        <v>181</v>
      </c>
      <c r="D2010" s="23" t="n">
        <f aca="false">m_new*(D2000+D2002)</f>
        <v>4.266</v>
      </c>
      <c r="E2010" s="23" t="n">
        <f aca="false">m_new*(E2000+E2002)</f>
        <v>5.184</v>
      </c>
      <c r="F2010" s="23" t="n">
        <f aca="false">m_new*(F2000+F2002)</f>
        <v>4.51008</v>
      </c>
      <c r="G2010" s="23" t="n">
        <f aca="false">m_new*(G2000+G2002)</f>
        <v>7.691616</v>
      </c>
    </row>
    <row r="2011" customFormat="false" ht="15" hidden="false" customHeight="false" outlineLevel="0" collapsed="false">
      <c r="A2011" s="3" t="s">
        <v>411</v>
      </c>
      <c r="B2011" s="0" t="s">
        <v>181</v>
      </c>
      <c r="C2011" s="23" t="n">
        <f aca="false">a25_gp</f>
        <v>68.906</v>
      </c>
      <c r="D2011" s="23" t="n">
        <f aca="false">D1997-D2007-D2009+D2010</f>
        <v>91.0920852</v>
      </c>
      <c r="E2011" s="23" t="n">
        <f aca="false">E1997-E2007-E2009+E2010</f>
        <v>83.2071018280829</v>
      </c>
      <c r="F2011" s="23" t="n">
        <f aca="false">F1997-F2007-F2009+F2010</f>
        <v>56.59951176786</v>
      </c>
      <c r="G2011" s="23" t="n">
        <f aca="false">G1997-G2007-G2009+G2010</f>
        <v>58.2243625882008</v>
      </c>
    </row>
    <row r="2012" customFormat="false" ht="15" hidden="false" customHeight="false" outlineLevel="0" collapsed="false">
      <c r="A2012" s="3" t="s">
        <v>413</v>
      </c>
      <c r="B2012" s="0" t="s">
        <v>69</v>
      </c>
      <c r="C2012" s="15" t="n">
        <f aca="false">C2011/C2003</f>
        <v>0.290065795843454</v>
      </c>
      <c r="D2012" s="15" t="n">
        <f aca="false">D2011/D2003</f>
        <v>0.325638488136828</v>
      </c>
      <c r="E2012" s="15" t="n">
        <f aca="false">E2011/E2003</f>
        <v>0.297587196999966</v>
      </c>
      <c r="F2012" s="15" t="n">
        <f aca="false">F2011/F2003</f>
        <v>0.217746309837127</v>
      </c>
      <c r="G2012" s="15" t="n">
        <f aca="false">G2011/G2003</f>
        <v>0.200685992546767</v>
      </c>
    </row>
    <row r="2013" customFormat="false" ht="15" hidden="false" customHeight="false" outlineLevel="0" collapsed="false">
      <c r="A2013" s="3" t="s">
        <v>415</v>
      </c>
      <c r="B2013" s="0" t="s">
        <v>181</v>
      </c>
      <c r="C2013" s="23" t="n">
        <f aca="false">a25_opx</f>
        <v>25.056</v>
      </c>
      <c r="D2013" s="23" t="n">
        <f aca="false">a26_opx</f>
        <v>27.23586</v>
      </c>
      <c r="E2013" s="23" t="n">
        <f aca="false">D2013*(1+MAX(g_opx_min,phi*E2005))</f>
        <v>28.0529358</v>
      </c>
      <c r="F2013" s="23" t="n">
        <f aca="false">E2013*(1+MAX(g_opx_min,phi*F2005))</f>
        <v>28.894523874</v>
      </c>
      <c r="G2013" s="23" t="n">
        <f aca="false">F2013*(1+MAX(g_opx_min,phi*G2005))</f>
        <v>30.5726935473824</v>
      </c>
    </row>
    <row r="2014" customFormat="false" ht="15" hidden="false" customHeight="false" outlineLevel="0" collapsed="false">
      <c r="A2014" s="3" t="s">
        <v>418</v>
      </c>
      <c r="B2014" s="0" t="s">
        <v>181</v>
      </c>
      <c r="C2014" s="23" t="n">
        <f aca="false">C2011-C2013</f>
        <v>43.85</v>
      </c>
      <c r="D2014" s="23" t="n">
        <f aca="false">D2011-D2013</f>
        <v>63.8562252</v>
      </c>
      <c r="E2014" s="23" t="n">
        <f aca="false">E2011-E2013</f>
        <v>55.1541660280829</v>
      </c>
      <c r="F2014" s="23" t="n">
        <f aca="false">F2011-F2013</f>
        <v>27.70498789386</v>
      </c>
      <c r="G2014" s="23" t="n">
        <f aca="false">G2011-G2013</f>
        <v>27.6516690408184</v>
      </c>
    </row>
    <row r="2015" customFormat="false" ht="15" hidden="false" customHeight="false" outlineLevel="0" collapsed="false">
      <c r="A2015" s="3" t="s">
        <v>515</v>
      </c>
      <c r="B2015" s="0" t="s">
        <v>69</v>
      </c>
      <c r="C2015" s="15" t="n">
        <f aca="false">C2014/C2003</f>
        <v>0.184590386145408</v>
      </c>
      <c r="D2015" s="15" t="n">
        <f aca="false">D2014/D2003</f>
        <v>0.228274987740129</v>
      </c>
      <c r="E2015" s="15" t="n">
        <f aca="false">E2014/E2003</f>
        <v>0.197256884455365</v>
      </c>
      <c r="F2015" s="15" t="n">
        <f aca="false">F2014/F2003</f>
        <v>0.106584998519297</v>
      </c>
      <c r="G2015" s="15" t="n">
        <f aca="false">G2014/G2003</f>
        <v>0.0953089462958914</v>
      </c>
    </row>
    <row r="2016" customFormat="false" ht="15" hidden="false" customHeight="false" outlineLevel="0" collapsed="false">
      <c r="A2016" s="3" t="s">
        <v>421</v>
      </c>
      <c r="B2016" s="0" t="s">
        <v>181</v>
      </c>
      <c r="C2016" s="23" t="n">
        <f aca="false">a25_nonop</f>
        <v>5.805</v>
      </c>
      <c r="D2016" s="23" t="n">
        <f aca="false">a26_nonop</f>
        <v>38.372</v>
      </c>
      <c r="E2016" s="23" t="n">
        <f aca="false">nonop_f</f>
        <v>4</v>
      </c>
      <c r="F2016" s="23" t="n">
        <f aca="false">nonop_f</f>
        <v>4</v>
      </c>
      <c r="G2016" s="23" t="n">
        <f aca="false">nonop_f</f>
        <v>4</v>
      </c>
    </row>
    <row r="2017" customFormat="false" ht="15" hidden="false" customHeight="false" outlineLevel="0" collapsed="false">
      <c r="A2017" s="3" t="s">
        <v>423</v>
      </c>
      <c r="B2017" s="0" t="s">
        <v>181</v>
      </c>
      <c r="C2017" s="23" t="n">
        <f aca="false">C2014+C2016</f>
        <v>49.655</v>
      </c>
      <c r="D2017" s="23" t="n">
        <f aca="false">D2014+D2016</f>
        <v>102.2282252</v>
      </c>
      <c r="E2017" s="23" t="n">
        <f aca="false">E2014+E2016</f>
        <v>59.1541660280829</v>
      </c>
      <c r="F2017" s="23" t="n">
        <f aca="false">F2014+F2016</f>
        <v>31.70498789386</v>
      </c>
      <c r="G2017" s="23" t="n">
        <f aca="false">G2014+G2016</f>
        <v>31.6516690408184</v>
      </c>
    </row>
    <row r="2018" customFormat="false" ht="15" hidden="false" customHeight="false" outlineLevel="0" collapsed="false">
      <c r="A2018" s="3" t="s">
        <v>425</v>
      </c>
      <c r="B2018" s="0" t="s">
        <v>181</v>
      </c>
      <c r="C2018" s="23" t="n">
        <f aca="false">a25_tax</f>
        <v>7.939</v>
      </c>
      <c r="D2018" s="23" t="n">
        <f aca="false">a26_tax</f>
        <v>10.493828284</v>
      </c>
      <c r="E2018" s="23" t="n">
        <f aca="false">E2017*tax_lo</f>
        <v>7.09849992336995</v>
      </c>
      <c r="F2018" s="23" t="n">
        <f aca="false">F2017*tax_lo</f>
        <v>3.80459854726319</v>
      </c>
      <c r="G2018" s="23" t="n">
        <f aca="false">G2017*tax_lo</f>
        <v>3.79820028489821</v>
      </c>
    </row>
    <row r="2019" customFormat="false" ht="17.15" hidden="false" customHeight="false" outlineLevel="0" collapsed="false">
      <c r="A2019" s="3" t="s">
        <v>549</v>
      </c>
      <c r="B2019" s="0" t="s">
        <v>181</v>
      </c>
      <c r="C2019" s="23" t="n">
        <f aca="false">a25_mi</f>
        <v>0</v>
      </c>
      <c r="D2019" s="23" t="n">
        <f aca="false">a26_mi</f>
        <v>-0.134999999999987</v>
      </c>
      <c r="E2019" s="23" t="n">
        <f aca="false">0</f>
        <v>0</v>
      </c>
      <c r="F2019" s="23" t="n">
        <f aca="false">0</f>
        <v>0</v>
      </c>
      <c r="G2019" s="23" t="n">
        <f aca="false">0</f>
        <v>0</v>
      </c>
      <c r="K2019" s="7" t="s">
        <v>550</v>
      </c>
    </row>
    <row r="2020" customFormat="false" ht="15" hidden="false" customHeight="false" outlineLevel="0" collapsed="false">
      <c r="A2020" s="3" t="s">
        <v>428</v>
      </c>
      <c r="B2020" s="0" t="s">
        <v>181</v>
      </c>
      <c r="C2020" s="23" t="n">
        <f aca="false">C2017-C2018-C2019</f>
        <v>41.716</v>
      </c>
      <c r="D2020" s="23" t="n">
        <f aca="false">D2017-D2018-D2019</f>
        <v>91.869396916</v>
      </c>
      <c r="E2020" s="23" t="n">
        <f aca="false">E2017-E2018-E2019</f>
        <v>52.055666104713</v>
      </c>
      <c r="F2020" s="23" t="n">
        <f aca="false">F2017-F2018-F2019</f>
        <v>27.9003893465968</v>
      </c>
      <c r="G2020" s="23" t="n">
        <f aca="false">G2017-G2018-G2019</f>
        <v>27.8534687559202</v>
      </c>
      <c r="H2020" s="30" t="n">
        <f aca="false">H2003*H2024</f>
        <v>28.1830266385372</v>
      </c>
      <c r="I2020" s="30" t="n">
        <f aca="false">I2003*I2024</f>
        <v>27.5321719537588</v>
      </c>
      <c r="J2020" s="30" t="n">
        <f aca="false">J2003*J2024</f>
        <v>25.9225988241544</v>
      </c>
    </row>
    <row r="2021" customFormat="false" ht="15" hidden="false" customHeight="false" outlineLevel="0" collapsed="false">
      <c r="A2021" s="3" t="s">
        <v>551</v>
      </c>
      <c r="B2021" s="3" t="s">
        <v>250</v>
      </c>
      <c r="C2021" s="9" t="n">
        <f aca="false">a25_sh</f>
        <v>12.4898203592814</v>
      </c>
      <c r="D2021" s="9" t="n">
        <f aca="false">a26_sh</f>
        <v>12.4754339027235</v>
      </c>
      <c r="E2021" s="9" t="n">
        <f aca="false">q_sh*(1+sh_g)</f>
        <v>12.45</v>
      </c>
      <c r="F2021" s="9" t="n">
        <f aca="false">E2021*(1+sh_g)</f>
        <v>12.45</v>
      </c>
      <c r="G2021" s="9" t="n">
        <f aca="false">F2021*(1+sh_g)</f>
        <v>12.45</v>
      </c>
      <c r="H2021" s="32" t="n">
        <f aca="false">G2021*(1+sh_g)</f>
        <v>12.45</v>
      </c>
      <c r="I2021" s="32" t="n">
        <f aca="false">H2021*(1+sh_g)</f>
        <v>12.45</v>
      </c>
      <c r="J2021" s="32" t="n">
        <f aca="false">I2021*(1+sh_g)</f>
        <v>12.45</v>
      </c>
    </row>
    <row r="2022" customFormat="false" ht="17.15" hidden="false" customHeight="false" outlineLevel="0" collapsed="false">
      <c r="A2022" s="0" t="s">
        <v>434</v>
      </c>
      <c r="B2022" s="0" t="s">
        <v>260</v>
      </c>
      <c r="C2022" s="23" t="n">
        <f aca="false">C2020/C2021</f>
        <v>3.34</v>
      </c>
      <c r="D2022" s="23" t="n">
        <f aca="false">D2020/D2021</f>
        <v>7.36402418002826</v>
      </c>
      <c r="E2022" s="23" t="n">
        <f aca="false">E2020/E2021</f>
        <v>4.18117800037855</v>
      </c>
      <c r="F2022" s="23" t="n">
        <f aca="false">F2020/F2021</f>
        <v>2.2409951282407</v>
      </c>
      <c r="G2022" s="23" t="n">
        <f aca="false">G2020/G2021</f>
        <v>2.23722640609801</v>
      </c>
      <c r="H2022" s="30" t="n">
        <f aca="false">H2020/H2021</f>
        <v>2.26369691875801</v>
      </c>
      <c r="I2022" s="30" t="n">
        <f aca="false">I2020/I2021</f>
        <v>2.21141943403685</v>
      </c>
      <c r="J2022" s="30" t="n">
        <f aca="false">J2020/J2021</f>
        <v>2.08213645173931</v>
      </c>
    </row>
    <row r="2023" customFormat="false" ht="17.15" hidden="false" customHeight="false" outlineLevel="0" collapsed="false">
      <c r="A2023" s="0" t="s">
        <v>552</v>
      </c>
      <c r="B2023" s="0" t="s">
        <v>69</v>
      </c>
      <c r="D2023" s="21" t="n">
        <f aca="false">D2022/C2022-1</f>
        <v>1.2047976586911</v>
      </c>
      <c r="E2023" s="21" t="n">
        <f aca="false">E2022/D2022-1</f>
        <v>-0.432215606825655</v>
      </c>
      <c r="F2023" s="21" t="n">
        <f aca="false">F2022/E2022-1</f>
        <v>-0.464027810335314</v>
      </c>
      <c r="G2023" s="21" t="n">
        <f aca="false">G2022/F2022-1</f>
        <v>-0.00168171813280738</v>
      </c>
      <c r="H2023" s="28" t="n">
        <f aca="false">H2022/G2022-1</f>
        <v>0.011831843477194</v>
      </c>
      <c r="I2023" s="28" t="n">
        <f aca="false">I2022/H2022-1</f>
        <v>-0.0230938533723145</v>
      </c>
      <c r="J2023" s="28" t="n">
        <f aca="false">J2022/I2022-1</f>
        <v>-0.0584615384615385</v>
      </c>
    </row>
    <row r="2024" customFormat="false" ht="17.15" hidden="false" customHeight="false" outlineLevel="0" collapsed="false">
      <c r="A2024" s="3" t="s">
        <v>553</v>
      </c>
      <c r="B2024" s="0" t="s">
        <v>69</v>
      </c>
      <c r="C2024" s="15" t="n">
        <f aca="false">C2020/C2003</f>
        <v>0.175607127672562</v>
      </c>
      <c r="D2024" s="15" t="n">
        <f aca="false">D2020/D2003</f>
        <v>0.328417243409073</v>
      </c>
      <c r="E2024" s="15" t="n">
        <f aca="false">E2020/E2003</f>
        <v>0.186175211294757</v>
      </c>
      <c r="F2024" s="15" t="n">
        <f aca="false">F2020/F2003</f>
        <v>0.107336735485594</v>
      </c>
      <c r="G2024" s="15" t="n">
        <f aca="false">G2020/G2003</f>
        <v>0.0960045035217779</v>
      </c>
      <c r="H2024" s="29" t="n">
        <f aca="false">$G2024+($G$2024*0.8-$G2024)*1/3</f>
        <v>0.0896042032869927</v>
      </c>
      <c r="I2024" s="29" t="n">
        <f aca="false">$G2024+($G$2024*0.8-$G2024)*2/3</f>
        <v>0.0832039030522075</v>
      </c>
      <c r="J2024" s="29" t="n">
        <f aca="false">$G2024+($G$2024*0.8-$G2024)*3/3</f>
        <v>0.0768036028174223</v>
      </c>
    </row>
    <row r="2027" customFormat="false" ht="17.15" hidden="false" customHeight="false" outlineLevel="0" collapsed="false">
      <c r="A2027" s="1" t="s">
        <v>888</v>
      </c>
    </row>
    <row r="2028" customFormat="false" ht="17.15" hidden="false" customHeight="false" outlineLevel="0" collapsed="false">
      <c r="A2028" s="4" t="s">
        <v>24</v>
      </c>
      <c r="B2028" s="4" t="s">
        <v>25</v>
      </c>
      <c r="C2028" s="16" t="s">
        <v>387</v>
      </c>
      <c r="D2028" s="16" t="s">
        <v>505</v>
      </c>
      <c r="E2028" s="16" t="s">
        <v>467</v>
      </c>
      <c r="F2028" s="16" t="s">
        <v>468</v>
      </c>
      <c r="G2028" s="16" t="s">
        <v>469</v>
      </c>
      <c r="H2028" s="16" t="s">
        <v>506</v>
      </c>
      <c r="I2028" s="16" t="s">
        <v>507</v>
      </c>
      <c r="J2028" s="16" t="s">
        <v>508</v>
      </c>
      <c r="K2028" s="4" t="s">
        <v>345</v>
      </c>
    </row>
    <row r="2029" customFormat="false" ht="17.15" hidden="false" customHeight="false" outlineLevel="0" collapsed="false">
      <c r="A2029" s="5" t="s">
        <v>526</v>
      </c>
    </row>
    <row r="2030" customFormat="false" ht="17.15" hidden="false" customHeight="false" outlineLevel="0" collapsed="false">
      <c r="A2030" s="3" t="s">
        <v>527</v>
      </c>
      <c r="B2030" s="3" t="s">
        <v>64</v>
      </c>
      <c r="D2030" s="22" t="n">
        <f aca="false">cap_26</f>
        <v>5230.46851955216</v>
      </c>
      <c r="E2030" s="22" t="n">
        <f aca="false">D2030*(1+capg27)*cap_adj</f>
        <v>5439.68726033425</v>
      </c>
      <c r="F2030" s="22" t="n">
        <f aca="false">E2030*(1+capg28)</f>
        <v>5820.46536855765</v>
      </c>
      <c r="G2030" s="22" t="n">
        <f aca="false">F2030*(1+capg29)</f>
        <v>6227.89794435668</v>
      </c>
    </row>
    <row r="2031" customFormat="false" ht="15" hidden="false" customHeight="false" outlineLevel="0" collapsed="false">
      <c r="A2031" s="3" t="s">
        <v>528</v>
      </c>
      <c r="B2031" s="0" t="s">
        <v>69</v>
      </c>
      <c r="D2031" s="21" t="n">
        <f aca="false">a26_ship/cap_26</f>
        <v>0.870578781414787</v>
      </c>
      <c r="E2031" s="21" t="n">
        <f aca="false">MIN(0.98,ut27_A+ut_adj)</f>
        <v>0.95</v>
      </c>
      <c r="F2031" s="21" t="n">
        <f aca="false">MIN(0.98,ut28_A+ut_adj)</f>
        <v>0.94</v>
      </c>
      <c r="G2031" s="21" t="n">
        <f aca="false">MIN(0.98,ut29_A+ut_adj)</f>
        <v>0.93</v>
      </c>
    </row>
    <row r="2032" customFormat="false" ht="17.15" hidden="false" customHeight="false" outlineLevel="0" collapsed="false">
      <c r="A2032" s="3" t="s">
        <v>529</v>
      </c>
      <c r="B2032" s="3" t="s">
        <v>64</v>
      </c>
      <c r="D2032" s="22" t="n">
        <f aca="false">D2030*D2031</f>
        <v>4553.53490998013</v>
      </c>
      <c r="E2032" s="22" t="n">
        <f aca="false">E2030*E2031</f>
        <v>5167.70289731754</v>
      </c>
      <c r="F2032" s="22" t="n">
        <f aca="false">F2030*F2031</f>
        <v>5471.23744644419</v>
      </c>
      <c r="G2032" s="22" t="n">
        <f aca="false">G2030*G2031</f>
        <v>5791.94508825172</v>
      </c>
    </row>
    <row r="2033" customFormat="false" ht="17.15" hidden="false" customHeight="false" outlineLevel="0" collapsed="false">
      <c r="A2033" s="3" t="s">
        <v>530</v>
      </c>
      <c r="B2033" s="0" t="s">
        <v>109</v>
      </c>
      <c r="D2033" s="22" t="n">
        <f aca="false">asp_26</f>
        <v>1878.17486396824</v>
      </c>
      <c r="E2033" s="22" t="n">
        <f aca="false">D2033*(1+asp27_A)*(1+asp_adj)</f>
        <v>2065.99235036507</v>
      </c>
      <c r="F2033" s="22" t="n">
        <f aca="false">E2033*(1+asp28_A)</f>
        <v>2127.97212087602</v>
      </c>
      <c r="G2033" s="22" t="n">
        <f aca="false">F2033*(1+asp29_A)</f>
        <v>2170.53156329354</v>
      </c>
    </row>
    <row r="2034" customFormat="false" ht="15" hidden="false" customHeight="false" outlineLevel="0" collapsed="false">
      <c r="A2034" s="3" t="s">
        <v>531</v>
      </c>
      <c r="B2034" s="0" t="s">
        <v>69</v>
      </c>
      <c r="E2034" s="21" t="n">
        <f aca="false">E2033/D2033-1</f>
        <v>0.1</v>
      </c>
      <c r="F2034" s="21" t="n">
        <f aca="false">F2033/E2033-1</f>
        <v>0.03</v>
      </c>
      <c r="G2034" s="21" t="n">
        <f aca="false">G2033/F2033-1</f>
        <v>0.02</v>
      </c>
    </row>
    <row r="2035" customFormat="false" ht="15" hidden="false" customHeight="false" outlineLevel="0" collapsed="false">
      <c r="A2035" s="3" t="s">
        <v>532</v>
      </c>
      <c r="B2035" s="0" t="s">
        <v>35</v>
      </c>
      <c r="D2035" s="23" t="n">
        <f aca="false">fx_26</f>
        <v>31.6</v>
      </c>
      <c r="E2035" s="23" t="n">
        <f aca="false">fx</f>
        <v>32</v>
      </c>
      <c r="F2035" s="23" t="n">
        <f aca="false">fx</f>
        <v>32</v>
      </c>
      <c r="G2035" s="23" t="n">
        <f aca="false">fx</f>
        <v>32</v>
      </c>
    </row>
    <row r="2036" customFormat="false" ht="17.15" hidden="false" customHeight="false" outlineLevel="0" collapsed="false">
      <c r="A2036" s="3" t="s">
        <v>533</v>
      </c>
      <c r="B2036" s="0" t="s">
        <v>181</v>
      </c>
      <c r="D2036" s="23" t="n">
        <f aca="false">D2032*D2033*D2035/1000000</f>
        <v>270.25378</v>
      </c>
      <c r="E2036" s="23" t="n">
        <f aca="false">E2032*E2033*E2035/1000000</f>
        <v>341.645908954158</v>
      </c>
      <c r="F2036" s="23" t="n">
        <f aca="false">F2032*F2033*F2035/1000000</f>
        <v>372.564504087237</v>
      </c>
      <c r="G2036" s="23" t="n">
        <f aca="false">G2032*G2033*G2035/1000000</f>
        <v>402.291188061227</v>
      </c>
    </row>
    <row r="2037" customFormat="false" ht="17.15" hidden="false" customHeight="false" outlineLevel="0" collapsed="false">
      <c r="A2037" s="5" t="s">
        <v>534</v>
      </c>
    </row>
    <row r="2038" customFormat="false" ht="17.15" hidden="false" customHeight="false" outlineLevel="0" collapsed="false">
      <c r="A2038" s="0" t="s">
        <v>535</v>
      </c>
      <c r="B2038" s="0" t="s">
        <v>138</v>
      </c>
      <c r="D2038" s="25" t="n">
        <f aca="false">ai_26</f>
        <v>0.3</v>
      </c>
      <c r="E2038" s="25" t="n">
        <f aca="false">D2038*(1+aig27_A)*ai_adj</f>
        <v>0.48</v>
      </c>
      <c r="F2038" s="25" t="n">
        <f aca="false">E2038*(1+aig_L)*um28_A</f>
        <v>0.696</v>
      </c>
      <c r="G2038" s="25" t="n">
        <f aca="false">F2038/um28_A*(1+aig_L)*um29_A</f>
        <v>1.0092</v>
      </c>
    </row>
    <row r="2039" customFormat="false" ht="17.15" hidden="false" customHeight="false" outlineLevel="0" collapsed="false">
      <c r="A2039" s="0" t="s">
        <v>536</v>
      </c>
      <c r="B2039" s="0" t="s">
        <v>181</v>
      </c>
      <c r="D2039" s="23" t="n">
        <f aca="false">D2038*D2035</f>
        <v>9.48</v>
      </c>
      <c r="E2039" s="23" t="n">
        <f aca="false">E2038*E2035</f>
        <v>15.36</v>
      </c>
      <c r="F2039" s="23" t="n">
        <f aca="false">F2038*F2035</f>
        <v>22.272</v>
      </c>
      <c r="G2039" s="23" t="n">
        <f aca="false">G2038*G2035</f>
        <v>32.2944</v>
      </c>
    </row>
    <row r="2040" customFormat="false" ht="17.15" hidden="false" customHeight="false" outlineLevel="0" collapsed="false">
      <c r="A2040" s="0" t="s">
        <v>537</v>
      </c>
      <c r="B2040" s="0" t="s">
        <v>138</v>
      </c>
      <c r="D2040" s="25" t="n">
        <f aca="false">0</f>
        <v>0</v>
      </c>
      <c r="E2040" s="25" t="n">
        <f aca="false">int_27</f>
        <v>0</v>
      </c>
      <c r="F2040" s="25" t="n">
        <f aca="false">int28_A</f>
        <v>0.25</v>
      </c>
      <c r="G2040" s="25" t="n">
        <f aca="false">int29_A</f>
        <v>0.5</v>
      </c>
    </row>
    <row r="2041" customFormat="false" ht="17.15" hidden="false" customHeight="false" outlineLevel="0" collapsed="false">
      <c r="A2041" s="0" t="s">
        <v>538</v>
      </c>
      <c r="B2041" s="0" t="s">
        <v>181</v>
      </c>
      <c r="D2041" s="23" t="n">
        <f aca="false">D2040*D2035</f>
        <v>0</v>
      </c>
      <c r="E2041" s="23" t="n">
        <f aca="false">E2040*E2035</f>
        <v>0</v>
      </c>
      <c r="F2041" s="23" t="n">
        <f aca="false">F2040*F2035</f>
        <v>8</v>
      </c>
      <c r="G2041" s="23" t="n">
        <f aca="false">G2040*G2035</f>
        <v>16</v>
      </c>
    </row>
    <row r="2042" customFormat="false" ht="17.15" hidden="false" customHeight="false" outlineLevel="0" collapsed="false">
      <c r="A2042" s="3" t="s">
        <v>393</v>
      </c>
      <c r="B2042" s="0" t="s">
        <v>181</v>
      </c>
      <c r="C2042" s="23" t="n">
        <f aca="false">a25_rev</f>
        <v>237.553</v>
      </c>
      <c r="D2042" s="23" t="n">
        <f aca="false">D2036+D2039+D2041</f>
        <v>279.73378</v>
      </c>
      <c r="E2042" s="23" t="n">
        <f aca="false">E2036+E2039+E2041</f>
        <v>357.005908954158</v>
      </c>
      <c r="F2042" s="23" t="n">
        <f aca="false">F2036+F2039+F2041</f>
        <v>402.836504087237</v>
      </c>
      <c r="G2042" s="23" t="n">
        <f aca="false">G2036+G2039+G2041</f>
        <v>450.585588061227</v>
      </c>
      <c r="H2042" s="30" t="n">
        <f aca="false">G2042*(1+H2044)</f>
        <v>495.203224084546</v>
      </c>
      <c r="I2042" s="30" t="n">
        <f aca="false">H2042*(1+I2044)</f>
        <v>534.577190214366</v>
      </c>
      <c r="J2042" s="30" t="n">
        <f aca="false">I2042*(1+J2044)</f>
        <v>566.651821627228</v>
      </c>
      <c r="K2042" s="7" t="s">
        <v>539</v>
      </c>
    </row>
    <row r="2043" customFormat="false" ht="17.15" hidden="false" customHeight="false" outlineLevel="0" collapsed="false">
      <c r="A2043" s="0" t="s">
        <v>540</v>
      </c>
      <c r="B2043" s="0" t="s">
        <v>69</v>
      </c>
      <c r="D2043" s="21" t="n">
        <f aca="false">D2039/D2042</f>
        <v>0.0338893643806622</v>
      </c>
      <c r="E2043" s="21" t="n">
        <f aca="false">E2039/E2042</f>
        <v>0.0430244979557813</v>
      </c>
      <c r="F2043" s="21" t="n">
        <f aca="false">F2039/F2042</f>
        <v>0.0552879388387723</v>
      </c>
      <c r="G2043" s="21" t="n">
        <f aca="false">G2039/G2042</f>
        <v>0.0716720659862999</v>
      </c>
    </row>
    <row r="2044" customFormat="false" ht="15" hidden="false" customHeight="false" outlineLevel="0" collapsed="false">
      <c r="A2044" s="3" t="s">
        <v>541</v>
      </c>
      <c r="B2044" s="0" t="s">
        <v>69</v>
      </c>
      <c r="D2044" s="21" t="n">
        <f aca="false">D2042/C2042-1</f>
        <v>0.177563659478096</v>
      </c>
      <c r="E2044" s="21" t="n">
        <f aca="false">E2042/D2042-1</f>
        <v>0.276234528965926</v>
      </c>
      <c r="F2044" s="21" t="n">
        <f aca="false">F2042/E2042-1</f>
        <v>0.128374892357772</v>
      </c>
      <c r="G2044" s="21" t="n">
        <f aca="false">G2042/F2042-1</f>
        <v>0.118532167491082</v>
      </c>
      <c r="H2044" s="28" t="n">
        <f aca="false">$G2044+(fade_gA-$G2044)*1/3</f>
        <v>0.099021444994055</v>
      </c>
      <c r="I2044" s="28" t="n">
        <f aca="false">$G2044+(fade_gA-$G2044)*2/3</f>
        <v>0.0795107224970275</v>
      </c>
      <c r="J2044" s="28" t="n">
        <f aca="false">$G2044+(fade_gA-$G2044)*3/3</f>
        <v>0.06</v>
      </c>
    </row>
    <row r="2045" customFormat="false" ht="17.15" hidden="false" customHeight="false" outlineLevel="0" collapsed="false">
      <c r="A2045" s="5" t="s">
        <v>542</v>
      </c>
    </row>
    <row r="2046" customFormat="false" ht="15" hidden="false" customHeight="false" outlineLevel="0" collapsed="false">
      <c r="A2046" s="3" t="s">
        <v>543</v>
      </c>
      <c r="B2046" s="0" t="s">
        <v>181</v>
      </c>
      <c r="D2046" s="23" t="n">
        <f aca="false">da_tot26*da_sh</f>
        <v>56.172</v>
      </c>
      <c r="E2046" s="23" t="n">
        <f aca="false">D2046*(1+dag_27+dag_adj)</f>
        <v>62.91264</v>
      </c>
      <c r="F2046" s="23" t="n">
        <f aca="false">E2046*(1+dag_28+dag_adj)</f>
        <v>69.203904</v>
      </c>
      <c r="G2046" s="23" t="n">
        <f aca="false">F2046*(1+dag_29+dag_adj)</f>
        <v>74.74021632</v>
      </c>
    </row>
    <row r="2047" customFormat="false" ht="17.15" hidden="false" customHeight="false" outlineLevel="0" collapsed="false">
      <c r="A2047" s="3" t="s">
        <v>544</v>
      </c>
      <c r="B2047" s="0" t="s">
        <v>545</v>
      </c>
      <c r="D2047" s="23" t="n">
        <f aca="false">(D2042-a26_gp-D2046-(1-m_new)*(D2039+D2041))/D2032*1000</f>
        <v>27.9465727870208</v>
      </c>
      <c r="E2047" s="23" t="n">
        <f aca="false">D2047*(1+cc_g)</f>
        <v>28.5055042427612</v>
      </c>
      <c r="F2047" s="23" t="n">
        <f aca="false">E2047*(1+cc_g)</f>
        <v>29.0756143276165</v>
      </c>
      <c r="G2047" s="23" t="n">
        <f aca="false">F2047*(1+cc_g)</f>
        <v>29.6571266141688</v>
      </c>
      <c r="K2047" s="7" t="s">
        <v>546</v>
      </c>
    </row>
    <row r="2048" customFormat="false" ht="17.15" hidden="false" customHeight="false" outlineLevel="0" collapsed="false">
      <c r="A2048" s="3" t="s">
        <v>547</v>
      </c>
      <c r="B2048" s="0" t="s">
        <v>181</v>
      </c>
      <c r="D2048" s="23" t="n">
        <f aca="false">D2047*D2032/1000</f>
        <v>127.2556948</v>
      </c>
      <c r="E2048" s="23" t="n">
        <f aca="false">E2047*E2032/1000</f>
        <v>147.307976864815</v>
      </c>
      <c r="F2048" s="23" t="n">
        <f aca="false">F2047*F2032/1000</f>
        <v>159.079589887624</v>
      </c>
      <c r="G2048" s="23" t="n">
        <f aca="false">G2047*G2032/1000</f>
        <v>171.772448824594</v>
      </c>
    </row>
    <row r="2049" customFormat="false" ht="17.15" hidden="false" customHeight="false" outlineLevel="0" collapsed="false">
      <c r="A2049" s="3" t="s">
        <v>548</v>
      </c>
      <c r="B2049" s="0" t="s">
        <v>181</v>
      </c>
      <c r="D2049" s="23" t="n">
        <f aca="false">m_new*(D2039+D2041)</f>
        <v>4.266</v>
      </c>
      <c r="E2049" s="23" t="n">
        <f aca="false">m_new*(E2039+E2041)</f>
        <v>6.912</v>
      </c>
      <c r="F2049" s="23" t="n">
        <f aca="false">m_new*(F2039+F2041)</f>
        <v>13.6224</v>
      </c>
      <c r="G2049" s="23" t="n">
        <f aca="false">m_new*(G2039+G2041)</f>
        <v>21.73248</v>
      </c>
    </row>
    <row r="2050" customFormat="false" ht="15" hidden="false" customHeight="false" outlineLevel="0" collapsed="false">
      <c r="A2050" s="3" t="s">
        <v>411</v>
      </c>
      <c r="B2050" s="0" t="s">
        <v>181</v>
      </c>
      <c r="C2050" s="23" t="n">
        <f aca="false">a25_gp</f>
        <v>68.906</v>
      </c>
      <c r="D2050" s="23" t="n">
        <f aca="false">D2036-D2046-D2048+D2049</f>
        <v>91.0920852</v>
      </c>
      <c r="E2050" s="23" t="n">
        <f aca="false">E2036-E2046-E2048+E2049</f>
        <v>138.337292089343</v>
      </c>
      <c r="F2050" s="23" t="n">
        <f aca="false">F2036-F2046-F2048+F2049</f>
        <v>157.903410199612</v>
      </c>
      <c r="G2050" s="23" t="n">
        <f aca="false">G2036-G2046-G2048+G2049</f>
        <v>177.511002916633</v>
      </c>
    </row>
    <row r="2051" customFormat="false" ht="15" hidden="false" customHeight="false" outlineLevel="0" collapsed="false">
      <c r="A2051" s="3" t="s">
        <v>413</v>
      </c>
      <c r="B2051" s="0" t="s">
        <v>69</v>
      </c>
      <c r="C2051" s="15" t="n">
        <f aca="false">C2050/C2042</f>
        <v>0.290065795843454</v>
      </c>
      <c r="D2051" s="15" t="n">
        <f aca="false">D2050/D2042</f>
        <v>0.325638488136828</v>
      </c>
      <c r="E2051" s="15" t="n">
        <f aca="false">E2050/E2042</f>
        <v>0.387493003952231</v>
      </c>
      <c r="F2051" s="15" t="n">
        <f aca="false">F2050/F2042</f>
        <v>0.391978901111249</v>
      </c>
      <c r="G2051" s="15" t="n">
        <f aca="false">G2050/G2042</f>
        <v>0.39395623743854</v>
      </c>
    </row>
    <row r="2052" customFormat="false" ht="15" hidden="false" customHeight="false" outlineLevel="0" collapsed="false">
      <c r="A2052" s="3" t="s">
        <v>415</v>
      </c>
      <c r="B2052" s="0" t="s">
        <v>181</v>
      </c>
      <c r="C2052" s="23" t="n">
        <f aca="false">a25_opx</f>
        <v>25.056</v>
      </c>
      <c r="D2052" s="23" t="n">
        <f aca="false">a26_opx</f>
        <v>27.23586</v>
      </c>
      <c r="E2052" s="23" t="n">
        <f aca="false">D2052*(1+MAX(g_opx_min,phi*E2044))</f>
        <v>30.997602479041</v>
      </c>
      <c r="F2052" s="23" t="n">
        <f aca="false">E2052*(1+MAX(g_opx_min,phi*F2044))</f>
        <v>32.9872594198389</v>
      </c>
      <c r="G2052" s="23" t="n">
        <f aca="false">F2052*(1+MAX(g_opx_min,phi*G2044))</f>
        <v>34.942285099151</v>
      </c>
    </row>
    <row r="2053" customFormat="false" ht="15" hidden="false" customHeight="false" outlineLevel="0" collapsed="false">
      <c r="A2053" s="3" t="s">
        <v>418</v>
      </c>
      <c r="B2053" s="0" t="s">
        <v>181</v>
      </c>
      <c r="C2053" s="23" t="n">
        <f aca="false">C2050-C2052</f>
        <v>43.85</v>
      </c>
      <c r="D2053" s="23" t="n">
        <f aca="false">D2050-D2052</f>
        <v>63.8562252</v>
      </c>
      <c r="E2053" s="23" t="n">
        <f aca="false">E2050-E2052</f>
        <v>107.339689610302</v>
      </c>
      <c r="F2053" s="23" t="n">
        <f aca="false">F2050-F2052</f>
        <v>124.916150779773</v>
      </c>
      <c r="G2053" s="23" t="n">
        <f aca="false">G2050-G2052</f>
        <v>142.568717817482</v>
      </c>
    </row>
    <row r="2054" customFormat="false" ht="15" hidden="false" customHeight="false" outlineLevel="0" collapsed="false">
      <c r="A2054" s="3" t="s">
        <v>515</v>
      </c>
      <c r="B2054" s="0" t="s">
        <v>69</v>
      </c>
      <c r="C2054" s="15" t="n">
        <f aca="false">C2053/C2042</f>
        <v>0.184590386145408</v>
      </c>
      <c r="D2054" s="15" t="n">
        <f aca="false">D2053/D2042</f>
        <v>0.228274987740129</v>
      </c>
      <c r="E2054" s="15" t="n">
        <f aca="false">E2053/E2042</f>
        <v>0.300666422930511</v>
      </c>
      <c r="F2054" s="15" t="n">
        <f aca="false">F2053/F2042</f>
        <v>0.31009143787208</v>
      </c>
      <c r="G2054" s="15" t="n">
        <f aca="false">G2053/G2042</f>
        <v>0.316407629526999</v>
      </c>
    </row>
    <row r="2055" customFormat="false" ht="15" hidden="false" customHeight="false" outlineLevel="0" collapsed="false">
      <c r="A2055" s="3" t="s">
        <v>421</v>
      </c>
      <c r="B2055" s="0" t="s">
        <v>181</v>
      </c>
      <c r="C2055" s="23" t="n">
        <f aca="false">a25_nonop</f>
        <v>5.805</v>
      </c>
      <c r="D2055" s="23" t="n">
        <f aca="false">a26_nonop</f>
        <v>38.372</v>
      </c>
      <c r="E2055" s="23" t="n">
        <f aca="false">nonop_f</f>
        <v>4</v>
      </c>
      <c r="F2055" s="23" t="n">
        <f aca="false">nonop_f</f>
        <v>4</v>
      </c>
      <c r="G2055" s="23" t="n">
        <f aca="false">nonop_f</f>
        <v>4</v>
      </c>
    </row>
    <row r="2056" customFormat="false" ht="15" hidden="false" customHeight="false" outlineLevel="0" collapsed="false">
      <c r="A2056" s="3" t="s">
        <v>423</v>
      </c>
      <c r="B2056" s="0" t="s">
        <v>181</v>
      </c>
      <c r="C2056" s="23" t="n">
        <f aca="false">C2053+C2055</f>
        <v>49.655</v>
      </c>
      <c r="D2056" s="23" t="n">
        <f aca="false">D2053+D2055</f>
        <v>102.2282252</v>
      </c>
      <c r="E2056" s="23" t="n">
        <f aca="false">E2053+E2055</f>
        <v>111.339689610302</v>
      </c>
      <c r="F2056" s="23" t="n">
        <f aca="false">F2053+F2055</f>
        <v>128.916150779773</v>
      </c>
      <c r="G2056" s="23" t="n">
        <f aca="false">G2053+G2055</f>
        <v>146.568717817482</v>
      </c>
    </row>
    <row r="2057" customFormat="false" ht="15" hidden="false" customHeight="false" outlineLevel="0" collapsed="false">
      <c r="A2057" s="3" t="s">
        <v>425</v>
      </c>
      <c r="B2057" s="0" t="s">
        <v>181</v>
      </c>
      <c r="C2057" s="23" t="n">
        <f aca="false">a25_tax</f>
        <v>7.939</v>
      </c>
      <c r="D2057" s="23" t="n">
        <f aca="false">a26_tax</f>
        <v>10.493828284</v>
      </c>
      <c r="E2057" s="23" t="n">
        <f aca="false">E2056*tax_hi</f>
        <v>22.2679379220605</v>
      </c>
      <c r="F2057" s="23" t="n">
        <f aca="false">F2056*tax_hi</f>
        <v>25.7832301559547</v>
      </c>
      <c r="G2057" s="23" t="n">
        <f aca="false">G2056*tax_hi</f>
        <v>29.3137435634964</v>
      </c>
    </row>
    <row r="2058" customFormat="false" ht="17.15" hidden="false" customHeight="false" outlineLevel="0" collapsed="false">
      <c r="A2058" s="3" t="s">
        <v>549</v>
      </c>
      <c r="B2058" s="0" t="s">
        <v>181</v>
      </c>
      <c r="C2058" s="23" t="n">
        <f aca="false">a25_mi</f>
        <v>0</v>
      </c>
      <c r="D2058" s="23" t="n">
        <f aca="false">a26_mi</f>
        <v>-0.134999999999987</v>
      </c>
      <c r="E2058" s="23" t="n">
        <f aca="false">0</f>
        <v>0</v>
      </c>
      <c r="F2058" s="23" t="n">
        <f aca="false">0</f>
        <v>0</v>
      </c>
      <c r="G2058" s="23" t="n">
        <f aca="false">0</f>
        <v>0</v>
      </c>
      <c r="K2058" s="7" t="s">
        <v>550</v>
      </c>
    </row>
    <row r="2059" customFormat="false" ht="15" hidden="false" customHeight="false" outlineLevel="0" collapsed="false">
      <c r="A2059" s="3" t="s">
        <v>428</v>
      </c>
      <c r="B2059" s="0" t="s">
        <v>181</v>
      </c>
      <c r="C2059" s="23" t="n">
        <f aca="false">C2056-C2057-C2058</f>
        <v>41.716</v>
      </c>
      <c r="D2059" s="23" t="n">
        <f aca="false">D2056-D2057-D2058</f>
        <v>91.869396916</v>
      </c>
      <c r="E2059" s="23" t="n">
        <f aca="false">E2056-E2057-E2058</f>
        <v>89.0717516882419</v>
      </c>
      <c r="F2059" s="23" t="n">
        <f aca="false">F2056-F2057-F2058</f>
        <v>103.132920623819</v>
      </c>
      <c r="G2059" s="23" t="n">
        <f aca="false">G2056-G2057-G2058</f>
        <v>117.254974253986</v>
      </c>
      <c r="H2059" s="30" t="n">
        <f aca="false">H2042*H2063</f>
        <v>128.865731237356</v>
      </c>
      <c r="I2059" s="30" t="n">
        <f aca="false">I2042*I2063</f>
        <v>139.111938633146</v>
      </c>
      <c r="J2059" s="30" t="n">
        <f aca="false">J2042*J2063</f>
        <v>147.458654951135</v>
      </c>
    </row>
    <row r="2060" customFormat="false" ht="15" hidden="false" customHeight="false" outlineLevel="0" collapsed="false">
      <c r="A2060" s="3" t="s">
        <v>551</v>
      </c>
      <c r="B2060" s="3" t="s">
        <v>250</v>
      </c>
      <c r="C2060" s="9" t="n">
        <f aca="false">a25_sh</f>
        <v>12.4898203592814</v>
      </c>
      <c r="D2060" s="9" t="n">
        <f aca="false">a26_sh</f>
        <v>12.4754339027235</v>
      </c>
      <c r="E2060" s="9" t="n">
        <f aca="false">q_sh*(1+sh_g)</f>
        <v>12.45</v>
      </c>
      <c r="F2060" s="9" t="n">
        <f aca="false">E2060*(1+sh_g)</f>
        <v>12.45</v>
      </c>
      <c r="G2060" s="9" t="n">
        <f aca="false">F2060*(1+sh_g)</f>
        <v>12.45</v>
      </c>
      <c r="H2060" s="32" t="n">
        <f aca="false">G2060*(1+sh_g)</f>
        <v>12.45</v>
      </c>
      <c r="I2060" s="32" t="n">
        <f aca="false">H2060*(1+sh_g)</f>
        <v>12.45</v>
      </c>
      <c r="J2060" s="32" t="n">
        <f aca="false">I2060*(1+sh_g)</f>
        <v>12.45</v>
      </c>
    </row>
    <row r="2061" customFormat="false" ht="17.15" hidden="false" customHeight="false" outlineLevel="0" collapsed="false">
      <c r="A2061" s="0" t="s">
        <v>434</v>
      </c>
      <c r="B2061" s="0" t="s">
        <v>260</v>
      </c>
      <c r="C2061" s="23" t="n">
        <f aca="false">C2059/C2060</f>
        <v>3.34</v>
      </c>
      <c r="D2061" s="23" t="n">
        <f aca="false">D2059/D2060</f>
        <v>7.36402418002826</v>
      </c>
      <c r="E2061" s="23" t="n">
        <f aca="false">E2059/E2060</f>
        <v>7.15435756532063</v>
      </c>
      <c r="F2061" s="23" t="n">
        <f aca="false">F2059/F2060</f>
        <v>8.28376872480471</v>
      </c>
      <c r="G2061" s="23" t="n">
        <f aca="false">G2059/G2060</f>
        <v>9.41807022120366</v>
      </c>
      <c r="H2061" s="30" t="n">
        <f aca="false">H2059/H2060</f>
        <v>10.3506611435627</v>
      </c>
      <c r="I2061" s="30" t="n">
        <f aca="false">I2059/I2060</f>
        <v>11.1736496894093</v>
      </c>
      <c r="J2061" s="30" t="n">
        <f aca="false">J2059/J2060</f>
        <v>11.8440686707739</v>
      </c>
    </row>
    <row r="2062" customFormat="false" ht="17.15" hidden="false" customHeight="false" outlineLevel="0" collapsed="false">
      <c r="A2062" s="0" t="s">
        <v>552</v>
      </c>
      <c r="B2062" s="0" t="s">
        <v>69</v>
      </c>
      <c r="D2062" s="21" t="n">
        <f aca="false">D2061/C2061-1</f>
        <v>1.2047976586911</v>
      </c>
      <c r="E2062" s="21" t="n">
        <f aca="false">E2061/D2061-1</f>
        <v>-0.0284717444676865</v>
      </c>
      <c r="F2062" s="21" t="n">
        <f aca="false">F2061/E2061-1</f>
        <v>0.157863392928344</v>
      </c>
      <c r="G2062" s="21" t="n">
        <f aca="false">G2061/F2061-1</f>
        <v>0.136930609011623</v>
      </c>
      <c r="H2062" s="28" t="n">
        <f aca="false">H2061/G2061-1</f>
        <v>0.099021444994055</v>
      </c>
      <c r="I2062" s="28" t="n">
        <f aca="false">I2061/H2061-1</f>
        <v>0.0795107224970275</v>
      </c>
      <c r="J2062" s="28" t="n">
        <f aca="false">J2061/I2061-1</f>
        <v>0.0600000000000003</v>
      </c>
    </row>
    <row r="2063" customFormat="false" ht="17.15" hidden="false" customHeight="false" outlineLevel="0" collapsed="false">
      <c r="A2063" s="3" t="s">
        <v>553</v>
      </c>
      <c r="B2063" s="0" t="s">
        <v>69</v>
      </c>
      <c r="C2063" s="15" t="n">
        <f aca="false">C2059/C2042</f>
        <v>0.175607127672562</v>
      </c>
      <c r="D2063" s="15" t="n">
        <f aca="false">D2059/D2042</f>
        <v>0.328417243409073</v>
      </c>
      <c r="E2063" s="15" t="n">
        <f aca="false">E2059/E2042</f>
        <v>0.24949657541853</v>
      </c>
      <c r="F2063" s="15" t="n">
        <f aca="false">F2059/F2042</f>
        <v>0.256016819671051</v>
      </c>
      <c r="G2063" s="15" t="n">
        <f aca="false">G2059/G2042</f>
        <v>0.260227973021748</v>
      </c>
      <c r="H2063" s="29" t="n">
        <f aca="false">$G2063+($G$2063*1-$G2063)*1/3</f>
        <v>0.260227973021748</v>
      </c>
      <c r="I2063" s="29" t="n">
        <f aca="false">$G2063+($G$2063*1-$G2063)*2/3</f>
        <v>0.260227973021748</v>
      </c>
      <c r="J2063" s="29" t="n">
        <f aca="false">$G2063+($G$2063*1-$G2063)*3/3</f>
        <v>0.260227973021748</v>
      </c>
    </row>
    <row r="2066" customFormat="false" ht="17.15" hidden="false" customHeight="false" outlineLevel="0" collapsed="false">
      <c r="A2066" s="1" t="s">
        <v>889</v>
      </c>
    </row>
    <row r="2067" customFormat="false" ht="17.15" hidden="false" customHeight="false" outlineLevel="0" collapsed="false">
      <c r="A2067" s="4" t="s">
        <v>24</v>
      </c>
      <c r="B2067" s="4" t="s">
        <v>25</v>
      </c>
      <c r="C2067" s="16" t="s">
        <v>387</v>
      </c>
      <c r="D2067" s="16" t="s">
        <v>505</v>
      </c>
      <c r="E2067" s="16" t="s">
        <v>467</v>
      </c>
      <c r="F2067" s="16" t="s">
        <v>468</v>
      </c>
      <c r="G2067" s="16" t="s">
        <v>469</v>
      </c>
      <c r="H2067" s="16" t="s">
        <v>506</v>
      </c>
      <c r="I2067" s="16" t="s">
        <v>507</v>
      </c>
      <c r="J2067" s="16" t="s">
        <v>508</v>
      </c>
      <c r="K2067" s="4" t="s">
        <v>345</v>
      </c>
    </row>
    <row r="2068" customFormat="false" ht="17.15" hidden="false" customHeight="false" outlineLevel="0" collapsed="false">
      <c r="A2068" s="5" t="s">
        <v>526</v>
      </c>
    </row>
    <row r="2069" customFormat="false" ht="17.15" hidden="false" customHeight="false" outlineLevel="0" collapsed="false">
      <c r="A2069" s="3" t="s">
        <v>527</v>
      </c>
      <c r="B2069" s="3" t="s">
        <v>64</v>
      </c>
      <c r="D2069" s="22" t="n">
        <f aca="false">cap_26</f>
        <v>5230.46851955216</v>
      </c>
      <c r="E2069" s="22" t="n">
        <f aca="false">D2069*(1+capg27)*cap_adj</f>
        <v>5439.68726033425</v>
      </c>
      <c r="F2069" s="22" t="n">
        <f aca="false">E2069*(1+capg28)</f>
        <v>5820.46536855765</v>
      </c>
      <c r="G2069" s="22" t="n">
        <f aca="false">F2069*(1+capg29)</f>
        <v>6227.89794435668</v>
      </c>
    </row>
    <row r="2070" customFormat="false" ht="15" hidden="false" customHeight="false" outlineLevel="0" collapsed="false">
      <c r="A2070" s="3" t="s">
        <v>528</v>
      </c>
      <c r="B2070" s="0" t="s">
        <v>69</v>
      </c>
      <c r="D2070" s="21" t="n">
        <f aca="false">a26_ship/cap_26</f>
        <v>0.870578781414787</v>
      </c>
      <c r="E2070" s="21" t="n">
        <f aca="false">MIN(0.98,ut27_B+ut_adj)</f>
        <v>0.9</v>
      </c>
      <c r="F2070" s="21" t="n">
        <f aca="false">MIN(0.98,ut28_B+ut_adj)</f>
        <v>0.87</v>
      </c>
      <c r="G2070" s="21" t="n">
        <f aca="false">MIN(0.98,ut29_B+ut_adj)</f>
        <v>0.88</v>
      </c>
    </row>
    <row r="2071" customFormat="false" ht="17.15" hidden="false" customHeight="false" outlineLevel="0" collapsed="false">
      <c r="A2071" s="3" t="s">
        <v>529</v>
      </c>
      <c r="B2071" s="3" t="s">
        <v>64</v>
      </c>
      <c r="D2071" s="22" t="n">
        <f aca="false">D2069*D2070</f>
        <v>4553.53490998013</v>
      </c>
      <c r="E2071" s="22" t="n">
        <f aca="false">E2069*E2070</f>
        <v>4895.71853430083</v>
      </c>
      <c r="F2071" s="22" t="n">
        <f aca="false">F2069*F2070</f>
        <v>5063.80487064515</v>
      </c>
      <c r="G2071" s="22" t="n">
        <f aca="false">G2069*G2070</f>
        <v>5480.55019103388</v>
      </c>
    </row>
    <row r="2072" customFormat="false" ht="17.15" hidden="false" customHeight="false" outlineLevel="0" collapsed="false">
      <c r="A2072" s="3" t="s">
        <v>530</v>
      </c>
      <c r="B2072" s="0" t="s">
        <v>109</v>
      </c>
      <c r="D2072" s="22" t="n">
        <f aca="false">asp_26</f>
        <v>1878.17486396824</v>
      </c>
      <c r="E2072" s="22" t="n">
        <f aca="false">D2072*(1+asp27_B)*(1+asp_adj)</f>
        <v>1972.08360716666</v>
      </c>
      <c r="F2072" s="22" t="n">
        <f aca="false">E2072*(1+asp28_B)</f>
        <v>1972.08360716666</v>
      </c>
      <c r="G2072" s="22" t="n">
        <f aca="false">F2072*(1+asp29_B)</f>
        <v>1972.08360716666</v>
      </c>
    </row>
    <row r="2073" customFormat="false" ht="15" hidden="false" customHeight="false" outlineLevel="0" collapsed="false">
      <c r="A2073" s="3" t="s">
        <v>531</v>
      </c>
      <c r="B2073" s="0" t="s">
        <v>69</v>
      </c>
      <c r="E2073" s="21" t="n">
        <f aca="false">E2072/D2072-1</f>
        <v>0.05</v>
      </c>
      <c r="F2073" s="21" t="n">
        <f aca="false">F2072/E2072-1</f>
        <v>0</v>
      </c>
      <c r="G2073" s="21" t="n">
        <f aca="false">G2072/F2072-1</f>
        <v>0</v>
      </c>
    </row>
    <row r="2074" customFormat="false" ht="15" hidden="false" customHeight="false" outlineLevel="0" collapsed="false">
      <c r="A2074" s="3" t="s">
        <v>532</v>
      </c>
      <c r="B2074" s="0" t="s">
        <v>35</v>
      </c>
      <c r="D2074" s="23" t="n">
        <f aca="false">fx_26</f>
        <v>31.6</v>
      </c>
      <c r="E2074" s="23" t="n">
        <f aca="false">fx</f>
        <v>32</v>
      </c>
      <c r="F2074" s="23" t="n">
        <f aca="false">fx</f>
        <v>32</v>
      </c>
      <c r="G2074" s="23" t="n">
        <f aca="false">fx</f>
        <v>32</v>
      </c>
    </row>
    <row r="2075" customFormat="false" ht="17.15" hidden="false" customHeight="false" outlineLevel="0" collapsed="false">
      <c r="A2075" s="3" t="s">
        <v>533</v>
      </c>
      <c r="B2075" s="0" t="s">
        <v>181</v>
      </c>
      <c r="D2075" s="23" t="n">
        <f aca="false">D2071*D2072*D2074/1000000</f>
        <v>270.25378</v>
      </c>
      <c r="E2075" s="23" t="n">
        <f aca="false">E2071*E2072*E2074/1000000</f>
        <v>308.952520537492</v>
      </c>
      <c r="F2075" s="23" t="n">
        <f aca="false">F2071*F2072*F2074/1000000</f>
        <v>319.559890409279</v>
      </c>
      <c r="G2075" s="23" t="n">
        <f aca="false">G2071*G2072*G2074/1000000</f>
        <v>345.859302079744</v>
      </c>
    </row>
    <row r="2076" customFormat="false" ht="17.15" hidden="false" customHeight="false" outlineLevel="0" collapsed="false">
      <c r="A2076" s="5" t="s">
        <v>534</v>
      </c>
    </row>
    <row r="2077" customFormat="false" ht="17.15" hidden="false" customHeight="false" outlineLevel="0" collapsed="false">
      <c r="A2077" s="0" t="s">
        <v>535</v>
      </c>
      <c r="B2077" s="0" t="s">
        <v>138</v>
      </c>
      <c r="D2077" s="25" t="n">
        <f aca="false">ai_26</f>
        <v>0.3</v>
      </c>
      <c r="E2077" s="25" t="n">
        <f aca="false">D2077*(1+aig27_B)*ai_adj</f>
        <v>0.42</v>
      </c>
      <c r="F2077" s="25" t="n">
        <f aca="false">E2077*(1+aig_L)*um28_B</f>
        <v>0.4872</v>
      </c>
      <c r="G2077" s="25" t="n">
        <f aca="false">F2077/um28_B*(1+aig_L)*um29_B</f>
        <v>0.7505925</v>
      </c>
    </row>
    <row r="2078" customFormat="false" ht="17.15" hidden="false" customHeight="false" outlineLevel="0" collapsed="false">
      <c r="A2078" s="0" t="s">
        <v>536</v>
      </c>
      <c r="B2078" s="0" t="s">
        <v>181</v>
      </c>
      <c r="D2078" s="23" t="n">
        <f aca="false">D2077*D2074</f>
        <v>9.48</v>
      </c>
      <c r="E2078" s="23" t="n">
        <f aca="false">E2077*E2074</f>
        <v>13.44</v>
      </c>
      <c r="F2078" s="23" t="n">
        <f aca="false">F2077*F2074</f>
        <v>15.5904</v>
      </c>
      <c r="G2078" s="23" t="n">
        <f aca="false">G2077*G2074</f>
        <v>24.01896</v>
      </c>
    </row>
    <row r="2079" customFormat="false" ht="17.15" hidden="false" customHeight="false" outlineLevel="0" collapsed="false">
      <c r="A2079" s="0" t="s">
        <v>537</v>
      </c>
      <c r="B2079" s="0" t="s">
        <v>138</v>
      </c>
      <c r="D2079" s="25" t="n">
        <f aca="false">0</f>
        <v>0</v>
      </c>
      <c r="E2079" s="25" t="n">
        <f aca="false">int_27</f>
        <v>0</v>
      </c>
      <c r="F2079" s="25" t="n">
        <f aca="false">int28_B</f>
        <v>0.12</v>
      </c>
      <c r="G2079" s="25" t="n">
        <f aca="false">int29_B</f>
        <v>0.3</v>
      </c>
    </row>
    <row r="2080" customFormat="false" ht="17.15" hidden="false" customHeight="false" outlineLevel="0" collapsed="false">
      <c r="A2080" s="0" t="s">
        <v>538</v>
      </c>
      <c r="B2080" s="0" t="s">
        <v>181</v>
      </c>
      <c r="D2080" s="23" t="n">
        <f aca="false">D2079*D2074</f>
        <v>0</v>
      </c>
      <c r="E2080" s="23" t="n">
        <f aca="false">E2079*E2074</f>
        <v>0</v>
      </c>
      <c r="F2080" s="23" t="n">
        <f aca="false">F2079*F2074</f>
        <v>3.84</v>
      </c>
      <c r="G2080" s="23" t="n">
        <f aca="false">G2079*G2074</f>
        <v>9.6</v>
      </c>
    </row>
    <row r="2081" customFormat="false" ht="17.15" hidden="false" customHeight="false" outlineLevel="0" collapsed="false">
      <c r="A2081" s="3" t="s">
        <v>393</v>
      </c>
      <c r="B2081" s="0" t="s">
        <v>181</v>
      </c>
      <c r="C2081" s="23" t="n">
        <f aca="false">a25_rev</f>
        <v>237.553</v>
      </c>
      <c r="D2081" s="23" t="n">
        <f aca="false">D2075+D2078+D2080</f>
        <v>279.73378</v>
      </c>
      <c r="E2081" s="23" t="n">
        <f aca="false">E2075+E2078+E2080</f>
        <v>322.392520537492</v>
      </c>
      <c r="F2081" s="23" t="n">
        <f aca="false">F2075+F2078+F2080</f>
        <v>338.990290409279</v>
      </c>
      <c r="G2081" s="23" t="n">
        <f aca="false">G2075+G2078+G2080</f>
        <v>379.478262079744</v>
      </c>
      <c r="H2081" s="30" t="n">
        <f aca="false">G2081*(1+H2083)</f>
        <v>414.75379367548</v>
      </c>
      <c r="I2081" s="30" t="n">
        <f aca="false">H2081*(1+I2083)</f>
        <v>442.326206375962</v>
      </c>
      <c r="J2081" s="30" t="n">
        <f aca="false">I2081*(1+J2083)</f>
        <v>460.019254631001</v>
      </c>
      <c r="K2081" s="7" t="s">
        <v>539</v>
      </c>
    </row>
    <row r="2082" customFormat="false" ht="17.15" hidden="false" customHeight="false" outlineLevel="0" collapsed="false">
      <c r="A2082" s="0" t="s">
        <v>540</v>
      </c>
      <c r="B2082" s="0" t="s">
        <v>69</v>
      </c>
      <c r="D2082" s="21" t="n">
        <f aca="false">D2078/D2081</f>
        <v>0.0338893643806622</v>
      </c>
      <c r="E2082" s="21" t="n">
        <f aca="false">E2078/E2081</f>
        <v>0.0416883120538679</v>
      </c>
      <c r="F2082" s="21" t="n">
        <f aca="false">F2078/F2081</f>
        <v>0.0459906977901254</v>
      </c>
      <c r="G2082" s="21" t="n">
        <f aca="false">G2078/G2081</f>
        <v>0.0632946927404042</v>
      </c>
    </row>
    <row r="2083" customFormat="false" ht="15" hidden="false" customHeight="false" outlineLevel="0" collapsed="false">
      <c r="A2083" s="3" t="s">
        <v>541</v>
      </c>
      <c r="B2083" s="0" t="s">
        <v>69</v>
      </c>
      <c r="D2083" s="21" t="n">
        <f aca="false">D2081/C2081-1</f>
        <v>0.177563659478096</v>
      </c>
      <c r="E2083" s="21" t="n">
        <f aca="false">E2081/D2081-1</f>
        <v>0.152497637351814</v>
      </c>
      <c r="F2083" s="21" t="n">
        <f aca="false">F2081/E2081-1</f>
        <v>0.0514831108492078</v>
      </c>
      <c r="G2083" s="21" t="n">
        <f aca="false">G2081/F2081-1</f>
        <v>0.119436965647547</v>
      </c>
      <c r="H2083" s="28" t="n">
        <f aca="false">$G2083+(fade_gB-$G2083)*1/3</f>
        <v>0.0929579770983645</v>
      </c>
      <c r="I2083" s="28" t="n">
        <f aca="false">$G2083+(fade_gB-$G2083)*2/3</f>
        <v>0.0664789885491822</v>
      </c>
      <c r="J2083" s="28" t="n">
        <f aca="false">$G2083+(fade_gB-$G2083)*3/3</f>
        <v>0.04</v>
      </c>
    </row>
    <row r="2084" customFormat="false" ht="17.15" hidden="false" customHeight="false" outlineLevel="0" collapsed="false">
      <c r="A2084" s="5" t="s">
        <v>542</v>
      </c>
    </row>
    <row r="2085" customFormat="false" ht="15" hidden="false" customHeight="false" outlineLevel="0" collapsed="false">
      <c r="A2085" s="3" t="s">
        <v>543</v>
      </c>
      <c r="B2085" s="0" t="s">
        <v>181</v>
      </c>
      <c r="D2085" s="23" t="n">
        <f aca="false">da_tot26*da_sh</f>
        <v>56.172</v>
      </c>
      <c r="E2085" s="23" t="n">
        <f aca="false">D2085*(1+dag_27+dag_adj)</f>
        <v>62.91264</v>
      </c>
      <c r="F2085" s="23" t="n">
        <f aca="false">E2085*(1+dag_28+dag_adj)</f>
        <v>69.203904</v>
      </c>
      <c r="G2085" s="23" t="n">
        <f aca="false">F2085*(1+dag_29+dag_adj)</f>
        <v>74.74021632</v>
      </c>
    </row>
    <row r="2086" customFormat="false" ht="17.15" hidden="false" customHeight="false" outlineLevel="0" collapsed="false">
      <c r="A2086" s="3" t="s">
        <v>544</v>
      </c>
      <c r="B2086" s="0" t="s">
        <v>545</v>
      </c>
      <c r="D2086" s="23" t="n">
        <f aca="false">(D2081-a26_gp-D2085-(1-m_new)*(D2078+D2080))/D2071*1000</f>
        <v>27.9465727870208</v>
      </c>
      <c r="E2086" s="23" t="n">
        <f aca="false">D2086*(1+cc_g)</f>
        <v>28.5055042427612</v>
      </c>
      <c r="F2086" s="23" t="n">
        <f aca="false">E2086*(1+cc_g)</f>
        <v>29.0756143276165</v>
      </c>
      <c r="G2086" s="23" t="n">
        <f aca="false">F2086*(1+cc_g)</f>
        <v>29.6571266141688</v>
      </c>
      <c r="K2086" s="7" t="s">
        <v>546</v>
      </c>
    </row>
    <row r="2087" customFormat="false" ht="17.15" hidden="false" customHeight="false" outlineLevel="0" collapsed="false">
      <c r="A2087" s="3" t="s">
        <v>547</v>
      </c>
      <c r="B2087" s="0" t="s">
        <v>181</v>
      </c>
      <c r="D2087" s="23" t="n">
        <f aca="false">D2086*D2071/1000</f>
        <v>127.2556948</v>
      </c>
      <c r="E2087" s="23" t="n">
        <f aca="false">E2086*E2071/1000</f>
        <v>139.554925450877</v>
      </c>
      <c r="F2087" s="23" t="n">
        <f aca="false">F2086*F2071/1000</f>
        <v>147.233237449184</v>
      </c>
      <c r="G2087" s="23" t="n">
        <f aca="false">G2086*G2071/1000</f>
        <v>162.537370930799</v>
      </c>
    </row>
    <row r="2088" customFormat="false" ht="17.15" hidden="false" customHeight="false" outlineLevel="0" collapsed="false">
      <c r="A2088" s="3" t="s">
        <v>548</v>
      </c>
      <c r="B2088" s="0" t="s">
        <v>181</v>
      </c>
      <c r="D2088" s="23" t="n">
        <f aca="false">m_new*(D2078+D2080)</f>
        <v>4.266</v>
      </c>
      <c r="E2088" s="23" t="n">
        <f aca="false">m_new*(E2078+E2080)</f>
        <v>6.048</v>
      </c>
      <c r="F2088" s="23" t="n">
        <f aca="false">m_new*(F2078+F2080)</f>
        <v>8.74368</v>
      </c>
      <c r="G2088" s="23" t="n">
        <f aca="false">m_new*(G2078+G2080)</f>
        <v>15.128532</v>
      </c>
    </row>
    <row r="2089" customFormat="false" ht="15" hidden="false" customHeight="false" outlineLevel="0" collapsed="false">
      <c r="A2089" s="3" t="s">
        <v>411</v>
      </c>
      <c r="B2089" s="0" t="s">
        <v>181</v>
      </c>
      <c r="C2089" s="23" t="n">
        <f aca="false">a25_gp</f>
        <v>68.906</v>
      </c>
      <c r="D2089" s="23" t="n">
        <f aca="false">D2075-D2085-D2087+D2088</f>
        <v>91.0920852</v>
      </c>
      <c r="E2089" s="23" t="n">
        <f aca="false">E2075-E2085-E2087+E2088</f>
        <v>112.532955086615</v>
      </c>
      <c r="F2089" s="23" t="n">
        <f aca="false">F2075-F2085-F2087+F2088</f>
        <v>111.866428960095</v>
      </c>
      <c r="G2089" s="23" t="n">
        <f aca="false">G2075-G2085-G2087+G2088</f>
        <v>123.710246828945</v>
      </c>
    </row>
    <row r="2090" customFormat="false" ht="15" hidden="false" customHeight="false" outlineLevel="0" collapsed="false">
      <c r="A2090" s="3" t="s">
        <v>413</v>
      </c>
      <c r="B2090" s="0" t="s">
        <v>69</v>
      </c>
      <c r="C2090" s="15" t="n">
        <f aca="false">C2089/C2081</f>
        <v>0.290065795843454</v>
      </c>
      <c r="D2090" s="15" t="n">
        <f aca="false">D2089/D2081</f>
        <v>0.325638488136828</v>
      </c>
      <c r="E2090" s="15" t="n">
        <f aca="false">E2089/E2081</f>
        <v>0.349055725297226</v>
      </c>
      <c r="F2090" s="15" t="n">
        <f aca="false">F2089/F2081</f>
        <v>0.32999891774196</v>
      </c>
      <c r="G2090" s="15" t="n">
        <f aca="false">G2089/G2081</f>
        <v>0.326000878550847</v>
      </c>
    </row>
    <row r="2091" customFormat="false" ht="15" hidden="false" customHeight="false" outlineLevel="0" collapsed="false">
      <c r="A2091" s="3" t="s">
        <v>415</v>
      </c>
      <c r="B2091" s="0" t="s">
        <v>181</v>
      </c>
      <c r="C2091" s="23" t="n">
        <f aca="false">a25_opx</f>
        <v>25.056</v>
      </c>
      <c r="D2091" s="23" t="n">
        <f aca="false">a26_opx</f>
        <v>27.23586</v>
      </c>
      <c r="E2091" s="23" t="n">
        <f aca="false">D2091*(1+MAX(g_opx_min,phi*E2083))</f>
        <v>29.3125621506224</v>
      </c>
      <c r="F2091" s="23" t="n">
        <f aca="false">E2091*(1+MAX(g_opx_min,phi*F2083))</f>
        <v>30.1919390151411</v>
      </c>
      <c r="G2091" s="23" t="n">
        <f aca="false">F2091*(1+MAX(g_opx_min,phi*G2083))</f>
        <v>31.9949558066332</v>
      </c>
    </row>
    <row r="2092" customFormat="false" ht="15" hidden="false" customHeight="false" outlineLevel="0" collapsed="false">
      <c r="A2092" s="3" t="s">
        <v>418</v>
      </c>
      <c r="B2092" s="0" t="s">
        <v>181</v>
      </c>
      <c r="C2092" s="23" t="n">
        <f aca="false">C2089-C2091</f>
        <v>43.85</v>
      </c>
      <c r="D2092" s="23" t="n">
        <f aca="false">D2089-D2091</f>
        <v>63.8562252</v>
      </c>
      <c r="E2092" s="23" t="n">
        <f aca="false">E2089-E2091</f>
        <v>83.2203929359927</v>
      </c>
      <c r="F2092" s="23" t="n">
        <f aca="false">F2089-F2091</f>
        <v>81.6744899449539</v>
      </c>
      <c r="G2092" s="23" t="n">
        <f aca="false">G2089-G2091</f>
        <v>91.7152910223122</v>
      </c>
    </row>
    <row r="2093" customFormat="false" ht="15" hidden="false" customHeight="false" outlineLevel="0" collapsed="false">
      <c r="A2093" s="3" t="s">
        <v>515</v>
      </c>
      <c r="B2093" s="0" t="s">
        <v>69</v>
      </c>
      <c r="C2093" s="15" t="n">
        <f aca="false">C2092/C2081</f>
        <v>0.184590386145408</v>
      </c>
      <c r="D2093" s="15" t="n">
        <f aca="false">D2092/D2081</f>
        <v>0.228274987740129</v>
      </c>
      <c r="E2093" s="15" t="n">
        <f aca="false">E2092/E2081</f>
        <v>0.258133758181635</v>
      </c>
      <c r="F2093" s="15" t="n">
        <f aca="false">F2092/F2081</f>
        <v>0.240934599767871</v>
      </c>
      <c r="G2093" s="15" t="n">
        <f aca="false">G2092/G2081</f>
        <v>0.241687865122137</v>
      </c>
    </row>
    <row r="2094" customFormat="false" ht="15" hidden="false" customHeight="false" outlineLevel="0" collapsed="false">
      <c r="A2094" s="3" t="s">
        <v>421</v>
      </c>
      <c r="B2094" s="0" t="s">
        <v>181</v>
      </c>
      <c r="C2094" s="23" t="n">
        <f aca="false">a25_nonop</f>
        <v>5.805</v>
      </c>
      <c r="D2094" s="23" t="n">
        <f aca="false">a26_nonop</f>
        <v>38.372</v>
      </c>
      <c r="E2094" s="23" t="n">
        <f aca="false">nonop_f</f>
        <v>4</v>
      </c>
      <c r="F2094" s="23" t="n">
        <f aca="false">nonop_f</f>
        <v>4</v>
      </c>
      <c r="G2094" s="23" t="n">
        <f aca="false">nonop_f</f>
        <v>4</v>
      </c>
    </row>
    <row r="2095" customFormat="false" ht="15" hidden="false" customHeight="false" outlineLevel="0" collapsed="false">
      <c r="A2095" s="3" t="s">
        <v>423</v>
      </c>
      <c r="B2095" s="0" t="s">
        <v>181</v>
      </c>
      <c r="C2095" s="23" t="n">
        <f aca="false">C2092+C2094</f>
        <v>49.655</v>
      </c>
      <c r="D2095" s="23" t="n">
        <f aca="false">D2092+D2094</f>
        <v>102.2282252</v>
      </c>
      <c r="E2095" s="23" t="n">
        <f aca="false">E2092+E2094</f>
        <v>87.2203929359927</v>
      </c>
      <c r="F2095" s="23" t="n">
        <f aca="false">F2092+F2094</f>
        <v>85.6744899449539</v>
      </c>
      <c r="G2095" s="23" t="n">
        <f aca="false">G2092+G2094</f>
        <v>95.7152910223122</v>
      </c>
    </row>
    <row r="2096" customFormat="false" ht="15" hidden="false" customHeight="false" outlineLevel="0" collapsed="false">
      <c r="A2096" s="3" t="s">
        <v>425</v>
      </c>
      <c r="B2096" s="0" t="s">
        <v>181</v>
      </c>
      <c r="C2096" s="23" t="n">
        <f aca="false">a25_tax</f>
        <v>7.939</v>
      </c>
      <c r="D2096" s="23" t="n">
        <f aca="false">a26_tax</f>
        <v>10.493828284</v>
      </c>
      <c r="E2096" s="23" t="n">
        <f aca="false">E2095*tax_hi</f>
        <v>17.4440785871985</v>
      </c>
      <c r="F2096" s="23" t="n">
        <f aca="false">F2095*tax_hi</f>
        <v>17.1348979889908</v>
      </c>
      <c r="G2096" s="23" t="n">
        <f aca="false">G2095*tax_hi</f>
        <v>19.1430582044624</v>
      </c>
    </row>
    <row r="2097" customFormat="false" ht="17.15" hidden="false" customHeight="false" outlineLevel="0" collapsed="false">
      <c r="A2097" s="3" t="s">
        <v>549</v>
      </c>
      <c r="B2097" s="0" t="s">
        <v>181</v>
      </c>
      <c r="C2097" s="23" t="n">
        <f aca="false">a25_mi</f>
        <v>0</v>
      </c>
      <c r="D2097" s="23" t="n">
        <f aca="false">a26_mi</f>
        <v>-0.134999999999987</v>
      </c>
      <c r="E2097" s="23" t="n">
        <f aca="false">0</f>
        <v>0</v>
      </c>
      <c r="F2097" s="23" t="n">
        <f aca="false">0</f>
        <v>0</v>
      </c>
      <c r="G2097" s="23" t="n">
        <f aca="false">0</f>
        <v>0</v>
      </c>
      <c r="K2097" s="7" t="s">
        <v>550</v>
      </c>
    </row>
    <row r="2098" customFormat="false" ht="15" hidden="false" customHeight="false" outlineLevel="0" collapsed="false">
      <c r="A2098" s="3" t="s">
        <v>428</v>
      </c>
      <c r="B2098" s="0" t="s">
        <v>181</v>
      </c>
      <c r="C2098" s="23" t="n">
        <f aca="false">C2095-C2096-C2097</f>
        <v>41.716</v>
      </c>
      <c r="D2098" s="23" t="n">
        <f aca="false">D2095-D2096-D2097</f>
        <v>91.869396916</v>
      </c>
      <c r="E2098" s="23" t="n">
        <f aca="false">E2095-E2096-E2097</f>
        <v>69.7763143487941</v>
      </c>
      <c r="F2098" s="23" t="n">
        <f aca="false">F2095-F2096-F2097</f>
        <v>68.5395919559632</v>
      </c>
      <c r="G2098" s="23" t="n">
        <f aca="false">G2095-G2096-G2097</f>
        <v>76.5722328178497</v>
      </c>
      <c r="H2098" s="30" t="n">
        <f aca="false">H2081*H2102</f>
        <v>80.900558259752</v>
      </c>
      <c r="I2098" s="30" t="n">
        <f aca="false">I2081*I2102</f>
        <v>83.3036163891685</v>
      </c>
      <c r="J2098" s="30" t="n">
        <f aca="false">J2081*J2102</f>
        <v>83.5416267217089</v>
      </c>
    </row>
    <row r="2099" customFormat="false" ht="15" hidden="false" customHeight="false" outlineLevel="0" collapsed="false">
      <c r="A2099" s="3" t="s">
        <v>551</v>
      </c>
      <c r="B2099" s="3" t="s">
        <v>250</v>
      </c>
      <c r="C2099" s="9" t="n">
        <f aca="false">a25_sh</f>
        <v>12.4898203592814</v>
      </c>
      <c r="D2099" s="9" t="n">
        <f aca="false">a26_sh</f>
        <v>12.4754339027235</v>
      </c>
      <c r="E2099" s="9" t="n">
        <f aca="false">q_sh*(1+sh_g)</f>
        <v>12.45</v>
      </c>
      <c r="F2099" s="9" t="n">
        <f aca="false">E2099*(1+sh_g)</f>
        <v>12.45</v>
      </c>
      <c r="G2099" s="9" t="n">
        <f aca="false">F2099*(1+sh_g)</f>
        <v>12.45</v>
      </c>
      <c r="H2099" s="32" t="n">
        <f aca="false">G2099*(1+sh_g)</f>
        <v>12.45</v>
      </c>
      <c r="I2099" s="32" t="n">
        <f aca="false">H2099*(1+sh_g)</f>
        <v>12.45</v>
      </c>
      <c r="J2099" s="32" t="n">
        <f aca="false">I2099*(1+sh_g)</f>
        <v>12.45</v>
      </c>
    </row>
    <row r="2100" customFormat="false" ht="17.15" hidden="false" customHeight="false" outlineLevel="0" collapsed="false">
      <c r="A2100" s="0" t="s">
        <v>434</v>
      </c>
      <c r="B2100" s="0" t="s">
        <v>260</v>
      </c>
      <c r="C2100" s="23" t="n">
        <f aca="false">C2098/C2099</f>
        <v>3.34</v>
      </c>
      <c r="D2100" s="23" t="n">
        <f aca="false">D2098/D2099</f>
        <v>7.36402418002826</v>
      </c>
      <c r="E2100" s="23" t="n">
        <f aca="false">E2098/E2099</f>
        <v>5.604523240867</v>
      </c>
      <c r="F2100" s="23" t="n">
        <f aca="false">F2098/F2099</f>
        <v>5.5051881089127</v>
      </c>
      <c r="G2100" s="23" t="n">
        <f aca="false">G2098/G2099</f>
        <v>6.15038014601203</v>
      </c>
      <c r="H2100" s="30" t="n">
        <f aca="false">H2098/H2099</f>
        <v>6.49803680801221</v>
      </c>
      <c r="I2100" s="30" t="n">
        <f aca="false">I2098/I2099</f>
        <v>6.69105352523441</v>
      </c>
      <c r="J2100" s="30" t="n">
        <f aca="false">J2098/J2099</f>
        <v>6.7101708210208</v>
      </c>
    </row>
    <row r="2101" customFormat="false" ht="17.15" hidden="false" customHeight="false" outlineLevel="0" collapsed="false">
      <c r="A2101" s="0" t="s">
        <v>552</v>
      </c>
      <c r="B2101" s="0" t="s">
        <v>69</v>
      </c>
      <c r="D2101" s="21" t="n">
        <f aca="false">D2100/C2100-1</f>
        <v>1.2047976586911</v>
      </c>
      <c r="E2101" s="21" t="n">
        <f aca="false">E2100/D2100-1</f>
        <v>-0.238931988291558</v>
      </c>
      <c r="F2101" s="21" t="n">
        <f aca="false">F2100/E2100-1</f>
        <v>-0.0177241002820658</v>
      </c>
      <c r="G2101" s="21" t="n">
        <f aca="false">G2100/F2100-1</f>
        <v>0.117197091967626</v>
      </c>
      <c r="H2101" s="28" t="n">
        <f aca="false">H2100/G2100-1</f>
        <v>0.056526044528419</v>
      </c>
      <c r="I2101" s="28" t="n">
        <f aca="false">I2100/H2100-1</f>
        <v>0.0297038510130037</v>
      </c>
      <c r="J2101" s="28" t="n">
        <f aca="false">J2100/I2100-1</f>
        <v>0.00285714285714289</v>
      </c>
    </row>
    <row r="2102" customFormat="false" ht="17.15" hidden="false" customHeight="false" outlineLevel="0" collapsed="false">
      <c r="A2102" s="3" t="s">
        <v>553</v>
      </c>
      <c r="B2102" s="0" t="s">
        <v>69</v>
      </c>
      <c r="C2102" s="15" t="n">
        <f aca="false">C2098/C2081</f>
        <v>0.175607127672562</v>
      </c>
      <c r="D2102" s="15" t="n">
        <f aca="false">D2098/D2081</f>
        <v>0.328417243409073</v>
      </c>
      <c r="E2102" s="15" t="n">
        <f aca="false">E2098/E2081</f>
        <v>0.216432795129562</v>
      </c>
      <c r="F2102" s="15" t="n">
        <f aca="false">F2098/F2081</f>
        <v>0.202187478211284</v>
      </c>
      <c r="G2102" s="15" t="n">
        <f aca="false">G2098/G2081</f>
        <v>0.201782922684933</v>
      </c>
      <c r="H2102" s="29" t="n">
        <f aca="false">$G2102+($G$2102*0.9-$G2102)*1/3</f>
        <v>0.195056825262102</v>
      </c>
      <c r="I2102" s="29" t="n">
        <f aca="false">$G2102+($G$2102*0.9-$G2102)*2/3</f>
        <v>0.188330727839271</v>
      </c>
      <c r="J2102" s="29" t="n">
        <f aca="false">$G2102+($G$2102*0.9-$G2102)*3/3</f>
        <v>0.18160463041644</v>
      </c>
    </row>
    <row r="2105" customFormat="false" ht="17.15" hidden="false" customHeight="false" outlineLevel="0" collapsed="false">
      <c r="A2105" s="1" t="s">
        <v>890</v>
      </c>
    </row>
    <row r="2106" customFormat="false" ht="17.15" hidden="false" customHeight="false" outlineLevel="0" collapsed="false">
      <c r="A2106" s="4" t="s">
        <v>24</v>
      </c>
      <c r="B2106" s="4" t="s">
        <v>25</v>
      </c>
      <c r="C2106" s="16" t="s">
        <v>387</v>
      </c>
      <c r="D2106" s="16" t="s">
        <v>505</v>
      </c>
      <c r="E2106" s="16" t="s">
        <v>467</v>
      </c>
      <c r="F2106" s="16" t="s">
        <v>468</v>
      </c>
      <c r="G2106" s="16" t="s">
        <v>469</v>
      </c>
      <c r="H2106" s="16" t="s">
        <v>506</v>
      </c>
      <c r="I2106" s="16" t="s">
        <v>507</v>
      </c>
      <c r="J2106" s="16" t="s">
        <v>508</v>
      </c>
      <c r="K2106" s="4" t="s">
        <v>345</v>
      </c>
    </row>
    <row r="2107" customFormat="false" ht="17.15" hidden="false" customHeight="false" outlineLevel="0" collapsed="false">
      <c r="A2107" s="5" t="s">
        <v>526</v>
      </c>
    </row>
    <row r="2108" customFormat="false" ht="17.15" hidden="false" customHeight="false" outlineLevel="0" collapsed="false">
      <c r="A2108" s="3" t="s">
        <v>527</v>
      </c>
      <c r="B2108" s="3" t="s">
        <v>64</v>
      </c>
      <c r="D2108" s="22" t="n">
        <f aca="false">cap_26</f>
        <v>5230.46851955216</v>
      </c>
      <c r="E2108" s="22" t="n">
        <f aca="false">D2108*(1+capg27)*cap_adj</f>
        <v>5439.68726033425</v>
      </c>
      <c r="F2108" s="22" t="n">
        <f aca="false">E2108*(1+capg28)</f>
        <v>5820.46536855765</v>
      </c>
      <c r="G2108" s="22" t="n">
        <f aca="false">F2108*(1+capg29)</f>
        <v>6227.89794435668</v>
      </c>
    </row>
    <row r="2109" customFormat="false" ht="15" hidden="false" customHeight="false" outlineLevel="0" collapsed="false">
      <c r="A2109" s="3" t="s">
        <v>528</v>
      </c>
      <c r="B2109" s="0" t="s">
        <v>69</v>
      </c>
      <c r="D2109" s="21" t="n">
        <f aca="false">a26_ship/cap_26</f>
        <v>0.870578781414787</v>
      </c>
      <c r="E2109" s="21" t="n">
        <f aca="false">MIN(0.98,ut27_C+ut_adj)</f>
        <v>0.82</v>
      </c>
      <c r="F2109" s="21" t="n">
        <f aca="false">MIN(0.98,ut28_C+ut_adj)</f>
        <v>0.76</v>
      </c>
      <c r="G2109" s="21" t="n">
        <f aca="false">MIN(0.98,ut29_C+ut_adj)</f>
        <v>0.8</v>
      </c>
    </row>
    <row r="2110" customFormat="false" ht="17.15" hidden="false" customHeight="false" outlineLevel="0" collapsed="false">
      <c r="A2110" s="3" t="s">
        <v>529</v>
      </c>
      <c r="B2110" s="3" t="s">
        <v>64</v>
      </c>
      <c r="D2110" s="22" t="n">
        <f aca="false">D2108*D2109</f>
        <v>4553.53490998013</v>
      </c>
      <c r="E2110" s="22" t="n">
        <f aca="false">E2108*E2109</f>
        <v>4460.54355347409</v>
      </c>
      <c r="F2110" s="22" t="n">
        <f aca="false">F2108*F2109</f>
        <v>4423.55368010381</v>
      </c>
      <c r="G2110" s="22" t="n">
        <f aca="false">G2108*G2109</f>
        <v>4982.31835548535</v>
      </c>
    </row>
    <row r="2111" customFormat="false" ht="17.15" hidden="false" customHeight="false" outlineLevel="0" collapsed="false">
      <c r="A2111" s="3" t="s">
        <v>530</v>
      </c>
      <c r="B2111" s="0" t="s">
        <v>109</v>
      </c>
      <c r="D2111" s="22" t="n">
        <f aca="false">asp_26</f>
        <v>1878.17486396824</v>
      </c>
      <c r="E2111" s="22" t="n">
        <f aca="false">D2111*(1+asp27_C)*(1+asp_adj)</f>
        <v>1878.17486396824</v>
      </c>
      <c r="F2111" s="22" t="n">
        <f aca="false">E2111*(1+asp28_C)</f>
        <v>1765.48437213015</v>
      </c>
      <c r="G2111" s="22" t="n">
        <f aca="false">F2111*(1+asp29_C)</f>
        <v>1712.51984096625</v>
      </c>
    </row>
    <row r="2112" customFormat="false" ht="15" hidden="false" customHeight="false" outlineLevel="0" collapsed="false">
      <c r="A2112" s="3" t="s">
        <v>531</v>
      </c>
      <c r="B2112" s="0" t="s">
        <v>69</v>
      </c>
      <c r="E2112" s="21" t="n">
        <f aca="false">E2111/D2111-1</f>
        <v>0</v>
      </c>
      <c r="F2112" s="21" t="n">
        <f aca="false">F2111/E2111-1</f>
        <v>-0.0599999999999999</v>
      </c>
      <c r="G2112" s="21" t="n">
        <f aca="false">G2111/F2111-1</f>
        <v>-0.0299999999999999</v>
      </c>
    </row>
    <row r="2113" customFormat="false" ht="15" hidden="false" customHeight="false" outlineLevel="0" collapsed="false">
      <c r="A2113" s="3" t="s">
        <v>532</v>
      </c>
      <c r="B2113" s="0" t="s">
        <v>35</v>
      </c>
      <c r="D2113" s="23" t="n">
        <f aca="false">fx_26</f>
        <v>31.6</v>
      </c>
      <c r="E2113" s="23" t="n">
        <f aca="false">fx</f>
        <v>32</v>
      </c>
      <c r="F2113" s="23" t="n">
        <f aca="false">fx</f>
        <v>32</v>
      </c>
      <c r="G2113" s="23" t="n">
        <f aca="false">fx</f>
        <v>32</v>
      </c>
    </row>
    <row r="2114" customFormat="false" ht="17.15" hidden="false" customHeight="false" outlineLevel="0" collapsed="false">
      <c r="A2114" s="3" t="s">
        <v>533</v>
      </c>
      <c r="B2114" s="0" t="s">
        <v>181</v>
      </c>
      <c r="D2114" s="23" t="n">
        <f aca="false">D2110*D2111*D2113/1000000</f>
        <v>270.25378</v>
      </c>
      <c r="E2114" s="23" t="n">
        <f aca="false">E2110*E2111*E2113/1000000</f>
        <v>268.08578501666</v>
      </c>
      <c r="F2114" s="23" t="n">
        <f aca="false">F2110*F2111*F2113/1000000</f>
        <v>249.910876528067</v>
      </c>
      <c r="G2114" s="23" t="n">
        <f aca="false">G2110*G2111*G2113/1000000</f>
        <v>273.034209208927</v>
      </c>
    </row>
    <row r="2115" customFormat="false" ht="17.15" hidden="false" customHeight="false" outlineLevel="0" collapsed="false">
      <c r="A2115" s="5" t="s">
        <v>534</v>
      </c>
    </row>
    <row r="2116" customFormat="false" ht="17.15" hidden="false" customHeight="false" outlineLevel="0" collapsed="false">
      <c r="A2116" s="0" t="s">
        <v>535</v>
      </c>
      <c r="B2116" s="0" t="s">
        <v>138</v>
      </c>
      <c r="D2116" s="25" t="n">
        <f aca="false">ai_26</f>
        <v>0.3</v>
      </c>
      <c r="E2116" s="25" t="n">
        <f aca="false">D2116*(1+aig27_C)*ai_adj</f>
        <v>0.36</v>
      </c>
      <c r="F2116" s="25" t="n">
        <f aca="false">E2116*(1+aig_L)*um28_C</f>
        <v>0.3132</v>
      </c>
      <c r="G2116" s="25" t="n">
        <f aca="false">F2116/um28_C*(1+aig_L)*um29_C</f>
        <v>0.45414</v>
      </c>
    </row>
    <row r="2117" customFormat="false" ht="17.15" hidden="false" customHeight="false" outlineLevel="0" collapsed="false">
      <c r="A2117" s="0" t="s">
        <v>536</v>
      </c>
      <c r="B2117" s="0" t="s">
        <v>181</v>
      </c>
      <c r="D2117" s="23" t="n">
        <f aca="false">D2116*D2113</f>
        <v>9.48</v>
      </c>
      <c r="E2117" s="23" t="n">
        <f aca="false">E2116*E2113</f>
        <v>11.52</v>
      </c>
      <c r="F2117" s="23" t="n">
        <f aca="false">F2116*F2113</f>
        <v>10.0224</v>
      </c>
      <c r="G2117" s="23" t="n">
        <f aca="false">G2116*G2113</f>
        <v>14.53248</v>
      </c>
    </row>
    <row r="2118" customFormat="false" ht="17.15" hidden="false" customHeight="false" outlineLevel="0" collapsed="false">
      <c r="A2118" s="0" t="s">
        <v>537</v>
      </c>
      <c r="B2118" s="0" t="s">
        <v>138</v>
      </c>
      <c r="D2118" s="25" t="n">
        <f aca="false">0</f>
        <v>0</v>
      </c>
      <c r="E2118" s="25" t="n">
        <f aca="false">int_27</f>
        <v>0</v>
      </c>
      <c r="F2118" s="25" t="n">
        <f aca="false">int28_C</f>
        <v>0</v>
      </c>
      <c r="G2118" s="25" t="n">
        <f aca="false">int29_C</f>
        <v>0.08</v>
      </c>
    </row>
    <row r="2119" customFormat="false" ht="17.15" hidden="false" customHeight="false" outlineLevel="0" collapsed="false">
      <c r="A2119" s="0" t="s">
        <v>538</v>
      </c>
      <c r="B2119" s="0" t="s">
        <v>181</v>
      </c>
      <c r="D2119" s="23" t="n">
        <f aca="false">D2118*D2113</f>
        <v>0</v>
      </c>
      <c r="E2119" s="23" t="n">
        <f aca="false">E2118*E2113</f>
        <v>0</v>
      </c>
      <c r="F2119" s="23" t="n">
        <f aca="false">F2118*F2113</f>
        <v>0</v>
      </c>
      <c r="G2119" s="23" t="n">
        <f aca="false">G2118*G2113</f>
        <v>2.56</v>
      </c>
    </row>
    <row r="2120" customFormat="false" ht="17.15" hidden="false" customHeight="false" outlineLevel="0" collapsed="false">
      <c r="A2120" s="3" t="s">
        <v>393</v>
      </c>
      <c r="B2120" s="0" t="s">
        <v>181</v>
      </c>
      <c r="C2120" s="23" t="n">
        <f aca="false">a25_rev</f>
        <v>237.553</v>
      </c>
      <c r="D2120" s="23" t="n">
        <f aca="false">D2114+D2117+D2119</f>
        <v>279.73378</v>
      </c>
      <c r="E2120" s="23" t="n">
        <f aca="false">E2114+E2117+E2119</f>
        <v>279.60578501666</v>
      </c>
      <c r="F2120" s="23" t="n">
        <f aca="false">F2114+F2117+F2119</f>
        <v>259.933276528067</v>
      </c>
      <c r="G2120" s="23" t="n">
        <f aca="false">G2114+G2117+G2119</f>
        <v>290.126689208927</v>
      </c>
      <c r="H2120" s="30" t="n">
        <f aca="false">G2120*(1+H2122)</f>
        <v>314.527952983075</v>
      </c>
      <c r="I2120" s="30" t="n">
        <f aca="false">H2120*(1+I2122)</f>
        <v>330.900005213497</v>
      </c>
      <c r="J2120" s="30" t="n">
        <f aca="false">I2120*(1+J2122)</f>
        <v>337.518005317767</v>
      </c>
      <c r="K2120" s="7" t="s">
        <v>539</v>
      </c>
    </row>
    <row r="2121" customFormat="false" ht="17.15" hidden="false" customHeight="false" outlineLevel="0" collapsed="false">
      <c r="A2121" s="0" t="s">
        <v>540</v>
      </c>
      <c r="B2121" s="0" t="s">
        <v>69</v>
      </c>
      <c r="D2121" s="21" t="n">
        <f aca="false">D2117/D2120</f>
        <v>0.0338893643806622</v>
      </c>
      <c r="E2121" s="21" t="n">
        <f aca="false">E2117/E2120</f>
        <v>0.0412008642786615</v>
      </c>
      <c r="F2121" s="21" t="n">
        <f aca="false">F2117/F2120</f>
        <v>0.0385575872926674</v>
      </c>
      <c r="G2121" s="21" t="n">
        <f aca="false">G2117/G2120</f>
        <v>0.0500901176642002</v>
      </c>
    </row>
    <row r="2122" customFormat="false" ht="15" hidden="false" customHeight="false" outlineLevel="0" collapsed="false">
      <c r="A2122" s="3" t="s">
        <v>541</v>
      </c>
      <c r="B2122" s="0" t="s">
        <v>69</v>
      </c>
      <c r="D2122" s="21" t="n">
        <f aca="false">D2120/C2120-1</f>
        <v>0.177563659478096</v>
      </c>
      <c r="E2122" s="21" t="n">
        <f aca="false">E2120/D2120-1</f>
        <v>-0.000457559981995259</v>
      </c>
      <c r="F2122" s="21" t="n">
        <f aca="false">F2120/E2120-1</f>
        <v>-0.0703580166891779</v>
      </c>
      <c r="G2122" s="21" t="n">
        <f aca="false">G2120/F2120-1</f>
        <v>0.116158319874062</v>
      </c>
      <c r="H2122" s="28" t="n">
        <f aca="false">$G2122+(fade_gC-$G2122)*1/3</f>
        <v>0.0841055465827078</v>
      </c>
      <c r="I2122" s="28" t="n">
        <f aca="false">$G2122+(fade_gC-$G2122)*2/3</f>
        <v>0.0520527732913539</v>
      </c>
      <c r="J2122" s="28" t="n">
        <f aca="false">$G2122+(fade_gC-$G2122)*3/3</f>
        <v>0.02</v>
      </c>
    </row>
    <row r="2123" customFormat="false" ht="17.15" hidden="false" customHeight="false" outlineLevel="0" collapsed="false">
      <c r="A2123" s="5" t="s">
        <v>542</v>
      </c>
    </row>
    <row r="2124" customFormat="false" ht="15" hidden="false" customHeight="false" outlineLevel="0" collapsed="false">
      <c r="A2124" s="3" t="s">
        <v>543</v>
      </c>
      <c r="B2124" s="0" t="s">
        <v>181</v>
      </c>
      <c r="D2124" s="23" t="n">
        <f aca="false">da_tot26*da_sh</f>
        <v>56.172</v>
      </c>
      <c r="E2124" s="23" t="n">
        <f aca="false">D2124*(1+dag_27+dag_adj)</f>
        <v>62.91264</v>
      </c>
      <c r="F2124" s="23" t="n">
        <f aca="false">E2124*(1+dag_28+dag_adj)</f>
        <v>69.203904</v>
      </c>
      <c r="G2124" s="23" t="n">
        <f aca="false">F2124*(1+dag_29+dag_adj)</f>
        <v>74.74021632</v>
      </c>
    </row>
    <row r="2125" customFormat="false" ht="17.15" hidden="false" customHeight="false" outlineLevel="0" collapsed="false">
      <c r="A2125" s="3" t="s">
        <v>544</v>
      </c>
      <c r="B2125" s="0" t="s">
        <v>545</v>
      </c>
      <c r="D2125" s="23" t="n">
        <f aca="false">(D2120-a26_gp-D2124-(1-m_new)*(D2117+D2119))/D2110*1000</f>
        <v>27.9465727870208</v>
      </c>
      <c r="E2125" s="23" t="n">
        <f aca="false">D2125*(1+cc_g)</f>
        <v>28.5055042427612</v>
      </c>
      <c r="F2125" s="23" t="n">
        <f aca="false">E2125*(1+cc_g)</f>
        <v>29.0756143276165</v>
      </c>
      <c r="G2125" s="23" t="n">
        <f aca="false">F2125*(1+cc_g)</f>
        <v>29.6571266141688</v>
      </c>
      <c r="K2125" s="7" t="s">
        <v>546</v>
      </c>
    </row>
    <row r="2126" customFormat="false" ht="17.15" hidden="false" customHeight="false" outlineLevel="0" collapsed="false">
      <c r="A2126" s="3" t="s">
        <v>547</v>
      </c>
      <c r="B2126" s="0" t="s">
        <v>181</v>
      </c>
      <c r="D2126" s="23" t="n">
        <f aca="false">D2125*D2110/1000</f>
        <v>127.2556948</v>
      </c>
      <c r="E2126" s="23" t="n">
        <f aca="false">E2125*E2110/1000</f>
        <v>127.150043188577</v>
      </c>
      <c r="F2126" s="23" t="n">
        <f aca="false">F2125*F2110/1000</f>
        <v>128.617540760207</v>
      </c>
      <c r="G2126" s="23" t="n">
        <f aca="false">G2125*G2110/1000</f>
        <v>147.761246300726</v>
      </c>
    </row>
    <row r="2127" customFormat="false" ht="17.15" hidden="false" customHeight="false" outlineLevel="0" collapsed="false">
      <c r="A2127" s="3" t="s">
        <v>548</v>
      </c>
      <c r="B2127" s="0" t="s">
        <v>181</v>
      </c>
      <c r="D2127" s="23" t="n">
        <f aca="false">m_new*(D2117+D2119)</f>
        <v>4.266</v>
      </c>
      <c r="E2127" s="23" t="n">
        <f aca="false">m_new*(E2117+E2119)</f>
        <v>5.184</v>
      </c>
      <c r="F2127" s="23" t="n">
        <f aca="false">m_new*(F2117+F2119)</f>
        <v>4.51008</v>
      </c>
      <c r="G2127" s="23" t="n">
        <f aca="false">m_new*(G2117+G2119)</f>
        <v>7.691616</v>
      </c>
    </row>
    <row r="2128" customFormat="false" ht="15" hidden="false" customHeight="false" outlineLevel="0" collapsed="false">
      <c r="A2128" s="3" t="s">
        <v>411</v>
      </c>
      <c r="B2128" s="0" t="s">
        <v>181</v>
      </c>
      <c r="C2128" s="23" t="n">
        <f aca="false">a25_gp</f>
        <v>68.906</v>
      </c>
      <c r="D2128" s="23" t="n">
        <f aca="false">D2114-D2124-D2126+D2127</f>
        <v>91.0920852</v>
      </c>
      <c r="E2128" s="23" t="n">
        <f aca="false">E2114-E2124-E2126+E2127</f>
        <v>83.2071018280829</v>
      </c>
      <c r="F2128" s="23" t="n">
        <f aca="false">F2114-F2124-F2126+F2127</f>
        <v>56.59951176786</v>
      </c>
      <c r="G2128" s="23" t="n">
        <f aca="false">G2114-G2124-G2126+G2127</f>
        <v>58.2243625882008</v>
      </c>
    </row>
    <row r="2129" customFormat="false" ht="15" hidden="false" customHeight="false" outlineLevel="0" collapsed="false">
      <c r="A2129" s="3" t="s">
        <v>413</v>
      </c>
      <c r="B2129" s="0" t="s">
        <v>69</v>
      </c>
      <c r="C2129" s="15" t="n">
        <f aca="false">C2128/C2120</f>
        <v>0.290065795843454</v>
      </c>
      <c r="D2129" s="15" t="n">
        <f aca="false">D2128/D2120</f>
        <v>0.325638488136828</v>
      </c>
      <c r="E2129" s="15" t="n">
        <f aca="false">E2128/E2120</f>
        <v>0.297587196999966</v>
      </c>
      <c r="F2129" s="15" t="n">
        <f aca="false">F2128/F2120</f>
        <v>0.217746309837127</v>
      </c>
      <c r="G2129" s="15" t="n">
        <f aca="false">G2128/G2120</f>
        <v>0.200685992546767</v>
      </c>
    </row>
    <row r="2130" customFormat="false" ht="15" hidden="false" customHeight="false" outlineLevel="0" collapsed="false">
      <c r="A2130" s="3" t="s">
        <v>415</v>
      </c>
      <c r="B2130" s="0" t="s">
        <v>181</v>
      </c>
      <c r="C2130" s="23" t="n">
        <f aca="false">a25_opx</f>
        <v>25.056</v>
      </c>
      <c r="D2130" s="23" t="n">
        <f aca="false">a26_opx</f>
        <v>27.23586</v>
      </c>
      <c r="E2130" s="23" t="n">
        <f aca="false">D2130*(1+MAX(g_opx_min,phi*E2122))</f>
        <v>28.0529358</v>
      </c>
      <c r="F2130" s="23" t="n">
        <f aca="false">E2130*(1+MAX(g_opx_min,phi*F2122))</f>
        <v>28.894523874</v>
      </c>
      <c r="G2130" s="23" t="n">
        <f aca="false">F2130*(1+MAX(g_opx_min,phi*G2122))</f>
        <v>30.5726935473824</v>
      </c>
    </row>
    <row r="2131" customFormat="false" ht="15" hidden="false" customHeight="false" outlineLevel="0" collapsed="false">
      <c r="A2131" s="3" t="s">
        <v>418</v>
      </c>
      <c r="B2131" s="0" t="s">
        <v>181</v>
      </c>
      <c r="C2131" s="23" t="n">
        <f aca="false">C2128-C2130</f>
        <v>43.85</v>
      </c>
      <c r="D2131" s="23" t="n">
        <f aca="false">D2128-D2130</f>
        <v>63.8562252</v>
      </c>
      <c r="E2131" s="23" t="n">
        <f aca="false">E2128-E2130</f>
        <v>55.1541660280829</v>
      </c>
      <c r="F2131" s="23" t="n">
        <f aca="false">F2128-F2130</f>
        <v>27.70498789386</v>
      </c>
      <c r="G2131" s="23" t="n">
        <f aca="false">G2128-G2130</f>
        <v>27.6516690408184</v>
      </c>
    </row>
    <row r="2132" customFormat="false" ht="15" hidden="false" customHeight="false" outlineLevel="0" collapsed="false">
      <c r="A2132" s="3" t="s">
        <v>515</v>
      </c>
      <c r="B2132" s="0" t="s">
        <v>69</v>
      </c>
      <c r="C2132" s="15" t="n">
        <f aca="false">C2131/C2120</f>
        <v>0.184590386145408</v>
      </c>
      <c r="D2132" s="15" t="n">
        <f aca="false">D2131/D2120</f>
        <v>0.228274987740129</v>
      </c>
      <c r="E2132" s="15" t="n">
        <f aca="false">E2131/E2120</f>
        <v>0.197256884455365</v>
      </c>
      <c r="F2132" s="15" t="n">
        <f aca="false">F2131/F2120</f>
        <v>0.106584998519297</v>
      </c>
      <c r="G2132" s="15" t="n">
        <f aca="false">G2131/G2120</f>
        <v>0.0953089462958914</v>
      </c>
    </row>
    <row r="2133" customFormat="false" ht="15" hidden="false" customHeight="false" outlineLevel="0" collapsed="false">
      <c r="A2133" s="3" t="s">
        <v>421</v>
      </c>
      <c r="B2133" s="0" t="s">
        <v>181</v>
      </c>
      <c r="C2133" s="23" t="n">
        <f aca="false">a25_nonop</f>
        <v>5.805</v>
      </c>
      <c r="D2133" s="23" t="n">
        <f aca="false">a26_nonop</f>
        <v>38.372</v>
      </c>
      <c r="E2133" s="23" t="n">
        <f aca="false">nonop_f</f>
        <v>4</v>
      </c>
      <c r="F2133" s="23" t="n">
        <f aca="false">nonop_f</f>
        <v>4</v>
      </c>
      <c r="G2133" s="23" t="n">
        <f aca="false">nonop_f</f>
        <v>4</v>
      </c>
    </row>
    <row r="2134" customFormat="false" ht="15" hidden="false" customHeight="false" outlineLevel="0" collapsed="false">
      <c r="A2134" s="3" t="s">
        <v>423</v>
      </c>
      <c r="B2134" s="0" t="s">
        <v>181</v>
      </c>
      <c r="C2134" s="23" t="n">
        <f aca="false">C2131+C2133</f>
        <v>49.655</v>
      </c>
      <c r="D2134" s="23" t="n">
        <f aca="false">D2131+D2133</f>
        <v>102.2282252</v>
      </c>
      <c r="E2134" s="23" t="n">
        <f aca="false">E2131+E2133</f>
        <v>59.1541660280829</v>
      </c>
      <c r="F2134" s="23" t="n">
        <f aca="false">F2131+F2133</f>
        <v>31.70498789386</v>
      </c>
      <c r="G2134" s="23" t="n">
        <f aca="false">G2131+G2133</f>
        <v>31.6516690408184</v>
      </c>
    </row>
    <row r="2135" customFormat="false" ht="15" hidden="false" customHeight="false" outlineLevel="0" collapsed="false">
      <c r="A2135" s="3" t="s">
        <v>425</v>
      </c>
      <c r="B2135" s="0" t="s">
        <v>181</v>
      </c>
      <c r="C2135" s="23" t="n">
        <f aca="false">a25_tax</f>
        <v>7.939</v>
      </c>
      <c r="D2135" s="23" t="n">
        <f aca="false">a26_tax</f>
        <v>10.493828284</v>
      </c>
      <c r="E2135" s="23" t="n">
        <f aca="false">E2134*tax_hi</f>
        <v>11.8308332056166</v>
      </c>
      <c r="F2135" s="23" t="n">
        <f aca="false">F2134*tax_hi</f>
        <v>6.34099757877199</v>
      </c>
      <c r="G2135" s="23" t="n">
        <f aca="false">G2134*tax_hi</f>
        <v>6.33033380816368</v>
      </c>
    </row>
    <row r="2136" customFormat="false" ht="17.15" hidden="false" customHeight="false" outlineLevel="0" collapsed="false">
      <c r="A2136" s="3" t="s">
        <v>549</v>
      </c>
      <c r="B2136" s="0" t="s">
        <v>181</v>
      </c>
      <c r="C2136" s="23" t="n">
        <f aca="false">a25_mi</f>
        <v>0</v>
      </c>
      <c r="D2136" s="23" t="n">
        <f aca="false">a26_mi</f>
        <v>-0.134999999999987</v>
      </c>
      <c r="E2136" s="23" t="n">
        <f aca="false">0</f>
        <v>0</v>
      </c>
      <c r="F2136" s="23" t="n">
        <f aca="false">0</f>
        <v>0</v>
      </c>
      <c r="G2136" s="23" t="n">
        <f aca="false">0</f>
        <v>0</v>
      </c>
      <c r="K2136" s="7" t="s">
        <v>550</v>
      </c>
    </row>
    <row r="2137" customFormat="false" ht="15" hidden="false" customHeight="false" outlineLevel="0" collapsed="false">
      <c r="A2137" s="3" t="s">
        <v>428</v>
      </c>
      <c r="B2137" s="0" t="s">
        <v>181</v>
      </c>
      <c r="C2137" s="23" t="n">
        <f aca="false">C2134-C2135-C2136</f>
        <v>41.716</v>
      </c>
      <c r="D2137" s="23" t="n">
        <f aca="false">D2134-D2135-D2136</f>
        <v>91.869396916</v>
      </c>
      <c r="E2137" s="23" t="n">
        <f aca="false">E2134-E2135-E2136</f>
        <v>47.3233328224663</v>
      </c>
      <c r="F2137" s="23" t="n">
        <f aca="false">F2134-F2135-F2136</f>
        <v>25.363990315088</v>
      </c>
      <c r="G2137" s="23" t="n">
        <f aca="false">G2134-G2135-G2136</f>
        <v>25.3213352326547</v>
      </c>
      <c r="H2137" s="30" t="n">
        <f aca="false">H2120*H2141</f>
        <v>25.6209333077611</v>
      </c>
      <c r="I2137" s="30" t="n">
        <f aca="false">I2120*I2141</f>
        <v>25.0292472306898</v>
      </c>
      <c r="J2137" s="30" t="n">
        <f aca="false">J2120*J2141</f>
        <v>23.5659989310495</v>
      </c>
    </row>
    <row r="2138" customFormat="false" ht="15" hidden="false" customHeight="false" outlineLevel="0" collapsed="false">
      <c r="A2138" s="3" t="s">
        <v>551</v>
      </c>
      <c r="B2138" s="3" t="s">
        <v>250</v>
      </c>
      <c r="C2138" s="9" t="n">
        <f aca="false">a25_sh</f>
        <v>12.4898203592814</v>
      </c>
      <c r="D2138" s="9" t="n">
        <f aca="false">a26_sh</f>
        <v>12.4754339027235</v>
      </c>
      <c r="E2138" s="9" t="n">
        <f aca="false">q_sh*(1+sh_g)</f>
        <v>12.45</v>
      </c>
      <c r="F2138" s="9" t="n">
        <f aca="false">E2138*(1+sh_g)</f>
        <v>12.45</v>
      </c>
      <c r="G2138" s="9" t="n">
        <f aca="false">F2138*(1+sh_g)</f>
        <v>12.45</v>
      </c>
      <c r="H2138" s="32" t="n">
        <f aca="false">G2138*(1+sh_g)</f>
        <v>12.45</v>
      </c>
      <c r="I2138" s="32" t="n">
        <f aca="false">H2138*(1+sh_g)</f>
        <v>12.45</v>
      </c>
      <c r="J2138" s="32" t="n">
        <f aca="false">I2138*(1+sh_g)</f>
        <v>12.45</v>
      </c>
    </row>
    <row r="2139" customFormat="false" ht="17.15" hidden="false" customHeight="false" outlineLevel="0" collapsed="false">
      <c r="A2139" s="0" t="s">
        <v>434</v>
      </c>
      <c r="B2139" s="0" t="s">
        <v>260</v>
      </c>
      <c r="C2139" s="23" t="n">
        <f aca="false">C2137/C2138</f>
        <v>3.34</v>
      </c>
      <c r="D2139" s="23" t="n">
        <f aca="false">D2137/D2138</f>
        <v>7.36402418002826</v>
      </c>
      <c r="E2139" s="23" t="n">
        <f aca="false">E2137/E2138</f>
        <v>3.80107090943505</v>
      </c>
      <c r="F2139" s="23" t="n">
        <f aca="false">F2137/F2138</f>
        <v>2.03726829840064</v>
      </c>
      <c r="G2139" s="23" t="n">
        <f aca="false">G2137/G2138</f>
        <v>2.03384218736183</v>
      </c>
      <c r="H2139" s="30" t="n">
        <f aca="false">H2137/H2138</f>
        <v>2.05790628978001</v>
      </c>
      <c r="I2139" s="30" t="n">
        <f aca="false">I2137/I2138</f>
        <v>2.01038130366986</v>
      </c>
      <c r="J2139" s="30" t="n">
        <f aca="false">J2137/J2138</f>
        <v>1.89285131976301</v>
      </c>
    </row>
    <row r="2140" customFormat="false" ht="17.15" hidden="false" customHeight="false" outlineLevel="0" collapsed="false">
      <c r="A2140" s="0" t="s">
        <v>552</v>
      </c>
      <c r="B2140" s="0" t="s">
        <v>69</v>
      </c>
      <c r="D2140" s="21" t="n">
        <f aca="false">D2139/C2139-1</f>
        <v>1.2047976586911</v>
      </c>
      <c r="E2140" s="21" t="n">
        <f aca="false">E2139/D2139-1</f>
        <v>-0.483832369841504</v>
      </c>
      <c r="F2140" s="21" t="n">
        <f aca="false">F2139/E2139-1</f>
        <v>-0.464027810335315</v>
      </c>
      <c r="G2140" s="21" t="n">
        <f aca="false">G2139/F2139-1</f>
        <v>-0.00168171813280726</v>
      </c>
      <c r="H2140" s="28" t="n">
        <f aca="false">H2139/G2139-1</f>
        <v>0.0118318434771942</v>
      </c>
      <c r="I2140" s="28" t="n">
        <f aca="false">I2139/H2139-1</f>
        <v>-0.0230938533723144</v>
      </c>
      <c r="J2140" s="28" t="n">
        <f aca="false">J2139/I2139-1</f>
        <v>-0.0584615384615385</v>
      </c>
    </row>
    <row r="2141" customFormat="false" ht="17.15" hidden="false" customHeight="false" outlineLevel="0" collapsed="false">
      <c r="A2141" s="3" t="s">
        <v>553</v>
      </c>
      <c r="B2141" s="0" t="s">
        <v>69</v>
      </c>
      <c r="C2141" s="15" t="n">
        <f aca="false">C2137/C2120</f>
        <v>0.175607127672562</v>
      </c>
      <c r="D2141" s="15" t="n">
        <f aca="false">D2137/D2120</f>
        <v>0.328417243409073</v>
      </c>
      <c r="E2141" s="15" t="n">
        <f aca="false">E2137/E2120</f>
        <v>0.169250192086143</v>
      </c>
      <c r="F2141" s="15" t="n">
        <f aca="false">F2137/F2120</f>
        <v>0.0975788504414487</v>
      </c>
      <c r="G2141" s="15" t="n">
        <f aca="false">G2137/G2120</f>
        <v>0.0872768213834345</v>
      </c>
      <c r="H2141" s="29" t="n">
        <f aca="false">$G2141+($G$2141*0.8-$G2141)*1/3</f>
        <v>0.0814583666245388</v>
      </c>
      <c r="I2141" s="29" t="n">
        <f aca="false">$G2141+($G$2141*0.8-$G2141)*2/3</f>
        <v>0.0756399118656432</v>
      </c>
      <c r="J2141" s="29" t="n">
        <f aca="false">$G2141+($G$2141*0.8-$G2141)*3/3</f>
        <v>0.0698214571067476</v>
      </c>
    </row>
    <row r="2144" customFormat="false" ht="17.15" hidden="false" customHeight="false" outlineLevel="0" collapsed="false">
      <c r="A2144" s="1" t="s">
        <v>891</v>
      </c>
    </row>
    <row r="2145" customFormat="false" ht="17.15" hidden="false" customHeight="false" outlineLevel="0" collapsed="false">
      <c r="A2145" s="4" t="s">
        <v>24</v>
      </c>
      <c r="B2145" s="4" t="s">
        <v>25</v>
      </c>
      <c r="C2145" s="16" t="s">
        <v>387</v>
      </c>
      <c r="D2145" s="16" t="s">
        <v>505</v>
      </c>
      <c r="E2145" s="16" t="s">
        <v>467</v>
      </c>
      <c r="F2145" s="16" t="s">
        <v>468</v>
      </c>
      <c r="G2145" s="16" t="s">
        <v>469</v>
      </c>
      <c r="H2145" s="16" t="s">
        <v>506</v>
      </c>
      <c r="I2145" s="16" t="s">
        <v>507</v>
      </c>
      <c r="J2145" s="16" t="s">
        <v>508</v>
      </c>
      <c r="K2145" s="4" t="s">
        <v>345</v>
      </c>
    </row>
    <row r="2146" customFormat="false" ht="17.15" hidden="false" customHeight="false" outlineLevel="0" collapsed="false">
      <c r="A2146" s="5" t="s">
        <v>526</v>
      </c>
    </row>
    <row r="2147" customFormat="false" ht="17.15" hidden="false" customHeight="false" outlineLevel="0" collapsed="false">
      <c r="A2147" s="3" t="s">
        <v>527</v>
      </c>
      <c r="B2147" s="3" t="s">
        <v>64</v>
      </c>
      <c r="D2147" s="22" t="n">
        <f aca="false">cap_26</f>
        <v>5230.46851955216</v>
      </c>
      <c r="E2147" s="22" t="n">
        <f aca="false">D2147*(1+capg27)*cap_adj</f>
        <v>5439.68726033425</v>
      </c>
      <c r="F2147" s="22" t="n">
        <f aca="false">E2147*(1+capg28)</f>
        <v>5820.46536855765</v>
      </c>
      <c r="G2147" s="22" t="n">
        <f aca="false">F2147*(1+capg29)</f>
        <v>6227.89794435668</v>
      </c>
    </row>
    <row r="2148" customFormat="false" ht="15" hidden="false" customHeight="false" outlineLevel="0" collapsed="false">
      <c r="A2148" s="3" t="s">
        <v>528</v>
      </c>
      <c r="B2148" s="0" t="s">
        <v>69</v>
      </c>
      <c r="D2148" s="21" t="n">
        <f aca="false">a26_ship/cap_26</f>
        <v>0.870578781414787</v>
      </c>
      <c r="E2148" s="21" t="n">
        <f aca="false">MIN(0.98,ut27_A+ut_adj)</f>
        <v>0.95</v>
      </c>
      <c r="F2148" s="21" t="n">
        <f aca="false">MIN(0.98,ut28_A+ut_adj)</f>
        <v>0.94</v>
      </c>
      <c r="G2148" s="21" t="n">
        <f aca="false">MIN(0.98,ut29_A+ut_adj)</f>
        <v>0.93</v>
      </c>
    </row>
    <row r="2149" customFormat="false" ht="17.15" hidden="false" customHeight="false" outlineLevel="0" collapsed="false">
      <c r="A2149" s="3" t="s">
        <v>529</v>
      </c>
      <c r="B2149" s="3" t="s">
        <v>64</v>
      </c>
      <c r="D2149" s="22" t="n">
        <f aca="false">D2147*D2148</f>
        <v>4553.53490998013</v>
      </c>
      <c r="E2149" s="22" t="n">
        <f aca="false">E2147*E2148</f>
        <v>5167.70289731754</v>
      </c>
      <c r="F2149" s="22" t="n">
        <f aca="false">F2147*F2148</f>
        <v>5471.23744644419</v>
      </c>
      <c r="G2149" s="22" t="n">
        <f aca="false">G2147*G2148</f>
        <v>5791.94508825172</v>
      </c>
    </row>
    <row r="2150" customFormat="false" ht="17.15" hidden="false" customHeight="false" outlineLevel="0" collapsed="false">
      <c r="A2150" s="3" t="s">
        <v>530</v>
      </c>
      <c r="B2150" s="0" t="s">
        <v>109</v>
      </c>
      <c r="D2150" s="22" t="n">
        <f aca="false">asp_26</f>
        <v>1878.17486396824</v>
      </c>
      <c r="E2150" s="22" t="n">
        <f aca="false">D2150*(1+asp27_A)*(1+asp_adj)</f>
        <v>2065.99235036507</v>
      </c>
      <c r="F2150" s="22" t="n">
        <f aca="false">E2150*(1+asp28_A)</f>
        <v>2127.97212087602</v>
      </c>
      <c r="G2150" s="22" t="n">
        <f aca="false">F2150*(1+asp29_A)</f>
        <v>2170.53156329354</v>
      </c>
    </row>
    <row r="2151" customFormat="false" ht="15" hidden="false" customHeight="false" outlineLevel="0" collapsed="false">
      <c r="A2151" s="3" t="s">
        <v>531</v>
      </c>
      <c r="B2151" s="0" t="s">
        <v>69</v>
      </c>
      <c r="E2151" s="21" t="n">
        <f aca="false">E2150/D2150-1</f>
        <v>0.1</v>
      </c>
      <c r="F2151" s="21" t="n">
        <f aca="false">F2150/E2150-1</f>
        <v>0.03</v>
      </c>
      <c r="G2151" s="21" t="n">
        <f aca="false">G2150/F2150-1</f>
        <v>0.02</v>
      </c>
    </row>
    <row r="2152" customFormat="false" ht="15" hidden="false" customHeight="false" outlineLevel="0" collapsed="false">
      <c r="A2152" s="3" t="s">
        <v>532</v>
      </c>
      <c r="B2152" s="0" t="s">
        <v>35</v>
      </c>
      <c r="D2152" s="23" t="n">
        <f aca="false">fx_26</f>
        <v>31.6</v>
      </c>
      <c r="E2152" s="23" t="n">
        <f aca="false">fx</f>
        <v>32</v>
      </c>
      <c r="F2152" s="23" t="n">
        <f aca="false">fx</f>
        <v>32</v>
      </c>
      <c r="G2152" s="23" t="n">
        <f aca="false">fx</f>
        <v>32</v>
      </c>
    </row>
    <row r="2153" customFormat="false" ht="17.15" hidden="false" customHeight="false" outlineLevel="0" collapsed="false">
      <c r="A2153" s="3" t="s">
        <v>533</v>
      </c>
      <c r="B2153" s="0" t="s">
        <v>181</v>
      </c>
      <c r="D2153" s="23" t="n">
        <f aca="false">D2149*D2150*D2152/1000000</f>
        <v>270.25378</v>
      </c>
      <c r="E2153" s="23" t="n">
        <f aca="false">E2149*E2150*E2152/1000000</f>
        <v>341.645908954158</v>
      </c>
      <c r="F2153" s="23" t="n">
        <f aca="false">F2149*F2150*F2152/1000000</f>
        <v>372.564504087237</v>
      </c>
      <c r="G2153" s="23" t="n">
        <f aca="false">G2149*G2150*G2152/1000000</f>
        <v>402.291188061227</v>
      </c>
    </row>
    <row r="2154" customFormat="false" ht="17.15" hidden="false" customHeight="false" outlineLevel="0" collapsed="false">
      <c r="A2154" s="5" t="s">
        <v>534</v>
      </c>
    </row>
    <row r="2155" customFormat="false" ht="17.15" hidden="false" customHeight="false" outlineLevel="0" collapsed="false">
      <c r="A2155" s="0" t="s">
        <v>535</v>
      </c>
      <c r="B2155" s="0" t="s">
        <v>138</v>
      </c>
      <c r="D2155" s="25" t="n">
        <f aca="false">ai_26</f>
        <v>0.3</v>
      </c>
      <c r="E2155" s="25" t="n">
        <f aca="false">D2155*(1+aig27_A)*ai_adj_lo</f>
        <v>0.336</v>
      </c>
      <c r="F2155" s="25" t="n">
        <f aca="false">E2155*(1+aig_L)*um28_A</f>
        <v>0.4872</v>
      </c>
      <c r="G2155" s="25" t="n">
        <f aca="false">F2155/um28_A*(1+aig_L)*um29_A</f>
        <v>0.70644</v>
      </c>
    </row>
    <row r="2156" customFormat="false" ht="17.15" hidden="false" customHeight="false" outlineLevel="0" collapsed="false">
      <c r="A2156" s="0" t="s">
        <v>536</v>
      </c>
      <c r="B2156" s="0" t="s">
        <v>181</v>
      </c>
      <c r="D2156" s="23" t="n">
        <f aca="false">D2155*D2152</f>
        <v>9.48</v>
      </c>
      <c r="E2156" s="23" t="n">
        <f aca="false">E2155*E2152</f>
        <v>10.752</v>
      </c>
      <c r="F2156" s="23" t="n">
        <f aca="false">F2155*F2152</f>
        <v>15.5904</v>
      </c>
      <c r="G2156" s="23" t="n">
        <f aca="false">G2155*G2152</f>
        <v>22.60608</v>
      </c>
    </row>
    <row r="2157" customFormat="false" ht="17.15" hidden="false" customHeight="false" outlineLevel="0" collapsed="false">
      <c r="A2157" s="0" t="s">
        <v>537</v>
      </c>
      <c r="B2157" s="0" t="s">
        <v>138</v>
      </c>
      <c r="D2157" s="25" t="n">
        <f aca="false">0</f>
        <v>0</v>
      </c>
      <c r="E2157" s="25" t="n">
        <f aca="false">int_27</f>
        <v>0</v>
      </c>
      <c r="F2157" s="25" t="n">
        <f aca="false">int28_A</f>
        <v>0.25</v>
      </c>
      <c r="G2157" s="25" t="n">
        <f aca="false">int29_A</f>
        <v>0.5</v>
      </c>
    </row>
    <row r="2158" customFormat="false" ht="17.15" hidden="false" customHeight="false" outlineLevel="0" collapsed="false">
      <c r="A2158" s="0" t="s">
        <v>538</v>
      </c>
      <c r="B2158" s="0" t="s">
        <v>181</v>
      </c>
      <c r="D2158" s="23" t="n">
        <f aca="false">D2157*D2152</f>
        <v>0</v>
      </c>
      <c r="E2158" s="23" t="n">
        <f aca="false">E2157*E2152</f>
        <v>0</v>
      </c>
      <c r="F2158" s="23" t="n">
        <f aca="false">F2157*F2152</f>
        <v>8</v>
      </c>
      <c r="G2158" s="23" t="n">
        <f aca="false">G2157*G2152</f>
        <v>16</v>
      </c>
    </row>
    <row r="2159" customFormat="false" ht="17.15" hidden="false" customHeight="false" outlineLevel="0" collapsed="false">
      <c r="A2159" s="3" t="s">
        <v>393</v>
      </c>
      <c r="B2159" s="0" t="s">
        <v>181</v>
      </c>
      <c r="C2159" s="23" t="n">
        <f aca="false">a25_rev</f>
        <v>237.553</v>
      </c>
      <c r="D2159" s="23" t="n">
        <f aca="false">D2153+D2156+D2158</f>
        <v>279.73378</v>
      </c>
      <c r="E2159" s="23" t="n">
        <f aca="false">E2153+E2156+E2158</f>
        <v>352.397908954158</v>
      </c>
      <c r="F2159" s="23" t="n">
        <f aca="false">F2153+F2156+F2158</f>
        <v>396.154904087237</v>
      </c>
      <c r="G2159" s="23" t="n">
        <f aca="false">G2153+G2156+G2158</f>
        <v>440.897268061227</v>
      </c>
      <c r="H2159" s="30" t="n">
        <f aca="false">G2159*(1+H2161)</f>
        <v>482.912305164776</v>
      </c>
      <c r="I2159" s="30" t="n">
        <f aca="false">H2159*(1+I2161)</f>
        <v>520.409091579752</v>
      </c>
      <c r="J2159" s="30" t="n">
        <f aca="false">I2159*(1+J2161)</f>
        <v>551.633637074537</v>
      </c>
      <c r="K2159" s="7" t="s">
        <v>539</v>
      </c>
    </row>
    <row r="2160" customFormat="false" ht="17.15" hidden="false" customHeight="false" outlineLevel="0" collapsed="false">
      <c r="A2160" s="0" t="s">
        <v>540</v>
      </c>
      <c r="B2160" s="0" t="s">
        <v>69</v>
      </c>
      <c r="D2160" s="21" t="n">
        <f aca="false">D2156/D2159</f>
        <v>0.0338893643806622</v>
      </c>
      <c r="E2160" s="21" t="n">
        <f aca="false">E2156/E2159</f>
        <v>0.0305109642446791</v>
      </c>
      <c r="F2160" s="21" t="n">
        <f aca="false">F2156/F2159</f>
        <v>0.0393543026708736</v>
      </c>
      <c r="G2160" s="21" t="n">
        <f aca="false">G2156/G2159</f>
        <v>0.0512728965171558</v>
      </c>
    </row>
    <row r="2161" customFormat="false" ht="15" hidden="false" customHeight="false" outlineLevel="0" collapsed="false">
      <c r="A2161" s="3" t="s">
        <v>541</v>
      </c>
      <c r="B2161" s="0" t="s">
        <v>69</v>
      </c>
      <c r="D2161" s="21" t="n">
        <f aca="false">D2159/C2159-1</f>
        <v>0.177563659478096</v>
      </c>
      <c r="E2161" s="21" t="n">
        <f aca="false">E2159/D2159-1</f>
        <v>0.259761724001148</v>
      </c>
      <c r="F2161" s="21" t="n">
        <f aca="false">F2159/E2159-1</f>
        <v>0.124169281432288</v>
      </c>
      <c r="G2161" s="21" t="n">
        <f aca="false">G2159/F2159-1</f>
        <v>0.112941588031277</v>
      </c>
      <c r="H2161" s="28" t="n">
        <f aca="false">$G2161+(fade_gA-$G2161)*1/3</f>
        <v>0.095294392020851</v>
      </c>
      <c r="I2161" s="28" t="n">
        <f aca="false">$G2161+(fade_gA-$G2161)*2/3</f>
        <v>0.0776471960104255</v>
      </c>
      <c r="J2161" s="28" t="n">
        <f aca="false">$G2161+(fade_gA-$G2161)*3/3</f>
        <v>0.06</v>
      </c>
    </row>
    <row r="2162" customFormat="false" ht="17.15" hidden="false" customHeight="false" outlineLevel="0" collapsed="false">
      <c r="A2162" s="5" t="s">
        <v>542</v>
      </c>
    </row>
    <row r="2163" customFormat="false" ht="15" hidden="false" customHeight="false" outlineLevel="0" collapsed="false">
      <c r="A2163" s="3" t="s">
        <v>543</v>
      </c>
      <c r="B2163" s="0" t="s">
        <v>181</v>
      </c>
      <c r="D2163" s="23" t="n">
        <f aca="false">da_tot26*da_sh</f>
        <v>56.172</v>
      </c>
      <c r="E2163" s="23" t="n">
        <f aca="false">D2163*(1+dag_27+dag_adj)</f>
        <v>62.91264</v>
      </c>
      <c r="F2163" s="23" t="n">
        <f aca="false">E2163*(1+dag_28+dag_adj)</f>
        <v>69.203904</v>
      </c>
      <c r="G2163" s="23" t="n">
        <f aca="false">F2163*(1+dag_29+dag_adj)</f>
        <v>74.74021632</v>
      </c>
    </row>
    <row r="2164" customFormat="false" ht="17.15" hidden="false" customHeight="false" outlineLevel="0" collapsed="false">
      <c r="A2164" s="3" t="s">
        <v>544</v>
      </c>
      <c r="B2164" s="0" t="s">
        <v>545</v>
      </c>
      <c r="D2164" s="23" t="n">
        <f aca="false">(D2159-a26_gp-D2163-(1-m_new)*(D2156+D2158))/D2149*1000</f>
        <v>27.9465727870208</v>
      </c>
      <c r="E2164" s="23" t="n">
        <f aca="false">D2164*(1+cc_g)</f>
        <v>28.5055042427612</v>
      </c>
      <c r="F2164" s="23" t="n">
        <f aca="false">E2164*(1+cc_g)</f>
        <v>29.0756143276165</v>
      </c>
      <c r="G2164" s="23" t="n">
        <f aca="false">F2164*(1+cc_g)</f>
        <v>29.6571266141688</v>
      </c>
      <c r="K2164" s="7" t="s">
        <v>546</v>
      </c>
    </row>
    <row r="2165" customFormat="false" ht="17.15" hidden="false" customHeight="false" outlineLevel="0" collapsed="false">
      <c r="A2165" s="3" t="s">
        <v>547</v>
      </c>
      <c r="B2165" s="0" t="s">
        <v>181</v>
      </c>
      <c r="D2165" s="23" t="n">
        <f aca="false">D2164*D2149/1000</f>
        <v>127.2556948</v>
      </c>
      <c r="E2165" s="23" t="n">
        <f aca="false">E2164*E2149/1000</f>
        <v>147.307976864815</v>
      </c>
      <c r="F2165" s="23" t="n">
        <f aca="false">F2164*F2149/1000</f>
        <v>159.079589887624</v>
      </c>
      <c r="G2165" s="23" t="n">
        <f aca="false">G2164*G2149/1000</f>
        <v>171.772448824594</v>
      </c>
    </row>
    <row r="2166" customFormat="false" ht="17.15" hidden="false" customHeight="false" outlineLevel="0" collapsed="false">
      <c r="A2166" s="3" t="s">
        <v>548</v>
      </c>
      <c r="B2166" s="0" t="s">
        <v>181</v>
      </c>
      <c r="D2166" s="23" t="n">
        <f aca="false">m_new*(D2156+D2158)</f>
        <v>4.266</v>
      </c>
      <c r="E2166" s="23" t="n">
        <f aca="false">m_new*(E2156+E2158)</f>
        <v>4.8384</v>
      </c>
      <c r="F2166" s="23" t="n">
        <f aca="false">m_new*(F2156+F2158)</f>
        <v>10.61568</v>
      </c>
      <c r="G2166" s="23" t="n">
        <f aca="false">m_new*(G2156+G2158)</f>
        <v>17.372736</v>
      </c>
    </row>
    <row r="2167" customFormat="false" ht="15" hidden="false" customHeight="false" outlineLevel="0" collapsed="false">
      <c r="A2167" s="3" t="s">
        <v>411</v>
      </c>
      <c r="B2167" s="0" t="s">
        <v>181</v>
      </c>
      <c r="C2167" s="23" t="n">
        <f aca="false">a25_gp</f>
        <v>68.906</v>
      </c>
      <c r="D2167" s="23" t="n">
        <f aca="false">D2153-D2163-D2165+D2166</f>
        <v>91.0920852</v>
      </c>
      <c r="E2167" s="23" t="n">
        <f aca="false">E2153-E2163-E2165+E2166</f>
        <v>136.263692089343</v>
      </c>
      <c r="F2167" s="23" t="n">
        <f aca="false">F2153-F2163-F2165+F2166</f>
        <v>154.896690199612</v>
      </c>
      <c r="G2167" s="23" t="n">
        <f aca="false">G2153-G2163-G2165+G2166</f>
        <v>173.151258916633</v>
      </c>
    </row>
    <row r="2168" customFormat="false" ht="15" hidden="false" customHeight="false" outlineLevel="0" collapsed="false">
      <c r="A2168" s="3" t="s">
        <v>413</v>
      </c>
      <c r="B2168" s="0" t="s">
        <v>69</v>
      </c>
      <c r="C2168" s="15" t="n">
        <f aca="false">C2167/C2159</f>
        <v>0.290065795843454</v>
      </c>
      <c r="D2168" s="15" t="n">
        <f aca="false">D2167/D2159</f>
        <v>0.325638488136828</v>
      </c>
      <c r="E2168" s="15" t="n">
        <f aca="false">E2167/E2159</f>
        <v>0.386675654500178</v>
      </c>
      <c r="F2168" s="15" t="n">
        <f aca="false">F2167/F2159</f>
        <v>0.391000309731121</v>
      </c>
      <c r="G2168" s="15" t="n">
        <f aca="false">G2167/G2159</f>
        <v>0.392724726279292</v>
      </c>
    </row>
    <row r="2169" customFormat="false" ht="15" hidden="false" customHeight="false" outlineLevel="0" collapsed="false">
      <c r="A2169" s="3" t="s">
        <v>415</v>
      </c>
      <c r="B2169" s="0" t="s">
        <v>181</v>
      </c>
      <c r="C2169" s="23" t="n">
        <f aca="false">a25_opx</f>
        <v>25.056</v>
      </c>
      <c r="D2169" s="23" t="n">
        <f aca="false">a26_opx</f>
        <v>27.23586</v>
      </c>
      <c r="E2169" s="23" t="n">
        <f aca="false">D2169*(1+MAX(g_opx_min,phi*E2161))</f>
        <v>30.773276974127</v>
      </c>
      <c r="F2169" s="23" t="n">
        <f aca="false">E2169*(1+MAX(g_opx_min,phi*F2161))</f>
        <v>32.683824818724</v>
      </c>
      <c r="G2169" s="23" t="n">
        <f aca="false">F2169*(1+MAX(g_opx_min,phi*G2161))</f>
        <v>34.5295063577054</v>
      </c>
    </row>
    <row r="2170" customFormat="false" ht="15" hidden="false" customHeight="false" outlineLevel="0" collapsed="false">
      <c r="A2170" s="3" t="s">
        <v>418</v>
      </c>
      <c r="B2170" s="0" t="s">
        <v>181</v>
      </c>
      <c r="C2170" s="23" t="n">
        <f aca="false">C2167-C2169</f>
        <v>43.85</v>
      </c>
      <c r="D2170" s="23" t="n">
        <f aca="false">D2167-D2169</f>
        <v>63.8562252</v>
      </c>
      <c r="E2170" s="23" t="n">
        <f aca="false">E2167-E2169</f>
        <v>105.490415115216</v>
      </c>
      <c r="F2170" s="23" t="n">
        <f aca="false">F2167-F2169</f>
        <v>122.212865380888</v>
      </c>
      <c r="G2170" s="23" t="n">
        <f aca="false">G2167-G2169</f>
        <v>138.621752558927</v>
      </c>
    </row>
    <row r="2171" customFormat="false" ht="15" hidden="false" customHeight="false" outlineLevel="0" collapsed="false">
      <c r="A2171" s="3" t="s">
        <v>515</v>
      </c>
      <c r="B2171" s="0" t="s">
        <v>69</v>
      </c>
      <c r="C2171" s="15" t="n">
        <f aca="false">C2170/C2159</f>
        <v>0.184590386145408</v>
      </c>
      <c r="D2171" s="15" t="n">
        <f aca="false">D2170/D2159</f>
        <v>0.228274987740129</v>
      </c>
      <c r="E2171" s="15" t="n">
        <f aca="false">E2170/E2159</f>
        <v>0.299350286805871</v>
      </c>
      <c r="F2171" s="15" t="n">
        <f aca="false">F2170/F2159</f>
        <v>0.308497671289653</v>
      </c>
      <c r="G2171" s="15" t="n">
        <f aca="false">G2170/G2159</f>
        <v>0.314408281930377</v>
      </c>
    </row>
    <row r="2172" customFormat="false" ht="15" hidden="false" customHeight="false" outlineLevel="0" collapsed="false">
      <c r="A2172" s="3" t="s">
        <v>421</v>
      </c>
      <c r="B2172" s="0" t="s">
        <v>181</v>
      </c>
      <c r="C2172" s="23" t="n">
        <f aca="false">a25_nonop</f>
        <v>5.805</v>
      </c>
      <c r="D2172" s="23" t="n">
        <f aca="false">a26_nonop</f>
        <v>38.372</v>
      </c>
      <c r="E2172" s="23" t="n">
        <f aca="false">nonop_f</f>
        <v>4</v>
      </c>
      <c r="F2172" s="23" t="n">
        <f aca="false">nonop_f</f>
        <v>4</v>
      </c>
      <c r="G2172" s="23" t="n">
        <f aca="false">nonop_f</f>
        <v>4</v>
      </c>
    </row>
    <row r="2173" customFormat="false" ht="15" hidden="false" customHeight="false" outlineLevel="0" collapsed="false">
      <c r="A2173" s="3" t="s">
        <v>423</v>
      </c>
      <c r="B2173" s="0" t="s">
        <v>181</v>
      </c>
      <c r="C2173" s="23" t="n">
        <f aca="false">C2170+C2172</f>
        <v>49.655</v>
      </c>
      <c r="D2173" s="23" t="n">
        <f aca="false">D2170+D2172</f>
        <v>102.2282252</v>
      </c>
      <c r="E2173" s="23" t="n">
        <f aca="false">E2170+E2172</f>
        <v>109.490415115216</v>
      </c>
      <c r="F2173" s="23" t="n">
        <f aca="false">F2170+F2172</f>
        <v>126.212865380888</v>
      </c>
      <c r="G2173" s="23" t="n">
        <f aca="false">G2170+G2172</f>
        <v>142.621752558927</v>
      </c>
    </row>
    <row r="2174" customFormat="false" ht="15" hidden="false" customHeight="false" outlineLevel="0" collapsed="false">
      <c r="A2174" s="3" t="s">
        <v>425</v>
      </c>
      <c r="B2174" s="0" t="s">
        <v>181</v>
      </c>
      <c r="C2174" s="23" t="n">
        <f aca="false">a25_tax</f>
        <v>7.939</v>
      </c>
      <c r="D2174" s="23" t="n">
        <f aca="false">a26_tax</f>
        <v>10.493828284</v>
      </c>
      <c r="E2174" s="23" t="n">
        <f aca="false">E2173*tax</f>
        <v>16.4235622672825</v>
      </c>
      <c r="F2174" s="23" t="n">
        <f aca="false">F2173*tax</f>
        <v>18.9319298071332</v>
      </c>
      <c r="G2174" s="23" t="n">
        <f aca="false">G2173*tax</f>
        <v>21.3932628838391</v>
      </c>
    </row>
    <row r="2175" customFormat="false" ht="17.15" hidden="false" customHeight="false" outlineLevel="0" collapsed="false">
      <c r="A2175" s="3" t="s">
        <v>549</v>
      </c>
      <c r="B2175" s="0" t="s">
        <v>181</v>
      </c>
      <c r="C2175" s="23" t="n">
        <f aca="false">a25_mi</f>
        <v>0</v>
      </c>
      <c r="D2175" s="23" t="n">
        <f aca="false">a26_mi</f>
        <v>-0.134999999999987</v>
      </c>
      <c r="E2175" s="23" t="n">
        <f aca="false">0</f>
        <v>0</v>
      </c>
      <c r="F2175" s="23" t="n">
        <f aca="false">0</f>
        <v>0</v>
      </c>
      <c r="G2175" s="23" t="n">
        <f aca="false">0</f>
        <v>0</v>
      </c>
      <c r="K2175" s="7" t="s">
        <v>550</v>
      </c>
    </row>
    <row r="2176" customFormat="false" ht="15" hidden="false" customHeight="false" outlineLevel="0" collapsed="false">
      <c r="A2176" s="3" t="s">
        <v>428</v>
      </c>
      <c r="B2176" s="0" t="s">
        <v>181</v>
      </c>
      <c r="C2176" s="23" t="n">
        <f aca="false">C2173-C2174-C2175</f>
        <v>41.716</v>
      </c>
      <c r="D2176" s="23" t="n">
        <f aca="false">D2173-D2174-D2175</f>
        <v>91.869396916</v>
      </c>
      <c r="E2176" s="23" t="n">
        <f aca="false">E2173-E2174-E2175</f>
        <v>93.0668528479339</v>
      </c>
      <c r="F2176" s="23" t="n">
        <f aca="false">F2173-F2174-F2175</f>
        <v>107.280935573755</v>
      </c>
      <c r="G2176" s="23" t="n">
        <f aca="false">G2173-G2174-G2175</f>
        <v>121.228489675088</v>
      </c>
      <c r="H2176" s="30" t="n">
        <f aca="false">H2159*H2180</f>
        <v>132.780884894282</v>
      </c>
      <c r="I2176" s="30" t="n">
        <f aca="false">I2159*I2180</f>
        <v>143.090948290106</v>
      </c>
      <c r="J2176" s="30" t="n">
        <f aca="false">J2159*J2180</f>
        <v>151.676405187512</v>
      </c>
    </row>
    <row r="2177" customFormat="false" ht="15" hidden="false" customHeight="false" outlineLevel="0" collapsed="false">
      <c r="A2177" s="3" t="s">
        <v>551</v>
      </c>
      <c r="B2177" s="3" t="s">
        <v>250</v>
      </c>
      <c r="C2177" s="9" t="n">
        <f aca="false">a25_sh</f>
        <v>12.4898203592814</v>
      </c>
      <c r="D2177" s="9" t="n">
        <f aca="false">a26_sh</f>
        <v>12.4754339027235</v>
      </c>
      <c r="E2177" s="9" t="n">
        <f aca="false">q_sh*(1+sh_g)</f>
        <v>12.45</v>
      </c>
      <c r="F2177" s="9" t="n">
        <f aca="false">E2177*(1+sh_g)</f>
        <v>12.45</v>
      </c>
      <c r="G2177" s="9" t="n">
        <f aca="false">F2177*(1+sh_g)</f>
        <v>12.45</v>
      </c>
      <c r="H2177" s="32" t="n">
        <f aca="false">G2177*(1+sh_g)</f>
        <v>12.45</v>
      </c>
      <c r="I2177" s="32" t="n">
        <f aca="false">H2177*(1+sh_g)</f>
        <v>12.45</v>
      </c>
      <c r="J2177" s="32" t="n">
        <f aca="false">I2177*(1+sh_g)</f>
        <v>12.45</v>
      </c>
    </row>
    <row r="2178" customFormat="false" ht="17.15" hidden="false" customHeight="false" outlineLevel="0" collapsed="false">
      <c r="A2178" s="0" t="s">
        <v>434</v>
      </c>
      <c r="B2178" s="0" t="s">
        <v>260</v>
      </c>
      <c r="C2178" s="23" t="n">
        <f aca="false">C2176/C2177</f>
        <v>3.34</v>
      </c>
      <c r="D2178" s="23" t="n">
        <f aca="false">D2176/D2177</f>
        <v>7.36402418002826</v>
      </c>
      <c r="E2178" s="23" t="n">
        <f aca="false">E2176/E2177</f>
        <v>7.47524922473365</v>
      </c>
      <c r="F2178" s="23" t="n">
        <f aca="false">F2176/F2177</f>
        <v>8.61694261636586</v>
      </c>
      <c r="G2178" s="23" t="n">
        <f aca="false">G2176/G2177</f>
        <v>9.73722808635248</v>
      </c>
      <c r="H2178" s="30" t="n">
        <f aca="false">H2176/H2177</f>
        <v>10.6651313168098</v>
      </c>
      <c r="I2178" s="30" t="n">
        <f aca="false">I2176/I2177</f>
        <v>11.493248858643</v>
      </c>
      <c r="J2178" s="30" t="n">
        <f aca="false">J2176/J2177</f>
        <v>12.1828437901616</v>
      </c>
    </row>
    <row r="2179" customFormat="false" ht="17.15" hidden="false" customHeight="false" outlineLevel="0" collapsed="false">
      <c r="A2179" s="0" t="s">
        <v>552</v>
      </c>
      <c r="B2179" s="0" t="s">
        <v>69</v>
      </c>
      <c r="D2179" s="21" t="n">
        <f aca="false">D2178/C2178-1</f>
        <v>1.2047976586911</v>
      </c>
      <c r="E2179" s="21" t="n">
        <f aca="false">E2178/D2178-1</f>
        <v>0.0151038402354837</v>
      </c>
      <c r="F2179" s="21" t="n">
        <f aca="false">F2178/E2178-1</f>
        <v>0.152729809710511</v>
      </c>
      <c r="G2179" s="21" t="n">
        <f aca="false">G2178/F2178-1</f>
        <v>0.130009624046805</v>
      </c>
      <c r="H2179" s="28" t="n">
        <f aca="false">H2178/G2178-1</f>
        <v>0.0952943920208511</v>
      </c>
      <c r="I2179" s="28" t="n">
        <f aca="false">I2178/H2178-1</f>
        <v>0.0776471960104255</v>
      </c>
      <c r="J2179" s="28" t="n">
        <f aca="false">J2178/I2178-1</f>
        <v>0.0600000000000001</v>
      </c>
    </row>
    <row r="2180" customFormat="false" ht="17.15" hidden="false" customHeight="false" outlineLevel="0" collapsed="false">
      <c r="A2180" s="3" t="s">
        <v>553</v>
      </c>
      <c r="B2180" s="0" t="s">
        <v>69</v>
      </c>
      <c r="C2180" s="15" t="n">
        <f aca="false">C2176/C2159</f>
        <v>0.175607127672562</v>
      </c>
      <c r="D2180" s="15" t="n">
        <f aca="false">D2176/D2159</f>
        <v>0.328417243409073</v>
      </c>
      <c r="E2180" s="15" t="n">
        <f aca="false">E2176/E2159</f>
        <v>0.264095928162958</v>
      </c>
      <c r="F2180" s="15" t="n">
        <f aca="false">F2176/F2159</f>
        <v>0.270805521948381</v>
      </c>
      <c r="G2180" s="15" t="n">
        <f aca="false">G2176/G2159</f>
        <v>0.274958586629875</v>
      </c>
      <c r="H2180" s="29" t="n">
        <f aca="false">$G2180+($G$2180*1-$G2180)*1/3</f>
        <v>0.274958586629875</v>
      </c>
      <c r="I2180" s="29" t="n">
        <f aca="false">$G2180+($G$2180*1-$G2180)*2/3</f>
        <v>0.274958586629875</v>
      </c>
      <c r="J2180" s="29" t="n">
        <f aca="false">$G2180+($G$2180*1-$G2180)*3/3</f>
        <v>0.274958586629875</v>
      </c>
    </row>
    <row r="2183" customFormat="false" ht="17.15" hidden="false" customHeight="false" outlineLevel="0" collapsed="false">
      <c r="A2183" s="1" t="s">
        <v>892</v>
      </c>
    </row>
    <row r="2184" customFormat="false" ht="17.15" hidden="false" customHeight="false" outlineLevel="0" collapsed="false">
      <c r="A2184" s="4" t="s">
        <v>24</v>
      </c>
      <c r="B2184" s="4" t="s">
        <v>25</v>
      </c>
      <c r="C2184" s="16" t="s">
        <v>387</v>
      </c>
      <c r="D2184" s="16" t="s">
        <v>505</v>
      </c>
      <c r="E2184" s="16" t="s">
        <v>467</v>
      </c>
      <c r="F2184" s="16" t="s">
        <v>468</v>
      </c>
      <c r="G2184" s="16" t="s">
        <v>469</v>
      </c>
      <c r="H2184" s="16" t="s">
        <v>506</v>
      </c>
      <c r="I2184" s="16" t="s">
        <v>507</v>
      </c>
      <c r="J2184" s="16" t="s">
        <v>508</v>
      </c>
      <c r="K2184" s="4" t="s">
        <v>345</v>
      </c>
    </row>
    <row r="2185" customFormat="false" ht="17.15" hidden="false" customHeight="false" outlineLevel="0" collapsed="false">
      <c r="A2185" s="5" t="s">
        <v>526</v>
      </c>
    </row>
    <row r="2186" customFormat="false" ht="17.15" hidden="false" customHeight="false" outlineLevel="0" collapsed="false">
      <c r="A2186" s="3" t="s">
        <v>527</v>
      </c>
      <c r="B2186" s="3" t="s">
        <v>64</v>
      </c>
      <c r="D2186" s="22" t="n">
        <f aca="false">cap_26</f>
        <v>5230.46851955216</v>
      </c>
      <c r="E2186" s="22" t="n">
        <f aca="false">D2186*(1+capg27)*cap_adj</f>
        <v>5439.68726033425</v>
      </c>
      <c r="F2186" s="22" t="n">
        <f aca="false">E2186*(1+capg28)</f>
        <v>5820.46536855765</v>
      </c>
      <c r="G2186" s="22" t="n">
        <f aca="false">F2186*(1+capg29)</f>
        <v>6227.89794435668</v>
      </c>
    </row>
    <row r="2187" customFormat="false" ht="15" hidden="false" customHeight="false" outlineLevel="0" collapsed="false">
      <c r="A2187" s="3" t="s">
        <v>528</v>
      </c>
      <c r="B2187" s="0" t="s">
        <v>69</v>
      </c>
      <c r="D2187" s="21" t="n">
        <f aca="false">a26_ship/cap_26</f>
        <v>0.870578781414787</v>
      </c>
      <c r="E2187" s="21" t="n">
        <f aca="false">MIN(0.98,ut27_B+ut_adj)</f>
        <v>0.9</v>
      </c>
      <c r="F2187" s="21" t="n">
        <f aca="false">MIN(0.98,ut28_B+ut_adj)</f>
        <v>0.87</v>
      </c>
      <c r="G2187" s="21" t="n">
        <f aca="false">MIN(0.98,ut29_B+ut_adj)</f>
        <v>0.88</v>
      </c>
    </row>
    <row r="2188" customFormat="false" ht="17.15" hidden="false" customHeight="false" outlineLevel="0" collapsed="false">
      <c r="A2188" s="3" t="s">
        <v>529</v>
      </c>
      <c r="B2188" s="3" t="s">
        <v>64</v>
      </c>
      <c r="D2188" s="22" t="n">
        <f aca="false">D2186*D2187</f>
        <v>4553.53490998013</v>
      </c>
      <c r="E2188" s="22" t="n">
        <f aca="false">E2186*E2187</f>
        <v>4895.71853430083</v>
      </c>
      <c r="F2188" s="22" t="n">
        <f aca="false">F2186*F2187</f>
        <v>5063.80487064515</v>
      </c>
      <c r="G2188" s="22" t="n">
        <f aca="false">G2186*G2187</f>
        <v>5480.55019103388</v>
      </c>
    </row>
    <row r="2189" customFormat="false" ht="17.15" hidden="false" customHeight="false" outlineLevel="0" collapsed="false">
      <c r="A2189" s="3" t="s">
        <v>530</v>
      </c>
      <c r="B2189" s="0" t="s">
        <v>109</v>
      </c>
      <c r="D2189" s="22" t="n">
        <f aca="false">asp_26</f>
        <v>1878.17486396824</v>
      </c>
      <c r="E2189" s="22" t="n">
        <f aca="false">D2189*(1+asp27_B)*(1+asp_adj)</f>
        <v>1972.08360716666</v>
      </c>
      <c r="F2189" s="22" t="n">
        <f aca="false">E2189*(1+asp28_B)</f>
        <v>1972.08360716666</v>
      </c>
      <c r="G2189" s="22" t="n">
        <f aca="false">F2189*(1+asp29_B)</f>
        <v>1972.08360716666</v>
      </c>
    </row>
    <row r="2190" customFormat="false" ht="15" hidden="false" customHeight="false" outlineLevel="0" collapsed="false">
      <c r="A2190" s="3" t="s">
        <v>531</v>
      </c>
      <c r="B2190" s="0" t="s">
        <v>69</v>
      </c>
      <c r="E2190" s="21" t="n">
        <f aca="false">E2189/D2189-1</f>
        <v>0.05</v>
      </c>
      <c r="F2190" s="21" t="n">
        <f aca="false">F2189/E2189-1</f>
        <v>0</v>
      </c>
      <c r="G2190" s="21" t="n">
        <f aca="false">G2189/F2189-1</f>
        <v>0</v>
      </c>
    </row>
    <row r="2191" customFormat="false" ht="15" hidden="false" customHeight="false" outlineLevel="0" collapsed="false">
      <c r="A2191" s="3" t="s">
        <v>532</v>
      </c>
      <c r="B2191" s="0" t="s">
        <v>35</v>
      </c>
      <c r="D2191" s="23" t="n">
        <f aca="false">fx_26</f>
        <v>31.6</v>
      </c>
      <c r="E2191" s="23" t="n">
        <f aca="false">fx</f>
        <v>32</v>
      </c>
      <c r="F2191" s="23" t="n">
        <f aca="false">fx</f>
        <v>32</v>
      </c>
      <c r="G2191" s="23" t="n">
        <f aca="false">fx</f>
        <v>32</v>
      </c>
    </row>
    <row r="2192" customFormat="false" ht="17.15" hidden="false" customHeight="false" outlineLevel="0" collapsed="false">
      <c r="A2192" s="3" t="s">
        <v>533</v>
      </c>
      <c r="B2192" s="0" t="s">
        <v>181</v>
      </c>
      <c r="D2192" s="23" t="n">
        <f aca="false">D2188*D2189*D2191/1000000</f>
        <v>270.25378</v>
      </c>
      <c r="E2192" s="23" t="n">
        <f aca="false">E2188*E2189*E2191/1000000</f>
        <v>308.952520537492</v>
      </c>
      <c r="F2192" s="23" t="n">
        <f aca="false">F2188*F2189*F2191/1000000</f>
        <v>319.559890409279</v>
      </c>
      <c r="G2192" s="23" t="n">
        <f aca="false">G2188*G2189*G2191/1000000</f>
        <v>345.859302079744</v>
      </c>
    </row>
    <row r="2193" customFormat="false" ht="17.15" hidden="false" customHeight="false" outlineLevel="0" collapsed="false">
      <c r="A2193" s="5" t="s">
        <v>534</v>
      </c>
    </row>
    <row r="2194" customFormat="false" ht="17.15" hidden="false" customHeight="false" outlineLevel="0" collapsed="false">
      <c r="A2194" s="0" t="s">
        <v>535</v>
      </c>
      <c r="B2194" s="0" t="s">
        <v>138</v>
      </c>
      <c r="D2194" s="25" t="n">
        <f aca="false">ai_26</f>
        <v>0.3</v>
      </c>
      <c r="E2194" s="25" t="n">
        <f aca="false">D2194*(1+aig27_B)*ai_adj_lo</f>
        <v>0.294</v>
      </c>
      <c r="F2194" s="25" t="n">
        <f aca="false">E2194*(1+aig_L)*um28_B</f>
        <v>0.34104</v>
      </c>
      <c r="G2194" s="25" t="n">
        <f aca="false">F2194/um28_B*(1+aig_L)*um29_B</f>
        <v>0.52541475</v>
      </c>
    </row>
    <row r="2195" customFormat="false" ht="17.15" hidden="false" customHeight="false" outlineLevel="0" collapsed="false">
      <c r="A2195" s="0" t="s">
        <v>536</v>
      </c>
      <c r="B2195" s="0" t="s">
        <v>181</v>
      </c>
      <c r="D2195" s="23" t="n">
        <f aca="false">D2194*D2191</f>
        <v>9.48</v>
      </c>
      <c r="E2195" s="23" t="n">
        <f aca="false">E2194*E2191</f>
        <v>9.408</v>
      </c>
      <c r="F2195" s="23" t="n">
        <f aca="false">F2194*F2191</f>
        <v>10.91328</v>
      </c>
      <c r="G2195" s="23" t="n">
        <f aca="false">G2194*G2191</f>
        <v>16.813272</v>
      </c>
    </row>
    <row r="2196" customFormat="false" ht="17.15" hidden="false" customHeight="false" outlineLevel="0" collapsed="false">
      <c r="A2196" s="0" t="s">
        <v>537</v>
      </c>
      <c r="B2196" s="0" t="s">
        <v>138</v>
      </c>
      <c r="D2196" s="25" t="n">
        <f aca="false">0</f>
        <v>0</v>
      </c>
      <c r="E2196" s="25" t="n">
        <f aca="false">int_27</f>
        <v>0</v>
      </c>
      <c r="F2196" s="25" t="n">
        <f aca="false">int28_B</f>
        <v>0.12</v>
      </c>
      <c r="G2196" s="25" t="n">
        <f aca="false">int29_B</f>
        <v>0.3</v>
      </c>
    </row>
    <row r="2197" customFormat="false" ht="17.15" hidden="false" customHeight="false" outlineLevel="0" collapsed="false">
      <c r="A2197" s="0" t="s">
        <v>538</v>
      </c>
      <c r="B2197" s="0" t="s">
        <v>181</v>
      </c>
      <c r="D2197" s="23" t="n">
        <f aca="false">D2196*D2191</f>
        <v>0</v>
      </c>
      <c r="E2197" s="23" t="n">
        <f aca="false">E2196*E2191</f>
        <v>0</v>
      </c>
      <c r="F2197" s="23" t="n">
        <f aca="false">F2196*F2191</f>
        <v>3.84</v>
      </c>
      <c r="G2197" s="23" t="n">
        <f aca="false">G2196*G2191</f>
        <v>9.6</v>
      </c>
    </row>
    <row r="2198" customFormat="false" ht="17.15" hidden="false" customHeight="false" outlineLevel="0" collapsed="false">
      <c r="A2198" s="3" t="s">
        <v>393</v>
      </c>
      <c r="B2198" s="0" t="s">
        <v>181</v>
      </c>
      <c r="C2198" s="23" t="n">
        <f aca="false">a25_rev</f>
        <v>237.553</v>
      </c>
      <c r="D2198" s="23" t="n">
        <f aca="false">D2192+D2195+D2197</f>
        <v>279.73378</v>
      </c>
      <c r="E2198" s="23" t="n">
        <f aca="false">E2192+E2195+E2197</f>
        <v>318.360520537492</v>
      </c>
      <c r="F2198" s="23" t="n">
        <f aca="false">F2192+F2195+F2197</f>
        <v>334.313170409279</v>
      </c>
      <c r="G2198" s="23" t="n">
        <f aca="false">G2192+G2195+G2197</f>
        <v>372.272574079744</v>
      </c>
      <c r="H2198" s="30" t="n">
        <f aca="false">G2198*(1+H2200)</f>
        <v>405.415863817187</v>
      </c>
      <c r="I2198" s="30" t="n">
        <f aca="false">H2198*(1+I2200)</f>
        <v>431.571193382663</v>
      </c>
      <c r="J2198" s="30" t="n">
        <f aca="false">I2198*(1+J2200)</f>
        <v>448.83404111797</v>
      </c>
      <c r="K2198" s="7" t="s">
        <v>539</v>
      </c>
    </row>
    <row r="2199" customFormat="false" ht="17.15" hidden="false" customHeight="false" outlineLevel="0" collapsed="false">
      <c r="A2199" s="0" t="s">
        <v>540</v>
      </c>
      <c r="B2199" s="0" t="s">
        <v>69</v>
      </c>
      <c r="D2199" s="21" t="n">
        <f aca="false">D2195/D2198</f>
        <v>0.0338893643806622</v>
      </c>
      <c r="E2199" s="21" t="n">
        <f aca="false">E2195/E2198</f>
        <v>0.0295514028690378</v>
      </c>
      <c r="F2199" s="21" t="n">
        <f aca="false">F2195/F2198</f>
        <v>0.0326438829395789</v>
      </c>
      <c r="G2199" s="21" t="n">
        <f aca="false">G2195/G2198</f>
        <v>0.0451638749955253</v>
      </c>
    </row>
    <row r="2200" customFormat="false" ht="15" hidden="false" customHeight="false" outlineLevel="0" collapsed="false">
      <c r="A2200" s="3" t="s">
        <v>541</v>
      </c>
      <c r="B2200" s="0" t="s">
        <v>69</v>
      </c>
      <c r="D2200" s="21" t="n">
        <f aca="false">D2198/C2198-1</f>
        <v>0.177563659478096</v>
      </c>
      <c r="E2200" s="21" t="n">
        <f aca="false">E2198/D2198-1</f>
        <v>0.138083933007634</v>
      </c>
      <c r="F2200" s="21" t="n">
        <f aca="false">F2198/E2198-1</f>
        <v>0.0501087567166121</v>
      </c>
      <c r="G2200" s="21" t="n">
        <f aca="false">G2198/F2198-1</f>
        <v>0.113544445837996</v>
      </c>
      <c r="H2200" s="28" t="n">
        <f aca="false">$G2200+(fade_gB-$G2200)*1/3</f>
        <v>0.0890296305586637</v>
      </c>
      <c r="I2200" s="28" t="n">
        <f aca="false">$G2200+(fade_gB-$G2200)*2/3</f>
        <v>0.0645148152793318</v>
      </c>
      <c r="J2200" s="28" t="n">
        <f aca="false">$G2200+(fade_gB-$G2200)*3/3</f>
        <v>0.04</v>
      </c>
    </row>
    <row r="2201" customFormat="false" ht="17.15" hidden="false" customHeight="false" outlineLevel="0" collapsed="false">
      <c r="A2201" s="5" t="s">
        <v>542</v>
      </c>
    </row>
    <row r="2202" customFormat="false" ht="15" hidden="false" customHeight="false" outlineLevel="0" collapsed="false">
      <c r="A2202" s="3" t="s">
        <v>543</v>
      </c>
      <c r="B2202" s="0" t="s">
        <v>181</v>
      </c>
      <c r="D2202" s="23" t="n">
        <f aca="false">da_tot26*da_sh</f>
        <v>56.172</v>
      </c>
      <c r="E2202" s="23" t="n">
        <f aca="false">D2202*(1+dag_27+dag_adj)</f>
        <v>62.91264</v>
      </c>
      <c r="F2202" s="23" t="n">
        <f aca="false">E2202*(1+dag_28+dag_adj)</f>
        <v>69.203904</v>
      </c>
      <c r="G2202" s="23" t="n">
        <f aca="false">F2202*(1+dag_29+dag_adj)</f>
        <v>74.74021632</v>
      </c>
    </row>
    <row r="2203" customFormat="false" ht="17.15" hidden="false" customHeight="false" outlineLevel="0" collapsed="false">
      <c r="A2203" s="3" t="s">
        <v>544</v>
      </c>
      <c r="B2203" s="0" t="s">
        <v>545</v>
      </c>
      <c r="D2203" s="23" t="n">
        <f aca="false">(D2198-a26_gp-D2202-(1-m_new)*(D2195+D2197))/D2188*1000</f>
        <v>27.9465727870208</v>
      </c>
      <c r="E2203" s="23" t="n">
        <f aca="false">D2203*(1+cc_g)</f>
        <v>28.5055042427612</v>
      </c>
      <c r="F2203" s="23" t="n">
        <f aca="false">E2203*(1+cc_g)</f>
        <v>29.0756143276165</v>
      </c>
      <c r="G2203" s="23" t="n">
        <f aca="false">F2203*(1+cc_g)</f>
        <v>29.6571266141688</v>
      </c>
      <c r="K2203" s="7" t="s">
        <v>546</v>
      </c>
    </row>
    <row r="2204" customFormat="false" ht="17.15" hidden="false" customHeight="false" outlineLevel="0" collapsed="false">
      <c r="A2204" s="3" t="s">
        <v>547</v>
      </c>
      <c r="B2204" s="0" t="s">
        <v>181</v>
      </c>
      <c r="D2204" s="23" t="n">
        <f aca="false">D2203*D2188/1000</f>
        <v>127.2556948</v>
      </c>
      <c r="E2204" s="23" t="n">
        <f aca="false">E2203*E2188/1000</f>
        <v>139.554925450877</v>
      </c>
      <c r="F2204" s="23" t="n">
        <f aca="false">F2203*F2188/1000</f>
        <v>147.233237449184</v>
      </c>
      <c r="G2204" s="23" t="n">
        <f aca="false">G2203*G2188/1000</f>
        <v>162.537370930799</v>
      </c>
    </row>
    <row r="2205" customFormat="false" ht="17.15" hidden="false" customHeight="false" outlineLevel="0" collapsed="false">
      <c r="A2205" s="3" t="s">
        <v>548</v>
      </c>
      <c r="B2205" s="0" t="s">
        <v>181</v>
      </c>
      <c r="D2205" s="23" t="n">
        <f aca="false">m_new*(D2195+D2197)</f>
        <v>4.266</v>
      </c>
      <c r="E2205" s="23" t="n">
        <f aca="false">m_new*(E2195+E2197)</f>
        <v>4.2336</v>
      </c>
      <c r="F2205" s="23" t="n">
        <f aca="false">m_new*(F2195+F2197)</f>
        <v>6.638976</v>
      </c>
      <c r="G2205" s="23" t="n">
        <f aca="false">m_new*(G2195+G2197)</f>
        <v>11.8859724</v>
      </c>
    </row>
    <row r="2206" customFormat="false" ht="15" hidden="false" customHeight="false" outlineLevel="0" collapsed="false">
      <c r="A2206" s="3" t="s">
        <v>411</v>
      </c>
      <c r="B2206" s="0" t="s">
        <v>181</v>
      </c>
      <c r="C2206" s="23" t="n">
        <f aca="false">a25_gp</f>
        <v>68.906</v>
      </c>
      <c r="D2206" s="23" t="n">
        <f aca="false">D2192-D2202-D2204+D2205</f>
        <v>91.0920852</v>
      </c>
      <c r="E2206" s="23" t="n">
        <f aca="false">E2192-E2202-E2204+E2205</f>
        <v>110.718555086615</v>
      </c>
      <c r="F2206" s="23" t="n">
        <f aca="false">F2192-F2202-F2204+F2205</f>
        <v>109.761724960095</v>
      </c>
      <c r="G2206" s="23" t="n">
        <f aca="false">G2192-G2202-G2204+G2205</f>
        <v>120.467687228945</v>
      </c>
    </row>
    <row r="2207" customFormat="false" ht="15" hidden="false" customHeight="false" outlineLevel="0" collapsed="false">
      <c r="A2207" s="3" t="s">
        <v>413</v>
      </c>
      <c r="B2207" s="0" t="s">
        <v>69</v>
      </c>
      <c r="C2207" s="15" t="n">
        <f aca="false">C2206/C2198</f>
        <v>0.290065795843454</v>
      </c>
      <c r="D2207" s="15" t="n">
        <f aca="false">D2206/D2198</f>
        <v>0.325638488136828</v>
      </c>
      <c r="E2207" s="15" t="n">
        <f aca="false">E2206/E2198</f>
        <v>0.347777277470484</v>
      </c>
      <c r="F2207" s="15" t="n">
        <f aca="false">F2206/F2198</f>
        <v>0.328320074335451</v>
      </c>
      <c r="G2207" s="15" t="n">
        <f aca="false">G2206/G2198</f>
        <v>0.323600758199126</v>
      </c>
    </row>
    <row r="2208" customFormat="false" ht="15" hidden="false" customHeight="false" outlineLevel="0" collapsed="false">
      <c r="A2208" s="3" t="s">
        <v>415</v>
      </c>
      <c r="B2208" s="0" t="s">
        <v>181</v>
      </c>
      <c r="C2208" s="23" t="n">
        <f aca="false">a25_opx</f>
        <v>25.056</v>
      </c>
      <c r="D2208" s="23" t="n">
        <f aca="false">a26_opx</f>
        <v>27.23586</v>
      </c>
      <c r="E2208" s="23" t="n">
        <f aca="false">D2208*(1+MAX(g_opx_min,phi*E2200))</f>
        <v>29.1162773338227</v>
      </c>
      <c r="F2208" s="23" t="n">
        <f aca="false">E2208*(1+MAX(g_opx_min,phi*F2200))</f>
        <v>29.9897656538373</v>
      </c>
      <c r="G2208" s="23" t="n">
        <f aca="false">F2208*(1+MAX(g_opx_min,phi*G2200))</f>
        <v>31.6923513148255</v>
      </c>
    </row>
    <row r="2209" customFormat="false" ht="15" hidden="false" customHeight="false" outlineLevel="0" collapsed="false">
      <c r="A2209" s="3" t="s">
        <v>418</v>
      </c>
      <c r="B2209" s="0" t="s">
        <v>181</v>
      </c>
      <c r="C2209" s="23" t="n">
        <f aca="false">C2206-C2208</f>
        <v>43.85</v>
      </c>
      <c r="D2209" s="23" t="n">
        <f aca="false">D2206-D2208</f>
        <v>63.8562252</v>
      </c>
      <c r="E2209" s="23" t="n">
        <f aca="false">E2206-E2208</f>
        <v>81.6022777527924</v>
      </c>
      <c r="F2209" s="23" t="n">
        <f aca="false">F2206-F2208</f>
        <v>79.7719593062577</v>
      </c>
      <c r="G2209" s="23" t="n">
        <f aca="false">G2206-G2208</f>
        <v>88.7753359141199</v>
      </c>
    </row>
    <row r="2210" customFormat="false" ht="15" hidden="false" customHeight="false" outlineLevel="0" collapsed="false">
      <c r="A2210" s="3" t="s">
        <v>515</v>
      </c>
      <c r="B2210" s="0" t="s">
        <v>69</v>
      </c>
      <c r="C2210" s="15" t="n">
        <f aca="false">C2209/C2198</f>
        <v>0.184590386145408</v>
      </c>
      <c r="D2210" s="15" t="n">
        <f aca="false">D2209/D2198</f>
        <v>0.228274987740129</v>
      </c>
      <c r="E2210" s="15" t="n">
        <f aca="false">E2209/E2198</f>
        <v>0.256320342783151</v>
      </c>
      <c r="F2210" s="15" t="n">
        <f aca="false">F2209/F2198</f>
        <v>0.23861446801093</v>
      </c>
      <c r="G2210" s="15" t="n">
        <f aca="false">G2209/G2198</f>
        <v>0.238468643932667</v>
      </c>
    </row>
    <row r="2211" customFormat="false" ht="15" hidden="false" customHeight="false" outlineLevel="0" collapsed="false">
      <c r="A2211" s="3" t="s">
        <v>421</v>
      </c>
      <c r="B2211" s="0" t="s">
        <v>181</v>
      </c>
      <c r="C2211" s="23" t="n">
        <f aca="false">a25_nonop</f>
        <v>5.805</v>
      </c>
      <c r="D2211" s="23" t="n">
        <f aca="false">a26_nonop</f>
        <v>38.372</v>
      </c>
      <c r="E2211" s="23" t="n">
        <f aca="false">nonop_f</f>
        <v>4</v>
      </c>
      <c r="F2211" s="23" t="n">
        <f aca="false">nonop_f</f>
        <v>4</v>
      </c>
      <c r="G2211" s="23" t="n">
        <f aca="false">nonop_f</f>
        <v>4</v>
      </c>
    </row>
    <row r="2212" customFormat="false" ht="15" hidden="false" customHeight="false" outlineLevel="0" collapsed="false">
      <c r="A2212" s="3" t="s">
        <v>423</v>
      </c>
      <c r="B2212" s="0" t="s">
        <v>181</v>
      </c>
      <c r="C2212" s="23" t="n">
        <f aca="false">C2209+C2211</f>
        <v>49.655</v>
      </c>
      <c r="D2212" s="23" t="n">
        <f aca="false">D2209+D2211</f>
        <v>102.2282252</v>
      </c>
      <c r="E2212" s="23" t="n">
        <f aca="false">E2209+E2211</f>
        <v>85.6022777527924</v>
      </c>
      <c r="F2212" s="23" t="n">
        <f aca="false">F2209+F2211</f>
        <v>83.7719593062577</v>
      </c>
      <c r="G2212" s="23" t="n">
        <f aca="false">G2209+G2211</f>
        <v>92.7753359141199</v>
      </c>
    </row>
    <row r="2213" customFormat="false" ht="15" hidden="false" customHeight="false" outlineLevel="0" collapsed="false">
      <c r="A2213" s="3" t="s">
        <v>425</v>
      </c>
      <c r="B2213" s="0" t="s">
        <v>181</v>
      </c>
      <c r="C2213" s="23" t="n">
        <f aca="false">a25_tax</f>
        <v>7.939</v>
      </c>
      <c r="D2213" s="23" t="n">
        <f aca="false">a26_tax</f>
        <v>10.493828284</v>
      </c>
      <c r="E2213" s="23" t="n">
        <f aca="false">E2212*tax</f>
        <v>12.8403416629189</v>
      </c>
      <c r="F2213" s="23" t="n">
        <f aca="false">F2212*tax</f>
        <v>12.5657938959387</v>
      </c>
      <c r="G2213" s="23" t="n">
        <f aca="false">G2212*tax</f>
        <v>13.916300387118</v>
      </c>
    </row>
    <row r="2214" customFormat="false" ht="17.15" hidden="false" customHeight="false" outlineLevel="0" collapsed="false">
      <c r="A2214" s="3" t="s">
        <v>549</v>
      </c>
      <c r="B2214" s="0" t="s">
        <v>181</v>
      </c>
      <c r="C2214" s="23" t="n">
        <f aca="false">a25_mi</f>
        <v>0</v>
      </c>
      <c r="D2214" s="23" t="n">
        <f aca="false">a26_mi</f>
        <v>-0.134999999999987</v>
      </c>
      <c r="E2214" s="23" t="n">
        <f aca="false">0</f>
        <v>0</v>
      </c>
      <c r="F2214" s="23" t="n">
        <f aca="false">0</f>
        <v>0</v>
      </c>
      <c r="G2214" s="23" t="n">
        <f aca="false">0</f>
        <v>0</v>
      </c>
      <c r="K2214" s="7" t="s">
        <v>550</v>
      </c>
    </row>
    <row r="2215" customFormat="false" ht="15" hidden="false" customHeight="false" outlineLevel="0" collapsed="false">
      <c r="A2215" s="3" t="s">
        <v>428</v>
      </c>
      <c r="B2215" s="0" t="s">
        <v>181</v>
      </c>
      <c r="C2215" s="23" t="n">
        <f aca="false">C2212-C2213-C2214</f>
        <v>41.716</v>
      </c>
      <c r="D2215" s="23" t="n">
        <f aca="false">D2212-D2213-D2214</f>
        <v>91.869396916</v>
      </c>
      <c r="E2215" s="23" t="n">
        <f aca="false">E2212-E2213-E2214</f>
        <v>72.7619360898735</v>
      </c>
      <c r="F2215" s="23" t="n">
        <f aca="false">F2212-F2213-F2214</f>
        <v>71.206165410319</v>
      </c>
      <c r="G2215" s="23" t="n">
        <f aca="false">G2212-G2213-G2214</f>
        <v>78.8590355270019</v>
      </c>
      <c r="H2215" s="30" t="n">
        <f aca="false">H2198*H2219</f>
        <v>83.0171654486439</v>
      </c>
      <c r="I2215" s="30" t="n">
        <f aca="false">I2198*I2219</f>
        <v>85.3256576273157</v>
      </c>
      <c r="J2215" s="30" t="n">
        <f aca="false">J2198*J2219</f>
        <v>85.5694452205366</v>
      </c>
    </row>
    <row r="2216" customFormat="false" ht="15" hidden="false" customHeight="false" outlineLevel="0" collapsed="false">
      <c r="A2216" s="3" t="s">
        <v>551</v>
      </c>
      <c r="B2216" s="3" t="s">
        <v>250</v>
      </c>
      <c r="C2216" s="9" t="n">
        <f aca="false">a25_sh</f>
        <v>12.4898203592814</v>
      </c>
      <c r="D2216" s="9" t="n">
        <f aca="false">a26_sh</f>
        <v>12.4754339027235</v>
      </c>
      <c r="E2216" s="9" t="n">
        <f aca="false">q_sh*(1+sh_g)</f>
        <v>12.45</v>
      </c>
      <c r="F2216" s="9" t="n">
        <f aca="false">E2216*(1+sh_g)</f>
        <v>12.45</v>
      </c>
      <c r="G2216" s="9" t="n">
        <f aca="false">F2216*(1+sh_g)</f>
        <v>12.45</v>
      </c>
      <c r="H2216" s="32" t="n">
        <f aca="false">G2216*(1+sh_g)</f>
        <v>12.45</v>
      </c>
      <c r="I2216" s="32" t="n">
        <f aca="false">H2216*(1+sh_g)</f>
        <v>12.45</v>
      </c>
      <c r="J2216" s="32" t="n">
        <f aca="false">I2216*(1+sh_g)</f>
        <v>12.45</v>
      </c>
    </row>
    <row r="2217" customFormat="false" ht="17.15" hidden="false" customHeight="false" outlineLevel="0" collapsed="false">
      <c r="A2217" s="0" t="s">
        <v>434</v>
      </c>
      <c r="B2217" s="0" t="s">
        <v>260</v>
      </c>
      <c r="C2217" s="23" t="n">
        <f aca="false">C2215/C2216</f>
        <v>3.34</v>
      </c>
      <c r="D2217" s="23" t="n">
        <f aca="false">D2215/D2216</f>
        <v>7.36402418002826</v>
      </c>
      <c r="E2217" s="23" t="n">
        <f aca="false">E2215/E2216</f>
        <v>5.8443322160541</v>
      </c>
      <c r="F2217" s="23" t="n">
        <f aca="false">F2215/F2216</f>
        <v>5.71937071568827</v>
      </c>
      <c r="G2217" s="23" t="n">
        <f aca="false">G2215/G2216</f>
        <v>6.33405907847405</v>
      </c>
      <c r="H2217" s="30" t="n">
        <f aca="false">H2215/H2216</f>
        <v>6.66804541756176</v>
      </c>
      <c r="I2217" s="30" t="n">
        <f aca="false">I2215/I2216</f>
        <v>6.85346647608961</v>
      </c>
      <c r="J2217" s="30" t="n">
        <f aca="false">J2215/J2216</f>
        <v>6.87304780887844</v>
      </c>
    </row>
    <row r="2218" customFormat="false" ht="17.15" hidden="false" customHeight="false" outlineLevel="0" collapsed="false">
      <c r="A2218" s="0" t="s">
        <v>552</v>
      </c>
      <c r="B2218" s="0" t="s">
        <v>69</v>
      </c>
      <c r="D2218" s="21" t="n">
        <f aca="false">D2217/C2217-1</f>
        <v>1.2047976586911</v>
      </c>
      <c r="E2218" s="21" t="n">
        <f aca="false">E2217/D2217-1</f>
        <v>-0.20636705241893</v>
      </c>
      <c r="F2218" s="21" t="n">
        <f aca="false">F2217/E2217-1</f>
        <v>-0.0213816558926206</v>
      </c>
      <c r="G2218" s="21" t="n">
        <f aca="false">G2217/F2217-1</f>
        <v>0.107474824301855</v>
      </c>
      <c r="H2218" s="28" t="n">
        <f aca="false">H2217/G2217-1</f>
        <v>0.0527286428733749</v>
      </c>
      <c r="I2218" s="28" t="n">
        <f aca="false">I2217/H2217-1</f>
        <v>0.0278074078559067</v>
      </c>
      <c r="J2218" s="28" t="n">
        <f aca="false">J2217/I2217-1</f>
        <v>0.00285714285714289</v>
      </c>
    </row>
    <row r="2219" customFormat="false" ht="17.15" hidden="false" customHeight="false" outlineLevel="0" collapsed="false">
      <c r="A2219" s="3" t="s">
        <v>553</v>
      </c>
      <c r="B2219" s="0" t="s">
        <v>69</v>
      </c>
      <c r="C2219" s="15" t="n">
        <f aca="false">C2215/C2198</f>
        <v>0.175607127672562</v>
      </c>
      <c r="D2219" s="15" t="n">
        <f aca="false">D2215/D2198</f>
        <v>0.328417243409073</v>
      </c>
      <c r="E2219" s="15" t="n">
        <f aca="false">E2215/E2198</f>
        <v>0.228552007538588</v>
      </c>
      <c r="F2219" s="15" t="n">
        <f aca="false">F2215/F2198</f>
        <v>0.212992402671859</v>
      </c>
      <c r="G2219" s="15" t="n">
        <f aca="false">G2215/G2198</f>
        <v>0.211831440234191</v>
      </c>
      <c r="H2219" s="29" t="n">
        <f aca="false">$G2219+($G$2219*0.9-$G2219)*1/3</f>
        <v>0.204770392226385</v>
      </c>
      <c r="I2219" s="29" t="n">
        <f aca="false">$G2219+($G$2219*0.9-$G2219)*2/3</f>
        <v>0.197709344218579</v>
      </c>
      <c r="J2219" s="29" t="n">
        <f aca="false">$G2219+($G$2219*0.9-$G2219)*3/3</f>
        <v>0.190648296210772</v>
      </c>
    </row>
    <row r="2222" customFormat="false" ht="17.15" hidden="false" customHeight="false" outlineLevel="0" collapsed="false">
      <c r="A2222" s="1" t="s">
        <v>893</v>
      </c>
    </row>
    <row r="2223" customFormat="false" ht="17.15" hidden="false" customHeight="false" outlineLevel="0" collapsed="false">
      <c r="A2223" s="4" t="s">
        <v>24</v>
      </c>
      <c r="B2223" s="4" t="s">
        <v>25</v>
      </c>
      <c r="C2223" s="16" t="s">
        <v>387</v>
      </c>
      <c r="D2223" s="16" t="s">
        <v>505</v>
      </c>
      <c r="E2223" s="16" t="s">
        <v>467</v>
      </c>
      <c r="F2223" s="16" t="s">
        <v>468</v>
      </c>
      <c r="G2223" s="16" t="s">
        <v>469</v>
      </c>
      <c r="H2223" s="16" t="s">
        <v>506</v>
      </c>
      <c r="I2223" s="16" t="s">
        <v>507</v>
      </c>
      <c r="J2223" s="16" t="s">
        <v>508</v>
      </c>
      <c r="K2223" s="4" t="s">
        <v>345</v>
      </c>
    </row>
    <row r="2224" customFormat="false" ht="17.15" hidden="false" customHeight="false" outlineLevel="0" collapsed="false">
      <c r="A2224" s="5" t="s">
        <v>526</v>
      </c>
    </row>
    <row r="2225" customFormat="false" ht="17.15" hidden="false" customHeight="false" outlineLevel="0" collapsed="false">
      <c r="A2225" s="3" t="s">
        <v>527</v>
      </c>
      <c r="B2225" s="3" t="s">
        <v>64</v>
      </c>
      <c r="D2225" s="22" t="n">
        <f aca="false">cap_26</f>
        <v>5230.46851955216</v>
      </c>
      <c r="E2225" s="22" t="n">
        <f aca="false">D2225*(1+capg27)*cap_adj</f>
        <v>5439.68726033425</v>
      </c>
      <c r="F2225" s="22" t="n">
        <f aca="false">E2225*(1+capg28)</f>
        <v>5820.46536855765</v>
      </c>
      <c r="G2225" s="22" t="n">
        <f aca="false">F2225*(1+capg29)</f>
        <v>6227.89794435668</v>
      </c>
    </row>
    <row r="2226" customFormat="false" ht="15" hidden="false" customHeight="false" outlineLevel="0" collapsed="false">
      <c r="A2226" s="3" t="s">
        <v>528</v>
      </c>
      <c r="B2226" s="0" t="s">
        <v>69</v>
      </c>
      <c r="D2226" s="21" t="n">
        <f aca="false">a26_ship/cap_26</f>
        <v>0.870578781414787</v>
      </c>
      <c r="E2226" s="21" t="n">
        <f aca="false">MIN(0.98,ut27_C+ut_adj)</f>
        <v>0.82</v>
      </c>
      <c r="F2226" s="21" t="n">
        <f aca="false">MIN(0.98,ut28_C+ut_adj)</f>
        <v>0.76</v>
      </c>
      <c r="G2226" s="21" t="n">
        <f aca="false">MIN(0.98,ut29_C+ut_adj)</f>
        <v>0.8</v>
      </c>
    </row>
    <row r="2227" customFormat="false" ht="17.15" hidden="false" customHeight="false" outlineLevel="0" collapsed="false">
      <c r="A2227" s="3" t="s">
        <v>529</v>
      </c>
      <c r="B2227" s="3" t="s">
        <v>64</v>
      </c>
      <c r="D2227" s="22" t="n">
        <f aca="false">D2225*D2226</f>
        <v>4553.53490998013</v>
      </c>
      <c r="E2227" s="22" t="n">
        <f aca="false">E2225*E2226</f>
        <v>4460.54355347409</v>
      </c>
      <c r="F2227" s="22" t="n">
        <f aca="false">F2225*F2226</f>
        <v>4423.55368010381</v>
      </c>
      <c r="G2227" s="22" t="n">
        <f aca="false">G2225*G2226</f>
        <v>4982.31835548535</v>
      </c>
    </row>
    <row r="2228" customFormat="false" ht="17.15" hidden="false" customHeight="false" outlineLevel="0" collapsed="false">
      <c r="A2228" s="3" t="s">
        <v>530</v>
      </c>
      <c r="B2228" s="0" t="s">
        <v>109</v>
      </c>
      <c r="D2228" s="22" t="n">
        <f aca="false">asp_26</f>
        <v>1878.17486396824</v>
      </c>
      <c r="E2228" s="22" t="n">
        <f aca="false">D2228*(1+asp27_C)*(1+asp_adj)</f>
        <v>1878.17486396824</v>
      </c>
      <c r="F2228" s="22" t="n">
        <f aca="false">E2228*(1+asp28_C)</f>
        <v>1765.48437213015</v>
      </c>
      <c r="G2228" s="22" t="n">
        <f aca="false">F2228*(1+asp29_C)</f>
        <v>1712.51984096625</v>
      </c>
    </row>
    <row r="2229" customFormat="false" ht="15" hidden="false" customHeight="false" outlineLevel="0" collapsed="false">
      <c r="A2229" s="3" t="s">
        <v>531</v>
      </c>
      <c r="B2229" s="0" t="s">
        <v>69</v>
      </c>
      <c r="E2229" s="21" t="n">
        <f aca="false">E2228/D2228-1</f>
        <v>0</v>
      </c>
      <c r="F2229" s="21" t="n">
        <f aca="false">F2228/E2228-1</f>
        <v>-0.0599999999999999</v>
      </c>
      <c r="G2229" s="21" t="n">
        <f aca="false">G2228/F2228-1</f>
        <v>-0.0299999999999999</v>
      </c>
    </row>
    <row r="2230" customFormat="false" ht="15" hidden="false" customHeight="false" outlineLevel="0" collapsed="false">
      <c r="A2230" s="3" t="s">
        <v>532</v>
      </c>
      <c r="B2230" s="0" t="s">
        <v>35</v>
      </c>
      <c r="D2230" s="23" t="n">
        <f aca="false">fx_26</f>
        <v>31.6</v>
      </c>
      <c r="E2230" s="23" t="n">
        <f aca="false">fx</f>
        <v>32</v>
      </c>
      <c r="F2230" s="23" t="n">
        <f aca="false">fx</f>
        <v>32</v>
      </c>
      <c r="G2230" s="23" t="n">
        <f aca="false">fx</f>
        <v>32</v>
      </c>
    </row>
    <row r="2231" customFormat="false" ht="17.15" hidden="false" customHeight="false" outlineLevel="0" collapsed="false">
      <c r="A2231" s="3" t="s">
        <v>533</v>
      </c>
      <c r="B2231" s="0" t="s">
        <v>181</v>
      </c>
      <c r="D2231" s="23" t="n">
        <f aca="false">D2227*D2228*D2230/1000000</f>
        <v>270.25378</v>
      </c>
      <c r="E2231" s="23" t="n">
        <f aca="false">E2227*E2228*E2230/1000000</f>
        <v>268.08578501666</v>
      </c>
      <c r="F2231" s="23" t="n">
        <f aca="false">F2227*F2228*F2230/1000000</f>
        <v>249.910876528067</v>
      </c>
      <c r="G2231" s="23" t="n">
        <f aca="false">G2227*G2228*G2230/1000000</f>
        <v>273.034209208927</v>
      </c>
    </row>
    <row r="2232" customFormat="false" ht="17.15" hidden="false" customHeight="false" outlineLevel="0" collapsed="false">
      <c r="A2232" s="5" t="s">
        <v>534</v>
      </c>
    </row>
    <row r="2233" customFormat="false" ht="17.15" hidden="false" customHeight="false" outlineLevel="0" collapsed="false">
      <c r="A2233" s="0" t="s">
        <v>535</v>
      </c>
      <c r="B2233" s="0" t="s">
        <v>138</v>
      </c>
      <c r="D2233" s="25" t="n">
        <f aca="false">ai_26</f>
        <v>0.3</v>
      </c>
      <c r="E2233" s="25" t="n">
        <f aca="false">D2233*(1+aig27_C)*ai_adj_lo</f>
        <v>0.252</v>
      </c>
      <c r="F2233" s="25" t="n">
        <f aca="false">E2233*(1+aig_L)*um28_C</f>
        <v>0.21924</v>
      </c>
      <c r="G2233" s="25" t="n">
        <f aca="false">F2233/um28_C*(1+aig_L)*um29_C</f>
        <v>0.317898</v>
      </c>
    </row>
    <row r="2234" customFormat="false" ht="17.15" hidden="false" customHeight="false" outlineLevel="0" collapsed="false">
      <c r="A2234" s="0" t="s">
        <v>536</v>
      </c>
      <c r="B2234" s="0" t="s">
        <v>181</v>
      </c>
      <c r="D2234" s="23" t="n">
        <f aca="false">D2233*D2230</f>
        <v>9.48</v>
      </c>
      <c r="E2234" s="23" t="n">
        <f aca="false">E2233*E2230</f>
        <v>8.064</v>
      </c>
      <c r="F2234" s="23" t="n">
        <f aca="false">F2233*F2230</f>
        <v>7.01568</v>
      </c>
      <c r="G2234" s="23" t="n">
        <f aca="false">G2233*G2230</f>
        <v>10.172736</v>
      </c>
    </row>
    <row r="2235" customFormat="false" ht="17.15" hidden="false" customHeight="false" outlineLevel="0" collapsed="false">
      <c r="A2235" s="0" t="s">
        <v>537</v>
      </c>
      <c r="B2235" s="0" t="s">
        <v>138</v>
      </c>
      <c r="D2235" s="25" t="n">
        <f aca="false">0</f>
        <v>0</v>
      </c>
      <c r="E2235" s="25" t="n">
        <f aca="false">int_27</f>
        <v>0</v>
      </c>
      <c r="F2235" s="25" t="n">
        <f aca="false">int28_C</f>
        <v>0</v>
      </c>
      <c r="G2235" s="25" t="n">
        <f aca="false">int29_C</f>
        <v>0.08</v>
      </c>
    </row>
    <row r="2236" customFormat="false" ht="17.15" hidden="false" customHeight="false" outlineLevel="0" collapsed="false">
      <c r="A2236" s="0" t="s">
        <v>538</v>
      </c>
      <c r="B2236" s="0" t="s">
        <v>181</v>
      </c>
      <c r="D2236" s="23" t="n">
        <f aca="false">D2235*D2230</f>
        <v>0</v>
      </c>
      <c r="E2236" s="23" t="n">
        <f aca="false">E2235*E2230</f>
        <v>0</v>
      </c>
      <c r="F2236" s="23" t="n">
        <f aca="false">F2235*F2230</f>
        <v>0</v>
      </c>
      <c r="G2236" s="23" t="n">
        <f aca="false">G2235*G2230</f>
        <v>2.56</v>
      </c>
    </row>
    <row r="2237" customFormat="false" ht="17.15" hidden="false" customHeight="false" outlineLevel="0" collapsed="false">
      <c r="A2237" s="3" t="s">
        <v>393</v>
      </c>
      <c r="B2237" s="0" t="s">
        <v>181</v>
      </c>
      <c r="C2237" s="23" t="n">
        <f aca="false">a25_rev</f>
        <v>237.553</v>
      </c>
      <c r="D2237" s="23" t="n">
        <f aca="false">D2231+D2234+D2236</f>
        <v>279.73378</v>
      </c>
      <c r="E2237" s="23" t="n">
        <f aca="false">E2231+E2234+E2236</f>
        <v>276.14978501666</v>
      </c>
      <c r="F2237" s="23" t="n">
        <f aca="false">F2231+F2234+F2236</f>
        <v>256.926556528067</v>
      </c>
      <c r="G2237" s="23" t="n">
        <f aca="false">G2231+G2234+G2236</f>
        <v>285.766945208927</v>
      </c>
      <c r="H2237" s="30" t="n">
        <f aca="false">G2237*(1+H2239)</f>
        <v>309.057235023733</v>
      </c>
      <c r="I2237" s="30" t="n">
        <f aca="false">H2237*(1+I2239)</f>
        <v>324.742043155514</v>
      </c>
      <c r="J2237" s="30" t="n">
        <f aca="false">I2237*(1+J2239)</f>
        <v>331.236884018624</v>
      </c>
      <c r="K2237" s="7" t="s">
        <v>539</v>
      </c>
    </row>
    <row r="2238" customFormat="false" ht="17.15" hidden="false" customHeight="false" outlineLevel="0" collapsed="false">
      <c r="A2238" s="0" t="s">
        <v>540</v>
      </c>
      <c r="B2238" s="0" t="s">
        <v>69</v>
      </c>
      <c r="D2238" s="21" t="n">
        <f aca="false">D2234/D2237</f>
        <v>0.0338893643806622</v>
      </c>
      <c r="E2238" s="21" t="n">
        <f aca="false">E2234/E2237</f>
        <v>0.029201543646009</v>
      </c>
      <c r="F2238" s="21" t="n">
        <f aca="false">F2234/F2237</f>
        <v>0.0273061691045301</v>
      </c>
      <c r="G2238" s="21" t="n">
        <f aca="false">G2234/G2237</f>
        <v>0.0355980149928209</v>
      </c>
    </row>
    <row r="2239" customFormat="false" ht="15" hidden="false" customHeight="false" outlineLevel="0" collapsed="false">
      <c r="A2239" s="3" t="s">
        <v>541</v>
      </c>
      <c r="B2239" s="0" t="s">
        <v>69</v>
      </c>
      <c r="D2239" s="21" t="n">
        <f aca="false">D2237/C2237-1</f>
        <v>0.177563659478096</v>
      </c>
      <c r="E2239" s="21" t="n">
        <f aca="false">E2237/D2237-1</f>
        <v>-0.0128121637055784</v>
      </c>
      <c r="F2239" s="21" t="n">
        <f aca="false">F2237/E2237-1</f>
        <v>-0.0696116004125555</v>
      </c>
      <c r="G2239" s="21" t="n">
        <f aca="false">G2237/F2237-1</f>
        <v>0.112251489571922</v>
      </c>
      <c r="H2239" s="28" t="n">
        <f aca="false">$G2239+(fade_gC-$G2239)*1/3</f>
        <v>0.0815009930479479</v>
      </c>
      <c r="I2239" s="28" t="n">
        <f aca="false">$G2239+(fade_gC-$G2239)*2/3</f>
        <v>0.0507504965239739</v>
      </c>
      <c r="J2239" s="28" t="n">
        <f aca="false">$G2239+(fade_gC-$G2239)*3/3</f>
        <v>0.02</v>
      </c>
    </row>
    <row r="2240" customFormat="false" ht="17.15" hidden="false" customHeight="false" outlineLevel="0" collapsed="false">
      <c r="A2240" s="5" t="s">
        <v>542</v>
      </c>
    </row>
    <row r="2241" customFormat="false" ht="15" hidden="false" customHeight="false" outlineLevel="0" collapsed="false">
      <c r="A2241" s="3" t="s">
        <v>543</v>
      </c>
      <c r="B2241" s="0" t="s">
        <v>181</v>
      </c>
      <c r="D2241" s="23" t="n">
        <f aca="false">da_tot26*da_sh</f>
        <v>56.172</v>
      </c>
      <c r="E2241" s="23" t="n">
        <f aca="false">D2241*(1+dag_27+dag_adj)</f>
        <v>62.91264</v>
      </c>
      <c r="F2241" s="23" t="n">
        <f aca="false">E2241*(1+dag_28+dag_adj)</f>
        <v>69.203904</v>
      </c>
      <c r="G2241" s="23" t="n">
        <f aca="false">F2241*(1+dag_29+dag_adj)</f>
        <v>74.74021632</v>
      </c>
    </row>
    <row r="2242" customFormat="false" ht="17.15" hidden="false" customHeight="false" outlineLevel="0" collapsed="false">
      <c r="A2242" s="3" t="s">
        <v>544</v>
      </c>
      <c r="B2242" s="0" t="s">
        <v>545</v>
      </c>
      <c r="D2242" s="23" t="n">
        <f aca="false">(D2237-a26_gp-D2241-(1-m_new)*(D2234+D2236))/D2227*1000</f>
        <v>27.9465727870208</v>
      </c>
      <c r="E2242" s="23" t="n">
        <f aca="false">D2242*(1+cc_g)</f>
        <v>28.5055042427612</v>
      </c>
      <c r="F2242" s="23" t="n">
        <f aca="false">E2242*(1+cc_g)</f>
        <v>29.0756143276165</v>
      </c>
      <c r="G2242" s="23" t="n">
        <f aca="false">F2242*(1+cc_g)</f>
        <v>29.6571266141688</v>
      </c>
      <c r="K2242" s="7" t="s">
        <v>546</v>
      </c>
    </row>
    <row r="2243" customFormat="false" ht="17.15" hidden="false" customHeight="false" outlineLevel="0" collapsed="false">
      <c r="A2243" s="3" t="s">
        <v>547</v>
      </c>
      <c r="B2243" s="0" t="s">
        <v>181</v>
      </c>
      <c r="D2243" s="23" t="n">
        <f aca="false">D2242*D2227/1000</f>
        <v>127.2556948</v>
      </c>
      <c r="E2243" s="23" t="n">
        <f aca="false">E2242*E2227/1000</f>
        <v>127.150043188577</v>
      </c>
      <c r="F2243" s="23" t="n">
        <f aca="false">F2242*F2227/1000</f>
        <v>128.617540760207</v>
      </c>
      <c r="G2243" s="23" t="n">
        <f aca="false">G2242*G2227/1000</f>
        <v>147.761246300726</v>
      </c>
    </row>
    <row r="2244" customFormat="false" ht="17.15" hidden="false" customHeight="false" outlineLevel="0" collapsed="false">
      <c r="A2244" s="3" t="s">
        <v>548</v>
      </c>
      <c r="B2244" s="0" t="s">
        <v>181</v>
      </c>
      <c r="D2244" s="23" t="n">
        <f aca="false">m_new*(D2234+D2236)</f>
        <v>4.266</v>
      </c>
      <c r="E2244" s="23" t="n">
        <f aca="false">m_new*(E2234+E2236)</f>
        <v>3.6288</v>
      </c>
      <c r="F2244" s="23" t="n">
        <f aca="false">m_new*(F2234+F2236)</f>
        <v>3.157056</v>
      </c>
      <c r="G2244" s="23" t="n">
        <f aca="false">m_new*(G2234+G2236)</f>
        <v>5.7297312</v>
      </c>
    </row>
    <row r="2245" customFormat="false" ht="15" hidden="false" customHeight="false" outlineLevel="0" collapsed="false">
      <c r="A2245" s="3" t="s">
        <v>411</v>
      </c>
      <c r="B2245" s="0" t="s">
        <v>181</v>
      </c>
      <c r="C2245" s="23" t="n">
        <f aca="false">a25_gp</f>
        <v>68.906</v>
      </c>
      <c r="D2245" s="23" t="n">
        <f aca="false">D2231-D2241-D2243+D2244</f>
        <v>91.0920852</v>
      </c>
      <c r="E2245" s="23" t="n">
        <f aca="false">E2231-E2241-E2243+E2244</f>
        <v>81.6519018280829</v>
      </c>
      <c r="F2245" s="23" t="n">
        <f aca="false">F2231-F2241-F2243+F2244</f>
        <v>55.24648776786</v>
      </c>
      <c r="G2245" s="23" t="n">
        <f aca="false">G2231-G2241-G2243+G2244</f>
        <v>56.2624777882008</v>
      </c>
    </row>
    <row r="2246" customFormat="false" ht="15" hidden="false" customHeight="false" outlineLevel="0" collapsed="false">
      <c r="A2246" s="3" t="s">
        <v>413</v>
      </c>
      <c r="B2246" s="0" t="s">
        <v>69</v>
      </c>
      <c r="C2246" s="15" t="n">
        <f aca="false">C2245/C2237</f>
        <v>0.290065795843454</v>
      </c>
      <c r="D2246" s="15" t="n">
        <f aca="false">D2245/D2237</f>
        <v>0.325638488136828</v>
      </c>
      <c r="E2246" s="15" t="n">
        <f aca="false">E2245/E2237</f>
        <v>0.295679758806102</v>
      </c>
      <c r="F2246" s="15" t="n">
        <f aca="false">F2245/F2237</f>
        <v>0.215028327606239</v>
      </c>
      <c r="G2246" s="15" t="n">
        <f aca="false">G2245/G2237</f>
        <v>0.196882385214521</v>
      </c>
    </row>
    <row r="2247" customFormat="false" ht="15" hidden="false" customHeight="false" outlineLevel="0" collapsed="false">
      <c r="A2247" s="3" t="s">
        <v>415</v>
      </c>
      <c r="B2247" s="0" t="s">
        <v>181</v>
      </c>
      <c r="C2247" s="23" t="n">
        <f aca="false">a25_opx</f>
        <v>25.056</v>
      </c>
      <c r="D2247" s="23" t="n">
        <f aca="false">a26_opx</f>
        <v>27.23586</v>
      </c>
      <c r="E2247" s="23" t="n">
        <f aca="false">D2247*(1+MAX(g_opx_min,phi*E2239))</f>
        <v>28.0529358</v>
      </c>
      <c r="F2247" s="23" t="n">
        <f aca="false">E2247*(1+MAX(g_opx_min,phi*F2239))</f>
        <v>28.894523874</v>
      </c>
      <c r="G2247" s="23" t="n">
        <f aca="false">F2247*(1+MAX(g_opx_min,phi*G2239))</f>
        <v>30.516250546664</v>
      </c>
    </row>
    <row r="2248" customFormat="false" ht="15" hidden="false" customHeight="false" outlineLevel="0" collapsed="false">
      <c r="A2248" s="3" t="s">
        <v>418</v>
      </c>
      <c r="B2248" s="0" t="s">
        <v>181</v>
      </c>
      <c r="C2248" s="23" t="n">
        <f aca="false">C2245-C2247</f>
        <v>43.85</v>
      </c>
      <c r="D2248" s="23" t="n">
        <f aca="false">D2245-D2247</f>
        <v>63.8562252</v>
      </c>
      <c r="E2248" s="23" t="n">
        <f aca="false">E2245-E2247</f>
        <v>53.5989660280829</v>
      </c>
      <c r="F2248" s="23" t="n">
        <f aca="false">F2245-F2247</f>
        <v>26.35196389386</v>
      </c>
      <c r="G2248" s="23" t="n">
        <f aca="false">G2245-G2247</f>
        <v>25.7462272415369</v>
      </c>
    </row>
    <row r="2249" customFormat="false" ht="15" hidden="false" customHeight="false" outlineLevel="0" collapsed="false">
      <c r="A2249" s="3" t="s">
        <v>515</v>
      </c>
      <c r="B2249" s="0" t="s">
        <v>69</v>
      </c>
      <c r="C2249" s="15" t="n">
        <f aca="false">C2248/C2237</f>
        <v>0.184590386145408</v>
      </c>
      <c r="D2249" s="15" t="n">
        <f aca="false">D2248/D2237</f>
        <v>0.228274987740129</v>
      </c>
      <c r="E2249" s="15" t="n">
        <f aca="false">E2248/E2237</f>
        <v>0.194093817689734</v>
      </c>
      <c r="F2249" s="15" t="n">
        <f aca="false">F2248/F2237</f>
        <v>0.102566135046383</v>
      </c>
      <c r="G2249" s="15" t="n">
        <f aca="false">G2248/G2237</f>
        <v>0.0900951900602553</v>
      </c>
    </row>
    <row r="2250" customFormat="false" ht="15" hidden="false" customHeight="false" outlineLevel="0" collapsed="false">
      <c r="A2250" s="3" t="s">
        <v>421</v>
      </c>
      <c r="B2250" s="0" t="s">
        <v>181</v>
      </c>
      <c r="C2250" s="23" t="n">
        <f aca="false">a25_nonop</f>
        <v>5.805</v>
      </c>
      <c r="D2250" s="23" t="n">
        <f aca="false">a26_nonop</f>
        <v>38.372</v>
      </c>
      <c r="E2250" s="23" t="n">
        <f aca="false">nonop_f</f>
        <v>4</v>
      </c>
      <c r="F2250" s="23" t="n">
        <f aca="false">nonop_f</f>
        <v>4</v>
      </c>
      <c r="G2250" s="23" t="n">
        <f aca="false">nonop_f</f>
        <v>4</v>
      </c>
    </row>
    <row r="2251" customFormat="false" ht="15" hidden="false" customHeight="false" outlineLevel="0" collapsed="false">
      <c r="A2251" s="3" t="s">
        <v>423</v>
      </c>
      <c r="B2251" s="0" t="s">
        <v>181</v>
      </c>
      <c r="C2251" s="23" t="n">
        <f aca="false">C2248+C2250</f>
        <v>49.655</v>
      </c>
      <c r="D2251" s="23" t="n">
        <f aca="false">D2248+D2250</f>
        <v>102.2282252</v>
      </c>
      <c r="E2251" s="23" t="n">
        <f aca="false">E2248+E2250</f>
        <v>57.5989660280829</v>
      </c>
      <c r="F2251" s="23" t="n">
        <f aca="false">F2248+F2250</f>
        <v>30.35196389386</v>
      </c>
      <c r="G2251" s="23" t="n">
        <f aca="false">G2248+G2250</f>
        <v>29.7462272415369</v>
      </c>
    </row>
    <row r="2252" customFormat="false" ht="15" hidden="false" customHeight="false" outlineLevel="0" collapsed="false">
      <c r="A2252" s="3" t="s">
        <v>425</v>
      </c>
      <c r="B2252" s="0" t="s">
        <v>181</v>
      </c>
      <c r="C2252" s="23" t="n">
        <f aca="false">a25_tax</f>
        <v>7.939</v>
      </c>
      <c r="D2252" s="23" t="n">
        <f aca="false">a26_tax</f>
        <v>10.493828284</v>
      </c>
      <c r="E2252" s="23" t="n">
        <f aca="false">E2251*tax</f>
        <v>8.63984490421244</v>
      </c>
      <c r="F2252" s="23" t="n">
        <f aca="false">F2251*tax</f>
        <v>4.55279458407899</v>
      </c>
      <c r="G2252" s="23" t="n">
        <f aca="false">G2251*tax</f>
        <v>4.46193408623053</v>
      </c>
    </row>
    <row r="2253" customFormat="false" ht="17.15" hidden="false" customHeight="false" outlineLevel="0" collapsed="false">
      <c r="A2253" s="3" t="s">
        <v>549</v>
      </c>
      <c r="B2253" s="0" t="s">
        <v>181</v>
      </c>
      <c r="C2253" s="23" t="n">
        <f aca="false">a25_mi</f>
        <v>0</v>
      </c>
      <c r="D2253" s="23" t="n">
        <f aca="false">a26_mi</f>
        <v>-0.134999999999987</v>
      </c>
      <c r="E2253" s="23" t="n">
        <f aca="false">0</f>
        <v>0</v>
      </c>
      <c r="F2253" s="23" t="n">
        <f aca="false">0</f>
        <v>0</v>
      </c>
      <c r="G2253" s="23" t="n">
        <f aca="false">0</f>
        <v>0</v>
      </c>
      <c r="K2253" s="7" t="s">
        <v>550</v>
      </c>
    </row>
    <row r="2254" customFormat="false" ht="15" hidden="false" customHeight="false" outlineLevel="0" collapsed="false">
      <c r="A2254" s="3" t="s">
        <v>428</v>
      </c>
      <c r="B2254" s="0" t="s">
        <v>181</v>
      </c>
      <c r="C2254" s="23" t="n">
        <f aca="false">C2251-C2252-C2253</f>
        <v>41.716</v>
      </c>
      <c r="D2254" s="23" t="n">
        <f aca="false">D2251-D2252-D2253</f>
        <v>91.869396916</v>
      </c>
      <c r="E2254" s="23" t="n">
        <f aca="false">E2251-E2252-E2253</f>
        <v>48.9591211238705</v>
      </c>
      <c r="F2254" s="23" t="n">
        <f aca="false">F2251-F2252-F2253</f>
        <v>25.799169309781</v>
      </c>
      <c r="G2254" s="23" t="n">
        <f aca="false">G2251-G2252-G2253</f>
        <v>25.2842931553063</v>
      </c>
      <c r="H2254" s="30" t="n">
        <f aca="false">H2237*H2258</f>
        <v>25.5219889455806</v>
      </c>
      <c r="I2254" s="30" t="n">
        <f aca="false">I2237*I2258</f>
        <v>24.901725231359</v>
      </c>
      <c r="J2254" s="30" t="n">
        <f aca="false">J2237*J2258</f>
        <v>23.4459320639873</v>
      </c>
    </row>
    <row r="2255" customFormat="false" ht="15" hidden="false" customHeight="false" outlineLevel="0" collapsed="false">
      <c r="A2255" s="3" t="s">
        <v>551</v>
      </c>
      <c r="B2255" s="3" t="s">
        <v>250</v>
      </c>
      <c r="C2255" s="9" t="n">
        <f aca="false">a25_sh</f>
        <v>12.4898203592814</v>
      </c>
      <c r="D2255" s="9" t="n">
        <f aca="false">a26_sh</f>
        <v>12.4754339027235</v>
      </c>
      <c r="E2255" s="9" t="n">
        <f aca="false">q_sh*(1+sh_g)</f>
        <v>12.45</v>
      </c>
      <c r="F2255" s="9" t="n">
        <f aca="false">E2255*(1+sh_g)</f>
        <v>12.45</v>
      </c>
      <c r="G2255" s="9" t="n">
        <f aca="false">F2255*(1+sh_g)</f>
        <v>12.45</v>
      </c>
      <c r="H2255" s="32" t="n">
        <f aca="false">G2255*(1+sh_g)</f>
        <v>12.45</v>
      </c>
      <c r="I2255" s="32" t="n">
        <f aca="false">H2255*(1+sh_g)</f>
        <v>12.45</v>
      </c>
      <c r="J2255" s="32" t="n">
        <f aca="false">I2255*(1+sh_g)</f>
        <v>12.45</v>
      </c>
    </row>
    <row r="2256" customFormat="false" ht="17.15" hidden="false" customHeight="false" outlineLevel="0" collapsed="false">
      <c r="A2256" s="0" t="s">
        <v>434</v>
      </c>
      <c r="B2256" s="0" t="s">
        <v>260</v>
      </c>
      <c r="C2256" s="23" t="n">
        <f aca="false">C2254/C2255</f>
        <v>3.34</v>
      </c>
      <c r="D2256" s="23" t="n">
        <f aca="false">D2254/D2255</f>
        <v>7.36402418002826</v>
      </c>
      <c r="E2256" s="23" t="n">
        <f aca="false">E2254/E2255</f>
        <v>3.93245952802172</v>
      </c>
      <c r="F2256" s="23" t="n">
        <f aca="false">F2254/F2255</f>
        <v>2.07222243452056</v>
      </c>
      <c r="G2256" s="23" t="n">
        <f aca="false">G2254/G2255</f>
        <v>2.03086692010493</v>
      </c>
      <c r="H2256" s="30" t="n">
        <f aca="false">H2254/H2255</f>
        <v>2.04995895145226</v>
      </c>
      <c r="I2256" s="30" t="n">
        <f aca="false">I2254/I2255</f>
        <v>2.00013857279992</v>
      </c>
      <c r="J2256" s="30" t="n">
        <f aca="false">J2254/J2255</f>
        <v>1.88320739469777</v>
      </c>
    </row>
    <row r="2257" customFormat="false" ht="17.15" hidden="false" customHeight="false" outlineLevel="0" collapsed="false">
      <c r="A2257" s="0" t="s">
        <v>552</v>
      </c>
      <c r="B2257" s="0" t="s">
        <v>69</v>
      </c>
      <c r="D2257" s="21" t="n">
        <f aca="false">D2256/C2256-1</f>
        <v>1.2047976586911</v>
      </c>
      <c r="E2257" s="21" t="n">
        <f aca="false">E2256/D2256-1</f>
        <v>-0.46599041069327</v>
      </c>
      <c r="F2257" s="21" t="n">
        <f aca="false">F2256/E2256-1</f>
        <v>-0.473046723111982</v>
      </c>
      <c r="G2257" s="21" t="n">
        <f aca="false">G2256/F2256-1</f>
        <v>-0.0199570826600001</v>
      </c>
      <c r="H2257" s="28" t="n">
        <f aca="false">H2256/G2256-1</f>
        <v>0.00940092684475147</v>
      </c>
      <c r="I2257" s="28" t="n">
        <f aca="false">I2256/H2256-1</f>
        <v>-0.0243031103705956</v>
      </c>
      <c r="J2257" s="28" t="n">
        <f aca="false">J2256/I2256-1</f>
        <v>-0.0584615384615383</v>
      </c>
    </row>
    <row r="2258" customFormat="false" ht="17.15" hidden="false" customHeight="false" outlineLevel="0" collapsed="false">
      <c r="A2258" s="3" t="s">
        <v>553</v>
      </c>
      <c r="B2258" s="0" t="s">
        <v>69</v>
      </c>
      <c r="C2258" s="15" t="n">
        <f aca="false">C2254/C2237</f>
        <v>0.175607127672562</v>
      </c>
      <c r="D2258" s="15" t="n">
        <f aca="false">D2254/D2237</f>
        <v>0.328417243409073</v>
      </c>
      <c r="E2258" s="15" t="n">
        <f aca="false">E2254/E2237</f>
        <v>0.177291903815594</v>
      </c>
      <c r="F2258" s="15" t="n">
        <f aca="false">F2254/F2237</f>
        <v>0.100414568499316</v>
      </c>
      <c r="G2258" s="15" t="n">
        <f aca="false">G2254/G2237</f>
        <v>0.0884787186874281</v>
      </c>
      <c r="H2258" s="29" t="n">
        <f aca="false">$G2258+($G$2258*0.8-$G2258)*1/3</f>
        <v>0.0825801374415995</v>
      </c>
      <c r="I2258" s="29" t="n">
        <f aca="false">$G2258+($G$2258*0.8-$G2258)*2/3</f>
        <v>0.076681556195771</v>
      </c>
      <c r="J2258" s="29" t="n">
        <f aca="false">$G2258+($G$2258*0.8-$G2258)*3/3</f>
        <v>0.0707829749499424</v>
      </c>
    </row>
    <row r="2261" customFormat="false" ht="17.15" hidden="false" customHeight="false" outlineLevel="0" collapsed="false">
      <c r="A2261" s="1" t="s">
        <v>894</v>
      </c>
    </row>
    <row r="2262" customFormat="false" ht="17.15" hidden="false" customHeight="false" outlineLevel="0" collapsed="false">
      <c r="A2262" s="4" t="s">
        <v>24</v>
      </c>
      <c r="B2262" s="4" t="s">
        <v>25</v>
      </c>
      <c r="C2262" s="16" t="s">
        <v>387</v>
      </c>
      <c r="D2262" s="16" t="s">
        <v>505</v>
      </c>
      <c r="E2262" s="16" t="s">
        <v>467</v>
      </c>
      <c r="F2262" s="16" t="s">
        <v>468</v>
      </c>
      <c r="G2262" s="16" t="s">
        <v>469</v>
      </c>
      <c r="H2262" s="16" t="s">
        <v>506</v>
      </c>
      <c r="I2262" s="16" t="s">
        <v>507</v>
      </c>
      <c r="J2262" s="16" t="s">
        <v>508</v>
      </c>
      <c r="K2262" s="4" t="s">
        <v>345</v>
      </c>
    </row>
    <row r="2263" customFormat="false" ht="17.15" hidden="false" customHeight="false" outlineLevel="0" collapsed="false">
      <c r="A2263" s="5" t="s">
        <v>526</v>
      </c>
    </row>
    <row r="2264" customFormat="false" ht="17.15" hidden="false" customHeight="false" outlineLevel="0" collapsed="false">
      <c r="A2264" s="3" t="s">
        <v>527</v>
      </c>
      <c r="B2264" s="3" t="s">
        <v>64</v>
      </c>
      <c r="D2264" s="22" t="n">
        <f aca="false">cap_26</f>
        <v>5230.46851955216</v>
      </c>
      <c r="E2264" s="22" t="n">
        <f aca="false">D2264*(1+capg27)*cap_adj</f>
        <v>5439.68726033425</v>
      </c>
      <c r="F2264" s="22" t="n">
        <f aca="false">E2264*(1+capg28)</f>
        <v>5820.46536855765</v>
      </c>
      <c r="G2264" s="22" t="n">
        <f aca="false">F2264*(1+capg29)</f>
        <v>6227.89794435668</v>
      </c>
    </row>
    <row r="2265" customFormat="false" ht="15" hidden="false" customHeight="false" outlineLevel="0" collapsed="false">
      <c r="A2265" s="3" t="s">
        <v>528</v>
      </c>
      <c r="B2265" s="0" t="s">
        <v>69</v>
      </c>
      <c r="D2265" s="21" t="n">
        <f aca="false">a26_ship/cap_26</f>
        <v>0.870578781414787</v>
      </c>
      <c r="E2265" s="21" t="n">
        <f aca="false">MIN(0.98,ut27_A+ut_adj)</f>
        <v>0.95</v>
      </c>
      <c r="F2265" s="21" t="n">
        <f aca="false">MIN(0.98,ut28_A+ut_adj)</f>
        <v>0.94</v>
      </c>
      <c r="G2265" s="21" t="n">
        <f aca="false">MIN(0.98,ut29_A+ut_adj)</f>
        <v>0.93</v>
      </c>
    </row>
    <row r="2266" customFormat="false" ht="17.15" hidden="false" customHeight="false" outlineLevel="0" collapsed="false">
      <c r="A2266" s="3" t="s">
        <v>529</v>
      </c>
      <c r="B2266" s="3" t="s">
        <v>64</v>
      </c>
      <c r="D2266" s="22" t="n">
        <f aca="false">D2264*D2265</f>
        <v>4553.53490998013</v>
      </c>
      <c r="E2266" s="22" t="n">
        <f aca="false">E2264*E2265</f>
        <v>5167.70289731754</v>
      </c>
      <c r="F2266" s="22" t="n">
        <f aca="false">F2264*F2265</f>
        <v>5471.23744644419</v>
      </c>
      <c r="G2266" s="22" t="n">
        <f aca="false">G2264*G2265</f>
        <v>5791.94508825172</v>
      </c>
    </row>
    <row r="2267" customFormat="false" ht="17.15" hidden="false" customHeight="false" outlineLevel="0" collapsed="false">
      <c r="A2267" s="3" t="s">
        <v>530</v>
      </c>
      <c r="B2267" s="0" t="s">
        <v>109</v>
      </c>
      <c r="D2267" s="22" t="n">
        <f aca="false">asp_26</f>
        <v>1878.17486396824</v>
      </c>
      <c r="E2267" s="22" t="n">
        <f aca="false">D2267*(1+asp27_A)*(1+asp_adj)</f>
        <v>2065.99235036507</v>
      </c>
      <c r="F2267" s="22" t="n">
        <f aca="false">E2267*(1+asp28_A)</f>
        <v>2127.97212087602</v>
      </c>
      <c r="G2267" s="22" t="n">
        <f aca="false">F2267*(1+asp29_A)</f>
        <v>2170.53156329354</v>
      </c>
    </row>
    <row r="2268" customFormat="false" ht="15" hidden="false" customHeight="false" outlineLevel="0" collapsed="false">
      <c r="A2268" s="3" t="s">
        <v>531</v>
      </c>
      <c r="B2268" s="0" t="s">
        <v>69</v>
      </c>
      <c r="E2268" s="21" t="n">
        <f aca="false">E2267/D2267-1</f>
        <v>0.1</v>
      </c>
      <c r="F2268" s="21" t="n">
        <f aca="false">F2267/E2267-1</f>
        <v>0.03</v>
      </c>
      <c r="G2268" s="21" t="n">
        <f aca="false">G2267/F2267-1</f>
        <v>0.02</v>
      </c>
    </row>
    <row r="2269" customFormat="false" ht="15" hidden="false" customHeight="false" outlineLevel="0" collapsed="false">
      <c r="A2269" s="3" t="s">
        <v>532</v>
      </c>
      <c r="B2269" s="0" t="s">
        <v>35</v>
      </c>
      <c r="D2269" s="23" t="n">
        <f aca="false">fx_26</f>
        <v>31.6</v>
      </c>
      <c r="E2269" s="23" t="n">
        <f aca="false">fx</f>
        <v>32</v>
      </c>
      <c r="F2269" s="23" t="n">
        <f aca="false">fx</f>
        <v>32</v>
      </c>
      <c r="G2269" s="23" t="n">
        <f aca="false">fx</f>
        <v>32</v>
      </c>
    </row>
    <row r="2270" customFormat="false" ht="17.15" hidden="false" customHeight="false" outlineLevel="0" collapsed="false">
      <c r="A2270" s="3" t="s">
        <v>533</v>
      </c>
      <c r="B2270" s="0" t="s">
        <v>181</v>
      </c>
      <c r="D2270" s="23" t="n">
        <f aca="false">D2266*D2267*D2269/1000000</f>
        <v>270.25378</v>
      </c>
      <c r="E2270" s="23" t="n">
        <f aca="false">E2266*E2267*E2269/1000000</f>
        <v>341.645908954158</v>
      </c>
      <c r="F2270" s="23" t="n">
        <f aca="false">F2266*F2267*F2269/1000000</f>
        <v>372.564504087237</v>
      </c>
      <c r="G2270" s="23" t="n">
        <f aca="false">G2266*G2267*G2269/1000000</f>
        <v>402.291188061227</v>
      </c>
    </row>
    <row r="2271" customFormat="false" ht="17.15" hidden="false" customHeight="false" outlineLevel="0" collapsed="false">
      <c r="A2271" s="5" t="s">
        <v>534</v>
      </c>
    </row>
    <row r="2272" customFormat="false" ht="17.15" hidden="false" customHeight="false" outlineLevel="0" collapsed="false">
      <c r="A2272" s="0" t="s">
        <v>535</v>
      </c>
      <c r="B2272" s="0" t="s">
        <v>138</v>
      </c>
      <c r="D2272" s="25" t="n">
        <f aca="false">ai_26</f>
        <v>0.3</v>
      </c>
      <c r="E2272" s="25" t="n">
        <f aca="false">D2272*(1+aig27_A)*ai_adj_hi</f>
        <v>0.624</v>
      </c>
      <c r="F2272" s="25" t="n">
        <f aca="false">E2272*(1+aig_L)*um28_A</f>
        <v>0.9048</v>
      </c>
      <c r="G2272" s="25" t="n">
        <f aca="false">F2272/um28_A*(1+aig_L)*um29_A</f>
        <v>1.31196</v>
      </c>
    </row>
    <row r="2273" customFormat="false" ht="17.15" hidden="false" customHeight="false" outlineLevel="0" collapsed="false">
      <c r="A2273" s="0" t="s">
        <v>536</v>
      </c>
      <c r="B2273" s="0" t="s">
        <v>181</v>
      </c>
      <c r="D2273" s="23" t="n">
        <f aca="false">D2272*D2269</f>
        <v>9.48</v>
      </c>
      <c r="E2273" s="23" t="n">
        <f aca="false">E2272*E2269</f>
        <v>19.968</v>
      </c>
      <c r="F2273" s="23" t="n">
        <f aca="false">F2272*F2269</f>
        <v>28.9536</v>
      </c>
      <c r="G2273" s="23" t="n">
        <f aca="false">G2272*G2269</f>
        <v>41.98272</v>
      </c>
    </row>
    <row r="2274" customFormat="false" ht="17.15" hidden="false" customHeight="false" outlineLevel="0" collapsed="false">
      <c r="A2274" s="0" t="s">
        <v>537</v>
      </c>
      <c r="B2274" s="0" t="s">
        <v>138</v>
      </c>
      <c r="D2274" s="25" t="n">
        <f aca="false">0</f>
        <v>0</v>
      </c>
      <c r="E2274" s="25" t="n">
        <f aca="false">int_27</f>
        <v>0</v>
      </c>
      <c r="F2274" s="25" t="n">
        <f aca="false">int28_A</f>
        <v>0.25</v>
      </c>
      <c r="G2274" s="25" t="n">
        <f aca="false">int29_A</f>
        <v>0.5</v>
      </c>
    </row>
    <row r="2275" customFormat="false" ht="17.15" hidden="false" customHeight="false" outlineLevel="0" collapsed="false">
      <c r="A2275" s="0" t="s">
        <v>538</v>
      </c>
      <c r="B2275" s="0" t="s">
        <v>181</v>
      </c>
      <c r="D2275" s="23" t="n">
        <f aca="false">D2274*D2269</f>
        <v>0</v>
      </c>
      <c r="E2275" s="23" t="n">
        <f aca="false">E2274*E2269</f>
        <v>0</v>
      </c>
      <c r="F2275" s="23" t="n">
        <f aca="false">F2274*F2269</f>
        <v>8</v>
      </c>
      <c r="G2275" s="23" t="n">
        <f aca="false">G2274*G2269</f>
        <v>16</v>
      </c>
    </row>
    <row r="2276" customFormat="false" ht="17.15" hidden="false" customHeight="false" outlineLevel="0" collapsed="false">
      <c r="A2276" s="3" t="s">
        <v>393</v>
      </c>
      <c r="B2276" s="0" t="s">
        <v>181</v>
      </c>
      <c r="C2276" s="23" t="n">
        <f aca="false">a25_rev</f>
        <v>237.553</v>
      </c>
      <c r="D2276" s="23" t="n">
        <f aca="false">D2270+D2273+D2275</f>
        <v>279.73378</v>
      </c>
      <c r="E2276" s="23" t="n">
        <f aca="false">E2270+E2273+E2275</f>
        <v>361.613908954158</v>
      </c>
      <c r="F2276" s="23" t="n">
        <f aca="false">F2270+F2273+F2275</f>
        <v>409.518104087237</v>
      </c>
      <c r="G2276" s="23" t="n">
        <f aca="false">G2270+G2273+G2275</f>
        <v>460.273908061227</v>
      </c>
      <c r="H2276" s="30" t="n">
        <f aca="false">G2276*(1+H2278)</f>
        <v>507.510382522307</v>
      </c>
      <c r="I2276" s="30" t="n">
        <f aca="false">H2276*(1+I2278)</f>
        <v>548.777797192275</v>
      </c>
      <c r="J2276" s="30" t="n">
        <f aca="false">I2276*(1+J2278)</f>
        <v>581.704465023812</v>
      </c>
      <c r="K2276" s="7" t="s">
        <v>539</v>
      </c>
    </row>
    <row r="2277" customFormat="false" ht="17.15" hidden="false" customHeight="false" outlineLevel="0" collapsed="false">
      <c r="A2277" s="0" t="s">
        <v>540</v>
      </c>
      <c r="B2277" s="0" t="s">
        <v>69</v>
      </c>
      <c r="D2277" s="21" t="n">
        <f aca="false">D2273/D2276</f>
        <v>0.0338893643806622</v>
      </c>
      <c r="E2277" s="21" t="n">
        <f aca="false">E2273/E2276</f>
        <v>0.055219114933246</v>
      </c>
      <c r="F2277" s="21" t="n">
        <f aca="false">F2273/F2276</f>
        <v>0.0707016361695019</v>
      </c>
      <c r="G2277" s="21" t="n">
        <f aca="false">G2273/G2276</f>
        <v>0.0912124699330454</v>
      </c>
    </row>
    <row r="2278" customFormat="false" ht="15" hidden="false" customHeight="false" outlineLevel="0" collapsed="false">
      <c r="A2278" s="3" t="s">
        <v>541</v>
      </c>
      <c r="B2278" s="0" t="s">
        <v>69</v>
      </c>
      <c r="D2278" s="21" t="n">
        <f aca="false">D2276/C2276-1</f>
        <v>0.177563659478096</v>
      </c>
      <c r="E2278" s="21" t="n">
        <f aca="false">E2276/D2276-1</f>
        <v>0.292707333930704</v>
      </c>
      <c r="F2278" s="21" t="n">
        <f aca="false">F2276/E2276-1</f>
        <v>0.132473320154152</v>
      </c>
      <c r="G2278" s="21" t="n">
        <f aca="false">G2276/F2276-1</f>
        <v>0.123940317820914</v>
      </c>
      <c r="H2278" s="28" t="n">
        <f aca="false">$G2278+(fade_gA-$G2278)*1/3</f>
        <v>0.102626878547276</v>
      </c>
      <c r="I2278" s="28" t="n">
        <f aca="false">$G2278+(fade_gA-$G2278)*2/3</f>
        <v>0.0813134392736381</v>
      </c>
      <c r="J2278" s="28" t="n">
        <f aca="false">$G2278+(fade_gA-$G2278)*3/3</f>
        <v>0.06</v>
      </c>
    </row>
    <row r="2279" customFormat="false" ht="17.15" hidden="false" customHeight="false" outlineLevel="0" collapsed="false">
      <c r="A2279" s="5" t="s">
        <v>542</v>
      </c>
    </row>
    <row r="2280" customFormat="false" ht="15" hidden="false" customHeight="false" outlineLevel="0" collapsed="false">
      <c r="A2280" s="3" t="s">
        <v>543</v>
      </c>
      <c r="B2280" s="0" t="s">
        <v>181</v>
      </c>
      <c r="D2280" s="23" t="n">
        <f aca="false">da_tot26*da_sh</f>
        <v>56.172</v>
      </c>
      <c r="E2280" s="23" t="n">
        <f aca="false">D2280*(1+dag_27+dag_adj)</f>
        <v>62.91264</v>
      </c>
      <c r="F2280" s="23" t="n">
        <f aca="false">E2280*(1+dag_28+dag_adj)</f>
        <v>69.203904</v>
      </c>
      <c r="G2280" s="23" t="n">
        <f aca="false">F2280*(1+dag_29+dag_adj)</f>
        <v>74.74021632</v>
      </c>
    </row>
    <row r="2281" customFormat="false" ht="17.15" hidden="false" customHeight="false" outlineLevel="0" collapsed="false">
      <c r="A2281" s="3" t="s">
        <v>544</v>
      </c>
      <c r="B2281" s="0" t="s">
        <v>545</v>
      </c>
      <c r="D2281" s="23" t="n">
        <f aca="false">(D2276-a26_gp-D2280-(1-m_new)*(D2273+D2275))/D2266*1000</f>
        <v>27.9465727870208</v>
      </c>
      <c r="E2281" s="23" t="n">
        <f aca="false">D2281*(1+cc_g)</f>
        <v>28.5055042427612</v>
      </c>
      <c r="F2281" s="23" t="n">
        <f aca="false">E2281*(1+cc_g)</f>
        <v>29.0756143276165</v>
      </c>
      <c r="G2281" s="23" t="n">
        <f aca="false">F2281*(1+cc_g)</f>
        <v>29.6571266141688</v>
      </c>
      <c r="K2281" s="7" t="s">
        <v>546</v>
      </c>
    </row>
    <row r="2282" customFormat="false" ht="17.15" hidden="false" customHeight="false" outlineLevel="0" collapsed="false">
      <c r="A2282" s="3" t="s">
        <v>547</v>
      </c>
      <c r="B2282" s="0" t="s">
        <v>181</v>
      </c>
      <c r="D2282" s="23" t="n">
        <f aca="false">D2281*D2266/1000</f>
        <v>127.2556948</v>
      </c>
      <c r="E2282" s="23" t="n">
        <f aca="false">E2281*E2266/1000</f>
        <v>147.307976864815</v>
      </c>
      <c r="F2282" s="23" t="n">
        <f aca="false">F2281*F2266/1000</f>
        <v>159.079589887624</v>
      </c>
      <c r="G2282" s="23" t="n">
        <f aca="false">G2281*G2266/1000</f>
        <v>171.772448824594</v>
      </c>
    </row>
    <row r="2283" customFormat="false" ht="17.15" hidden="false" customHeight="false" outlineLevel="0" collapsed="false">
      <c r="A2283" s="3" t="s">
        <v>548</v>
      </c>
      <c r="B2283" s="0" t="s">
        <v>181</v>
      </c>
      <c r="D2283" s="23" t="n">
        <f aca="false">m_new*(D2273+D2275)</f>
        <v>4.266</v>
      </c>
      <c r="E2283" s="23" t="n">
        <f aca="false">m_new*(E2273+E2275)</f>
        <v>8.9856</v>
      </c>
      <c r="F2283" s="23" t="n">
        <f aca="false">m_new*(F2273+F2275)</f>
        <v>16.62912</v>
      </c>
      <c r="G2283" s="23" t="n">
        <f aca="false">m_new*(G2273+G2275)</f>
        <v>26.092224</v>
      </c>
    </row>
    <row r="2284" customFormat="false" ht="15" hidden="false" customHeight="false" outlineLevel="0" collapsed="false">
      <c r="A2284" s="3" t="s">
        <v>411</v>
      </c>
      <c r="B2284" s="0" t="s">
        <v>181</v>
      </c>
      <c r="C2284" s="23" t="n">
        <f aca="false">a25_gp</f>
        <v>68.906</v>
      </c>
      <c r="D2284" s="23" t="n">
        <f aca="false">D2270-D2280-D2282+D2283</f>
        <v>91.0920852</v>
      </c>
      <c r="E2284" s="23" t="n">
        <f aca="false">E2270-E2280-E2282+E2283</f>
        <v>140.410892089343</v>
      </c>
      <c r="F2284" s="23" t="n">
        <f aca="false">F2270-F2280-F2282+F2283</f>
        <v>160.910130199612</v>
      </c>
      <c r="G2284" s="23" t="n">
        <f aca="false">G2270-G2280-G2282+G2283</f>
        <v>181.870746916633</v>
      </c>
    </row>
    <row r="2285" customFormat="false" ht="15" hidden="false" customHeight="false" outlineLevel="0" collapsed="false">
      <c r="A2285" s="3" t="s">
        <v>413</v>
      </c>
      <c r="B2285" s="0" t="s">
        <v>69</v>
      </c>
      <c r="C2285" s="15" t="n">
        <f aca="false">C2284/C2276</f>
        <v>0.290065795843454</v>
      </c>
      <c r="D2285" s="15" t="n">
        <f aca="false">D2284/D2276</f>
        <v>0.325638488136828</v>
      </c>
      <c r="E2285" s="15" t="n">
        <f aca="false">E2284/E2276</f>
        <v>0.388289522644283</v>
      </c>
      <c r="F2285" s="15" t="n">
        <f aca="false">F2284/F2276</f>
        <v>0.392925559562892</v>
      </c>
      <c r="G2285" s="15" t="n">
        <f aca="false">G2284/G2276</f>
        <v>0.395135904363364</v>
      </c>
    </row>
    <row r="2286" customFormat="false" ht="15" hidden="false" customHeight="false" outlineLevel="0" collapsed="false">
      <c r="A2286" s="3" t="s">
        <v>415</v>
      </c>
      <c r="B2286" s="0" t="s">
        <v>181</v>
      </c>
      <c r="C2286" s="23" t="n">
        <f aca="false">a25_opx</f>
        <v>25.056</v>
      </c>
      <c r="D2286" s="23" t="n">
        <f aca="false">a26_opx</f>
        <v>27.23586</v>
      </c>
      <c r="E2286" s="23" t="n">
        <f aca="false">D2286*(1+MAX(g_opx_min,phi*E2278))</f>
        <v>31.221927983955</v>
      </c>
      <c r="F2286" s="23" t="n">
        <f aca="false">E2286*(1+MAX(g_opx_min,phi*F2278))</f>
        <v>33.2899642147791</v>
      </c>
      <c r="G2286" s="23" t="n">
        <f aca="false">F2286*(1+MAX(g_opx_min,phi*G2278))</f>
        <v>35.3529485872924</v>
      </c>
    </row>
    <row r="2287" customFormat="false" ht="15" hidden="false" customHeight="false" outlineLevel="0" collapsed="false">
      <c r="A2287" s="3" t="s">
        <v>418</v>
      </c>
      <c r="B2287" s="0" t="s">
        <v>181</v>
      </c>
      <c r="C2287" s="23" t="n">
        <f aca="false">C2284-C2286</f>
        <v>43.85</v>
      </c>
      <c r="D2287" s="23" t="n">
        <f aca="false">D2284-D2286</f>
        <v>63.8562252</v>
      </c>
      <c r="E2287" s="23" t="n">
        <f aca="false">E2284-E2286</f>
        <v>109.188964105388</v>
      </c>
      <c r="F2287" s="23" t="n">
        <f aca="false">F2284-F2286</f>
        <v>127.620165984833</v>
      </c>
      <c r="G2287" s="23" t="n">
        <f aca="false">G2284-G2286</f>
        <v>146.51779832934</v>
      </c>
    </row>
    <row r="2288" customFormat="false" ht="15" hidden="false" customHeight="false" outlineLevel="0" collapsed="false">
      <c r="A2288" s="3" t="s">
        <v>515</v>
      </c>
      <c r="B2288" s="0" t="s">
        <v>69</v>
      </c>
      <c r="C2288" s="15" t="n">
        <f aca="false">C2287/C2276</f>
        <v>0.184590386145408</v>
      </c>
      <c r="D2288" s="15" t="n">
        <f aca="false">D2287/D2276</f>
        <v>0.228274987740129</v>
      </c>
      <c r="E2288" s="15" t="n">
        <f aca="false">E2287/E2276</f>
        <v>0.301949016345028</v>
      </c>
      <c r="F2288" s="15" t="n">
        <f aca="false">F2287/F2276</f>
        <v>0.311634979531081</v>
      </c>
      <c r="G2288" s="15" t="n">
        <f aca="false">G2287/G2276</f>
        <v>0.318327404102711</v>
      </c>
    </row>
    <row r="2289" customFormat="false" ht="15" hidden="false" customHeight="false" outlineLevel="0" collapsed="false">
      <c r="A2289" s="3" t="s">
        <v>421</v>
      </c>
      <c r="B2289" s="0" t="s">
        <v>181</v>
      </c>
      <c r="C2289" s="23" t="n">
        <f aca="false">a25_nonop</f>
        <v>5.805</v>
      </c>
      <c r="D2289" s="23" t="n">
        <f aca="false">a26_nonop</f>
        <v>38.372</v>
      </c>
      <c r="E2289" s="23" t="n">
        <f aca="false">nonop_f</f>
        <v>4</v>
      </c>
      <c r="F2289" s="23" t="n">
        <f aca="false">nonop_f</f>
        <v>4</v>
      </c>
      <c r="G2289" s="23" t="n">
        <f aca="false">nonop_f</f>
        <v>4</v>
      </c>
    </row>
    <row r="2290" customFormat="false" ht="15" hidden="false" customHeight="false" outlineLevel="0" collapsed="false">
      <c r="A2290" s="3" t="s">
        <v>423</v>
      </c>
      <c r="B2290" s="0" t="s">
        <v>181</v>
      </c>
      <c r="C2290" s="23" t="n">
        <f aca="false">C2287+C2289</f>
        <v>49.655</v>
      </c>
      <c r="D2290" s="23" t="n">
        <f aca="false">D2287+D2289</f>
        <v>102.2282252</v>
      </c>
      <c r="E2290" s="23" t="n">
        <f aca="false">E2287+E2289</f>
        <v>113.188964105388</v>
      </c>
      <c r="F2290" s="23" t="n">
        <f aca="false">F2287+F2289</f>
        <v>131.620165984833</v>
      </c>
      <c r="G2290" s="23" t="n">
        <f aca="false">G2287+G2289</f>
        <v>150.51779832934</v>
      </c>
    </row>
    <row r="2291" customFormat="false" ht="15" hidden="false" customHeight="false" outlineLevel="0" collapsed="false">
      <c r="A2291" s="3" t="s">
        <v>425</v>
      </c>
      <c r="B2291" s="0" t="s">
        <v>181</v>
      </c>
      <c r="C2291" s="23" t="n">
        <f aca="false">a25_tax</f>
        <v>7.939</v>
      </c>
      <c r="D2291" s="23" t="n">
        <f aca="false">a26_tax</f>
        <v>10.493828284</v>
      </c>
      <c r="E2291" s="23" t="n">
        <f aca="false">E2290*tax</f>
        <v>16.9783446158083</v>
      </c>
      <c r="F2291" s="23" t="n">
        <f aca="false">F2290*tax</f>
        <v>19.743024897725</v>
      </c>
      <c r="G2291" s="23" t="n">
        <f aca="false">G2290*tax</f>
        <v>22.5776697494011</v>
      </c>
    </row>
    <row r="2292" customFormat="false" ht="17.15" hidden="false" customHeight="false" outlineLevel="0" collapsed="false">
      <c r="A2292" s="3" t="s">
        <v>549</v>
      </c>
      <c r="B2292" s="0" t="s">
        <v>181</v>
      </c>
      <c r="C2292" s="23" t="n">
        <f aca="false">a25_mi</f>
        <v>0</v>
      </c>
      <c r="D2292" s="23" t="n">
        <f aca="false">a26_mi</f>
        <v>-0.134999999999987</v>
      </c>
      <c r="E2292" s="23" t="n">
        <f aca="false">0</f>
        <v>0</v>
      </c>
      <c r="F2292" s="23" t="n">
        <f aca="false">0</f>
        <v>0</v>
      </c>
      <c r="G2292" s="23" t="n">
        <f aca="false">0</f>
        <v>0</v>
      </c>
      <c r="K2292" s="7" t="s">
        <v>550</v>
      </c>
    </row>
    <row r="2293" customFormat="false" ht="15" hidden="false" customHeight="false" outlineLevel="0" collapsed="false">
      <c r="A2293" s="3" t="s">
        <v>428</v>
      </c>
      <c r="B2293" s="0" t="s">
        <v>181</v>
      </c>
      <c r="C2293" s="23" t="n">
        <f aca="false">C2290-C2291-C2292</f>
        <v>41.716</v>
      </c>
      <c r="D2293" s="23" t="n">
        <f aca="false">D2290-D2291-D2292</f>
        <v>91.869396916</v>
      </c>
      <c r="E2293" s="23" t="n">
        <f aca="false">E2290-E2291-E2292</f>
        <v>96.2106194895801</v>
      </c>
      <c r="F2293" s="23" t="n">
        <f aca="false">F2290-F2291-F2292</f>
        <v>111.877141087108</v>
      </c>
      <c r="G2293" s="23" t="n">
        <f aca="false">G2290-G2291-G2292</f>
        <v>127.940128579939</v>
      </c>
      <c r="H2293" s="30" t="n">
        <f aca="false">H2276*H2297</f>
        <v>141.070224617036</v>
      </c>
      <c r="I2293" s="30" t="n">
        <f aca="false">I2276*I2297</f>
        <v>152.541129759752</v>
      </c>
      <c r="J2293" s="30" t="n">
        <f aca="false">J2276*J2297</f>
        <v>161.693597545337</v>
      </c>
    </row>
    <row r="2294" customFormat="false" ht="15" hidden="false" customHeight="false" outlineLevel="0" collapsed="false">
      <c r="A2294" s="3" t="s">
        <v>551</v>
      </c>
      <c r="B2294" s="3" t="s">
        <v>250</v>
      </c>
      <c r="C2294" s="9" t="n">
        <f aca="false">a25_sh</f>
        <v>12.4898203592814</v>
      </c>
      <c r="D2294" s="9" t="n">
        <f aca="false">a26_sh</f>
        <v>12.4754339027235</v>
      </c>
      <c r="E2294" s="9" t="n">
        <f aca="false">q_sh*(1+sh_g)</f>
        <v>12.45</v>
      </c>
      <c r="F2294" s="9" t="n">
        <f aca="false">E2294*(1+sh_g)</f>
        <v>12.45</v>
      </c>
      <c r="G2294" s="9" t="n">
        <f aca="false">F2294*(1+sh_g)</f>
        <v>12.45</v>
      </c>
      <c r="H2294" s="32" t="n">
        <f aca="false">G2294*(1+sh_g)</f>
        <v>12.45</v>
      </c>
      <c r="I2294" s="32" t="n">
        <f aca="false">H2294*(1+sh_g)</f>
        <v>12.45</v>
      </c>
      <c r="J2294" s="32" t="n">
        <f aca="false">I2294*(1+sh_g)</f>
        <v>12.45</v>
      </c>
    </row>
    <row r="2295" customFormat="false" ht="17.15" hidden="false" customHeight="false" outlineLevel="0" collapsed="false">
      <c r="A2295" s="0" t="s">
        <v>434</v>
      </c>
      <c r="B2295" s="0" t="s">
        <v>260</v>
      </c>
      <c r="C2295" s="23" t="n">
        <f aca="false">C2293/C2294</f>
        <v>3.34</v>
      </c>
      <c r="D2295" s="23" t="n">
        <f aca="false">D2293/D2294</f>
        <v>7.36402418002826</v>
      </c>
      <c r="E2295" s="23" t="n">
        <f aca="false">E2293/E2294</f>
        <v>7.7277606015727</v>
      </c>
      <c r="F2295" s="23" t="n">
        <f aca="false">F2293/F2294</f>
        <v>8.98611574996852</v>
      </c>
      <c r="G2295" s="23" t="n">
        <f aca="false">G2293/G2294</f>
        <v>10.2763155485895</v>
      </c>
      <c r="H2295" s="30" t="n">
        <f aca="false">H2293/H2294</f>
        <v>11.3309417363081</v>
      </c>
      <c r="I2295" s="30" t="n">
        <f aca="false">I2293/I2294</f>
        <v>12.2522995790965</v>
      </c>
      <c r="J2295" s="30" t="n">
        <f aca="false">J2293/J2294</f>
        <v>12.9874375538423</v>
      </c>
    </row>
    <row r="2296" customFormat="false" ht="17.15" hidden="false" customHeight="false" outlineLevel="0" collapsed="false">
      <c r="A2296" s="0" t="s">
        <v>552</v>
      </c>
      <c r="B2296" s="0" t="s">
        <v>69</v>
      </c>
      <c r="D2296" s="21" t="n">
        <f aca="false">D2295/C2295-1</f>
        <v>1.2047976586911</v>
      </c>
      <c r="E2296" s="21" t="n">
        <f aca="false">E2295/D2295-1</f>
        <v>0.0493937027706828</v>
      </c>
      <c r="F2296" s="21" t="n">
        <f aca="false">F2295/E2295-1</f>
        <v>0.162835679477407</v>
      </c>
      <c r="G2296" s="21" t="n">
        <f aca="false">G2295/F2295-1</f>
        <v>0.143577028665083</v>
      </c>
      <c r="H2296" s="28" t="n">
        <f aca="false">H2295/G2295-1</f>
        <v>0.102626878547276</v>
      </c>
      <c r="I2296" s="28" t="n">
        <f aca="false">I2295/H2295-1</f>
        <v>0.0813134392736381</v>
      </c>
      <c r="J2296" s="28" t="n">
        <f aca="false">J2295/I2295-1</f>
        <v>0.0600000000000001</v>
      </c>
    </row>
    <row r="2297" customFormat="false" ht="17.15" hidden="false" customHeight="false" outlineLevel="0" collapsed="false">
      <c r="A2297" s="3" t="s">
        <v>553</v>
      </c>
      <c r="B2297" s="0" t="s">
        <v>69</v>
      </c>
      <c r="C2297" s="15" t="n">
        <f aca="false">C2293/C2276</f>
        <v>0.175607127672562</v>
      </c>
      <c r="D2297" s="15" t="n">
        <f aca="false">D2293/D2276</f>
        <v>0.328417243409073</v>
      </c>
      <c r="E2297" s="15" t="n">
        <f aca="false">E2293/E2276</f>
        <v>0.266058957101058</v>
      </c>
      <c r="F2297" s="15" t="n">
        <f aca="false">F2293/F2276</f>
        <v>0.273192173851429</v>
      </c>
      <c r="G2297" s="15" t="n">
        <f aca="false">G2293/G2276</f>
        <v>0.277965199285032</v>
      </c>
      <c r="H2297" s="29" t="n">
        <f aca="false">$G2297+($G$2297*1-$G2297)*1/3</f>
        <v>0.277965199285032</v>
      </c>
      <c r="I2297" s="29" t="n">
        <f aca="false">$G2297+($G$2297*1-$G2297)*2/3</f>
        <v>0.277965199285032</v>
      </c>
      <c r="J2297" s="29" t="n">
        <f aca="false">$G2297+($G$2297*1-$G2297)*3/3</f>
        <v>0.277965199285032</v>
      </c>
    </row>
    <row r="2300" customFormat="false" ht="17.15" hidden="false" customHeight="false" outlineLevel="0" collapsed="false">
      <c r="A2300" s="1" t="s">
        <v>895</v>
      </c>
    </row>
    <row r="2301" customFormat="false" ht="17.15" hidden="false" customHeight="false" outlineLevel="0" collapsed="false">
      <c r="A2301" s="4" t="s">
        <v>24</v>
      </c>
      <c r="B2301" s="4" t="s">
        <v>25</v>
      </c>
      <c r="C2301" s="16" t="s">
        <v>387</v>
      </c>
      <c r="D2301" s="16" t="s">
        <v>505</v>
      </c>
      <c r="E2301" s="16" t="s">
        <v>467</v>
      </c>
      <c r="F2301" s="16" t="s">
        <v>468</v>
      </c>
      <c r="G2301" s="16" t="s">
        <v>469</v>
      </c>
      <c r="H2301" s="16" t="s">
        <v>506</v>
      </c>
      <c r="I2301" s="16" t="s">
        <v>507</v>
      </c>
      <c r="J2301" s="16" t="s">
        <v>508</v>
      </c>
      <c r="K2301" s="4" t="s">
        <v>345</v>
      </c>
    </row>
    <row r="2302" customFormat="false" ht="17.15" hidden="false" customHeight="false" outlineLevel="0" collapsed="false">
      <c r="A2302" s="5" t="s">
        <v>526</v>
      </c>
    </row>
    <row r="2303" customFormat="false" ht="17.15" hidden="false" customHeight="false" outlineLevel="0" collapsed="false">
      <c r="A2303" s="3" t="s">
        <v>527</v>
      </c>
      <c r="B2303" s="3" t="s">
        <v>64</v>
      </c>
      <c r="D2303" s="22" t="n">
        <f aca="false">cap_26</f>
        <v>5230.46851955216</v>
      </c>
      <c r="E2303" s="22" t="n">
        <f aca="false">D2303*(1+capg27)*cap_adj</f>
        <v>5439.68726033425</v>
      </c>
      <c r="F2303" s="22" t="n">
        <f aca="false">E2303*(1+capg28)</f>
        <v>5820.46536855765</v>
      </c>
      <c r="G2303" s="22" t="n">
        <f aca="false">F2303*(1+capg29)</f>
        <v>6227.89794435668</v>
      </c>
    </row>
    <row r="2304" customFormat="false" ht="15" hidden="false" customHeight="false" outlineLevel="0" collapsed="false">
      <c r="A2304" s="3" t="s">
        <v>528</v>
      </c>
      <c r="B2304" s="0" t="s">
        <v>69</v>
      </c>
      <c r="D2304" s="21" t="n">
        <f aca="false">a26_ship/cap_26</f>
        <v>0.870578781414787</v>
      </c>
      <c r="E2304" s="21" t="n">
        <f aca="false">MIN(0.98,ut27_B+ut_adj)</f>
        <v>0.9</v>
      </c>
      <c r="F2304" s="21" t="n">
        <f aca="false">MIN(0.98,ut28_B+ut_adj)</f>
        <v>0.87</v>
      </c>
      <c r="G2304" s="21" t="n">
        <f aca="false">MIN(0.98,ut29_B+ut_adj)</f>
        <v>0.88</v>
      </c>
    </row>
    <row r="2305" customFormat="false" ht="17.15" hidden="false" customHeight="false" outlineLevel="0" collapsed="false">
      <c r="A2305" s="3" t="s">
        <v>529</v>
      </c>
      <c r="B2305" s="3" t="s">
        <v>64</v>
      </c>
      <c r="D2305" s="22" t="n">
        <f aca="false">D2303*D2304</f>
        <v>4553.53490998013</v>
      </c>
      <c r="E2305" s="22" t="n">
        <f aca="false">E2303*E2304</f>
        <v>4895.71853430083</v>
      </c>
      <c r="F2305" s="22" t="n">
        <f aca="false">F2303*F2304</f>
        <v>5063.80487064515</v>
      </c>
      <c r="G2305" s="22" t="n">
        <f aca="false">G2303*G2304</f>
        <v>5480.55019103388</v>
      </c>
    </row>
    <row r="2306" customFormat="false" ht="17.15" hidden="false" customHeight="false" outlineLevel="0" collapsed="false">
      <c r="A2306" s="3" t="s">
        <v>530</v>
      </c>
      <c r="B2306" s="0" t="s">
        <v>109</v>
      </c>
      <c r="D2306" s="22" t="n">
        <f aca="false">asp_26</f>
        <v>1878.17486396824</v>
      </c>
      <c r="E2306" s="22" t="n">
        <f aca="false">D2306*(1+asp27_B)*(1+asp_adj)</f>
        <v>1972.08360716666</v>
      </c>
      <c r="F2306" s="22" t="n">
        <f aca="false">E2306*(1+asp28_B)</f>
        <v>1972.08360716666</v>
      </c>
      <c r="G2306" s="22" t="n">
        <f aca="false">F2306*(1+asp29_B)</f>
        <v>1972.08360716666</v>
      </c>
    </row>
    <row r="2307" customFormat="false" ht="15" hidden="false" customHeight="false" outlineLevel="0" collapsed="false">
      <c r="A2307" s="3" t="s">
        <v>531</v>
      </c>
      <c r="B2307" s="0" t="s">
        <v>69</v>
      </c>
      <c r="E2307" s="21" t="n">
        <f aca="false">E2306/D2306-1</f>
        <v>0.05</v>
      </c>
      <c r="F2307" s="21" t="n">
        <f aca="false">F2306/E2306-1</f>
        <v>0</v>
      </c>
      <c r="G2307" s="21" t="n">
        <f aca="false">G2306/F2306-1</f>
        <v>0</v>
      </c>
    </row>
    <row r="2308" customFormat="false" ht="15" hidden="false" customHeight="false" outlineLevel="0" collapsed="false">
      <c r="A2308" s="3" t="s">
        <v>532</v>
      </c>
      <c r="B2308" s="0" t="s">
        <v>35</v>
      </c>
      <c r="D2308" s="23" t="n">
        <f aca="false">fx_26</f>
        <v>31.6</v>
      </c>
      <c r="E2308" s="23" t="n">
        <f aca="false">fx</f>
        <v>32</v>
      </c>
      <c r="F2308" s="23" t="n">
        <f aca="false">fx</f>
        <v>32</v>
      </c>
      <c r="G2308" s="23" t="n">
        <f aca="false">fx</f>
        <v>32</v>
      </c>
    </row>
    <row r="2309" customFormat="false" ht="17.15" hidden="false" customHeight="false" outlineLevel="0" collapsed="false">
      <c r="A2309" s="3" t="s">
        <v>533</v>
      </c>
      <c r="B2309" s="0" t="s">
        <v>181</v>
      </c>
      <c r="D2309" s="23" t="n">
        <f aca="false">D2305*D2306*D2308/1000000</f>
        <v>270.25378</v>
      </c>
      <c r="E2309" s="23" t="n">
        <f aca="false">E2305*E2306*E2308/1000000</f>
        <v>308.952520537492</v>
      </c>
      <c r="F2309" s="23" t="n">
        <f aca="false">F2305*F2306*F2308/1000000</f>
        <v>319.559890409279</v>
      </c>
      <c r="G2309" s="23" t="n">
        <f aca="false">G2305*G2306*G2308/1000000</f>
        <v>345.859302079744</v>
      </c>
    </row>
    <row r="2310" customFormat="false" ht="17.15" hidden="false" customHeight="false" outlineLevel="0" collapsed="false">
      <c r="A2310" s="5" t="s">
        <v>534</v>
      </c>
    </row>
    <row r="2311" customFormat="false" ht="17.15" hidden="false" customHeight="false" outlineLevel="0" collapsed="false">
      <c r="A2311" s="0" t="s">
        <v>535</v>
      </c>
      <c r="B2311" s="0" t="s">
        <v>138</v>
      </c>
      <c r="D2311" s="25" t="n">
        <f aca="false">ai_26</f>
        <v>0.3</v>
      </c>
      <c r="E2311" s="25" t="n">
        <f aca="false">D2311*(1+aig27_B)*ai_adj_hi</f>
        <v>0.546</v>
      </c>
      <c r="F2311" s="25" t="n">
        <f aca="false">E2311*(1+aig_L)*um28_B</f>
        <v>0.63336</v>
      </c>
      <c r="G2311" s="25" t="n">
        <f aca="false">F2311/um28_B*(1+aig_L)*um29_B</f>
        <v>0.97577025</v>
      </c>
    </row>
    <row r="2312" customFormat="false" ht="17.15" hidden="false" customHeight="false" outlineLevel="0" collapsed="false">
      <c r="A2312" s="0" t="s">
        <v>536</v>
      </c>
      <c r="B2312" s="0" t="s">
        <v>181</v>
      </c>
      <c r="D2312" s="23" t="n">
        <f aca="false">D2311*D2308</f>
        <v>9.48</v>
      </c>
      <c r="E2312" s="23" t="n">
        <f aca="false">E2311*E2308</f>
        <v>17.472</v>
      </c>
      <c r="F2312" s="23" t="n">
        <f aca="false">F2311*F2308</f>
        <v>20.26752</v>
      </c>
      <c r="G2312" s="23" t="n">
        <f aca="false">G2311*G2308</f>
        <v>31.224648</v>
      </c>
    </row>
    <row r="2313" customFormat="false" ht="17.15" hidden="false" customHeight="false" outlineLevel="0" collapsed="false">
      <c r="A2313" s="0" t="s">
        <v>537</v>
      </c>
      <c r="B2313" s="0" t="s">
        <v>138</v>
      </c>
      <c r="D2313" s="25" t="n">
        <f aca="false">0</f>
        <v>0</v>
      </c>
      <c r="E2313" s="25" t="n">
        <f aca="false">int_27</f>
        <v>0</v>
      </c>
      <c r="F2313" s="25" t="n">
        <f aca="false">int28_B</f>
        <v>0.12</v>
      </c>
      <c r="G2313" s="25" t="n">
        <f aca="false">int29_B</f>
        <v>0.3</v>
      </c>
    </row>
    <row r="2314" customFormat="false" ht="17.15" hidden="false" customHeight="false" outlineLevel="0" collapsed="false">
      <c r="A2314" s="0" t="s">
        <v>538</v>
      </c>
      <c r="B2314" s="0" t="s">
        <v>181</v>
      </c>
      <c r="D2314" s="23" t="n">
        <f aca="false">D2313*D2308</f>
        <v>0</v>
      </c>
      <c r="E2314" s="23" t="n">
        <f aca="false">E2313*E2308</f>
        <v>0</v>
      </c>
      <c r="F2314" s="23" t="n">
        <f aca="false">F2313*F2308</f>
        <v>3.84</v>
      </c>
      <c r="G2314" s="23" t="n">
        <f aca="false">G2313*G2308</f>
        <v>9.6</v>
      </c>
    </row>
    <row r="2315" customFormat="false" ht="17.15" hidden="false" customHeight="false" outlineLevel="0" collapsed="false">
      <c r="A2315" s="3" t="s">
        <v>393</v>
      </c>
      <c r="B2315" s="0" t="s">
        <v>181</v>
      </c>
      <c r="C2315" s="23" t="n">
        <f aca="false">a25_rev</f>
        <v>237.553</v>
      </c>
      <c r="D2315" s="23" t="n">
        <f aca="false">D2309+D2312+D2314</f>
        <v>279.73378</v>
      </c>
      <c r="E2315" s="23" t="n">
        <f aca="false">E2309+E2312+E2314</f>
        <v>326.424520537492</v>
      </c>
      <c r="F2315" s="23" t="n">
        <f aca="false">F2309+F2312+F2314</f>
        <v>343.667410409279</v>
      </c>
      <c r="G2315" s="23" t="n">
        <f aca="false">G2309+G2312+G2314</f>
        <v>386.683950079744</v>
      </c>
      <c r="H2315" s="30" t="n">
        <f aca="false">G2315*(1+H2317)</f>
        <v>424.106990165656</v>
      </c>
      <c r="I2315" s="30" t="n">
        <f aca="false">H2315*(1+I2317)</f>
        <v>453.111539666103</v>
      </c>
      <c r="J2315" s="30" t="n">
        <f aca="false">I2315*(1+J2317)</f>
        <v>471.236001252747</v>
      </c>
      <c r="K2315" s="7" t="s">
        <v>539</v>
      </c>
    </row>
    <row r="2316" customFormat="false" ht="17.15" hidden="false" customHeight="false" outlineLevel="0" collapsed="false">
      <c r="A2316" s="0" t="s">
        <v>540</v>
      </c>
      <c r="B2316" s="0" t="s">
        <v>69</v>
      </c>
      <c r="D2316" s="21" t="n">
        <f aca="false">D2312/D2315</f>
        <v>0.0338893643806622</v>
      </c>
      <c r="E2316" s="21" t="n">
        <f aca="false">E2312/E2315</f>
        <v>0.0535253907127765</v>
      </c>
      <c r="F2316" s="21" t="n">
        <f aca="false">F2312/F2315</f>
        <v>0.0589742273666947</v>
      </c>
      <c r="G2316" s="21" t="n">
        <f aca="false">G2312/G2315</f>
        <v>0.0807497906069302</v>
      </c>
    </row>
    <row r="2317" customFormat="false" ht="15" hidden="false" customHeight="false" outlineLevel="0" collapsed="false">
      <c r="A2317" s="3" t="s">
        <v>541</v>
      </c>
      <c r="B2317" s="0" t="s">
        <v>69</v>
      </c>
      <c r="D2317" s="21" t="n">
        <f aca="false">D2315/C2315-1</f>
        <v>0.177563659478096</v>
      </c>
      <c r="E2317" s="21" t="n">
        <f aca="false">E2315/D2315-1</f>
        <v>0.166911341695994</v>
      </c>
      <c r="F2317" s="21" t="n">
        <f aca="false">F2315/E2315-1</f>
        <v>0.0528235129009149</v>
      </c>
      <c r="G2317" s="21" t="n">
        <f aca="false">G2315/F2315-1</f>
        <v>0.125169097701862</v>
      </c>
      <c r="H2317" s="28" t="n">
        <f aca="false">$G2317+(fade_gB-$G2317)*1/3</f>
        <v>0.096779398467908</v>
      </c>
      <c r="I2317" s="28" t="n">
        <f aca="false">$G2317+(fade_gB-$G2317)*2/3</f>
        <v>0.068389699233954</v>
      </c>
      <c r="J2317" s="28" t="n">
        <f aca="false">$G2317+(fade_gB-$G2317)*3/3</f>
        <v>0.04</v>
      </c>
    </row>
    <row r="2318" customFormat="false" ht="17.15" hidden="false" customHeight="false" outlineLevel="0" collapsed="false">
      <c r="A2318" s="5" t="s">
        <v>542</v>
      </c>
    </row>
    <row r="2319" customFormat="false" ht="15" hidden="false" customHeight="false" outlineLevel="0" collapsed="false">
      <c r="A2319" s="3" t="s">
        <v>543</v>
      </c>
      <c r="B2319" s="0" t="s">
        <v>181</v>
      </c>
      <c r="D2319" s="23" t="n">
        <f aca="false">da_tot26*da_sh</f>
        <v>56.172</v>
      </c>
      <c r="E2319" s="23" t="n">
        <f aca="false">D2319*(1+dag_27+dag_adj)</f>
        <v>62.91264</v>
      </c>
      <c r="F2319" s="23" t="n">
        <f aca="false">E2319*(1+dag_28+dag_adj)</f>
        <v>69.203904</v>
      </c>
      <c r="G2319" s="23" t="n">
        <f aca="false">F2319*(1+dag_29+dag_adj)</f>
        <v>74.74021632</v>
      </c>
    </row>
    <row r="2320" customFormat="false" ht="17.15" hidden="false" customHeight="false" outlineLevel="0" collapsed="false">
      <c r="A2320" s="3" t="s">
        <v>544</v>
      </c>
      <c r="B2320" s="0" t="s">
        <v>545</v>
      </c>
      <c r="D2320" s="23" t="n">
        <f aca="false">(D2315-a26_gp-D2319-(1-m_new)*(D2312+D2314))/D2305*1000</f>
        <v>27.9465727870208</v>
      </c>
      <c r="E2320" s="23" t="n">
        <f aca="false">D2320*(1+cc_g)</f>
        <v>28.5055042427612</v>
      </c>
      <c r="F2320" s="23" t="n">
        <f aca="false">E2320*(1+cc_g)</f>
        <v>29.0756143276165</v>
      </c>
      <c r="G2320" s="23" t="n">
        <f aca="false">F2320*(1+cc_g)</f>
        <v>29.6571266141688</v>
      </c>
      <c r="K2320" s="7" t="s">
        <v>546</v>
      </c>
    </row>
    <row r="2321" customFormat="false" ht="17.15" hidden="false" customHeight="false" outlineLevel="0" collapsed="false">
      <c r="A2321" s="3" t="s">
        <v>547</v>
      </c>
      <c r="B2321" s="0" t="s">
        <v>181</v>
      </c>
      <c r="D2321" s="23" t="n">
        <f aca="false">D2320*D2305/1000</f>
        <v>127.2556948</v>
      </c>
      <c r="E2321" s="23" t="n">
        <f aca="false">E2320*E2305/1000</f>
        <v>139.554925450877</v>
      </c>
      <c r="F2321" s="23" t="n">
        <f aca="false">F2320*F2305/1000</f>
        <v>147.233237449184</v>
      </c>
      <c r="G2321" s="23" t="n">
        <f aca="false">G2320*G2305/1000</f>
        <v>162.537370930799</v>
      </c>
    </row>
    <row r="2322" customFormat="false" ht="17.15" hidden="false" customHeight="false" outlineLevel="0" collapsed="false">
      <c r="A2322" s="3" t="s">
        <v>548</v>
      </c>
      <c r="B2322" s="0" t="s">
        <v>181</v>
      </c>
      <c r="D2322" s="23" t="n">
        <f aca="false">m_new*(D2312+D2314)</f>
        <v>4.266</v>
      </c>
      <c r="E2322" s="23" t="n">
        <f aca="false">m_new*(E2312+E2314)</f>
        <v>7.8624</v>
      </c>
      <c r="F2322" s="23" t="n">
        <f aca="false">m_new*(F2312+F2314)</f>
        <v>10.848384</v>
      </c>
      <c r="G2322" s="23" t="n">
        <f aca="false">m_new*(G2312+G2314)</f>
        <v>18.3710916</v>
      </c>
    </row>
    <row r="2323" customFormat="false" ht="15" hidden="false" customHeight="false" outlineLevel="0" collapsed="false">
      <c r="A2323" s="3" t="s">
        <v>411</v>
      </c>
      <c r="B2323" s="0" t="s">
        <v>181</v>
      </c>
      <c r="C2323" s="23" t="n">
        <f aca="false">a25_gp</f>
        <v>68.906</v>
      </c>
      <c r="D2323" s="23" t="n">
        <f aca="false">D2309-D2319-D2321+D2322</f>
        <v>91.0920852</v>
      </c>
      <c r="E2323" s="23" t="n">
        <f aca="false">E2309-E2319-E2321+E2322</f>
        <v>114.347355086615</v>
      </c>
      <c r="F2323" s="23" t="n">
        <f aca="false">F2309-F2319-F2321+F2322</f>
        <v>113.971132960095</v>
      </c>
      <c r="G2323" s="23" t="n">
        <f aca="false">G2309-G2319-G2321+G2322</f>
        <v>126.952806428945</v>
      </c>
    </row>
    <row r="2324" customFormat="false" ht="15" hidden="false" customHeight="false" outlineLevel="0" collapsed="false">
      <c r="A2324" s="3" t="s">
        <v>413</v>
      </c>
      <c r="B2324" s="0" t="s">
        <v>69</v>
      </c>
      <c r="C2324" s="15" t="n">
        <f aca="false">C2323/C2315</f>
        <v>0.290065795843454</v>
      </c>
      <c r="D2324" s="15" t="n">
        <f aca="false">D2323/D2315</f>
        <v>0.325638488136828</v>
      </c>
      <c r="E2324" s="15" t="n">
        <f aca="false">E2323/E2315</f>
        <v>0.350302590314999</v>
      </c>
      <c r="F2324" s="15" t="n">
        <f aca="false">F2323/F2315</f>
        <v>0.331632064921038</v>
      </c>
      <c r="G2324" s="15" t="n">
        <f aca="false">G2323/G2315</f>
        <v>0.328311548495262</v>
      </c>
    </row>
    <row r="2325" customFormat="false" ht="15" hidden="false" customHeight="false" outlineLevel="0" collapsed="false">
      <c r="A2325" s="3" t="s">
        <v>415</v>
      </c>
      <c r="B2325" s="0" t="s">
        <v>181</v>
      </c>
      <c r="C2325" s="23" t="n">
        <f aca="false">a25_opx</f>
        <v>25.056</v>
      </c>
      <c r="D2325" s="23" t="n">
        <f aca="false">a26_opx</f>
        <v>27.23586</v>
      </c>
      <c r="E2325" s="23" t="n">
        <f aca="false">D2325*(1+MAX(g_opx_min,phi*E2317))</f>
        <v>29.5088469674221</v>
      </c>
      <c r="F2325" s="23" t="n">
        <f aca="false">E2325*(1+MAX(g_opx_min,phi*F2317))</f>
        <v>30.3941123764448</v>
      </c>
      <c r="G2325" s="23" t="n">
        <f aca="false">F2325*(1+MAX(g_opx_min,phi*G2317))</f>
        <v>32.2963141872491</v>
      </c>
    </row>
    <row r="2326" customFormat="false" ht="15" hidden="false" customHeight="false" outlineLevel="0" collapsed="false">
      <c r="A2326" s="3" t="s">
        <v>418</v>
      </c>
      <c r="B2326" s="0" t="s">
        <v>181</v>
      </c>
      <c r="C2326" s="23" t="n">
        <f aca="false">C2323-C2325</f>
        <v>43.85</v>
      </c>
      <c r="D2326" s="23" t="n">
        <f aca="false">D2323-D2325</f>
        <v>63.8562252</v>
      </c>
      <c r="E2326" s="23" t="n">
        <f aca="false">E2323-E2325</f>
        <v>84.8385081191929</v>
      </c>
      <c r="F2326" s="23" t="n">
        <f aca="false">F2323-F2325</f>
        <v>83.5770205836502</v>
      </c>
      <c r="G2326" s="23" t="n">
        <f aca="false">G2323-G2325</f>
        <v>94.6564922416962</v>
      </c>
    </row>
    <row r="2327" customFormat="false" ht="15" hidden="false" customHeight="false" outlineLevel="0" collapsed="false">
      <c r="A2327" s="3" t="s">
        <v>515</v>
      </c>
      <c r="B2327" s="0" t="s">
        <v>69</v>
      </c>
      <c r="C2327" s="15" t="n">
        <f aca="false">C2326/C2315</f>
        <v>0.184590386145408</v>
      </c>
      <c r="D2327" s="15" t="n">
        <f aca="false">D2326/D2315</f>
        <v>0.228274987740129</v>
      </c>
      <c r="E2327" s="15" t="n">
        <f aca="false">E2326/E2315</f>
        <v>0.25990237491809</v>
      </c>
      <c r="F2327" s="15" t="n">
        <f aca="false">F2326/F2315</f>
        <v>0.243191580150463</v>
      </c>
      <c r="G2327" s="15" t="n">
        <f aca="false">G2326/G2315</f>
        <v>0.244790331282629</v>
      </c>
    </row>
    <row r="2328" customFormat="false" ht="15" hidden="false" customHeight="false" outlineLevel="0" collapsed="false">
      <c r="A2328" s="3" t="s">
        <v>421</v>
      </c>
      <c r="B2328" s="0" t="s">
        <v>181</v>
      </c>
      <c r="C2328" s="23" t="n">
        <f aca="false">a25_nonop</f>
        <v>5.805</v>
      </c>
      <c r="D2328" s="23" t="n">
        <f aca="false">a26_nonop</f>
        <v>38.372</v>
      </c>
      <c r="E2328" s="23" t="n">
        <f aca="false">nonop_f</f>
        <v>4</v>
      </c>
      <c r="F2328" s="23" t="n">
        <f aca="false">nonop_f</f>
        <v>4</v>
      </c>
      <c r="G2328" s="23" t="n">
        <f aca="false">nonop_f</f>
        <v>4</v>
      </c>
    </row>
    <row r="2329" customFormat="false" ht="15" hidden="false" customHeight="false" outlineLevel="0" collapsed="false">
      <c r="A2329" s="3" t="s">
        <v>423</v>
      </c>
      <c r="B2329" s="0" t="s">
        <v>181</v>
      </c>
      <c r="C2329" s="23" t="n">
        <f aca="false">C2326+C2328</f>
        <v>49.655</v>
      </c>
      <c r="D2329" s="23" t="n">
        <f aca="false">D2326+D2328</f>
        <v>102.2282252</v>
      </c>
      <c r="E2329" s="23" t="n">
        <f aca="false">E2326+E2328</f>
        <v>88.8385081191929</v>
      </c>
      <c r="F2329" s="23" t="n">
        <f aca="false">F2326+F2328</f>
        <v>87.5770205836502</v>
      </c>
      <c r="G2329" s="23" t="n">
        <f aca="false">G2326+G2328</f>
        <v>98.6564922416962</v>
      </c>
    </row>
    <row r="2330" customFormat="false" ht="15" hidden="false" customHeight="false" outlineLevel="0" collapsed="false">
      <c r="A2330" s="3" t="s">
        <v>425</v>
      </c>
      <c r="B2330" s="0" t="s">
        <v>181</v>
      </c>
      <c r="C2330" s="23" t="n">
        <f aca="false">a25_tax</f>
        <v>7.939</v>
      </c>
      <c r="D2330" s="23" t="n">
        <f aca="false">a26_tax</f>
        <v>10.493828284</v>
      </c>
      <c r="E2330" s="23" t="n">
        <f aca="false">E2329*tax</f>
        <v>13.3257762178789</v>
      </c>
      <c r="F2330" s="23" t="n">
        <f aca="false">F2329*tax</f>
        <v>13.1365530875475</v>
      </c>
      <c r="G2330" s="23" t="n">
        <f aca="false">G2329*tax</f>
        <v>14.7984738362544</v>
      </c>
    </row>
    <row r="2331" customFormat="false" ht="17.15" hidden="false" customHeight="false" outlineLevel="0" collapsed="false">
      <c r="A2331" s="3" t="s">
        <v>549</v>
      </c>
      <c r="B2331" s="0" t="s">
        <v>181</v>
      </c>
      <c r="C2331" s="23" t="n">
        <f aca="false">a25_mi</f>
        <v>0</v>
      </c>
      <c r="D2331" s="23" t="n">
        <f aca="false">a26_mi</f>
        <v>-0.134999999999987</v>
      </c>
      <c r="E2331" s="23" t="n">
        <f aca="false">0</f>
        <v>0</v>
      </c>
      <c r="F2331" s="23" t="n">
        <f aca="false">0</f>
        <v>0</v>
      </c>
      <c r="G2331" s="23" t="n">
        <f aca="false">0</f>
        <v>0</v>
      </c>
      <c r="K2331" s="7" t="s">
        <v>550</v>
      </c>
    </row>
    <row r="2332" customFormat="false" ht="15" hidden="false" customHeight="false" outlineLevel="0" collapsed="false">
      <c r="A2332" s="3" t="s">
        <v>428</v>
      </c>
      <c r="B2332" s="0" t="s">
        <v>181</v>
      </c>
      <c r="C2332" s="23" t="n">
        <f aca="false">C2329-C2330-C2331</f>
        <v>41.716</v>
      </c>
      <c r="D2332" s="23" t="n">
        <f aca="false">D2329-D2330-D2331</f>
        <v>91.869396916</v>
      </c>
      <c r="E2332" s="23" t="n">
        <f aca="false">E2329-E2330-E2331</f>
        <v>75.512731901314</v>
      </c>
      <c r="F2332" s="23" t="n">
        <f aca="false">F2329-F2330-F2331</f>
        <v>74.4404674961027</v>
      </c>
      <c r="G2332" s="23" t="n">
        <f aca="false">G2329-G2330-G2331</f>
        <v>83.8580184054418</v>
      </c>
      <c r="H2332" s="30" t="n">
        <f aca="false">H2315*H2336</f>
        <v>88.9079554173168</v>
      </c>
      <c r="I2332" s="30" t="n">
        <f aca="false">I2315*I2336</f>
        <v>91.712883618578</v>
      </c>
      <c r="J2332" s="30" t="n">
        <f aca="false">J2315*J2336</f>
        <v>91.9749204289168</v>
      </c>
    </row>
    <row r="2333" customFormat="false" ht="15" hidden="false" customHeight="false" outlineLevel="0" collapsed="false">
      <c r="A2333" s="3" t="s">
        <v>551</v>
      </c>
      <c r="B2333" s="3" t="s">
        <v>250</v>
      </c>
      <c r="C2333" s="9" t="n">
        <f aca="false">a25_sh</f>
        <v>12.4898203592814</v>
      </c>
      <c r="D2333" s="9" t="n">
        <f aca="false">a26_sh</f>
        <v>12.4754339027235</v>
      </c>
      <c r="E2333" s="9" t="n">
        <f aca="false">q_sh*(1+sh_g)</f>
        <v>12.45</v>
      </c>
      <c r="F2333" s="9" t="n">
        <f aca="false">E2333*(1+sh_g)</f>
        <v>12.45</v>
      </c>
      <c r="G2333" s="9" t="n">
        <f aca="false">F2333*(1+sh_g)</f>
        <v>12.45</v>
      </c>
      <c r="H2333" s="32" t="n">
        <f aca="false">G2333*(1+sh_g)</f>
        <v>12.45</v>
      </c>
      <c r="I2333" s="32" t="n">
        <f aca="false">H2333*(1+sh_g)</f>
        <v>12.45</v>
      </c>
      <c r="J2333" s="32" t="n">
        <f aca="false">I2333*(1+sh_g)</f>
        <v>12.45</v>
      </c>
    </row>
    <row r="2334" customFormat="false" ht="17.15" hidden="false" customHeight="false" outlineLevel="0" collapsed="false">
      <c r="A2334" s="0" t="s">
        <v>434</v>
      </c>
      <c r="B2334" s="0" t="s">
        <v>260</v>
      </c>
      <c r="C2334" s="23" t="n">
        <f aca="false">C2332/C2333</f>
        <v>3.34</v>
      </c>
      <c r="D2334" s="23" t="n">
        <f aca="false">D2332/D2333</f>
        <v>7.36402418002826</v>
      </c>
      <c r="E2334" s="23" t="n">
        <f aca="false">E2332/E2333</f>
        <v>6.06527967078827</v>
      </c>
      <c r="F2334" s="23" t="n">
        <f aca="false">F2332/F2333</f>
        <v>5.97915401575122</v>
      </c>
      <c r="G2334" s="23" t="n">
        <f aca="false">G2332/G2333</f>
        <v>6.73558380766601</v>
      </c>
      <c r="H2334" s="30" t="n">
        <f aca="false">H2332/H2333</f>
        <v>7.1412012383387</v>
      </c>
      <c r="I2334" s="30" t="n">
        <f aca="false">I2332/I2333</f>
        <v>7.36649667619101</v>
      </c>
      <c r="J2334" s="30" t="n">
        <f aca="false">J2332/J2333</f>
        <v>7.38754380955155</v>
      </c>
    </row>
    <row r="2335" customFormat="false" ht="17.15" hidden="false" customHeight="false" outlineLevel="0" collapsed="false">
      <c r="A2335" s="0" t="s">
        <v>552</v>
      </c>
      <c r="B2335" s="0" t="s">
        <v>69</v>
      </c>
      <c r="D2335" s="21" t="n">
        <f aca="false">D2334/C2334-1</f>
        <v>1.2047976586911</v>
      </c>
      <c r="E2335" s="21" t="n">
        <f aca="false">E2334/D2334-1</f>
        <v>-0.176363422700631</v>
      </c>
      <c r="F2335" s="21" t="n">
        <f aca="false">F2334/E2334-1</f>
        <v>-0.0141997829798111</v>
      </c>
      <c r="G2335" s="21" t="n">
        <f aca="false">G2334/F2334-1</f>
        <v>0.126511173641302</v>
      </c>
      <c r="H2335" s="28" t="n">
        <f aca="false">H2334/G2334-1</f>
        <v>0.0602200851856443</v>
      </c>
      <c r="I2335" s="28" t="n">
        <f aca="false">I2334/H2334-1</f>
        <v>0.0315486751224385</v>
      </c>
      <c r="J2335" s="28" t="n">
        <f aca="false">J2334/I2334-1</f>
        <v>0.00285714285714289</v>
      </c>
    </row>
    <row r="2336" customFormat="false" ht="17.15" hidden="false" customHeight="false" outlineLevel="0" collapsed="false">
      <c r="A2336" s="3" t="s">
        <v>553</v>
      </c>
      <c r="B2336" s="0" t="s">
        <v>69</v>
      </c>
      <c r="C2336" s="15" t="n">
        <f aca="false">C2332/C2315</f>
        <v>0.175607127672562</v>
      </c>
      <c r="D2336" s="15" t="n">
        <f aca="false">D2332/D2315</f>
        <v>0.328417243409073</v>
      </c>
      <c r="E2336" s="15" t="n">
        <f aca="false">E2332/E2315</f>
        <v>0.231332902862121</v>
      </c>
      <c r="F2336" s="15" t="n">
        <f aca="false">F2332/F2315</f>
        <v>0.216606129185919</v>
      </c>
      <c r="G2336" s="15" t="n">
        <f aca="false">G2332/G2315</f>
        <v>0.216864492017701</v>
      </c>
      <c r="H2336" s="29" t="n">
        <f aca="false">$G2336+($G$2336*0.9-$G2336)*1/3</f>
        <v>0.209635675617111</v>
      </c>
      <c r="I2336" s="29" t="n">
        <f aca="false">$G2336+($G$2336*0.9-$G2336)*2/3</f>
        <v>0.202406859216521</v>
      </c>
      <c r="J2336" s="29" t="n">
        <f aca="false">$G2336+($G$2336*0.9-$G2336)*3/3</f>
        <v>0.195178042815931</v>
      </c>
    </row>
    <row r="2339" customFormat="false" ht="17.15" hidden="false" customHeight="false" outlineLevel="0" collapsed="false">
      <c r="A2339" s="1" t="s">
        <v>896</v>
      </c>
    </row>
    <row r="2340" customFormat="false" ht="17.15" hidden="false" customHeight="false" outlineLevel="0" collapsed="false">
      <c r="A2340" s="4" t="s">
        <v>24</v>
      </c>
      <c r="B2340" s="4" t="s">
        <v>25</v>
      </c>
      <c r="C2340" s="16" t="s">
        <v>387</v>
      </c>
      <c r="D2340" s="16" t="s">
        <v>505</v>
      </c>
      <c r="E2340" s="16" t="s">
        <v>467</v>
      </c>
      <c r="F2340" s="16" t="s">
        <v>468</v>
      </c>
      <c r="G2340" s="16" t="s">
        <v>469</v>
      </c>
      <c r="H2340" s="16" t="s">
        <v>506</v>
      </c>
      <c r="I2340" s="16" t="s">
        <v>507</v>
      </c>
      <c r="J2340" s="16" t="s">
        <v>508</v>
      </c>
      <c r="K2340" s="4" t="s">
        <v>345</v>
      </c>
    </row>
    <row r="2341" customFormat="false" ht="17.15" hidden="false" customHeight="false" outlineLevel="0" collapsed="false">
      <c r="A2341" s="5" t="s">
        <v>526</v>
      </c>
    </row>
    <row r="2342" customFormat="false" ht="17.15" hidden="false" customHeight="false" outlineLevel="0" collapsed="false">
      <c r="A2342" s="3" t="s">
        <v>527</v>
      </c>
      <c r="B2342" s="3" t="s">
        <v>64</v>
      </c>
      <c r="D2342" s="22" t="n">
        <f aca="false">cap_26</f>
        <v>5230.46851955216</v>
      </c>
      <c r="E2342" s="22" t="n">
        <f aca="false">D2342*(1+capg27)*cap_adj</f>
        <v>5439.68726033425</v>
      </c>
      <c r="F2342" s="22" t="n">
        <f aca="false">E2342*(1+capg28)</f>
        <v>5820.46536855765</v>
      </c>
      <c r="G2342" s="22" t="n">
        <f aca="false">F2342*(1+capg29)</f>
        <v>6227.89794435668</v>
      </c>
    </row>
    <row r="2343" customFormat="false" ht="15" hidden="false" customHeight="false" outlineLevel="0" collapsed="false">
      <c r="A2343" s="3" t="s">
        <v>528</v>
      </c>
      <c r="B2343" s="0" t="s">
        <v>69</v>
      </c>
      <c r="D2343" s="21" t="n">
        <f aca="false">a26_ship/cap_26</f>
        <v>0.870578781414787</v>
      </c>
      <c r="E2343" s="21" t="n">
        <f aca="false">MIN(0.98,ut27_C+ut_adj)</f>
        <v>0.82</v>
      </c>
      <c r="F2343" s="21" t="n">
        <f aca="false">MIN(0.98,ut28_C+ut_adj)</f>
        <v>0.76</v>
      </c>
      <c r="G2343" s="21" t="n">
        <f aca="false">MIN(0.98,ut29_C+ut_adj)</f>
        <v>0.8</v>
      </c>
    </row>
    <row r="2344" customFormat="false" ht="17.15" hidden="false" customHeight="false" outlineLevel="0" collapsed="false">
      <c r="A2344" s="3" t="s">
        <v>529</v>
      </c>
      <c r="B2344" s="3" t="s">
        <v>64</v>
      </c>
      <c r="D2344" s="22" t="n">
        <f aca="false">D2342*D2343</f>
        <v>4553.53490998013</v>
      </c>
      <c r="E2344" s="22" t="n">
        <f aca="false">E2342*E2343</f>
        <v>4460.54355347409</v>
      </c>
      <c r="F2344" s="22" t="n">
        <f aca="false">F2342*F2343</f>
        <v>4423.55368010381</v>
      </c>
      <c r="G2344" s="22" t="n">
        <f aca="false">G2342*G2343</f>
        <v>4982.31835548535</v>
      </c>
    </row>
    <row r="2345" customFormat="false" ht="17.15" hidden="false" customHeight="false" outlineLevel="0" collapsed="false">
      <c r="A2345" s="3" t="s">
        <v>530</v>
      </c>
      <c r="B2345" s="0" t="s">
        <v>109</v>
      </c>
      <c r="D2345" s="22" t="n">
        <f aca="false">asp_26</f>
        <v>1878.17486396824</v>
      </c>
      <c r="E2345" s="22" t="n">
        <f aca="false">D2345*(1+asp27_C)*(1+asp_adj)</f>
        <v>1878.17486396824</v>
      </c>
      <c r="F2345" s="22" t="n">
        <f aca="false">E2345*(1+asp28_C)</f>
        <v>1765.48437213015</v>
      </c>
      <c r="G2345" s="22" t="n">
        <f aca="false">F2345*(1+asp29_C)</f>
        <v>1712.51984096625</v>
      </c>
    </row>
    <row r="2346" customFormat="false" ht="15" hidden="false" customHeight="false" outlineLevel="0" collapsed="false">
      <c r="A2346" s="3" t="s">
        <v>531</v>
      </c>
      <c r="B2346" s="0" t="s">
        <v>69</v>
      </c>
      <c r="E2346" s="21" t="n">
        <f aca="false">E2345/D2345-1</f>
        <v>0</v>
      </c>
      <c r="F2346" s="21" t="n">
        <f aca="false">F2345/E2345-1</f>
        <v>-0.0599999999999999</v>
      </c>
      <c r="G2346" s="21" t="n">
        <f aca="false">G2345/F2345-1</f>
        <v>-0.0299999999999999</v>
      </c>
    </row>
    <row r="2347" customFormat="false" ht="15" hidden="false" customHeight="false" outlineLevel="0" collapsed="false">
      <c r="A2347" s="3" t="s">
        <v>532</v>
      </c>
      <c r="B2347" s="0" t="s">
        <v>35</v>
      </c>
      <c r="D2347" s="23" t="n">
        <f aca="false">fx_26</f>
        <v>31.6</v>
      </c>
      <c r="E2347" s="23" t="n">
        <f aca="false">fx</f>
        <v>32</v>
      </c>
      <c r="F2347" s="23" t="n">
        <f aca="false">fx</f>
        <v>32</v>
      </c>
      <c r="G2347" s="23" t="n">
        <f aca="false">fx</f>
        <v>32</v>
      </c>
    </row>
    <row r="2348" customFormat="false" ht="17.15" hidden="false" customHeight="false" outlineLevel="0" collapsed="false">
      <c r="A2348" s="3" t="s">
        <v>533</v>
      </c>
      <c r="B2348" s="0" t="s">
        <v>181</v>
      </c>
      <c r="D2348" s="23" t="n">
        <f aca="false">D2344*D2345*D2347/1000000</f>
        <v>270.25378</v>
      </c>
      <c r="E2348" s="23" t="n">
        <f aca="false">E2344*E2345*E2347/1000000</f>
        <v>268.08578501666</v>
      </c>
      <c r="F2348" s="23" t="n">
        <f aca="false">F2344*F2345*F2347/1000000</f>
        <v>249.910876528067</v>
      </c>
      <c r="G2348" s="23" t="n">
        <f aca="false">G2344*G2345*G2347/1000000</f>
        <v>273.034209208927</v>
      </c>
    </row>
    <row r="2349" customFormat="false" ht="17.15" hidden="false" customHeight="false" outlineLevel="0" collapsed="false">
      <c r="A2349" s="5" t="s">
        <v>534</v>
      </c>
    </row>
    <row r="2350" customFormat="false" ht="17.15" hidden="false" customHeight="false" outlineLevel="0" collapsed="false">
      <c r="A2350" s="0" t="s">
        <v>535</v>
      </c>
      <c r="B2350" s="0" t="s">
        <v>138</v>
      </c>
      <c r="D2350" s="25" t="n">
        <f aca="false">ai_26</f>
        <v>0.3</v>
      </c>
      <c r="E2350" s="25" t="n">
        <f aca="false">D2350*(1+aig27_C)*ai_adj_hi</f>
        <v>0.468</v>
      </c>
      <c r="F2350" s="25" t="n">
        <f aca="false">E2350*(1+aig_L)*um28_C</f>
        <v>0.40716</v>
      </c>
      <c r="G2350" s="25" t="n">
        <f aca="false">F2350/um28_C*(1+aig_L)*um29_C</f>
        <v>0.590382</v>
      </c>
    </row>
    <row r="2351" customFormat="false" ht="17.15" hidden="false" customHeight="false" outlineLevel="0" collapsed="false">
      <c r="A2351" s="0" t="s">
        <v>536</v>
      </c>
      <c r="B2351" s="0" t="s">
        <v>181</v>
      </c>
      <c r="D2351" s="23" t="n">
        <f aca="false">D2350*D2347</f>
        <v>9.48</v>
      </c>
      <c r="E2351" s="23" t="n">
        <f aca="false">E2350*E2347</f>
        <v>14.976</v>
      </c>
      <c r="F2351" s="23" t="n">
        <f aca="false">F2350*F2347</f>
        <v>13.02912</v>
      </c>
      <c r="G2351" s="23" t="n">
        <f aca="false">G2350*G2347</f>
        <v>18.892224</v>
      </c>
    </row>
    <row r="2352" customFormat="false" ht="17.15" hidden="false" customHeight="false" outlineLevel="0" collapsed="false">
      <c r="A2352" s="0" t="s">
        <v>537</v>
      </c>
      <c r="B2352" s="0" t="s">
        <v>138</v>
      </c>
      <c r="D2352" s="25" t="n">
        <f aca="false">0</f>
        <v>0</v>
      </c>
      <c r="E2352" s="25" t="n">
        <f aca="false">int_27</f>
        <v>0</v>
      </c>
      <c r="F2352" s="25" t="n">
        <f aca="false">int28_C</f>
        <v>0</v>
      </c>
      <c r="G2352" s="25" t="n">
        <f aca="false">int29_C</f>
        <v>0.08</v>
      </c>
    </row>
    <row r="2353" customFormat="false" ht="17.15" hidden="false" customHeight="false" outlineLevel="0" collapsed="false">
      <c r="A2353" s="0" t="s">
        <v>538</v>
      </c>
      <c r="B2353" s="0" t="s">
        <v>181</v>
      </c>
      <c r="D2353" s="23" t="n">
        <f aca="false">D2352*D2347</f>
        <v>0</v>
      </c>
      <c r="E2353" s="23" t="n">
        <f aca="false">E2352*E2347</f>
        <v>0</v>
      </c>
      <c r="F2353" s="23" t="n">
        <f aca="false">F2352*F2347</f>
        <v>0</v>
      </c>
      <c r="G2353" s="23" t="n">
        <f aca="false">G2352*G2347</f>
        <v>2.56</v>
      </c>
    </row>
    <row r="2354" customFormat="false" ht="17.15" hidden="false" customHeight="false" outlineLevel="0" collapsed="false">
      <c r="A2354" s="3" t="s">
        <v>393</v>
      </c>
      <c r="B2354" s="0" t="s">
        <v>181</v>
      </c>
      <c r="C2354" s="23" t="n">
        <f aca="false">a25_rev</f>
        <v>237.553</v>
      </c>
      <c r="D2354" s="23" t="n">
        <f aca="false">D2348+D2351+D2353</f>
        <v>279.73378</v>
      </c>
      <c r="E2354" s="23" t="n">
        <f aca="false">E2348+E2351+E2353</f>
        <v>283.06178501666</v>
      </c>
      <c r="F2354" s="23" t="n">
        <f aca="false">F2348+F2351+F2353</f>
        <v>262.939996528067</v>
      </c>
      <c r="G2354" s="23" t="n">
        <f aca="false">G2348+G2351+G2353</f>
        <v>294.486433208927</v>
      </c>
      <c r="H2354" s="30" t="n">
        <f aca="false">G2354*(1+H2356)</f>
        <v>320.003839889146</v>
      </c>
      <c r="I2354" s="30" t="n">
        <f aca="false">H2354*(1+I2356)</f>
        <v>337.068130085147</v>
      </c>
      <c r="J2354" s="30" t="n">
        <f aca="false">I2354*(1+J2356)</f>
        <v>343.80949268685</v>
      </c>
      <c r="K2354" s="7" t="s">
        <v>539</v>
      </c>
    </row>
    <row r="2355" customFormat="false" ht="17.15" hidden="false" customHeight="false" outlineLevel="0" collapsed="false">
      <c r="A2355" s="0" t="s">
        <v>540</v>
      </c>
      <c r="B2355" s="0" t="s">
        <v>69</v>
      </c>
      <c r="D2355" s="21" t="n">
        <f aca="false">D2351/D2354</f>
        <v>0.0338893643806622</v>
      </c>
      <c r="E2355" s="21" t="n">
        <f aca="false">E2351/E2354</f>
        <v>0.0529071771349092</v>
      </c>
      <c r="F2355" s="21" t="n">
        <f aca="false">F2351/F2354</f>
        <v>0.0495516854493045</v>
      </c>
      <c r="G2355" s="21" t="n">
        <f aca="false">G2351/G2354</f>
        <v>0.0641531217385375</v>
      </c>
    </row>
    <row r="2356" customFormat="false" ht="15" hidden="false" customHeight="false" outlineLevel="0" collapsed="false">
      <c r="A2356" s="3" t="s">
        <v>541</v>
      </c>
      <c r="B2356" s="0" t="s">
        <v>69</v>
      </c>
      <c r="D2356" s="21" t="n">
        <f aca="false">D2354/C2354-1</f>
        <v>0.177563659478096</v>
      </c>
      <c r="E2356" s="21" t="n">
        <f aca="false">E2354/D2354-1</f>
        <v>0.011897043741588</v>
      </c>
      <c r="F2356" s="21" t="n">
        <f aca="false">F2354/E2354-1</f>
        <v>-0.0710862064528016</v>
      </c>
      <c r="G2356" s="21" t="n">
        <f aca="false">G2354/F2354-1</f>
        <v>0.119975800933323</v>
      </c>
      <c r="H2356" s="28" t="n">
        <f aca="false">$G2356+(fade_gC-$G2356)*1/3</f>
        <v>0.0866505339555489</v>
      </c>
      <c r="I2356" s="28" t="n">
        <f aca="false">$G2356+(fade_gC-$G2356)*2/3</f>
        <v>0.0533252669777745</v>
      </c>
      <c r="J2356" s="28" t="n">
        <f aca="false">$G2356+(fade_gC-$G2356)*3/3</f>
        <v>0.02</v>
      </c>
    </row>
    <row r="2357" customFormat="false" ht="17.15" hidden="false" customHeight="false" outlineLevel="0" collapsed="false">
      <c r="A2357" s="5" t="s">
        <v>542</v>
      </c>
    </row>
    <row r="2358" customFormat="false" ht="15" hidden="false" customHeight="false" outlineLevel="0" collapsed="false">
      <c r="A2358" s="3" t="s">
        <v>543</v>
      </c>
      <c r="B2358" s="0" t="s">
        <v>181</v>
      </c>
      <c r="D2358" s="23" t="n">
        <f aca="false">da_tot26*da_sh</f>
        <v>56.172</v>
      </c>
      <c r="E2358" s="23" t="n">
        <f aca="false">D2358*(1+dag_27+dag_adj)</f>
        <v>62.91264</v>
      </c>
      <c r="F2358" s="23" t="n">
        <f aca="false">E2358*(1+dag_28+dag_adj)</f>
        <v>69.203904</v>
      </c>
      <c r="G2358" s="23" t="n">
        <f aca="false">F2358*(1+dag_29+dag_adj)</f>
        <v>74.74021632</v>
      </c>
    </row>
    <row r="2359" customFormat="false" ht="17.15" hidden="false" customHeight="false" outlineLevel="0" collapsed="false">
      <c r="A2359" s="3" t="s">
        <v>544</v>
      </c>
      <c r="B2359" s="0" t="s">
        <v>545</v>
      </c>
      <c r="D2359" s="23" t="n">
        <f aca="false">(D2354-a26_gp-D2358-(1-m_new)*(D2351+D2353))/D2344*1000</f>
        <v>27.9465727870208</v>
      </c>
      <c r="E2359" s="23" t="n">
        <f aca="false">D2359*(1+cc_g)</f>
        <v>28.5055042427612</v>
      </c>
      <c r="F2359" s="23" t="n">
        <f aca="false">E2359*(1+cc_g)</f>
        <v>29.0756143276165</v>
      </c>
      <c r="G2359" s="23" t="n">
        <f aca="false">F2359*(1+cc_g)</f>
        <v>29.6571266141688</v>
      </c>
      <c r="K2359" s="7" t="s">
        <v>546</v>
      </c>
    </row>
    <row r="2360" customFormat="false" ht="17.15" hidden="false" customHeight="false" outlineLevel="0" collapsed="false">
      <c r="A2360" s="3" t="s">
        <v>547</v>
      </c>
      <c r="B2360" s="0" t="s">
        <v>181</v>
      </c>
      <c r="D2360" s="23" t="n">
        <f aca="false">D2359*D2344/1000</f>
        <v>127.2556948</v>
      </c>
      <c r="E2360" s="23" t="n">
        <f aca="false">E2359*E2344/1000</f>
        <v>127.150043188577</v>
      </c>
      <c r="F2360" s="23" t="n">
        <f aca="false">F2359*F2344/1000</f>
        <v>128.617540760207</v>
      </c>
      <c r="G2360" s="23" t="n">
        <f aca="false">G2359*G2344/1000</f>
        <v>147.761246300726</v>
      </c>
    </row>
    <row r="2361" customFormat="false" ht="17.15" hidden="false" customHeight="false" outlineLevel="0" collapsed="false">
      <c r="A2361" s="3" t="s">
        <v>548</v>
      </c>
      <c r="B2361" s="0" t="s">
        <v>181</v>
      </c>
      <c r="D2361" s="23" t="n">
        <f aca="false">m_new*(D2351+D2353)</f>
        <v>4.266</v>
      </c>
      <c r="E2361" s="23" t="n">
        <f aca="false">m_new*(E2351+E2353)</f>
        <v>6.7392</v>
      </c>
      <c r="F2361" s="23" t="n">
        <f aca="false">m_new*(F2351+F2353)</f>
        <v>5.863104</v>
      </c>
      <c r="G2361" s="23" t="n">
        <f aca="false">m_new*(G2351+G2353)</f>
        <v>9.6535008</v>
      </c>
    </row>
    <row r="2362" customFormat="false" ht="15" hidden="false" customHeight="false" outlineLevel="0" collapsed="false">
      <c r="A2362" s="3" t="s">
        <v>411</v>
      </c>
      <c r="B2362" s="0" t="s">
        <v>181</v>
      </c>
      <c r="C2362" s="23" t="n">
        <f aca="false">a25_gp</f>
        <v>68.906</v>
      </c>
      <c r="D2362" s="23" t="n">
        <f aca="false">D2348-D2358-D2360+D2361</f>
        <v>91.0920852</v>
      </c>
      <c r="E2362" s="23" t="n">
        <f aca="false">E2348-E2358-E2360+E2361</f>
        <v>84.7623018280829</v>
      </c>
      <c r="F2362" s="23" t="n">
        <f aca="false">F2348-F2358-F2360+F2361</f>
        <v>57.95253576786</v>
      </c>
      <c r="G2362" s="23" t="n">
        <f aca="false">G2348-G2358-G2360+G2361</f>
        <v>60.1862473882008</v>
      </c>
    </row>
    <row r="2363" customFormat="false" ht="15" hidden="false" customHeight="false" outlineLevel="0" collapsed="false">
      <c r="A2363" s="3" t="s">
        <v>413</v>
      </c>
      <c r="B2363" s="0" t="s">
        <v>69</v>
      </c>
      <c r="C2363" s="15" t="n">
        <f aca="false">C2362/C2354</f>
        <v>0.290065795843454</v>
      </c>
      <c r="D2363" s="15" t="n">
        <f aca="false">D2362/D2354</f>
        <v>0.325638488136828</v>
      </c>
      <c r="E2363" s="15" t="n">
        <f aca="false">E2362/E2354</f>
        <v>0.299448058038263</v>
      </c>
      <c r="F2363" s="15" t="n">
        <f aca="false">F2362/F2354</f>
        <v>0.220402131790832</v>
      </c>
      <c r="G2363" s="15" t="n">
        <f aca="false">G2362/G2354</f>
        <v>0.204376978363214</v>
      </c>
    </row>
    <row r="2364" customFormat="false" ht="15" hidden="false" customHeight="false" outlineLevel="0" collapsed="false">
      <c r="A2364" s="3" t="s">
        <v>415</v>
      </c>
      <c r="B2364" s="0" t="s">
        <v>181</v>
      </c>
      <c r="C2364" s="23" t="n">
        <f aca="false">a25_opx</f>
        <v>25.056</v>
      </c>
      <c r="D2364" s="23" t="n">
        <f aca="false">a26_opx</f>
        <v>27.23586</v>
      </c>
      <c r="E2364" s="23" t="n">
        <f aca="false">D2364*(1+MAX(g_opx_min,phi*E2356))</f>
        <v>28.0529358</v>
      </c>
      <c r="F2364" s="23" t="n">
        <f aca="false">E2364*(1+MAX(g_opx_min,phi*F2356))</f>
        <v>28.894523874</v>
      </c>
      <c r="G2364" s="23" t="n">
        <f aca="false">F2364*(1+MAX(g_opx_min,phi*G2356))</f>
        <v>30.6278456961851</v>
      </c>
    </row>
    <row r="2365" customFormat="false" ht="15" hidden="false" customHeight="false" outlineLevel="0" collapsed="false">
      <c r="A2365" s="3" t="s">
        <v>418</v>
      </c>
      <c r="B2365" s="0" t="s">
        <v>181</v>
      </c>
      <c r="C2365" s="23" t="n">
        <f aca="false">C2362-C2364</f>
        <v>43.85</v>
      </c>
      <c r="D2365" s="23" t="n">
        <f aca="false">D2362-D2364</f>
        <v>63.8562252</v>
      </c>
      <c r="E2365" s="23" t="n">
        <f aca="false">E2362-E2364</f>
        <v>56.7093660280829</v>
      </c>
      <c r="F2365" s="23" t="n">
        <f aca="false">F2362-F2364</f>
        <v>29.05801189386</v>
      </c>
      <c r="G2365" s="23" t="n">
        <f aca="false">G2362-G2364</f>
        <v>29.5584016920157</v>
      </c>
    </row>
    <row r="2366" customFormat="false" ht="15" hidden="false" customHeight="false" outlineLevel="0" collapsed="false">
      <c r="A2366" s="3" t="s">
        <v>515</v>
      </c>
      <c r="B2366" s="0" t="s">
        <v>69</v>
      </c>
      <c r="C2366" s="15" t="n">
        <f aca="false">C2365/C2354</f>
        <v>0.184590386145408</v>
      </c>
      <c r="D2366" s="15" t="n">
        <f aca="false">D2365/D2354</f>
        <v>0.228274987740129</v>
      </c>
      <c r="E2366" s="15" t="n">
        <f aca="false">E2365/E2354</f>
        <v>0.200342713251615</v>
      </c>
      <c r="F2366" s="15" t="n">
        <f aca="false">F2365/F2354</f>
        <v>0.110511950549745</v>
      </c>
      <c r="G2366" s="15" t="n">
        <f aca="false">G2365/G2354</f>
        <v>0.10037271112943</v>
      </c>
    </row>
    <row r="2367" customFormat="false" ht="15" hidden="false" customHeight="false" outlineLevel="0" collapsed="false">
      <c r="A2367" s="3" t="s">
        <v>421</v>
      </c>
      <c r="B2367" s="0" t="s">
        <v>181</v>
      </c>
      <c r="C2367" s="23" t="n">
        <f aca="false">a25_nonop</f>
        <v>5.805</v>
      </c>
      <c r="D2367" s="23" t="n">
        <f aca="false">a26_nonop</f>
        <v>38.372</v>
      </c>
      <c r="E2367" s="23" t="n">
        <f aca="false">nonop_f</f>
        <v>4</v>
      </c>
      <c r="F2367" s="23" t="n">
        <f aca="false">nonop_f</f>
        <v>4</v>
      </c>
      <c r="G2367" s="23" t="n">
        <f aca="false">nonop_f</f>
        <v>4</v>
      </c>
    </row>
    <row r="2368" customFormat="false" ht="15" hidden="false" customHeight="false" outlineLevel="0" collapsed="false">
      <c r="A2368" s="3" t="s">
        <v>423</v>
      </c>
      <c r="B2368" s="0" t="s">
        <v>181</v>
      </c>
      <c r="C2368" s="23" t="n">
        <f aca="false">C2365+C2367</f>
        <v>49.655</v>
      </c>
      <c r="D2368" s="23" t="n">
        <f aca="false">D2365+D2367</f>
        <v>102.2282252</v>
      </c>
      <c r="E2368" s="23" t="n">
        <f aca="false">E2365+E2367</f>
        <v>60.7093660280829</v>
      </c>
      <c r="F2368" s="23" t="n">
        <f aca="false">F2365+F2367</f>
        <v>33.05801189386</v>
      </c>
      <c r="G2368" s="23" t="n">
        <f aca="false">G2365+G2367</f>
        <v>33.5584016920157</v>
      </c>
    </row>
    <row r="2369" customFormat="false" ht="15" hidden="false" customHeight="false" outlineLevel="0" collapsed="false">
      <c r="A2369" s="3" t="s">
        <v>425</v>
      </c>
      <c r="B2369" s="0" t="s">
        <v>181</v>
      </c>
      <c r="C2369" s="23" t="n">
        <f aca="false">a25_tax</f>
        <v>7.939</v>
      </c>
      <c r="D2369" s="23" t="n">
        <f aca="false">a26_tax</f>
        <v>10.493828284</v>
      </c>
      <c r="E2369" s="23" t="n">
        <f aca="false">E2368*tax</f>
        <v>9.10640490421244</v>
      </c>
      <c r="F2369" s="23" t="n">
        <f aca="false">F2368*tax</f>
        <v>4.95870178407899</v>
      </c>
      <c r="G2369" s="23" t="n">
        <f aca="false">G2368*tax</f>
        <v>5.03376025380236</v>
      </c>
    </row>
    <row r="2370" customFormat="false" ht="17.15" hidden="false" customHeight="false" outlineLevel="0" collapsed="false">
      <c r="A2370" s="3" t="s">
        <v>549</v>
      </c>
      <c r="B2370" s="0" t="s">
        <v>181</v>
      </c>
      <c r="C2370" s="23" t="n">
        <f aca="false">a25_mi</f>
        <v>0</v>
      </c>
      <c r="D2370" s="23" t="n">
        <f aca="false">a26_mi</f>
        <v>-0.134999999999987</v>
      </c>
      <c r="E2370" s="23" t="n">
        <f aca="false">0</f>
        <v>0</v>
      </c>
      <c r="F2370" s="23" t="n">
        <f aca="false">0</f>
        <v>0</v>
      </c>
      <c r="G2370" s="23" t="n">
        <f aca="false">0</f>
        <v>0</v>
      </c>
      <c r="K2370" s="7" t="s">
        <v>550</v>
      </c>
    </row>
    <row r="2371" customFormat="false" ht="15" hidden="false" customHeight="false" outlineLevel="0" collapsed="false">
      <c r="A2371" s="3" t="s">
        <v>428</v>
      </c>
      <c r="B2371" s="0" t="s">
        <v>181</v>
      </c>
      <c r="C2371" s="23" t="n">
        <f aca="false">C2368-C2369-C2370</f>
        <v>41.716</v>
      </c>
      <c r="D2371" s="23" t="n">
        <f aca="false">D2368-D2369-D2370</f>
        <v>91.869396916</v>
      </c>
      <c r="E2371" s="23" t="n">
        <f aca="false">E2368-E2369-E2370</f>
        <v>51.6029611238705</v>
      </c>
      <c r="F2371" s="23" t="n">
        <f aca="false">F2368-F2369-F2370</f>
        <v>28.099310109781</v>
      </c>
      <c r="G2371" s="23" t="n">
        <f aca="false">G2368-G2369-G2370</f>
        <v>28.5246414382134</v>
      </c>
      <c r="H2371" s="30" t="n">
        <f aca="false">H2354*H2375</f>
        <v>28.9298957264101</v>
      </c>
      <c r="I2371" s="30" t="n">
        <f aca="false">I2354*I2375</f>
        <v>28.2959765582558</v>
      </c>
      <c r="J2371" s="30" t="n">
        <f aca="false">J2354*J2375</f>
        <v>26.6417502363886</v>
      </c>
    </row>
    <row r="2372" customFormat="false" ht="15" hidden="false" customHeight="false" outlineLevel="0" collapsed="false">
      <c r="A2372" s="3" t="s">
        <v>551</v>
      </c>
      <c r="B2372" s="3" t="s">
        <v>250</v>
      </c>
      <c r="C2372" s="9" t="n">
        <f aca="false">a25_sh</f>
        <v>12.4898203592814</v>
      </c>
      <c r="D2372" s="9" t="n">
        <f aca="false">a26_sh</f>
        <v>12.4754339027235</v>
      </c>
      <c r="E2372" s="9" t="n">
        <f aca="false">q_sh*(1+sh_g)</f>
        <v>12.45</v>
      </c>
      <c r="F2372" s="9" t="n">
        <f aca="false">E2372*(1+sh_g)</f>
        <v>12.45</v>
      </c>
      <c r="G2372" s="9" t="n">
        <f aca="false">F2372*(1+sh_g)</f>
        <v>12.45</v>
      </c>
      <c r="H2372" s="32" t="n">
        <f aca="false">G2372*(1+sh_g)</f>
        <v>12.45</v>
      </c>
      <c r="I2372" s="32" t="n">
        <f aca="false">H2372*(1+sh_g)</f>
        <v>12.45</v>
      </c>
      <c r="J2372" s="32" t="n">
        <f aca="false">I2372*(1+sh_g)</f>
        <v>12.45</v>
      </c>
    </row>
    <row r="2373" customFormat="false" ht="17.15" hidden="false" customHeight="false" outlineLevel="0" collapsed="false">
      <c r="A2373" s="0" t="s">
        <v>434</v>
      </c>
      <c r="B2373" s="0" t="s">
        <v>260</v>
      </c>
      <c r="C2373" s="23" t="n">
        <f aca="false">C2371/C2372</f>
        <v>3.34</v>
      </c>
      <c r="D2373" s="23" t="n">
        <f aca="false">D2371/D2372</f>
        <v>7.36402418002826</v>
      </c>
      <c r="E2373" s="23" t="n">
        <f aca="false">E2371/E2372</f>
        <v>4.14481615452775</v>
      </c>
      <c r="F2373" s="23" t="n">
        <f aca="false">F2371/F2372</f>
        <v>2.2569726995808</v>
      </c>
      <c r="G2373" s="23" t="n">
        <f aca="false">G2371/G2372</f>
        <v>2.29113585849103</v>
      </c>
      <c r="H2373" s="30" t="n">
        <f aca="false">H2371/H2372</f>
        <v>2.32368640372772</v>
      </c>
      <c r="I2373" s="30" t="n">
        <f aca="false">I2371/I2372</f>
        <v>2.27276920146633</v>
      </c>
      <c r="J2373" s="30" t="n">
        <f aca="false">J2371/J2372</f>
        <v>2.13989961738061</v>
      </c>
    </row>
    <row r="2374" customFormat="false" ht="17.15" hidden="false" customHeight="false" outlineLevel="0" collapsed="false">
      <c r="A2374" s="0" t="s">
        <v>552</v>
      </c>
      <c r="B2374" s="0" t="s">
        <v>69</v>
      </c>
      <c r="D2374" s="21" t="n">
        <f aca="false">D2373/C2373-1</f>
        <v>1.2047976586911</v>
      </c>
      <c r="E2374" s="21" t="n">
        <f aca="false">E2373/D2373-1</f>
        <v>-0.437153375219928</v>
      </c>
      <c r="F2374" s="21" t="n">
        <f aca="false">F2373/E2373-1</f>
        <v>-0.455470974963435</v>
      </c>
      <c r="G2374" s="21" t="n">
        <f aca="false">G2373/F2373-1</f>
        <v>0.0151367178329536</v>
      </c>
      <c r="H2374" s="28" t="n">
        <f aca="false">H2373/G2373-1</f>
        <v>0.0142071650251792</v>
      </c>
      <c r="I2374" s="28" t="n">
        <f aca="false">I2373/H2373-1</f>
        <v>-0.0219122520920668</v>
      </c>
      <c r="J2374" s="28" t="n">
        <f aca="false">J2373/I2373-1</f>
        <v>-0.0584615384615383</v>
      </c>
    </row>
    <row r="2375" customFormat="false" ht="17.15" hidden="false" customHeight="false" outlineLevel="0" collapsed="false">
      <c r="A2375" s="3" t="s">
        <v>553</v>
      </c>
      <c r="B2375" s="0" t="s">
        <v>69</v>
      </c>
      <c r="C2375" s="15" t="n">
        <f aca="false">C2371/C2354</f>
        <v>0.175607127672562</v>
      </c>
      <c r="D2375" s="15" t="n">
        <f aca="false">D2371/D2354</f>
        <v>0.328417243409073</v>
      </c>
      <c r="E2375" s="15" t="n">
        <f aca="false">E2371/E2354</f>
        <v>0.18230281816683</v>
      </c>
      <c r="F2375" s="15" t="n">
        <f aca="false">F2371/F2354</f>
        <v>0.10686586476311</v>
      </c>
      <c r="G2375" s="15" t="n">
        <f aca="false">G2371/G2354</f>
        <v>0.096862327841012</v>
      </c>
      <c r="H2375" s="29" t="n">
        <f aca="false">$G2375+($G$2375*0.8-$G2375)*1/3</f>
        <v>0.0904048393182779</v>
      </c>
      <c r="I2375" s="29" t="n">
        <f aca="false">$G2375+($G$2375*0.8-$G2375)*2/3</f>
        <v>0.0839473507955437</v>
      </c>
      <c r="J2375" s="29" t="n">
        <f aca="false">$G2375+($G$2375*0.8-$G2375)*3/3</f>
        <v>0.0774898622728096</v>
      </c>
    </row>
    <row r="2378" customFormat="false" ht="17.15" hidden="false" customHeight="false" outlineLevel="0" collapsed="false">
      <c r="A2378" s="1" t="s">
        <v>897</v>
      </c>
    </row>
    <row r="2379" customFormat="false" ht="17.15" hidden="false" customHeight="false" outlineLevel="0" collapsed="false">
      <c r="A2379" s="4" t="s">
        <v>24</v>
      </c>
      <c r="B2379" s="4" t="s">
        <v>25</v>
      </c>
      <c r="C2379" s="16" t="s">
        <v>387</v>
      </c>
      <c r="D2379" s="16" t="s">
        <v>505</v>
      </c>
      <c r="E2379" s="16" t="s">
        <v>467</v>
      </c>
      <c r="F2379" s="16" t="s">
        <v>468</v>
      </c>
      <c r="G2379" s="16" t="s">
        <v>469</v>
      </c>
      <c r="H2379" s="16" t="s">
        <v>506</v>
      </c>
      <c r="I2379" s="16" t="s">
        <v>507</v>
      </c>
      <c r="J2379" s="16" t="s">
        <v>508</v>
      </c>
      <c r="K2379" s="4" t="s">
        <v>345</v>
      </c>
    </row>
    <row r="2380" customFormat="false" ht="17.15" hidden="false" customHeight="false" outlineLevel="0" collapsed="false">
      <c r="A2380" s="5" t="s">
        <v>526</v>
      </c>
    </row>
    <row r="2381" customFormat="false" ht="17.15" hidden="false" customHeight="false" outlineLevel="0" collapsed="false">
      <c r="A2381" s="3" t="s">
        <v>527</v>
      </c>
      <c r="B2381" s="3" t="s">
        <v>64</v>
      </c>
      <c r="D2381" s="22" t="n">
        <f aca="false">cap_26</f>
        <v>5230.46851955216</v>
      </c>
      <c r="E2381" s="22" t="n">
        <f aca="false">D2381*(1+capg27)*cap_adj</f>
        <v>5439.68726033425</v>
      </c>
      <c r="F2381" s="22" t="n">
        <f aca="false">E2381*(1+capg28)</f>
        <v>5820.46536855765</v>
      </c>
      <c r="G2381" s="22" t="n">
        <f aca="false">F2381*(1+capg29)</f>
        <v>6227.89794435668</v>
      </c>
    </row>
    <row r="2382" customFormat="false" ht="15" hidden="false" customHeight="false" outlineLevel="0" collapsed="false">
      <c r="A2382" s="3" t="s">
        <v>528</v>
      </c>
      <c r="B2382" s="0" t="s">
        <v>69</v>
      </c>
      <c r="D2382" s="21" t="n">
        <f aca="false">a26_ship/cap_26</f>
        <v>0.870578781414787</v>
      </c>
      <c r="E2382" s="21" t="n">
        <f aca="false">MIN(0.98,ut27_A+ut_adj)</f>
        <v>0.95</v>
      </c>
      <c r="F2382" s="21" t="n">
        <f aca="false">MIN(0.98,ut28_A+ut_adj)</f>
        <v>0.94</v>
      </c>
      <c r="G2382" s="21" t="n">
        <f aca="false">MIN(0.98,ut29_A+ut_adj)</f>
        <v>0.93</v>
      </c>
    </row>
    <row r="2383" customFormat="false" ht="17.15" hidden="false" customHeight="false" outlineLevel="0" collapsed="false">
      <c r="A2383" s="3" t="s">
        <v>529</v>
      </c>
      <c r="B2383" s="3" t="s">
        <v>64</v>
      </c>
      <c r="D2383" s="22" t="n">
        <f aca="false">D2381*D2382</f>
        <v>4553.53490998013</v>
      </c>
      <c r="E2383" s="22" t="n">
        <f aca="false">E2381*E2382</f>
        <v>5167.70289731754</v>
      </c>
      <c r="F2383" s="22" t="n">
        <f aca="false">F2381*F2382</f>
        <v>5471.23744644419</v>
      </c>
      <c r="G2383" s="22" t="n">
        <f aca="false">G2381*G2382</f>
        <v>5791.94508825172</v>
      </c>
    </row>
    <row r="2384" customFormat="false" ht="17.15" hidden="false" customHeight="false" outlineLevel="0" collapsed="false">
      <c r="A2384" s="3" t="s">
        <v>530</v>
      </c>
      <c r="B2384" s="0" t="s">
        <v>109</v>
      </c>
      <c r="D2384" s="22" t="n">
        <f aca="false">asp_26</f>
        <v>1878.17486396824</v>
      </c>
      <c r="E2384" s="22" t="n">
        <f aca="false">D2384*(1+asp27_A)*(1+asp_adj)</f>
        <v>2065.99235036507</v>
      </c>
      <c r="F2384" s="22" t="n">
        <f aca="false">E2384*(1+asp28_A)</f>
        <v>2127.97212087602</v>
      </c>
      <c r="G2384" s="22" t="n">
        <f aca="false">F2384*(1+asp29_A)</f>
        <v>2170.53156329354</v>
      </c>
    </row>
    <row r="2385" customFormat="false" ht="15" hidden="false" customHeight="false" outlineLevel="0" collapsed="false">
      <c r="A2385" s="3" t="s">
        <v>531</v>
      </c>
      <c r="B2385" s="0" t="s">
        <v>69</v>
      </c>
      <c r="E2385" s="21" t="n">
        <f aca="false">E2384/D2384-1</f>
        <v>0.1</v>
      </c>
      <c r="F2385" s="21" t="n">
        <f aca="false">F2384/E2384-1</f>
        <v>0.03</v>
      </c>
      <c r="G2385" s="21" t="n">
        <f aca="false">G2384/F2384-1</f>
        <v>0.02</v>
      </c>
    </row>
    <row r="2386" customFormat="false" ht="15" hidden="false" customHeight="false" outlineLevel="0" collapsed="false">
      <c r="A2386" s="3" t="s">
        <v>532</v>
      </c>
      <c r="B2386" s="0" t="s">
        <v>35</v>
      </c>
      <c r="D2386" s="23" t="n">
        <f aca="false">fx_26</f>
        <v>31.6</v>
      </c>
      <c r="E2386" s="23" t="n">
        <f aca="false">fx</f>
        <v>32</v>
      </c>
      <c r="F2386" s="23" t="n">
        <f aca="false">fx</f>
        <v>32</v>
      </c>
      <c r="G2386" s="23" t="n">
        <f aca="false">fx</f>
        <v>32</v>
      </c>
    </row>
    <row r="2387" customFormat="false" ht="17.15" hidden="false" customHeight="false" outlineLevel="0" collapsed="false">
      <c r="A2387" s="3" t="s">
        <v>533</v>
      </c>
      <c r="B2387" s="0" t="s">
        <v>181</v>
      </c>
      <c r="D2387" s="23" t="n">
        <f aca="false">D2383*D2384*D2386/1000000</f>
        <v>270.25378</v>
      </c>
      <c r="E2387" s="23" t="n">
        <f aca="false">E2383*E2384*E2386/1000000</f>
        <v>341.645908954158</v>
      </c>
      <c r="F2387" s="23" t="n">
        <f aca="false">F2383*F2384*F2386/1000000</f>
        <v>372.564504087237</v>
      </c>
      <c r="G2387" s="23" t="n">
        <f aca="false">G2383*G2384*G2386/1000000</f>
        <v>402.291188061227</v>
      </c>
    </row>
    <row r="2388" customFormat="false" ht="17.15" hidden="false" customHeight="false" outlineLevel="0" collapsed="false">
      <c r="A2388" s="5" t="s">
        <v>534</v>
      </c>
    </row>
    <row r="2389" customFormat="false" ht="17.15" hidden="false" customHeight="false" outlineLevel="0" collapsed="false">
      <c r="A2389" s="0" t="s">
        <v>535</v>
      </c>
      <c r="B2389" s="0" t="s">
        <v>138</v>
      </c>
      <c r="D2389" s="25" t="n">
        <f aca="false">ai_26</f>
        <v>0.3</v>
      </c>
      <c r="E2389" s="25" t="n">
        <f aca="false">D2389*(1+aig27_A)*ai_adj</f>
        <v>0.48</v>
      </c>
      <c r="F2389" s="25" t="n">
        <f aca="false">E2389*(1+aig_L)*um28_A</f>
        <v>0.696</v>
      </c>
      <c r="G2389" s="25" t="n">
        <f aca="false">F2389/um28_A*(1+aig_L)*um29_A</f>
        <v>1.0092</v>
      </c>
    </row>
    <row r="2390" customFormat="false" ht="17.15" hidden="false" customHeight="false" outlineLevel="0" collapsed="false">
      <c r="A2390" s="0" t="s">
        <v>536</v>
      </c>
      <c r="B2390" s="0" t="s">
        <v>181</v>
      </c>
      <c r="D2390" s="23" t="n">
        <f aca="false">D2389*D2386</f>
        <v>9.48</v>
      </c>
      <c r="E2390" s="23" t="n">
        <f aca="false">E2389*E2386</f>
        <v>15.36</v>
      </c>
      <c r="F2390" s="23" t="n">
        <f aca="false">F2389*F2386</f>
        <v>22.272</v>
      </c>
      <c r="G2390" s="23" t="n">
        <f aca="false">G2389*G2386</f>
        <v>32.2944</v>
      </c>
    </row>
    <row r="2391" customFormat="false" ht="17.15" hidden="false" customHeight="false" outlineLevel="0" collapsed="false">
      <c r="A2391" s="0" t="s">
        <v>537</v>
      </c>
      <c r="B2391" s="0" t="s">
        <v>138</v>
      </c>
      <c r="D2391" s="25" t="n">
        <f aca="false">0</f>
        <v>0</v>
      </c>
      <c r="E2391" s="25" t="n">
        <f aca="false">int_27</f>
        <v>0</v>
      </c>
      <c r="F2391" s="25" t="n">
        <f aca="false">int28_A</f>
        <v>0.25</v>
      </c>
      <c r="G2391" s="25" t="n">
        <f aca="false">int29_A</f>
        <v>0.5</v>
      </c>
    </row>
    <row r="2392" customFormat="false" ht="17.15" hidden="false" customHeight="false" outlineLevel="0" collapsed="false">
      <c r="A2392" s="0" t="s">
        <v>538</v>
      </c>
      <c r="B2392" s="0" t="s">
        <v>181</v>
      </c>
      <c r="D2392" s="23" t="n">
        <f aca="false">D2391*D2386</f>
        <v>0</v>
      </c>
      <c r="E2392" s="23" t="n">
        <f aca="false">E2391*E2386</f>
        <v>0</v>
      </c>
      <c r="F2392" s="23" t="n">
        <f aca="false">F2391*F2386</f>
        <v>8</v>
      </c>
      <c r="G2392" s="23" t="n">
        <f aca="false">G2391*G2386</f>
        <v>16</v>
      </c>
    </row>
    <row r="2393" customFormat="false" ht="17.15" hidden="false" customHeight="false" outlineLevel="0" collapsed="false">
      <c r="A2393" s="3" t="s">
        <v>393</v>
      </c>
      <c r="B2393" s="0" t="s">
        <v>181</v>
      </c>
      <c r="C2393" s="23" t="n">
        <f aca="false">a25_rev</f>
        <v>237.553</v>
      </c>
      <c r="D2393" s="23" t="n">
        <f aca="false">D2387+D2390+D2392</f>
        <v>279.73378</v>
      </c>
      <c r="E2393" s="23" t="n">
        <f aca="false">E2387+E2390+E2392</f>
        <v>357.005908954158</v>
      </c>
      <c r="F2393" s="23" t="n">
        <f aca="false">F2387+F2390+F2392</f>
        <v>402.836504087237</v>
      </c>
      <c r="G2393" s="23" t="n">
        <f aca="false">G2387+G2390+G2392</f>
        <v>450.585588061227</v>
      </c>
      <c r="H2393" s="30" t="n">
        <f aca="false">G2393*(1+H2395)</f>
        <v>495.203224084546</v>
      </c>
      <c r="I2393" s="30" t="n">
        <f aca="false">H2393*(1+I2395)</f>
        <v>534.577190214366</v>
      </c>
      <c r="J2393" s="30" t="n">
        <f aca="false">I2393*(1+J2395)</f>
        <v>566.651821627228</v>
      </c>
      <c r="K2393" s="7" t="s">
        <v>539</v>
      </c>
    </row>
    <row r="2394" customFormat="false" ht="17.15" hidden="false" customHeight="false" outlineLevel="0" collapsed="false">
      <c r="A2394" s="0" t="s">
        <v>540</v>
      </c>
      <c r="B2394" s="0" t="s">
        <v>69</v>
      </c>
      <c r="D2394" s="21" t="n">
        <f aca="false">D2390/D2393</f>
        <v>0.0338893643806622</v>
      </c>
      <c r="E2394" s="21" t="n">
        <f aca="false">E2390/E2393</f>
        <v>0.0430244979557813</v>
      </c>
      <c r="F2394" s="21" t="n">
        <f aca="false">F2390/F2393</f>
        <v>0.0552879388387723</v>
      </c>
      <c r="G2394" s="21" t="n">
        <f aca="false">G2390/G2393</f>
        <v>0.0716720659862999</v>
      </c>
    </row>
    <row r="2395" customFormat="false" ht="15" hidden="false" customHeight="false" outlineLevel="0" collapsed="false">
      <c r="A2395" s="3" t="s">
        <v>541</v>
      </c>
      <c r="B2395" s="0" t="s">
        <v>69</v>
      </c>
      <c r="D2395" s="21" t="n">
        <f aca="false">D2393/C2393-1</f>
        <v>0.177563659478096</v>
      </c>
      <c r="E2395" s="21" t="n">
        <f aca="false">E2393/D2393-1</f>
        <v>0.276234528965926</v>
      </c>
      <c r="F2395" s="21" t="n">
        <f aca="false">F2393/E2393-1</f>
        <v>0.128374892357772</v>
      </c>
      <c r="G2395" s="21" t="n">
        <f aca="false">G2393/F2393-1</f>
        <v>0.118532167491082</v>
      </c>
      <c r="H2395" s="28" t="n">
        <f aca="false">$G2395+(fade_gA-$G2395)*1/3</f>
        <v>0.099021444994055</v>
      </c>
      <c r="I2395" s="28" t="n">
        <f aca="false">$G2395+(fade_gA-$G2395)*2/3</f>
        <v>0.0795107224970275</v>
      </c>
      <c r="J2395" s="28" t="n">
        <f aca="false">$G2395+(fade_gA-$G2395)*3/3</f>
        <v>0.06</v>
      </c>
    </row>
    <row r="2396" customFormat="false" ht="17.15" hidden="false" customHeight="false" outlineLevel="0" collapsed="false">
      <c r="A2396" s="5" t="s">
        <v>542</v>
      </c>
    </row>
    <row r="2397" customFormat="false" ht="15" hidden="false" customHeight="false" outlineLevel="0" collapsed="false">
      <c r="A2397" s="3" t="s">
        <v>543</v>
      </c>
      <c r="B2397" s="0" t="s">
        <v>181</v>
      </c>
      <c r="D2397" s="23" t="n">
        <f aca="false">da_tot26*da_sh</f>
        <v>56.172</v>
      </c>
      <c r="E2397" s="23" t="n">
        <f aca="false">D2397*(1+dag_27+dag_adj)</f>
        <v>62.91264</v>
      </c>
      <c r="F2397" s="23" t="n">
        <f aca="false">E2397*(1+dag_28+dag_adj)</f>
        <v>69.203904</v>
      </c>
      <c r="G2397" s="23" t="n">
        <f aca="false">F2397*(1+dag_29+dag_adj)</f>
        <v>74.74021632</v>
      </c>
    </row>
    <row r="2398" customFormat="false" ht="17.15" hidden="false" customHeight="false" outlineLevel="0" collapsed="false">
      <c r="A2398" s="3" t="s">
        <v>544</v>
      </c>
      <c r="B2398" s="0" t="s">
        <v>545</v>
      </c>
      <c r="D2398" s="23" t="n">
        <f aca="false">(D2393-a26_gp-D2397-(1-m_new_lo)*(D2390+D2392))/D2383*1000</f>
        <v>27.7383828820917</v>
      </c>
      <c r="E2398" s="23" t="n">
        <f aca="false">D2398*(1+cc_g)</f>
        <v>28.2931505397336</v>
      </c>
      <c r="F2398" s="23" t="n">
        <f aca="false">E2398*(1+cc_g)</f>
        <v>28.8590135505283</v>
      </c>
      <c r="G2398" s="23" t="n">
        <f aca="false">F2398*(1+cc_g)</f>
        <v>29.4361938215388</v>
      </c>
      <c r="K2398" s="7" t="s">
        <v>546</v>
      </c>
    </row>
    <row r="2399" customFormat="false" ht="17.15" hidden="false" customHeight="false" outlineLevel="0" collapsed="false">
      <c r="A2399" s="3" t="s">
        <v>547</v>
      </c>
      <c r="B2399" s="0" t="s">
        <v>181</v>
      </c>
      <c r="D2399" s="23" t="n">
        <f aca="false">D2398*D2383/1000</f>
        <v>126.3076948</v>
      </c>
      <c r="E2399" s="23" t="n">
        <f aca="false">E2398*E2383/1000</f>
        <v>146.210596018422</v>
      </c>
      <c r="F2399" s="23" t="n">
        <f aca="false">F2398*F2383/1000</f>
        <v>157.89451560509</v>
      </c>
      <c r="G2399" s="23" t="n">
        <f aca="false">G2398*G2383/1000</f>
        <v>170.492818221487</v>
      </c>
    </row>
    <row r="2400" customFormat="false" ht="17.15" hidden="false" customHeight="false" outlineLevel="0" collapsed="false">
      <c r="A2400" s="3" t="s">
        <v>548</v>
      </c>
      <c r="B2400" s="0" t="s">
        <v>181</v>
      </c>
      <c r="D2400" s="23" t="n">
        <f aca="false">m_new_lo*(D2390+D2392)</f>
        <v>3.318</v>
      </c>
      <c r="E2400" s="23" t="n">
        <f aca="false">m_new_lo*(E2390+E2392)</f>
        <v>5.376</v>
      </c>
      <c r="F2400" s="23" t="n">
        <f aca="false">m_new_lo*(F2390+F2392)</f>
        <v>10.5952</v>
      </c>
      <c r="G2400" s="23" t="n">
        <f aca="false">m_new_lo*(G2390+G2392)</f>
        <v>16.90304</v>
      </c>
    </row>
    <row r="2401" customFormat="false" ht="15" hidden="false" customHeight="false" outlineLevel="0" collapsed="false">
      <c r="A2401" s="3" t="s">
        <v>411</v>
      </c>
      <c r="B2401" s="0" t="s">
        <v>181</v>
      </c>
      <c r="C2401" s="23" t="n">
        <f aca="false">a25_gp</f>
        <v>68.906</v>
      </c>
      <c r="D2401" s="23" t="n">
        <f aca="false">D2387-D2397-D2399+D2400</f>
        <v>91.0920852</v>
      </c>
      <c r="E2401" s="23" t="n">
        <f aca="false">E2387-E2397-E2399+E2400</f>
        <v>137.898672935735</v>
      </c>
      <c r="F2401" s="23" t="n">
        <f aca="false">F2387-F2397-F2399+F2400</f>
        <v>156.061284482146</v>
      </c>
      <c r="G2401" s="23" t="n">
        <f aca="false">G2387-G2397-G2399+G2400</f>
        <v>173.96119351974</v>
      </c>
    </row>
    <row r="2402" customFormat="false" ht="15" hidden="false" customHeight="false" outlineLevel="0" collapsed="false">
      <c r="A2402" s="3" t="s">
        <v>413</v>
      </c>
      <c r="B2402" s="0" t="s">
        <v>69</v>
      </c>
      <c r="C2402" s="15" t="n">
        <f aca="false">C2401/C2393</f>
        <v>0.290065795843454</v>
      </c>
      <c r="D2402" s="15" t="n">
        <f aca="false">D2401/D2393</f>
        <v>0.325638488136828</v>
      </c>
      <c r="E2402" s="15" t="n">
        <f aca="false">E2401/E2393</f>
        <v>0.386264399207585</v>
      </c>
      <c r="F2402" s="15" t="n">
        <f aca="false">F2401/F2393</f>
        <v>0.387406014347573</v>
      </c>
      <c r="G2402" s="15" t="n">
        <f aca="false">G2401/G2393</f>
        <v>0.386078024084741</v>
      </c>
    </row>
    <row r="2403" customFormat="false" ht="15" hidden="false" customHeight="false" outlineLevel="0" collapsed="false">
      <c r="A2403" s="3" t="s">
        <v>415</v>
      </c>
      <c r="B2403" s="0" t="s">
        <v>181</v>
      </c>
      <c r="C2403" s="23" t="n">
        <f aca="false">a25_opx</f>
        <v>25.056</v>
      </c>
      <c r="D2403" s="23" t="n">
        <f aca="false">a26_opx</f>
        <v>27.23586</v>
      </c>
      <c r="E2403" s="23" t="n">
        <f aca="false">D2403*(1+MAX(g_opx_min,phi*E2395))</f>
        <v>30.997602479041</v>
      </c>
      <c r="F2403" s="23" t="n">
        <f aca="false">E2403*(1+MAX(g_opx_min,phi*F2395))</f>
        <v>32.9872594198389</v>
      </c>
      <c r="G2403" s="23" t="n">
        <f aca="false">F2403*(1+MAX(g_opx_min,phi*G2395))</f>
        <v>34.942285099151</v>
      </c>
    </row>
    <row r="2404" customFormat="false" ht="15" hidden="false" customHeight="false" outlineLevel="0" collapsed="false">
      <c r="A2404" s="3" t="s">
        <v>418</v>
      </c>
      <c r="B2404" s="0" t="s">
        <v>181</v>
      </c>
      <c r="C2404" s="23" t="n">
        <f aca="false">C2401-C2403</f>
        <v>43.85</v>
      </c>
      <c r="D2404" s="23" t="n">
        <f aca="false">D2401-D2403</f>
        <v>63.8562252</v>
      </c>
      <c r="E2404" s="23" t="n">
        <f aca="false">E2401-E2403</f>
        <v>106.901070456695</v>
      </c>
      <c r="F2404" s="23" t="n">
        <f aca="false">F2401-F2403</f>
        <v>123.074025062307</v>
      </c>
      <c r="G2404" s="23" t="n">
        <f aca="false">G2401-G2403</f>
        <v>139.018908420589</v>
      </c>
    </row>
    <row r="2405" customFormat="false" ht="15" hidden="false" customHeight="false" outlineLevel="0" collapsed="false">
      <c r="A2405" s="3" t="s">
        <v>515</v>
      </c>
      <c r="B2405" s="0" t="s">
        <v>69</v>
      </c>
      <c r="C2405" s="15" t="n">
        <f aca="false">C2404/C2393</f>
        <v>0.184590386145408</v>
      </c>
      <c r="D2405" s="15" t="n">
        <f aca="false">D2404/D2393</f>
        <v>0.228274987740129</v>
      </c>
      <c r="E2405" s="15" t="n">
        <f aca="false">E2404/E2393</f>
        <v>0.299437818185865</v>
      </c>
      <c r="F2405" s="15" t="n">
        <f aca="false">F2404/F2393</f>
        <v>0.305518551108404</v>
      </c>
      <c r="G2405" s="15" t="n">
        <f aca="false">G2404/G2393</f>
        <v>0.308529416173201</v>
      </c>
    </row>
    <row r="2406" customFormat="false" ht="15" hidden="false" customHeight="false" outlineLevel="0" collapsed="false">
      <c r="A2406" s="3" t="s">
        <v>421</v>
      </c>
      <c r="B2406" s="0" t="s">
        <v>181</v>
      </c>
      <c r="C2406" s="23" t="n">
        <f aca="false">a25_nonop</f>
        <v>5.805</v>
      </c>
      <c r="D2406" s="23" t="n">
        <f aca="false">a26_nonop</f>
        <v>38.372</v>
      </c>
      <c r="E2406" s="23" t="n">
        <f aca="false">nonop_f</f>
        <v>4</v>
      </c>
      <c r="F2406" s="23" t="n">
        <f aca="false">nonop_f</f>
        <v>4</v>
      </c>
      <c r="G2406" s="23" t="n">
        <f aca="false">nonop_f</f>
        <v>4</v>
      </c>
    </row>
    <row r="2407" customFormat="false" ht="15" hidden="false" customHeight="false" outlineLevel="0" collapsed="false">
      <c r="A2407" s="3" t="s">
        <v>423</v>
      </c>
      <c r="B2407" s="0" t="s">
        <v>181</v>
      </c>
      <c r="C2407" s="23" t="n">
        <f aca="false">C2404+C2406</f>
        <v>49.655</v>
      </c>
      <c r="D2407" s="23" t="n">
        <f aca="false">D2404+D2406</f>
        <v>102.2282252</v>
      </c>
      <c r="E2407" s="23" t="n">
        <f aca="false">E2404+E2406</f>
        <v>110.901070456695</v>
      </c>
      <c r="F2407" s="23" t="n">
        <f aca="false">F2404+F2406</f>
        <v>127.074025062307</v>
      </c>
      <c r="G2407" s="23" t="n">
        <f aca="false">G2404+G2406</f>
        <v>143.018908420589</v>
      </c>
    </row>
    <row r="2408" customFormat="false" ht="15" hidden="false" customHeight="false" outlineLevel="0" collapsed="false">
      <c r="A2408" s="3" t="s">
        <v>425</v>
      </c>
      <c r="B2408" s="0" t="s">
        <v>181</v>
      </c>
      <c r="C2408" s="23" t="n">
        <f aca="false">a25_tax</f>
        <v>7.939</v>
      </c>
      <c r="D2408" s="23" t="n">
        <f aca="false">a26_tax</f>
        <v>10.493828284</v>
      </c>
      <c r="E2408" s="23" t="n">
        <f aca="false">E2407*tax</f>
        <v>16.6351605685042</v>
      </c>
      <c r="F2408" s="23" t="n">
        <f aca="false">F2407*tax</f>
        <v>19.0611037593461</v>
      </c>
      <c r="G2408" s="23" t="n">
        <f aca="false">G2407*tax</f>
        <v>21.4528362630883</v>
      </c>
    </row>
    <row r="2409" customFormat="false" ht="17.15" hidden="false" customHeight="false" outlineLevel="0" collapsed="false">
      <c r="A2409" s="3" t="s">
        <v>549</v>
      </c>
      <c r="B2409" s="0" t="s">
        <v>181</v>
      </c>
      <c r="C2409" s="23" t="n">
        <f aca="false">a25_mi</f>
        <v>0</v>
      </c>
      <c r="D2409" s="23" t="n">
        <f aca="false">a26_mi</f>
        <v>-0.134999999999987</v>
      </c>
      <c r="E2409" s="23" t="n">
        <f aca="false">0</f>
        <v>0</v>
      </c>
      <c r="F2409" s="23" t="n">
        <f aca="false">0</f>
        <v>0</v>
      </c>
      <c r="G2409" s="23" t="n">
        <f aca="false">0</f>
        <v>0</v>
      </c>
      <c r="K2409" s="7" t="s">
        <v>550</v>
      </c>
    </row>
    <row r="2410" customFormat="false" ht="15" hidden="false" customHeight="false" outlineLevel="0" collapsed="false">
      <c r="A2410" s="3" t="s">
        <v>428</v>
      </c>
      <c r="B2410" s="0" t="s">
        <v>181</v>
      </c>
      <c r="C2410" s="23" t="n">
        <f aca="false">C2407-C2408-C2409</f>
        <v>41.716</v>
      </c>
      <c r="D2410" s="23" t="n">
        <f aca="false">D2407-D2408-D2409</f>
        <v>91.869396916</v>
      </c>
      <c r="E2410" s="23" t="n">
        <f aca="false">E2407-E2408-E2409</f>
        <v>94.2659098881903</v>
      </c>
      <c r="F2410" s="23" t="n">
        <f aca="false">F2407-F2408-F2409</f>
        <v>108.012921302961</v>
      </c>
      <c r="G2410" s="23" t="n">
        <f aca="false">G2407-G2408-G2409</f>
        <v>121.5660721575</v>
      </c>
      <c r="H2410" s="30" t="n">
        <f aca="false">H2393*H2414</f>
        <v>133.603720284788</v>
      </c>
      <c r="I2410" s="30" t="n">
        <f aca="false">I2393*I2414</f>
        <v>144.226648612922</v>
      </c>
      <c r="J2410" s="30" t="n">
        <f aca="false">J2393*J2414</f>
        <v>152.880247529697</v>
      </c>
    </row>
    <row r="2411" customFormat="false" ht="15" hidden="false" customHeight="false" outlineLevel="0" collapsed="false">
      <c r="A2411" s="3" t="s">
        <v>551</v>
      </c>
      <c r="B2411" s="3" t="s">
        <v>250</v>
      </c>
      <c r="C2411" s="9" t="n">
        <f aca="false">a25_sh</f>
        <v>12.4898203592814</v>
      </c>
      <c r="D2411" s="9" t="n">
        <f aca="false">a26_sh</f>
        <v>12.4754339027235</v>
      </c>
      <c r="E2411" s="9" t="n">
        <f aca="false">q_sh*(1+sh_g)</f>
        <v>12.45</v>
      </c>
      <c r="F2411" s="9" t="n">
        <f aca="false">E2411*(1+sh_g)</f>
        <v>12.45</v>
      </c>
      <c r="G2411" s="9" t="n">
        <f aca="false">F2411*(1+sh_g)</f>
        <v>12.45</v>
      </c>
      <c r="H2411" s="32" t="n">
        <f aca="false">G2411*(1+sh_g)</f>
        <v>12.45</v>
      </c>
      <c r="I2411" s="32" t="n">
        <f aca="false">H2411*(1+sh_g)</f>
        <v>12.45</v>
      </c>
      <c r="J2411" s="32" t="n">
        <f aca="false">I2411*(1+sh_g)</f>
        <v>12.45</v>
      </c>
    </row>
    <row r="2412" customFormat="false" ht="17.15" hidden="false" customHeight="false" outlineLevel="0" collapsed="false">
      <c r="A2412" s="0" t="s">
        <v>434</v>
      </c>
      <c r="B2412" s="0" t="s">
        <v>260</v>
      </c>
      <c r="C2412" s="23" t="n">
        <f aca="false">C2410/C2411</f>
        <v>3.34</v>
      </c>
      <c r="D2412" s="23" t="n">
        <f aca="false">D2410/D2411</f>
        <v>7.36402418002827</v>
      </c>
      <c r="E2412" s="23" t="n">
        <f aca="false">E2410/E2411</f>
        <v>7.57155902716388</v>
      </c>
      <c r="F2412" s="23" t="n">
        <f aca="false">F2410/F2411</f>
        <v>8.67573665084026</v>
      </c>
      <c r="G2412" s="23" t="n">
        <f aca="false">G2410/G2411</f>
        <v>9.76434314518076</v>
      </c>
      <c r="H2412" s="30" t="n">
        <f aca="false">H2410/H2411</f>
        <v>10.7312225128344</v>
      </c>
      <c r="I2412" s="30" t="n">
        <f aca="false">I2410/I2411</f>
        <v>11.5844697681062</v>
      </c>
      <c r="J2412" s="30" t="n">
        <f aca="false">J2410/J2411</f>
        <v>12.2795379541926</v>
      </c>
    </row>
    <row r="2413" customFormat="false" ht="17.15" hidden="false" customHeight="false" outlineLevel="0" collapsed="false">
      <c r="A2413" s="0" t="s">
        <v>552</v>
      </c>
      <c r="B2413" s="0" t="s">
        <v>69</v>
      </c>
      <c r="D2413" s="21" t="n">
        <f aca="false">D2412/C2412-1</f>
        <v>1.2047976586911</v>
      </c>
      <c r="E2413" s="21" t="n">
        <f aca="false">E2412/D2412-1</f>
        <v>0.0281822604138733</v>
      </c>
      <c r="F2413" s="21" t="n">
        <f aca="false">F2412/E2412-1</f>
        <v>0.14583226779518</v>
      </c>
      <c r="G2413" s="21" t="n">
        <f aca="false">G2412/F2412-1</f>
        <v>0.125477125246197</v>
      </c>
      <c r="H2413" s="28" t="n">
        <f aca="false">H2412/G2412-1</f>
        <v>0.099021444994055</v>
      </c>
      <c r="I2413" s="28" t="n">
        <f aca="false">I2412/H2412-1</f>
        <v>0.0795107224970275</v>
      </c>
      <c r="J2413" s="28" t="n">
        <f aca="false">J2412/I2412-1</f>
        <v>0.0600000000000001</v>
      </c>
    </row>
    <row r="2414" customFormat="false" ht="17.15" hidden="false" customHeight="false" outlineLevel="0" collapsed="false">
      <c r="A2414" s="3" t="s">
        <v>553</v>
      </c>
      <c r="B2414" s="0" t="s">
        <v>69</v>
      </c>
      <c r="C2414" s="15" t="n">
        <f aca="false">C2410/C2393</f>
        <v>0.175607127672562</v>
      </c>
      <c r="D2414" s="15" t="n">
        <f aca="false">D2410/D2393</f>
        <v>0.328417243409073</v>
      </c>
      <c r="E2414" s="15" t="n">
        <f aca="false">E2410/E2393</f>
        <v>0.264045797349239</v>
      </c>
      <c r="F2414" s="15" t="n">
        <f aca="false">F2410/F2393</f>
        <v>0.268130917151367</v>
      </c>
      <c r="G2414" s="15" t="n">
        <f aca="false">G2410/G2393</f>
        <v>0.269795739984879</v>
      </c>
      <c r="H2414" s="29" t="n">
        <f aca="false">$G2414+($G$2414*1-$G2414)*1/3</f>
        <v>0.269795739984879</v>
      </c>
      <c r="I2414" s="29" t="n">
        <f aca="false">$G2414+($G$2414*1-$G2414)*2/3</f>
        <v>0.269795739984879</v>
      </c>
      <c r="J2414" s="29" t="n">
        <f aca="false">$G2414+($G$2414*1-$G2414)*3/3</f>
        <v>0.269795739984879</v>
      </c>
    </row>
    <row r="2417" customFormat="false" ht="17.15" hidden="false" customHeight="false" outlineLevel="0" collapsed="false">
      <c r="A2417" s="1" t="s">
        <v>898</v>
      </c>
    </row>
    <row r="2418" customFormat="false" ht="17.15" hidden="false" customHeight="false" outlineLevel="0" collapsed="false">
      <c r="A2418" s="4" t="s">
        <v>24</v>
      </c>
      <c r="B2418" s="4" t="s">
        <v>25</v>
      </c>
      <c r="C2418" s="16" t="s">
        <v>387</v>
      </c>
      <c r="D2418" s="16" t="s">
        <v>505</v>
      </c>
      <c r="E2418" s="16" t="s">
        <v>467</v>
      </c>
      <c r="F2418" s="16" t="s">
        <v>468</v>
      </c>
      <c r="G2418" s="16" t="s">
        <v>469</v>
      </c>
      <c r="H2418" s="16" t="s">
        <v>506</v>
      </c>
      <c r="I2418" s="16" t="s">
        <v>507</v>
      </c>
      <c r="J2418" s="16" t="s">
        <v>508</v>
      </c>
      <c r="K2418" s="4" t="s">
        <v>345</v>
      </c>
    </row>
    <row r="2419" customFormat="false" ht="17.15" hidden="false" customHeight="false" outlineLevel="0" collapsed="false">
      <c r="A2419" s="5" t="s">
        <v>526</v>
      </c>
    </row>
    <row r="2420" customFormat="false" ht="17.15" hidden="false" customHeight="false" outlineLevel="0" collapsed="false">
      <c r="A2420" s="3" t="s">
        <v>527</v>
      </c>
      <c r="B2420" s="3" t="s">
        <v>64</v>
      </c>
      <c r="D2420" s="22" t="n">
        <f aca="false">cap_26</f>
        <v>5230.46851955216</v>
      </c>
      <c r="E2420" s="22" t="n">
        <f aca="false">D2420*(1+capg27)*cap_adj</f>
        <v>5439.68726033425</v>
      </c>
      <c r="F2420" s="22" t="n">
        <f aca="false">E2420*(1+capg28)</f>
        <v>5820.46536855765</v>
      </c>
      <c r="G2420" s="22" t="n">
        <f aca="false">F2420*(1+capg29)</f>
        <v>6227.89794435668</v>
      </c>
    </row>
    <row r="2421" customFormat="false" ht="15" hidden="false" customHeight="false" outlineLevel="0" collapsed="false">
      <c r="A2421" s="3" t="s">
        <v>528</v>
      </c>
      <c r="B2421" s="0" t="s">
        <v>69</v>
      </c>
      <c r="D2421" s="21" t="n">
        <f aca="false">a26_ship/cap_26</f>
        <v>0.870578781414787</v>
      </c>
      <c r="E2421" s="21" t="n">
        <f aca="false">MIN(0.98,ut27_B+ut_adj)</f>
        <v>0.9</v>
      </c>
      <c r="F2421" s="21" t="n">
        <f aca="false">MIN(0.98,ut28_B+ut_adj)</f>
        <v>0.87</v>
      </c>
      <c r="G2421" s="21" t="n">
        <f aca="false">MIN(0.98,ut29_B+ut_adj)</f>
        <v>0.88</v>
      </c>
    </row>
    <row r="2422" customFormat="false" ht="17.15" hidden="false" customHeight="false" outlineLevel="0" collapsed="false">
      <c r="A2422" s="3" t="s">
        <v>529</v>
      </c>
      <c r="B2422" s="3" t="s">
        <v>64</v>
      </c>
      <c r="D2422" s="22" t="n">
        <f aca="false">D2420*D2421</f>
        <v>4553.53490998013</v>
      </c>
      <c r="E2422" s="22" t="n">
        <f aca="false">E2420*E2421</f>
        <v>4895.71853430083</v>
      </c>
      <c r="F2422" s="22" t="n">
        <f aca="false">F2420*F2421</f>
        <v>5063.80487064515</v>
      </c>
      <c r="G2422" s="22" t="n">
        <f aca="false">G2420*G2421</f>
        <v>5480.55019103388</v>
      </c>
    </row>
    <row r="2423" customFormat="false" ht="17.15" hidden="false" customHeight="false" outlineLevel="0" collapsed="false">
      <c r="A2423" s="3" t="s">
        <v>530</v>
      </c>
      <c r="B2423" s="0" t="s">
        <v>109</v>
      </c>
      <c r="D2423" s="22" t="n">
        <f aca="false">asp_26</f>
        <v>1878.17486396824</v>
      </c>
      <c r="E2423" s="22" t="n">
        <f aca="false">D2423*(1+asp27_B)*(1+asp_adj)</f>
        <v>1972.08360716666</v>
      </c>
      <c r="F2423" s="22" t="n">
        <f aca="false">E2423*(1+asp28_B)</f>
        <v>1972.08360716666</v>
      </c>
      <c r="G2423" s="22" t="n">
        <f aca="false">F2423*(1+asp29_B)</f>
        <v>1972.08360716666</v>
      </c>
    </row>
    <row r="2424" customFormat="false" ht="15" hidden="false" customHeight="false" outlineLevel="0" collapsed="false">
      <c r="A2424" s="3" t="s">
        <v>531</v>
      </c>
      <c r="B2424" s="0" t="s">
        <v>69</v>
      </c>
      <c r="E2424" s="21" t="n">
        <f aca="false">E2423/D2423-1</f>
        <v>0.05</v>
      </c>
      <c r="F2424" s="21" t="n">
        <f aca="false">F2423/E2423-1</f>
        <v>0</v>
      </c>
      <c r="G2424" s="21" t="n">
        <f aca="false">G2423/F2423-1</f>
        <v>0</v>
      </c>
    </row>
    <row r="2425" customFormat="false" ht="15" hidden="false" customHeight="false" outlineLevel="0" collapsed="false">
      <c r="A2425" s="3" t="s">
        <v>532</v>
      </c>
      <c r="B2425" s="0" t="s">
        <v>35</v>
      </c>
      <c r="D2425" s="23" t="n">
        <f aca="false">fx_26</f>
        <v>31.6</v>
      </c>
      <c r="E2425" s="23" t="n">
        <f aca="false">fx</f>
        <v>32</v>
      </c>
      <c r="F2425" s="23" t="n">
        <f aca="false">fx</f>
        <v>32</v>
      </c>
      <c r="G2425" s="23" t="n">
        <f aca="false">fx</f>
        <v>32</v>
      </c>
    </row>
    <row r="2426" customFormat="false" ht="17.15" hidden="false" customHeight="false" outlineLevel="0" collapsed="false">
      <c r="A2426" s="3" t="s">
        <v>533</v>
      </c>
      <c r="B2426" s="0" t="s">
        <v>181</v>
      </c>
      <c r="D2426" s="23" t="n">
        <f aca="false">D2422*D2423*D2425/1000000</f>
        <v>270.25378</v>
      </c>
      <c r="E2426" s="23" t="n">
        <f aca="false">E2422*E2423*E2425/1000000</f>
        <v>308.952520537492</v>
      </c>
      <c r="F2426" s="23" t="n">
        <f aca="false">F2422*F2423*F2425/1000000</f>
        <v>319.559890409279</v>
      </c>
      <c r="G2426" s="23" t="n">
        <f aca="false">G2422*G2423*G2425/1000000</f>
        <v>345.859302079744</v>
      </c>
    </row>
    <row r="2427" customFormat="false" ht="17.15" hidden="false" customHeight="false" outlineLevel="0" collapsed="false">
      <c r="A2427" s="5" t="s">
        <v>534</v>
      </c>
    </row>
    <row r="2428" customFormat="false" ht="17.15" hidden="false" customHeight="false" outlineLevel="0" collapsed="false">
      <c r="A2428" s="0" t="s">
        <v>535</v>
      </c>
      <c r="B2428" s="0" t="s">
        <v>138</v>
      </c>
      <c r="D2428" s="25" t="n">
        <f aca="false">ai_26</f>
        <v>0.3</v>
      </c>
      <c r="E2428" s="25" t="n">
        <f aca="false">D2428*(1+aig27_B)*ai_adj</f>
        <v>0.42</v>
      </c>
      <c r="F2428" s="25" t="n">
        <f aca="false">E2428*(1+aig_L)*um28_B</f>
        <v>0.4872</v>
      </c>
      <c r="G2428" s="25" t="n">
        <f aca="false">F2428/um28_B*(1+aig_L)*um29_B</f>
        <v>0.7505925</v>
      </c>
    </row>
    <row r="2429" customFormat="false" ht="17.15" hidden="false" customHeight="false" outlineLevel="0" collapsed="false">
      <c r="A2429" s="0" t="s">
        <v>536</v>
      </c>
      <c r="B2429" s="0" t="s">
        <v>181</v>
      </c>
      <c r="D2429" s="23" t="n">
        <f aca="false">D2428*D2425</f>
        <v>9.48</v>
      </c>
      <c r="E2429" s="23" t="n">
        <f aca="false">E2428*E2425</f>
        <v>13.44</v>
      </c>
      <c r="F2429" s="23" t="n">
        <f aca="false">F2428*F2425</f>
        <v>15.5904</v>
      </c>
      <c r="G2429" s="23" t="n">
        <f aca="false">G2428*G2425</f>
        <v>24.01896</v>
      </c>
    </row>
    <row r="2430" customFormat="false" ht="17.15" hidden="false" customHeight="false" outlineLevel="0" collapsed="false">
      <c r="A2430" s="0" t="s">
        <v>537</v>
      </c>
      <c r="B2430" s="0" t="s">
        <v>138</v>
      </c>
      <c r="D2430" s="25" t="n">
        <f aca="false">0</f>
        <v>0</v>
      </c>
      <c r="E2430" s="25" t="n">
        <f aca="false">int_27</f>
        <v>0</v>
      </c>
      <c r="F2430" s="25" t="n">
        <f aca="false">int28_B</f>
        <v>0.12</v>
      </c>
      <c r="G2430" s="25" t="n">
        <f aca="false">int29_B</f>
        <v>0.3</v>
      </c>
    </row>
    <row r="2431" customFormat="false" ht="17.15" hidden="false" customHeight="false" outlineLevel="0" collapsed="false">
      <c r="A2431" s="0" t="s">
        <v>538</v>
      </c>
      <c r="B2431" s="0" t="s">
        <v>181</v>
      </c>
      <c r="D2431" s="23" t="n">
        <f aca="false">D2430*D2425</f>
        <v>0</v>
      </c>
      <c r="E2431" s="23" t="n">
        <f aca="false">E2430*E2425</f>
        <v>0</v>
      </c>
      <c r="F2431" s="23" t="n">
        <f aca="false">F2430*F2425</f>
        <v>3.84</v>
      </c>
      <c r="G2431" s="23" t="n">
        <f aca="false">G2430*G2425</f>
        <v>9.6</v>
      </c>
    </row>
    <row r="2432" customFormat="false" ht="17.15" hidden="false" customHeight="false" outlineLevel="0" collapsed="false">
      <c r="A2432" s="3" t="s">
        <v>393</v>
      </c>
      <c r="B2432" s="0" t="s">
        <v>181</v>
      </c>
      <c r="C2432" s="23" t="n">
        <f aca="false">a25_rev</f>
        <v>237.553</v>
      </c>
      <c r="D2432" s="23" t="n">
        <f aca="false">D2426+D2429+D2431</f>
        <v>279.73378</v>
      </c>
      <c r="E2432" s="23" t="n">
        <f aca="false">E2426+E2429+E2431</f>
        <v>322.392520537492</v>
      </c>
      <c r="F2432" s="23" t="n">
        <f aca="false">F2426+F2429+F2431</f>
        <v>338.990290409279</v>
      </c>
      <c r="G2432" s="23" t="n">
        <f aca="false">G2426+G2429+G2431</f>
        <v>379.478262079744</v>
      </c>
      <c r="H2432" s="30" t="n">
        <f aca="false">G2432*(1+H2434)</f>
        <v>414.75379367548</v>
      </c>
      <c r="I2432" s="30" t="n">
        <f aca="false">H2432*(1+I2434)</f>
        <v>442.326206375962</v>
      </c>
      <c r="J2432" s="30" t="n">
        <f aca="false">I2432*(1+J2434)</f>
        <v>460.019254631001</v>
      </c>
      <c r="K2432" s="7" t="s">
        <v>539</v>
      </c>
    </row>
    <row r="2433" customFormat="false" ht="17.15" hidden="false" customHeight="false" outlineLevel="0" collapsed="false">
      <c r="A2433" s="0" t="s">
        <v>540</v>
      </c>
      <c r="B2433" s="0" t="s">
        <v>69</v>
      </c>
      <c r="D2433" s="21" t="n">
        <f aca="false">D2429/D2432</f>
        <v>0.0338893643806622</v>
      </c>
      <c r="E2433" s="21" t="n">
        <f aca="false">E2429/E2432</f>
        <v>0.0416883120538679</v>
      </c>
      <c r="F2433" s="21" t="n">
        <f aca="false">F2429/F2432</f>
        <v>0.0459906977901254</v>
      </c>
      <c r="G2433" s="21" t="n">
        <f aca="false">G2429/G2432</f>
        <v>0.0632946927404042</v>
      </c>
    </row>
    <row r="2434" customFormat="false" ht="15" hidden="false" customHeight="false" outlineLevel="0" collapsed="false">
      <c r="A2434" s="3" t="s">
        <v>541</v>
      </c>
      <c r="B2434" s="0" t="s">
        <v>69</v>
      </c>
      <c r="D2434" s="21" t="n">
        <f aca="false">D2432/C2432-1</f>
        <v>0.177563659478096</v>
      </c>
      <c r="E2434" s="21" t="n">
        <f aca="false">E2432/D2432-1</f>
        <v>0.152497637351814</v>
      </c>
      <c r="F2434" s="21" t="n">
        <f aca="false">F2432/E2432-1</f>
        <v>0.0514831108492078</v>
      </c>
      <c r="G2434" s="21" t="n">
        <f aca="false">G2432/F2432-1</f>
        <v>0.119436965647547</v>
      </c>
      <c r="H2434" s="28" t="n">
        <f aca="false">$G2434+(fade_gB-$G2434)*1/3</f>
        <v>0.0929579770983645</v>
      </c>
      <c r="I2434" s="28" t="n">
        <f aca="false">$G2434+(fade_gB-$G2434)*2/3</f>
        <v>0.0664789885491822</v>
      </c>
      <c r="J2434" s="28" t="n">
        <f aca="false">$G2434+(fade_gB-$G2434)*3/3</f>
        <v>0.04</v>
      </c>
    </row>
    <row r="2435" customFormat="false" ht="17.15" hidden="false" customHeight="false" outlineLevel="0" collapsed="false">
      <c r="A2435" s="5" t="s">
        <v>542</v>
      </c>
    </row>
    <row r="2436" customFormat="false" ht="15" hidden="false" customHeight="false" outlineLevel="0" collapsed="false">
      <c r="A2436" s="3" t="s">
        <v>543</v>
      </c>
      <c r="B2436" s="0" t="s">
        <v>181</v>
      </c>
      <c r="D2436" s="23" t="n">
        <f aca="false">da_tot26*da_sh</f>
        <v>56.172</v>
      </c>
      <c r="E2436" s="23" t="n">
        <f aca="false">D2436*(1+dag_27+dag_adj)</f>
        <v>62.91264</v>
      </c>
      <c r="F2436" s="23" t="n">
        <f aca="false">E2436*(1+dag_28+dag_adj)</f>
        <v>69.203904</v>
      </c>
      <c r="G2436" s="23" t="n">
        <f aca="false">F2436*(1+dag_29+dag_adj)</f>
        <v>74.74021632</v>
      </c>
    </row>
    <row r="2437" customFormat="false" ht="17.15" hidden="false" customHeight="false" outlineLevel="0" collapsed="false">
      <c r="A2437" s="3" t="s">
        <v>544</v>
      </c>
      <c r="B2437" s="0" t="s">
        <v>545</v>
      </c>
      <c r="D2437" s="23" t="n">
        <f aca="false">(D2432-a26_gp-D2436-(1-m_new_lo)*(D2429+D2431))/D2422*1000</f>
        <v>27.7383828820917</v>
      </c>
      <c r="E2437" s="23" t="n">
        <f aca="false">D2437*(1+cc_g)</f>
        <v>28.2931505397336</v>
      </c>
      <c r="F2437" s="23" t="n">
        <f aca="false">E2437*(1+cc_g)</f>
        <v>28.8590135505283</v>
      </c>
      <c r="G2437" s="23" t="n">
        <f aca="false">F2437*(1+cc_g)</f>
        <v>29.4361938215388</v>
      </c>
      <c r="K2437" s="7" t="s">
        <v>546</v>
      </c>
    </row>
    <row r="2438" customFormat="false" ht="17.15" hidden="false" customHeight="false" outlineLevel="0" collapsed="false">
      <c r="A2438" s="3" t="s">
        <v>547</v>
      </c>
      <c r="B2438" s="0" t="s">
        <v>181</v>
      </c>
      <c r="D2438" s="23" t="n">
        <f aca="false">D2437*D2422/1000</f>
        <v>126.3076948</v>
      </c>
      <c r="E2438" s="23" t="n">
        <f aca="false">E2437*E2422/1000</f>
        <v>138.515301491137</v>
      </c>
      <c r="F2438" s="23" t="n">
        <f aca="false">F2437*F2422/1000</f>
        <v>146.136413379179</v>
      </c>
      <c r="G2438" s="23" t="n">
        <f aca="false">G2437*G2422/1000</f>
        <v>161.326537671945</v>
      </c>
    </row>
    <row r="2439" customFormat="false" ht="17.15" hidden="false" customHeight="false" outlineLevel="0" collapsed="false">
      <c r="A2439" s="3" t="s">
        <v>548</v>
      </c>
      <c r="B2439" s="0" t="s">
        <v>181</v>
      </c>
      <c r="D2439" s="23" t="n">
        <f aca="false">m_new_lo*(D2429+D2431)</f>
        <v>3.318</v>
      </c>
      <c r="E2439" s="23" t="n">
        <f aca="false">m_new_lo*(E2429+E2431)</f>
        <v>4.704</v>
      </c>
      <c r="F2439" s="23" t="n">
        <f aca="false">m_new_lo*(F2429+F2431)</f>
        <v>6.80064</v>
      </c>
      <c r="G2439" s="23" t="n">
        <f aca="false">m_new_lo*(G2429+G2431)</f>
        <v>11.766636</v>
      </c>
    </row>
    <row r="2440" customFormat="false" ht="15" hidden="false" customHeight="false" outlineLevel="0" collapsed="false">
      <c r="A2440" s="3" t="s">
        <v>411</v>
      </c>
      <c r="B2440" s="0" t="s">
        <v>181</v>
      </c>
      <c r="C2440" s="23" t="n">
        <f aca="false">a25_gp</f>
        <v>68.906</v>
      </c>
      <c r="D2440" s="23" t="n">
        <f aca="false">D2426-D2436-D2438+D2439</f>
        <v>91.0920852</v>
      </c>
      <c r="E2440" s="23" t="n">
        <f aca="false">E2426-E2436-E2438+E2439</f>
        <v>112.228579046355</v>
      </c>
      <c r="F2440" s="23" t="n">
        <f aca="false">F2426-F2436-F2438+F2439</f>
        <v>111.0202130301</v>
      </c>
      <c r="G2440" s="23" t="n">
        <f aca="false">G2426-G2436-G2438+G2439</f>
        <v>121.559184087799</v>
      </c>
    </row>
    <row r="2441" customFormat="false" ht="15" hidden="false" customHeight="false" outlineLevel="0" collapsed="false">
      <c r="A2441" s="3" t="s">
        <v>413</v>
      </c>
      <c r="B2441" s="0" t="s">
        <v>69</v>
      </c>
      <c r="C2441" s="15" t="n">
        <f aca="false">C2440/C2432</f>
        <v>0.290065795843454</v>
      </c>
      <c r="D2441" s="15" t="n">
        <f aca="false">D2440/D2432</f>
        <v>0.325638488136828</v>
      </c>
      <c r="E2441" s="15" t="n">
        <f aca="false">E2440/E2432</f>
        <v>0.348111608976684</v>
      </c>
      <c r="F2441" s="15" t="n">
        <f aca="false">F2440/F2432</f>
        <v>0.327502634060875</v>
      </c>
      <c r="G2441" s="15" t="n">
        <f aca="false">G2440/G2432</f>
        <v>0.320332404342715</v>
      </c>
    </row>
    <row r="2442" customFormat="false" ht="15" hidden="false" customHeight="false" outlineLevel="0" collapsed="false">
      <c r="A2442" s="3" t="s">
        <v>415</v>
      </c>
      <c r="B2442" s="0" t="s">
        <v>181</v>
      </c>
      <c r="C2442" s="23" t="n">
        <f aca="false">a25_opx</f>
        <v>25.056</v>
      </c>
      <c r="D2442" s="23" t="n">
        <f aca="false">a26_opx</f>
        <v>27.23586</v>
      </c>
      <c r="E2442" s="23" t="n">
        <f aca="false">D2442*(1+MAX(g_opx_min,phi*E2434))</f>
        <v>29.3125621506224</v>
      </c>
      <c r="F2442" s="23" t="n">
        <f aca="false">E2442*(1+MAX(g_opx_min,phi*F2434))</f>
        <v>30.1919390151411</v>
      </c>
      <c r="G2442" s="23" t="n">
        <f aca="false">F2442*(1+MAX(g_opx_min,phi*G2434))</f>
        <v>31.9949558066332</v>
      </c>
    </row>
    <row r="2443" customFormat="false" ht="15" hidden="false" customHeight="false" outlineLevel="0" collapsed="false">
      <c r="A2443" s="3" t="s">
        <v>418</v>
      </c>
      <c r="B2443" s="0" t="s">
        <v>181</v>
      </c>
      <c r="C2443" s="23" t="n">
        <f aca="false">C2440-C2442</f>
        <v>43.85</v>
      </c>
      <c r="D2443" s="23" t="n">
        <f aca="false">D2440-D2442</f>
        <v>63.8562252</v>
      </c>
      <c r="E2443" s="23" t="n">
        <f aca="false">E2440-E2442</f>
        <v>82.9160168957326</v>
      </c>
      <c r="F2443" s="23" t="n">
        <f aca="false">F2440-F2442</f>
        <v>80.8282740149588</v>
      </c>
      <c r="G2443" s="23" t="n">
        <f aca="false">G2440-G2442</f>
        <v>89.564228281166</v>
      </c>
    </row>
    <row r="2444" customFormat="false" ht="15" hidden="false" customHeight="false" outlineLevel="0" collapsed="false">
      <c r="A2444" s="3" t="s">
        <v>515</v>
      </c>
      <c r="B2444" s="0" t="s">
        <v>69</v>
      </c>
      <c r="C2444" s="15" t="n">
        <f aca="false">C2443/C2432</f>
        <v>0.184590386145408</v>
      </c>
      <c r="D2444" s="15" t="n">
        <f aca="false">D2443/D2432</f>
        <v>0.228274987740129</v>
      </c>
      <c r="E2444" s="15" t="n">
        <f aca="false">E2443/E2432</f>
        <v>0.257189641861093</v>
      </c>
      <c r="F2444" s="15" t="n">
        <f aca="false">F2443/F2432</f>
        <v>0.238438316086785</v>
      </c>
      <c r="G2444" s="15" t="n">
        <f aca="false">G2443/G2432</f>
        <v>0.236019390914004</v>
      </c>
    </row>
    <row r="2445" customFormat="false" ht="15" hidden="false" customHeight="false" outlineLevel="0" collapsed="false">
      <c r="A2445" s="3" t="s">
        <v>421</v>
      </c>
      <c r="B2445" s="0" t="s">
        <v>181</v>
      </c>
      <c r="C2445" s="23" t="n">
        <f aca="false">a25_nonop</f>
        <v>5.805</v>
      </c>
      <c r="D2445" s="23" t="n">
        <f aca="false">a26_nonop</f>
        <v>38.372</v>
      </c>
      <c r="E2445" s="23" t="n">
        <f aca="false">nonop_f</f>
        <v>4</v>
      </c>
      <c r="F2445" s="23" t="n">
        <f aca="false">nonop_f</f>
        <v>4</v>
      </c>
      <c r="G2445" s="23" t="n">
        <f aca="false">nonop_f</f>
        <v>4</v>
      </c>
    </row>
    <row r="2446" customFormat="false" ht="15" hidden="false" customHeight="false" outlineLevel="0" collapsed="false">
      <c r="A2446" s="3" t="s">
        <v>423</v>
      </c>
      <c r="B2446" s="0" t="s">
        <v>181</v>
      </c>
      <c r="C2446" s="23" t="n">
        <f aca="false">C2443+C2445</f>
        <v>49.655</v>
      </c>
      <c r="D2446" s="23" t="n">
        <f aca="false">D2443+D2445</f>
        <v>102.2282252</v>
      </c>
      <c r="E2446" s="23" t="n">
        <f aca="false">E2443+E2445</f>
        <v>86.9160168957326</v>
      </c>
      <c r="F2446" s="23" t="n">
        <f aca="false">F2443+F2445</f>
        <v>84.8282740149588</v>
      </c>
      <c r="G2446" s="23" t="n">
        <f aca="false">G2443+G2445</f>
        <v>93.564228281166</v>
      </c>
    </row>
    <row r="2447" customFormat="false" ht="15" hidden="false" customHeight="false" outlineLevel="0" collapsed="false">
      <c r="A2447" s="3" t="s">
        <v>425</v>
      </c>
      <c r="B2447" s="0" t="s">
        <v>181</v>
      </c>
      <c r="C2447" s="23" t="n">
        <f aca="false">a25_tax</f>
        <v>7.939</v>
      </c>
      <c r="D2447" s="23" t="n">
        <f aca="false">a26_tax</f>
        <v>10.493828284</v>
      </c>
      <c r="E2447" s="23" t="n">
        <f aca="false">E2446*tax</f>
        <v>13.0374025343599</v>
      </c>
      <c r="F2447" s="23" t="n">
        <f aca="false">F2446*tax</f>
        <v>12.7242411022438</v>
      </c>
      <c r="G2447" s="23" t="n">
        <f aca="false">G2446*tax</f>
        <v>14.0346342421749</v>
      </c>
    </row>
    <row r="2448" customFormat="false" ht="17.15" hidden="false" customHeight="false" outlineLevel="0" collapsed="false">
      <c r="A2448" s="3" t="s">
        <v>549</v>
      </c>
      <c r="B2448" s="0" t="s">
        <v>181</v>
      </c>
      <c r="C2448" s="23" t="n">
        <f aca="false">a25_mi</f>
        <v>0</v>
      </c>
      <c r="D2448" s="23" t="n">
        <f aca="false">a26_mi</f>
        <v>-0.134999999999987</v>
      </c>
      <c r="E2448" s="23" t="n">
        <f aca="false">0</f>
        <v>0</v>
      </c>
      <c r="F2448" s="23" t="n">
        <f aca="false">0</f>
        <v>0</v>
      </c>
      <c r="G2448" s="23" t="n">
        <f aca="false">0</f>
        <v>0</v>
      </c>
      <c r="K2448" s="7" t="s">
        <v>550</v>
      </c>
    </row>
    <row r="2449" customFormat="false" ht="15" hidden="false" customHeight="false" outlineLevel="0" collapsed="false">
      <c r="A2449" s="3" t="s">
        <v>428</v>
      </c>
      <c r="B2449" s="0" t="s">
        <v>181</v>
      </c>
      <c r="C2449" s="23" t="n">
        <f aca="false">C2446-C2447-C2448</f>
        <v>41.716</v>
      </c>
      <c r="D2449" s="23" t="n">
        <f aca="false">D2446-D2447-D2448</f>
        <v>91.869396916</v>
      </c>
      <c r="E2449" s="23" t="n">
        <f aca="false">E2446-E2447-E2448</f>
        <v>73.8786143613727</v>
      </c>
      <c r="F2449" s="23" t="n">
        <f aca="false">F2446-F2447-F2448</f>
        <v>72.104032912715</v>
      </c>
      <c r="G2449" s="23" t="n">
        <f aca="false">G2446-G2447-G2448</f>
        <v>79.5295940389911</v>
      </c>
      <c r="H2449" s="30" t="n">
        <f aca="false">H2432*H2453</f>
        <v>84.0250874129662</v>
      </c>
      <c r="I2449" s="30" t="n">
        <f aca="false">I2432*I2453</f>
        <v>86.5209560908356</v>
      </c>
      <c r="J2449" s="30" t="n">
        <f aca="false">J2432*J2453</f>
        <v>86.7681588225237</v>
      </c>
    </row>
    <row r="2450" customFormat="false" ht="15" hidden="false" customHeight="false" outlineLevel="0" collapsed="false">
      <c r="A2450" s="3" t="s">
        <v>551</v>
      </c>
      <c r="B2450" s="3" t="s">
        <v>250</v>
      </c>
      <c r="C2450" s="9" t="n">
        <f aca="false">a25_sh</f>
        <v>12.4898203592814</v>
      </c>
      <c r="D2450" s="9" t="n">
        <f aca="false">a26_sh</f>
        <v>12.4754339027235</v>
      </c>
      <c r="E2450" s="9" t="n">
        <f aca="false">q_sh*(1+sh_g)</f>
        <v>12.45</v>
      </c>
      <c r="F2450" s="9" t="n">
        <f aca="false">E2450*(1+sh_g)</f>
        <v>12.45</v>
      </c>
      <c r="G2450" s="9" t="n">
        <f aca="false">F2450*(1+sh_g)</f>
        <v>12.45</v>
      </c>
      <c r="H2450" s="32" t="n">
        <f aca="false">G2450*(1+sh_g)</f>
        <v>12.45</v>
      </c>
      <c r="I2450" s="32" t="n">
        <f aca="false">H2450*(1+sh_g)</f>
        <v>12.45</v>
      </c>
      <c r="J2450" s="32" t="n">
        <f aca="false">I2450*(1+sh_g)</f>
        <v>12.45</v>
      </c>
    </row>
    <row r="2451" customFormat="false" ht="17.15" hidden="false" customHeight="false" outlineLevel="0" collapsed="false">
      <c r="A2451" s="0" t="s">
        <v>434</v>
      </c>
      <c r="B2451" s="0" t="s">
        <v>260</v>
      </c>
      <c r="C2451" s="23" t="n">
        <f aca="false">C2449/C2450</f>
        <v>3.34</v>
      </c>
      <c r="D2451" s="23" t="n">
        <f aca="false">D2449/D2450</f>
        <v>7.36402418002827</v>
      </c>
      <c r="E2451" s="23" t="n">
        <f aca="false">E2449/E2450</f>
        <v>5.93402524990945</v>
      </c>
      <c r="F2451" s="23" t="n">
        <f aca="false">F2449/F2450</f>
        <v>5.79148858736666</v>
      </c>
      <c r="G2451" s="23" t="n">
        <f aca="false">G2449/G2450</f>
        <v>6.38791919991897</v>
      </c>
      <c r="H2451" s="30" t="n">
        <f aca="false">H2449/H2450</f>
        <v>6.74900300505753</v>
      </c>
      <c r="I2451" s="30" t="n">
        <f aca="false">I2449/I2450</f>
        <v>6.94947438480607</v>
      </c>
      <c r="J2451" s="30" t="n">
        <f aca="false">J2449/J2450</f>
        <v>6.96933002590552</v>
      </c>
    </row>
    <row r="2452" customFormat="false" ht="17.15" hidden="false" customHeight="false" outlineLevel="0" collapsed="false">
      <c r="A2452" s="0" t="s">
        <v>552</v>
      </c>
      <c r="B2452" s="0" t="s">
        <v>69</v>
      </c>
      <c r="D2452" s="21" t="n">
        <f aca="false">D2451/C2451-1</f>
        <v>1.2047976586911</v>
      </c>
      <c r="E2452" s="21" t="n">
        <f aca="false">E2451/D2451-1</f>
        <v>-0.194187158428549</v>
      </c>
      <c r="F2452" s="21" t="n">
        <f aca="false">F2451/E2451-1</f>
        <v>-0.0240202318898063</v>
      </c>
      <c r="G2452" s="21" t="n">
        <f aca="false">G2451/F2451-1</f>
        <v>0.10298399168969</v>
      </c>
      <c r="H2452" s="28" t="n">
        <f aca="false">H2451/G2451-1</f>
        <v>0.056526044528419</v>
      </c>
      <c r="I2452" s="28" t="n">
        <f aca="false">I2451/H2451-1</f>
        <v>0.0297038510130034</v>
      </c>
      <c r="J2452" s="28" t="n">
        <f aca="false">J2451/I2451-1</f>
        <v>0.00285714285714289</v>
      </c>
    </row>
    <row r="2453" customFormat="false" ht="17.15" hidden="false" customHeight="false" outlineLevel="0" collapsed="false">
      <c r="A2453" s="3" t="s">
        <v>553</v>
      </c>
      <c r="B2453" s="0" t="s">
        <v>69</v>
      </c>
      <c r="C2453" s="15" t="n">
        <f aca="false">C2449/C2432</f>
        <v>0.175607127672562</v>
      </c>
      <c r="D2453" s="15" t="n">
        <f aca="false">D2449/D2432</f>
        <v>0.328417243409073</v>
      </c>
      <c r="E2453" s="15" t="n">
        <f aca="false">E2449/E2432</f>
        <v>0.229157345952699</v>
      </c>
      <c r="F2453" s="15" t="n">
        <f aca="false">F2449/F2432</f>
        <v>0.212702354470567</v>
      </c>
      <c r="G2453" s="15" t="n">
        <f aca="false">G2449/G2432</f>
        <v>0.209576152275828</v>
      </c>
      <c r="H2453" s="29" t="n">
        <f aca="false">$G2453+($G$2453*0.9-$G2453)*1/3</f>
        <v>0.202590280533301</v>
      </c>
      <c r="I2453" s="29" t="n">
        <f aca="false">$G2453+($G$2453*0.9-$G2453)*2/3</f>
        <v>0.195604408790773</v>
      </c>
      <c r="J2453" s="29" t="n">
        <f aca="false">$G2453+($G$2453*0.9-$G2453)*3/3</f>
        <v>0.188618537048245</v>
      </c>
    </row>
    <row r="2456" customFormat="false" ht="17.15" hidden="false" customHeight="false" outlineLevel="0" collapsed="false">
      <c r="A2456" s="1" t="s">
        <v>899</v>
      </c>
    </row>
    <row r="2457" customFormat="false" ht="17.15" hidden="false" customHeight="false" outlineLevel="0" collapsed="false">
      <c r="A2457" s="4" t="s">
        <v>24</v>
      </c>
      <c r="B2457" s="4" t="s">
        <v>25</v>
      </c>
      <c r="C2457" s="16" t="s">
        <v>387</v>
      </c>
      <c r="D2457" s="16" t="s">
        <v>505</v>
      </c>
      <c r="E2457" s="16" t="s">
        <v>467</v>
      </c>
      <c r="F2457" s="16" t="s">
        <v>468</v>
      </c>
      <c r="G2457" s="16" t="s">
        <v>469</v>
      </c>
      <c r="H2457" s="16" t="s">
        <v>506</v>
      </c>
      <c r="I2457" s="16" t="s">
        <v>507</v>
      </c>
      <c r="J2457" s="16" t="s">
        <v>508</v>
      </c>
      <c r="K2457" s="4" t="s">
        <v>345</v>
      </c>
    </row>
    <row r="2458" customFormat="false" ht="17.15" hidden="false" customHeight="false" outlineLevel="0" collapsed="false">
      <c r="A2458" s="5" t="s">
        <v>526</v>
      </c>
    </row>
    <row r="2459" customFormat="false" ht="17.15" hidden="false" customHeight="false" outlineLevel="0" collapsed="false">
      <c r="A2459" s="3" t="s">
        <v>527</v>
      </c>
      <c r="B2459" s="3" t="s">
        <v>64</v>
      </c>
      <c r="D2459" s="22" t="n">
        <f aca="false">cap_26</f>
        <v>5230.46851955216</v>
      </c>
      <c r="E2459" s="22" t="n">
        <f aca="false">D2459*(1+capg27)*cap_adj</f>
        <v>5439.68726033425</v>
      </c>
      <c r="F2459" s="22" t="n">
        <f aca="false">E2459*(1+capg28)</f>
        <v>5820.46536855765</v>
      </c>
      <c r="G2459" s="22" t="n">
        <f aca="false">F2459*(1+capg29)</f>
        <v>6227.89794435668</v>
      </c>
    </row>
    <row r="2460" customFormat="false" ht="15" hidden="false" customHeight="false" outlineLevel="0" collapsed="false">
      <c r="A2460" s="3" t="s">
        <v>528</v>
      </c>
      <c r="B2460" s="0" t="s">
        <v>69</v>
      </c>
      <c r="D2460" s="21" t="n">
        <f aca="false">a26_ship/cap_26</f>
        <v>0.870578781414787</v>
      </c>
      <c r="E2460" s="21" t="n">
        <f aca="false">MIN(0.98,ut27_C+ut_adj)</f>
        <v>0.82</v>
      </c>
      <c r="F2460" s="21" t="n">
        <f aca="false">MIN(0.98,ut28_C+ut_adj)</f>
        <v>0.76</v>
      </c>
      <c r="G2460" s="21" t="n">
        <f aca="false">MIN(0.98,ut29_C+ut_adj)</f>
        <v>0.8</v>
      </c>
    </row>
    <row r="2461" customFormat="false" ht="17.15" hidden="false" customHeight="false" outlineLevel="0" collapsed="false">
      <c r="A2461" s="3" t="s">
        <v>529</v>
      </c>
      <c r="B2461" s="3" t="s">
        <v>64</v>
      </c>
      <c r="D2461" s="22" t="n">
        <f aca="false">D2459*D2460</f>
        <v>4553.53490998013</v>
      </c>
      <c r="E2461" s="22" t="n">
        <f aca="false">E2459*E2460</f>
        <v>4460.54355347409</v>
      </c>
      <c r="F2461" s="22" t="n">
        <f aca="false">F2459*F2460</f>
        <v>4423.55368010381</v>
      </c>
      <c r="G2461" s="22" t="n">
        <f aca="false">G2459*G2460</f>
        <v>4982.31835548535</v>
      </c>
    </row>
    <row r="2462" customFormat="false" ht="17.15" hidden="false" customHeight="false" outlineLevel="0" collapsed="false">
      <c r="A2462" s="3" t="s">
        <v>530</v>
      </c>
      <c r="B2462" s="0" t="s">
        <v>109</v>
      </c>
      <c r="D2462" s="22" t="n">
        <f aca="false">asp_26</f>
        <v>1878.17486396824</v>
      </c>
      <c r="E2462" s="22" t="n">
        <f aca="false">D2462*(1+asp27_C)*(1+asp_adj)</f>
        <v>1878.17486396824</v>
      </c>
      <c r="F2462" s="22" t="n">
        <f aca="false">E2462*(1+asp28_C)</f>
        <v>1765.48437213015</v>
      </c>
      <c r="G2462" s="22" t="n">
        <f aca="false">F2462*(1+asp29_C)</f>
        <v>1712.51984096625</v>
      </c>
    </row>
    <row r="2463" customFormat="false" ht="15" hidden="false" customHeight="false" outlineLevel="0" collapsed="false">
      <c r="A2463" s="3" t="s">
        <v>531</v>
      </c>
      <c r="B2463" s="0" t="s">
        <v>69</v>
      </c>
      <c r="E2463" s="21" t="n">
        <f aca="false">E2462/D2462-1</f>
        <v>0</v>
      </c>
      <c r="F2463" s="21" t="n">
        <f aca="false">F2462/E2462-1</f>
        <v>-0.0599999999999999</v>
      </c>
      <c r="G2463" s="21" t="n">
        <f aca="false">G2462/F2462-1</f>
        <v>-0.0299999999999999</v>
      </c>
    </row>
    <row r="2464" customFormat="false" ht="15" hidden="false" customHeight="false" outlineLevel="0" collapsed="false">
      <c r="A2464" s="3" t="s">
        <v>532</v>
      </c>
      <c r="B2464" s="0" t="s">
        <v>35</v>
      </c>
      <c r="D2464" s="23" t="n">
        <f aca="false">fx_26</f>
        <v>31.6</v>
      </c>
      <c r="E2464" s="23" t="n">
        <f aca="false">fx</f>
        <v>32</v>
      </c>
      <c r="F2464" s="23" t="n">
        <f aca="false">fx</f>
        <v>32</v>
      </c>
      <c r="G2464" s="23" t="n">
        <f aca="false">fx</f>
        <v>32</v>
      </c>
    </row>
    <row r="2465" customFormat="false" ht="17.15" hidden="false" customHeight="false" outlineLevel="0" collapsed="false">
      <c r="A2465" s="3" t="s">
        <v>533</v>
      </c>
      <c r="B2465" s="0" t="s">
        <v>181</v>
      </c>
      <c r="D2465" s="23" t="n">
        <f aca="false">D2461*D2462*D2464/1000000</f>
        <v>270.25378</v>
      </c>
      <c r="E2465" s="23" t="n">
        <f aca="false">E2461*E2462*E2464/1000000</f>
        <v>268.08578501666</v>
      </c>
      <c r="F2465" s="23" t="n">
        <f aca="false">F2461*F2462*F2464/1000000</f>
        <v>249.910876528067</v>
      </c>
      <c r="G2465" s="23" t="n">
        <f aca="false">G2461*G2462*G2464/1000000</f>
        <v>273.034209208927</v>
      </c>
    </row>
    <row r="2466" customFormat="false" ht="17.15" hidden="false" customHeight="false" outlineLevel="0" collapsed="false">
      <c r="A2466" s="5" t="s">
        <v>534</v>
      </c>
    </row>
    <row r="2467" customFormat="false" ht="17.15" hidden="false" customHeight="false" outlineLevel="0" collapsed="false">
      <c r="A2467" s="0" t="s">
        <v>535</v>
      </c>
      <c r="B2467" s="0" t="s">
        <v>138</v>
      </c>
      <c r="D2467" s="25" t="n">
        <f aca="false">ai_26</f>
        <v>0.3</v>
      </c>
      <c r="E2467" s="25" t="n">
        <f aca="false">D2467*(1+aig27_C)*ai_adj</f>
        <v>0.36</v>
      </c>
      <c r="F2467" s="25" t="n">
        <f aca="false">E2467*(1+aig_L)*um28_C</f>
        <v>0.3132</v>
      </c>
      <c r="G2467" s="25" t="n">
        <f aca="false">F2467/um28_C*(1+aig_L)*um29_C</f>
        <v>0.45414</v>
      </c>
    </row>
    <row r="2468" customFormat="false" ht="17.15" hidden="false" customHeight="false" outlineLevel="0" collapsed="false">
      <c r="A2468" s="0" t="s">
        <v>536</v>
      </c>
      <c r="B2468" s="0" t="s">
        <v>181</v>
      </c>
      <c r="D2468" s="23" t="n">
        <f aca="false">D2467*D2464</f>
        <v>9.48</v>
      </c>
      <c r="E2468" s="23" t="n">
        <f aca="false">E2467*E2464</f>
        <v>11.52</v>
      </c>
      <c r="F2468" s="23" t="n">
        <f aca="false">F2467*F2464</f>
        <v>10.0224</v>
      </c>
      <c r="G2468" s="23" t="n">
        <f aca="false">G2467*G2464</f>
        <v>14.53248</v>
      </c>
    </row>
    <row r="2469" customFormat="false" ht="17.15" hidden="false" customHeight="false" outlineLevel="0" collapsed="false">
      <c r="A2469" s="0" t="s">
        <v>537</v>
      </c>
      <c r="B2469" s="0" t="s">
        <v>138</v>
      </c>
      <c r="D2469" s="25" t="n">
        <f aca="false">0</f>
        <v>0</v>
      </c>
      <c r="E2469" s="25" t="n">
        <f aca="false">int_27</f>
        <v>0</v>
      </c>
      <c r="F2469" s="25" t="n">
        <f aca="false">int28_C</f>
        <v>0</v>
      </c>
      <c r="G2469" s="25" t="n">
        <f aca="false">int29_C</f>
        <v>0.08</v>
      </c>
    </row>
    <row r="2470" customFormat="false" ht="17.15" hidden="false" customHeight="false" outlineLevel="0" collapsed="false">
      <c r="A2470" s="0" t="s">
        <v>538</v>
      </c>
      <c r="B2470" s="0" t="s">
        <v>181</v>
      </c>
      <c r="D2470" s="23" t="n">
        <f aca="false">D2469*D2464</f>
        <v>0</v>
      </c>
      <c r="E2470" s="23" t="n">
        <f aca="false">E2469*E2464</f>
        <v>0</v>
      </c>
      <c r="F2470" s="23" t="n">
        <f aca="false">F2469*F2464</f>
        <v>0</v>
      </c>
      <c r="G2470" s="23" t="n">
        <f aca="false">G2469*G2464</f>
        <v>2.56</v>
      </c>
    </row>
    <row r="2471" customFormat="false" ht="17.15" hidden="false" customHeight="false" outlineLevel="0" collapsed="false">
      <c r="A2471" s="3" t="s">
        <v>393</v>
      </c>
      <c r="B2471" s="0" t="s">
        <v>181</v>
      </c>
      <c r="C2471" s="23" t="n">
        <f aca="false">a25_rev</f>
        <v>237.553</v>
      </c>
      <c r="D2471" s="23" t="n">
        <f aca="false">D2465+D2468+D2470</f>
        <v>279.73378</v>
      </c>
      <c r="E2471" s="23" t="n">
        <f aca="false">E2465+E2468+E2470</f>
        <v>279.60578501666</v>
      </c>
      <c r="F2471" s="23" t="n">
        <f aca="false">F2465+F2468+F2470</f>
        <v>259.933276528067</v>
      </c>
      <c r="G2471" s="23" t="n">
        <f aca="false">G2465+G2468+G2470</f>
        <v>290.126689208927</v>
      </c>
      <c r="H2471" s="30" t="n">
        <f aca="false">G2471*(1+H2473)</f>
        <v>314.527952983075</v>
      </c>
      <c r="I2471" s="30" t="n">
        <f aca="false">H2471*(1+I2473)</f>
        <v>330.900005213497</v>
      </c>
      <c r="J2471" s="30" t="n">
        <f aca="false">I2471*(1+J2473)</f>
        <v>337.518005317767</v>
      </c>
      <c r="K2471" s="7" t="s">
        <v>539</v>
      </c>
    </row>
    <row r="2472" customFormat="false" ht="17.15" hidden="false" customHeight="false" outlineLevel="0" collapsed="false">
      <c r="A2472" s="0" t="s">
        <v>540</v>
      </c>
      <c r="B2472" s="0" t="s">
        <v>69</v>
      </c>
      <c r="D2472" s="21" t="n">
        <f aca="false">D2468/D2471</f>
        <v>0.0338893643806622</v>
      </c>
      <c r="E2472" s="21" t="n">
        <f aca="false">E2468/E2471</f>
        <v>0.0412008642786615</v>
      </c>
      <c r="F2472" s="21" t="n">
        <f aca="false">F2468/F2471</f>
        <v>0.0385575872926674</v>
      </c>
      <c r="G2472" s="21" t="n">
        <f aca="false">G2468/G2471</f>
        <v>0.0500901176642002</v>
      </c>
    </row>
    <row r="2473" customFormat="false" ht="15" hidden="false" customHeight="false" outlineLevel="0" collapsed="false">
      <c r="A2473" s="3" t="s">
        <v>541</v>
      </c>
      <c r="B2473" s="0" t="s">
        <v>69</v>
      </c>
      <c r="D2473" s="21" t="n">
        <f aca="false">D2471/C2471-1</f>
        <v>0.177563659478096</v>
      </c>
      <c r="E2473" s="21" t="n">
        <f aca="false">E2471/D2471-1</f>
        <v>-0.000457559981995259</v>
      </c>
      <c r="F2473" s="21" t="n">
        <f aca="false">F2471/E2471-1</f>
        <v>-0.0703580166891779</v>
      </c>
      <c r="G2473" s="21" t="n">
        <f aca="false">G2471/F2471-1</f>
        <v>0.116158319874062</v>
      </c>
      <c r="H2473" s="28" t="n">
        <f aca="false">$G2473+(fade_gC-$G2473)*1/3</f>
        <v>0.0841055465827078</v>
      </c>
      <c r="I2473" s="28" t="n">
        <f aca="false">$G2473+(fade_gC-$G2473)*2/3</f>
        <v>0.0520527732913539</v>
      </c>
      <c r="J2473" s="28" t="n">
        <f aca="false">$G2473+(fade_gC-$G2473)*3/3</f>
        <v>0.02</v>
      </c>
    </row>
    <row r="2474" customFormat="false" ht="17.15" hidden="false" customHeight="false" outlineLevel="0" collapsed="false">
      <c r="A2474" s="5" t="s">
        <v>542</v>
      </c>
    </row>
    <row r="2475" customFormat="false" ht="15" hidden="false" customHeight="false" outlineLevel="0" collapsed="false">
      <c r="A2475" s="3" t="s">
        <v>543</v>
      </c>
      <c r="B2475" s="0" t="s">
        <v>181</v>
      </c>
      <c r="D2475" s="23" t="n">
        <f aca="false">da_tot26*da_sh</f>
        <v>56.172</v>
      </c>
      <c r="E2475" s="23" t="n">
        <f aca="false">D2475*(1+dag_27+dag_adj)</f>
        <v>62.91264</v>
      </c>
      <c r="F2475" s="23" t="n">
        <f aca="false">E2475*(1+dag_28+dag_adj)</f>
        <v>69.203904</v>
      </c>
      <c r="G2475" s="23" t="n">
        <f aca="false">F2475*(1+dag_29+dag_adj)</f>
        <v>74.74021632</v>
      </c>
    </row>
    <row r="2476" customFormat="false" ht="17.15" hidden="false" customHeight="false" outlineLevel="0" collapsed="false">
      <c r="A2476" s="3" t="s">
        <v>544</v>
      </c>
      <c r="B2476" s="0" t="s">
        <v>545</v>
      </c>
      <c r="D2476" s="23" t="n">
        <f aca="false">(D2471-a26_gp-D2475-(1-m_new_lo)*(D2468+D2470))/D2461*1000</f>
        <v>27.7383828820917</v>
      </c>
      <c r="E2476" s="23" t="n">
        <f aca="false">D2476*(1+cc_g)</f>
        <v>28.2931505397336</v>
      </c>
      <c r="F2476" s="23" t="n">
        <f aca="false">E2476*(1+cc_g)</f>
        <v>28.8590135505283</v>
      </c>
      <c r="G2476" s="23" t="n">
        <f aca="false">F2476*(1+cc_g)</f>
        <v>29.4361938215388</v>
      </c>
      <c r="K2476" s="7" t="s">
        <v>546</v>
      </c>
    </row>
    <row r="2477" customFormat="false" ht="17.15" hidden="false" customHeight="false" outlineLevel="0" collapsed="false">
      <c r="A2477" s="3" t="s">
        <v>547</v>
      </c>
      <c r="B2477" s="0" t="s">
        <v>181</v>
      </c>
      <c r="D2477" s="23" t="n">
        <f aca="false">D2476*D2461/1000</f>
        <v>126.3076948</v>
      </c>
      <c r="E2477" s="23" t="n">
        <f aca="false">E2476*E2461/1000</f>
        <v>126.20283024748</v>
      </c>
      <c r="F2477" s="23" t="n">
        <f aca="false">F2476*F2461/1000</f>
        <v>127.659395595605</v>
      </c>
      <c r="G2477" s="23" t="n">
        <f aca="false">G2476*G2461/1000</f>
        <v>146.660488792677</v>
      </c>
    </row>
    <row r="2478" customFormat="false" ht="17.15" hidden="false" customHeight="false" outlineLevel="0" collapsed="false">
      <c r="A2478" s="3" t="s">
        <v>548</v>
      </c>
      <c r="B2478" s="0" t="s">
        <v>181</v>
      </c>
      <c r="D2478" s="23" t="n">
        <f aca="false">m_new_lo*(D2468+D2470)</f>
        <v>3.318</v>
      </c>
      <c r="E2478" s="23" t="n">
        <f aca="false">m_new_lo*(E2468+E2470)</f>
        <v>4.032</v>
      </c>
      <c r="F2478" s="23" t="n">
        <f aca="false">m_new_lo*(F2468+F2470)</f>
        <v>3.50784</v>
      </c>
      <c r="G2478" s="23" t="n">
        <f aca="false">m_new_lo*(G2468+G2470)</f>
        <v>5.982368</v>
      </c>
    </row>
    <row r="2479" customFormat="false" ht="15" hidden="false" customHeight="false" outlineLevel="0" collapsed="false">
      <c r="A2479" s="3" t="s">
        <v>411</v>
      </c>
      <c r="B2479" s="0" t="s">
        <v>181</v>
      </c>
      <c r="C2479" s="23" t="n">
        <f aca="false">a25_gp</f>
        <v>68.906</v>
      </c>
      <c r="D2479" s="23" t="n">
        <f aca="false">D2465-D2475-D2477+D2478</f>
        <v>91.0920852</v>
      </c>
      <c r="E2479" s="23" t="n">
        <f aca="false">E2465-E2475-E2477+E2478</f>
        <v>83.0023147691793</v>
      </c>
      <c r="F2479" s="23" t="n">
        <f aca="false">F2465-F2475-F2477+F2478</f>
        <v>56.5554169324619</v>
      </c>
      <c r="G2479" s="23" t="n">
        <f aca="false">G2465-G2475-G2477+G2478</f>
        <v>57.6158720962498</v>
      </c>
    </row>
    <row r="2480" customFormat="false" ht="15" hidden="false" customHeight="false" outlineLevel="0" collapsed="false">
      <c r="A2480" s="3" t="s">
        <v>413</v>
      </c>
      <c r="B2480" s="0" t="s">
        <v>69</v>
      </c>
      <c r="C2480" s="15" t="n">
        <f aca="false">C2479/C2471</f>
        <v>0.290065795843454</v>
      </c>
      <c r="D2480" s="15" t="n">
        <f aca="false">D2479/D2471</f>
        <v>0.325638488136828</v>
      </c>
      <c r="E2480" s="15" t="n">
        <f aca="false">E2479/E2471</f>
        <v>0.296854783473932</v>
      </c>
      <c r="F2480" s="15" t="n">
        <f aca="false">F2479/F2471</f>
        <v>0.217576670782108</v>
      </c>
      <c r="G2480" s="15" t="n">
        <f aca="false">G2479/G2471</f>
        <v>0.198588665707895</v>
      </c>
    </row>
    <row r="2481" customFormat="false" ht="15" hidden="false" customHeight="false" outlineLevel="0" collapsed="false">
      <c r="A2481" s="3" t="s">
        <v>415</v>
      </c>
      <c r="B2481" s="0" t="s">
        <v>181</v>
      </c>
      <c r="C2481" s="23" t="n">
        <f aca="false">a25_opx</f>
        <v>25.056</v>
      </c>
      <c r="D2481" s="23" t="n">
        <f aca="false">a26_opx</f>
        <v>27.23586</v>
      </c>
      <c r="E2481" s="23" t="n">
        <f aca="false">D2481*(1+MAX(g_opx_min,phi*E2473))</f>
        <v>28.0529358</v>
      </c>
      <c r="F2481" s="23" t="n">
        <f aca="false">E2481*(1+MAX(g_opx_min,phi*F2473))</f>
        <v>28.894523874</v>
      </c>
      <c r="G2481" s="23" t="n">
        <f aca="false">F2481*(1+MAX(g_opx_min,phi*G2473))</f>
        <v>30.5726935473824</v>
      </c>
    </row>
    <row r="2482" customFormat="false" ht="15" hidden="false" customHeight="false" outlineLevel="0" collapsed="false">
      <c r="A2482" s="3" t="s">
        <v>418</v>
      </c>
      <c r="B2482" s="0" t="s">
        <v>181</v>
      </c>
      <c r="C2482" s="23" t="n">
        <f aca="false">C2479-C2481</f>
        <v>43.85</v>
      </c>
      <c r="D2482" s="23" t="n">
        <f aca="false">D2479-D2481</f>
        <v>63.8562252</v>
      </c>
      <c r="E2482" s="23" t="n">
        <f aca="false">E2479-E2481</f>
        <v>54.9493789691793</v>
      </c>
      <c r="F2482" s="23" t="n">
        <f aca="false">F2479-F2481</f>
        <v>27.6608930584619</v>
      </c>
      <c r="G2482" s="23" t="n">
        <f aca="false">G2479-G2481</f>
        <v>27.0431785488674</v>
      </c>
    </row>
    <row r="2483" customFormat="false" ht="15" hidden="false" customHeight="false" outlineLevel="0" collapsed="false">
      <c r="A2483" s="3" t="s">
        <v>515</v>
      </c>
      <c r="B2483" s="0" t="s">
        <v>69</v>
      </c>
      <c r="C2483" s="15" t="n">
        <f aca="false">C2482/C2471</f>
        <v>0.184590386145408</v>
      </c>
      <c r="D2483" s="15" t="n">
        <f aca="false">D2482/D2471</f>
        <v>0.228274987740129</v>
      </c>
      <c r="E2483" s="15" t="n">
        <f aca="false">E2482/E2471</f>
        <v>0.196524470929331</v>
      </c>
      <c r="F2483" s="15" t="n">
        <f aca="false">F2482/F2471</f>
        <v>0.106415359464278</v>
      </c>
      <c r="G2483" s="15" t="n">
        <f aca="false">G2482/G2471</f>
        <v>0.0932116194570193</v>
      </c>
    </row>
    <row r="2484" customFormat="false" ht="15" hidden="false" customHeight="false" outlineLevel="0" collapsed="false">
      <c r="A2484" s="3" t="s">
        <v>421</v>
      </c>
      <c r="B2484" s="0" t="s">
        <v>181</v>
      </c>
      <c r="C2484" s="23" t="n">
        <f aca="false">a25_nonop</f>
        <v>5.805</v>
      </c>
      <c r="D2484" s="23" t="n">
        <f aca="false">a26_nonop</f>
        <v>38.372</v>
      </c>
      <c r="E2484" s="23" t="n">
        <f aca="false">nonop_f</f>
        <v>4</v>
      </c>
      <c r="F2484" s="23" t="n">
        <f aca="false">nonop_f</f>
        <v>4</v>
      </c>
      <c r="G2484" s="23" t="n">
        <f aca="false">nonop_f</f>
        <v>4</v>
      </c>
    </row>
    <row r="2485" customFormat="false" ht="15" hidden="false" customHeight="false" outlineLevel="0" collapsed="false">
      <c r="A2485" s="3" t="s">
        <v>423</v>
      </c>
      <c r="B2485" s="0" t="s">
        <v>181</v>
      </c>
      <c r="C2485" s="23" t="n">
        <f aca="false">C2482+C2484</f>
        <v>49.655</v>
      </c>
      <c r="D2485" s="23" t="n">
        <f aca="false">D2482+D2484</f>
        <v>102.2282252</v>
      </c>
      <c r="E2485" s="23" t="n">
        <f aca="false">E2482+E2484</f>
        <v>58.9493789691793</v>
      </c>
      <c r="F2485" s="23" t="n">
        <f aca="false">F2482+F2484</f>
        <v>31.6608930584619</v>
      </c>
      <c r="G2485" s="23" t="n">
        <f aca="false">G2482+G2484</f>
        <v>31.0431785488674</v>
      </c>
    </row>
    <row r="2486" customFormat="false" ht="15" hidden="false" customHeight="false" outlineLevel="0" collapsed="false">
      <c r="A2486" s="3" t="s">
        <v>425</v>
      </c>
      <c r="B2486" s="0" t="s">
        <v>181</v>
      </c>
      <c r="C2486" s="23" t="n">
        <f aca="false">a25_tax</f>
        <v>7.939</v>
      </c>
      <c r="D2486" s="23" t="n">
        <f aca="false">a26_tax</f>
        <v>10.493828284</v>
      </c>
      <c r="E2486" s="23" t="n">
        <f aca="false">E2485*tax</f>
        <v>8.8424068453769</v>
      </c>
      <c r="F2486" s="23" t="n">
        <f aca="false">F2485*tax</f>
        <v>4.74913395876928</v>
      </c>
      <c r="G2486" s="23" t="n">
        <f aca="false">G2485*tax</f>
        <v>4.65647678233011</v>
      </c>
    </row>
    <row r="2487" customFormat="false" ht="17.15" hidden="false" customHeight="false" outlineLevel="0" collapsed="false">
      <c r="A2487" s="3" t="s">
        <v>549</v>
      </c>
      <c r="B2487" s="0" t="s">
        <v>181</v>
      </c>
      <c r="C2487" s="23" t="n">
        <f aca="false">a25_mi</f>
        <v>0</v>
      </c>
      <c r="D2487" s="23" t="n">
        <f aca="false">a26_mi</f>
        <v>-0.134999999999987</v>
      </c>
      <c r="E2487" s="23" t="n">
        <f aca="false">0</f>
        <v>0</v>
      </c>
      <c r="F2487" s="23" t="n">
        <f aca="false">0</f>
        <v>0</v>
      </c>
      <c r="G2487" s="23" t="n">
        <f aca="false">0</f>
        <v>0</v>
      </c>
      <c r="K2487" s="7" t="s">
        <v>550</v>
      </c>
    </row>
    <row r="2488" customFormat="false" ht="15" hidden="false" customHeight="false" outlineLevel="0" collapsed="false">
      <c r="A2488" s="3" t="s">
        <v>428</v>
      </c>
      <c r="B2488" s="0" t="s">
        <v>181</v>
      </c>
      <c r="C2488" s="23" t="n">
        <f aca="false">C2485-C2486-C2487</f>
        <v>41.716</v>
      </c>
      <c r="D2488" s="23" t="n">
        <f aca="false">D2485-D2486-D2487</f>
        <v>91.869396916</v>
      </c>
      <c r="E2488" s="23" t="n">
        <f aca="false">E2485-E2486-E2487</f>
        <v>50.1069721238024</v>
      </c>
      <c r="F2488" s="23" t="n">
        <f aca="false">F2485-F2486-F2487</f>
        <v>26.9117590996926</v>
      </c>
      <c r="G2488" s="23" t="n">
        <f aca="false">G2485-G2486-G2487</f>
        <v>26.3867017665373</v>
      </c>
      <c r="H2488" s="30" t="n">
        <f aca="false">H2471*H2492</f>
        <v>26.6989050917184</v>
      </c>
      <c r="I2488" s="30" t="n">
        <f aca="false">I2471*I2492</f>
        <v>26.0823244923289</v>
      </c>
      <c r="J2488" s="30" t="n">
        <f aca="false">J2471*J2492</f>
        <v>24.5575116758543</v>
      </c>
    </row>
    <row r="2489" customFormat="false" ht="15" hidden="false" customHeight="false" outlineLevel="0" collapsed="false">
      <c r="A2489" s="3" t="s">
        <v>551</v>
      </c>
      <c r="B2489" s="3" t="s">
        <v>250</v>
      </c>
      <c r="C2489" s="9" t="n">
        <f aca="false">a25_sh</f>
        <v>12.4898203592814</v>
      </c>
      <c r="D2489" s="9" t="n">
        <f aca="false">a26_sh</f>
        <v>12.4754339027235</v>
      </c>
      <c r="E2489" s="9" t="n">
        <f aca="false">q_sh*(1+sh_g)</f>
        <v>12.45</v>
      </c>
      <c r="F2489" s="9" t="n">
        <f aca="false">E2489*(1+sh_g)</f>
        <v>12.45</v>
      </c>
      <c r="G2489" s="9" t="n">
        <f aca="false">F2489*(1+sh_g)</f>
        <v>12.45</v>
      </c>
      <c r="H2489" s="32" t="n">
        <f aca="false">G2489*(1+sh_g)</f>
        <v>12.45</v>
      </c>
      <c r="I2489" s="32" t="n">
        <f aca="false">H2489*(1+sh_g)</f>
        <v>12.45</v>
      </c>
      <c r="J2489" s="32" t="n">
        <f aca="false">I2489*(1+sh_g)</f>
        <v>12.45</v>
      </c>
    </row>
    <row r="2490" customFormat="false" ht="17.15" hidden="false" customHeight="false" outlineLevel="0" collapsed="false">
      <c r="A2490" s="0" t="s">
        <v>434</v>
      </c>
      <c r="B2490" s="0" t="s">
        <v>260</v>
      </c>
      <c r="C2490" s="23" t="n">
        <f aca="false">C2488/C2489</f>
        <v>3.34</v>
      </c>
      <c r="D2490" s="23" t="n">
        <f aca="false">D2488/D2489</f>
        <v>7.36402418002827</v>
      </c>
      <c r="E2490" s="23" t="n">
        <f aca="false">E2488/E2489</f>
        <v>4.02465639548614</v>
      </c>
      <c r="F2490" s="23" t="n">
        <f aca="false">F2488/F2489</f>
        <v>2.16158707628053</v>
      </c>
      <c r="G2490" s="23" t="n">
        <f aca="false">G2488/G2489</f>
        <v>2.11941379650902</v>
      </c>
      <c r="H2490" s="30" t="n">
        <f aca="false">H2488/H2489</f>
        <v>2.14449036881272</v>
      </c>
      <c r="I2490" s="30" t="n">
        <f aca="false">I2488/I2489</f>
        <v>2.09496582267702</v>
      </c>
      <c r="J2490" s="30" t="n">
        <f aca="false">J2488/J2489</f>
        <v>1.97249089765898</v>
      </c>
    </row>
    <row r="2491" customFormat="false" ht="17.15" hidden="false" customHeight="false" outlineLevel="0" collapsed="false">
      <c r="A2491" s="0" t="s">
        <v>552</v>
      </c>
      <c r="B2491" s="0" t="s">
        <v>69</v>
      </c>
      <c r="D2491" s="21" t="n">
        <f aca="false">D2490/C2490-1</f>
        <v>1.2047976586911</v>
      </c>
      <c r="E2491" s="21" t="n">
        <f aca="false">E2490/D2490-1</f>
        <v>-0.453470507823524</v>
      </c>
      <c r="F2491" s="21" t="n">
        <f aca="false">F2490/E2490-1</f>
        <v>-0.462913882858457</v>
      </c>
      <c r="G2491" s="21" t="n">
        <f aca="false">G2490/F2490-1</f>
        <v>-0.0195103311979815</v>
      </c>
      <c r="H2491" s="28" t="n">
        <f aca="false">H2490/G2490-1</f>
        <v>0.011831843477194</v>
      </c>
      <c r="I2491" s="28" t="n">
        <f aca="false">I2490/H2490-1</f>
        <v>-0.0230938533723142</v>
      </c>
      <c r="J2491" s="28" t="n">
        <f aca="false">J2490/I2490-1</f>
        <v>-0.0584615384615387</v>
      </c>
    </row>
    <row r="2492" customFormat="false" ht="17.15" hidden="false" customHeight="false" outlineLevel="0" collapsed="false">
      <c r="A2492" s="3" t="s">
        <v>553</v>
      </c>
      <c r="B2492" s="0" t="s">
        <v>69</v>
      </c>
      <c r="C2492" s="15" t="n">
        <f aca="false">C2488/C2471</f>
        <v>0.175607127672562</v>
      </c>
      <c r="D2492" s="15" t="n">
        <f aca="false">D2488/D2471</f>
        <v>0.328417243409073</v>
      </c>
      <c r="E2492" s="15" t="n">
        <f aca="false">E2488/E2471</f>
        <v>0.179205777594397</v>
      </c>
      <c r="F2492" s="15" t="n">
        <f aca="false">F2488/F2471</f>
        <v>0.103533335397273</v>
      </c>
      <c r="G2492" s="15" t="n">
        <f aca="false">G2488/G2471</f>
        <v>0.0909488949068578</v>
      </c>
      <c r="H2492" s="29" t="n">
        <f aca="false">$G2492+($G$2492*0.8-$G2492)*1/3</f>
        <v>0.0848856352464006</v>
      </c>
      <c r="I2492" s="29" t="n">
        <f aca="false">$G2492+($G$2492*0.8-$G2492)*2/3</f>
        <v>0.0788223755859434</v>
      </c>
      <c r="J2492" s="29" t="n">
        <f aca="false">$G2492+($G$2492*0.8-$G2492)*3/3</f>
        <v>0.0727591159254862</v>
      </c>
    </row>
    <row r="2495" customFormat="false" ht="17.15" hidden="false" customHeight="false" outlineLevel="0" collapsed="false">
      <c r="A2495" s="1" t="s">
        <v>900</v>
      </c>
    </row>
    <row r="2496" customFormat="false" ht="17.15" hidden="false" customHeight="false" outlineLevel="0" collapsed="false">
      <c r="A2496" s="4" t="s">
        <v>24</v>
      </c>
      <c r="B2496" s="4" t="s">
        <v>25</v>
      </c>
      <c r="C2496" s="16" t="s">
        <v>387</v>
      </c>
      <c r="D2496" s="16" t="s">
        <v>505</v>
      </c>
      <c r="E2496" s="16" t="s">
        <v>467</v>
      </c>
      <c r="F2496" s="16" t="s">
        <v>468</v>
      </c>
      <c r="G2496" s="16" t="s">
        <v>469</v>
      </c>
      <c r="H2496" s="16" t="s">
        <v>506</v>
      </c>
      <c r="I2496" s="16" t="s">
        <v>507</v>
      </c>
      <c r="J2496" s="16" t="s">
        <v>508</v>
      </c>
      <c r="K2496" s="4" t="s">
        <v>345</v>
      </c>
    </row>
    <row r="2497" customFormat="false" ht="17.15" hidden="false" customHeight="false" outlineLevel="0" collapsed="false">
      <c r="A2497" s="5" t="s">
        <v>526</v>
      </c>
    </row>
    <row r="2498" customFormat="false" ht="17.15" hidden="false" customHeight="false" outlineLevel="0" collapsed="false">
      <c r="A2498" s="3" t="s">
        <v>527</v>
      </c>
      <c r="B2498" s="3" t="s">
        <v>64</v>
      </c>
      <c r="D2498" s="22" t="n">
        <f aca="false">cap_26</f>
        <v>5230.46851955216</v>
      </c>
      <c r="E2498" s="22" t="n">
        <f aca="false">D2498*(1+capg27)*cap_adj</f>
        <v>5439.68726033425</v>
      </c>
      <c r="F2498" s="22" t="n">
        <f aca="false">E2498*(1+capg28)</f>
        <v>5820.46536855765</v>
      </c>
      <c r="G2498" s="22" t="n">
        <f aca="false">F2498*(1+capg29)</f>
        <v>6227.89794435668</v>
      </c>
    </row>
    <row r="2499" customFormat="false" ht="15" hidden="false" customHeight="false" outlineLevel="0" collapsed="false">
      <c r="A2499" s="3" t="s">
        <v>528</v>
      </c>
      <c r="B2499" s="0" t="s">
        <v>69</v>
      </c>
      <c r="D2499" s="21" t="n">
        <f aca="false">a26_ship/cap_26</f>
        <v>0.870578781414787</v>
      </c>
      <c r="E2499" s="21" t="n">
        <f aca="false">MIN(0.98,ut27_A+ut_adj)</f>
        <v>0.95</v>
      </c>
      <c r="F2499" s="21" t="n">
        <f aca="false">MIN(0.98,ut28_A+ut_adj)</f>
        <v>0.94</v>
      </c>
      <c r="G2499" s="21" t="n">
        <f aca="false">MIN(0.98,ut29_A+ut_adj)</f>
        <v>0.93</v>
      </c>
    </row>
    <row r="2500" customFormat="false" ht="17.15" hidden="false" customHeight="false" outlineLevel="0" collapsed="false">
      <c r="A2500" s="3" t="s">
        <v>529</v>
      </c>
      <c r="B2500" s="3" t="s">
        <v>64</v>
      </c>
      <c r="D2500" s="22" t="n">
        <f aca="false">D2498*D2499</f>
        <v>4553.53490998013</v>
      </c>
      <c r="E2500" s="22" t="n">
        <f aca="false">E2498*E2499</f>
        <v>5167.70289731754</v>
      </c>
      <c r="F2500" s="22" t="n">
        <f aca="false">F2498*F2499</f>
        <v>5471.23744644419</v>
      </c>
      <c r="G2500" s="22" t="n">
        <f aca="false">G2498*G2499</f>
        <v>5791.94508825172</v>
      </c>
    </row>
    <row r="2501" customFormat="false" ht="17.15" hidden="false" customHeight="false" outlineLevel="0" collapsed="false">
      <c r="A2501" s="3" t="s">
        <v>530</v>
      </c>
      <c r="B2501" s="0" t="s">
        <v>109</v>
      </c>
      <c r="D2501" s="22" t="n">
        <f aca="false">asp_26</f>
        <v>1878.17486396824</v>
      </c>
      <c r="E2501" s="22" t="n">
        <f aca="false">D2501*(1+asp27_A)*(1+asp_adj)</f>
        <v>2065.99235036507</v>
      </c>
      <c r="F2501" s="22" t="n">
        <f aca="false">E2501*(1+asp28_A)</f>
        <v>2127.97212087602</v>
      </c>
      <c r="G2501" s="22" t="n">
        <f aca="false">F2501*(1+asp29_A)</f>
        <v>2170.53156329354</v>
      </c>
    </row>
    <row r="2502" customFormat="false" ht="15" hidden="false" customHeight="false" outlineLevel="0" collapsed="false">
      <c r="A2502" s="3" t="s">
        <v>531</v>
      </c>
      <c r="B2502" s="0" t="s">
        <v>69</v>
      </c>
      <c r="E2502" s="21" t="n">
        <f aca="false">E2501/D2501-1</f>
        <v>0.1</v>
      </c>
      <c r="F2502" s="21" t="n">
        <f aca="false">F2501/E2501-1</f>
        <v>0.03</v>
      </c>
      <c r="G2502" s="21" t="n">
        <f aca="false">G2501/F2501-1</f>
        <v>0.02</v>
      </c>
    </row>
    <row r="2503" customFormat="false" ht="15" hidden="false" customHeight="false" outlineLevel="0" collapsed="false">
      <c r="A2503" s="3" t="s">
        <v>532</v>
      </c>
      <c r="B2503" s="0" t="s">
        <v>35</v>
      </c>
      <c r="D2503" s="23" t="n">
        <f aca="false">fx_26</f>
        <v>31.6</v>
      </c>
      <c r="E2503" s="23" t="n">
        <f aca="false">fx</f>
        <v>32</v>
      </c>
      <c r="F2503" s="23" t="n">
        <f aca="false">fx</f>
        <v>32</v>
      </c>
      <c r="G2503" s="23" t="n">
        <f aca="false">fx</f>
        <v>32</v>
      </c>
    </row>
    <row r="2504" customFormat="false" ht="17.15" hidden="false" customHeight="false" outlineLevel="0" collapsed="false">
      <c r="A2504" s="3" t="s">
        <v>533</v>
      </c>
      <c r="B2504" s="0" t="s">
        <v>181</v>
      </c>
      <c r="D2504" s="23" t="n">
        <f aca="false">D2500*D2501*D2503/1000000</f>
        <v>270.25378</v>
      </c>
      <c r="E2504" s="23" t="n">
        <f aca="false">E2500*E2501*E2503/1000000</f>
        <v>341.645908954158</v>
      </c>
      <c r="F2504" s="23" t="n">
        <f aca="false">F2500*F2501*F2503/1000000</f>
        <v>372.564504087237</v>
      </c>
      <c r="G2504" s="23" t="n">
        <f aca="false">G2500*G2501*G2503/1000000</f>
        <v>402.291188061227</v>
      </c>
    </row>
    <row r="2505" customFormat="false" ht="17.15" hidden="false" customHeight="false" outlineLevel="0" collapsed="false">
      <c r="A2505" s="5" t="s">
        <v>534</v>
      </c>
    </row>
    <row r="2506" customFormat="false" ht="17.15" hidden="false" customHeight="false" outlineLevel="0" collapsed="false">
      <c r="A2506" s="0" t="s">
        <v>535</v>
      </c>
      <c r="B2506" s="0" t="s">
        <v>138</v>
      </c>
      <c r="D2506" s="25" t="n">
        <f aca="false">ai_26</f>
        <v>0.3</v>
      </c>
      <c r="E2506" s="25" t="n">
        <f aca="false">D2506*(1+aig27_A)*ai_adj</f>
        <v>0.48</v>
      </c>
      <c r="F2506" s="25" t="n">
        <f aca="false">E2506*(1+aig_L)*um28_A</f>
        <v>0.696</v>
      </c>
      <c r="G2506" s="25" t="n">
        <f aca="false">F2506/um28_A*(1+aig_L)*um29_A</f>
        <v>1.0092</v>
      </c>
    </row>
    <row r="2507" customFormat="false" ht="17.15" hidden="false" customHeight="false" outlineLevel="0" collapsed="false">
      <c r="A2507" s="0" t="s">
        <v>536</v>
      </c>
      <c r="B2507" s="0" t="s">
        <v>181</v>
      </c>
      <c r="D2507" s="23" t="n">
        <f aca="false">D2506*D2503</f>
        <v>9.48</v>
      </c>
      <c r="E2507" s="23" t="n">
        <f aca="false">E2506*E2503</f>
        <v>15.36</v>
      </c>
      <c r="F2507" s="23" t="n">
        <f aca="false">F2506*F2503</f>
        <v>22.272</v>
      </c>
      <c r="G2507" s="23" t="n">
        <f aca="false">G2506*G2503</f>
        <v>32.2944</v>
      </c>
    </row>
    <row r="2508" customFormat="false" ht="17.15" hidden="false" customHeight="false" outlineLevel="0" collapsed="false">
      <c r="A2508" s="0" t="s">
        <v>537</v>
      </c>
      <c r="B2508" s="0" t="s">
        <v>138</v>
      </c>
      <c r="D2508" s="25" t="n">
        <f aca="false">0</f>
        <v>0</v>
      </c>
      <c r="E2508" s="25" t="n">
        <f aca="false">int_27</f>
        <v>0</v>
      </c>
      <c r="F2508" s="25" t="n">
        <f aca="false">int28_A</f>
        <v>0.25</v>
      </c>
      <c r="G2508" s="25" t="n">
        <f aca="false">int29_A</f>
        <v>0.5</v>
      </c>
    </row>
    <row r="2509" customFormat="false" ht="17.15" hidden="false" customHeight="false" outlineLevel="0" collapsed="false">
      <c r="A2509" s="0" t="s">
        <v>538</v>
      </c>
      <c r="B2509" s="0" t="s">
        <v>181</v>
      </c>
      <c r="D2509" s="23" t="n">
        <f aca="false">D2508*D2503</f>
        <v>0</v>
      </c>
      <c r="E2509" s="23" t="n">
        <f aca="false">E2508*E2503</f>
        <v>0</v>
      </c>
      <c r="F2509" s="23" t="n">
        <f aca="false">F2508*F2503</f>
        <v>8</v>
      </c>
      <c r="G2509" s="23" t="n">
        <f aca="false">G2508*G2503</f>
        <v>16</v>
      </c>
    </row>
    <row r="2510" customFormat="false" ht="17.15" hidden="false" customHeight="false" outlineLevel="0" collapsed="false">
      <c r="A2510" s="3" t="s">
        <v>393</v>
      </c>
      <c r="B2510" s="0" t="s">
        <v>181</v>
      </c>
      <c r="C2510" s="23" t="n">
        <f aca="false">a25_rev</f>
        <v>237.553</v>
      </c>
      <c r="D2510" s="23" t="n">
        <f aca="false">D2504+D2507+D2509</f>
        <v>279.73378</v>
      </c>
      <c r="E2510" s="23" t="n">
        <f aca="false">E2504+E2507+E2509</f>
        <v>357.005908954158</v>
      </c>
      <c r="F2510" s="23" t="n">
        <f aca="false">F2504+F2507+F2509</f>
        <v>402.836504087237</v>
      </c>
      <c r="G2510" s="23" t="n">
        <f aca="false">G2504+G2507+G2509</f>
        <v>450.585588061227</v>
      </c>
      <c r="H2510" s="30" t="n">
        <f aca="false">G2510*(1+H2512)</f>
        <v>495.203224084546</v>
      </c>
      <c r="I2510" s="30" t="n">
        <f aca="false">H2510*(1+I2512)</f>
        <v>534.577190214366</v>
      </c>
      <c r="J2510" s="30" t="n">
        <f aca="false">I2510*(1+J2512)</f>
        <v>566.651821627228</v>
      </c>
      <c r="K2510" s="7" t="s">
        <v>539</v>
      </c>
    </row>
    <row r="2511" customFormat="false" ht="17.15" hidden="false" customHeight="false" outlineLevel="0" collapsed="false">
      <c r="A2511" s="0" t="s">
        <v>540</v>
      </c>
      <c r="B2511" s="0" t="s">
        <v>69</v>
      </c>
      <c r="D2511" s="21" t="n">
        <f aca="false">D2507/D2510</f>
        <v>0.0338893643806622</v>
      </c>
      <c r="E2511" s="21" t="n">
        <f aca="false">E2507/E2510</f>
        <v>0.0430244979557813</v>
      </c>
      <c r="F2511" s="21" t="n">
        <f aca="false">F2507/F2510</f>
        <v>0.0552879388387723</v>
      </c>
      <c r="G2511" s="21" t="n">
        <f aca="false">G2507/G2510</f>
        <v>0.0716720659862999</v>
      </c>
    </row>
    <row r="2512" customFormat="false" ht="15" hidden="false" customHeight="false" outlineLevel="0" collapsed="false">
      <c r="A2512" s="3" t="s">
        <v>541</v>
      </c>
      <c r="B2512" s="0" t="s">
        <v>69</v>
      </c>
      <c r="D2512" s="21" t="n">
        <f aca="false">D2510/C2510-1</f>
        <v>0.177563659478096</v>
      </c>
      <c r="E2512" s="21" t="n">
        <f aca="false">E2510/D2510-1</f>
        <v>0.276234528965926</v>
      </c>
      <c r="F2512" s="21" t="n">
        <f aca="false">F2510/E2510-1</f>
        <v>0.128374892357772</v>
      </c>
      <c r="G2512" s="21" t="n">
        <f aca="false">G2510/F2510-1</f>
        <v>0.118532167491082</v>
      </c>
      <c r="H2512" s="28" t="n">
        <f aca="false">$G2512+(fade_gA-$G2512)*1/3</f>
        <v>0.099021444994055</v>
      </c>
      <c r="I2512" s="28" t="n">
        <f aca="false">$G2512+(fade_gA-$G2512)*2/3</f>
        <v>0.0795107224970275</v>
      </c>
      <c r="J2512" s="28" t="n">
        <f aca="false">$G2512+(fade_gA-$G2512)*3/3</f>
        <v>0.06</v>
      </c>
    </row>
    <row r="2513" customFormat="false" ht="17.15" hidden="false" customHeight="false" outlineLevel="0" collapsed="false">
      <c r="A2513" s="5" t="s">
        <v>542</v>
      </c>
    </row>
    <row r="2514" customFormat="false" ht="15" hidden="false" customHeight="false" outlineLevel="0" collapsed="false">
      <c r="A2514" s="3" t="s">
        <v>543</v>
      </c>
      <c r="B2514" s="0" t="s">
        <v>181</v>
      </c>
      <c r="D2514" s="23" t="n">
        <f aca="false">da_tot26*da_sh</f>
        <v>56.172</v>
      </c>
      <c r="E2514" s="23" t="n">
        <f aca="false">D2514*(1+dag_27+dag_adj)</f>
        <v>62.91264</v>
      </c>
      <c r="F2514" s="23" t="n">
        <f aca="false">E2514*(1+dag_28+dag_adj)</f>
        <v>69.203904</v>
      </c>
      <c r="G2514" s="23" t="n">
        <f aca="false">F2514*(1+dag_29+dag_adj)</f>
        <v>74.74021632</v>
      </c>
    </row>
    <row r="2515" customFormat="false" ht="17.15" hidden="false" customHeight="false" outlineLevel="0" collapsed="false">
      <c r="A2515" s="3" t="s">
        <v>544</v>
      </c>
      <c r="B2515" s="0" t="s">
        <v>545</v>
      </c>
      <c r="D2515" s="23" t="n">
        <f aca="false">(D2510-a26_gp-D2514-(1-m_new_hi)*(D2507+D2509))/D2500*1000</f>
        <v>28.1547626919499</v>
      </c>
      <c r="E2515" s="23" t="n">
        <f aca="false">D2515*(1+cc_g)</f>
        <v>28.7178579457889</v>
      </c>
      <c r="F2515" s="23" t="n">
        <f aca="false">E2515*(1+cc_g)</f>
        <v>29.2922151047047</v>
      </c>
      <c r="G2515" s="23" t="n">
        <f aca="false">F2515*(1+cc_g)</f>
        <v>29.8780594067988</v>
      </c>
      <c r="K2515" s="7" t="s">
        <v>546</v>
      </c>
    </row>
    <row r="2516" customFormat="false" ht="17.15" hidden="false" customHeight="false" outlineLevel="0" collapsed="false">
      <c r="A2516" s="3" t="s">
        <v>547</v>
      </c>
      <c r="B2516" s="0" t="s">
        <v>181</v>
      </c>
      <c r="D2516" s="23" t="n">
        <f aca="false">D2515*D2500/1000</f>
        <v>128.2036948</v>
      </c>
      <c r="E2516" s="23" t="n">
        <f aca="false">E2515*E2500/1000</f>
        <v>148.405357711207</v>
      </c>
      <c r="F2516" s="23" t="n">
        <f aca="false">F2515*F2500/1000</f>
        <v>160.264664170158</v>
      </c>
      <c r="G2516" s="23" t="n">
        <f aca="false">G2515*G2500/1000</f>
        <v>173.052079427701</v>
      </c>
    </row>
    <row r="2517" customFormat="false" ht="17.15" hidden="false" customHeight="false" outlineLevel="0" collapsed="false">
      <c r="A2517" s="3" t="s">
        <v>548</v>
      </c>
      <c r="B2517" s="0" t="s">
        <v>181</v>
      </c>
      <c r="D2517" s="23" t="n">
        <f aca="false">m_new_hi*(D2507+D2509)</f>
        <v>5.214</v>
      </c>
      <c r="E2517" s="23" t="n">
        <f aca="false">m_new_hi*(E2507+E2509)</f>
        <v>8.448</v>
      </c>
      <c r="F2517" s="23" t="n">
        <f aca="false">m_new_hi*(F2507+F2509)</f>
        <v>16.6496</v>
      </c>
      <c r="G2517" s="23" t="n">
        <f aca="false">m_new_hi*(G2507+G2509)</f>
        <v>26.56192</v>
      </c>
    </row>
    <row r="2518" customFormat="false" ht="15" hidden="false" customHeight="false" outlineLevel="0" collapsed="false">
      <c r="A2518" s="3" t="s">
        <v>411</v>
      </c>
      <c r="B2518" s="0" t="s">
        <v>181</v>
      </c>
      <c r="C2518" s="23" t="n">
        <f aca="false">a25_gp</f>
        <v>68.906</v>
      </c>
      <c r="D2518" s="23" t="n">
        <f aca="false">D2504-D2514-D2516+D2517</f>
        <v>91.0920852</v>
      </c>
      <c r="E2518" s="23" t="n">
        <f aca="false">E2504-E2514-E2516+E2517</f>
        <v>138.775911242951</v>
      </c>
      <c r="F2518" s="23" t="n">
        <f aca="false">F2504-F2514-F2516+F2517</f>
        <v>159.745535917078</v>
      </c>
      <c r="G2518" s="23" t="n">
        <f aca="false">G2504-G2514-G2516+G2517</f>
        <v>181.060812313526</v>
      </c>
    </row>
    <row r="2519" customFormat="false" ht="15" hidden="false" customHeight="false" outlineLevel="0" collapsed="false">
      <c r="A2519" s="3" t="s">
        <v>413</v>
      </c>
      <c r="B2519" s="0" t="s">
        <v>69</v>
      </c>
      <c r="C2519" s="15" t="n">
        <f aca="false">C2518/C2510</f>
        <v>0.290065795843454</v>
      </c>
      <c r="D2519" s="15" t="n">
        <f aca="false">D2518/D2510</f>
        <v>0.325638488136828</v>
      </c>
      <c r="E2519" s="15" t="n">
        <f aca="false">E2518/E2510</f>
        <v>0.388721608696877</v>
      </c>
      <c r="F2519" s="15" t="n">
        <f aca="false">F2518/F2510</f>
        <v>0.396551787874925</v>
      </c>
      <c r="G2519" s="15" t="n">
        <f aca="false">G2518/G2510</f>
        <v>0.401834450792338</v>
      </c>
    </row>
    <row r="2520" customFormat="false" ht="15" hidden="false" customHeight="false" outlineLevel="0" collapsed="false">
      <c r="A2520" s="3" t="s">
        <v>415</v>
      </c>
      <c r="B2520" s="0" t="s">
        <v>181</v>
      </c>
      <c r="C2520" s="23" t="n">
        <f aca="false">a25_opx</f>
        <v>25.056</v>
      </c>
      <c r="D2520" s="23" t="n">
        <f aca="false">a26_opx</f>
        <v>27.23586</v>
      </c>
      <c r="E2520" s="23" t="n">
        <f aca="false">D2520*(1+MAX(g_opx_min,phi*E2512))</f>
        <v>30.997602479041</v>
      </c>
      <c r="F2520" s="23" t="n">
        <f aca="false">E2520*(1+MAX(g_opx_min,phi*F2512))</f>
        <v>32.9872594198389</v>
      </c>
      <c r="G2520" s="23" t="n">
        <f aca="false">F2520*(1+MAX(g_opx_min,phi*G2512))</f>
        <v>34.942285099151</v>
      </c>
    </row>
    <row r="2521" customFormat="false" ht="15" hidden="false" customHeight="false" outlineLevel="0" collapsed="false">
      <c r="A2521" s="3" t="s">
        <v>418</v>
      </c>
      <c r="B2521" s="0" t="s">
        <v>181</v>
      </c>
      <c r="C2521" s="23" t="n">
        <f aca="false">C2518-C2520</f>
        <v>43.85</v>
      </c>
      <c r="D2521" s="23" t="n">
        <f aca="false">D2518-D2520</f>
        <v>63.8562252</v>
      </c>
      <c r="E2521" s="23" t="n">
        <f aca="false">E2518-E2520</f>
        <v>107.77830876391</v>
      </c>
      <c r="F2521" s="23" t="n">
        <f aca="false">F2518-F2520</f>
        <v>126.758276497239</v>
      </c>
      <c r="G2521" s="23" t="n">
        <f aca="false">G2518-G2520</f>
        <v>146.118527214375</v>
      </c>
    </row>
    <row r="2522" customFormat="false" ht="15" hidden="false" customHeight="false" outlineLevel="0" collapsed="false">
      <c r="A2522" s="3" t="s">
        <v>515</v>
      </c>
      <c r="B2522" s="0" t="s">
        <v>69</v>
      </c>
      <c r="C2522" s="15" t="n">
        <f aca="false">C2521/C2510</f>
        <v>0.184590386145408</v>
      </c>
      <c r="D2522" s="15" t="n">
        <f aca="false">D2521/D2510</f>
        <v>0.228274987740129</v>
      </c>
      <c r="E2522" s="15" t="n">
        <f aca="false">E2521/E2510</f>
        <v>0.301895027675157</v>
      </c>
      <c r="F2522" s="15" t="n">
        <f aca="false">F2521/F2510</f>
        <v>0.314664324635756</v>
      </c>
      <c r="G2522" s="15" t="n">
        <f aca="false">G2521/G2510</f>
        <v>0.324285842880798</v>
      </c>
    </row>
    <row r="2523" customFormat="false" ht="15" hidden="false" customHeight="false" outlineLevel="0" collapsed="false">
      <c r="A2523" s="3" t="s">
        <v>421</v>
      </c>
      <c r="B2523" s="0" t="s">
        <v>181</v>
      </c>
      <c r="C2523" s="23" t="n">
        <f aca="false">a25_nonop</f>
        <v>5.805</v>
      </c>
      <c r="D2523" s="23" t="n">
        <f aca="false">a26_nonop</f>
        <v>38.372</v>
      </c>
      <c r="E2523" s="23" t="n">
        <f aca="false">nonop_f</f>
        <v>4</v>
      </c>
      <c r="F2523" s="23" t="n">
        <f aca="false">nonop_f</f>
        <v>4</v>
      </c>
      <c r="G2523" s="23" t="n">
        <f aca="false">nonop_f</f>
        <v>4</v>
      </c>
    </row>
    <row r="2524" customFormat="false" ht="15" hidden="false" customHeight="false" outlineLevel="0" collapsed="false">
      <c r="A2524" s="3" t="s">
        <v>423</v>
      </c>
      <c r="B2524" s="0" t="s">
        <v>181</v>
      </c>
      <c r="C2524" s="23" t="n">
        <f aca="false">C2521+C2523</f>
        <v>49.655</v>
      </c>
      <c r="D2524" s="23" t="n">
        <f aca="false">D2521+D2523</f>
        <v>102.2282252</v>
      </c>
      <c r="E2524" s="23" t="n">
        <f aca="false">E2521+E2523</f>
        <v>111.77830876391</v>
      </c>
      <c r="F2524" s="23" t="n">
        <f aca="false">F2521+F2523</f>
        <v>130.758276497239</v>
      </c>
      <c r="G2524" s="23" t="n">
        <f aca="false">G2521+G2523</f>
        <v>150.118527214375</v>
      </c>
    </row>
    <row r="2525" customFormat="false" ht="15" hidden="false" customHeight="false" outlineLevel="0" collapsed="false">
      <c r="A2525" s="3" t="s">
        <v>425</v>
      </c>
      <c r="B2525" s="0" t="s">
        <v>181</v>
      </c>
      <c r="C2525" s="23" t="n">
        <f aca="false">a25_tax</f>
        <v>7.939</v>
      </c>
      <c r="D2525" s="23" t="n">
        <f aca="false">a26_tax</f>
        <v>10.493828284</v>
      </c>
      <c r="E2525" s="23" t="n">
        <f aca="false">E2524*tax</f>
        <v>16.7667463145865</v>
      </c>
      <c r="F2525" s="23" t="n">
        <f aca="false">F2524*tax</f>
        <v>19.6137414745859</v>
      </c>
      <c r="G2525" s="23" t="n">
        <f aca="false">G2524*tax</f>
        <v>22.5177790821562</v>
      </c>
    </row>
    <row r="2526" customFormat="false" ht="17.15" hidden="false" customHeight="false" outlineLevel="0" collapsed="false">
      <c r="A2526" s="3" t="s">
        <v>549</v>
      </c>
      <c r="B2526" s="0" t="s">
        <v>181</v>
      </c>
      <c r="C2526" s="23" t="n">
        <f aca="false">a25_mi</f>
        <v>0</v>
      </c>
      <c r="D2526" s="23" t="n">
        <f aca="false">a26_mi</f>
        <v>-0.134999999999987</v>
      </c>
      <c r="E2526" s="23" t="n">
        <f aca="false">0</f>
        <v>0</v>
      </c>
      <c r="F2526" s="23" t="n">
        <f aca="false">0</f>
        <v>0</v>
      </c>
      <c r="G2526" s="23" t="n">
        <f aca="false">0</f>
        <v>0</v>
      </c>
      <c r="K2526" s="7" t="s">
        <v>550</v>
      </c>
    </row>
    <row r="2527" customFormat="false" ht="15" hidden="false" customHeight="false" outlineLevel="0" collapsed="false">
      <c r="A2527" s="3" t="s">
        <v>428</v>
      </c>
      <c r="B2527" s="0" t="s">
        <v>181</v>
      </c>
      <c r="C2527" s="23" t="n">
        <f aca="false">C2524-C2525-C2526</f>
        <v>41.716</v>
      </c>
      <c r="D2527" s="23" t="n">
        <f aca="false">D2524-D2525-D2526</f>
        <v>91.869396916</v>
      </c>
      <c r="E2527" s="23" t="n">
        <f aca="false">E2524-E2525-E2526</f>
        <v>95.0115624493237</v>
      </c>
      <c r="F2527" s="23" t="n">
        <f aca="false">F2524-F2525-F2526</f>
        <v>111.144535022653</v>
      </c>
      <c r="G2527" s="23" t="n">
        <f aca="false">G2524-G2525-G2526</f>
        <v>127.600748132219</v>
      </c>
      <c r="H2527" s="30" t="n">
        <f aca="false">H2510*H2531</f>
        <v>140.235958594593</v>
      </c>
      <c r="I2527" s="30" t="n">
        <f aca="false">I2510*I2531</f>
        <v>151.386220982513</v>
      </c>
      <c r="J2527" s="30" t="n">
        <f aca="false">J2510*J2531</f>
        <v>160.469394241464</v>
      </c>
    </row>
    <row r="2528" customFormat="false" ht="15" hidden="false" customHeight="false" outlineLevel="0" collapsed="false">
      <c r="A2528" s="3" t="s">
        <v>551</v>
      </c>
      <c r="B2528" s="3" t="s">
        <v>250</v>
      </c>
      <c r="C2528" s="9" t="n">
        <f aca="false">a25_sh</f>
        <v>12.4898203592814</v>
      </c>
      <c r="D2528" s="9" t="n">
        <f aca="false">a26_sh</f>
        <v>12.4754339027235</v>
      </c>
      <c r="E2528" s="9" t="n">
        <f aca="false">q_sh*(1+sh_g)</f>
        <v>12.45</v>
      </c>
      <c r="F2528" s="9" t="n">
        <f aca="false">E2528*(1+sh_g)</f>
        <v>12.45</v>
      </c>
      <c r="G2528" s="9" t="n">
        <f aca="false">F2528*(1+sh_g)</f>
        <v>12.45</v>
      </c>
      <c r="H2528" s="32" t="n">
        <f aca="false">G2528*(1+sh_g)</f>
        <v>12.45</v>
      </c>
      <c r="I2528" s="32" t="n">
        <f aca="false">H2528*(1+sh_g)</f>
        <v>12.45</v>
      </c>
      <c r="J2528" s="32" t="n">
        <f aca="false">I2528*(1+sh_g)</f>
        <v>12.45</v>
      </c>
    </row>
    <row r="2529" customFormat="false" ht="17.15" hidden="false" customHeight="false" outlineLevel="0" collapsed="false">
      <c r="A2529" s="0" t="s">
        <v>434</v>
      </c>
      <c r="B2529" s="0" t="s">
        <v>260</v>
      </c>
      <c r="C2529" s="23" t="n">
        <f aca="false">C2527/C2528</f>
        <v>3.34</v>
      </c>
      <c r="D2529" s="23" t="n">
        <f aca="false">D2527/D2528</f>
        <v>7.36402418002826</v>
      </c>
      <c r="E2529" s="23" t="n">
        <f aca="false">E2527/E2528</f>
        <v>7.63145079914246</v>
      </c>
      <c r="F2529" s="23" t="n">
        <f aca="false">F2527/F2528</f>
        <v>8.92727188936975</v>
      </c>
      <c r="G2529" s="23" t="n">
        <f aca="false">G2527/G2528</f>
        <v>10.249056074877</v>
      </c>
      <c r="H2529" s="30" t="n">
        <f aca="false">H2527/H2528</f>
        <v>11.2639324172364</v>
      </c>
      <c r="I2529" s="30" t="n">
        <f aca="false">I2527/I2528</f>
        <v>12.1595358218886</v>
      </c>
      <c r="J2529" s="30" t="n">
        <f aca="false">J2527/J2528</f>
        <v>12.8891079712019</v>
      </c>
    </row>
    <row r="2530" customFormat="false" ht="17.15" hidden="false" customHeight="false" outlineLevel="0" collapsed="false">
      <c r="A2530" s="0" t="s">
        <v>552</v>
      </c>
      <c r="B2530" s="0" t="s">
        <v>69</v>
      </c>
      <c r="D2530" s="21" t="n">
        <f aca="false">D2529/C2529-1</f>
        <v>1.2047976586911</v>
      </c>
      <c r="E2530" s="21" t="n">
        <f aca="false">E2529/D2529-1</f>
        <v>0.0363152825922926</v>
      </c>
      <c r="F2530" s="21" t="n">
        <f aca="false">F2529/E2529-1</f>
        <v>0.169800097561122</v>
      </c>
      <c r="G2530" s="21" t="n">
        <f aca="false">G2529/F2529-1</f>
        <v>0.148061378872215</v>
      </c>
      <c r="H2530" s="28" t="n">
        <f aca="false">H2529/G2529-1</f>
        <v>0.0990214449940547</v>
      </c>
      <c r="I2530" s="28" t="n">
        <f aca="false">I2529/H2529-1</f>
        <v>0.0795107224970277</v>
      </c>
      <c r="J2530" s="28" t="n">
        <f aca="false">J2529/I2529-1</f>
        <v>0.0600000000000001</v>
      </c>
    </row>
    <row r="2531" customFormat="false" ht="17.15" hidden="false" customHeight="false" outlineLevel="0" collapsed="false">
      <c r="A2531" s="3" t="s">
        <v>553</v>
      </c>
      <c r="B2531" s="0" t="s">
        <v>69</v>
      </c>
      <c r="C2531" s="15" t="n">
        <f aca="false">C2527/C2510</f>
        <v>0.175607127672562</v>
      </c>
      <c r="D2531" s="15" t="n">
        <f aca="false">D2527/D2510</f>
        <v>0.328417243409073</v>
      </c>
      <c r="E2531" s="15" t="n">
        <f aca="false">E2527/E2510</f>
        <v>0.266134425415137</v>
      </c>
      <c r="F2531" s="15" t="n">
        <f aca="false">F2527/F2510</f>
        <v>0.275904824649616</v>
      </c>
      <c r="G2531" s="15" t="n">
        <f aca="false">G2527/G2510</f>
        <v>0.283188702686336</v>
      </c>
      <c r="H2531" s="29" t="n">
        <f aca="false">$G2531+($G$2531*1-$G2531)*1/3</f>
        <v>0.283188702686336</v>
      </c>
      <c r="I2531" s="29" t="n">
        <f aca="false">$G2531+($G$2531*1-$G2531)*2/3</f>
        <v>0.283188702686336</v>
      </c>
      <c r="J2531" s="29" t="n">
        <f aca="false">$G2531+($G$2531*1-$G2531)*3/3</f>
        <v>0.283188702686336</v>
      </c>
    </row>
    <row r="2534" customFormat="false" ht="17.15" hidden="false" customHeight="false" outlineLevel="0" collapsed="false">
      <c r="A2534" s="1" t="s">
        <v>901</v>
      </c>
    </row>
    <row r="2535" customFormat="false" ht="17.15" hidden="false" customHeight="false" outlineLevel="0" collapsed="false">
      <c r="A2535" s="4" t="s">
        <v>24</v>
      </c>
      <c r="B2535" s="4" t="s">
        <v>25</v>
      </c>
      <c r="C2535" s="16" t="s">
        <v>387</v>
      </c>
      <c r="D2535" s="16" t="s">
        <v>505</v>
      </c>
      <c r="E2535" s="16" t="s">
        <v>467</v>
      </c>
      <c r="F2535" s="16" t="s">
        <v>468</v>
      </c>
      <c r="G2535" s="16" t="s">
        <v>469</v>
      </c>
      <c r="H2535" s="16" t="s">
        <v>506</v>
      </c>
      <c r="I2535" s="16" t="s">
        <v>507</v>
      </c>
      <c r="J2535" s="16" t="s">
        <v>508</v>
      </c>
      <c r="K2535" s="4" t="s">
        <v>345</v>
      </c>
    </row>
    <row r="2536" customFormat="false" ht="17.15" hidden="false" customHeight="false" outlineLevel="0" collapsed="false">
      <c r="A2536" s="5" t="s">
        <v>526</v>
      </c>
    </row>
    <row r="2537" customFormat="false" ht="17.15" hidden="false" customHeight="false" outlineLevel="0" collapsed="false">
      <c r="A2537" s="3" t="s">
        <v>527</v>
      </c>
      <c r="B2537" s="3" t="s">
        <v>64</v>
      </c>
      <c r="D2537" s="22" t="n">
        <f aca="false">cap_26</f>
        <v>5230.46851955216</v>
      </c>
      <c r="E2537" s="22" t="n">
        <f aca="false">D2537*(1+capg27)*cap_adj</f>
        <v>5439.68726033425</v>
      </c>
      <c r="F2537" s="22" t="n">
        <f aca="false">E2537*(1+capg28)</f>
        <v>5820.46536855765</v>
      </c>
      <c r="G2537" s="22" t="n">
        <f aca="false">F2537*(1+capg29)</f>
        <v>6227.89794435668</v>
      </c>
    </row>
    <row r="2538" customFormat="false" ht="15" hidden="false" customHeight="false" outlineLevel="0" collapsed="false">
      <c r="A2538" s="3" t="s">
        <v>528</v>
      </c>
      <c r="B2538" s="0" t="s">
        <v>69</v>
      </c>
      <c r="D2538" s="21" t="n">
        <f aca="false">a26_ship/cap_26</f>
        <v>0.870578781414787</v>
      </c>
      <c r="E2538" s="21" t="n">
        <f aca="false">MIN(0.98,ut27_B+ut_adj)</f>
        <v>0.9</v>
      </c>
      <c r="F2538" s="21" t="n">
        <f aca="false">MIN(0.98,ut28_B+ut_adj)</f>
        <v>0.87</v>
      </c>
      <c r="G2538" s="21" t="n">
        <f aca="false">MIN(0.98,ut29_B+ut_adj)</f>
        <v>0.88</v>
      </c>
    </row>
    <row r="2539" customFormat="false" ht="17.15" hidden="false" customHeight="false" outlineLevel="0" collapsed="false">
      <c r="A2539" s="3" t="s">
        <v>529</v>
      </c>
      <c r="B2539" s="3" t="s">
        <v>64</v>
      </c>
      <c r="D2539" s="22" t="n">
        <f aca="false">D2537*D2538</f>
        <v>4553.53490998013</v>
      </c>
      <c r="E2539" s="22" t="n">
        <f aca="false">E2537*E2538</f>
        <v>4895.71853430083</v>
      </c>
      <c r="F2539" s="22" t="n">
        <f aca="false">F2537*F2538</f>
        <v>5063.80487064515</v>
      </c>
      <c r="G2539" s="22" t="n">
        <f aca="false">G2537*G2538</f>
        <v>5480.55019103388</v>
      </c>
    </row>
    <row r="2540" customFormat="false" ht="17.15" hidden="false" customHeight="false" outlineLevel="0" collapsed="false">
      <c r="A2540" s="3" t="s">
        <v>530</v>
      </c>
      <c r="B2540" s="0" t="s">
        <v>109</v>
      </c>
      <c r="D2540" s="22" t="n">
        <f aca="false">asp_26</f>
        <v>1878.17486396824</v>
      </c>
      <c r="E2540" s="22" t="n">
        <f aca="false">D2540*(1+asp27_B)*(1+asp_adj)</f>
        <v>1972.08360716666</v>
      </c>
      <c r="F2540" s="22" t="n">
        <f aca="false">E2540*(1+asp28_B)</f>
        <v>1972.08360716666</v>
      </c>
      <c r="G2540" s="22" t="n">
        <f aca="false">F2540*(1+asp29_B)</f>
        <v>1972.08360716666</v>
      </c>
    </row>
    <row r="2541" customFormat="false" ht="15" hidden="false" customHeight="false" outlineLevel="0" collapsed="false">
      <c r="A2541" s="3" t="s">
        <v>531</v>
      </c>
      <c r="B2541" s="0" t="s">
        <v>69</v>
      </c>
      <c r="E2541" s="21" t="n">
        <f aca="false">E2540/D2540-1</f>
        <v>0.05</v>
      </c>
      <c r="F2541" s="21" t="n">
        <f aca="false">F2540/E2540-1</f>
        <v>0</v>
      </c>
      <c r="G2541" s="21" t="n">
        <f aca="false">G2540/F2540-1</f>
        <v>0</v>
      </c>
    </row>
    <row r="2542" customFormat="false" ht="15" hidden="false" customHeight="false" outlineLevel="0" collapsed="false">
      <c r="A2542" s="3" t="s">
        <v>532</v>
      </c>
      <c r="B2542" s="0" t="s">
        <v>35</v>
      </c>
      <c r="D2542" s="23" t="n">
        <f aca="false">fx_26</f>
        <v>31.6</v>
      </c>
      <c r="E2542" s="23" t="n">
        <f aca="false">fx</f>
        <v>32</v>
      </c>
      <c r="F2542" s="23" t="n">
        <f aca="false">fx</f>
        <v>32</v>
      </c>
      <c r="G2542" s="23" t="n">
        <f aca="false">fx</f>
        <v>32</v>
      </c>
    </row>
    <row r="2543" customFormat="false" ht="17.15" hidden="false" customHeight="false" outlineLevel="0" collapsed="false">
      <c r="A2543" s="3" t="s">
        <v>533</v>
      </c>
      <c r="B2543" s="0" t="s">
        <v>181</v>
      </c>
      <c r="D2543" s="23" t="n">
        <f aca="false">D2539*D2540*D2542/1000000</f>
        <v>270.25378</v>
      </c>
      <c r="E2543" s="23" t="n">
        <f aca="false">E2539*E2540*E2542/1000000</f>
        <v>308.952520537492</v>
      </c>
      <c r="F2543" s="23" t="n">
        <f aca="false">F2539*F2540*F2542/1000000</f>
        <v>319.559890409279</v>
      </c>
      <c r="G2543" s="23" t="n">
        <f aca="false">G2539*G2540*G2542/1000000</f>
        <v>345.859302079744</v>
      </c>
    </row>
    <row r="2544" customFormat="false" ht="17.15" hidden="false" customHeight="false" outlineLevel="0" collapsed="false">
      <c r="A2544" s="5" t="s">
        <v>534</v>
      </c>
    </row>
    <row r="2545" customFormat="false" ht="17.15" hidden="false" customHeight="false" outlineLevel="0" collapsed="false">
      <c r="A2545" s="0" t="s">
        <v>535</v>
      </c>
      <c r="B2545" s="0" t="s">
        <v>138</v>
      </c>
      <c r="D2545" s="25" t="n">
        <f aca="false">ai_26</f>
        <v>0.3</v>
      </c>
      <c r="E2545" s="25" t="n">
        <f aca="false">D2545*(1+aig27_B)*ai_adj</f>
        <v>0.42</v>
      </c>
      <c r="F2545" s="25" t="n">
        <f aca="false">E2545*(1+aig_L)*um28_B</f>
        <v>0.4872</v>
      </c>
      <c r="G2545" s="25" t="n">
        <f aca="false">F2545/um28_B*(1+aig_L)*um29_B</f>
        <v>0.7505925</v>
      </c>
    </row>
    <row r="2546" customFormat="false" ht="17.15" hidden="false" customHeight="false" outlineLevel="0" collapsed="false">
      <c r="A2546" s="0" t="s">
        <v>536</v>
      </c>
      <c r="B2546" s="0" t="s">
        <v>181</v>
      </c>
      <c r="D2546" s="23" t="n">
        <f aca="false">D2545*D2542</f>
        <v>9.48</v>
      </c>
      <c r="E2546" s="23" t="n">
        <f aca="false">E2545*E2542</f>
        <v>13.44</v>
      </c>
      <c r="F2546" s="23" t="n">
        <f aca="false">F2545*F2542</f>
        <v>15.5904</v>
      </c>
      <c r="G2546" s="23" t="n">
        <f aca="false">G2545*G2542</f>
        <v>24.01896</v>
      </c>
    </row>
    <row r="2547" customFormat="false" ht="17.15" hidden="false" customHeight="false" outlineLevel="0" collapsed="false">
      <c r="A2547" s="0" t="s">
        <v>537</v>
      </c>
      <c r="B2547" s="0" t="s">
        <v>138</v>
      </c>
      <c r="D2547" s="25" t="n">
        <f aca="false">0</f>
        <v>0</v>
      </c>
      <c r="E2547" s="25" t="n">
        <f aca="false">int_27</f>
        <v>0</v>
      </c>
      <c r="F2547" s="25" t="n">
        <f aca="false">int28_B</f>
        <v>0.12</v>
      </c>
      <c r="G2547" s="25" t="n">
        <f aca="false">int29_B</f>
        <v>0.3</v>
      </c>
    </row>
    <row r="2548" customFormat="false" ht="17.15" hidden="false" customHeight="false" outlineLevel="0" collapsed="false">
      <c r="A2548" s="0" t="s">
        <v>538</v>
      </c>
      <c r="B2548" s="0" t="s">
        <v>181</v>
      </c>
      <c r="D2548" s="23" t="n">
        <f aca="false">D2547*D2542</f>
        <v>0</v>
      </c>
      <c r="E2548" s="23" t="n">
        <f aca="false">E2547*E2542</f>
        <v>0</v>
      </c>
      <c r="F2548" s="23" t="n">
        <f aca="false">F2547*F2542</f>
        <v>3.84</v>
      </c>
      <c r="G2548" s="23" t="n">
        <f aca="false">G2547*G2542</f>
        <v>9.6</v>
      </c>
    </row>
    <row r="2549" customFormat="false" ht="17.15" hidden="false" customHeight="false" outlineLevel="0" collapsed="false">
      <c r="A2549" s="3" t="s">
        <v>393</v>
      </c>
      <c r="B2549" s="0" t="s">
        <v>181</v>
      </c>
      <c r="C2549" s="23" t="n">
        <f aca="false">a25_rev</f>
        <v>237.553</v>
      </c>
      <c r="D2549" s="23" t="n">
        <f aca="false">D2543+D2546+D2548</f>
        <v>279.73378</v>
      </c>
      <c r="E2549" s="23" t="n">
        <f aca="false">E2543+E2546+E2548</f>
        <v>322.392520537492</v>
      </c>
      <c r="F2549" s="23" t="n">
        <f aca="false">F2543+F2546+F2548</f>
        <v>338.990290409279</v>
      </c>
      <c r="G2549" s="23" t="n">
        <f aca="false">G2543+G2546+G2548</f>
        <v>379.478262079744</v>
      </c>
      <c r="H2549" s="30" t="n">
        <f aca="false">G2549*(1+H2551)</f>
        <v>414.75379367548</v>
      </c>
      <c r="I2549" s="30" t="n">
        <f aca="false">H2549*(1+I2551)</f>
        <v>442.326206375962</v>
      </c>
      <c r="J2549" s="30" t="n">
        <f aca="false">I2549*(1+J2551)</f>
        <v>460.019254631001</v>
      </c>
      <c r="K2549" s="7" t="s">
        <v>539</v>
      </c>
    </row>
    <row r="2550" customFormat="false" ht="17.15" hidden="false" customHeight="false" outlineLevel="0" collapsed="false">
      <c r="A2550" s="0" t="s">
        <v>540</v>
      </c>
      <c r="B2550" s="0" t="s">
        <v>69</v>
      </c>
      <c r="D2550" s="21" t="n">
        <f aca="false">D2546/D2549</f>
        <v>0.0338893643806622</v>
      </c>
      <c r="E2550" s="21" t="n">
        <f aca="false">E2546/E2549</f>
        <v>0.0416883120538679</v>
      </c>
      <c r="F2550" s="21" t="n">
        <f aca="false">F2546/F2549</f>
        <v>0.0459906977901254</v>
      </c>
      <c r="G2550" s="21" t="n">
        <f aca="false">G2546/G2549</f>
        <v>0.0632946927404042</v>
      </c>
    </row>
    <row r="2551" customFormat="false" ht="15" hidden="false" customHeight="false" outlineLevel="0" collapsed="false">
      <c r="A2551" s="3" t="s">
        <v>541</v>
      </c>
      <c r="B2551" s="0" t="s">
        <v>69</v>
      </c>
      <c r="D2551" s="21" t="n">
        <f aca="false">D2549/C2549-1</f>
        <v>0.177563659478096</v>
      </c>
      <c r="E2551" s="21" t="n">
        <f aca="false">E2549/D2549-1</f>
        <v>0.152497637351814</v>
      </c>
      <c r="F2551" s="21" t="n">
        <f aca="false">F2549/E2549-1</f>
        <v>0.0514831108492078</v>
      </c>
      <c r="G2551" s="21" t="n">
        <f aca="false">G2549/F2549-1</f>
        <v>0.119436965647547</v>
      </c>
      <c r="H2551" s="28" t="n">
        <f aca="false">$G2551+(fade_gB-$G2551)*1/3</f>
        <v>0.0929579770983645</v>
      </c>
      <c r="I2551" s="28" t="n">
        <f aca="false">$G2551+(fade_gB-$G2551)*2/3</f>
        <v>0.0664789885491822</v>
      </c>
      <c r="J2551" s="28" t="n">
        <f aca="false">$G2551+(fade_gB-$G2551)*3/3</f>
        <v>0.04</v>
      </c>
    </row>
    <row r="2552" customFormat="false" ht="17.15" hidden="false" customHeight="false" outlineLevel="0" collapsed="false">
      <c r="A2552" s="5" t="s">
        <v>542</v>
      </c>
    </row>
    <row r="2553" customFormat="false" ht="15" hidden="false" customHeight="false" outlineLevel="0" collapsed="false">
      <c r="A2553" s="3" t="s">
        <v>543</v>
      </c>
      <c r="B2553" s="0" t="s">
        <v>181</v>
      </c>
      <c r="D2553" s="23" t="n">
        <f aca="false">da_tot26*da_sh</f>
        <v>56.172</v>
      </c>
      <c r="E2553" s="23" t="n">
        <f aca="false">D2553*(1+dag_27+dag_adj)</f>
        <v>62.91264</v>
      </c>
      <c r="F2553" s="23" t="n">
        <f aca="false">E2553*(1+dag_28+dag_adj)</f>
        <v>69.203904</v>
      </c>
      <c r="G2553" s="23" t="n">
        <f aca="false">F2553*(1+dag_29+dag_adj)</f>
        <v>74.74021632</v>
      </c>
    </row>
    <row r="2554" customFormat="false" ht="17.15" hidden="false" customHeight="false" outlineLevel="0" collapsed="false">
      <c r="A2554" s="3" t="s">
        <v>544</v>
      </c>
      <c r="B2554" s="0" t="s">
        <v>545</v>
      </c>
      <c r="D2554" s="23" t="n">
        <f aca="false">(D2549-a26_gp-D2553-(1-m_new_hi)*(D2546+D2548))/D2539*1000</f>
        <v>28.1547626919499</v>
      </c>
      <c r="E2554" s="23" t="n">
        <f aca="false">D2554*(1+cc_g)</f>
        <v>28.7178579457889</v>
      </c>
      <c r="F2554" s="23" t="n">
        <f aca="false">E2554*(1+cc_g)</f>
        <v>29.2922151047047</v>
      </c>
      <c r="G2554" s="23" t="n">
        <f aca="false">F2554*(1+cc_g)</f>
        <v>29.8780594067988</v>
      </c>
      <c r="K2554" s="7" t="s">
        <v>546</v>
      </c>
    </row>
    <row r="2555" customFormat="false" ht="17.15" hidden="false" customHeight="false" outlineLevel="0" collapsed="false">
      <c r="A2555" s="3" t="s">
        <v>547</v>
      </c>
      <c r="B2555" s="0" t="s">
        <v>181</v>
      </c>
      <c r="D2555" s="23" t="n">
        <f aca="false">D2554*D2539/1000</f>
        <v>128.2036948</v>
      </c>
      <c r="E2555" s="23" t="n">
        <f aca="false">E2554*E2539/1000</f>
        <v>140.594549410617</v>
      </c>
      <c r="F2555" s="23" t="n">
        <f aca="false">F2554*F2539/1000</f>
        <v>148.330061519189</v>
      </c>
      <c r="G2555" s="23" t="n">
        <f aca="false">G2554*G2539/1000</f>
        <v>163.748204189653</v>
      </c>
    </row>
    <row r="2556" customFormat="false" ht="17.15" hidden="false" customHeight="false" outlineLevel="0" collapsed="false">
      <c r="A2556" s="3" t="s">
        <v>548</v>
      </c>
      <c r="B2556" s="0" t="s">
        <v>181</v>
      </c>
      <c r="D2556" s="23" t="n">
        <f aca="false">m_new_hi*(D2546+D2548)</f>
        <v>5.214</v>
      </c>
      <c r="E2556" s="23" t="n">
        <f aca="false">m_new_hi*(E2546+E2548)</f>
        <v>7.392</v>
      </c>
      <c r="F2556" s="23" t="n">
        <f aca="false">m_new_hi*(F2546+F2548)</f>
        <v>10.68672</v>
      </c>
      <c r="G2556" s="23" t="n">
        <f aca="false">m_new_hi*(G2546+G2548)</f>
        <v>18.490428</v>
      </c>
    </row>
    <row r="2557" customFormat="false" ht="15" hidden="false" customHeight="false" outlineLevel="0" collapsed="false">
      <c r="A2557" s="3" t="s">
        <v>411</v>
      </c>
      <c r="B2557" s="0" t="s">
        <v>181</v>
      </c>
      <c r="C2557" s="23" t="n">
        <f aca="false">a25_gp</f>
        <v>68.906</v>
      </c>
      <c r="D2557" s="23" t="n">
        <f aca="false">D2543-D2553-D2555+D2556</f>
        <v>91.0920852</v>
      </c>
      <c r="E2557" s="23" t="n">
        <f aca="false">E2543-E2553-E2555+E2556</f>
        <v>112.837331126875</v>
      </c>
      <c r="F2557" s="23" t="n">
        <f aca="false">F2543-F2553-F2555+F2556</f>
        <v>112.71264489009</v>
      </c>
      <c r="G2557" s="23" t="n">
        <f aca="false">G2543-G2553-G2555+G2556</f>
        <v>125.861309570091</v>
      </c>
    </row>
    <row r="2558" customFormat="false" ht="15" hidden="false" customHeight="false" outlineLevel="0" collapsed="false">
      <c r="A2558" s="3" t="s">
        <v>413</v>
      </c>
      <c r="B2558" s="0" t="s">
        <v>69</v>
      </c>
      <c r="C2558" s="15" t="n">
        <f aca="false">C2557/C2549</f>
        <v>0.290065795843454</v>
      </c>
      <c r="D2558" s="15" t="n">
        <f aca="false">D2557/D2549</f>
        <v>0.325638488136828</v>
      </c>
      <c r="E2558" s="15" t="n">
        <f aca="false">E2557/E2549</f>
        <v>0.349999841617768</v>
      </c>
      <c r="F2558" s="15" t="n">
        <f aca="false">F2557/F2549</f>
        <v>0.332495201423046</v>
      </c>
      <c r="G2558" s="15" t="n">
        <f aca="false">G2557/G2549</f>
        <v>0.33166935275898</v>
      </c>
    </row>
    <row r="2559" customFormat="false" ht="15" hidden="false" customHeight="false" outlineLevel="0" collapsed="false">
      <c r="A2559" s="3" t="s">
        <v>415</v>
      </c>
      <c r="B2559" s="0" t="s">
        <v>181</v>
      </c>
      <c r="C2559" s="23" t="n">
        <f aca="false">a25_opx</f>
        <v>25.056</v>
      </c>
      <c r="D2559" s="23" t="n">
        <f aca="false">a26_opx</f>
        <v>27.23586</v>
      </c>
      <c r="E2559" s="23" t="n">
        <f aca="false">D2559*(1+MAX(g_opx_min,phi*E2551))</f>
        <v>29.3125621506224</v>
      </c>
      <c r="F2559" s="23" t="n">
        <f aca="false">E2559*(1+MAX(g_opx_min,phi*F2551))</f>
        <v>30.1919390151411</v>
      </c>
      <c r="G2559" s="23" t="n">
        <f aca="false">F2559*(1+MAX(g_opx_min,phi*G2551))</f>
        <v>31.9949558066332</v>
      </c>
    </row>
    <row r="2560" customFormat="false" ht="15" hidden="false" customHeight="false" outlineLevel="0" collapsed="false">
      <c r="A2560" s="3" t="s">
        <v>418</v>
      </c>
      <c r="B2560" s="0" t="s">
        <v>181</v>
      </c>
      <c r="C2560" s="23" t="n">
        <f aca="false">C2557-C2559</f>
        <v>43.85</v>
      </c>
      <c r="D2560" s="23" t="n">
        <f aca="false">D2557-D2559</f>
        <v>63.8562252</v>
      </c>
      <c r="E2560" s="23" t="n">
        <f aca="false">E2557-E2559</f>
        <v>83.5247689762527</v>
      </c>
      <c r="F2560" s="23" t="n">
        <f aca="false">F2557-F2559</f>
        <v>82.5207058749491</v>
      </c>
      <c r="G2560" s="23" t="n">
        <f aca="false">G2557-G2559</f>
        <v>93.8663537634583</v>
      </c>
    </row>
    <row r="2561" customFormat="false" ht="15" hidden="false" customHeight="false" outlineLevel="0" collapsed="false">
      <c r="A2561" s="3" t="s">
        <v>515</v>
      </c>
      <c r="B2561" s="0" t="s">
        <v>69</v>
      </c>
      <c r="C2561" s="15" t="n">
        <f aca="false">C2560/C2549</f>
        <v>0.184590386145408</v>
      </c>
      <c r="D2561" s="15" t="n">
        <f aca="false">D2560/D2549</f>
        <v>0.228274987740129</v>
      </c>
      <c r="E2561" s="15" t="n">
        <f aca="false">E2560/E2549</f>
        <v>0.259077874502176</v>
      </c>
      <c r="F2561" s="15" t="n">
        <f aca="false">F2560/F2549</f>
        <v>0.243430883448956</v>
      </c>
      <c r="G2561" s="15" t="n">
        <f aca="false">G2560/G2549</f>
        <v>0.24735633933027</v>
      </c>
    </row>
    <row r="2562" customFormat="false" ht="15" hidden="false" customHeight="false" outlineLevel="0" collapsed="false">
      <c r="A2562" s="3" t="s">
        <v>421</v>
      </c>
      <c r="B2562" s="0" t="s">
        <v>181</v>
      </c>
      <c r="C2562" s="23" t="n">
        <f aca="false">a25_nonop</f>
        <v>5.805</v>
      </c>
      <c r="D2562" s="23" t="n">
        <f aca="false">a26_nonop</f>
        <v>38.372</v>
      </c>
      <c r="E2562" s="23" t="n">
        <f aca="false">nonop_f</f>
        <v>4</v>
      </c>
      <c r="F2562" s="23" t="n">
        <f aca="false">nonop_f</f>
        <v>4</v>
      </c>
      <c r="G2562" s="23" t="n">
        <f aca="false">nonop_f</f>
        <v>4</v>
      </c>
    </row>
    <row r="2563" customFormat="false" ht="15" hidden="false" customHeight="false" outlineLevel="0" collapsed="false">
      <c r="A2563" s="3" t="s">
        <v>423</v>
      </c>
      <c r="B2563" s="0" t="s">
        <v>181</v>
      </c>
      <c r="C2563" s="23" t="n">
        <f aca="false">C2560+C2562</f>
        <v>49.655</v>
      </c>
      <c r="D2563" s="23" t="n">
        <f aca="false">D2560+D2562</f>
        <v>102.2282252</v>
      </c>
      <c r="E2563" s="23" t="n">
        <f aca="false">E2560+E2562</f>
        <v>87.5247689762527</v>
      </c>
      <c r="F2563" s="23" t="n">
        <f aca="false">F2560+F2562</f>
        <v>86.5207058749491</v>
      </c>
      <c r="G2563" s="23" t="n">
        <f aca="false">G2560+G2562</f>
        <v>97.8663537634583</v>
      </c>
    </row>
    <row r="2564" customFormat="false" ht="15" hidden="false" customHeight="false" outlineLevel="0" collapsed="false">
      <c r="A2564" s="3" t="s">
        <v>425</v>
      </c>
      <c r="B2564" s="0" t="s">
        <v>181</v>
      </c>
      <c r="C2564" s="23" t="n">
        <f aca="false">a25_tax</f>
        <v>7.939</v>
      </c>
      <c r="D2564" s="23" t="n">
        <f aca="false">a26_tax</f>
        <v>10.493828284</v>
      </c>
      <c r="E2564" s="23" t="n">
        <f aca="false">E2563*tax</f>
        <v>13.1287153464379</v>
      </c>
      <c r="F2564" s="23" t="n">
        <f aca="false">F2563*tax</f>
        <v>12.9781058812424</v>
      </c>
      <c r="G2564" s="23" t="n">
        <f aca="false">G2563*tax</f>
        <v>14.6799530645187</v>
      </c>
    </row>
    <row r="2565" customFormat="false" ht="17.15" hidden="false" customHeight="false" outlineLevel="0" collapsed="false">
      <c r="A2565" s="3" t="s">
        <v>549</v>
      </c>
      <c r="B2565" s="0" t="s">
        <v>181</v>
      </c>
      <c r="C2565" s="23" t="n">
        <f aca="false">a25_mi</f>
        <v>0</v>
      </c>
      <c r="D2565" s="23" t="n">
        <f aca="false">a26_mi</f>
        <v>-0.134999999999987</v>
      </c>
      <c r="E2565" s="23" t="n">
        <f aca="false">0</f>
        <v>0</v>
      </c>
      <c r="F2565" s="23" t="n">
        <f aca="false">0</f>
        <v>0</v>
      </c>
      <c r="G2565" s="23" t="n">
        <f aca="false">0</f>
        <v>0</v>
      </c>
      <c r="K2565" s="7" t="s">
        <v>550</v>
      </c>
    </row>
    <row r="2566" customFormat="false" ht="15" hidden="false" customHeight="false" outlineLevel="0" collapsed="false">
      <c r="A2566" s="3" t="s">
        <v>428</v>
      </c>
      <c r="B2566" s="0" t="s">
        <v>181</v>
      </c>
      <c r="C2566" s="23" t="n">
        <f aca="false">C2563-C2564-C2565</f>
        <v>41.716</v>
      </c>
      <c r="D2566" s="23" t="n">
        <f aca="false">D2563-D2564-D2565</f>
        <v>91.869396916</v>
      </c>
      <c r="E2566" s="23" t="n">
        <f aca="false">E2563-E2564-E2565</f>
        <v>74.3960536298148</v>
      </c>
      <c r="F2566" s="23" t="n">
        <f aca="false">F2563-F2564-F2565</f>
        <v>73.5425999937068</v>
      </c>
      <c r="G2566" s="23" t="n">
        <f aca="false">G2563-G2564-G2565</f>
        <v>83.1864006989396</v>
      </c>
      <c r="H2566" s="30" t="n">
        <f aca="false">H2549*H2570</f>
        <v>87.8885988890067</v>
      </c>
      <c r="I2566" s="30" t="n">
        <f aca="false">I2549*I2570</f>
        <v>90.4992287361474</v>
      </c>
      <c r="J2566" s="30" t="n">
        <f aca="false">J2549*J2570</f>
        <v>90.7577979611078</v>
      </c>
    </row>
    <row r="2567" customFormat="false" ht="15" hidden="false" customHeight="false" outlineLevel="0" collapsed="false">
      <c r="A2567" s="3" t="s">
        <v>551</v>
      </c>
      <c r="B2567" s="3" t="s">
        <v>250</v>
      </c>
      <c r="C2567" s="9" t="n">
        <f aca="false">a25_sh</f>
        <v>12.4898203592814</v>
      </c>
      <c r="D2567" s="9" t="n">
        <f aca="false">a26_sh</f>
        <v>12.4754339027235</v>
      </c>
      <c r="E2567" s="9" t="n">
        <f aca="false">q_sh*(1+sh_g)</f>
        <v>12.45</v>
      </c>
      <c r="F2567" s="9" t="n">
        <f aca="false">E2567*(1+sh_g)</f>
        <v>12.45</v>
      </c>
      <c r="G2567" s="9" t="n">
        <f aca="false">F2567*(1+sh_g)</f>
        <v>12.45</v>
      </c>
      <c r="H2567" s="32" t="n">
        <f aca="false">G2567*(1+sh_g)</f>
        <v>12.45</v>
      </c>
      <c r="I2567" s="32" t="n">
        <f aca="false">H2567*(1+sh_g)</f>
        <v>12.45</v>
      </c>
      <c r="J2567" s="32" t="n">
        <f aca="false">I2567*(1+sh_g)</f>
        <v>12.45</v>
      </c>
    </row>
    <row r="2568" customFormat="false" ht="17.15" hidden="false" customHeight="false" outlineLevel="0" collapsed="false">
      <c r="A2568" s="0" t="s">
        <v>434</v>
      </c>
      <c r="B2568" s="0" t="s">
        <v>260</v>
      </c>
      <c r="C2568" s="23" t="n">
        <f aca="false">C2566/C2567</f>
        <v>3.34</v>
      </c>
      <c r="D2568" s="23" t="n">
        <f aca="false">D2566/D2567</f>
        <v>7.36402418002826</v>
      </c>
      <c r="E2568" s="23" t="n">
        <f aca="false">E2566/E2567</f>
        <v>5.97558663693292</v>
      </c>
      <c r="F2568" s="23" t="n">
        <f aca="false">F2566/F2567</f>
        <v>5.90703614407283</v>
      </c>
      <c r="G2568" s="23" t="n">
        <f aca="false">G2566/G2567</f>
        <v>6.68163861035659</v>
      </c>
      <c r="H2568" s="30" t="n">
        <f aca="false">H2566/H2567</f>
        <v>7.05932521196841</v>
      </c>
      <c r="I2568" s="30" t="n">
        <f aca="false">I2566/I2567</f>
        <v>7.26901435631706</v>
      </c>
      <c r="J2568" s="30" t="n">
        <f aca="false">J2566/J2567</f>
        <v>7.28978296876368</v>
      </c>
    </row>
    <row r="2569" customFormat="false" ht="17.15" hidden="false" customHeight="false" outlineLevel="0" collapsed="false">
      <c r="A2569" s="0" t="s">
        <v>552</v>
      </c>
      <c r="B2569" s="0" t="s">
        <v>69</v>
      </c>
      <c r="D2569" s="21" t="n">
        <f aca="false">D2568/C2568-1</f>
        <v>1.2047976586911</v>
      </c>
      <c r="E2569" s="21" t="n">
        <f aca="false">E2568/D2568-1</f>
        <v>-0.188543316691013</v>
      </c>
      <c r="F2569" s="21" t="n">
        <f aca="false">F2568/E2568-1</f>
        <v>-0.0114717595150238</v>
      </c>
      <c r="G2569" s="21" t="n">
        <f aca="false">G2568/F2568-1</f>
        <v>0.131132169736426</v>
      </c>
      <c r="H2569" s="28" t="n">
        <f aca="false">H2568/G2568-1</f>
        <v>0.0565260445284188</v>
      </c>
      <c r="I2569" s="28" t="n">
        <f aca="false">I2568/H2568-1</f>
        <v>0.0297038510130037</v>
      </c>
      <c r="J2569" s="28" t="n">
        <f aca="false">J2568/I2568-1</f>
        <v>0.00285714285714289</v>
      </c>
    </row>
    <row r="2570" customFormat="false" ht="17.15" hidden="false" customHeight="false" outlineLevel="0" collapsed="false">
      <c r="A2570" s="3" t="s">
        <v>553</v>
      </c>
      <c r="B2570" s="0" t="s">
        <v>69</v>
      </c>
      <c r="C2570" s="15" t="n">
        <f aca="false">C2566/C2549</f>
        <v>0.175607127672562</v>
      </c>
      <c r="D2570" s="15" t="n">
        <f aca="false">D2566/D2549</f>
        <v>0.328417243409073</v>
      </c>
      <c r="E2570" s="15" t="n">
        <f aca="false">E2566/E2549</f>
        <v>0.23076234369762</v>
      </c>
      <c r="F2570" s="15" t="n">
        <f aca="false">F2566/F2549</f>
        <v>0.216946036728413</v>
      </c>
      <c r="G2570" s="15" t="n">
        <f aca="false">G2566/G2549</f>
        <v>0.219212558429654</v>
      </c>
      <c r="H2570" s="29" t="n">
        <f aca="false">$G2570+($G$2570*0.9-$G2570)*1/3</f>
        <v>0.211905473148666</v>
      </c>
      <c r="I2570" s="29" t="n">
        <f aca="false">$G2570+($G$2570*0.9-$G2570)*2/3</f>
        <v>0.204598387867677</v>
      </c>
      <c r="J2570" s="29" t="n">
        <f aca="false">$G2570+($G$2570*0.9-$G2570)*3/3</f>
        <v>0.197291302586689</v>
      </c>
    </row>
    <row r="2573" customFormat="false" ht="17.15" hidden="false" customHeight="false" outlineLevel="0" collapsed="false">
      <c r="A2573" s="1" t="s">
        <v>902</v>
      </c>
    </row>
    <row r="2574" customFormat="false" ht="17.15" hidden="false" customHeight="false" outlineLevel="0" collapsed="false">
      <c r="A2574" s="4" t="s">
        <v>24</v>
      </c>
      <c r="B2574" s="4" t="s">
        <v>25</v>
      </c>
      <c r="C2574" s="16" t="s">
        <v>387</v>
      </c>
      <c r="D2574" s="16" t="s">
        <v>505</v>
      </c>
      <c r="E2574" s="16" t="s">
        <v>467</v>
      </c>
      <c r="F2574" s="16" t="s">
        <v>468</v>
      </c>
      <c r="G2574" s="16" t="s">
        <v>469</v>
      </c>
      <c r="H2574" s="16" t="s">
        <v>506</v>
      </c>
      <c r="I2574" s="16" t="s">
        <v>507</v>
      </c>
      <c r="J2574" s="16" t="s">
        <v>508</v>
      </c>
      <c r="K2574" s="4" t="s">
        <v>345</v>
      </c>
    </row>
    <row r="2575" customFormat="false" ht="17.15" hidden="false" customHeight="false" outlineLevel="0" collapsed="false">
      <c r="A2575" s="5" t="s">
        <v>526</v>
      </c>
    </row>
    <row r="2576" customFormat="false" ht="17.15" hidden="false" customHeight="false" outlineLevel="0" collapsed="false">
      <c r="A2576" s="3" t="s">
        <v>527</v>
      </c>
      <c r="B2576" s="3" t="s">
        <v>64</v>
      </c>
      <c r="D2576" s="22" t="n">
        <f aca="false">cap_26</f>
        <v>5230.46851955216</v>
      </c>
      <c r="E2576" s="22" t="n">
        <f aca="false">D2576*(1+capg27)*cap_adj</f>
        <v>5439.68726033425</v>
      </c>
      <c r="F2576" s="22" t="n">
        <f aca="false">E2576*(1+capg28)</f>
        <v>5820.46536855765</v>
      </c>
      <c r="G2576" s="22" t="n">
        <f aca="false">F2576*(1+capg29)</f>
        <v>6227.89794435668</v>
      </c>
    </row>
    <row r="2577" customFormat="false" ht="15" hidden="false" customHeight="false" outlineLevel="0" collapsed="false">
      <c r="A2577" s="3" t="s">
        <v>528</v>
      </c>
      <c r="B2577" s="0" t="s">
        <v>69</v>
      </c>
      <c r="D2577" s="21" t="n">
        <f aca="false">a26_ship/cap_26</f>
        <v>0.870578781414787</v>
      </c>
      <c r="E2577" s="21" t="n">
        <f aca="false">MIN(0.98,ut27_C+ut_adj)</f>
        <v>0.82</v>
      </c>
      <c r="F2577" s="21" t="n">
        <f aca="false">MIN(0.98,ut28_C+ut_adj)</f>
        <v>0.76</v>
      </c>
      <c r="G2577" s="21" t="n">
        <f aca="false">MIN(0.98,ut29_C+ut_adj)</f>
        <v>0.8</v>
      </c>
    </row>
    <row r="2578" customFormat="false" ht="17.15" hidden="false" customHeight="false" outlineLevel="0" collapsed="false">
      <c r="A2578" s="3" t="s">
        <v>529</v>
      </c>
      <c r="B2578" s="3" t="s">
        <v>64</v>
      </c>
      <c r="D2578" s="22" t="n">
        <f aca="false">D2576*D2577</f>
        <v>4553.53490998013</v>
      </c>
      <c r="E2578" s="22" t="n">
        <f aca="false">E2576*E2577</f>
        <v>4460.54355347409</v>
      </c>
      <c r="F2578" s="22" t="n">
        <f aca="false">F2576*F2577</f>
        <v>4423.55368010381</v>
      </c>
      <c r="G2578" s="22" t="n">
        <f aca="false">G2576*G2577</f>
        <v>4982.31835548535</v>
      </c>
    </row>
    <row r="2579" customFormat="false" ht="17.15" hidden="false" customHeight="false" outlineLevel="0" collapsed="false">
      <c r="A2579" s="3" t="s">
        <v>530</v>
      </c>
      <c r="B2579" s="0" t="s">
        <v>109</v>
      </c>
      <c r="D2579" s="22" t="n">
        <f aca="false">asp_26</f>
        <v>1878.17486396824</v>
      </c>
      <c r="E2579" s="22" t="n">
        <f aca="false">D2579*(1+asp27_C)*(1+asp_adj)</f>
        <v>1878.17486396824</v>
      </c>
      <c r="F2579" s="22" t="n">
        <f aca="false">E2579*(1+asp28_C)</f>
        <v>1765.48437213015</v>
      </c>
      <c r="G2579" s="22" t="n">
        <f aca="false">F2579*(1+asp29_C)</f>
        <v>1712.51984096625</v>
      </c>
    </row>
    <row r="2580" customFormat="false" ht="15" hidden="false" customHeight="false" outlineLevel="0" collapsed="false">
      <c r="A2580" s="3" t="s">
        <v>531</v>
      </c>
      <c r="B2580" s="0" t="s">
        <v>69</v>
      </c>
      <c r="E2580" s="21" t="n">
        <f aca="false">E2579/D2579-1</f>
        <v>0</v>
      </c>
      <c r="F2580" s="21" t="n">
        <f aca="false">F2579/E2579-1</f>
        <v>-0.0599999999999999</v>
      </c>
      <c r="G2580" s="21" t="n">
        <f aca="false">G2579/F2579-1</f>
        <v>-0.0299999999999999</v>
      </c>
    </row>
    <row r="2581" customFormat="false" ht="15" hidden="false" customHeight="false" outlineLevel="0" collapsed="false">
      <c r="A2581" s="3" t="s">
        <v>532</v>
      </c>
      <c r="B2581" s="0" t="s">
        <v>35</v>
      </c>
      <c r="D2581" s="23" t="n">
        <f aca="false">fx_26</f>
        <v>31.6</v>
      </c>
      <c r="E2581" s="23" t="n">
        <f aca="false">fx</f>
        <v>32</v>
      </c>
      <c r="F2581" s="23" t="n">
        <f aca="false">fx</f>
        <v>32</v>
      </c>
      <c r="G2581" s="23" t="n">
        <f aca="false">fx</f>
        <v>32</v>
      </c>
    </row>
    <row r="2582" customFormat="false" ht="17.15" hidden="false" customHeight="false" outlineLevel="0" collapsed="false">
      <c r="A2582" s="3" t="s">
        <v>533</v>
      </c>
      <c r="B2582" s="0" t="s">
        <v>181</v>
      </c>
      <c r="D2582" s="23" t="n">
        <f aca="false">D2578*D2579*D2581/1000000</f>
        <v>270.25378</v>
      </c>
      <c r="E2582" s="23" t="n">
        <f aca="false">E2578*E2579*E2581/1000000</f>
        <v>268.08578501666</v>
      </c>
      <c r="F2582" s="23" t="n">
        <f aca="false">F2578*F2579*F2581/1000000</f>
        <v>249.910876528067</v>
      </c>
      <c r="G2582" s="23" t="n">
        <f aca="false">G2578*G2579*G2581/1000000</f>
        <v>273.034209208927</v>
      </c>
    </row>
    <row r="2583" customFormat="false" ht="17.15" hidden="false" customHeight="false" outlineLevel="0" collapsed="false">
      <c r="A2583" s="5" t="s">
        <v>534</v>
      </c>
    </row>
    <row r="2584" customFormat="false" ht="17.15" hidden="false" customHeight="false" outlineLevel="0" collapsed="false">
      <c r="A2584" s="0" t="s">
        <v>535</v>
      </c>
      <c r="B2584" s="0" t="s">
        <v>138</v>
      </c>
      <c r="D2584" s="25" t="n">
        <f aca="false">ai_26</f>
        <v>0.3</v>
      </c>
      <c r="E2584" s="25" t="n">
        <f aca="false">D2584*(1+aig27_C)*ai_adj</f>
        <v>0.36</v>
      </c>
      <c r="F2584" s="25" t="n">
        <f aca="false">E2584*(1+aig_L)*um28_C</f>
        <v>0.3132</v>
      </c>
      <c r="G2584" s="25" t="n">
        <f aca="false">F2584/um28_C*(1+aig_L)*um29_C</f>
        <v>0.45414</v>
      </c>
    </row>
    <row r="2585" customFormat="false" ht="17.15" hidden="false" customHeight="false" outlineLevel="0" collapsed="false">
      <c r="A2585" s="0" t="s">
        <v>536</v>
      </c>
      <c r="B2585" s="0" t="s">
        <v>181</v>
      </c>
      <c r="D2585" s="23" t="n">
        <f aca="false">D2584*D2581</f>
        <v>9.48</v>
      </c>
      <c r="E2585" s="23" t="n">
        <f aca="false">E2584*E2581</f>
        <v>11.52</v>
      </c>
      <c r="F2585" s="23" t="n">
        <f aca="false">F2584*F2581</f>
        <v>10.0224</v>
      </c>
      <c r="G2585" s="23" t="n">
        <f aca="false">G2584*G2581</f>
        <v>14.53248</v>
      </c>
    </row>
    <row r="2586" customFormat="false" ht="17.15" hidden="false" customHeight="false" outlineLevel="0" collapsed="false">
      <c r="A2586" s="0" t="s">
        <v>537</v>
      </c>
      <c r="B2586" s="0" t="s">
        <v>138</v>
      </c>
      <c r="D2586" s="25" t="n">
        <f aca="false">0</f>
        <v>0</v>
      </c>
      <c r="E2586" s="25" t="n">
        <f aca="false">int_27</f>
        <v>0</v>
      </c>
      <c r="F2586" s="25" t="n">
        <f aca="false">int28_C</f>
        <v>0</v>
      </c>
      <c r="G2586" s="25" t="n">
        <f aca="false">int29_C</f>
        <v>0.08</v>
      </c>
    </row>
    <row r="2587" customFormat="false" ht="17.15" hidden="false" customHeight="false" outlineLevel="0" collapsed="false">
      <c r="A2587" s="0" t="s">
        <v>538</v>
      </c>
      <c r="B2587" s="0" t="s">
        <v>181</v>
      </c>
      <c r="D2587" s="23" t="n">
        <f aca="false">D2586*D2581</f>
        <v>0</v>
      </c>
      <c r="E2587" s="23" t="n">
        <f aca="false">E2586*E2581</f>
        <v>0</v>
      </c>
      <c r="F2587" s="23" t="n">
        <f aca="false">F2586*F2581</f>
        <v>0</v>
      </c>
      <c r="G2587" s="23" t="n">
        <f aca="false">G2586*G2581</f>
        <v>2.56</v>
      </c>
    </row>
    <row r="2588" customFormat="false" ht="17.15" hidden="false" customHeight="false" outlineLevel="0" collapsed="false">
      <c r="A2588" s="3" t="s">
        <v>393</v>
      </c>
      <c r="B2588" s="0" t="s">
        <v>181</v>
      </c>
      <c r="C2588" s="23" t="n">
        <f aca="false">a25_rev</f>
        <v>237.553</v>
      </c>
      <c r="D2588" s="23" t="n">
        <f aca="false">D2582+D2585+D2587</f>
        <v>279.73378</v>
      </c>
      <c r="E2588" s="23" t="n">
        <f aca="false">E2582+E2585+E2587</f>
        <v>279.60578501666</v>
      </c>
      <c r="F2588" s="23" t="n">
        <f aca="false">F2582+F2585+F2587</f>
        <v>259.933276528067</v>
      </c>
      <c r="G2588" s="23" t="n">
        <f aca="false">G2582+G2585+G2587</f>
        <v>290.126689208927</v>
      </c>
      <c r="H2588" s="30" t="n">
        <f aca="false">G2588*(1+H2590)</f>
        <v>314.527952983075</v>
      </c>
      <c r="I2588" s="30" t="n">
        <f aca="false">H2588*(1+I2590)</f>
        <v>330.900005213497</v>
      </c>
      <c r="J2588" s="30" t="n">
        <f aca="false">I2588*(1+J2590)</f>
        <v>337.518005317767</v>
      </c>
      <c r="K2588" s="7" t="s">
        <v>539</v>
      </c>
    </row>
    <row r="2589" customFormat="false" ht="17.15" hidden="false" customHeight="false" outlineLevel="0" collapsed="false">
      <c r="A2589" s="0" t="s">
        <v>540</v>
      </c>
      <c r="B2589" s="0" t="s">
        <v>69</v>
      </c>
      <c r="D2589" s="21" t="n">
        <f aca="false">D2585/D2588</f>
        <v>0.0338893643806622</v>
      </c>
      <c r="E2589" s="21" t="n">
        <f aca="false">E2585/E2588</f>
        <v>0.0412008642786615</v>
      </c>
      <c r="F2589" s="21" t="n">
        <f aca="false">F2585/F2588</f>
        <v>0.0385575872926674</v>
      </c>
      <c r="G2589" s="21" t="n">
        <f aca="false">G2585/G2588</f>
        <v>0.0500901176642002</v>
      </c>
    </row>
    <row r="2590" customFormat="false" ht="15" hidden="false" customHeight="false" outlineLevel="0" collapsed="false">
      <c r="A2590" s="3" t="s">
        <v>541</v>
      </c>
      <c r="B2590" s="0" t="s">
        <v>69</v>
      </c>
      <c r="D2590" s="21" t="n">
        <f aca="false">D2588/C2588-1</f>
        <v>0.177563659478096</v>
      </c>
      <c r="E2590" s="21" t="n">
        <f aca="false">E2588/D2588-1</f>
        <v>-0.000457559981995259</v>
      </c>
      <c r="F2590" s="21" t="n">
        <f aca="false">F2588/E2588-1</f>
        <v>-0.0703580166891779</v>
      </c>
      <c r="G2590" s="21" t="n">
        <f aca="false">G2588/F2588-1</f>
        <v>0.116158319874062</v>
      </c>
      <c r="H2590" s="28" t="n">
        <f aca="false">$G2590+(fade_gC-$G2590)*1/3</f>
        <v>0.0841055465827078</v>
      </c>
      <c r="I2590" s="28" t="n">
        <f aca="false">$G2590+(fade_gC-$G2590)*2/3</f>
        <v>0.0520527732913539</v>
      </c>
      <c r="J2590" s="28" t="n">
        <f aca="false">$G2590+(fade_gC-$G2590)*3/3</f>
        <v>0.02</v>
      </c>
    </row>
    <row r="2591" customFormat="false" ht="17.15" hidden="false" customHeight="false" outlineLevel="0" collapsed="false">
      <c r="A2591" s="5" t="s">
        <v>542</v>
      </c>
    </row>
    <row r="2592" customFormat="false" ht="15" hidden="false" customHeight="false" outlineLevel="0" collapsed="false">
      <c r="A2592" s="3" t="s">
        <v>543</v>
      </c>
      <c r="B2592" s="0" t="s">
        <v>181</v>
      </c>
      <c r="D2592" s="23" t="n">
        <f aca="false">da_tot26*da_sh</f>
        <v>56.172</v>
      </c>
      <c r="E2592" s="23" t="n">
        <f aca="false">D2592*(1+dag_27+dag_adj)</f>
        <v>62.91264</v>
      </c>
      <c r="F2592" s="23" t="n">
        <f aca="false">E2592*(1+dag_28+dag_adj)</f>
        <v>69.203904</v>
      </c>
      <c r="G2592" s="23" t="n">
        <f aca="false">F2592*(1+dag_29+dag_adj)</f>
        <v>74.74021632</v>
      </c>
    </row>
    <row r="2593" customFormat="false" ht="17.15" hidden="false" customHeight="false" outlineLevel="0" collapsed="false">
      <c r="A2593" s="3" t="s">
        <v>544</v>
      </c>
      <c r="B2593" s="0" t="s">
        <v>545</v>
      </c>
      <c r="D2593" s="23" t="n">
        <f aca="false">(D2588-a26_gp-D2592-(1-m_new_hi)*(D2585+D2587))/D2578*1000</f>
        <v>28.1547626919499</v>
      </c>
      <c r="E2593" s="23" t="n">
        <f aca="false">D2593*(1+cc_g)</f>
        <v>28.7178579457889</v>
      </c>
      <c r="F2593" s="23" t="n">
        <f aca="false">E2593*(1+cc_g)</f>
        <v>29.2922151047047</v>
      </c>
      <c r="G2593" s="23" t="n">
        <f aca="false">F2593*(1+cc_g)</f>
        <v>29.8780594067988</v>
      </c>
      <c r="K2593" s="7" t="s">
        <v>546</v>
      </c>
    </row>
    <row r="2594" customFormat="false" ht="17.15" hidden="false" customHeight="false" outlineLevel="0" collapsed="false">
      <c r="A2594" s="3" t="s">
        <v>547</v>
      </c>
      <c r="B2594" s="0" t="s">
        <v>181</v>
      </c>
      <c r="D2594" s="23" t="n">
        <f aca="false">D2593*D2578/1000</f>
        <v>128.2036948</v>
      </c>
      <c r="E2594" s="23" t="n">
        <f aca="false">E2593*E2578/1000</f>
        <v>128.097256129673</v>
      </c>
      <c r="F2594" s="23" t="n">
        <f aca="false">F2593*F2578/1000</f>
        <v>129.575685924809</v>
      </c>
      <c r="G2594" s="23" t="n">
        <f aca="false">G2593*G2578/1000</f>
        <v>148.862003808775</v>
      </c>
    </row>
    <row r="2595" customFormat="false" ht="17.15" hidden="false" customHeight="false" outlineLevel="0" collapsed="false">
      <c r="A2595" s="3" t="s">
        <v>548</v>
      </c>
      <c r="B2595" s="0" t="s">
        <v>181</v>
      </c>
      <c r="D2595" s="23" t="n">
        <f aca="false">m_new_hi*(D2585+D2587)</f>
        <v>5.214</v>
      </c>
      <c r="E2595" s="23" t="n">
        <f aca="false">m_new_hi*(E2585+E2587)</f>
        <v>6.336</v>
      </c>
      <c r="F2595" s="23" t="n">
        <f aca="false">m_new_hi*(F2585+F2587)</f>
        <v>5.51232</v>
      </c>
      <c r="G2595" s="23" t="n">
        <f aca="false">m_new_hi*(G2585+G2587)</f>
        <v>9.400864</v>
      </c>
    </row>
    <row r="2596" customFormat="false" ht="15" hidden="false" customHeight="false" outlineLevel="0" collapsed="false">
      <c r="A2596" s="3" t="s">
        <v>411</v>
      </c>
      <c r="B2596" s="0" t="s">
        <v>181</v>
      </c>
      <c r="C2596" s="23" t="n">
        <f aca="false">a25_gp</f>
        <v>68.906</v>
      </c>
      <c r="D2596" s="23" t="n">
        <f aca="false">D2582-D2592-D2594+D2595</f>
        <v>91.0920852</v>
      </c>
      <c r="E2596" s="23" t="n">
        <f aca="false">E2582-E2592-E2594+E2595</f>
        <v>83.4118888869866</v>
      </c>
      <c r="F2596" s="23" t="n">
        <f aca="false">F2582-F2592-F2594+F2595</f>
        <v>56.6436066032581</v>
      </c>
      <c r="G2596" s="23" t="n">
        <f aca="false">G2582-G2592-G2594+G2595</f>
        <v>58.8328530801519</v>
      </c>
    </row>
    <row r="2597" customFormat="false" ht="15" hidden="false" customHeight="false" outlineLevel="0" collapsed="false">
      <c r="A2597" s="3" t="s">
        <v>413</v>
      </c>
      <c r="B2597" s="0" t="s">
        <v>69</v>
      </c>
      <c r="C2597" s="15" t="n">
        <f aca="false">C2596/C2588</f>
        <v>0.290065795843454</v>
      </c>
      <c r="D2597" s="15" t="n">
        <f aca="false">D2596/D2588</f>
        <v>0.325638488136828</v>
      </c>
      <c r="E2597" s="15" t="n">
        <f aca="false">E2596/E2588</f>
        <v>0.298319610526</v>
      </c>
      <c r="F2597" s="15" t="n">
        <f aca="false">F2596/F2588</f>
        <v>0.217915948892145</v>
      </c>
      <c r="G2597" s="15" t="n">
        <f aca="false">G2596/G2588</f>
        <v>0.202783319385639</v>
      </c>
    </row>
    <row r="2598" customFormat="false" ht="15" hidden="false" customHeight="false" outlineLevel="0" collapsed="false">
      <c r="A2598" s="3" t="s">
        <v>415</v>
      </c>
      <c r="B2598" s="0" t="s">
        <v>181</v>
      </c>
      <c r="C2598" s="23" t="n">
        <f aca="false">a25_opx</f>
        <v>25.056</v>
      </c>
      <c r="D2598" s="23" t="n">
        <f aca="false">a26_opx</f>
        <v>27.23586</v>
      </c>
      <c r="E2598" s="23" t="n">
        <f aca="false">D2598*(1+MAX(g_opx_min,phi*E2590))</f>
        <v>28.0529358</v>
      </c>
      <c r="F2598" s="23" t="n">
        <f aca="false">E2598*(1+MAX(g_opx_min,phi*F2590))</f>
        <v>28.894523874</v>
      </c>
      <c r="G2598" s="23" t="n">
        <f aca="false">F2598*(1+MAX(g_opx_min,phi*G2590))</f>
        <v>30.5726935473824</v>
      </c>
    </row>
    <row r="2599" customFormat="false" ht="15" hidden="false" customHeight="false" outlineLevel="0" collapsed="false">
      <c r="A2599" s="3" t="s">
        <v>418</v>
      </c>
      <c r="B2599" s="0" t="s">
        <v>181</v>
      </c>
      <c r="C2599" s="23" t="n">
        <f aca="false">C2596-C2598</f>
        <v>43.85</v>
      </c>
      <c r="D2599" s="23" t="n">
        <f aca="false">D2596-D2598</f>
        <v>63.8562252</v>
      </c>
      <c r="E2599" s="23" t="n">
        <f aca="false">E2596-E2598</f>
        <v>55.3589530869865</v>
      </c>
      <c r="F2599" s="23" t="n">
        <f aca="false">F2596-F2598</f>
        <v>27.749082729258</v>
      </c>
      <c r="G2599" s="23" t="n">
        <f aca="false">G2596-G2598</f>
        <v>28.2601595327694</v>
      </c>
    </row>
    <row r="2600" customFormat="false" ht="15" hidden="false" customHeight="false" outlineLevel="0" collapsed="false">
      <c r="A2600" s="3" t="s">
        <v>515</v>
      </c>
      <c r="B2600" s="0" t="s">
        <v>69</v>
      </c>
      <c r="C2600" s="15" t="n">
        <f aca="false">C2599/C2588</f>
        <v>0.184590386145408</v>
      </c>
      <c r="D2600" s="15" t="n">
        <f aca="false">D2599/D2588</f>
        <v>0.228274987740129</v>
      </c>
      <c r="E2600" s="15" t="n">
        <f aca="false">E2599/E2588</f>
        <v>0.197989297981399</v>
      </c>
      <c r="F2600" s="15" t="n">
        <f aca="false">F2599/F2588</f>
        <v>0.106754637574315</v>
      </c>
      <c r="G2600" s="15" t="n">
        <f aca="false">G2599/G2588</f>
        <v>0.0974062731347636</v>
      </c>
    </row>
    <row r="2601" customFormat="false" ht="15" hidden="false" customHeight="false" outlineLevel="0" collapsed="false">
      <c r="A2601" s="3" t="s">
        <v>421</v>
      </c>
      <c r="B2601" s="0" t="s">
        <v>181</v>
      </c>
      <c r="C2601" s="23" t="n">
        <f aca="false">a25_nonop</f>
        <v>5.805</v>
      </c>
      <c r="D2601" s="23" t="n">
        <f aca="false">a26_nonop</f>
        <v>38.372</v>
      </c>
      <c r="E2601" s="23" t="n">
        <f aca="false">nonop_f</f>
        <v>4</v>
      </c>
      <c r="F2601" s="23" t="n">
        <f aca="false">nonop_f</f>
        <v>4</v>
      </c>
      <c r="G2601" s="23" t="n">
        <f aca="false">nonop_f</f>
        <v>4</v>
      </c>
    </row>
    <row r="2602" customFormat="false" ht="15" hidden="false" customHeight="false" outlineLevel="0" collapsed="false">
      <c r="A2602" s="3" t="s">
        <v>423</v>
      </c>
      <c r="B2602" s="0" t="s">
        <v>181</v>
      </c>
      <c r="C2602" s="23" t="n">
        <f aca="false">C2599+C2601</f>
        <v>49.655</v>
      </c>
      <c r="D2602" s="23" t="n">
        <f aca="false">D2599+D2601</f>
        <v>102.2282252</v>
      </c>
      <c r="E2602" s="23" t="n">
        <f aca="false">E2599+E2601</f>
        <v>59.3589530869865</v>
      </c>
      <c r="F2602" s="23" t="n">
        <f aca="false">F2599+F2601</f>
        <v>31.749082729258</v>
      </c>
      <c r="G2602" s="23" t="n">
        <f aca="false">G2599+G2601</f>
        <v>32.2601595327694</v>
      </c>
    </row>
    <row r="2603" customFormat="false" ht="15" hidden="false" customHeight="false" outlineLevel="0" collapsed="false">
      <c r="A2603" s="3" t="s">
        <v>425</v>
      </c>
      <c r="B2603" s="0" t="s">
        <v>181</v>
      </c>
      <c r="C2603" s="23" t="n">
        <f aca="false">a25_tax</f>
        <v>7.939</v>
      </c>
      <c r="D2603" s="23" t="n">
        <f aca="false">a26_tax</f>
        <v>10.493828284</v>
      </c>
      <c r="E2603" s="23" t="n">
        <f aca="false">E2602*tax</f>
        <v>8.90384296304798</v>
      </c>
      <c r="F2603" s="23" t="n">
        <f aca="false">F2602*tax</f>
        <v>4.76236240938871</v>
      </c>
      <c r="G2603" s="23" t="n">
        <f aca="false">G2602*tax</f>
        <v>4.83902392991542</v>
      </c>
    </row>
    <row r="2604" customFormat="false" ht="17.15" hidden="false" customHeight="false" outlineLevel="0" collapsed="false">
      <c r="A2604" s="3" t="s">
        <v>549</v>
      </c>
      <c r="B2604" s="0" t="s">
        <v>181</v>
      </c>
      <c r="C2604" s="23" t="n">
        <f aca="false">a25_mi</f>
        <v>0</v>
      </c>
      <c r="D2604" s="23" t="n">
        <f aca="false">a26_mi</f>
        <v>-0.134999999999987</v>
      </c>
      <c r="E2604" s="23" t="n">
        <f aca="false">0</f>
        <v>0</v>
      </c>
      <c r="F2604" s="23" t="n">
        <f aca="false">0</f>
        <v>0</v>
      </c>
      <c r="G2604" s="23" t="n">
        <f aca="false">0</f>
        <v>0</v>
      </c>
      <c r="K2604" s="7" t="s">
        <v>550</v>
      </c>
    </row>
    <row r="2605" customFormat="false" ht="15" hidden="false" customHeight="false" outlineLevel="0" collapsed="false">
      <c r="A2605" s="3" t="s">
        <v>428</v>
      </c>
      <c r="B2605" s="0" t="s">
        <v>181</v>
      </c>
      <c r="C2605" s="23" t="n">
        <f aca="false">C2602-C2603-C2604</f>
        <v>41.716</v>
      </c>
      <c r="D2605" s="23" t="n">
        <f aca="false">D2602-D2603-D2604</f>
        <v>91.869396916</v>
      </c>
      <c r="E2605" s="23" t="n">
        <f aca="false">E2602-E2603-E2604</f>
        <v>50.4551101239386</v>
      </c>
      <c r="F2605" s="23" t="n">
        <f aca="false">F2602-F2603-F2604</f>
        <v>26.9867203198693</v>
      </c>
      <c r="G2605" s="23" t="n">
        <f aca="false">G2602-G2603-G2604</f>
        <v>27.421135602854</v>
      </c>
      <c r="H2605" s="30" t="n">
        <f aca="false">H2588*H2609</f>
        <v>27.7455781872739</v>
      </c>
      <c r="I2605" s="30" t="n">
        <f aca="false">I2588*I2609</f>
        <v>27.1048258728869</v>
      </c>
      <c r="J2605" s="30" t="n">
        <f aca="false">J2588*J2609</f>
        <v>25.5202360526258</v>
      </c>
    </row>
    <row r="2606" customFormat="false" ht="15" hidden="false" customHeight="false" outlineLevel="0" collapsed="false">
      <c r="A2606" s="3" t="s">
        <v>551</v>
      </c>
      <c r="B2606" s="3" t="s">
        <v>250</v>
      </c>
      <c r="C2606" s="9" t="n">
        <f aca="false">a25_sh</f>
        <v>12.4898203592814</v>
      </c>
      <c r="D2606" s="9" t="n">
        <f aca="false">a26_sh</f>
        <v>12.4754339027235</v>
      </c>
      <c r="E2606" s="9" t="n">
        <f aca="false">q_sh*(1+sh_g)</f>
        <v>12.45</v>
      </c>
      <c r="F2606" s="9" t="n">
        <f aca="false">E2606*(1+sh_g)</f>
        <v>12.45</v>
      </c>
      <c r="G2606" s="9" t="n">
        <f aca="false">F2606*(1+sh_g)</f>
        <v>12.45</v>
      </c>
      <c r="H2606" s="32" t="n">
        <f aca="false">G2606*(1+sh_g)</f>
        <v>12.45</v>
      </c>
      <c r="I2606" s="32" t="n">
        <f aca="false">H2606*(1+sh_g)</f>
        <v>12.45</v>
      </c>
      <c r="J2606" s="32" t="n">
        <f aca="false">I2606*(1+sh_g)</f>
        <v>12.45</v>
      </c>
    </row>
    <row r="2607" customFormat="false" ht="17.15" hidden="false" customHeight="false" outlineLevel="0" collapsed="false">
      <c r="A2607" s="0" t="s">
        <v>434</v>
      </c>
      <c r="B2607" s="0" t="s">
        <v>260</v>
      </c>
      <c r="C2607" s="23" t="n">
        <f aca="false">C2605/C2606</f>
        <v>3.34</v>
      </c>
      <c r="D2607" s="23" t="n">
        <f aca="false">D2605/D2606</f>
        <v>7.36402418002826</v>
      </c>
      <c r="E2607" s="23" t="n">
        <f aca="false">E2605/E2606</f>
        <v>4.05261928706334</v>
      </c>
      <c r="F2607" s="23" t="n">
        <f aca="false">F2605/F2606</f>
        <v>2.16760805782083</v>
      </c>
      <c r="G2607" s="23" t="n">
        <f aca="false">G2605/G2606</f>
        <v>2.20250085163486</v>
      </c>
      <c r="H2607" s="30" t="n">
        <f aca="false">H2605/H2606</f>
        <v>2.22856049696979</v>
      </c>
      <c r="I2607" s="30" t="n">
        <f aca="false">I2605/I2606</f>
        <v>2.17709444762144</v>
      </c>
      <c r="J2607" s="30" t="n">
        <f aca="false">J2605/J2606</f>
        <v>2.04981815683742</v>
      </c>
    </row>
    <row r="2608" customFormat="false" ht="17.15" hidden="false" customHeight="false" outlineLevel="0" collapsed="false">
      <c r="A2608" s="0" t="s">
        <v>552</v>
      </c>
      <c r="B2608" s="0" t="s">
        <v>69</v>
      </c>
      <c r="D2608" s="21" t="n">
        <f aca="false">D2607/C2607-1</f>
        <v>1.2047976586911</v>
      </c>
      <c r="E2608" s="21" t="n">
        <f aca="false">E2607/D2607-1</f>
        <v>-0.449673278089673</v>
      </c>
      <c r="F2608" s="21" t="n">
        <f aca="false">F2607/E2607-1</f>
        <v>-0.465134051762471</v>
      </c>
      <c r="G2608" s="21" t="n">
        <f aca="false">G2607/F2607-1</f>
        <v>0.0160973722570075</v>
      </c>
      <c r="H2608" s="28" t="n">
        <f aca="false">H2607/G2607-1</f>
        <v>0.011831843477194</v>
      </c>
      <c r="I2608" s="28" t="n">
        <f aca="false">I2607/H2607-1</f>
        <v>-0.0230938533723144</v>
      </c>
      <c r="J2608" s="28" t="n">
        <f aca="false">J2607/I2607-1</f>
        <v>-0.0584615384615386</v>
      </c>
    </row>
    <row r="2609" customFormat="false" ht="17.15" hidden="false" customHeight="false" outlineLevel="0" collapsed="false">
      <c r="A2609" s="3" t="s">
        <v>553</v>
      </c>
      <c r="B2609" s="0" t="s">
        <v>69</v>
      </c>
      <c r="C2609" s="15" t="n">
        <f aca="false">C2605/C2588</f>
        <v>0.175607127672562</v>
      </c>
      <c r="D2609" s="15" t="n">
        <f aca="false">D2605/D2588</f>
        <v>0.328417243409073</v>
      </c>
      <c r="E2609" s="15" t="n">
        <f aca="false">E2605/E2588</f>
        <v>0.180450880588656</v>
      </c>
      <c r="F2609" s="15" t="n">
        <f aca="false">F2605/F2588</f>
        <v>0.103821721790805</v>
      </c>
      <c r="G2609" s="15" t="n">
        <f aca="false">G2605/G2588</f>
        <v>0.0945143505329405</v>
      </c>
      <c r="H2609" s="29" t="n">
        <f aca="false">$G2609+($G$2609*0.8-$G2609)*1/3</f>
        <v>0.0882133938307445</v>
      </c>
      <c r="I2609" s="29" t="n">
        <f aca="false">$G2609+($G$2609*0.8-$G2609)*2/3</f>
        <v>0.0819124371285484</v>
      </c>
      <c r="J2609" s="29" t="n">
        <f aca="false">$G2609+($G$2609*0.8-$G2609)*3/3</f>
        <v>0.0756114804263524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903</v>
      </c>
    </row>
    <row r="2" customFormat="false" ht="17.15" hidden="false" customHeight="false" outlineLevel="0" collapsed="false">
      <c r="A2" s="3" t="s">
        <v>904</v>
      </c>
      <c r="B2" s="0" t="s">
        <v>905</v>
      </c>
    </row>
    <row r="3" customFormat="false" ht="17.15" hidden="false" customHeight="false" outlineLevel="0" collapsed="false">
      <c r="A3" s="3" t="s">
        <v>906</v>
      </c>
      <c r="B3" s="0" t="s">
        <v>907</v>
      </c>
    </row>
    <row r="4" customFormat="false" ht="17.15" hidden="false" customHeight="false" outlineLevel="0" collapsed="false">
      <c r="A4" s="3" t="s">
        <v>908</v>
      </c>
      <c r="B4" s="0" t="s">
        <v>909</v>
      </c>
    </row>
    <row r="5" customFormat="false" ht="17.15" hidden="false" customHeight="false" outlineLevel="0" collapsed="false">
      <c r="A5" s="3" t="s">
        <v>910</v>
      </c>
      <c r="B5" s="0" t="s">
        <v>911</v>
      </c>
    </row>
    <row r="6" customFormat="false" ht="17.15" hidden="false" customHeight="false" outlineLevel="0" collapsed="false">
      <c r="A6" s="3" t="s">
        <v>912</v>
      </c>
      <c r="B6" s="0" t="s">
        <v>913</v>
      </c>
    </row>
    <row r="7" customFormat="false" ht="17.15" hidden="false" customHeight="false" outlineLevel="0" collapsed="false">
      <c r="A7" s="3" t="s">
        <v>914</v>
      </c>
      <c r="B7" s="0" t="s">
        <v>915</v>
      </c>
    </row>
    <row r="8" customFormat="false" ht="17.15" hidden="false" customHeight="false" outlineLevel="0" collapsed="false">
      <c r="A8" s="3" t="s">
        <v>916</v>
      </c>
      <c r="B8" s="0" t="s">
        <v>917</v>
      </c>
    </row>
    <row r="9" customFormat="false" ht="17.15" hidden="false" customHeight="false" outlineLevel="0" collapsed="false">
      <c r="A9" s="3" t="s">
        <v>918</v>
      </c>
      <c r="B9" s="0" t="s">
        <v>919</v>
      </c>
    </row>
    <row r="10" customFormat="false" ht="17.15" hidden="false" customHeight="false" outlineLevel="0" collapsed="false">
      <c r="A10" s="3" t="s">
        <v>920</v>
      </c>
      <c r="B10" s="0" t="s">
        <v>921</v>
      </c>
    </row>
    <row r="11" customFormat="false" ht="17.15" hidden="false" customHeight="false" outlineLevel="0" collapsed="false">
      <c r="A11" s="3" t="s">
        <v>922</v>
      </c>
      <c r="B11" s="0" t="s">
        <v>923</v>
      </c>
    </row>
    <row r="12" customFormat="false" ht="17.15" hidden="false" customHeight="false" outlineLevel="0" collapsed="false">
      <c r="A12" s="3" t="s">
        <v>924</v>
      </c>
      <c r="B12" s="0" t="s">
        <v>925</v>
      </c>
    </row>
    <row r="13" customFormat="false" ht="17.15" hidden="false" customHeight="false" outlineLevel="0" collapsed="false">
      <c r="A13" s="3" t="s">
        <v>926</v>
      </c>
      <c r="B13" s="0" t="s">
        <v>927</v>
      </c>
    </row>
    <row r="14" customFormat="false" ht="17.15" hidden="false" customHeight="false" outlineLevel="0" collapsed="false">
      <c r="A14" s="3" t="s">
        <v>928</v>
      </c>
      <c r="B14" s="0" t="s">
        <v>929</v>
      </c>
    </row>
    <row r="15" customFormat="false" ht="17.15" hidden="false" customHeight="false" outlineLevel="0" collapsed="false">
      <c r="A15" s="3" t="s">
        <v>930</v>
      </c>
      <c r="B15" s="3" t="s">
        <v>737</v>
      </c>
    </row>
    <row r="16" customFormat="false" ht="15" hidden="false" customHeight="false" outlineLevel="0" collapsed="false">
      <c r="A16" s="0" t="s">
        <v>931</v>
      </c>
      <c r="B16" s="3" t="s">
        <v>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2026-10-31T05:42:42Z</dcterms:created>
  <dc:creator>openpyxl</dc:creator>
  <dc:description/>
  <dc:language>en-US</dc:language>
  <cp:lastModifiedBy/>
  <dcterms:modified xsi:type="dcterms:W3CDTF">2026-10-31T05:42:42Z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