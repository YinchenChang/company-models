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hecks" sheetId="8" state="visible" r:id="rId10"/>
    <sheet name="_Defaults" sheetId="9" state="hidden" r:id="rId11"/>
  </sheets>
  <definedNames>
    <definedName function="false" hidden="false" name="CHK_Errors" vbProcedure="false">Checks!$C$52</definedName>
    <definedName function="false" hidden="false" name="CHK_Warnings" vbProcedure="false">Checks!$C$53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7" vbProcedure="false">Inputs!$E$61</definedName>
    <definedName function="false" hidden="false" name="INP_058" vbProcedure="false">Inputs!$E$62</definedName>
    <definedName function="false" hidden="false" name="INP_059" vbProcedure="false">Inputs!$E$63</definedName>
    <definedName function="false" hidden="false" name="INP_060" vbProcedure="false">Inputs!$E$64</definedName>
    <definedName function="false" hidden="false" name="INP_061" vbProcedure="false">Inputs!$E$65</definedName>
    <definedName function="false" hidden="false" name="INP_062" vbProcedure="false">Inputs!$E$66</definedName>
    <definedName function="false" hidden="false" name="INP_063" vbProcedure="false">Inputs!$E$67</definedName>
    <definedName function="false" hidden="false" name="INP_064" vbProcedure="false">Inputs!$E$68</definedName>
    <definedName function="false" hidden="false" name="INP_065" vbProcedure="false">Inputs!$E$69</definedName>
    <definedName function="false" hidden="false" name="INP_066" vbProcedure="false">Inputs!$E$70</definedName>
    <definedName function="false" hidden="false" name="INP_067" vbProcedure="false">Inputs!$E$71</definedName>
    <definedName function="false" hidden="false" name="INP_068" vbProcedure="false">Inputs!$E$72</definedName>
    <definedName function="false" hidden="false" name="INP_069" vbProcedure="false">Inputs!$E$73</definedName>
    <definedName function="false" hidden="false" name="INP_070" vbProcedure="false">Inputs!$E$74</definedName>
    <definedName function="false" hidden="false" name="INP_071" vbProcedure="false">Inputs!$E$75</definedName>
    <definedName function="false" hidden="false" name="INP_072" vbProcedure="false">Inputs!$E$76</definedName>
    <definedName function="false" hidden="false" name="INP_073" vbProcedure="false">Inputs!$E$77</definedName>
    <definedName function="false" hidden="false" name="INP_074" vbProcedure="false">Inputs!$E$78</definedName>
    <definedName function="false" hidden="false" name="INP_075" vbProcedure="false">Inputs!$E$79</definedName>
    <definedName function="false" hidden="false" name="INP_076" vbProcedure="false">Inputs!$E$80</definedName>
    <definedName function="false" hidden="false" name="INP_077" vbProcedure="false">Inputs!$E$81</definedName>
    <definedName function="false" hidden="false" name="INP_078" vbProcedure="false">Inputs!$E$82</definedName>
    <definedName function="false" hidden="false" name="INP_079" vbProcedure="false">Inputs!$E$83</definedName>
    <definedName function="false" hidden="false" name="INP_080" vbProcedure="false">Inputs!$E$84</definedName>
    <definedName function="false" hidden="false" name="INP_081" vbProcedure="false">Inputs!$E$85</definedName>
    <definedName function="false" hidden="false" name="INP_082" vbProcedure="false">Inputs!$E$86</definedName>
    <definedName function="false" hidden="false" name="INP_083" vbProcedure="false">Inputs!$E$87</definedName>
    <definedName function="false" hidden="false" name="INP_084" vbProcedure="false">Inputs!$E$88</definedName>
    <definedName function="false" hidden="false" name="INP_085" vbProcedure="false">Inputs!$E$89</definedName>
    <definedName function="false" hidden="false" name="INP_086" vbProcedure="false">Inputs!$E$90</definedName>
    <definedName function="false" hidden="false" name="INP_087" vbProcedure="false">Inputs!$E$91</definedName>
    <definedName function="false" hidden="false" name="INP_088" vbProcedure="false">Inputs!$E$92</definedName>
    <definedName function="false" hidden="false" name="INP_089" vbProcedure="false">Inputs!$E$93</definedName>
    <definedName function="false" hidden="false" name="INP_090" vbProcedure="false">Inputs!$E$94</definedName>
    <definedName function="false" hidden="false" name="INP_091" vbProcedure="false">Inputs!$E$95</definedName>
    <definedName function="false" hidden="false" name="INP_092" vbProcedure="false">Inputs!$E$96</definedName>
    <definedName function="false" hidden="false" name="INP_093" vbProcedure="false">Inputs!$E$97</definedName>
    <definedName function="false" hidden="false" name="INP_094" vbProcedure="false">Inputs!$E$98</definedName>
    <definedName function="false" hidden="false" name="INP_095" vbProcedure="false">Inputs!$E$99</definedName>
    <definedName function="false" hidden="false" name="INP_096" vbProcedure="false">Inputs!$E$100</definedName>
    <definedName function="false" hidden="false" name="INP_097" vbProcedure="false">Inputs!$E$101</definedName>
    <definedName function="false" hidden="false" name="INP_098" vbProcedure="false">Inputs!$E$102</definedName>
    <definedName function="false" hidden="false" name="INP_099" vbProcedure="false">Inputs!$E$103</definedName>
    <definedName function="false" hidden="false" name="INP_100" vbProcedure="false">Inputs!$E$104</definedName>
    <definedName function="false" hidden="false" name="INP_101" vbProcedure="false">Inputs!$E$105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NNV_MI455X_Hold" vbProcedure="false">TK_Link!$J$88</definedName>
    <definedName function="false" hidden="false" name="TK_NNV_MI455X_HoldHi" vbProcedure="false">TK_Link!$J$90</definedName>
    <definedName function="false" hidden="false" name="TK_NNV_MI455X_HoldLo" vbProcedure="false">TK_Link!$J$89</definedName>
    <definedName function="false" hidden="false" name="TK_NNV_MI455X_Out" vbProcedure="false">TK_Link!$J$85</definedName>
    <definedName function="false" hidden="false" name="TK_NNV_MI455X_OutHi" vbProcedure="false">TK_Link!$J$87</definedName>
    <definedName function="false" hidden="false" name="TK_NNV_MI455X_OutLo" vbProcedure="false">TK_Link!$J$86</definedName>
    <definedName function="false" hidden="false" name="TK_NNV_TPUv7_Hold" vbProcedure="false">TK_Link!$J$76</definedName>
    <definedName function="false" hidden="false" name="TK_NNV_TPUv7_HoldHi" vbProcedure="false">TK_Link!$J$78</definedName>
    <definedName function="false" hidden="false" name="TK_NNV_TPUv7_HoldLo" vbProcedure="false">TK_Link!$J$77</definedName>
    <definedName function="false" hidden="false" name="TK_NNV_TPUv7_Out" vbProcedure="false">TK_Link!$J$73</definedName>
    <definedName function="false" hidden="false" name="TK_NNV_TPUv7_OutHi" vbProcedure="false">TK_Link!$J$75</definedName>
    <definedName function="false" hidden="false" name="TK_NNV_TPUv7_OutLo" vbProcedure="false">TK_Link!$J$74</definedName>
    <definedName function="false" hidden="false" name="TK_NNV_Trn3_Hold" vbProcedure="false">TK_Link!$J$82</definedName>
    <definedName function="false" hidden="false" name="TK_NNV_Trn3_HoldHi" vbProcedure="false">TK_Link!$J$84</definedName>
    <definedName function="false" hidden="false" name="TK_NNV_Trn3_HoldLo" vbProcedure="false">TK_Link!$J$83</definedName>
    <definedName function="false" hidden="false" name="TK_NNV_Trn3_Out" vbProcedure="false">TK_Link!$J$79</definedName>
    <definedName function="false" hidden="false" name="TK_NNV_Trn3_OutHi" vbProcedure="false">TK_Link!$J$81</definedName>
    <definedName function="false" hidden="false" name="TK_NNV_Trn3_OutLo" vbProcedure="false">TK_Link!$J$80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<sst xmlns="http://schemas.openxmlformats.org/spreadsheetml/2006/main" count="14225" uniqueCount="3696">
  <si>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v0.1-A2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</si>
  <si>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</si>
  <si>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</si>
  <si>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v0.1-A2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層級別、通路分成、淨額、容量上限佔位）、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加入（命題輸出屆時才有值）。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</si>
  <si>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</si>
  <si>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Noto Sans CJK SC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</si>
  <si>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</si>
  <si>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379 </t>
    </r>
    <r>
      <rPr>
        <sz val="10"/>
        <color rgb="FF000000"/>
        <rFont val="Noto Sans CJK SC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Noto Sans CJK SC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列公式化）。標記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</si>
  <si>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</si>
  <si>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個具名範圍（與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同一組）＋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格（讀表，非具名；規格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</si>
  <si>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</si>
  <si>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Noto Sans CJK SC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</si>
  <si>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</si>
  <si>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101 </t>
    </r>
    <r>
      <rPr>
        <sz val="10"/>
        <color rgb="FF000000"/>
        <rFont val="Noto Sans CJK SC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：公式不含常數）。</t>
    </r>
  </si>
  <si>
    <t xml:space="preserve">Demand</t>
  </si>
  <si>
    <r>
      <rPr>
        <sz val="10"/>
        <color rgb="FF000000"/>
        <rFont val="Noto Sans CJK SC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</si>
  <si>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</si>
  <si>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）、容量上限係數（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接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</si>
  <si>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</si>
  <si>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Noto Sans CJK SC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Noto Sans CJK SC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</si>
  <si>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</si>
  <si>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</si>
  <si>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</si>
  <si>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</si>
  <si>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</si>
  <si>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</si>
  <si>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</si>
  <si>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</si>
  <si>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Noto Sans CJK SC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</si>
  <si>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</si>
  <si>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</si>
  <si>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</si>
  <si>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</si>
  <si>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</si>
  <si>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</si>
  <si>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</si>
  <si>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</si>
  <si>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</si>
  <si>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</si>
  <si>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</si>
  <si>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</si>
  <si>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</si>
  <si>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</si>
  <si>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</si>
  <si>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</si>
  <si>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</si>
  <si>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</si>
  <si>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</si>
  <si>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</si>
  <si>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</si>
  <si>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</si>
  <si>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</si>
  <si>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</si>
  <si>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</si>
  <si>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Noto Sans CJK SC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</si>
  <si>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</si>
  <si>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</si>
  <si>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</si>
  <si>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</si>
  <si>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</si>
  <si>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</si>
  <si>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</si>
  <si>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</si>
  <si>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Noto Sans CJK SC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</si>
  <si>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</si>
  <si>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</si>
  <si>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</si>
  <si>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</si>
  <si>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</si>
  <si>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</si>
  <si>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</si>
  <si>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</si>
  <si>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</si>
  <si>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</si>
  <si>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</si>
  <si>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</si>
  <si>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</si>
  <si>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Noto Sans CJK SC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</si>
  <si>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</si>
  <si>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</si>
  <si>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Noto Sans CJK SC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</si>
  <si>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</si>
  <si>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</si>
  <si>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年成長率反推）</t>
    </r>
  </si>
  <si>
    <t xml:space="preserve">2024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</si>
  <si>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Noto Sans CJK SC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</si>
  <si>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</si>
  <si>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</si>
  <si>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</si>
  <si>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</si>
  <si>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</si>
  <si>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Noto Sans CJK SC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Noto Sans CJK SC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</si>
  <si>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</si>
  <si>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</si>
  <si>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</si>
  <si>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</si>
  <si>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</si>
  <si>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Noto Sans CJK SC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</si>
  <si>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</si>
  <si>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</si>
  <si>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</si>
  <si>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Noto Sans CJK SC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Noto Sans CJK SC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</si>
  <si>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</si>
  <si>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</si>
  <si>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</si>
  <si>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</si>
  <si>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</si>
  <si>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</si>
  <si>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Noto Sans CJK SC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</si>
  <si>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</si>
  <si>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</si>
  <si>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Noto Sans CJK SC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</si>
  <si>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</si>
  <si>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Noto Sans CJK SC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</si>
  <si>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</si>
  <si>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</si>
  <si>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取得之文件）</t>
    </r>
  </si>
  <si>
    <r>
      <rPr>
        <sz val="10"/>
        <color rgb="FF000000"/>
        <rFont val="Noto Sans CJK SC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</si>
  <si>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</si>
  <si>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</si>
  <si>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Noto Sans CJK SC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</si>
  <si>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半年</t>
    </r>
  </si>
  <si>
    <t xml:space="preserve">2026-H1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</si>
  <si>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Noto Sans CJK SC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</si>
  <si>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</si>
  <si>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Noto Sans CJK SC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</si>
  <si>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</si>
  <si>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</si>
  <si>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</si>
  <si>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</si>
  <si>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</si>
  <si>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</si>
  <si>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</si>
  <si>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</si>
  <si>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</si>
  <si>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</si>
  <si>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</si>
  <si>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</si>
  <si>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</si>
  <si>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</si>
  <si>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</si>
  <si>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</si>
  <si>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</si>
  <si>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</si>
  <si>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</si>
  <si>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</si>
  <si>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</si>
  <si>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</si>
  <si>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Noto Sans CJK SC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</si>
  <si>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</si>
  <si>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</si>
  <si>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</si>
  <si>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</si>
  <si>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</si>
  <si>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</si>
  <si>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Noto Sans CJK SC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Noto Sans CJK SC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</si>
  <si>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</si>
  <si>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</si>
  <si>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</si>
  <si>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</si>
  <si>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</si>
  <si>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</si>
  <si>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</si>
  <si>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</si>
  <si>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</si>
  <si>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</si>
  <si>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</si>
  <si>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</si>
  <si>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</si>
  <si>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</si>
  <si>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Noto Sans CJK SC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</si>
  <si>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</si>
  <si>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</si>
  <si>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</si>
  <si>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</si>
  <si>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</si>
  <si>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</si>
  <si>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Noto Sans CJK SC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</si>
  <si>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</si>
  <si>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</si>
  <si>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</si>
  <si>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</si>
  <si>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</si>
  <si>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</si>
  <si>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表示；募資誘因）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</si>
  <si>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Noto Sans CJK SC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</si>
  <si>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</si>
  <si>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</si>
  <si>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</si>
  <si>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</si>
  <si>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</si>
  <si>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</si>
  <si>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</si>
  <si>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</si>
  <si>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</si>
  <si>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</si>
  <si>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Noto Sans CJK SC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</si>
  <si>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</si>
  <si>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</si>
  <si>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</si>
  <si>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</si>
  <si>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</si>
  <si>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</si>
  <si>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</si>
  <si>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</si>
  <si>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</si>
  <si>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</si>
  <si>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Noto Sans CJK SC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</si>
  <si>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</si>
  <si>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</si>
  <si>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</si>
  <si>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</si>
  <si>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</si>
  <si>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</si>
  <si>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Noto Sans CJK SC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</si>
  <si>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</si>
  <si>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</si>
  <si>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</si>
  <si>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</si>
  <si>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</si>
  <si>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</si>
  <si>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</si>
  <si>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</si>
  <si>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</si>
  <si>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</si>
  <si>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</si>
  <si>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</si>
  <si>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</si>
  <si>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Noto Sans CJK SC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</si>
  <si>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</si>
  <si>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</si>
  <si>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</si>
  <si>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</si>
  <si>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</si>
  <si>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</si>
  <si>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</si>
  <si>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Noto Sans CJK SC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</si>
  <si>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</si>
  <si>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</si>
  <si>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</si>
  <si>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</si>
  <si>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</si>
  <si>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</si>
  <si>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</si>
  <si>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</si>
  <si>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</si>
  <si>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</si>
  <si>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</si>
  <si>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</si>
  <si>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Noto Sans CJK SC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</si>
  <si>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</si>
  <si>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</si>
  <si>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雲端通路之營收占比</t>
    </r>
  </si>
  <si>
    <t xml:space="preserve">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</si>
  <si>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Noto Sans CJK SC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</si>
  <si>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</si>
  <si>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</si>
  <si>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</si>
  <si>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</si>
  <si>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</si>
  <si>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</si>
  <si>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</si>
  <si>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</si>
  <si>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</si>
  <si>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</si>
  <si>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</si>
  <si>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Noto Sans CJK SC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Noto Sans CJK SC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</si>
  <si>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</si>
  <si>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</si>
  <si>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</si>
  <si>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</si>
  <si>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保留報導值（報導者計算後公布）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</si>
  <si>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</si>
  <si>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</si>
  <si>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</si>
  <si>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Noto Sans CJK SC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</si>
  <si>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Noto Sans CJK SC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</si>
  <si>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</si>
  <si>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</si>
  <si>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</si>
  <si>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Noto Sans CJK SC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</si>
  <si>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</si>
  <si>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</si>
  <si>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</si>
  <si>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</si>
  <si>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</si>
  <si>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Noto Sans CJK SC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Noto Sans CJK SC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</si>
  <si>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</si>
  <si>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</si>
  <si>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</si>
  <si>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</si>
  <si>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</si>
  <si>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</si>
  <si>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</si>
  <si>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</si>
  <si>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</si>
  <si>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</si>
  <si>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Noto Sans CJK SC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</si>
  <si>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</si>
  <si>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</si>
  <si>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（競爭對手；貶低對手誘因）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</si>
  <si>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Noto Sans CJK SC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</si>
  <si>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</si>
  <si>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</si>
  <si>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</si>
  <si>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</si>
  <si>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</si>
  <si>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</si>
  <si>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</si>
  <si>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</si>
  <si>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</si>
  <si>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Noto Sans CJK SC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</si>
  <si>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</si>
  <si>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</si>
  <si>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Noto Sans CJK SC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</si>
  <si>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Noto Sans CJK SC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</si>
  <si>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</si>
  <si>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</si>
  <si>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</si>
  <si>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</si>
  <si>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</si>
  <si>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（外流招股書；媒體推論）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</si>
  <si>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Noto Sans CJK SC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</si>
  <si>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</si>
  <si>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</si>
  <si>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</si>
  <si>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Noto Sans CJK SC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</si>
  <si>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</si>
  <si>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</si>
  <si>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</si>
  <si>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</si>
  <si>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</si>
  <si>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</si>
  <si>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</si>
  <si>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</si>
  <si>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</si>
  <si>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</si>
  <si>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Noto Sans CJK SC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Noto Sans CJK SC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</si>
  <si>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</si>
  <si>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</si>
  <si>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</si>
  <si>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</si>
  <si>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（投資人預測文件）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</si>
  <si>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</si>
  <si>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</si>
  <si>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</si>
  <si>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</si>
  <si>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Noto Sans CJK SC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</si>
  <si>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</si>
  <si>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</si>
  <si>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Noto Sans CJK SC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</si>
  <si>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</si>
  <si>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</si>
  <si>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毛利率（含免費用戶推論成本）</t>
    </r>
  </si>
  <si>
    <r>
      <rPr>
        <sz val="10"/>
        <color rgb="FF000000"/>
        <rFont val="Noto Sans CJK SC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Noto Sans CJK SC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</si>
  <si>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</si>
  <si>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</si>
  <si>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</si>
  <si>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</si>
  <si>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</si>
  <si>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推論成本超出原預測幅度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</si>
  <si>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Noto Sans CJK SC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</si>
  <si>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</si>
  <si>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</si>
  <si>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</si>
  <si>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</si>
  <si>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</si>
  <si>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</si>
  <si>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</si>
  <si>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Noto Sans CJK SC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Noto Sans CJK SC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</si>
  <si>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</si>
  <si>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</si>
  <si>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</si>
  <si>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Noto Sans CJK SC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</si>
  <si>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</si>
  <si>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（執行長公開談話；市場地位誘因）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</si>
  <si>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Noto Sans CJK SC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Noto Sans CJK SC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</si>
  <si>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</si>
  <si>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</si>
  <si>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</si>
  <si>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</si>
  <si>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Noto Sans CJK SC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</si>
  <si>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</si>
  <si>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</si>
  <si>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Noto Sans CJK SC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</si>
  <si>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</si>
  <si>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</si>
  <si>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</si>
  <si>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</si>
  <si>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</si>
  <si>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</si>
  <si>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Noto Sans CJK SC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</si>
  <si>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</si>
  <si>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</si>
  <si>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</si>
  <si>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</si>
  <si>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</si>
  <si>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</si>
  <si>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</si>
  <si>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取得之投資人預測）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</si>
  <si>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</si>
  <si>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</si>
  <si>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</si>
  <si>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</si>
  <si>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</si>
  <si>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</si>
  <si>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</si>
  <si>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</si>
  <si>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</si>
  <si>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Noto Sans CJK SC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</si>
  <si>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</si>
  <si>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</si>
  <si>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營收（季前預測）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</si>
  <si>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Noto Sans CJK SC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</si>
  <si>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</si>
  <si>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</si>
  <si>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</si>
  <si>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</si>
  <si>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</si>
  <si>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Noto Sans CJK SC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Noto Sans CJK SC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</si>
  <si>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</si>
  <si>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</si>
  <si>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Noto Sans CJK SC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</si>
  <si>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</si>
  <si>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</si>
  <si>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</si>
  <si>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</si>
  <si>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</si>
  <si>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</si>
  <si>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Noto Sans CJK SC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</si>
  <si>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</si>
  <si>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</si>
  <si>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</si>
  <si>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Noto Sans CJK SC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</si>
  <si>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</si>
  <si>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</si>
  <si>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Noto Sans CJK SC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</si>
  <si>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Noto Sans CJK SC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</si>
  <si>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</si>
  <si>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</si>
  <si>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</si>
  <si>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Noto Sans CJK SC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</si>
  <si>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</si>
  <si>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</si>
  <si>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</si>
  <si>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</si>
  <si>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</si>
  <si>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Noto Sans CJK SC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</si>
  <si>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</si>
  <si>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</si>
  <si>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Noto Sans CJK SC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Noto Sans CJK SC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</si>
  <si>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</si>
  <si>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</si>
  <si>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</si>
  <si>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</si>
  <si>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</si>
  <si>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</si>
  <si>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</si>
  <si>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</si>
  <si>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Noto Sans CJK SC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</si>
  <si>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</si>
  <si>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</si>
  <si>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Noto Sans CJK SC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</si>
  <si>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</si>
  <si>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</si>
  <si>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</si>
  <si>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</si>
  <si>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</si>
  <si>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Noto Sans CJK SC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Noto Sans CJK SC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</si>
  <si>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</si>
  <si>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</si>
  <si>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</si>
  <si>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</si>
  <si>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</si>
  <si>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</si>
  <si>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</si>
  <si>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</si>
  <si>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（官方牌價；市場地位誘因）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</si>
  <si>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</si>
  <si>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</si>
  <si>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</si>
  <si>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</si>
  <si>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</si>
  <si>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</si>
  <si>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</si>
  <si>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</si>
  <si>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</si>
  <si>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</si>
  <si>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</si>
  <si>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</si>
  <si>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</si>
  <si>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</si>
  <si>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</si>
  <si>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</si>
  <si>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</si>
  <si>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</si>
  <si>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</si>
  <si>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</si>
  <si>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</si>
  <si>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</si>
  <si>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</si>
  <si>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</si>
  <si>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</si>
  <si>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Noto Sans CJK SC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</si>
  <si>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</si>
  <si>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</si>
  <si>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</si>
  <si>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</si>
  <si>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</si>
  <si>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</si>
  <si>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</si>
  <si>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</si>
  <si>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</si>
  <si>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</si>
  <si>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Noto Sans CJK SC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</si>
  <si>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</si>
  <si>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</si>
  <si>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</si>
  <si>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</si>
  <si>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</si>
  <si>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</si>
  <si>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</si>
  <si>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Noto Sans CJK SC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</si>
  <si>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</si>
  <si>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</si>
  <si>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</si>
  <si>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</si>
  <si>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</si>
  <si>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</si>
  <si>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</si>
  <si>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</si>
  <si>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</si>
  <si>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</si>
  <si>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</si>
  <si>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</si>
  <si>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</si>
  <si>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</si>
  <si>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</si>
  <si>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</si>
  <si>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</si>
  <si>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</si>
  <si>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</si>
  <si>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</si>
  <si>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</si>
  <si>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</si>
  <si>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</si>
  <si>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</si>
  <si>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</si>
  <si>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</si>
  <si>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</si>
  <si>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</si>
  <si>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</si>
  <si>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</si>
  <si>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</si>
  <si>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</si>
  <si>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</si>
  <si>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</si>
  <si>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</si>
  <si>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</si>
  <si>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</si>
  <si>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</si>
  <si>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Noto Sans CJK SC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</si>
  <si>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</si>
  <si>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</si>
  <si>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</si>
  <si>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</si>
  <si>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</si>
  <si>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</si>
  <si>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</si>
  <si>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</si>
  <si>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</si>
  <si>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</si>
  <si>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</si>
  <si>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</si>
  <si>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</si>
  <si>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</si>
  <si>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</si>
  <si>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</si>
  <si>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</si>
  <si>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</si>
  <si>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</si>
  <si>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</si>
  <si>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</si>
  <si>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</si>
  <si>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</si>
  <si>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</si>
  <si>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</si>
  <si>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</si>
  <si>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</si>
  <si>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</si>
  <si>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</si>
  <si>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</si>
  <si>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</si>
  <si>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</si>
  <si>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</si>
  <si>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</si>
  <si>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</si>
  <si>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</si>
  <si>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</si>
  <si>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</si>
  <si>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</si>
  <si>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</si>
  <si>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</si>
  <si>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</si>
  <si>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</si>
  <si>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</si>
  <si>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</si>
  <si>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</si>
  <si>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</si>
  <si>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</si>
  <si>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</si>
  <si>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</si>
  <si>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</si>
  <si>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</si>
  <si>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</si>
  <si>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</si>
  <si>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</si>
  <si>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</si>
  <si>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Noto Sans CJK SC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</si>
  <si>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</si>
  <si>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Noto Sans CJK SC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</si>
  <si>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</si>
  <si>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</si>
  <si>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</si>
  <si>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</si>
  <si>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</si>
  <si>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</si>
  <si>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</si>
  <si>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</si>
  <si>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</si>
  <si>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Noto Sans CJK SC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Noto Sans CJK SC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</si>
  <si>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</si>
  <si>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</si>
  <si>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</si>
  <si>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</si>
  <si>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</si>
  <si>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</si>
  <si>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</si>
  <si>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</si>
  <si>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</si>
  <si>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</si>
  <si>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</si>
  <si>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</si>
  <si>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</si>
  <si>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</si>
  <si>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</si>
  <si>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</si>
  <si>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</si>
  <si>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</si>
  <si>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Noto Sans CJK SC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Noto Sans CJK SC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</si>
  <si>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</si>
  <si>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</si>
  <si>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</si>
  <si>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</si>
  <si>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</si>
  <si>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</si>
  <si>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</si>
  <si>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</si>
  <si>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</si>
  <si>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</si>
  <si>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</si>
  <si>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</si>
  <si>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</si>
  <si>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</si>
  <si>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</si>
  <si>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</si>
  <si>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Noto Sans CJK SC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</si>
  <si>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</si>
  <si>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</si>
  <si>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</si>
  <si>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</si>
  <si>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</si>
  <si>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</si>
  <si>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</si>
  <si>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</si>
  <si>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</si>
  <si>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</si>
  <si>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</si>
  <si>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</si>
  <si>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</si>
  <si>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</si>
  <si>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</si>
  <si>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</si>
  <si>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</si>
  <si>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Noto Sans CJK SC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</si>
  <si>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</si>
  <si>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Noto Sans CJK SC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</si>
  <si>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</si>
  <si>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</si>
  <si>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</si>
  <si>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</si>
  <si>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</si>
  <si>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</si>
  <si>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</si>
  <si>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</si>
  <si>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</si>
  <si>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</si>
  <si>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</si>
  <si>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</si>
  <si>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</si>
  <si>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</si>
  <si>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</si>
  <si>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</si>
  <si>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</si>
  <si>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</si>
  <si>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</si>
  <si>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</si>
  <si>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</si>
  <si>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</si>
  <si>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</si>
  <si>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</si>
  <si>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</si>
  <si>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</si>
  <si>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</si>
  <si>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</si>
  <si>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</si>
  <si>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</si>
  <si>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</si>
  <si>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</si>
  <si>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</si>
  <si>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</si>
  <si>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</si>
  <si>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</si>
  <si>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Noto Sans CJK SC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</si>
  <si>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</si>
  <si>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</si>
  <si>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</si>
  <si>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Noto Sans CJK SC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</si>
  <si>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</si>
  <si>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</si>
  <si>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Noto Sans CJK SC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Noto Sans CJK SC"/>
        <family val="2"/>
      </rPr>
      <t xml:space="preserve">）加價倍數</t>
    </r>
  </si>
  <si>
    <t xml:space="preserve">倍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</si>
  <si>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</si>
  <si>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</si>
  <si>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</si>
  <si>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</si>
  <si>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Noto Sans CJK SC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</si>
  <si>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</si>
  <si>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</si>
  <si>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</si>
  <si>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</si>
  <si>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</si>
  <si>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</si>
  <si>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Noto Sans CJK SC"/>
        <family val="2"/>
      </rPr>
      <t xml:space="preserve">加價倍數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</si>
  <si>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</si>
  <si>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</si>
  <si>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</si>
  <si>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</si>
  <si>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</si>
  <si>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</si>
  <si>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</si>
  <si>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</si>
  <si>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</si>
  <si>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</si>
  <si>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</si>
  <si>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</si>
  <si>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Noto Sans CJK SC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</si>
  <si>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</si>
  <si>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</si>
  <si>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</si>
  <si>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</si>
  <si>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</si>
  <si>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</si>
  <si>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快取讀取（上市時）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</si>
  <si>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</si>
  <si>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</si>
  <si>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</si>
  <si>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Noto Sans CJK SC"/>
        <family val="2"/>
      </rPr>
      <t xml:space="preserve">降價後）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</si>
  <si>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Noto Sans CJK SC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Noto Sans CJK SC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</si>
  <si>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</si>
  <si>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</si>
  <si>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</si>
  <si>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〉價格表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</si>
  <si>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Noto Sans CJK SC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</si>
  <si>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</si>
  <si>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</si>
  <si>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</si>
  <si>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Noto Sans CJK SC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</si>
  <si>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</si>
  <si>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</si>
  <si>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</si>
  <si>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</si>
  <si>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</si>
  <si>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</si>
  <si>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</si>
  <si>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</si>
  <si>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</si>
  <si>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</si>
  <si>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</si>
  <si>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</si>
  <si>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</si>
  <si>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</si>
  <si>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</si>
  <si>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</si>
  <si>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</si>
  <si>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</si>
  <si>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</si>
  <si>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</si>
  <si>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Noto Sans CJK SC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Noto Sans CJK SC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</si>
  <si>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</si>
  <si>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</si>
  <si>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Noto Sans CJK SC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</si>
  <si>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</si>
  <si>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</si>
  <si>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</si>
  <si>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</si>
  <si>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</si>
  <si>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</si>
  <si>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</si>
  <si>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</si>
  <si>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</si>
  <si>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</si>
  <si>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</si>
  <si>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</si>
  <si>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比例（折扣）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</si>
  <si>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</si>
  <si>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</si>
  <si>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</si>
  <si>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Noto Sans CJK SC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</si>
  <si>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</si>
  <si>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</si>
  <si>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</si>
  <si>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</si>
  <si>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</si>
  <si>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Noto Sans CJK SC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Noto Sans CJK SC"/>
        <family val="2"/>
      </rPr>
      <t xml:space="preserve">後加價</t>
    </r>
  </si>
  <si>
    <t xml:space="preserve">加價比例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</si>
  <si>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Noto Sans CJK SC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Noto Sans CJK SC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</si>
  <si>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</si>
  <si>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</si>
  <si>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</si>
  <si>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</si>
  <si>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</si>
  <si>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Noto Sans CJK SC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</si>
  <si>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</si>
  <si>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（牌價經第三方轉述；官方定價頁本次無法開啟）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</si>
  <si>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</si>
  <si>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</si>
  <si>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</si>
  <si>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</si>
  <si>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</si>
  <si>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Noto Sans CJK SC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</si>
  <si>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</si>
  <si>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</si>
  <si>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</si>
  <si>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</si>
  <si>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</si>
  <si>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</si>
  <si>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</si>
  <si>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</si>
  <si>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</si>
  <si>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</si>
  <si>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Noto Sans CJK SC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Noto Sans CJK SC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</si>
  <si>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</si>
  <si>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Noto Sans CJK SC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</si>
  <si>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</si>
  <si>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</si>
  <si>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</si>
  <si>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</si>
  <si>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</si>
  <si>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</si>
  <si>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</si>
  <si>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</si>
  <si>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Noto Sans CJK SC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</si>
  <si>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</si>
  <si>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</si>
  <si>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</si>
  <si>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</si>
  <si>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</si>
  <si>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</si>
  <si>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</si>
  <si>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</si>
  <si>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</si>
  <si>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</si>
  <si>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席位（年付，月均）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</si>
  <si>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</si>
  <si>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</si>
  <si>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</si>
  <si>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席位（月付）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</si>
  <si>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</si>
  <si>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</si>
  <si>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</si>
  <si>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標準席位（年付，月均）— 舊報導值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</si>
  <si>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Noto Sans CJK SC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</si>
  <si>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</si>
  <si>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</si>
  <si>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</si>
  <si>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</si>
  <si>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Noto Sans CJK SC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</si>
  <si>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</si>
  <si>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Noto Sans CJK SC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</si>
  <si>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</si>
  <si>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</si>
  <si>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</si>
  <si>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Noto Sans CJK SC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</si>
  <si>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</si>
  <si>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（經媒體轉述）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</si>
  <si>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Noto Sans CJK SC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</si>
  <si>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</si>
  <si>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</si>
  <si>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</si>
  <si>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Noto Sans CJK SC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</si>
  <si>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</si>
  <si>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</si>
  <si>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Noto Sans CJK SC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</si>
  <si>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</si>
  <si>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</si>
  <si>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</si>
  <si>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</si>
  <si>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Noto Sans CJK SC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</si>
  <si>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</si>
  <si>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</si>
  <si>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Noto Sans CJK SC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</si>
  <si>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</si>
  <si>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</si>
  <si>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</si>
  <si>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</si>
  <si>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Noto Sans CJK SC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</si>
  <si>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</si>
  <si>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</si>
  <si>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Noto Sans CJK SC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</si>
  <si>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</si>
  <si>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</si>
  <si>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</si>
  <si>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Noto Sans CJK SC"/>
        <family val="2"/>
      </rPr>
      <t xml:space="preserve">）</t>
    </r>
  </si>
  <si>
    <t xml:space="preserve">變動比例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</si>
  <si>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Noto Sans CJK SC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Noto Sans CJK SC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</si>
  <si>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</si>
  <si>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</si>
  <si>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</si>
  <si>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</si>
  <si>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</si>
  <si>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</si>
  <si>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</si>
  <si>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</si>
  <si>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</si>
  <si>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</si>
  <si>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Noto Sans CJK SC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</si>
  <si>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Noto Sans CJK SC"/>
        <family val="2"/>
      </rPr>
      <t xml:space="preserve">更新）</t>
    </r>
  </si>
  <si>
    <t xml:space="preserve">2026-08-10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</si>
  <si>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</si>
  <si>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</si>
  <si>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</si>
  <si>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</si>
  <si>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</si>
  <si>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</si>
  <si>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Noto Sans CJK SC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</si>
  <si>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</si>
  <si>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</si>
  <si>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</si>
  <si>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</si>
  <si>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</si>
  <si>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</si>
  <si>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Noto Sans CJK SC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</si>
  <si>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</si>
  <si>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</si>
  <si>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</si>
  <si>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</si>
  <si>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</si>
  <si>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</si>
  <si>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</si>
  <si>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Noto Sans CJK SC"/>
        <family val="2"/>
      </rPr>
      <t xml:space="preserve">客戶數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</si>
  <si>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Noto Sans CJK SC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</si>
  <si>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</si>
  <si>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</si>
  <si>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</si>
  <si>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</si>
  <si>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</si>
  <si>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</si>
  <si>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</si>
  <si>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</si>
  <si>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</si>
  <si>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Noto Sans CJK SC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</si>
  <si>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</si>
  <si>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</si>
  <si>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</si>
  <si>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</si>
  <si>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</si>
  <si>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</si>
  <si>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</si>
  <si>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</si>
  <si>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</si>
  <si>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</si>
  <si>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</si>
  <si>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Noto Sans CJK SC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</si>
  <si>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</si>
  <si>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</si>
  <si>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</si>
  <si>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</si>
  <si>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</si>
  <si>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</si>
  <si>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</si>
  <si>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</si>
  <si>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</si>
  <si>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Noto Sans CJK SC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</si>
  <si>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</si>
  <si>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</si>
  <si>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Noto Sans CJK SC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</si>
  <si>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</si>
  <si>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</si>
  <si>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Noto Sans CJK SC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</si>
  <si>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</si>
  <si>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</si>
  <si>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</si>
  <si>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Noto Sans CJK SC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Noto Sans CJK SC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</si>
  <si>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</si>
  <si>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</si>
  <si>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</si>
  <si>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</si>
  <si>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Noto Sans CJK SC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</si>
  <si>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</si>
  <si>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</si>
  <si>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</si>
  <si>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</si>
  <si>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</si>
  <si>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</si>
  <si>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</si>
  <si>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</si>
  <si>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Noto Sans CJK SC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</si>
  <si>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</si>
  <si>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</si>
  <si>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</si>
  <si>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</si>
  <si>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</si>
  <si>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</si>
  <si>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</si>
  <si>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Noto Sans CJK SC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</si>
  <si>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</si>
  <si>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</si>
  <si>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</si>
  <si>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</si>
  <si>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Noto Sans CJK SC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</si>
  <si>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</si>
  <si>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（合作方宣傳誘因）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</si>
  <si>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Noto Sans CJK SC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</si>
  <si>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</si>
  <si>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</si>
  <si>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Noto Sans CJK SC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</si>
  <si>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</si>
  <si>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</si>
  <si>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</si>
  <si>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</si>
  <si>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Noto Sans CJK SC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</si>
  <si>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</si>
  <si>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</si>
  <si>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</si>
  <si>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</si>
  <si>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</si>
  <si>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</si>
  <si>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</si>
  <si>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</si>
  <si>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</si>
  <si>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</si>
  <si>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</si>
  <si>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Noto Sans CJK SC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</si>
  <si>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</si>
  <si>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（經分析機構轉述）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</si>
  <si>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Noto Sans CJK SC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</si>
  <si>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</si>
  <si>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</si>
  <si>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Noto Sans CJK SC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</si>
  <si>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</si>
  <si>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</si>
  <si>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</si>
  <si>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</si>
  <si>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</si>
  <si>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</si>
  <si>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</si>
  <si>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</si>
  <si>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</si>
  <si>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</si>
  <si>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</si>
  <si>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Noto Sans CJK SC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</si>
  <si>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</si>
  <si>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</si>
  <si>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Noto Sans CJK SC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Noto Sans CJK SC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</si>
  <si>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Noto Sans CJK SC"/>
        <family val="2"/>
      </rPr>
      <t xml:space="preserve">年中報告）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</si>
  <si>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</si>
  <si>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</si>
  <si>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</si>
  <si>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</si>
  <si>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數量上限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</si>
  <si>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</si>
  <si>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</si>
  <si>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</si>
  <si>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</si>
  <si>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</si>
  <si>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Noto Sans CJK SC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</si>
  <si>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</si>
  <si>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</si>
  <si>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上線容量</t>
    </r>
  </si>
  <si>
    <t xml:space="preserve">GW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</si>
  <si>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Noto Sans CJK SC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</si>
  <si>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</si>
  <si>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</si>
  <si>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</si>
  <si>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（合約總額）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</si>
  <si>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Noto Sans CJK SC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</si>
  <si>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</si>
  <si>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</si>
  <si>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</si>
  <si>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</si>
  <si>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Noto Sans CJK SC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</si>
  <si>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</si>
  <si>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</si>
  <si>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</si>
  <si>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</si>
  <si>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</si>
  <si>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Noto Sans CJK SC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</si>
  <si>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</si>
  <si>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</si>
  <si>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</si>
  <si>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Noto Sans CJK SC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</si>
  <si>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</si>
  <si>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</si>
  <si>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</si>
  <si>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Noto Sans CJK SC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</si>
  <si>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</si>
  <si>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Noto Sans CJK SC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Noto Sans CJK SC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</si>
  <si>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</si>
  <si>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</si>
  <si>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Noto Sans CJK SC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</si>
  <si>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</si>
  <si>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</si>
  <si>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Noto Sans CJK SC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Noto Sans CJK SC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</si>
  <si>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</si>
  <si>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</si>
  <si>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</si>
  <si>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</si>
  <si>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</si>
  <si>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Noto Sans CJK SC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</si>
  <si>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</si>
  <si>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</si>
  <si>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</si>
  <si>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</si>
  <si>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</si>
  <si>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Noto Sans CJK SC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</si>
  <si>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</si>
  <si>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</si>
  <si>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</si>
  <si>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</si>
  <si>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</si>
  <si>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</si>
  <si>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（媒體轉述公司說法）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</si>
  <si>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Noto Sans CJK SC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</si>
  <si>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</si>
  <si>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</si>
  <si>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</si>
  <si>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Noto Sans CJK SC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</si>
  <si>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</si>
  <si>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</si>
  <si>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Noto Sans CJK SC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Noto Sans CJK SC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</si>
  <si>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</si>
  <si>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</si>
  <si>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</si>
  <si>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（五年總額）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</si>
  <si>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Noto Sans CJK SC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</si>
  <si>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Noto Sans CJK SC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</si>
  <si>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</si>
  <si>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未能證實）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</si>
  <si>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Noto Sans CJK SC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</si>
  <si>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</si>
  <si>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</si>
  <si>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</si>
  <si>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</si>
  <si>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</si>
  <si>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Noto Sans CJK SC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</si>
  <si>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</si>
  <si>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</si>
  <si>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</si>
  <si>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Noto Sans CJK SC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</si>
  <si>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</si>
  <si>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</si>
  <si>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</si>
  <si>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</si>
  <si>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</si>
  <si>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</si>
  <si>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</si>
  <si>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</si>
  <si>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Noto Sans CJK SC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</si>
  <si>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</si>
  <si>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</si>
  <si>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</si>
  <si>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</si>
  <si>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</si>
  <si>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Noto Sans CJK SC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</si>
  <si>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</si>
  <si>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</si>
  <si>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</si>
  <si>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</si>
  <si>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</si>
  <si>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Noto Sans CJK SC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</si>
  <si>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</si>
  <si>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</si>
  <si>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Noto Sans CJK SC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</si>
  <si>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</si>
  <si>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</si>
  <si>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Noto Sans CJK SC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Noto Sans CJK SC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</si>
  <si>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</si>
  <si>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</si>
  <si>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出資）</t>
    </r>
  </si>
  <si>
    <t xml:space="preserve">2024–2025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</si>
  <si>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</si>
  <si>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</si>
  <si>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</si>
  <si>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</si>
  <si>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</si>
  <si>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</si>
  <si>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</si>
  <si>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</si>
  <si>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Noto Sans CJK SC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Noto Sans CJK SC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Noto Sans CJK SC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</si>
  <si>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</si>
  <si>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</si>
  <si>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Noto Sans CJK SC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</si>
  <si>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</si>
  <si>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</si>
  <si>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Noto Sans CJK SC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Noto Sans CJK SC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Noto Sans CJK SC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</si>
  <si>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</si>
  <si>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</si>
  <si>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</si>
  <si>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</si>
  <si>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</si>
  <si>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Noto Sans CJK SC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</si>
  <si>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</si>
  <si>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</si>
  <si>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</si>
  <si>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（十年總額）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</si>
  <si>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Noto Sans CJK SC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</si>
  <si>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</si>
  <si>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</si>
  <si>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</si>
  <si>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（約）</t>
    </r>
  </si>
  <si>
    <t xml:space="preserve">2026-12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</si>
  <si>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Noto Sans CJK SC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Noto Sans CJK SC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</si>
  <si>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</si>
  <si>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</si>
  <si>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Noto Sans CJK SC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</si>
  <si>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Noto Sans CJK SC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</si>
  <si>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</si>
  <si>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</si>
  <si>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Noto Sans CJK SC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為主要雲端與訓練夥伴（定性）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</si>
  <si>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Noto Sans CJK SC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</si>
  <si>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</si>
  <si>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</si>
  <si>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</si>
  <si>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</si>
  <si>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Noto Sans CJK SC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</si>
  <si>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</si>
  <si>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</si>
  <si>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／知情人士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</si>
  <si>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Noto Sans CJK SC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Noto Sans CJK SC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Noto Sans CJK SC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</si>
  <si>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</si>
  <si>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</si>
  <si>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Noto Sans CJK SC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</si>
  <si>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</si>
  <si>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</si>
  <si>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</si>
  <si>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</si>
  <si>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</si>
  <si>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</si>
  <si>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Noto Sans CJK SC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</si>
  <si>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</si>
  <si>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</si>
  <si>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</si>
  <si>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</si>
  <si>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（募資與晶片銷售誘因）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</si>
  <si>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Noto Sans CJK SC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</si>
  <si>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</si>
  <si>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</si>
  <si>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</si>
  <si>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</si>
  <si>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</si>
  <si>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</si>
  <si>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Noto Sans CJK SC"/>
        <family val="2"/>
      </rPr>
      <t xml:space="preserve">）</t>
    </r>
  </si>
  <si>
    <t xml:space="preserve">二手（含一手轉載）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</si>
  <si>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Noto Sans CJK SC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</si>
  <si>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</si>
  <si>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</si>
  <si>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Noto Sans CJK SC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</si>
  <si>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</si>
  <si>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</si>
  <si>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</si>
  <si>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</si>
  <si>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（募資、政策形象誘因）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</si>
  <si>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Noto Sans CJK SC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Noto Sans CJK SC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</si>
  <si>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</si>
  <si>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</si>
  <si>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</si>
  <si>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</si>
  <si>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</si>
  <si>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</si>
  <si>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Noto Sans CJK SC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Noto Sans CJK SC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</si>
  <si>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</si>
  <si>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</si>
  <si>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Noto Sans CJK SC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</si>
  <si>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</si>
  <si>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</si>
  <si>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</si>
  <si>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</si>
  <si>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</si>
  <si>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Noto Sans CJK SC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</si>
  <si>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</si>
  <si>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</si>
  <si>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</si>
  <si>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</si>
  <si>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</si>
  <si>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</si>
  <si>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Noto Sans CJK SC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Noto Sans CJK SC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</si>
  <si>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</si>
  <si>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</si>
  <si>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</si>
  <si>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</si>
  <si>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Noto Sans CJK SC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</si>
  <si>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</si>
  <si>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</si>
  <si>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Noto Sans CJK SC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</si>
  <si>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</si>
  <si>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Noto Sans CJK SC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</si>
  <si>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</si>
  <si>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</si>
  <si>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</si>
  <si>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Noto Sans CJK SC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</si>
  <si>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</si>
  <si>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</si>
  <si>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Noto Sans CJK SC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</si>
  <si>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年總額）</t>
    </r>
  </si>
  <si>
    <t xml:space="preserve">2027–2047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</si>
  <si>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Noto Sans CJK SC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</si>
  <si>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</si>
  <si>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</si>
  <si>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</si>
  <si>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Noto Sans CJK SC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</si>
  <si>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</si>
  <si>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</si>
  <si>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</si>
  <si>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</si>
  <si>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Noto Sans CJK SC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</si>
  <si>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</si>
  <si>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</si>
  <si>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</si>
  <si>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</si>
  <si>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</si>
  <si>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Noto Sans CJK SC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</si>
  <si>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</si>
  <si>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</si>
  <si>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</si>
  <si>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（六年總額）</t>
    </r>
  </si>
  <si>
    <r>
      <rPr>
        <sz val="10"/>
        <color rgb="FF000000"/>
        <rFont val="Noto Sans CJK SC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</si>
  <si>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</si>
  <si>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</si>
  <si>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</si>
  <si>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知情人士（未經公司確認）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</si>
  <si>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Noto Sans CJK SC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</si>
  <si>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</si>
  <si>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</si>
  <si>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</si>
  <si>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</si>
  <si>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</si>
  <si>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Noto Sans CJK SC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</si>
  <si>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</si>
  <si>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</si>
  <si>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</si>
  <si>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</si>
  <si>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</si>
  <si>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</si>
  <si>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</si>
  <si>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</si>
  <si>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</si>
  <si>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</si>
  <si>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</si>
  <si>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</si>
  <si>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</si>
  <si>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</si>
  <si>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</si>
  <si>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Noto Sans CJK SC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</si>
  <si>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</si>
  <si>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</si>
  <si>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Noto Sans CJK SC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</si>
  <si>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</si>
  <si>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（市場地位、用量額度宣傳誘因）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</si>
  <si>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Noto Sans CJK SC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</si>
  <si>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</si>
  <si>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</si>
  <si>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</si>
  <si>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</si>
  <si>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Noto Sans CJK SC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</si>
  <si>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</si>
  <si>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</si>
  <si>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</si>
  <si>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</si>
  <si>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</si>
  <si>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</si>
  <si>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</si>
  <si>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Noto Sans CJK SC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Noto Sans CJK SC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Noto Sans CJK SC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Noto Sans CJK SC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</si>
  <si>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</si>
  <si>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</si>
  <si>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</si>
  <si>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</si>
  <si>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</si>
  <si>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</si>
  <si>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</si>
  <si>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</si>
  <si>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</si>
  <si>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Noto Sans CJK SC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</si>
  <si>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</si>
  <si>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</si>
  <si>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</si>
  <si>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</si>
  <si>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</si>
  <si>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</si>
  <si>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</si>
  <si>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</si>
  <si>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Noto Sans CJK SC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Noto Sans CJK SC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</si>
  <si>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</si>
  <si>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</si>
  <si>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</si>
  <si>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</si>
  <si>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</si>
  <si>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Noto Sans CJK SC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Noto Sans CJK SC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Noto Sans CJK SC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</si>
  <si>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</si>
  <si>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</si>
  <si>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）部署容量</t>
    </r>
  </si>
  <si>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</si>
  <si>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Noto Sans CJK SC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</si>
  <si>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</si>
  <si>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</si>
  <si>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（晶片銷售與股價誘因）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</si>
  <si>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</si>
  <si>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</si>
  <si>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</si>
  <si>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</si>
  <si>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</si>
  <si>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</si>
  <si>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Noto Sans CJK SC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Noto Sans CJK SC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</si>
  <si>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</si>
  <si>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</si>
  <si>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</si>
  <si>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</si>
  <si>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</si>
  <si>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</si>
  <si>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</si>
  <si>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</si>
  <si>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Noto Sans CJK SC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</si>
  <si>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</si>
  <si>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</si>
  <si>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</si>
  <si>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</si>
  <si>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</si>
  <si>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</si>
  <si>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</si>
  <si>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</si>
  <si>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</si>
  <si>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Noto Sans CJK SC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</si>
  <si>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</si>
  <si>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</si>
  <si>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合約－晶片世代</t>
    </r>
  </si>
  <si>
    <r>
      <rPr>
        <sz val="10"/>
        <color rgb="FF000000"/>
        <rFont val="Noto Sans CJK SC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</si>
  <si>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</si>
  <si>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</si>
  <si>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</si>
  <si>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Noto Sans CJK SC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Noto Sans CJK SC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Noto Sans CJK SC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</si>
  <si>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</si>
  <si>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</si>
  <si>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</si>
  <si>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Noto Sans CJK SC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</si>
  <si>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</si>
  <si>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</si>
  <si>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Noto Sans CJK SC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</si>
  <si>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Noto Sans CJK SC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</si>
  <si>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</si>
  <si>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</si>
  <si>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</si>
  <si>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</si>
  <si>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</si>
  <si>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</si>
  <si>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</si>
  <si>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Noto Sans CJK SC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</si>
  <si>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</si>
  <si>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</si>
  <si>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</si>
  <si>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</si>
  <si>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</si>
  <si>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</si>
  <si>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</si>
  <si>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</si>
  <si>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</si>
  <si>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Noto Sans CJK SC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</si>
  <si>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</si>
  <si>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</si>
  <si>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Noto Sans CJK SC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</si>
  <si>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</si>
  <si>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</si>
  <si>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</si>
  <si>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Noto Sans CJK SC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</si>
  <si>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</si>
  <si>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</si>
  <si>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</si>
  <si>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Noto Sans CJK SC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</si>
  <si>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</si>
  <si>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</si>
  <si>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Noto Sans CJK SC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</si>
  <si>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</si>
  <si>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</si>
  <si>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</si>
  <si>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</si>
  <si>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</si>
  <si>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</si>
  <si>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</si>
  <si>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</si>
  <si>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（彙整公開與知情人士報導）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</si>
  <si>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Noto Sans CJK SC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</si>
  <si>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</si>
  <si>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</si>
  <si>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</si>
  <si>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Noto Sans CJK SC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</si>
  <si>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</si>
  <si>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</si>
  <si>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Noto Sans CJK SC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Noto Sans CJK SC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</si>
  <si>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</si>
  <si>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</si>
  <si>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</si>
  <si>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Noto Sans CJK SC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</si>
  <si>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</si>
  <si>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Noto Sans CJK SC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（未具名來源）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</si>
  <si>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Noto Sans CJK SC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</si>
  <si>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</si>
  <si>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</si>
  <si>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Noto Sans CJK SC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</si>
  <si>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</si>
  <si>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</si>
  <si>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</si>
  <si>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</si>
  <si>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Noto Sans CJK SC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</si>
  <si>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</si>
  <si>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</si>
  <si>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</si>
  <si>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</si>
  <si>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</si>
  <si>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</si>
  <si>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</si>
  <si>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</si>
  <si>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</si>
  <si>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</si>
  <si>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</si>
  <si>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</si>
  <si>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</si>
  <si>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</si>
  <si>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</si>
  <si>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</si>
  <si>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</si>
  <si>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</si>
  <si>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Noto Sans CJK SC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</si>
  <si>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</si>
  <si>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</si>
  <si>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</si>
  <si>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</si>
  <si>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Noto Sans CJK SC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</si>
  <si>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</si>
  <si>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</si>
  <si>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相關設備租賃義務（招股書草稿）</t>
    </r>
  </si>
  <si>
    <r>
      <rPr>
        <sz val="10"/>
        <color rgb="FF000000"/>
        <rFont val="Noto Sans CJK SC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</si>
  <si>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Noto Sans CJK SC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Noto Sans CJK SC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</si>
  <si>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</si>
  <si>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</si>
  <si>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算力五年租賃承諾</t>
    </r>
  </si>
  <si>
    <r>
      <rPr>
        <sz val="10"/>
        <color rgb="FF000000"/>
        <rFont val="Noto Sans CJK SC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</si>
  <si>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Noto Sans CJK SC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</si>
  <si>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</si>
  <si>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Noto Sans CJK SC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Noto Sans CJK SC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Noto Sans CJK SC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</si>
  <si>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</si>
  <si>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</si>
  <si>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</si>
  <si>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</si>
  <si>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</si>
  <si>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（供應商融資誘因）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</si>
  <si>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Noto Sans CJK SC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</si>
  <si>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</si>
  <si>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</si>
  <si>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</si>
  <si>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</si>
  <si>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</si>
  <si>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</si>
  <si>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Noto Sans CJK SC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</si>
  <si>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</si>
  <si>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</si>
  <si>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</si>
  <si>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</si>
  <si>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</si>
  <si>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</si>
  <si>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Noto Sans CJK SC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</si>
  <si>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</si>
  <si>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</si>
  <si>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</si>
  <si>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</si>
  <si>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</si>
  <si>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</si>
  <si>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推論等非訓練算力支出（推導）</t>
    </r>
  </si>
  <si>
    <r>
      <rPr>
        <sz val="10"/>
        <color rgb="FF000000"/>
        <rFont val="Noto Sans CJK SC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Noto Sans CJK SC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</si>
  <si>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Noto Sans CJK SC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</si>
  <si>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</si>
  <si>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</si>
  <si>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</si>
  <si>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Noto Sans CJK SC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</si>
  <si>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</si>
  <si>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</si>
  <si>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Noto Sans CJK SC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泡沫論者）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</si>
  <si>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Noto Sans CJK SC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</si>
  <si>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</si>
  <si>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</si>
  <si>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</si>
  <si>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</si>
  <si>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</si>
  <si>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Noto Sans CJK SC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Noto Sans CJK SC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</si>
  <si>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</si>
  <si>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</si>
  <si>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</si>
  <si>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</si>
  <si>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</si>
  <si>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</si>
  <si>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</si>
  <si>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</si>
  <si>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</si>
  <si>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</si>
  <si>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</si>
  <si>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</si>
  <si>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Noto Sans CJK SC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</si>
  <si>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</si>
  <si>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</si>
  <si>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</si>
  <si>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</si>
  <si>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Noto Sans CJK SC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</si>
  <si>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</si>
  <si>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</si>
  <si>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Noto Sans CJK SC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</si>
  <si>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</si>
  <si>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</si>
  <si>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</si>
  <si>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</si>
  <si>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</si>
  <si>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</si>
  <si>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</si>
  <si>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Noto Sans CJK SC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</si>
  <si>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</si>
  <si>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</si>
  <si>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</si>
  <si>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</si>
  <si>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</si>
  <si>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</si>
  <si>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</si>
  <si>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Noto Sans CJK SC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</si>
  <si>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</si>
  <si>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</si>
  <si>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</si>
  <si>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</si>
  <si>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</si>
  <si>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Noto Sans CJK SC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</si>
  <si>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</si>
  <si>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</si>
  <si>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Noto Sans CJK SC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Noto Sans CJK SC"/>
        <family val="2"/>
      </rPr>
      <t xml:space="preserve">定性）</t>
    </r>
  </si>
  <si>
    <r>
      <rPr>
        <sz val="10"/>
        <color rgb="FF000000"/>
        <rFont val="Noto Sans CJK SC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</si>
  <si>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</si>
  <si>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</si>
  <si>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</si>
  <si>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Noto Sans CJK SC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</si>
  <si>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Noto Sans CJK SC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Noto Sans CJK SC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</si>
  <si>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</si>
  <si>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</si>
  <si>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Noto Sans CJK SC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Noto Sans CJK SC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</si>
  <si>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</si>
  <si>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</si>
  <si>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Noto Sans CJK SC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</si>
  <si>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</si>
  <si>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</si>
  <si>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Noto Sans CJK SC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Noto Sans CJK SC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</si>
  <si>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</si>
  <si>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</si>
  <si>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</si>
  <si>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Noto Sans CJK SC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</si>
  <si>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</si>
  <si>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</si>
  <si>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</si>
  <si>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</si>
  <si>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</si>
  <si>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Noto Sans CJK SC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</si>
  <si>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</si>
  <si>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</si>
  <si>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</si>
  <si>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</si>
  <si>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Noto Sans CJK SC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</si>
  <si>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</si>
  <si>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</si>
  <si>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</si>
  <si>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</si>
  <si>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</si>
  <si>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</si>
  <si>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</si>
  <si>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Noto Sans CJK SC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</si>
  <si>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</si>
  <si>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</si>
  <si>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</si>
  <si>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Noto Sans CJK SC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</si>
  <si>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</si>
  <si>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</si>
  <si>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Noto Sans CJK SC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</si>
  <si>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</si>
  <si>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</si>
  <si>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</si>
  <si>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Noto Sans CJK SC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</si>
  <si>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</si>
  <si>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</si>
  <si>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Noto Sans CJK SC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</si>
  <si>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</si>
  <si>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</si>
  <si>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</si>
  <si>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（六年）</t>
    </r>
  </si>
  <si>
    <t xml:space="preserve">六年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</si>
  <si>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Noto Sans CJK SC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Noto Sans CJK SC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</si>
  <si>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</si>
  <si>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</si>
  <si>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</si>
  <si>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</si>
  <si>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Noto Sans CJK SC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</si>
  <si>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</si>
  <si>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</si>
  <si>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</si>
  <si>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</si>
  <si>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</si>
  <si>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</si>
  <si>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Noto Sans CJK SC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</si>
  <si>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</si>
  <si>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</si>
  <si>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</si>
  <si>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</si>
  <si>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</si>
  <si>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</si>
  <si>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</si>
  <si>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</si>
  <si>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Noto Sans CJK SC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</si>
  <si>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</si>
  <si>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</si>
  <si>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</si>
  <si>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Noto Sans CJK SC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</si>
  <si>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</si>
  <si>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Noto Sans CJK SC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Noto Sans CJK SC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</si>
  <si>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</si>
  <si>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</si>
  <si>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算力與基礎設施支出（費用口徑）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</si>
  <si>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Noto Sans CJK SC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</si>
  <si>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</si>
  <si>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</si>
  <si>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</si>
  <si>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Noto Sans CJK SC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</si>
  <si>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Noto Sans CJK SC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Noto Sans CJK SC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</si>
  <si>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</si>
  <si>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</si>
  <si>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</si>
  <si>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</si>
  <si>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</si>
  <si>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</si>
  <si>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</t>
    </r>
  </si>
  <si>
    <t xml:space="preserve">FY2024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</si>
  <si>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</si>
  <si>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</si>
  <si>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</si>
  <si>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</si>
  <si>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Noto Sans CJK SC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</si>
  <si>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</si>
  <si>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</si>
  <si>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淨虧損中之非現金會計費用（可轉換融資重估）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</si>
  <si>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</si>
  <si>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</si>
  <si>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</si>
  <si>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</si>
  <si>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</si>
  <si>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</si>
  <si>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</si>
  <si>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</si>
  <si>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</si>
  <si>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</si>
  <si>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</si>
  <si>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Noto Sans CJK SC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Noto Sans CJK SC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</si>
  <si>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</si>
  <si>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</si>
  <si>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</si>
  <si>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Noto Sans CJK SC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Noto Sans CJK SC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Noto Sans CJK SC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</si>
  <si>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</si>
  <si>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</si>
  <si>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</si>
  <si>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</si>
  <si>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</si>
  <si>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</si>
  <si>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</si>
  <si>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</si>
  <si>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Noto Sans CJK SC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</si>
  <si>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</si>
  <si>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</si>
  <si>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</si>
  <si>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</si>
  <si>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</si>
  <si>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</si>
  <si>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</si>
  <si>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</si>
  <si>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</si>
  <si>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Noto Sans CJK SC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</si>
  <si>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</si>
  <si>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</si>
  <si>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</si>
  <si>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</si>
  <si>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</si>
  <si>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</si>
  <si>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</si>
  <si>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</si>
  <si>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</si>
  <si>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</si>
  <si>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Noto Sans CJK SC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</si>
  <si>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</si>
  <si>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</si>
  <si>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</si>
  <si>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</si>
  <si>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</si>
  <si>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</si>
  <si>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</si>
  <si>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</si>
  <si>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</si>
  <si>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</si>
  <si>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</si>
  <si>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</si>
  <si>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Noto Sans CJK SC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</si>
  <si>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</si>
  <si>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</si>
  <si>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</si>
  <si>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</si>
  <si>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</si>
  <si>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</si>
  <si>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</si>
  <si>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</si>
  <si>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</si>
  <si>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</si>
  <si>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</si>
  <si>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Noto Sans CJK SC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</si>
  <si>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</si>
  <si>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</si>
  <si>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</si>
  <si>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</si>
  <si>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</si>
  <si>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</si>
  <si>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</si>
  <si>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</si>
  <si>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</si>
  <si>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Noto Sans CJK SC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Noto Sans CJK SC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</si>
  <si>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</si>
  <si>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</si>
  <si>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Noto Sans CJK SC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Noto Sans CJK SC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</si>
  <si>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</si>
  <si>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</si>
  <si>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Noto Sans CJK SC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</si>
  <si>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</si>
  <si>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</si>
  <si>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揭露（來源文件未標明）；二手媒體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</si>
  <si>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</si>
  <si>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</si>
  <si>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</si>
  <si>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</si>
  <si>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</si>
  <si>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Noto Sans CJK SC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</si>
  <si>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</si>
  <si>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</si>
  <si>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</si>
  <si>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</si>
  <si>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Noto Sans CJK SC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</si>
  <si>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</si>
  <si>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</si>
  <si>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</si>
  <si>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</si>
  <si>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</si>
  <si>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</si>
  <si>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</si>
  <si>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</si>
  <si>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</si>
  <si>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中先前承諾的雲端業者投資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</si>
  <si>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Noto Sans CJK SC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</si>
  <si>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</si>
  <si>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</si>
  <si>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共同領投（文字）</t>
    </r>
  </si>
  <si>
    <t xml:space="preserve">文字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</si>
  <si>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Noto Sans CJK SC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Noto Sans CJK SC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</si>
  <si>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</si>
  <si>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</si>
  <si>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</si>
  <si>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</si>
  <si>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</si>
  <si>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（募資誘因；律所為公司代表）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</si>
  <si>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</si>
  <si>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</si>
  <si>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</si>
  <si>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</si>
  <si>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</si>
  <si>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</si>
  <si>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</si>
  <si>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</si>
  <si>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</si>
  <si>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</si>
  <si>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Noto Sans CJK SC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</si>
  <si>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</si>
  <si>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</si>
  <si>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Noto Sans CJK SC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</si>
  <si>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招股書草稿，未公開；募資誘因）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</si>
  <si>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</si>
  <si>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</si>
  <si>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</si>
  <si>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</si>
  <si>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</si>
  <si>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</si>
  <si>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Noto Sans CJK SC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Noto Sans CJK SC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</si>
  <si>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</si>
  <si>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</si>
  <si>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</si>
  <si>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為二手評論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</si>
  <si>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Noto Sans CJK SC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</si>
  <si>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</si>
  <si>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</si>
  <si>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Noto Sans CJK SC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</si>
  <si>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</si>
  <si>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</si>
  <si>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</si>
  <si>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Noto Sans CJK SC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</si>
  <si>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</si>
  <si>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</si>
  <si>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</si>
  <si>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</si>
  <si>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</si>
  <si>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</si>
  <si>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</si>
  <si>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</si>
  <si>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</si>
  <si>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</si>
  <si>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</si>
  <si>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</si>
  <si>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／投資人；募資誘因）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</si>
  <si>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</si>
  <si>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</si>
  <si>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</si>
  <si>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Noto Sans CJK SC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Noto Sans CJK SC"/>
        <family val="2"/>
      </rPr>
      <t xml:space="preserve">掌握投票權</t>
    </r>
  </si>
  <si>
    <t xml:space="preserve">%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</si>
  <si>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</si>
  <si>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</si>
  <si>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</si>
  <si>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</si>
  <si>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</si>
  <si>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</si>
  <si>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</si>
  <si>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</si>
  <si>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</si>
  <si>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</si>
  <si>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</si>
  <si>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</si>
  <si>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</si>
  <si>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</si>
  <si>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</si>
  <si>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</si>
  <si>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</si>
  <si>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</si>
  <si>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</si>
  <si>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</si>
  <si>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</si>
  <si>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</si>
  <si>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</si>
  <si>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領投與結構（文字）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</si>
  <si>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Noto Sans CJK SC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</si>
  <si>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</si>
  <si>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</si>
  <si>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</si>
  <si>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</si>
  <si>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</si>
  <si>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</si>
  <si>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Noto Sans CJK SC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</si>
  <si>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</si>
  <si>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</si>
  <si>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Noto Sans CJK SC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</si>
  <si>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</si>
  <si>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</si>
  <si>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</si>
  <si>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</si>
  <si>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</si>
  <si>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</si>
  <si>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</si>
  <si>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</si>
  <si>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</si>
  <si>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</si>
  <si>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</si>
  <si>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</si>
  <si>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</si>
  <si>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</si>
  <si>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</si>
  <si>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</si>
  <si>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</si>
  <si>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</si>
  <si>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季，期後事項）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</si>
  <si>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Noto Sans CJK SC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</si>
  <si>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</si>
  <si>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</si>
  <si>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</si>
  <si>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Noto Sans CJK SC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</si>
  <si>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</si>
  <si>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</si>
  <si>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</si>
  <si>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</si>
  <si>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</si>
  <si>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</si>
  <si>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</si>
  <si>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Noto Sans CJK SC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</si>
  <si>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Noto Sans CJK SC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</si>
  <si>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</si>
  <si>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</si>
  <si>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</si>
  <si>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</si>
  <si>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</si>
  <si>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</si>
  <si>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Noto Sans CJK SC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</si>
  <si>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</si>
  <si>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</si>
  <si>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</si>
  <si>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Noto Sans CJK SC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Noto Sans CJK SC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</si>
  <si>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</si>
  <si>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</si>
  <si>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</si>
  <si>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</si>
  <si>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</si>
  <si>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</si>
  <si>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</si>
  <si>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Noto Sans CJK SC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Noto Sans CJK SC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Noto Sans CJK SC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</si>
  <si>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</si>
  <si>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</si>
  <si>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</si>
  <si>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</si>
  <si>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</si>
  <si>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</si>
  <si>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</si>
  <si>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Noto Sans CJK SC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</si>
  <si>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</si>
  <si>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</si>
  <si>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</si>
  <si>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</si>
  <si>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</si>
  <si>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</si>
  <si>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</si>
  <si>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</si>
  <si>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</si>
  <si>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（募資、雲端與晶片業務宣傳）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</si>
  <si>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</si>
  <si>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</si>
  <si>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</si>
  <si>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</si>
  <si>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</si>
  <si>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</si>
  <si>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</si>
  <si>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</si>
  <si>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財報（雲端業務誘因）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</si>
  <si>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Noto Sans CJK SC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Noto Sans CJK SC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</si>
  <si>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</si>
  <si>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</si>
  <si>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股票上限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</si>
  <si>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</si>
  <si>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</si>
  <si>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</si>
  <si>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</si>
  <si>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</si>
  <si>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</si>
  <si>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</si>
  <si>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</si>
  <si>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Noto Sans CJK SC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</si>
  <si>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</si>
  <si>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</si>
  <si>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</si>
  <si>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</si>
  <si>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</si>
  <si>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</si>
  <si>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</si>
  <si>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；招募誘因）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</si>
  <si>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Noto Sans CJK SC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Noto Sans CJK SC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</si>
  <si>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</si>
  <si>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</si>
  <si>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</si>
  <si>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</si>
  <si>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</si>
  <si>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</si>
  <si>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Noto Sans CJK SC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</si>
  <si>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</si>
  <si>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</si>
  <si>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</si>
  <si>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Noto Sans CJK SC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</si>
  <si>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</si>
  <si>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</si>
  <si>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</si>
  <si>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Noto Sans CJK SC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</si>
  <si>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</si>
  <si>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</si>
  <si>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Noto Sans CJK SC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</si>
  <si>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</si>
  <si>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</si>
  <si>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</si>
  <si>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Noto Sans CJK SC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</si>
  <si>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</si>
  <si>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</si>
  <si>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Noto Sans CJK SC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Noto Sans CJK SC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</si>
  <si>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</si>
  <si>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</si>
  <si>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</si>
  <si>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</si>
  <si>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Noto Sans CJK SC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</si>
  <si>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</si>
  <si>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</si>
  <si>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Noto Sans CJK SC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</si>
  <si>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</si>
  <si>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</si>
  <si>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</si>
  <si>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Noto Sans CJK SC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Noto Sans CJK SC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</si>
  <si>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</si>
  <si>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</si>
  <si>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</si>
  <si>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</si>
  <si>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</si>
  <si>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</si>
  <si>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</si>
  <si>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／承銷商；募資誘因）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</si>
  <si>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</si>
  <si>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</si>
  <si>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</si>
  <si>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</si>
  <si>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</si>
  <si>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Noto Sans CJK SC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</si>
  <si>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</si>
  <si>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</si>
  <si>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估值（潛在投資人區間）</t>
    </r>
  </si>
  <si>
    <r>
      <rPr>
        <sz val="10"/>
        <color rgb="FF000000"/>
        <rFont val="Noto Sans CJK SC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</si>
  <si>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Noto Sans CJK SC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</si>
  <si>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</si>
  <si>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</si>
  <si>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Noto Sans CJK SC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</si>
  <si>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Noto Sans CJK SC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</si>
  <si>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</si>
  <si>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</si>
  <si>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Noto Sans CJK SC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Noto Sans CJK SC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</si>
  <si>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</si>
  <si>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</si>
  <si>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</si>
  <si>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</si>
  <si>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Noto Sans CJK SC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</si>
  <si>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</si>
  <si>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</si>
  <si>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Noto Sans CJK SC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</si>
  <si>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</si>
  <si>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</si>
  <si>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</si>
  <si>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Noto Sans CJK SC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</si>
  <si>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</si>
  <si>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</si>
  <si>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Noto Sans CJK SC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</si>
  <si>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</si>
  <si>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</si>
  <si>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</si>
  <si>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</si>
  <si>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</si>
  <si>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</si>
  <si>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</si>
  <si>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</si>
  <si>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</si>
  <si>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</si>
  <si>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</si>
  <si>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營業利益預測（首次轉正）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</si>
  <si>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Noto Sans CJK SC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</si>
  <si>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</si>
  <si>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</si>
  <si>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Noto Sans CJK SC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</si>
  <si>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</si>
  <si>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</si>
  <si>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</si>
  <si>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</si>
  <si>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</si>
  <si>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</si>
  <si>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</si>
  <si>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</si>
  <si>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（投資人文件；募資誘因）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</si>
  <si>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</si>
  <si>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</si>
  <si>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</si>
  <si>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Noto Sans CJK SC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</si>
  <si>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</si>
  <si>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Noto Sans CJK SC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</si>
  <si>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</si>
  <si>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</si>
  <si>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</si>
  <si>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</si>
  <si>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</si>
  <si>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</si>
  <si>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</si>
  <si>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</si>
  <si>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</si>
  <si>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</si>
  <si>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</si>
  <si>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</si>
  <si>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</si>
  <si>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</si>
  <si>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</si>
  <si>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</si>
  <si>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</si>
  <si>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</si>
  <si>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</si>
  <si>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</si>
  <si>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</si>
  <si>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</si>
  <si>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</si>
  <si>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</si>
  <si>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</si>
  <si>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</si>
  <si>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</si>
  <si>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Noto Sans CJK SC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</si>
  <si>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</si>
  <si>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</si>
  <si>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Noto Sans CJK SC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</si>
  <si>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</si>
  <si>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（投資人資料；募資誘因）；二手轉述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</si>
  <si>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Noto Sans CJK SC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</si>
  <si>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</si>
  <si>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</si>
  <si>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</si>
  <si>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</si>
  <si>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</si>
  <si>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</si>
  <si>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</si>
  <si>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</si>
  <si>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</si>
  <si>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</si>
  <si>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</si>
  <si>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Noto Sans CJK SC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</si>
  <si>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</si>
  <si>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</si>
  <si>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</si>
  <si>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</si>
  <si>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</si>
  <si>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</si>
  <si>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</si>
  <si>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</si>
  <si>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</si>
  <si>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</si>
  <si>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Noto Sans CJK SC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</si>
  <si>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</si>
  <si>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</si>
  <si>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</si>
  <si>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Noto Sans CJK SC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Noto Sans CJK SC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Noto Sans CJK SC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</si>
  <si>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</si>
  <si>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</si>
  <si>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</si>
  <si>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</si>
  <si>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</si>
  <si>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</si>
  <si>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現金流（預測）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</si>
  <si>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</si>
  <si>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</si>
  <si>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</si>
  <si>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</si>
  <si>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</si>
  <si>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</si>
  <si>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</si>
  <si>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Noto Sans CJK SC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Noto Sans CJK SC"/>
        <family val="2"/>
      </rPr>
      <t xml:space="preserve">版本）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</si>
  <si>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</si>
  <si>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</si>
  <si>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</si>
  <si>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</si>
  <si>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Noto Sans CJK SC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</si>
  <si>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</si>
  <si>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Noto Sans CJK SC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</si>
  <si>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</si>
  <si>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</si>
  <si>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</si>
  <si>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</si>
  <si>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</si>
  <si>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</si>
  <si>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</si>
  <si>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</si>
  <si>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t xml:space="preserve">FY2029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</si>
  <si>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</si>
  <si>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</si>
  <si>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</si>
  <si>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</si>
  <si>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Noto Sans CJK SC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</si>
  <si>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</si>
  <si>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</si>
  <si>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Noto Sans CJK SC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</si>
  <si>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</si>
  <si>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</si>
  <si>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Noto Sans CJK SC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</si>
  <si>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</si>
  <si>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</si>
  <si>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</si>
  <si>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</si>
  <si>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</si>
  <si>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Noto Sans CJK SC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</si>
  <si>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</si>
  <si>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</si>
  <si>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</si>
  <si>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</si>
  <si>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</si>
  <si>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</si>
  <si>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</si>
  <si>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</si>
  <si>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</si>
  <si>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</si>
  <si>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</si>
  <si>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</si>
  <si>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</si>
  <si>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毛利率目標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</si>
  <si>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</si>
  <si>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</si>
  <si>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</si>
  <si>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</si>
  <si>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</si>
  <si>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Noto Sans CJK SC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</si>
  <si>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</si>
  <si>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</si>
  <si>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Noto Sans CJK SC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</si>
  <si>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</si>
  <si>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</si>
  <si>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</si>
  <si>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</si>
  <si>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</si>
  <si>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</si>
  <si>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相同；其後為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</si>
  <si>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</si>
  <si>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</si>
  <si>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</si>
  <si>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</si>
  <si>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</si>
  <si>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</si>
  <si>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</si>
  <si>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</si>
  <si>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</si>
  <si>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</si>
  <si>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</si>
  <si>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</si>
  <si>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</si>
  <si>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</si>
  <si>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</si>
  <si>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</si>
  <si>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</si>
  <si>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</si>
  <si>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</si>
  <si>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</si>
  <si>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</si>
  <si>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</si>
  <si>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</si>
  <si>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</si>
  <si>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</si>
  <si>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</si>
  <si>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</si>
  <si>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</si>
  <si>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</si>
  <si>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</si>
  <si>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</si>
  <si>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</si>
  <si>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</si>
  <si>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</si>
  <si>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</si>
  <si>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</si>
  <si>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</si>
  <si>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</si>
  <si>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</si>
  <si>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</si>
  <si>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</si>
  <si>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</si>
  <si>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</si>
  <si>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</si>
  <si>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</si>
  <si>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</si>
  <si>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</si>
  <si>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</si>
  <si>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</si>
  <si>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</si>
  <si>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</si>
  <si>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</si>
  <si>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</si>
  <si>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</si>
  <si>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</si>
  <si>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</si>
  <si>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</si>
  <si>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</si>
  <si>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</si>
  <si>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</si>
  <si>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</si>
  <si>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</si>
  <si>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</si>
  <si>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</si>
  <si>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</si>
  <si>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</si>
  <si>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</si>
  <si>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</si>
  <si>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</si>
  <si>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</si>
  <si>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</si>
  <si>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</si>
  <si>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</si>
  <si>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</si>
  <si>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</si>
  <si>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</si>
  <si>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</si>
  <si>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</si>
  <si>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</si>
  <si>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</si>
  <si>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</si>
  <si>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</si>
  <si>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</si>
  <si>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</si>
  <si>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</si>
  <si>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</si>
  <si>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</si>
  <si>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</si>
  <si>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</si>
  <si>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</si>
  <si>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</si>
  <si>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</si>
  <si>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</si>
  <si>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</si>
  <si>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</si>
  <si>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</si>
  <si>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</si>
  <si>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</si>
  <si>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</si>
  <si>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</si>
  <si>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</si>
  <si>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</si>
  <si>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</si>
  <si>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</si>
  <si>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</si>
  <si>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</si>
  <si>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</si>
  <si>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</si>
  <si>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</si>
  <si>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</si>
  <si>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</si>
  <si>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</si>
  <si>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</si>
  <si>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</si>
  <si>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</si>
  <si>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</si>
  <si>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</si>
  <si>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</si>
  <si>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</si>
  <si>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</si>
  <si>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</si>
  <si>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</si>
  <si>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</si>
  <si>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</si>
  <si>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</si>
  <si>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</si>
  <si>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</si>
  <si>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</si>
  <si>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</si>
  <si>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</si>
  <si>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</si>
  <si>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</si>
  <si>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</si>
  <si>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</si>
  <si>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</si>
  <si>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</si>
  <si>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</si>
  <si>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</si>
  <si>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</si>
  <si>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</si>
  <si>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</si>
  <si>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</si>
  <si>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</si>
  <si>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</si>
  <si>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</si>
  <si>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</si>
  <si>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</si>
  <si>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</si>
  <si>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</si>
  <si>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</si>
  <si>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</si>
  <si>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</si>
  <si>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</si>
  <si>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</si>
  <si>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</si>
  <si>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</si>
  <si>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</si>
  <si>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</si>
  <si>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</si>
  <si>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</si>
  <si>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</si>
  <si>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</si>
  <si>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</si>
  <si>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</si>
  <si>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</si>
  <si>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</si>
  <si>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</si>
  <si>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</si>
  <si>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</si>
  <si>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</si>
  <si>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</si>
  <si>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</si>
  <si>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</si>
  <si>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</si>
  <si>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</si>
  <si>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</si>
  <si>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</si>
  <si>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</si>
  <si>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</si>
  <si>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</si>
  <si>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</si>
  <si>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</si>
  <si>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</si>
  <si>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</si>
  <si>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</si>
  <si>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</si>
  <si>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</si>
  <si>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</si>
  <si>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</si>
  <si>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</si>
  <si>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</si>
  <si>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</si>
  <si>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</si>
  <si>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</si>
  <si>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</si>
  <si>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</si>
  <si>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</si>
  <si>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</si>
  <si>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</si>
  <si>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</si>
  <si>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</si>
  <si>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</si>
  <si>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</si>
  <si>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</si>
  <si>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</si>
  <si>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</si>
  <si>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</si>
  <si>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</si>
  <si>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</si>
  <si>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</si>
  <si>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</si>
  <si>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</si>
  <si>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</si>
  <si>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</si>
  <si>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</si>
  <si>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Noto Sans CJK SC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</si>
  <si>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</si>
  <si>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</si>
  <si>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</si>
  <si>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</si>
  <si>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</si>
  <si>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</si>
  <si>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</si>
  <si>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</si>
  <si>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</si>
  <si>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</si>
  <si>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</si>
  <si>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</si>
  <si>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</si>
  <si>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</si>
  <si>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</si>
  <si>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</si>
  <si>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</si>
  <si>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</si>
  <si>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</si>
  <si>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</si>
  <si>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</si>
  <si>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</si>
  <si>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</si>
  <si>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</si>
  <si>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</si>
  <si>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</si>
  <si>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</si>
  <si>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</si>
  <si>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</si>
  <si>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</si>
  <si>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</si>
  <si>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</si>
  <si>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</si>
  <si>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</si>
  <si>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</si>
  <si>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</si>
  <si>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</si>
  <si>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</si>
  <si>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</si>
  <si>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</si>
  <si>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</si>
  <si>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</si>
  <si>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</si>
  <si>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</si>
  <si>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</si>
  <si>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</si>
  <si>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</si>
  <si>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</si>
  <si>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</si>
  <si>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</si>
  <si>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</si>
  <si>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</si>
  <si>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Noto Sans CJK SC"/>
        <family val="2"/>
      </rPr>
      <t xml:space="preserve">；只作並排對照）</t>
    </r>
  </si>
  <si>
    <r>
      <rPr>
        <sz val="9"/>
        <color rgb="FF595959"/>
        <rFont val="Noto Sans CJK SC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</si>
  <si>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為其實際校準年；兩家共用同一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v5.26</t>
    </r>
    <r>
      <rPr>
        <sz val="9"/>
        <color rgb="FF595959"/>
        <rFont val="Noto Sans CJK SC"/>
        <family val="2"/>
      </rPr>
      <t xml:space="preserve">），故可直接並排。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</si>
  <si>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</si>
  <si>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</si>
  <si>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</si>
  <si>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</si>
  <si>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Noto Sans CJK SC"/>
        <family val="2"/>
      </rPr>
      <t xml:space="preserve">提交（建置時）</t>
    </r>
  </si>
  <si>
    <t xml:space="preserve">e91df57d0f6779edc522f86d09f314b26f37980e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</si>
  <si>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</si>
  <si>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</si>
  <si>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</si>
  <si>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</si>
  <si>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</si>
  <si>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</si>
  <si>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</si>
  <si>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</si>
  <si>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</si>
  <si>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</si>
  <si>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</si>
  <si>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Noto Sans CJK SC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</si>
  <si>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</si>
  <si>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</si>
  <si>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</si>
  <si>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</si>
  <si>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</si>
  <si>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</si>
  <si>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</si>
  <si>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</si>
  <si>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</si>
  <si>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</si>
  <si>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</si>
  <si>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</si>
  <si>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</si>
  <si>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</si>
  <si>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</si>
  <si>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</si>
  <si>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</si>
  <si>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</si>
  <si>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</si>
  <si>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</si>
  <si>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</si>
  <si>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</si>
  <si>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</si>
  <si>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</si>
  <si>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</si>
  <si>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</si>
  <si>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</si>
  <si>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</si>
  <si>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</si>
  <si>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</si>
  <si>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</si>
  <si>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</si>
  <si>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</si>
  <si>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</si>
  <si>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</si>
  <si>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</si>
  <si>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</si>
  <si>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</si>
  <si>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</si>
  <si>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</si>
  <si>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</si>
  <si>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</si>
  <si>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</si>
  <si>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</si>
  <si>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</si>
  <si>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</si>
  <si>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</si>
  <si>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</si>
  <si>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</si>
  <si>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</si>
  <si>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</si>
  <si>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</si>
  <si>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</si>
  <si>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</si>
  <si>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</si>
  <si>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</si>
  <si>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</si>
  <si>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</si>
  <si>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</si>
  <si>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</si>
  <si>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</si>
  <si>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</si>
  <si>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</si>
  <si>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</si>
  <si>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固定。</t>
    </r>
  </si>
  <si>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</si>
  <si>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</si>
  <si>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</si>
  <si>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</si>
  <si>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</si>
  <si>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</si>
  <si>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</si>
  <si>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</si>
  <si>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</si>
  <si>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</si>
  <si>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</si>
  <si>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</si>
  <si>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</si>
  <si>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</si>
  <si>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</si>
  <si>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</si>
  <si>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</si>
  <si>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</si>
  <si>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</si>
  <si>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</si>
  <si>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</si>
  <si>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</si>
  <si>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</si>
  <si>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</si>
  <si>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</si>
  <si>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</si>
  <si>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</si>
  <si>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</si>
  <si>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</si>
  <si>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</si>
  <si>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</si>
  <si>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</si>
  <si>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</si>
  <si>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</si>
  <si>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</si>
  <si>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</si>
  <si>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</si>
  <si>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</si>
  <si>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</si>
  <si>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</si>
  <si>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</si>
  <si>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</si>
  <si>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</si>
  <si>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Noto Sans CJK SC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</si>
  <si>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</si>
  <si>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</si>
  <si>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</si>
  <si>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Noto Sans CJK SC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Noto Sans CJK SC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</si>
  <si>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</si>
  <si>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</si>
  <si>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</si>
  <si>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</si>
  <si>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Noto Sans CJK SC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</si>
  <si>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</si>
  <si>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</si>
  <si>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</si>
  <si>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</si>
  <si>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</si>
  <si>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</si>
  <si>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</si>
  <si>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</si>
  <si>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</si>
  <si>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</si>
  <si>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</si>
  <si>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</si>
  <si>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</si>
  <si>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</si>
  <si>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</si>
  <si>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</si>
  <si>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</si>
  <si>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</si>
  <si>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</si>
  <si>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</si>
  <si>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</si>
  <si>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</si>
  <si>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</si>
  <si>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</si>
  <si>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</si>
  <si>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Noto Sans CJK SC"/>
        <family val="2"/>
      </rPr>
      <t xml:space="preserve">第三節</t>
    </r>
  </si>
  <si>
    <t xml:space="preserve">elasticity_start_year</t>
  </si>
  <si>
    <t xml:space="preserve">INP_016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</si>
  <si>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</si>
  <si>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步：容量上限先以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佔位；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「容量上限係數」列的公式</t>
    </r>
  </si>
  <si>
    <t xml:space="preserve">佔位值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</si>
  <si>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第十節</t>
    </r>
  </si>
  <si>
    <t xml:space="preserve">cap_factor_placeholder</t>
  </si>
  <si>
    <t xml:space="preserve">INP_017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</si>
  <si>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</si>
  <si>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</si>
  <si>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</si>
  <si>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</si>
  <si>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</si>
  <si>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</si>
  <si>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</si>
  <si>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）</t>
    </r>
  </si>
  <si>
    <t xml:space="preserve">工作單定值</t>
  </si>
  <si>
    <t xml:space="preserve">runrate_warn_threshold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</si>
  <si>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</si>
  <si>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</t>
    </r>
  </si>
  <si>
    <t xml:space="preserve">Assumed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</si>
  <si>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</si>
  <si>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</si>
  <si>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</si>
  <si>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</si>
  <si>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</si>
  <si>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</si>
  <si>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Noto Sans CJK SC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</si>
  <si>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</si>
  <si>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</si>
  <si>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</si>
  <si>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</si>
  <si>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</si>
  <si>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</si>
  <si>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</si>
  <si>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</si>
  <si>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</si>
  <si>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</si>
  <si>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</si>
  <si>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</si>
  <si>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</si>
  <si>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</si>
  <si>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</si>
  <si>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</si>
  <si>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</si>
  <si>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</si>
  <si>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</si>
  <si>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</si>
  <si>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</si>
  <si>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標準席位占席位數</t>
    </r>
  </si>
  <si>
    <r>
      <rPr>
        <sz val="10"/>
        <color rgb="FF000000"/>
        <rFont val="Noto Sans CJK SC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Noto Sans CJK SC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</si>
  <si>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</si>
  <si>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</si>
  <si>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</si>
  <si>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</si>
  <si>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</si>
  <si>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</si>
  <si>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</si>
  <si>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</si>
  <si>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Noto Sans CJK SC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</si>
  <si>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</si>
  <si>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</si>
  <si>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</si>
  <si>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</si>
  <si>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</si>
  <si>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Noto Sans CJK SC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</si>
  <si>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Noto Sans CJK SC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Noto Sans CJK SC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</si>
  <si>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</si>
  <si>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Noto Sans CJK SC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</si>
  <si>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</si>
  <si>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</si>
  <si>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</si>
  <si>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</si>
  <si>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Noto Sans CJK SC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</si>
  <si>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Noto Sans CJK SC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</si>
  <si>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Noto Sans CJK SC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</si>
  <si>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</si>
  <si>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</si>
  <si>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</si>
  <si>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</si>
  <si>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</si>
  <si>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</si>
  <si>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</si>
  <si>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</si>
  <si>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</si>
  <si>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</si>
  <si>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</si>
  <si>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</si>
  <si>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</si>
  <si>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Noto Sans CJK SC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</si>
  <si>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</si>
  <si>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Noto Sans CJK SC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</si>
  <si>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</si>
  <si>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</si>
  <si>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</si>
  <si>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</si>
  <si>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</si>
  <si>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</si>
  <si>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</si>
  <si>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</si>
  <si>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</si>
  <si>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</si>
  <si>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</si>
  <si>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</si>
  <si>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</si>
  <si>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</si>
  <si>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</si>
  <si>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Noto Sans CJK SC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Noto Sans CJK SC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</si>
  <si>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</si>
  <si>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</si>
  <si>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</si>
  <si>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</si>
  <si>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</si>
  <si>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</si>
  <si>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</si>
  <si>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</si>
  <si>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</si>
  <si>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</si>
  <si>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</si>
  <si>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</si>
  <si>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</si>
  <si>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Noto Sans CJK SC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</si>
  <si>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</si>
  <si>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</si>
  <si>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</si>
  <si>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</si>
  <si>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</si>
  <si>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</si>
  <si>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</si>
  <si>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</si>
  <si>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</si>
  <si>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</si>
  <si>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</si>
  <si>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</si>
  <si>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</si>
  <si>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</si>
  <si>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</si>
  <si>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</si>
  <si>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</si>
  <si>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</si>
  <si>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</si>
  <si>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</si>
  <si>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</si>
  <si>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</si>
  <si>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</si>
  <si>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</si>
  <si>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</si>
  <si>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</si>
  <si>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</si>
  <si>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</si>
  <si>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</si>
  <si>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</si>
  <si>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</si>
  <si>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</si>
  <si>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</si>
  <si>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</si>
  <si>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</si>
  <si>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</si>
  <si>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Noto Sans CJK SC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</si>
  <si>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</si>
  <si>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Noto Sans CJK SC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</si>
  <si>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</si>
  <si>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</si>
  <si>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</si>
  <si>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</si>
  <si>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</si>
  <si>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</si>
  <si>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</si>
  <si>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</si>
  <si>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</si>
  <si>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</si>
  <si>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</si>
  <si>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</si>
  <si>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</si>
  <si>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Noto Sans CJK SC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</si>
  <si>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</si>
  <si>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</si>
  <si>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</si>
  <si>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</si>
  <si>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</si>
  <si>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</si>
  <si>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</si>
  <si>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</si>
  <si>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</si>
  <si>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</si>
  <si>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</si>
  <si>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</si>
  <si>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</si>
  <si>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</si>
  <si>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</si>
  <si>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</si>
  <si>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</si>
  <si>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</si>
  <si>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</si>
  <si>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</si>
  <si>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</si>
  <si>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</si>
  <si>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</si>
  <si>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</si>
  <si>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</si>
  <si>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</si>
  <si>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</si>
  <si>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INP_067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</si>
  <si>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</si>
  <si>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</si>
  <si>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OpenAI v0.6 INP_116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</si>
  <si>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年增率）</t>
    </r>
  </si>
  <si>
    <t xml:space="preserve">k_chat</t>
  </si>
  <si>
    <t xml:space="preserve">INP_068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</si>
  <si>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</si>
  <si>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r>
      <rPr>
        <sz val="10"/>
        <color rgb="FF000000"/>
        <rFont val="Noto Sans CJK SC"/>
        <family val="2"/>
      </rPr>
      <t xml:space="preserve">程式代理一次任務多輪讀檔與工具呼叫，含大量快取上下文；</t>
    </r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Noto Sans CJK SC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</si>
  <si>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數量級不確定，給 </t>
    </r>
    <r>
      <rPr>
        <sz val="10"/>
        <color rgb="FF000000"/>
        <rFont val="Arial"/>
        <family val="0"/>
        <charset val="1"/>
      </rPr>
      <t xml:space="preserve">×0.25–×2.5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</si>
  <si>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宜由 </t>
    </r>
    <r>
      <rPr>
        <sz val="10"/>
        <color rgb="FF000000"/>
        <rFont val="Arial"/>
        <family val="0"/>
        <charset val="1"/>
      </rPr>
      <t xml:space="preserve">Tokenomics Harness </t>
    </r>
    <r>
      <rPr>
        <sz val="10"/>
        <color rgb="FF000000"/>
        <rFont val="Noto Sans CJK SC"/>
        <family val="2"/>
      </rPr>
      <t xml:space="preserve">提供</t>
    </r>
  </si>
  <si>
    <t xml:space="preserve">k_code</t>
  </si>
  <si>
    <t xml:space="preserve">INP_069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</si>
  <si>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</si>
  <si>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研究、瀏覽、文件代理；介於對話與程式代理之間</t>
  </si>
  <si>
    <t xml:space="preserve">×0.4–×3</t>
  </si>
  <si>
    <t xml:space="preserve">k_other</t>
  </si>
  <si>
    <t xml:space="preserve">INP_070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</si>
  <si>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</si>
  <si>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</si>
  <si>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</si>
  <si>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</si>
  <si>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</si>
  <si>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</si>
  <si>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對話</t>
  </si>
  <si>
    <r>
      <rPr>
        <sz val="10"/>
        <color rgb="FF000000"/>
        <rFont val="Noto Sans CJK SC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Noto Sans CJK SC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</si>
  <si>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</si>
  <si>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</si>
  <si>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</si>
  <si>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</si>
  <si>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</si>
  <si>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</si>
  <si>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t xml:space="preserve">程式代理</t>
  </si>
  <si>
    <r>
      <rPr>
        <sz val="10"/>
        <color rgb="FF000000"/>
        <rFont val="Noto Sans CJK SC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</si>
  <si>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</si>
  <si>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</si>
  <si>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</si>
  <si>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</si>
  <si>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其他代理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</si>
  <si>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</si>
  <si>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</si>
  <si>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</si>
  <si>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</si>
  <si>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</si>
  <si>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</si>
  <si>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Noto Sans CJK SC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</si>
  <si>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</si>
  <si>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</si>
  <si>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</si>
  <si>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</si>
  <si>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Noto Sans CJK SC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Noto Sans CJK SC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</si>
  <si>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</si>
  <si>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</si>
  <si>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</si>
  <si>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</si>
  <si>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</si>
  <si>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</si>
  <si>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</si>
  <si>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</si>
  <si>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</si>
  <si>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</si>
  <si>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</si>
  <si>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</si>
  <si>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</si>
  <si>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</si>
  <si>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區間上限放寬</t>
    </r>
  </si>
  <si>
    <r>
      <rPr>
        <sz val="10"/>
        <color rgb="FF000000"/>
        <rFont val="Noto Sans CJK SC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</si>
  <si>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</si>
  <si>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</si>
  <si>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</si>
  <si>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</si>
  <si>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</si>
  <si>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</si>
  <si>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</si>
  <si>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</si>
  <si>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Noto Sans CJK SC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</si>
  <si>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</si>
  <si>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</si>
  <si>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</si>
  <si>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</si>
  <si>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Noto Sans CJK SC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</si>
  <si>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</si>
  <si>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</si>
  <si>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</si>
  <si>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</si>
  <si>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</si>
  <si>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</si>
  <si>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</si>
  <si>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</si>
  <si>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</si>
  <si>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</si>
  <si>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</si>
  <si>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</si>
  <si>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</si>
  <si>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</si>
  <si>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</si>
  <si>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</si>
  <si>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</si>
  <si>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</si>
  <si>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</si>
  <si>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</si>
  <si>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</si>
  <si>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</si>
  <si>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</si>
  <si>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</si>
  <si>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</si>
  <si>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</si>
  <si>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</si>
  <si>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Noto Sans CJK SC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Noto Sans CJK SC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</si>
  <si>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</si>
  <si>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</si>
  <si>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</si>
  <si>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</si>
  <si>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</si>
  <si>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</si>
  <si>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</si>
  <si>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</si>
  <si>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</si>
  <si>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</si>
  <si>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</si>
  <si>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</si>
  <si>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</si>
  <si>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</si>
  <si>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）；無法由公開資料分離（價格與能力同時變動）</t>
    </r>
  </si>
  <si>
    <r>
      <rPr>
        <sz val="10"/>
        <color rgb="FF000000"/>
        <rFont val="Noto Sans CJK SC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</si>
  <si>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</si>
  <si>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</si>
  <si>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</si>
  <si>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</si>
  <si>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</si>
  <si>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</si>
  <si>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</si>
  <si>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Noto Sans CJK SC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</si>
  <si>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</si>
  <si>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</si>
  <si>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</si>
  <si>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</si>
  <si>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Noto Sans CJK SC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</si>
  <si>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</si>
  <si>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Noto Sans CJK SC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Noto Sans CJK SC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Noto Sans CJK SC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Noto Sans CJK SC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</si>
  <si>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Noto Sans CJK SC"/>
        <family val="2"/>
      </rPr>
      <t xml:space="preserve">個百分點</t>
    </r>
  </si>
  <si>
    <r>
      <rPr>
        <sz val="10"/>
        <color rgb="FF000000"/>
        <rFont val="Noto Sans CJK SC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</si>
  <si>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</si>
  <si>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</si>
  <si>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Noto Sans CJK SC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</si>
  <si>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另列即時隱含值）</t>
    </r>
  </si>
  <si>
    <r>
      <rPr>
        <sz val="10"/>
        <color rgb="FF000000"/>
        <rFont val="Noto Sans CJK SC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</si>
  <si>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</si>
  <si>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</si>
  <si>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</si>
  <si>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</si>
  <si>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Noto Sans CJK SC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</si>
  <si>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</si>
  <si>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</si>
  <si>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</si>
  <si>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Noto Sans CJK SC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</si>
  <si>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Noto Sans CJK SC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</si>
  <si>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Noto Sans CJK SC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</si>
  <si>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</si>
  <si>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</si>
  <si>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Noto Sans CJK SC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平均）</t>
    </r>
  </si>
  <si>
    <t xml:space="preserve">D01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</si>
  <si>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</si>
  <si>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起一欄）</t>
    </r>
  </si>
  <si>
    <t xml:space="preserve">D02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</si>
  <si>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</si>
  <si>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</si>
  <si>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</si>
  <si>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</si>
  <si>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</si>
  <si>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</si>
  <si>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</si>
  <si>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</si>
  <si>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</si>
  <si>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</si>
  <si>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</si>
  <si>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</si>
  <si>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</si>
  <si>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</si>
  <si>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</si>
  <si>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</si>
  <si>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Noto Sans CJK SC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</si>
  <si>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</si>
  <si>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</si>
  <si>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D10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</si>
  <si>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</si>
  <si>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</si>
  <si>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</si>
  <si>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</si>
  <si>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</si>
  <si>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</si>
  <si>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</si>
  <si>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</si>
  <si>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</si>
  <si>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</si>
  <si>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</si>
  <si>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</si>
  <si>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席位數</t>
    </r>
  </si>
  <si>
    <r>
      <rPr>
        <b val="true"/>
        <sz val="10"/>
        <rFont val="Noto Sans CJK SC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</si>
  <si>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</si>
  <si>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</si>
  <si>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</si>
  <si>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</si>
  <si>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</si>
  <si>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</si>
  <si>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</si>
  <si>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</si>
  <si>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</si>
  <si>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</si>
  <si>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</si>
  <si>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</si>
  <si>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</si>
  <si>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</si>
  <si>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</si>
  <si>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D23</t>
  </si>
  <si>
    <t xml:space="preserve">D24</t>
  </si>
  <si>
    <t xml:space="preserve">D25</t>
  </si>
  <si>
    <t xml:space="preserve">D26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</si>
  <si>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</si>
  <si>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</si>
  <si>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</si>
  <si>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</si>
  <si>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</si>
  <si>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</si>
  <si>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</si>
  <si>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</si>
  <si>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</si>
  <si>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</si>
  <si>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</si>
  <si>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</si>
  <si>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</si>
  <si>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</si>
  <si>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</si>
  <si>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Noto Sans CJK SC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</si>
  <si>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t xml:space="preserve">D34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</si>
  <si>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</si>
  <si>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</si>
  <si>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</si>
  <si>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</si>
  <si>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D36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</si>
  <si>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</si>
  <si>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</si>
  <si>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</si>
  <si>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</si>
  <si>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</si>
  <si>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</si>
  <si>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：其他代理</t>
    </r>
  </si>
  <si>
    <t xml:space="preserve">D40</t>
  </si>
  <si>
    <r>
      <rPr>
        <sz val="10"/>
        <color rgb="FF000000"/>
        <rFont val="Noto Sans CJK SC"/>
        <family val="2"/>
      </rPr>
      <t xml:space="preserve">檢查：類別合計 − 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</si>
  <si>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D41</t>
  </si>
  <si>
    <r>
      <rPr>
        <sz val="10"/>
        <color rgb="FF000000"/>
        <rFont val="Noto Sans CJK SC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</si>
  <si>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Noto Sans CJK SC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</si>
  <si>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價格反應）</t>
    </r>
  </si>
  <si>
    <t xml:space="preserve">D42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</si>
  <si>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組合有效單價）</t>
    </r>
  </si>
  <si>
    <r>
      <rPr>
        <sz val="9"/>
        <color rgb="FF595959"/>
        <rFont val="Noto Sans CJK SC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Noto Sans CJK SC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</si>
  <si>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</si>
  <si>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</si>
  <si>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</si>
  <si>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</si>
  <si>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</si>
  <si>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</si>
  <si>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</si>
  <si>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</si>
  <si>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</si>
  <si>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</si>
  <si>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</si>
  <si>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</si>
  <si>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</si>
  <si>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</si>
  <si>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</si>
  <si>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</si>
  <si>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</si>
  <si>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</si>
  <si>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</si>
  <si>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</si>
  <si>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用）</t>
    </r>
  </si>
  <si>
    <t xml:space="preserve">D50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</si>
  <si>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</si>
  <si>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</si>
  <si>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D51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</si>
  <si>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</si>
  <si>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D52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</si>
  <si>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</si>
  <si>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</si>
  <si>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</si>
  <si>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</si>
  <si>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</si>
  <si>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</si>
  <si>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</si>
  <si>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</si>
  <si>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D56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</si>
  <si>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</si>
  <si>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</si>
  <si>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</si>
  <si>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</si>
  <si>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</si>
  <si>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Noto Sans CJK SC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</si>
  <si>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</si>
  <si>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</si>
  <si>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</si>
  <si>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</si>
  <si>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</si>
  <si>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</si>
  <si>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Noto Sans CJK SC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</si>
  <si>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Noto Sans CJK SC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</si>
  <si>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）：總額＝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× 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Noto Sans CJK SC"/>
        <family val="2"/>
      </rPr>
      <t xml:space="preserve">）；命題與現金流用淨額。</t>
    </r>
  </si>
  <si>
    <r>
      <rPr>
        <sz val="9"/>
        <color rgb="FF595959"/>
        <rFont val="Noto Sans CJK SC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</si>
  <si>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</si>
  <si>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</si>
  <si>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</si>
  <si>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Noto Sans CJK SC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</si>
  <si>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</si>
  <si>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</si>
  <si>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</si>
  <si>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＋年變動率））</t>
    </r>
  </si>
  <si>
    <t xml:space="preserve">R03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</si>
  <si>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</si>
  <si>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</t>
    </r>
  </si>
  <si>
    <t xml:space="preserve">R04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</si>
  <si>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</si>
  <si>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</si>
  <si>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</si>
  <si>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</si>
  <si>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</si>
  <si>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</si>
  <si>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</si>
  <si>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</si>
  <si>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</si>
  <si>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</si>
  <si>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R09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</si>
  <si>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</si>
  <si>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</si>
  <si>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</si>
  <si>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</si>
  <si>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</si>
  <si>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</si>
  <si>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</si>
  <si>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</si>
  <si>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</si>
  <si>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</si>
  <si>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</si>
  <si>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Noto Sans CJK SC"/>
        <family val="2"/>
      </rPr>
      <t xml:space="preserve">與議價折扣）</t>
    </r>
  </si>
  <si>
    <t xml:space="preserve">R15</t>
  </si>
  <si>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價格倍數（快取讀寫加權）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</si>
  <si>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Noto Sans CJK SC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Noto Sans CJK SC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Noto Sans CJK SC"/>
        <family val="2"/>
      </rPr>
      <t xml:space="preserve">）</t>
    </r>
  </si>
  <si>
    <t xml:space="preserve">R16</t>
  </si>
  <si>
    <r>
      <rPr>
        <sz val="10"/>
        <color rgb="FF000000"/>
        <rFont val="Noto Sans CJK SC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Noto Sans CJK SC"/>
        <family val="2"/>
      </rPr>
      <t xml:space="preserve">議價）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</si>
  <si>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議價折扣）</t>
    </r>
  </si>
  <si>
    <t xml:space="preserve">R17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</si>
  <si>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有效單價</t>
    </r>
  </si>
  <si>
    <r>
      <rPr>
        <sz val="9"/>
        <color rgb="FF595959"/>
        <rFont val="Noto Sans CJK SC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折扣係數</t>
    </r>
  </si>
  <si>
    <t xml:space="preserve">R18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</si>
  <si>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有效單價</t>
    </r>
  </si>
  <si>
    <t xml:space="preserve">R19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</si>
  <si>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</si>
  <si>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</si>
  <si>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</si>
  <si>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</si>
  <si>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</si>
  <si>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</si>
  <si>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</si>
  <si>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</si>
  <si>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</si>
  <si>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</si>
  <si>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</t>
    </r>
  </si>
  <si>
    <r>
      <rPr>
        <b val="true"/>
        <sz val="10"/>
        <rFont val="Noto Sans CJK SC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Noto Sans CJK SC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</si>
  <si>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</si>
  <si>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</t>
    </r>
  </si>
  <si>
    <r>
      <rPr>
        <sz val="9"/>
        <color rgb="FF595959"/>
        <rFont val="Noto Sans CJK SC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</si>
  <si>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</si>
  <si>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</si>
  <si>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</si>
  <si>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</si>
  <si>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</si>
  <si>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</si>
  <si>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</si>
  <si>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</si>
  <si>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</si>
  <si>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</si>
  <si>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</si>
  <si>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</si>
  <si>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</si>
  <si>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</si>
  <si>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</si>
  <si>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</si>
  <si>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</si>
  <si>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</si>
  <si>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</si>
  <si>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r>
      <rPr>
        <b val="true"/>
        <sz val="10"/>
        <rFont val="Noto Sans CJK SC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</si>
  <si>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</si>
  <si>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</si>
  <si>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Noto Sans CJK SC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</si>
  <si>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</si>
  <si>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</si>
  <si>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</si>
  <si>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</si>
  <si>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Noto Sans CJK SC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</si>
  <si>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：下半年持平於最新觀測年化營收（保守；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</si>
  <si>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Noto Sans CJK SC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</si>
  <si>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</si>
  <si>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</si>
  <si>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</si>
  <si>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</si>
  <si>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</si>
  <si>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</si>
  <si>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</si>
  <si>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</si>
  <si>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</si>
  <si>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</si>
  <si>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</si>
  <si>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訂閱營收</t>
    </r>
  </si>
  <si>
    <t xml:space="preserve">R41</t>
  </si>
  <si>
    <r>
      <rPr>
        <sz val="10"/>
        <color rgb="FF000000"/>
        <rFont val="Noto Sans CJK SC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</si>
  <si>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t xml:space="preserve">R42</t>
  </si>
  <si>
    <r>
      <rPr>
        <sz val="10"/>
        <color rgb="FF000000"/>
        <rFont val="Noto Sans CJK SC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</si>
  <si>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</si>
  <si>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</si>
  <si>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Noto Sans CJK SC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</si>
  <si>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</si>
  <si>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</si>
  <si>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Noto Sans CJK SC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</si>
  <si>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</si>
  <si>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</si>
  <si>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</si>
  <si>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</si>
  <si>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</si>
  <si>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</si>
  <si>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</si>
  <si>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</si>
  <si>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R49</t>
  </si>
  <si>
    <r>
      <rPr>
        <sz val="10"/>
        <color rgb="FF000000"/>
        <rFont val="Noto Sans CJK SC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</si>
  <si>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</si>
  <si>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</si>
  <si>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Noto Sans CJK SC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</si>
  <si>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</si>
  <si>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R51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</si>
  <si>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</si>
  <si>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</si>
  <si>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Noto Sans CJK SC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</si>
  <si>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</si>
  <si>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</si>
  <si>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</si>
  <si>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Noto Sans CJK SC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Noto Sans CJK SC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</si>
  <si>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</si>
  <si>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</si>
  <si>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</si>
  <si>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</si>
  <si>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Noto Sans CJK SC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</si>
  <si>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Noto Sans CJK SC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</si>
  <si>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</si>
  <si>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</si>
  <si>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</si>
  <si>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</si>
  <si>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</si>
  <si>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</si>
  <si>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</si>
  <si>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企業</t>
    </r>
  </si>
  <si>
    <t xml:space="preserve">R59</t>
  </si>
  <si>
    <r>
      <rPr>
        <sz val="10"/>
        <color rgb="FF000000"/>
        <rFont val="Noto Sans CJK SC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</si>
  <si>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</si>
  <si>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</si>
  <si>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Noto Sans CJK SC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Noto Sans CJK SC"/>
        <family val="2"/>
      </rPr>
      <t xml:space="preserve">）</t>
    </r>
  </si>
  <si>
    <t xml:space="preserve">R61</t>
  </si>
  <si>
    <r>
      <rPr>
        <sz val="10"/>
        <color rgb="FF000000"/>
        <rFont val="Noto Sans CJK SC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</si>
  <si>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</si>
  <si>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</si>
  <si>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</si>
  <si>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</si>
  <si>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</si>
  <si>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A2 </t>
    </r>
    <r>
      <rPr>
        <b val="true"/>
        <sz val="10"/>
        <rFont val="Noto Sans CJK SC"/>
        <family val="2"/>
      </rPr>
      <t xml:space="preserve">佔位＝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 </t>
    </r>
    <r>
      <rPr>
        <b val="true"/>
        <sz val="10"/>
        <rFont val="Noto Sans CJK SC"/>
        <family val="2"/>
      </rPr>
      <t xml:space="preserve">取代本節第一列）</t>
    </r>
  </si>
  <si>
    <t xml:space="preserve">R64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</si>
  <si>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=CMP_CapFactor</t>
    </r>
    <r>
      <rPr>
        <sz val="10"/>
        <color rgb="FF000000"/>
        <rFont val="Noto Sans CJK SC"/>
        <family val="2"/>
      </rPr>
      <t xml:space="preserve">）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</si>
  <si>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</si>
  <si>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</si>
  <si>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</si>
  <si>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</si>
  <si>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</si>
  <si>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</si>
  <si>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Noto Sans CJK SC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</si>
  <si>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</si>
  <si>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</si>
  <si>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</si>
  <si>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</si>
  <si>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</si>
  <si>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</si>
  <si>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</si>
  <si>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</si>
  <si>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</si>
  <si>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</si>
  <si>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Noto Sans CJK SC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Noto Sans CJK SC"/>
        <family val="2"/>
      </rPr>
      <t xml:space="preserve">（兩者比）</t>
    </r>
  </si>
  <si>
    <r>
      <rPr>
        <sz val="9"/>
        <color rgb="FF595959"/>
        <rFont val="Noto Sans CJK SC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</si>
  <si>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</si>
  <si>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</si>
  <si>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</si>
  <si>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</si>
  <si>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</si>
  <si>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Noto Sans CJK SC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Noto Sans CJK SC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</si>
  <si>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</si>
  <si>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</si>
  <si>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</si>
  <si>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</si>
  <si>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</si>
  <si>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Noto Sans CJK SC"/>
        <family val="2"/>
      </rPr>
      <t xml:space="preserve">持平假設）</t>
    </r>
  </si>
  <si>
    <t xml:space="preserve">R77</t>
  </si>
  <si>
    <r>
      <rPr>
        <sz val="10"/>
        <color rgb="FF000000"/>
        <rFont val="Noto Sans CJK SC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</si>
  <si>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</si>
  <si>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</si>
  <si>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</si>
  <si>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</si>
  <si>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</si>
  <si>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Noto Sans CJK SC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抽成率上緣的依據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</si>
  <si>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Noto Sans CJK SC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</si>
  <si>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</si>
  <si>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</si>
  <si>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</si>
  <si>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（本價 − 前價）</t>
    </r>
  </si>
  <si>
    <t xml:space="preserve">ETI1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</si>
  <si>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</si>
  <si>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</si>
  <si>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ETI2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</si>
  <si>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</si>
  <si>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ETI3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</si>
  <si>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</si>
  <si>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ETI4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</si>
  <si>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</si>
  <si>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ETI5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</si>
  <si>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</si>
  <si>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ETI6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</si>
  <si>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</si>
  <si>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ETI7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</si>
  <si>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</si>
  <si>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ETI8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</si>
  <si>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</si>
  <si>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ETI9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</si>
  <si>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</si>
  <si>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ETO1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</si>
  <si>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</si>
  <si>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ETO2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</si>
  <si>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</si>
  <si>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ETO3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</si>
  <si>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</si>
  <si>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ETO4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</si>
  <si>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</si>
  <si>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ETO5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</si>
  <si>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</si>
  <si>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ETO6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</si>
  <si>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</si>
  <si>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ETO7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</si>
  <si>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</si>
  <si>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ETO8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</si>
  <si>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</si>
  <si>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ETO9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</si>
  <si>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</si>
  <si>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EMI1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</si>
  <si>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</si>
  <si>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EMI2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</si>
  <si>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</si>
  <si>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EMI3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</si>
  <si>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</si>
  <si>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EMI4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</si>
  <si>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</si>
  <si>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EMI5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</si>
  <si>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</si>
  <si>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EMI6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</si>
  <si>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</si>
  <si>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EMI7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</si>
  <si>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</si>
  <si>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EMO1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</si>
  <si>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</si>
  <si>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EMO2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</si>
  <si>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</si>
  <si>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EMO3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</si>
  <si>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</si>
  <si>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EMO4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</si>
  <si>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</si>
  <si>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EMO5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</si>
  <si>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</si>
  <si>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EMO6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</si>
  <si>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</si>
  <si>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EMO7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</si>
  <si>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</si>
  <si>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ELI1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</si>
  <si>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</si>
  <si>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ELI2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</si>
  <si>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</si>
  <si>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ELI3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</si>
  <si>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</si>
  <si>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ELO1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</si>
  <si>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</si>
  <si>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ELO2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</si>
  <si>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</si>
  <si>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ELO3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</si>
  <si>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</si>
  <si>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Checks — v0.1-A2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Noto Sans CJK SC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</si>
  <si>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</si>
  <si>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</si>
  <si>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</si>
  <si>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</si>
  <si>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</si>
  <si>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</si>
  <si>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</si>
  <si>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Noto Sans CJK SC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</si>
  <si>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</si>
  <si>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缺值列數</t>
    </r>
  </si>
  <si>
    <t xml:space="preserve">值、低、高皆空且非定性／文字／日期列</t>
  </si>
  <si>
    <t xml:space="preserve">C03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</si>
  <si>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缺出處或網址列數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</si>
  <si>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</si>
  <si>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</si>
  <si>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</si>
  <si>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</si>
  <si>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</si>
  <si>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</si>
  <si>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</si>
  <si>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</si>
  <si>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C07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</si>
  <si>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</si>
  <si>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</si>
  <si>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C08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</si>
  <si>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</si>
  <si>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</si>
  <si>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</si>
  <si>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具名範圍已取值名稱數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</si>
  <si>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</si>
  <si>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</si>
  <si>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NonNV </t>
    </r>
    <r>
      <rPr>
        <sz val="10"/>
        <color rgb="FF000000"/>
        <rFont val="Noto Sans CJK SC"/>
        <family val="2"/>
      </rPr>
      <t xml:space="preserve">讀表格數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</si>
  <si>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Noto Sans CJK SC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Noto Sans CJK SC"/>
        <family val="2"/>
      </rPr>
      <t xml:space="preserve">）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</si>
  <si>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</si>
  <si>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</si>
  <si>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</si>
  <si>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</si>
  <si>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</si>
  <si>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</si>
  <si>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</si>
  <si>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</si>
  <si>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</si>
  <si>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</si>
  <si>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</si>
  <si>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</si>
  <si>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</si>
  <si>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</si>
  <si>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</si>
  <si>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每次重驗</t>
    </r>
  </si>
  <si>
    <t xml:space="preserve">C17</t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</si>
  <si>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</si>
  <si>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</si>
  <si>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</si>
  <si>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Noto Sans CJK SC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</si>
  <si>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</si>
  <si>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</si>
  <si>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</si>
  <si>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</si>
  <si>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</si>
  <si>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個人＋席位由營收倒推人數</t>
  </si>
  <si>
    <t xml:space="preserve">C21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</si>
  <si>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Noto Sans CJK SC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</si>
  <si>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有效單價倒推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</si>
  <si>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</si>
  <si>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</si>
  <si>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D5 r1</t>
  </si>
  <si>
    <t xml:space="preserve">C23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</si>
  <si>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半校準：模型總額 − 基準（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</si>
  <si>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</si>
  <si>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</si>
  <si>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</si>
  <si>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年化至年底投資人預期中點的對數平均</t>
    </r>
  </si>
  <si>
    <t xml:space="preserve">C25</t>
  </si>
  <si>
    <r>
      <rPr>
        <sz val="10"/>
        <color rgb="FF000000"/>
        <rFont val="Noto Sans CJK SC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</si>
  <si>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</si>
  <si>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</si>
  <si>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</si>
  <si>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</si>
  <si>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</si>
  <si>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C28</t>
  </si>
  <si>
    <r>
      <rPr>
        <sz val="10"/>
        <color rgb="FF000000"/>
        <rFont val="Noto Sans CJK SC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方案合計（違反年數）</t>
    </r>
  </si>
  <si>
    <t xml:space="preserve">C29</t>
  </si>
  <si>
    <r>
      <rPr>
        <sz val="10"/>
        <color rgb="FF000000"/>
        <rFont val="Noto Sans CJK SC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</si>
  <si>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</si>
  <si>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</si>
  <si>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Noto Sans CJK SC"/>
        <family val="2"/>
      </rPr>
      <t xml:space="preserve">的違反數</t>
    </r>
  </si>
  <si>
    <r>
      <rPr>
        <sz val="9"/>
        <color rgb="FF595959"/>
        <rFont val="Noto Sans CJK SC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Noto Sans CJK SC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Noto Sans CJK SC"/>
        <family val="2"/>
      </rPr>
      <t xml:space="preserve">，席位轉負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</si>
  <si>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</si>
  <si>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（半校準後訂閱＋其他已超過總額）</t>
    </r>
  </si>
  <si>
    <t xml:space="preserve">C32</t>
  </si>
  <si>
    <r>
      <rPr>
        <sz val="10"/>
        <color rgb="FF000000"/>
        <rFont val="Noto Sans CJK SC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</si>
  <si>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佔位＝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</si>
  <si>
    <t xml:space="preserve">C33</t>
  </si>
  <si>
    <r>
      <rPr>
        <sz val="10"/>
        <color rgb="FF000000"/>
        <rFont val="Noto Sans CJK SC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</si>
  <si>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公開承諾不放廣告</t>
    </r>
  </si>
  <si>
    <t xml:space="preserve">C34</t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</si>
  <si>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</si>
  <si>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</si>
  <si>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</si>
  <si>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</si>
  <si>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</si>
  <si>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</si>
  <si>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</si>
  <si>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加權月費</t>
    </r>
  </si>
  <si>
    <t xml:space="preserve">C37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</si>
  <si>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</si>
  <si>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只作對照</t>
    </r>
  </si>
  <si>
    <t xml:space="preserve">C38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</si>
  <si>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</si>
  <si>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</si>
  <si>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</si>
  <si>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</si>
  <si>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Noto Sans CJK SC"/>
        <family val="2"/>
      </rPr>
      <t xml:space="preserve">的依據</t>
    </r>
  </si>
  <si>
    <t xml:space="preserve">C40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</si>
  <si>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</si>
  <si>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</si>
  <si>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t xml:space="preserve">C41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</si>
  <si>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</si>
  <si>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由實際值倒推</t>
    </r>
  </si>
  <si>
    <t xml:space="preserve">C42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</si>
  <si>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</si>
  <si>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Noto Sans CJK SC"/>
        <family val="2"/>
      </rPr>
      <t xml:space="preserve">：只對照、不回饋</t>
    </r>
  </si>
  <si>
    <t xml:space="preserve">C43</t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</si>
  <si>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</si>
  <si>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總額 − 雲端平台抽成</t>
  </si>
  <si>
    <t xml:space="preserve">C44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</si>
  <si>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</si>
  <si>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</si>
  <si>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</si>
  <si>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Noto Sans CJK SC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為截頂前淨額）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</si>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</sst>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29.85" hidden="false" customHeight="false" outlineLevel="0" collapsed="false">
      <c r="A5" s="5" t="s">
        <v>4</v>
      </c>
      <c r="B5" s="6" t="s">
        <v>5</v>
      </c>
    </row>
    <row r="6" customFormat="false" ht="29.8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44" hidden="false" customHeight="false" outlineLevel="0" collapsed="false">
      <c r="A10" s="5" t="s">
        <v>14</v>
      </c>
      <c r="B10" s="6" t="s">
        <v>15</v>
      </c>
    </row>
    <row r="11" customFormat="false" ht="29.8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20.1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2" t="s">
        <v>28</v>
      </c>
    </row>
    <row r="4" customFormat="false" ht="44" hidden="false" customHeight="false" outlineLevel="0" collapsed="false">
      <c r="A4" s="7" t="s">
        <v>29</v>
      </c>
      <c r="B4" s="7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8" t="s">
        <v>22</v>
      </c>
      <c r="Q4" s="8" t="s">
        <v>44</v>
      </c>
      <c r="R4" s="8" t="s">
        <v>45</v>
      </c>
      <c r="S4" s="8" t="s">
        <v>46</v>
      </c>
      <c r="T4" s="8" t="s">
        <v>47</v>
      </c>
      <c r="U4" s="8" t="s">
        <v>48</v>
      </c>
      <c r="V4" s="8" t="s">
        <v>49</v>
      </c>
      <c r="W4" s="8" t="s">
        <v>50</v>
      </c>
      <c r="X4" s="8" t="s">
        <v>51</v>
      </c>
      <c r="Y4" s="8" t="s">
        <v>52</v>
      </c>
      <c r="Z4" s="8" t="s">
        <v>53</v>
      </c>
      <c r="AA4" s="7" t="s">
        <v>54</v>
      </c>
      <c r="AB4" s="8" t="s">
        <v>55</v>
      </c>
    </row>
    <row r="5" customFormat="false" ht="15" hidden="false" customHeight="false" outlineLevel="0" collapsed="false">
      <c r="A5" s="9" t="s">
        <v>56</v>
      </c>
      <c r="B5" s="9" t="s">
        <v>57</v>
      </c>
      <c r="C5" s="9" t="s">
        <v>58</v>
      </c>
      <c r="D5" s="9" t="s">
        <v>59</v>
      </c>
      <c r="E5" s="10" t="n">
        <v>4.6</v>
      </c>
      <c r="F5" s="9"/>
      <c r="G5" s="9"/>
      <c r="H5" s="9" t="s">
        <v>60</v>
      </c>
      <c r="I5" s="9" t="s">
        <v>61</v>
      </c>
      <c r="J5" s="9"/>
      <c r="K5" s="11" t="s">
        <v>62</v>
      </c>
      <c r="L5" s="9" t="s">
        <v>63</v>
      </c>
      <c r="M5" s="9" t="s">
        <v>64</v>
      </c>
      <c r="N5" s="9" t="s">
        <v>65</v>
      </c>
      <c r="O5" s="9" t="s">
        <v>66</v>
      </c>
      <c r="P5" s="9" t="s">
        <v>67</v>
      </c>
      <c r="Q5" s="9" t="s">
        <v>68</v>
      </c>
      <c r="R5" s="9" t="s">
        <v>69</v>
      </c>
      <c r="S5" s="11" t="s">
        <v>70</v>
      </c>
      <c r="T5" s="9" t="s">
        <v>68</v>
      </c>
      <c r="U5" s="11" t="s">
        <v>71</v>
      </c>
      <c r="V5" s="11" t="s">
        <v>72</v>
      </c>
      <c r="W5" s="11" t="s">
        <v>73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74</v>
      </c>
    </row>
    <row r="6" customFormat="false" ht="15" hidden="false" customHeight="false" outlineLevel="0" collapsed="false">
      <c r="A6" s="9" t="s">
        <v>75</v>
      </c>
      <c r="B6" s="9" t="s">
        <v>76</v>
      </c>
      <c r="C6" s="9" t="s">
        <v>58</v>
      </c>
      <c r="D6" s="9" t="s">
        <v>59</v>
      </c>
      <c r="E6" s="10" t="n">
        <v>4.59</v>
      </c>
      <c r="F6" s="9"/>
      <c r="G6" s="9"/>
      <c r="H6" s="9" t="s">
        <v>60</v>
      </c>
      <c r="I6" s="9" t="s">
        <v>61</v>
      </c>
      <c r="J6" s="9"/>
      <c r="K6" s="11" t="s">
        <v>62</v>
      </c>
      <c r="L6" s="9" t="s">
        <v>77</v>
      </c>
      <c r="M6" s="9" t="s">
        <v>78</v>
      </c>
      <c r="N6" s="9" t="s">
        <v>65</v>
      </c>
      <c r="O6" s="9" t="s">
        <v>66</v>
      </c>
      <c r="P6" s="9" t="s">
        <v>67</v>
      </c>
      <c r="Q6" s="9" t="s">
        <v>79</v>
      </c>
      <c r="R6" s="9" t="s">
        <v>69</v>
      </c>
      <c r="S6" s="11" t="s">
        <v>70</v>
      </c>
      <c r="T6" s="9" t="s">
        <v>79</v>
      </c>
      <c r="U6" s="11" t="s">
        <v>71</v>
      </c>
      <c r="V6" s="11" t="s">
        <v>72</v>
      </c>
      <c r="W6" s="11" t="s">
        <v>80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74</v>
      </c>
    </row>
    <row r="7" customFormat="false" ht="15" hidden="false" customHeight="false" outlineLevel="0" collapsed="false">
      <c r="A7" s="9" t="s">
        <v>81</v>
      </c>
      <c r="B7" s="9" t="s">
        <v>82</v>
      </c>
      <c r="C7" s="9" t="s">
        <v>58</v>
      </c>
      <c r="D7" s="9" t="s">
        <v>83</v>
      </c>
      <c r="E7" s="9" t="n">
        <f aca="false">SRC_ANT_002/(1+SRC_ANT_377)</f>
        <v>0.386363636363636</v>
      </c>
      <c r="F7" s="9"/>
      <c r="G7" s="9"/>
      <c r="H7" s="9" t="s">
        <v>60</v>
      </c>
      <c r="I7" s="9" t="s">
        <v>84</v>
      </c>
      <c r="J7" s="9"/>
      <c r="K7" s="11" t="s">
        <v>62</v>
      </c>
      <c r="L7" s="11" t="s">
        <v>85</v>
      </c>
      <c r="M7" s="9" t="s">
        <v>78</v>
      </c>
      <c r="N7" s="9" t="s">
        <v>65</v>
      </c>
      <c r="O7" s="9" t="s">
        <v>66</v>
      </c>
      <c r="P7" s="9" t="s">
        <v>86</v>
      </c>
      <c r="Q7" s="9"/>
      <c r="R7" s="11" t="s">
        <v>87</v>
      </c>
      <c r="S7" s="11" t="s">
        <v>88</v>
      </c>
      <c r="T7" s="11" t="s">
        <v>89</v>
      </c>
      <c r="U7" s="11" t="s">
        <v>88</v>
      </c>
      <c r="V7" s="9" t="s">
        <v>90</v>
      </c>
      <c r="W7" s="9" t="s">
        <v>91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74</v>
      </c>
    </row>
    <row r="8" customFormat="false" ht="15" hidden="false" customHeight="false" outlineLevel="0" collapsed="false">
      <c r="A8" s="9" t="s">
        <v>92</v>
      </c>
      <c r="B8" s="9" t="s">
        <v>93</v>
      </c>
      <c r="C8" s="9" t="s">
        <v>58</v>
      </c>
      <c r="D8" s="9" t="s">
        <v>94</v>
      </c>
      <c r="E8" s="10" t="n">
        <v>4.73</v>
      </c>
      <c r="F8" s="9"/>
      <c r="G8" s="9"/>
      <c r="H8" s="9" t="s">
        <v>95</v>
      </c>
      <c r="I8" s="9" t="s">
        <v>96</v>
      </c>
      <c r="J8" s="9"/>
      <c r="K8" s="11" t="s">
        <v>62</v>
      </c>
      <c r="L8" s="9" t="s">
        <v>97</v>
      </c>
      <c r="M8" s="9" t="s">
        <v>98</v>
      </c>
      <c r="N8" s="9" t="s">
        <v>99</v>
      </c>
      <c r="O8" s="9" t="s">
        <v>66</v>
      </c>
      <c r="P8" s="9" t="s">
        <v>67</v>
      </c>
      <c r="Q8" s="9" t="s">
        <v>100</v>
      </c>
      <c r="R8" s="9" t="s">
        <v>69</v>
      </c>
      <c r="S8" s="11" t="s">
        <v>70</v>
      </c>
      <c r="T8" s="9" t="s">
        <v>100</v>
      </c>
      <c r="U8" s="11" t="s">
        <v>71</v>
      </c>
      <c r="V8" s="11" t="s">
        <v>72</v>
      </c>
      <c r="W8" s="11" t="s">
        <v>101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74</v>
      </c>
    </row>
    <row r="9" customFormat="false" ht="15" hidden="false" customHeight="false" outlineLevel="0" collapsed="false">
      <c r="A9" s="9" t="s">
        <v>102</v>
      </c>
      <c r="B9" s="9" t="s">
        <v>103</v>
      </c>
      <c r="C9" s="9" t="s">
        <v>58</v>
      </c>
      <c r="D9" s="9" t="s">
        <v>104</v>
      </c>
      <c r="E9" s="10" t="n">
        <v>11.5</v>
      </c>
      <c r="F9" s="9"/>
      <c r="G9" s="9"/>
      <c r="H9" s="9" t="s">
        <v>95</v>
      </c>
      <c r="I9" s="9" t="s">
        <v>105</v>
      </c>
      <c r="J9" s="9"/>
      <c r="K9" s="11" t="s">
        <v>62</v>
      </c>
      <c r="L9" s="9" t="s">
        <v>106</v>
      </c>
      <c r="M9" s="9" t="s">
        <v>98</v>
      </c>
      <c r="N9" s="9" t="s">
        <v>99</v>
      </c>
      <c r="O9" s="9" t="s">
        <v>66</v>
      </c>
      <c r="P9" s="9" t="s">
        <v>67</v>
      </c>
      <c r="Q9" s="9" t="s">
        <v>107</v>
      </c>
      <c r="R9" s="9" t="s">
        <v>69</v>
      </c>
      <c r="S9" s="11" t="s">
        <v>70</v>
      </c>
      <c r="T9" s="9" t="s">
        <v>107</v>
      </c>
      <c r="U9" s="11" t="s">
        <v>71</v>
      </c>
      <c r="V9" s="11" t="s">
        <v>72</v>
      </c>
      <c r="W9" s="11" t="s">
        <v>108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74</v>
      </c>
    </row>
    <row r="10" customFormat="false" ht="15" hidden="false" customHeight="false" outlineLevel="0" collapsed="false">
      <c r="A10" s="9" t="s">
        <v>109</v>
      </c>
      <c r="B10" s="9" t="s">
        <v>110</v>
      </c>
      <c r="C10" s="9" t="s">
        <v>58</v>
      </c>
      <c r="D10" s="9" t="s">
        <v>111</v>
      </c>
      <c r="E10" s="10" t="n">
        <v>0.787</v>
      </c>
      <c r="F10" s="9"/>
      <c r="G10" s="9"/>
      <c r="H10" s="9" t="s">
        <v>95</v>
      </c>
      <c r="I10" s="9" t="s">
        <v>112</v>
      </c>
      <c r="J10" s="9"/>
      <c r="K10" s="11" t="s">
        <v>62</v>
      </c>
      <c r="L10" s="9" t="s">
        <v>113</v>
      </c>
      <c r="M10" s="9" t="s">
        <v>114</v>
      </c>
      <c r="N10" s="9" t="s">
        <v>115</v>
      </c>
      <c r="O10" s="9" t="s">
        <v>66</v>
      </c>
      <c r="P10" s="9" t="s">
        <v>67</v>
      </c>
      <c r="Q10" s="9" t="s">
        <v>116</v>
      </c>
      <c r="R10" s="9" t="s">
        <v>69</v>
      </c>
      <c r="S10" s="11" t="s">
        <v>70</v>
      </c>
      <c r="T10" s="9" t="s">
        <v>116</v>
      </c>
      <c r="U10" s="11" t="s">
        <v>71</v>
      </c>
      <c r="V10" s="11" t="s">
        <v>72</v>
      </c>
      <c r="W10" s="11" t="s">
        <v>117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74</v>
      </c>
    </row>
    <row r="11" customFormat="false" ht="15" hidden="false" customHeight="false" outlineLevel="0" collapsed="false">
      <c r="A11" s="9" t="s">
        <v>118</v>
      </c>
      <c r="B11" s="9" t="s">
        <v>119</v>
      </c>
      <c r="C11" s="9" t="s">
        <v>58</v>
      </c>
      <c r="D11" s="9" t="s">
        <v>120</v>
      </c>
      <c r="E11" s="9" t="n">
        <f aca="false">SRC_ANT_004+SRC_ANT_005</f>
        <v>16.23</v>
      </c>
      <c r="F11" s="9"/>
      <c r="G11" s="9"/>
      <c r="H11" s="9" t="s">
        <v>121</v>
      </c>
      <c r="I11" s="9" t="s">
        <v>122</v>
      </c>
      <c r="J11" s="9"/>
      <c r="K11" s="11" t="s">
        <v>62</v>
      </c>
      <c r="L11" s="11" t="s">
        <v>123</v>
      </c>
      <c r="M11" s="9" t="s">
        <v>124</v>
      </c>
      <c r="N11" s="9" t="s">
        <v>65</v>
      </c>
      <c r="O11" s="9" t="s">
        <v>66</v>
      </c>
      <c r="P11" s="9" t="s">
        <v>86</v>
      </c>
      <c r="Q11" s="9"/>
      <c r="R11" s="11" t="s">
        <v>87</v>
      </c>
      <c r="S11" s="11" t="s">
        <v>88</v>
      </c>
      <c r="T11" s="11" t="s">
        <v>89</v>
      </c>
      <c r="U11" s="11" t="s">
        <v>88</v>
      </c>
      <c r="V11" s="9" t="s">
        <v>90</v>
      </c>
      <c r="W11" s="9" t="s">
        <v>125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74</v>
      </c>
    </row>
    <row r="12" customFormat="false" ht="15" hidden="false" customHeight="false" outlineLevel="0" collapsed="false">
      <c r="A12" s="9" t="s">
        <v>126</v>
      </c>
      <c r="B12" s="9" t="s">
        <v>127</v>
      </c>
      <c r="C12" s="9" t="s">
        <v>58</v>
      </c>
      <c r="D12" s="11" t="s">
        <v>128</v>
      </c>
      <c r="E12" s="10" t="n">
        <v>1</v>
      </c>
      <c r="F12" s="9"/>
      <c r="G12" s="9"/>
      <c r="H12" s="9" t="s">
        <v>60</v>
      </c>
      <c r="I12" s="9" t="s">
        <v>129</v>
      </c>
      <c r="J12" s="9"/>
      <c r="K12" s="11" t="s">
        <v>130</v>
      </c>
      <c r="L12" s="9" t="s">
        <v>131</v>
      </c>
      <c r="M12" s="9" t="s">
        <v>132</v>
      </c>
      <c r="N12" s="9" t="s">
        <v>133</v>
      </c>
      <c r="O12" s="9" t="s">
        <v>66</v>
      </c>
      <c r="P12" s="9" t="s">
        <v>67</v>
      </c>
      <c r="Q12" s="9" t="s">
        <v>134</v>
      </c>
      <c r="R12" s="9" t="s">
        <v>135</v>
      </c>
      <c r="S12" s="11" t="s">
        <v>70</v>
      </c>
      <c r="T12" s="9" t="s">
        <v>134</v>
      </c>
      <c r="U12" s="11" t="s">
        <v>136</v>
      </c>
      <c r="V12" s="11" t="s">
        <v>72</v>
      </c>
      <c r="W12" s="11" t="s">
        <v>137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74</v>
      </c>
    </row>
    <row r="13" customFormat="false" ht="15" hidden="false" customHeight="false" outlineLevel="0" collapsed="false">
      <c r="A13" s="9" t="s">
        <v>138</v>
      </c>
      <c r="B13" s="9" t="s">
        <v>139</v>
      </c>
      <c r="C13" s="9" t="s">
        <v>58</v>
      </c>
      <c r="D13" s="11" t="s">
        <v>128</v>
      </c>
      <c r="E13" s="10" t="n">
        <v>1</v>
      </c>
      <c r="F13" s="9"/>
      <c r="G13" s="9"/>
      <c r="H13" s="9" t="s">
        <v>60</v>
      </c>
      <c r="I13" s="9" t="s">
        <v>129</v>
      </c>
      <c r="J13" s="9"/>
      <c r="K13" s="11" t="s">
        <v>130</v>
      </c>
      <c r="L13" s="9" t="s">
        <v>140</v>
      </c>
      <c r="M13" s="9" t="s">
        <v>141</v>
      </c>
      <c r="N13" s="9" t="s">
        <v>142</v>
      </c>
      <c r="O13" s="9" t="s">
        <v>66</v>
      </c>
      <c r="P13" s="9" t="s">
        <v>67</v>
      </c>
      <c r="Q13" s="9" t="s">
        <v>143</v>
      </c>
      <c r="R13" s="9" t="s">
        <v>69</v>
      </c>
      <c r="S13" s="11" t="s">
        <v>70</v>
      </c>
      <c r="T13" s="9" t="s">
        <v>143</v>
      </c>
      <c r="U13" s="11" t="s">
        <v>71</v>
      </c>
      <c r="V13" s="11" t="s">
        <v>72</v>
      </c>
      <c r="W13" s="11" t="s">
        <v>144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74</v>
      </c>
    </row>
    <row r="14" customFormat="false" ht="15" hidden="false" customHeight="false" outlineLevel="0" collapsed="false">
      <c r="A14" s="9" t="s">
        <v>145</v>
      </c>
      <c r="B14" s="9" t="s">
        <v>146</v>
      </c>
      <c r="C14" s="9" t="s">
        <v>58</v>
      </c>
      <c r="D14" s="11" t="s">
        <v>128</v>
      </c>
      <c r="E14" s="10" t="n">
        <v>1.4</v>
      </c>
      <c r="F14" s="9"/>
      <c r="G14" s="9"/>
      <c r="H14" s="9" t="s">
        <v>60</v>
      </c>
      <c r="I14" s="9" t="s">
        <v>147</v>
      </c>
      <c r="J14" s="9"/>
      <c r="K14" s="11" t="s">
        <v>130</v>
      </c>
      <c r="L14" s="9" t="s">
        <v>148</v>
      </c>
      <c r="M14" s="9" t="s">
        <v>149</v>
      </c>
      <c r="N14" s="9" t="s">
        <v>150</v>
      </c>
      <c r="O14" s="9" t="s">
        <v>66</v>
      </c>
      <c r="P14" s="9" t="s">
        <v>67</v>
      </c>
      <c r="Q14" s="9" t="s">
        <v>143</v>
      </c>
      <c r="R14" s="9" t="s">
        <v>69</v>
      </c>
      <c r="S14" s="11" t="s">
        <v>70</v>
      </c>
      <c r="T14" s="9" t="s">
        <v>143</v>
      </c>
      <c r="U14" s="11" t="s">
        <v>71</v>
      </c>
      <c r="V14" s="11" t="s">
        <v>72</v>
      </c>
      <c r="W14" s="11" t="s">
        <v>151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74</v>
      </c>
    </row>
    <row r="15" customFormat="false" ht="15" hidden="false" customHeight="false" outlineLevel="0" collapsed="false">
      <c r="A15" s="9" t="s">
        <v>152</v>
      </c>
      <c r="B15" s="9" t="s">
        <v>153</v>
      </c>
      <c r="C15" s="9" t="s">
        <v>58</v>
      </c>
      <c r="D15" s="11" t="s">
        <v>128</v>
      </c>
      <c r="E15" s="10" t="n">
        <v>2</v>
      </c>
      <c r="F15" s="9"/>
      <c r="G15" s="9"/>
      <c r="H15" s="9" t="s">
        <v>60</v>
      </c>
      <c r="I15" s="9" t="s">
        <v>154</v>
      </c>
      <c r="J15" s="9"/>
      <c r="K15" s="11" t="s">
        <v>130</v>
      </c>
      <c r="L15" s="9" t="s">
        <v>140</v>
      </c>
      <c r="M15" s="9" t="s">
        <v>141</v>
      </c>
      <c r="N15" s="9" t="s">
        <v>142</v>
      </c>
      <c r="O15" s="9" t="s">
        <v>66</v>
      </c>
      <c r="P15" s="9" t="s">
        <v>67</v>
      </c>
      <c r="Q15" s="9" t="s">
        <v>143</v>
      </c>
      <c r="R15" s="9" t="s">
        <v>69</v>
      </c>
      <c r="S15" s="11" t="s">
        <v>70</v>
      </c>
      <c r="T15" s="9" t="s">
        <v>143</v>
      </c>
      <c r="U15" s="11" t="s">
        <v>71</v>
      </c>
      <c r="V15" s="11" t="s">
        <v>72</v>
      </c>
      <c r="W15" s="11" t="s">
        <v>155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74</v>
      </c>
    </row>
    <row r="16" customFormat="false" ht="15" hidden="false" customHeight="false" outlineLevel="0" collapsed="false">
      <c r="A16" s="9" t="s">
        <v>156</v>
      </c>
      <c r="B16" s="9" t="s">
        <v>157</v>
      </c>
      <c r="C16" s="9" t="s">
        <v>58</v>
      </c>
      <c r="D16" s="11" t="s">
        <v>128</v>
      </c>
      <c r="E16" s="10" t="n">
        <v>3</v>
      </c>
      <c r="F16" s="9"/>
      <c r="G16" s="9"/>
      <c r="H16" s="9" t="s">
        <v>60</v>
      </c>
      <c r="I16" s="9" t="s">
        <v>158</v>
      </c>
      <c r="J16" s="9"/>
      <c r="K16" s="11" t="s">
        <v>130</v>
      </c>
      <c r="L16" s="9" t="s">
        <v>159</v>
      </c>
      <c r="M16" s="9" t="s">
        <v>141</v>
      </c>
      <c r="N16" s="9" t="s">
        <v>142</v>
      </c>
      <c r="O16" s="9" t="s">
        <v>66</v>
      </c>
      <c r="P16" s="9" t="s">
        <v>67</v>
      </c>
      <c r="Q16" s="9" t="s">
        <v>143</v>
      </c>
      <c r="R16" s="9" t="s">
        <v>69</v>
      </c>
      <c r="S16" s="11" t="s">
        <v>70</v>
      </c>
      <c r="T16" s="9" t="s">
        <v>143</v>
      </c>
      <c r="U16" s="11" t="s">
        <v>71</v>
      </c>
      <c r="V16" s="11" t="s">
        <v>72</v>
      </c>
      <c r="W16" s="11" t="s">
        <v>160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74</v>
      </c>
    </row>
    <row r="17" customFormat="false" ht="15" hidden="false" customHeight="false" outlineLevel="0" collapsed="false">
      <c r="A17" s="9" t="s">
        <v>161</v>
      </c>
      <c r="B17" s="9" t="s">
        <v>162</v>
      </c>
      <c r="C17" s="9" t="s">
        <v>58</v>
      </c>
      <c r="D17" s="11" t="s">
        <v>128</v>
      </c>
      <c r="E17" s="10" t="n">
        <v>4</v>
      </c>
      <c r="F17" s="9"/>
      <c r="G17" s="9"/>
      <c r="H17" s="9" t="s">
        <v>60</v>
      </c>
      <c r="I17" s="9" t="s">
        <v>163</v>
      </c>
      <c r="J17" s="9"/>
      <c r="K17" s="11" t="s">
        <v>130</v>
      </c>
      <c r="L17" s="9" t="s">
        <v>148</v>
      </c>
      <c r="M17" s="9" t="s">
        <v>164</v>
      </c>
      <c r="N17" s="9" t="s">
        <v>165</v>
      </c>
      <c r="O17" s="9" t="s">
        <v>66</v>
      </c>
      <c r="P17" s="9" t="s">
        <v>67</v>
      </c>
      <c r="Q17" s="9" t="s">
        <v>143</v>
      </c>
      <c r="R17" s="9" t="s">
        <v>69</v>
      </c>
      <c r="S17" s="11" t="s">
        <v>70</v>
      </c>
      <c r="T17" s="9" t="s">
        <v>143</v>
      </c>
      <c r="U17" s="11" t="s">
        <v>71</v>
      </c>
      <c r="V17" s="11" t="s">
        <v>72</v>
      </c>
      <c r="W17" s="11" t="s">
        <v>166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74</v>
      </c>
    </row>
    <row r="18" customFormat="false" ht="15" hidden="false" customHeight="false" outlineLevel="0" collapsed="false">
      <c r="A18" s="9" t="s">
        <v>167</v>
      </c>
      <c r="B18" s="9" t="s">
        <v>168</v>
      </c>
      <c r="C18" s="9" t="s">
        <v>58</v>
      </c>
      <c r="D18" s="11" t="s">
        <v>128</v>
      </c>
      <c r="E18" s="10" t="n">
        <v>4</v>
      </c>
      <c r="F18" s="9"/>
      <c r="G18" s="9"/>
      <c r="H18" s="9" t="s">
        <v>60</v>
      </c>
      <c r="I18" s="9" t="s">
        <v>169</v>
      </c>
      <c r="J18" s="9"/>
      <c r="K18" s="11" t="s">
        <v>130</v>
      </c>
      <c r="L18" s="9" t="s">
        <v>170</v>
      </c>
      <c r="M18" s="9" t="s">
        <v>171</v>
      </c>
      <c r="N18" s="9" t="s">
        <v>172</v>
      </c>
      <c r="O18" s="9" t="s">
        <v>66</v>
      </c>
      <c r="P18" s="9" t="s">
        <v>67</v>
      </c>
      <c r="Q18" s="9" t="s">
        <v>143</v>
      </c>
      <c r="R18" s="9" t="s">
        <v>69</v>
      </c>
      <c r="S18" s="11" t="s">
        <v>70</v>
      </c>
      <c r="T18" s="9" t="s">
        <v>143</v>
      </c>
      <c r="U18" s="11" t="s">
        <v>71</v>
      </c>
      <c r="V18" s="11" t="s">
        <v>72</v>
      </c>
      <c r="W18" s="11" t="s">
        <v>173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74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9" t="s">
        <v>58</v>
      </c>
      <c r="D19" s="11" t="s">
        <v>128</v>
      </c>
      <c r="E19" s="10" t="n">
        <v>5</v>
      </c>
      <c r="F19" s="9"/>
      <c r="G19" s="9"/>
      <c r="H19" s="9" t="s">
        <v>60</v>
      </c>
      <c r="I19" s="9" t="s">
        <v>176</v>
      </c>
      <c r="J19" s="9"/>
      <c r="K19" s="11" t="s">
        <v>130</v>
      </c>
      <c r="L19" s="9" t="s">
        <v>131</v>
      </c>
      <c r="M19" s="9" t="s">
        <v>132</v>
      </c>
      <c r="N19" s="9" t="s">
        <v>133</v>
      </c>
      <c r="O19" s="9" t="s">
        <v>66</v>
      </c>
      <c r="P19" s="9" t="s">
        <v>67</v>
      </c>
      <c r="Q19" s="9" t="s">
        <v>134</v>
      </c>
      <c r="R19" s="9" t="s">
        <v>135</v>
      </c>
      <c r="S19" s="11" t="s">
        <v>70</v>
      </c>
      <c r="T19" s="9" t="s">
        <v>134</v>
      </c>
      <c r="U19" s="11" t="s">
        <v>136</v>
      </c>
      <c r="V19" s="11" t="s">
        <v>72</v>
      </c>
      <c r="W19" s="11" t="s">
        <v>177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74</v>
      </c>
    </row>
    <row r="20" customFormat="false" ht="15" hidden="false" customHeight="false" outlineLevel="0" collapsed="false">
      <c r="A20" s="9" t="s">
        <v>178</v>
      </c>
      <c r="B20" s="9" t="s">
        <v>179</v>
      </c>
      <c r="C20" s="9" t="s">
        <v>58</v>
      </c>
      <c r="D20" s="11" t="s">
        <v>128</v>
      </c>
      <c r="E20" s="10" t="n">
        <v>7</v>
      </c>
      <c r="F20" s="9"/>
      <c r="G20" s="10" t="n">
        <v>7</v>
      </c>
      <c r="H20" s="9" t="s">
        <v>60</v>
      </c>
      <c r="I20" s="9" t="s">
        <v>180</v>
      </c>
      <c r="J20" s="9"/>
      <c r="K20" s="11" t="s">
        <v>130</v>
      </c>
      <c r="L20" s="9" t="s">
        <v>181</v>
      </c>
      <c r="M20" s="9" t="s">
        <v>182</v>
      </c>
      <c r="N20" s="9" t="s">
        <v>183</v>
      </c>
      <c r="O20" s="9" t="s">
        <v>66</v>
      </c>
      <c r="P20" s="9" t="s">
        <v>67</v>
      </c>
      <c r="Q20" s="9" t="s">
        <v>184</v>
      </c>
      <c r="R20" s="9" t="s">
        <v>69</v>
      </c>
      <c r="S20" s="11" t="s">
        <v>70</v>
      </c>
      <c r="T20" s="9" t="s">
        <v>184</v>
      </c>
      <c r="U20" s="11" t="s">
        <v>71</v>
      </c>
      <c r="V20" s="11" t="s">
        <v>72</v>
      </c>
      <c r="W20" s="11" t="s">
        <v>185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74</v>
      </c>
    </row>
    <row r="21" customFormat="false" ht="15" hidden="false" customHeight="false" outlineLevel="0" collapsed="false">
      <c r="A21" s="9" t="s">
        <v>186</v>
      </c>
      <c r="B21" s="9" t="s">
        <v>187</v>
      </c>
      <c r="C21" s="9" t="s">
        <v>58</v>
      </c>
      <c r="D21" s="11" t="s">
        <v>128</v>
      </c>
      <c r="E21" s="10" t="n">
        <v>9</v>
      </c>
      <c r="F21" s="9"/>
      <c r="G21" s="9"/>
      <c r="H21" s="9" t="s">
        <v>60</v>
      </c>
      <c r="I21" s="9" t="s">
        <v>188</v>
      </c>
      <c r="J21" s="9"/>
      <c r="K21" s="11" t="s">
        <v>130</v>
      </c>
      <c r="L21" s="9" t="s">
        <v>189</v>
      </c>
      <c r="M21" s="9" t="s">
        <v>190</v>
      </c>
      <c r="N21" s="9" t="s">
        <v>191</v>
      </c>
      <c r="O21" s="9" t="s">
        <v>66</v>
      </c>
      <c r="P21" s="9" t="s">
        <v>67</v>
      </c>
      <c r="Q21" s="9" t="s">
        <v>192</v>
      </c>
      <c r="R21" s="9" t="s">
        <v>135</v>
      </c>
      <c r="S21" s="11" t="s">
        <v>70</v>
      </c>
      <c r="T21" s="9" t="s">
        <v>192</v>
      </c>
      <c r="U21" s="11" t="s">
        <v>136</v>
      </c>
      <c r="V21" s="11" t="s">
        <v>72</v>
      </c>
      <c r="W21" s="11" t="s">
        <v>193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74</v>
      </c>
    </row>
    <row r="22" customFormat="false" ht="15" hidden="false" customHeight="false" outlineLevel="0" collapsed="false">
      <c r="A22" s="9" t="s">
        <v>194</v>
      </c>
      <c r="B22" s="9" t="s">
        <v>195</v>
      </c>
      <c r="C22" s="9" t="s">
        <v>58</v>
      </c>
      <c r="D22" s="11" t="s">
        <v>128</v>
      </c>
      <c r="E22" s="10" t="n">
        <v>9</v>
      </c>
      <c r="F22" s="9"/>
      <c r="G22" s="9"/>
      <c r="H22" s="9" t="s">
        <v>60</v>
      </c>
      <c r="I22" s="9" t="s">
        <v>188</v>
      </c>
      <c r="J22" s="9"/>
      <c r="K22" s="11" t="s">
        <v>130</v>
      </c>
      <c r="L22" s="9" t="s">
        <v>170</v>
      </c>
      <c r="M22" s="9" t="s">
        <v>171</v>
      </c>
      <c r="N22" s="9" t="s">
        <v>172</v>
      </c>
      <c r="O22" s="9" t="s">
        <v>66</v>
      </c>
      <c r="P22" s="9" t="s">
        <v>67</v>
      </c>
      <c r="Q22" s="9" t="s">
        <v>143</v>
      </c>
      <c r="R22" s="9" t="s">
        <v>69</v>
      </c>
      <c r="S22" s="11" t="s">
        <v>70</v>
      </c>
      <c r="T22" s="9" t="s">
        <v>143</v>
      </c>
      <c r="U22" s="11" t="s">
        <v>71</v>
      </c>
      <c r="V22" s="11" t="s">
        <v>72</v>
      </c>
      <c r="W22" s="11" t="s">
        <v>196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74</v>
      </c>
    </row>
    <row r="23" customFormat="false" ht="15" hidden="false" customHeight="false" outlineLevel="0" collapsed="false">
      <c r="A23" s="9" t="s">
        <v>197</v>
      </c>
      <c r="B23" s="9" t="s">
        <v>198</v>
      </c>
      <c r="C23" s="9" t="s">
        <v>58</v>
      </c>
      <c r="D23" s="11" t="s">
        <v>128</v>
      </c>
      <c r="E23" s="10" t="n">
        <v>14</v>
      </c>
      <c r="F23" s="9"/>
      <c r="G23" s="9"/>
      <c r="H23" s="9" t="s">
        <v>60</v>
      </c>
      <c r="I23" s="9" t="s">
        <v>199</v>
      </c>
      <c r="J23" s="9"/>
      <c r="K23" s="11" t="s">
        <v>130</v>
      </c>
      <c r="L23" s="9" t="s">
        <v>200</v>
      </c>
      <c r="M23" s="9" t="s">
        <v>201</v>
      </c>
      <c r="N23" s="9" t="s">
        <v>202</v>
      </c>
      <c r="O23" s="9" t="s">
        <v>66</v>
      </c>
      <c r="P23" s="9" t="s">
        <v>67</v>
      </c>
      <c r="Q23" s="9" t="s">
        <v>134</v>
      </c>
      <c r="R23" s="9" t="s">
        <v>135</v>
      </c>
      <c r="S23" s="11" t="s">
        <v>70</v>
      </c>
      <c r="T23" s="9" t="s">
        <v>134</v>
      </c>
      <c r="U23" s="11" t="s">
        <v>136</v>
      </c>
      <c r="V23" s="11" t="s">
        <v>72</v>
      </c>
      <c r="W23" s="11" t="s">
        <v>203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74</v>
      </c>
    </row>
    <row r="24" customFormat="false" ht="15" hidden="false" customHeight="false" outlineLevel="0" collapsed="false">
      <c r="A24" s="9" t="s">
        <v>204</v>
      </c>
      <c r="B24" s="9" t="s">
        <v>205</v>
      </c>
      <c r="C24" s="9" t="s">
        <v>58</v>
      </c>
      <c r="D24" s="11" t="s">
        <v>128</v>
      </c>
      <c r="E24" s="10" t="n">
        <v>19</v>
      </c>
      <c r="F24" s="9"/>
      <c r="G24" s="9"/>
      <c r="H24" s="9" t="s">
        <v>60</v>
      </c>
      <c r="I24" s="9" t="s">
        <v>206</v>
      </c>
      <c r="J24" s="9"/>
      <c r="K24" s="11" t="s">
        <v>130</v>
      </c>
      <c r="L24" s="9" t="s">
        <v>207</v>
      </c>
      <c r="M24" s="9" t="s">
        <v>208</v>
      </c>
      <c r="N24" s="9" t="s">
        <v>209</v>
      </c>
      <c r="O24" s="9" t="s">
        <v>66</v>
      </c>
      <c r="P24" s="9" t="s">
        <v>67</v>
      </c>
      <c r="Q24" s="9" t="s">
        <v>143</v>
      </c>
      <c r="R24" s="9" t="s">
        <v>69</v>
      </c>
      <c r="S24" s="11" t="s">
        <v>70</v>
      </c>
      <c r="T24" s="9" t="s">
        <v>143</v>
      </c>
      <c r="U24" s="11" t="s">
        <v>71</v>
      </c>
      <c r="V24" s="11" t="s">
        <v>72</v>
      </c>
      <c r="W24" s="11" t="s">
        <v>210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74</v>
      </c>
    </row>
    <row r="25" customFormat="false" ht="15" hidden="false" customHeight="false" outlineLevel="0" collapsed="false">
      <c r="A25" s="9" t="s">
        <v>211</v>
      </c>
      <c r="B25" s="9" t="s">
        <v>212</v>
      </c>
      <c r="C25" s="9" t="s">
        <v>58</v>
      </c>
      <c r="D25" s="11" t="s">
        <v>128</v>
      </c>
      <c r="E25" s="10" t="n">
        <v>30</v>
      </c>
      <c r="F25" s="9"/>
      <c r="G25" s="9"/>
      <c r="H25" s="9" t="s">
        <v>60</v>
      </c>
      <c r="I25" s="9" t="s">
        <v>213</v>
      </c>
      <c r="J25" s="9"/>
      <c r="K25" s="11" t="s">
        <v>130</v>
      </c>
      <c r="L25" s="9" t="s">
        <v>189</v>
      </c>
      <c r="M25" s="9" t="s">
        <v>190</v>
      </c>
      <c r="N25" s="9" t="s">
        <v>191</v>
      </c>
      <c r="O25" s="9" t="s">
        <v>66</v>
      </c>
      <c r="P25" s="9" t="s">
        <v>67</v>
      </c>
      <c r="Q25" s="9" t="s">
        <v>192</v>
      </c>
      <c r="R25" s="9" t="s">
        <v>135</v>
      </c>
      <c r="S25" s="11" t="s">
        <v>70</v>
      </c>
      <c r="T25" s="9" t="s">
        <v>192</v>
      </c>
      <c r="U25" s="11" t="s">
        <v>136</v>
      </c>
      <c r="V25" s="11" t="s">
        <v>72</v>
      </c>
      <c r="W25" s="11" t="s">
        <v>214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74</v>
      </c>
    </row>
    <row r="26" customFormat="false" ht="15" hidden="false" customHeight="false" outlineLevel="0" collapsed="false">
      <c r="A26" s="9" t="s">
        <v>215</v>
      </c>
      <c r="B26" s="9" t="s">
        <v>216</v>
      </c>
      <c r="C26" s="9" t="s">
        <v>58</v>
      </c>
      <c r="D26" s="11" t="s">
        <v>128</v>
      </c>
      <c r="E26" s="10" t="n">
        <v>47</v>
      </c>
      <c r="F26" s="9"/>
      <c r="G26" s="9"/>
      <c r="H26" s="9" t="s">
        <v>60</v>
      </c>
      <c r="I26" s="9" t="s">
        <v>217</v>
      </c>
      <c r="J26" s="9"/>
      <c r="K26" s="11" t="s">
        <v>130</v>
      </c>
      <c r="L26" s="9" t="s">
        <v>218</v>
      </c>
      <c r="M26" s="9" t="s">
        <v>219</v>
      </c>
      <c r="N26" s="9" t="s">
        <v>220</v>
      </c>
      <c r="O26" s="9" t="s">
        <v>66</v>
      </c>
      <c r="P26" s="9" t="s">
        <v>67</v>
      </c>
      <c r="Q26" s="9" t="s">
        <v>134</v>
      </c>
      <c r="R26" s="9" t="s">
        <v>135</v>
      </c>
      <c r="S26" s="11" t="s">
        <v>70</v>
      </c>
      <c r="T26" s="9" t="s">
        <v>134</v>
      </c>
      <c r="U26" s="11" t="s">
        <v>136</v>
      </c>
      <c r="V26" s="11" t="s">
        <v>72</v>
      </c>
      <c r="W26" s="11" t="s">
        <v>221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74</v>
      </c>
    </row>
    <row r="27" customFormat="false" ht="15" hidden="false" customHeight="false" outlineLevel="0" collapsed="false">
      <c r="A27" s="9" t="s">
        <v>222</v>
      </c>
      <c r="B27" s="9" t="s">
        <v>223</v>
      </c>
      <c r="C27" s="9" t="s">
        <v>58</v>
      </c>
      <c r="D27" s="11" t="s">
        <v>128</v>
      </c>
      <c r="E27" s="10" t="n">
        <v>65</v>
      </c>
      <c r="F27" s="9"/>
      <c r="G27" s="9"/>
      <c r="H27" s="9" t="s">
        <v>60</v>
      </c>
      <c r="I27" s="9" t="s">
        <v>224</v>
      </c>
      <c r="J27" s="9"/>
      <c r="K27" s="11" t="s">
        <v>130</v>
      </c>
      <c r="L27" s="9" t="s">
        <v>225</v>
      </c>
      <c r="M27" s="9" t="s">
        <v>226</v>
      </c>
      <c r="N27" s="9" t="s">
        <v>99</v>
      </c>
      <c r="O27" s="9" t="s">
        <v>66</v>
      </c>
      <c r="P27" s="9" t="s">
        <v>67</v>
      </c>
      <c r="Q27" s="9" t="s">
        <v>227</v>
      </c>
      <c r="R27" s="9" t="s">
        <v>69</v>
      </c>
      <c r="S27" s="11" t="s">
        <v>70</v>
      </c>
      <c r="T27" s="9" t="s">
        <v>227</v>
      </c>
      <c r="U27" s="11" t="s">
        <v>71</v>
      </c>
      <c r="V27" s="11" t="s">
        <v>72</v>
      </c>
      <c r="W27" s="11" t="s">
        <v>228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74</v>
      </c>
    </row>
    <row r="28" customFormat="false" ht="15" hidden="false" customHeight="false" outlineLevel="0" collapsed="false">
      <c r="A28" s="9" t="s">
        <v>229</v>
      </c>
      <c r="B28" s="9" t="s">
        <v>230</v>
      </c>
      <c r="C28" s="9" t="s">
        <v>58</v>
      </c>
      <c r="D28" s="11" t="s">
        <v>128</v>
      </c>
      <c r="E28" s="10" t="n">
        <v>65</v>
      </c>
      <c r="F28" s="9"/>
      <c r="G28" s="9"/>
      <c r="H28" s="9" t="s">
        <v>60</v>
      </c>
      <c r="I28" s="9" t="s">
        <v>231</v>
      </c>
      <c r="J28" s="9"/>
      <c r="K28" s="11" t="s">
        <v>130</v>
      </c>
      <c r="L28" s="9" t="s">
        <v>232</v>
      </c>
      <c r="M28" s="9" t="s">
        <v>233</v>
      </c>
      <c r="N28" s="9" t="s">
        <v>234</v>
      </c>
      <c r="O28" s="9" t="s">
        <v>66</v>
      </c>
      <c r="P28" s="9" t="s">
        <v>67</v>
      </c>
      <c r="Q28" s="9" t="s">
        <v>235</v>
      </c>
      <c r="R28" s="9" t="s">
        <v>69</v>
      </c>
      <c r="S28" s="11" t="s">
        <v>70</v>
      </c>
      <c r="T28" s="9" t="s">
        <v>235</v>
      </c>
      <c r="U28" s="11" t="s">
        <v>71</v>
      </c>
      <c r="V28" s="11" t="s">
        <v>72</v>
      </c>
      <c r="W28" s="11" t="s">
        <v>236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74</v>
      </c>
    </row>
    <row r="29" customFormat="false" ht="15" hidden="false" customHeight="false" outlineLevel="0" collapsed="false">
      <c r="A29" s="9" t="s">
        <v>237</v>
      </c>
      <c r="B29" s="9" t="s">
        <v>238</v>
      </c>
      <c r="C29" s="9" t="s">
        <v>58</v>
      </c>
      <c r="D29" s="9" t="s">
        <v>239</v>
      </c>
      <c r="E29" s="10" t="n">
        <v>0.789</v>
      </c>
      <c r="F29" s="9"/>
      <c r="G29" s="9"/>
      <c r="H29" s="9" t="s">
        <v>60</v>
      </c>
      <c r="I29" s="9" t="s">
        <v>61</v>
      </c>
      <c r="J29" s="9"/>
      <c r="K29" s="11" t="s">
        <v>62</v>
      </c>
      <c r="L29" s="9" t="s">
        <v>240</v>
      </c>
      <c r="M29" s="9" t="s">
        <v>241</v>
      </c>
      <c r="N29" s="9" t="s">
        <v>242</v>
      </c>
      <c r="O29" s="9" t="s">
        <v>66</v>
      </c>
      <c r="P29" s="9" t="s">
        <v>67</v>
      </c>
      <c r="Q29" s="9" t="s">
        <v>243</v>
      </c>
      <c r="R29" s="9" t="s">
        <v>69</v>
      </c>
      <c r="S29" s="11" t="s">
        <v>70</v>
      </c>
      <c r="T29" s="9" t="s">
        <v>243</v>
      </c>
      <c r="U29" s="11" t="s">
        <v>71</v>
      </c>
      <c r="V29" s="11" t="s">
        <v>72</v>
      </c>
      <c r="W29" s="11" t="s">
        <v>244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74</v>
      </c>
    </row>
    <row r="30" customFormat="false" ht="15" hidden="false" customHeight="false" outlineLevel="0" collapsed="false">
      <c r="A30" s="9" t="s">
        <v>245</v>
      </c>
      <c r="B30" s="9" t="s">
        <v>246</v>
      </c>
      <c r="C30" s="9" t="s">
        <v>58</v>
      </c>
      <c r="D30" s="9" t="s">
        <v>247</v>
      </c>
      <c r="E30" s="10" t="n">
        <v>3.8</v>
      </c>
      <c r="F30" s="9"/>
      <c r="G30" s="9"/>
      <c r="H30" s="9" t="s">
        <v>60</v>
      </c>
      <c r="I30" s="9" t="s">
        <v>61</v>
      </c>
      <c r="J30" s="9"/>
      <c r="K30" s="11" t="s">
        <v>62</v>
      </c>
      <c r="L30" s="9" t="s">
        <v>248</v>
      </c>
      <c r="M30" s="9" t="s">
        <v>241</v>
      </c>
      <c r="N30" s="9" t="s">
        <v>242</v>
      </c>
      <c r="O30" s="9" t="s">
        <v>66</v>
      </c>
      <c r="P30" s="9" t="s">
        <v>67</v>
      </c>
      <c r="Q30" s="9" t="s">
        <v>243</v>
      </c>
      <c r="R30" s="9" t="s">
        <v>69</v>
      </c>
      <c r="S30" s="11" t="s">
        <v>70</v>
      </c>
      <c r="T30" s="9" t="s">
        <v>243</v>
      </c>
      <c r="U30" s="11" t="s">
        <v>71</v>
      </c>
      <c r="V30" s="11" t="s">
        <v>72</v>
      </c>
      <c r="W30" s="11" t="s">
        <v>249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74</v>
      </c>
    </row>
    <row r="31" customFormat="false" ht="15" hidden="false" customHeight="false" outlineLevel="0" collapsed="false">
      <c r="A31" s="9" t="s">
        <v>250</v>
      </c>
      <c r="B31" s="9" t="s">
        <v>251</v>
      </c>
      <c r="C31" s="9" t="s">
        <v>58</v>
      </c>
      <c r="D31" s="11" t="s">
        <v>252</v>
      </c>
      <c r="E31" s="10" t="n">
        <v>0.47</v>
      </c>
      <c r="F31" s="9"/>
      <c r="G31" s="9"/>
      <c r="H31" s="11" t="s">
        <v>253</v>
      </c>
      <c r="I31" s="9" t="s">
        <v>61</v>
      </c>
      <c r="J31" s="9"/>
      <c r="K31" s="11" t="s">
        <v>62</v>
      </c>
      <c r="L31" s="9" t="s">
        <v>248</v>
      </c>
      <c r="M31" s="9" t="s">
        <v>241</v>
      </c>
      <c r="N31" s="9" t="s">
        <v>242</v>
      </c>
      <c r="O31" s="9" t="s">
        <v>66</v>
      </c>
      <c r="P31" s="9" t="s">
        <v>67</v>
      </c>
      <c r="Q31" s="9" t="s">
        <v>243</v>
      </c>
      <c r="R31" s="9" t="s">
        <v>69</v>
      </c>
      <c r="S31" s="11" t="s">
        <v>70</v>
      </c>
      <c r="T31" s="9" t="s">
        <v>243</v>
      </c>
      <c r="U31" s="11" t="s">
        <v>71</v>
      </c>
      <c r="V31" s="11" t="s">
        <v>72</v>
      </c>
      <c r="W31" s="11" t="s">
        <v>254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74</v>
      </c>
    </row>
    <row r="32" customFormat="false" ht="15" hidden="false" customHeight="false" outlineLevel="0" collapsed="false">
      <c r="A32" s="9" t="s">
        <v>255</v>
      </c>
      <c r="B32" s="9" t="s">
        <v>256</v>
      </c>
      <c r="C32" s="9" t="s">
        <v>58</v>
      </c>
      <c r="D32" s="11" t="s">
        <v>252</v>
      </c>
      <c r="E32" s="10" t="n">
        <v>0.32</v>
      </c>
      <c r="F32" s="9"/>
      <c r="G32" s="9"/>
      <c r="H32" s="11" t="s">
        <v>253</v>
      </c>
      <c r="I32" s="9" t="s">
        <v>84</v>
      </c>
      <c r="J32" s="9"/>
      <c r="K32" s="11" t="s">
        <v>62</v>
      </c>
      <c r="L32" s="9" t="s">
        <v>248</v>
      </c>
      <c r="M32" s="9" t="s">
        <v>241</v>
      </c>
      <c r="N32" s="9" t="s">
        <v>242</v>
      </c>
      <c r="O32" s="9" t="s">
        <v>66</v>
      </c>
      <c r="P32" s="9" t="s">
        <v>67</v>
      </c>
      <c r="Q32" s="9" t="s">
        <v>243</v>
      </c>
      <c r="R32" s="9" t="s">
        <v>69</v>
      </c>
      <c r="S32" s="11" t="s">
        <v>70</v>
      </c>
      <c r="T32" s="9" t="s">
        <v>243</v>
      </c>
      <c r="U32" s="11" t="s">
        <v>71</v>
      </c>
      <c r="V32" s="11" t="s">
        <v>72</v>
      </c>
      <c r="W32" s="11" t="s">
        <v>257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74</v>
      </c>
    </row>
    <row r="33" customFormat="false" ht="15" hidden="false" customHeight="false" outlineLevel="0" collapsed="false">
      <c r="A33" s="9" t="s">
        <v>258</v>
      </c>
      <c r="B33" s="9" t="s">
        <v>259</v>
      </c>
      <c r="C33" s="9" t="s">
        <v>58</v>
      </c>
      <c r="D33" s="11" t="s">
        <v>252</v>
      </c>
      <c r="E33" s="10" t="n">
        <v>0.11</v>
      </c>
      <c r="F33" s="9"/>
      <c r="G33" s="9"/>
      <c r="H33" s="11" t="s">
        <v>253</v>
      </c>
      <c r="I33" s="9" t="s">
        <v>260</v>
      </c>
      <c r="J33" s="9"/>
      <c r="K33" s="11" t="s">
        <v>62</v>
      </c>
      <c r="L33" s="9" t="s">
        <v>248</v>
      </c>
      <c r="M33" s="9" t="s">
        <v>241</v>
      </c>
      <c r="N33" s="9" t="s">
        <v>242</v>
      </c>
      <c r="O33" s="9" t="s">
        <v>66</v>
      </c>
      <c r="P33" s="9" t="s">
        <v>67</v>
      </c>
      <c r="Q33" s="9" t="s">
        <v>243</v>
      </c>
      <c r="R33" s="9" t="s">
        <v>69</v>
      </c>
      <c r="S33" s="11" t="s">
        <v>70</v>
      </c>
      <c r="T33" s="9" t="s">
        <v>243</v>
      </c>
      <c r="U33" s="11" t="s">
        <v>71</v>
      </c>
      <c r="V33" s="11" t="s">
        <v>72</v>
      </c>
      <c r="W33" s="11" t="s">
        <v>261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74</v>
      </c>
    </row>
    <row r="34" customFormat="false" ht="15" hidden="false" customHeight="false" outlineLevel="0" collapsed="false">
      <c r="A34" s="9" t="s">
        <v>262</v>
      </c>
      <c r="B34" s="9" t="s">
        <v>263</v>
      </c>
      <c r="C34" s="9" t="s">
        <v>58</v>
      </c>
      <c r="D34" s="11" t="s">
        <v>264</v>
      </c>
      <c r="E34" s="9"/>
      <c r="F34" s="9"/>
      <c r="G34" s="9"/>
      <c r="H34" s="11" t="s">
        <v>265</v>
      </c>
      <c r="I34" s="9" t="s">
        <v>61</v>
      </c>
      <c r="J34" s="9"/>
      <c r="K34" s="11" t="s">
        <v>62</v>
      </c>
      <c r="L34" s="9" t="s">
        <v>248</v>
      </c>
      <c r="M34" s="9" t="s">
        <v>241</v>
      </c>
      <c r="N34" s="9" t="s">
        <v>242</v>
      </c>
      <c r="O34" s="9" t="s">
        <v>66</v>
      </c>
      <c r="P34" s="9" t="s">
        <v>67</v>
      </c>
      <c r="Q34" s="9" t="s">
        <v>243</v>
      </c>
      <c r="R34" s="9" t="s">
        <v>69</v>
      </c>
      <c r="S34" s="11" t="s">
        <v>70</v>
      </c>
      <c r="T34" s="9" t="s">
        <v>243</v>
      </c>
      <c r="U34" s="11" t="s">
        <v>71</v>
      </c>
      <c r="V34" s="11" t="s">
        <v>72</v>
      </c>
      <c r="W34" s="11" t="s">
        <v>266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74</v>
      </c>
    </row>
    <row r="35" customFormat="false" ht="15" hidden="false" customHeight="false" outlineLevel="0" collapsed="false">
      <c r="A35" s="9" t="s">
        <v>267</v>
      </c>
      <c r="B35" s="9" t="s">
        <v>268</v>
      </c>
      <c r="C35" s="9" t="s">
        <v>58</v>
      </c>
      <c r="D35" s="9" t="s">
        <v>269</v>
      </c>
      <c r="E35" s="10" t="n">
        <v>0.351</v>
      </c>
      <c r="F35" s="9"/>
      <c r="G35" s="9"/>
      <c r="H35" s="9" t="s">
        <v>60</v>
      </c>
      <c r="I35" s="9" t="s">
        <v>61</v>
      </c>
      <c r="J35" s="9"/>
      <c r="K35" s="11" t="s">
        <v>62</v>
      </c>
      <c r="L35" s="9" t="s">
        <v>270</v>
      </c>
      <c r="M35" s="9" t="s">
        <v>241</v>
      </c>
      <c r="N35" s="9" t="s">
        <v>242</v>
      </c>
      <c r="O35" s="9" t="s">
        <v>66</v>
      </c>
      <c r="P35" s="9" t="s">
        <v>86</v>
      </c>
      <c r="Q35" s="9"/>
      <c r="R35" s="11" t="s">
        <v>87</v>
      </c>
      <c r="S35" s="11" t="s">
        <v>88</v>
      </c>
      <c r="T35" s="11" t="s">
        <v>89</v>
      </c>
      <c r="U35" s="11" t="s">
        <v>88</v>
      </c>
      <c r="V35" s="9" t="s">
        <v>271</v>
      </c>
      <c r="W35" s="11" t="s">
        <v>272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74</v>
      </c>
    </row>
    <row r="36" customFormat="false" ht="15" hidden="false" customHeight="false" outlineLevel="0" collapsed="false">
      <c r="A36" s="9" t="s">
        <v>273</v>
      </c>
      <c r="B36" s="9" t="s">
        <v>274</v>
      </c>
      <c r="C36" s="9" t="s">
        <v>58</v>
      </c>
      <c r="D36" s="11" t="s">
        <v>275</v>
      </c>
      <c r="E36" s="9" t="n">
        <f aca="false">SRC_ANT_031/(SRC_ANT_002*SRC_ANT_027)</f>
        <v>0.16270337922403</v>
      </c>
      <c r="F36" s="9"/>
      <c r="G36" s="9"/>
      <c r="H36" s="11" t="s">
        <v>253</v>
      </c>
      <c r="I36" s="9" t="s">
        <v>61</v>
      </c>
      <c r="J36" s="9"/>
      <c r="K36" s="11" t="s">
        <v>62</v>
      </c>
      <c r="L36" s="9" t="s">
        <v>270</v>
      </c>
      <c r="M36" s="9" t="s">
        <v>241</v>
      </c>
      <c r="N36" s="9" t="s">
        <v>242</v>
      </c>
      <c r="O36" s="9" t="s">
        <v>66</v>
      </c>
      <c r="P36" s="9" t="s">
        <v>86</v>
      </c>
      <c r="Q36" s="9"/>
      <c r="R36" s="11" t="s">
        <v>87</v>
      </c>
      <c r="S36" s="11" t="s">
        <v>88</v>
      </c>
      <c r="T36" s="11" t="s">
        <v>89</v>
      </c>
      <c r="U36" s="11" t="s">
        <v>88</v>
      </c>
      <c r="V36" s="9" t="s">
        <v>90</v>
      </c>
      <c r="W36" s="11" t="s">
        <v>276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74</v>
      </c>
    </row>
    <row r="37" customFormat="false" ht="15" hidden="false" customHeight="false" outlineLevel="0" collapsed="false">
      <c r="A37" s="9" t="s">
        <v>277</v>
      </c>
      <c r="B37" s="9" t="s">
        <v>278</v>
      </c>
      <c r="C37" s="9" t="s">
        <v>58</v>
      </c>
      <c r="D37" s="9" t="s">
        <v>279</v>
      </c>
      <c r="E37" s="10" t="n">
        <v>1.9</v>
      </c>
      <c r="F37" s="9"/>
      <c r="G37" s="9"/>
      <c r="H37" s="9" t="s">
        <v>60</v>
      </c>
      <c r="I37" s="9" t="s">
        <v>61</v>
      </c>
      <c r="J37" s="9"/>
      <c r="K37" s="11" t="s">
        <v>62</v>
      </c>
      <c r="L37" s="9" t="s">
        <v>280</v>
      </c>
      <c r="M37" s="9" t="s">
        <v>281</v>
      </c>
      <c r="N37" s="9" t="s">
        <v>282</v>
      </c>
      <c r="O37" s="9" t="s">
        <v>66</v>
      </c>
      <c r="P37" s="9" t="s">
        <v>283</v>
      </c>
      <c r="Q37" s="9"/>
      <c r="R37" s="9" t="s">
        <v>69</v>
      </c>
      <c r="S37" s="11" t="s">
        <v>284</v>
      </c>
      <c r="T37" s="11" t="s">
        <v>285</v>
      </c>
      <c r="U37" s="11" t="s">
        <v>71</v>
      </c>
      <c r="V37" s="11" t="s">
        <v>72</v>
      </c>
      <c r="W37" s="11" t="s">
        <v>286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74</v>
      </c>
    </row>
    <row r="38" customFormat="false" ht="15" hidden="false" customHeight="false" outlineLevel="0" collapsed="false">
      <c r="A38" s="9" t="s">
        <v>287</v>
      </c>
      <c r="B38" s="9" t="s">
        <v>288</v>
      </c>
      <c r="C38" s="9" t="s">
        <v>58</v>
      </c>
      <c r="D38" s="9" t="s">
        <v>289</v>
      </c>
      <c r="E38" s="10" t="n">
        <v>6.4</v>
      </c>
      <c r="F38" s="9"/>
      <c r="G38" s="10" t="n">
        <v>6.4</v>
      </c>
      <c r="H38" s="9" t="s">
        <v>60</v>
      </c>
      <c r="I38" s="9" t="s">
        <v>290</v>
      </c>
      <c r="J38" s="9"/>
      <c r="K38" s="11" t="s">
        <v>62</v>
      </c>
      <c r="L38" s="9" t="s">
        <v>291</v>
      </c>
      <c r="M38" s="9" t="s">
        <v>281</v>
      </c>
      <c r="N38" s="9" t="s">
        <v>282</v>
      </c>
      <c r="O38" s="9" t="s">
        <v>66</v>
      </c>
      <c r="P38" s="9" t="s">
        <v>283</v>
      </c>
      <c r="Q38" s="9"/>
      <c r="R38" s="9" t="s">
        <v>69</v>
      </c>
      <c r="S38" s="11" t="s">
        <v>284</v>
      </c>
      <c r="T38" s="11" t="s">
        <v>285</v>
      </c>
      <c r="U38" s="11" t="s">
        <v>71</v>
      </c>
      <c r="V38" s="11" t="s">
        <v>72</v>
      </c>
      <c r="W38" s="11" t="s">
        <v>292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74</v>
      </c>
    </row>
    <row r="39" customFormat="false" ht="15" hidden="false" customHeight="false" outlineLevel="0" collapsed="false">
      <c r="A39" s="9" t="s">
        <v>293</v>
      </c>
      <c r="B39" s="9" t="s">
        <v>294</v>
      </c>
      <c r="C39" s="9" t="s">
        <v>58</v>
      </c>
      <c r="D39" s="9" t="s">
        <v>295</v>
      </c>
      <c r="E39" s="10" t="n">
        <v>22</v>
      </c>
      <c r="F39" s="9"/>
      <c r="G39" s="9"/>
      <c r="H39" s="9" t="s">
        <v>60</v>
      </c>
      <c r="I39" s="9" t="s">
        <v>213</v>
      </c>
      <c r="J39" s="9"/>
      <c r="K39" s="11" t="s">
        <v>296</v>
      </c>
      <c r="L39" s="9" t="s">
        <v>297</v>
      </c>
      <c r="M39" s="9" t="s">
        <v>298</v>
      </c>
      <c r="N39" s="9" t="s">
        <v>299</v>
      </c>
      <c r="O39" s="9" t="s">
        <v>66</v>
      </c>
      <c r="P39" s="9" t="s">
        <v>67</v>
      </c>
      <c r="Q39" s="9" t="s">
        <v>300</v>
      </c>
      <c r="R39" s="9" t="s">
        <v>69</v>
      </c>
      <c r="S39" s="11" t="s">
        <v>70</v>
      </c>
      <c r="T39" s="9" t="s">
        <v>300</v>
      </c>
      <c r="U39" s="11" t="s">
        <v>71</v>
      </c>
      <c r="V39" s="11" t="s">
        <v>72</v>
      </c>
      <c r="W39" s="11" t="s">
        <v>301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74</v>
      </c>
    </row>
    <row r="40" customFormat="false" ht="15" hidden="false" customHeight="false" outlineLevel="0" collapsed="false">
      <c r="A40" s="9" t="s">
        <v>302</v>
      </c>
      <c r="B40" s="9" t="s">
        <v>303</v>
      </c>
      <c r="C40" s="9" t="s">
        <v>58</v>
      </c>
      <c r="D40" s="11" t="s">
        <v>304</v>
      </c>
      <c r="E40" s="10" t="n">
        <v>0.8</v>
      </c>
      <c r="F40" s="9"/>
      <c r="G40" s="9"/>
      <c r="H40" s="11" t="s">
        <v>253</v>
      </c>
      <c r="I40" s="9" t="s">
        <v>180</v>
      </c>
      <c r="J40" s="9"/>
      <c r="K40" s="11" t="s">
        <v>130</v>
      </c>
      <c r="L40" s="9" t="s">
        <v>305</v>
      </c>
      <c r="M40" s="9" t="s">
        <v>182</v>
      </c>
      <c r="N40" s="9" t="s">
        <v>183</v>
      </c>
      <c r="O40" s="9" t="s">
        <v>66</v>
      </c>
      <c r="P40" s="9" t="s">
        <v>67</v>
      </c>
      <c r="Q40" s="9" t="s">
        <v>134</v>
      </c>
      <c r="R40" s="9" t="s">
        <v>69</v>
      </c>
      <c r="S40" s="11" t="s">
        <v>70</v>
      </c>
      <c r="T40" s="9" t="s">
        <v>134</v>
      </c>
      <c r="U40" s="11" t="s">
        <v>71</v>
      </c>
      <c r="V40" s="11" t="s">
        <v>72</v>
      </c>
      <c r="W40" s="11" t="s">
        <v>306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74</v>
      </c>
    </row>
    <row r="41" customFormat="false" ht="15" hidden="false" customHeight="false" outlineLevel="0" collapsed="false">
      <c r="A41" s="9" t="s">
        <v>307</v>
      </c>
      <c r="B41" s="9" t="s">
        <v>308</v>
      </c>
      <c r="C41" s="9" t="s">
        <v>58</v>
      </c>
      <c r="D41" s="11" t="s">
        <v>309</v>
      </c>
      <c r="E41" s="10" t="n">
        <v>0.65</v>
      </c>
      <c r="F41" s="10" t="n">
        <v>0.6</v>
      </c>
      <c r="G41" s="10" t="n">
        <v>0.67</v>
      </c>
      <c r="H41" s="11" t="s">
        <v>253</v>
      </c>
      <c r="I41" s="9" t="s">
        <v>61</v>
      </c>
      <c r="J41" s="9"/>
      <c r="K41" s="11" t="s">
        <v>62</v>
      </c>
      <c r="L41" s="9" t="s">
        <v>248</v>
      </c>
      <c r="M41" s="9" t="s">
        <v>241</v>
      </c>
      <c r="N41" s="9" t="s">
        <v>242</v>
      </c>
      <c r="O41" s="9" t="s">
        <v>66</v>
      </c>
      <c r="P41" s="9" t="s">
        <v>67</v>
      </c>
      <c r="Q41" s="9" t="s">
        <v>310</v>
      </c>
      <c r="R41" s="9" t="s">
        <v>69</v>
      </c>
      <c r="S41" s="11" t="s">
        <v>70</v>
      </c>
      <c r="T41" s="9" t="s">
        <v>310</v>
      </c>
      <c r="U41" s="11" t="s">
        <v>71</v>
      </c>
      <c r="V41" s="11" t="s">
        <v>72</v>
      </c>
      <c r="W41" s="11" t="s">
        <v>311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74</v>
      </c>
    </row>
    <row r="42" customFormat="false" ht="15" hidden="false" customHeight="false" outlineLevel="0" collapsed="false">
      <c r="A42" s="9" t="s">
        <v>312</v>
      </c>
      <c r="B42" s="9" t="s">
        <v>313</v>
      </c>
      <c r="C42" s="9" t="s">
        <v>58</v>
      </c>
      <c r="D42" s="11" t="s">
        <v>314</v>
      </c>
      <c r="E42" s="10" t="n">
        <v>0.24</v>
      </c>
      <c r="F42" s="9"/>
      <c r="G42" s="9"/>
      <c r="H42" s="11" t="s">
        <v>253</v>
      </c>
      <c r="I42" s="9" t="s">
        <v>61</v>
      </c>
      <c r="J42" s="9"/>
      <c r="K42" s="11" t="s">
        <v>62</v>
      </c>
      <c r="L42" s="9" t="s">
        <v>248</v>
      </c>
      <c r="M42" s="9" t="s">
        <v>241</v>
      </c>
      <c r="N42" s="9" t="s">
        <v>242</v>
      </c>
      <c r="O42" s="9" t="s">
        <v>66</v>
      </c>
      <c r="P42" s="9" t="s">
        <v>67</v>
      </c>
      <c r="Q42" s="9" t="s">
        <v>310</v>
      </c>
      <c r="R42" s="9" t="s">
        <v>69</v>
      </c>
      <c r="S42" s="11" t="s">
        <v>70</v>
      </c>
      <c r="T42" s="9" t="s">
        <v>310</v>
      </c>
      <c r="U42" s="11" t="s">
        <v>71</v>
      </c>
      <c r="V42" s="11" t="s">
        <v>72</v>
      </c>
      <c r="W42" s="11" t="s">
        <v>315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74</v>
      </c>
    </row>
    <row r="43" customFormat="false" ht="15" hidden="false" customHeight="false" outlineLevel="0" collapsed="false">
      <c r="A43" s="9" t="s">
        <v>316</v>
      </c>
      <c r="B43" s="9" t="s">
        <v>317</v>
      </c>
      <c r="C43" s="9" t="s">
        <v>58</v>
      </c>
      <c r="D43" s="11" t="s">
        <v>318</v>
      </c>
      <c r="E43" s="10" t="n">
        <v>0.24</v>
      </c>
      <c r="F43" s="9"/>
      <c r="G43" s="9"/>
      <c r="H43" s="11" t="s">
        <v>253</v>
      </c>
      <c r="I43" s="9" t="s">
        <v>61</v>
      </c>
      <c r="J43" s="9"/>
      <c r="K43" s="11" t="s">
        <v>62</v>
      </c>
      <c r="L43" s="9" t="s">
        <v>319</v>
      </c>
      <c r="M43" s="9" t="s">
        <v>320</v>
      </c>
      <c r="N43" s="9" t="s">
        <v>65</v>
      </c>
      <c r="O43" s="9" t="s">
        <v>66</v>
      </c>
      <c r="P43" s="9" t="s">
        <v>67</v>
      </c>
      <c r="Q43" s="9" t="s">
        <v>321</v>
      </c>
      <c r="R43" s="11" t="s">
        <v>87</v>
      </c>
      <c r="S43" s="11" t="s">
        <v>70</v>
      </c>
      <c r="T43" s="9" t="s">
        <v>321</v>
      </c>
      <c r="U43" s="11" t="s">
        <v>87</v>
      </c>
      <c r="V43" s="11" t="s">
        <v>72</v>
      </c>
      <c r="W43" s="11" t="s">
        <v>322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74</v>
      </c>
    </row>
    <row r="44" customFormat="false" ht="15" hidden="false" customHeight="false" outlineLevel="0" collapsed="false">
      <c r="A44" s="9" t="s">
        <v>323</v>
      </c>
      <c r="B44" s="9" t="s">
        <v>324</v>
      </c>
      <c r="C44" s="9" t="s">
        <v>58</v>
      </c>
      <c r="D44" s="9" t="s">
        <v>325</v>
      </c>
      <c r="E44" s="10" t="n">
        <v>1.2</v>
      </c>
      <c r="F44" s="9"/>
      <c r="G44" s="9"/>
      <c r="H44" s="9" t="s">
        <v>60</v>
      </c>
      <c r="I44" s="9" t="s">
        <v>169</v>
      </c>
      <c r="J44" s="9"/>
      <c r="K44" s="11" t="s">
        <v>130</v>
      </c>
      <c r="L44" s="9" t="s">
        <v>326</v>
      </c>
      <c r="M44" s="9" t="s">
        <v>327</v>
      </c>
      <c r="N44" s="9" t="s">
        <v>328</v>
      </c>
      <c r="O44" s="9" t="s">
        <v>66</v>
      </c>
      <c r="P44" s="9" t="s">
        <v>67</v>
      </c>
      <c r="Q44" s="9" t="s">
        <v>329</v>
      </c>
      <c r="R44" s="11" t="s">
        <v>87</v>
      </c>
      <c r="S44" s="11" t="s">
        <v>70</v>
      </c>
      <c r="T44" s="9" t="s">
        <v>329</v>
      </c>
      <c r="U44" s="11" t="s">
        <v>87</v>
      </c>
      <c r="V44" s="11" t="s">
        <v>72</v>
      </c>
      <c r="W44" s="11" t="s">
        <v>330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74</v>
      </c>
    </row>
    <row r="45" customFormat="false" ht="15" hidden="false" customHeight="false" outlineLevel="0" collapsed="false">
      <c r="A45" s="9" t="s">
        <v>331</v>
      </c>
      <c r="B45" s="9" t="s">
        <v>332</v>
      </c>
      <c r="C45" s="9" t="s">
        <v>58</v>
      </c>
      <c r="D45" s="9" t="s">
        <v>333</v>
      </c>
      <c r="E45" s="10" t="n">
        <v>0.5</v>
      </c>
      <c r="F45" s="9"/>
      <c r="G45" s="10" t="n">
        <v>0.5</v>
      </c>
      <c r="H45" s="9" t="s">
        <v>60</v>
      </c>
      <c r="I45" s="9" t="s">
        <v>61</v>
      </c>
      <c r="J45" s="9"/>
      <c r="K45" s="11" t="s">
        <v>130</v>
      </c>
      <c r="L45" s="9" t="s">
        <v>334</v>
      </c>
      <c r="M45" s="9" t="s">
        <v>335</v>
      </c>
      <c r="N45" s="9"/>
      <c r="O45" s="9" t="s">
        <v>66</v>
      </c>
      <c r="P45" s="9" t="s">
        <v>67</v>
      </c>
      <c r="Q45" s="9" t="s">
        <v>336</v>
      </c>
      <c r="R45" s="9" t="s">
        <v>69</v>
      </c>
      <c r="S45" s="11" t="s">
        <v>70</v>
      </c>
      <c r="T45" s="9" t="s">
        <v>336</v>
      </c>
      <c r="U45" s="11" t="s">
        <v>71</v>
      </c>
      <c r="V45" s="11" t="s">
        <v>72</v>
      </c>
      <c r="W45" s="11" t="s">
        <v>337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74</v>
      </c>
    </row>
    <row r="46" customFormat="false" ht="15" hidden="false" customHeight="false" outlineLevel="0" collapsed="false">
      <c r="A46" s="9" t="s">
        <v>338</v>
      </c>
      <c r="B46" s="9" t="s">
        <v>339</v>
      </c>
      <c r="C46" s="9" t="s">
        <v>58</v>
      </c>
      <c r="D46" s="9" t="s">
        <v>340</v>
      </c>
      <c r="E46" s="10" t="n">
        <v>0.5</v>
      </c>
      <c r="F46" s="9"/>
      <c r="G46" s="9"/>
      <c r="H46" s="11" t="s">
        <v>253</v>
      </c>
      <c r="I46" s="9" t="s">
        <v>61</v>
      </c>
      <c r="J46" s="9"/>
      <c r="K46" s="11" t="s">
        <v>130</v>
      </c>
      <c r="L46" s="9" t="s">
        <v>341</v>
      </c>
      <c r="M46" s="9" t="s">
        <v>281</v>
      </c>
      <c r="N46" s="9" t="s">
        <v>282</v>
      </c>
      <c r="O46" s="9" t="s">
        <v>66</v>
      </c>
      <c r="P46" s="9" t="s">
        <v>67</v>
      </c>
      <c r="Q46" s="9" t="s">
        <v>342</v>
      </c>
      <c r="R46" s="9" t="s">
        <v>69</v>
      </c>
      <c r="S46" s="11" t="s">
        <v>70</v>
      </c>
      <c r="T46" s="9" t="s">
        <v>342</v>
      </c>
      <c r="U46" s="11" t="s">
        <v>71</v>
      </c>
      <c r="V46" s="11" t="s">
        <v>72</v>
      </c>
      <c r="W46" s="11" t="s">
        <v>343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74</v>
      </c>
    </row>
    <row r="47" customFormat="false" ht="15" hidden="false" customHeight="false" outlineLevel="0" collapsed="false">
      <c r="A47" s="9" t="s">
        <v>344</v>
      </c>
      <c r="B47" s="9" t="s">
        <v>345</v>
      </c>
      <c r="C47" s="9" t="s">
        <v>58</v>
      </c>
      <c r="D47" s="9" t="s">
        <v>346</v>
      </c>
      <c r="E47" s="10" t="n">
        <v>0.4</v>
      </c>
      <c r="F47" s="9"/>
      <c r="G47" s="9"/>
      <c r="H47" s="11" t="s">
        <v>253</v>
      </c>
      <c r="I47" s="9" t="s">
        <v>61</v>
      </c>
      <c r="J47" s="9"/>
      <c r="K47" s="11" t="s">
        <v>130</v>
      </c>
      <c r="L47" s="9" t="s">
        <v>347</v>
      </c>
      <c r="M47" s="9" t="s">
        <v>348</v>
      </c>
      <c r="N47" s="9" t="s">
        <v>172</v>
      </c>
      <c r="O47" s="9" t="s">
        <v>66</v>
      </c>
      <c r="P47" s="9" t="s">
        <v>67</v>
      </c>
      <c r="Q47" s="9" t="s">
        <v>349</v>
      </c>
      <c r="R47" s="9" t="s">
        <v>69</v>
      </c>
      <c r="S47" s="11" t="s">
        <v>70</v>
      </c>
      <c r="T47" s="9" t="s">
        <v>349</v>
      </c>
      <c r="U47" s="11" t="s">
        <v>71</v>
      </c>
      <c r="V47" s="11" t="s">
        <v>72</v>
      </c>
      <c r="W47" s="11" t="s">
        <v>350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74</v>
      </c>
    </row>
    <row r="48" customFormat="false" ht="15" hidden="false" customHeight="false" outlineLevel="0" collapsed="false">
      <c r="A48" s="9" t="s">
        <v>351</v>
      </c>
      <c r="B48" s="9" t="s">
        <v>352</v>
      </c>
      <c r="C48" s="9" t="s">
        <v>58</v>
      </c>
      <c r="D48" s="9" t="s">
        <v>353</v>
      </c>
      <c r="E48" s="10" t="n">
        <v>0.38</v>
      </c>
      <c r="F48" s="9"/>
      <c r="G48" s="9"/>
      <c r="H48" s="11" t="s">
        <v>253</v>
      </c>
      <c r="I48" s="9" t="s">
        <v>61</v>
      </c>
      <c r="J48" s="9"/>
      <c r="K48" s="11" t="s">
        <v>130</v>
      </c>
      <c r="L48" s="11" t="s">
        <v>354</v>
      </c>
      <c r="M48" s="9" t="s">
        <v>355</v>
      </c>
      <c r="N48" s="9" t="s">
        <v>356</v>
      </c>
      <c r="O48" s="9" t="s">
        <v>66</v>
      </c>
      <c r="P48" s="9" t="s">
        <v>67</v>
      </c>
      <c r="Q48" s="9" t="s">
        <v>349</v>
      </c>
      <c r="R48" s="9" t="s">
        <v>69</v>
      </c>
      <c r="S48" s="11" t="s">
        <v>70</v>
      </c>
      <c r="T48" s="9" t="s">
        <v>349</v>
      </c>
      <c r="U48" s="11" t="s">
        <v>71</v>
      </c>
      <c r="V48" s="11" t="s">
        <v>72</v>
      </c>
      <c r="W48" s="11" t="s">
        <v>357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74</v>
      </c>
    </row>
    <row r="49" customFormat="false" ht="15" hidden="false" customHeight="false" outlineLevel="0" collapsed="false">
      <c r="A49" s="9" t="s">
        <v>358</v>
      </c>
      <c r="B49" s="9" t="s">
        <v>359</v>
      </c>
      <c r="C49" s="9" t="s">
        <v>58</v>
      </c>
      <c r="D49" s="9" t="s">
        <v>360</v>
      </c>
      <c r="E49" s="10" t="n">
        <v>0.23</v>
      </c>
      <c r="F49" s="9"/>
      <c r="G49" s="9"/>
      <c r="H49" s="11" t="s">
        <v>253</v>
      </c>
      <c r="I49" s="9" t="s">
        <v>61</v>
      </c>
      <c r="J49" s="9"/>
      <c r="K49" s="11" t="s">
        <v>130</v>
      </c>
      <c r="L49" s="11" t="s">
        <v>354</v>
      </c>
      <c r="M49" s="9" t="s">
        <v>355</v>
      </c>
      <c r="N49" s="9" t="s">
        <v>356</v>
      </c>
      <c r="O49" s="9" t="s">
        <v>66</v>
      </c>
      <c r="P49" s="9" t="s">
        <v>67</v>
      </c>
      <c r="Q49" s="9" t="s">
        <v>349</v>
      </c>
      <c r="R49" s="9" t="s">
        <v>69</v>
      </c>
      <c r="S49" s="11" t="s">
        <v>70</v>
      </c>
      <c r="T49" s="9" t="s">
        <v>349</v>
      </c>
      <c r="U49" s="11" t="s">
        <v>71</v>
      </c>
      <c r="V49" s="11" t="s">
        <v>72</v>
      </c>
      <c r="W49" s="11" t="s">
        <v>361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74</v>
      </c>
    </row>
    <row r="50" customFormat="false" ht="15" hidden="false" customHeight="false" outlineLevel="0" collapsed="false">
      <c r="A50" s="9" t="s">
        <v>362</v>
      </c>
      <c r="B50" s="9" t="s">
        <v>363</v>
      </c>
      <c r="C50" s="9" t="s">
        <v>58</v>
      </c>
      <c r="D50" s="9" t="s">
        <v>364</v>
      </c>
      <c r="E50" s="10" t="n">
        <v>4.1</v>
      </c>
      <c r="F50" s="9"/>
      <c r="G50" s="9"/>
      <c r="H50" s="9" t="s">
        <v>60</v>
      </c>
      <c r="I50" s="9" t="s">
        <v>61</v>
      </c>
      <c r="J50" s="9"/>
      <c r="K50" s="11" t="s">
        <v>130</v>
      </c>
      <c r="L50" s="11" t="s">
        <v>354</v>
      </c>
      <c r="M50" s="9" t="s">
        <v>355</v>
      </c>
      <c r="N50" s="9" t="s">
        <v>356</v>
      </c>
      <c r="O50" s="9" t="s">
        <v>66</v>
      </c>
      <c r="P50" s="9" t="s">
        <v>67</v>
      </c>
      <c r="Q50" s="9" t="s">
        <v>349</v>
      </c>
      <c r="R50" s="9" t="s">
        <v>69</v>
      </c>
      <c r="S50" s="11" t="s">
        <v>70</v>
      </c>
      <c r="T50" s="9" t="s">
        <v>349</v>
      </c>
      <c r="U50" s="11" t="s">
        <v>71</v>
      </c>
      <c r="V50" s="11" t="s">
        <v>72</v>
      </c>
      <c r="W50" s="11" t="s">
        <v>365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74</v>
      </c>
    </row>
    <row r="51" customFormat="false" ht="15" hidden="false" customHeight="false" outlineLevel="0" collapsed="false">
      <c r="A51" s="9" t="s">
        <v>366</v>
      </c>
      <c r="B51" s="9" t="s">
        <v>367</v>
      </c>
      <c r="C51" s="9" t="s">
        <v>58</v>
      </c>
      <c r="D51" s="9" t="s">
        <v>368</v>
      </c>
      <c r="E51" s="10" t="n">
        <v>4.5</v>
      </c>
      <c r="F51" s="9"/>
      <c r="G51" s="9"/>
      <c r="H51" s="9" t="s">
        <v>60</v>
      </c>
      <c r="I51" s="9" t="s">
        <v>61</v>
      </c>
      <c r="J51" s="9"/>
      <c r="K51" s="11" t="s">
        <v>130</v>
      </c>
      <c r="L51" s="11" t="s">
        <v>354</v>
      </c>
      <c r="M51" s="9" t="s">
        <v>355</v>
      </c>
      <c r="N51" s="9" t="s">
        <v>356</v>
      </c>
      <c r="O51" s="9" t="s">
        <v>66</v>
      </c>
      <c r="P51" s="9" t="s">
        <v>67</v>
      </c>
      <c r="Q51" s="9" t="s">
        <v>349</v>
      </c>
      <c r="R51" s="9" t="s">
        <v>69</v>
      </c>
      <c r="S51" s="11" t="s">
        <v>70</v>
      </c>
      <c r="T51" s="9" t="s">
        <v>349</v>
      </c>
      <c r="U51" s="11" t="s">
        <v>71</v>
      </c>
      <c r="V51" s="11" t="s">
        <v>72</v>
      </c>
      <c r="W51" s="11" t="s">
        <v>369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74</v>
      </c>
    </row>
    <row r="52" customFormat="false" ht="15" hidden="false" customHeight="false" outlineLevel="0" collapsed="false">
      <c r="A52" s="9" t="s">
        <v>370</v>
      </c>
      <c r="B52" s="9" t="s">
        <v>371</v>
      </c>
      <c r="C52" s="9" t="s">
        <v>58</v>
      </c>
      <c r="D52" s="9" t="s">
        <v>372</v>
      </c>
      <c r="E52" s="10" t="n">
        <v>10</v>
      </c>
      <c r="F52" s="9"/>
      <c r="G52" s="9"/>
      <c r="H52" s="9" t="s">
        <v>60</v>
      </c>
      <c r="I52" s="9" t="s">
        <v>61</v>
      </c>
      <c r="J52" s="9"/>
      <c r="K52" s="11" t="s">
        <v>130</v>
      </c>
      <c r="L52" s="9" t="s">
        <v>373</v>
      </c>
      <c r="M52" s="9" t="s">
        <v>374</v>
      </c>
      <c r="N52" s="9" t="s">
        <v>356</v>
      </c>
      <c r="O52" s="9" t="s">
        <v>66</v>
      </c>
      <c r="P52" s="9" t="s">
        <v>67</v>
      </c>
      <c r="Q52" s="9" t="s">
        <v>375</v>
      </c>
      <c r="R52" s="11" t="s">
        <v>87</v>
      </c>
      <c r="S52" s="11" t="s">
        <v>70</v>
      </c>
      <c r="T52" s="9" t="s">
        <v>375</v>
      </c>
      <c r="U52" s="11" t="s">
        <v>87</v>
      </c>
      <c r="V52" s="11" t="s">
        <v>72</v>
      </c>
      <c r="W52" s="11" t="s">
        <v>376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74</v>
      </c>
    </row>
    <row r="53" customFormat="false" ht="15" hidden="false" customHeight="false" outlineLevel="0" collapsed="false">
      <c r="A53" s="9" t="s">
        <v>377</v>
      </c>
      <c r="B53" s="9" t="s">
        <v>378</v>
      </c>
      <c r="C53" s="9" t="s">
        <v>58</v>
      </c>
      <c r="D53" s="11" t="s">
        <v>379</v>
      </c>
      <c r="E53" s="10" t="n">
        <v>0.8</v>
      </c>
      <c r="F53" s="10" t="n">
        <v>0.8</v>
      </c>
      <c r="G53" s="9"/>
      <c r="H53" s="11" t="s">
        <v>253</v>
      </c>
      <c r="I53" s="9" t="s">
        <v>380</v>
      </c>
      <c r="J53" s="9"/>
      <c r="K53" s="11" t="s">
        <v>62</v>
      </c>
      <c r="L53" s="9" t="s">
        <v>381</v>
      </c>
      <c r="M53" s="9" t="s">
        <v>382</v>
      </c>
      <c r="N53" s="9" t="s">
        <v>383</v>
      </c>
      <c r="O53" s="9" t="s">
        <v>66</v>
      </c>
      <c r="P53" s="9" t="s">
        <v>67</v>
      </c>
      <c r="Q53" s="9" t="s">
        <v>227</v>
      </c>
      <c r="R53" s="9" t="s">
        <v>69</v>
      </c>
      <c r="S53" s="11" t="s">
        <v>70</v>
      </c>
      <c r="T53" s="9" t="s">
        <v>227</v>
      </c>
      <c r="U53" s="11" t="s">
        <v>71</v>
      </c>
      <c r="V53" s="11" t="s">
        <v>72</v>
      </c>
      <c r="W53" s="11" t="s">
        <v>384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74</v>
      </c>
    </row>
    <row r="54" customFormat="false" ht="15" hidden="false" customHeight="false" outlineLevel="0" collapsed="false">
      <c r="A54" s="9" t="s">
        <v>385</v>
      </c>
      <c r="B54" s="9" t="s">
        <v>386</v>
      </c>
      <c r="C54" s="9" t="s">
        <v>58</v>
      </c>
      <c r="D54" s="9" t="s">
        <v>387</v>
      </c>
      <c r="E54" s="10" t="n">
        <v>0.44</v>
      </c>
      <c r="F54" s="10" t="n">
        <v>0.4</v>
      </c>
      <c r="G54" s="10" t="n">
        <v>0.5</v>
      </c>
      <c r="H54" s="11" t="s">
        <v>253</v>
      </c>
      <c r="I54" s="9" t="s">
        <v>290</v>
      </c>
      <c r="J54" s="9"/>
      <c r="K54" s="11" t="s">
        <v>130</v>
      </c>
      <c r="L54" s="9" t="s">
        <v>388</v>
      </c>
      <c r="M54" s="9" t="s">
        <v>389</v>
      </c>
      <c r="N54" s="9" t="s">
        <v>390</v>
      </c>
      <c r="O54" s="9" t="s">
        <v>66</v>
      </c>
      <c r="P54" s="9" t="s">
        <v>283</v>
      </c>
      <c r="Q54" s="9"/>
      <c r="R54" s="9" t="s">
        <v>69</v>
      </c>
      <c r="S54" s="11" t="s">
        <v>284</v>
      </c>
      <c r="T54" s="11" t="s">
        <v>285</v>
      </c>
      <c r="U54" s="11" t="s">
        <v>71</v>
      </c>
      <c r="V54" s="11" t="s">
        <v>72</v>
      </c>
      <c r="W54" s="11" t="s">
        <v>391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74</v>
      </c>
    </row>
    <row r="55" customFormat="false" ht="15" hidden="false" customHeight="false" outlineLevel="0" collapsed="false">
      <c r="A55" s="9" t="s">
        <v>392</v>
      </c>
      <c r="B55" s="9" t="s">
        <v>393</v>
      </c>
      <c r="C55" s="9" t="s">
        <v>58</v>
      </c>
      <c r="D55" s="11" t="s">
        <v>394</v>
      </c>
      <c r="E55" s="10" t="n">
        <v>0.71</v>
      </c>
      <c r="F55" s="9"/>
      <c r="G55" s="9"/>
      <c r="H55" s="9" t="s">
        <v>395</v>
      </c>
      <c r="I55" s="9" t="s">
        <v>96</v>
      </c>
      <c r="J55" s="9"/>
      <c r="K55" s="11" t="s">
        <v>130</v>
      </c>
      <c r="L55" s="9" t="s">
        <v>396</v>
      </c>
      <c r="M55" s="9" t="s">
        <v>397</v>
      </c>
      <c r="N55" s="9" t="s">
        <v>398</v>
      </c>
      <c r="O55" s="9" t="s">
        <v>66</v>
      </c>
      <c r="P55" s="9" t="s">
        <v>67</v>
      </c>
      <c r="Q55" s="9" t="s">
        <v>399</v>
      </c>
      <c r="R55" s="9" t="s">
        <v>69</v>
      </c>
      <c r="S55" s="11" t="s">
        <v>70</v>
      </c>
      <c r="T55" s="9" t="s">
        <v>399</v>
      </c>
      <c r="U55" s="11" t="s">
        <v>71</v>
      </c>
      <c r="V55" s="11" t="s">
        <v>72</v>
      </c>
      <c r="W55" s="11" t="s">
        <v>400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74</v>
      </c>
    </row>
    <row r="56" customFormat="false" ht="15" hidden="false" customHeight="false" outlineLevel="0" collapsed="false">
      <c r="A56" s="9" t="s">
        <v>401</v>
      </c>
      <c r="B56" s="9" t="s">
        <v>402</v>
      </c>
      <c r="C56" s="9" t="s">
        <v>58</v>
      </c>
      <c r="D56" s="11" t="s">
        <v>403</v>
      </c>
      <c r="E56" s="10" t="n">
        <v>0.56</v>
      </c>
      <c r="F56" s="9"/>
      <c r="G56" s="9"/>
      <c r="H56" s="9" t="s">
        <v>395</v>
      </c>
      <c r="I56" s="9" t="s">
        <v>105</v>
      </c>
      <c r="J56" s="9"/>
      <c r="K56" s="11" t="s">
        <v>130</v>
      </c>
      <c r="L56" s="9" t="s">
        <v>404</v>
      </c>
      <c r="M56" s="9" t="s">
        <v>397</v>
      </c>
      <c r="N56" s="9" t="s">
        <v>398</v>
      </c>
      <c r="O56" s="9" t="s">
        <v>66</v>
      </c>
      <c r="P56" s="9" t="s">
        <v>67</v>
      </c>
      <c r="Q56" s="9" t="s">
        <v>405</v>
      </c>
      <c r="R56" s="9" t="s">
        <v>69</v>
      </c>
      <c r="S56" s="11" t="s">
        <v>70</v>
      </c>
      <c r="T56" s="9" t="s">
        <v>405</v>
      </c>
      <c r="U56" s="11" t="s">
        <v>71</v>
      </c>
      <c r="V56" s="11" t="s">
        <v>72</v>
      </c>
      <c r="W56" s="11" t="s">
        <v>406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74</v>
      </c>
    </row>
    <row r="57" customFormat="false" ht="15" hidden="false" customHeight="false" outlineLevel="0" collapsed="false">
      <c r="A57" s="9" t="s">
        <v>407</v>
      </c>
      <c r="B57" s="9" t="s">
        <v>408</v>
      </c>
      <c r="C57" s="9" t="s">
        <v>58</v>
      </c>
      <c r="D57" s="9" t="s">
        <v>94</v>
      </c>
      <c r="E57" s="10" t="n">
        <v>4.8</v>
      </c>
      <c r="F57" s="9"/>
      <c r="G57" s="9"/>
      <c r="H57" s="9" t="s">
        <v>95</v>
      </c>
      <c r="I57" s="9" t="s">
        <v>96</v>
      </c>
      <c r="J57" s="9"/>
      <c r="K57" s="11" t="s">
        <v>62</v>
      </c>
      <c r="L57" s="9" t="s">
        <v>404</v>
      </c>
      <c r="M57" s="9" t="s">
        <v>397</v>
      </c>
      <c r="N57" s="9" t="s">
        <v>398</v>
      </c>
      <c r="O57" s="9" t="s">
        <v>66</v>
      </c>
      <c r="P57" s="9" t="s">
        <v>67</v>
      </c>
      <c r="Q57" s="9" t="s">
        <v>342</v>
      </c>
      <c r="R57" s="9" t="s">
        <v>69</v>
      </c>
      <c r="S57" s="11" t="s">
        <v>70</v>
      </c>
      <c r="T57" s="9" t="s">
        <v>342</v>
      </c>
      <c r="U57" s="11" t="s">
        <v>71</v>
      </c>
      <c r="V57" s="11" t="s">
        <v>72</v>
      </c>
      <c r="W57" s="11" t="s">
        <v>409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74</v>
      </c>
    </row>
    <row r="58" customFormat="false" ht="15" hidden="false" customHeight="false" outlineLevel="0" collapsed="false">
      <c r="A58" s="9" t="s">
        <v>410</v>
      </c>
      <c r="B58" s="9" t="s">
        <v>411</v>
      </c>
      <c r="C58" s="9" t="s">
        <v>58</v>
      </c>
      <c r="D58" s="9" t="s">
        <v>412</v>
      </c>
      <c r="E58" s="10" t="n">
        <v>10.9</v>
      </c>
      <c r="F58" s="9"/>
      <c r="G58" s="9"/>
      <c r="H58" s="9" t="s">
        <v>95</v>
      </c>
      <c r="I58" s="9" t="s">
        <v>105</v>
      </c>
      <c r="J58" s="9"/>
      <c r="K58" s="11" t="s">
        <v>62</v>
      </c>
      <c r="L58" s="9" t="s">
        <v>404</v>
      </c>
      <c r="M58" s="9" t="s">
        <v>397</v>
      </c>
      <c r="N58" s="9" t="s">
        <v>398</v>
      </c>
      <c r="O58" s="9" t="s">
        <v>66</v>
      </c>
      <c r="P58" s="9" t="s">
        <v>67</v>
      </c>
      <c r="Q58" s="9" t="s">
        <v>405</v>
      </c>
      <c r="R58" s="9" t="s">
        <v>69</v>
      </c>
      <c r="S58" s="11" t="s">
        <v>70</v>
      </c>
      <c r="T58" s="9" t="s">
        <v>405</v>
      </c>
      <c r="U58" s="11" t="s">
        <v>71</v>
      </c>
      <c r="V58" s="11" t="s">
        <v>72</v>
      </c>
      <c r="W58" s="11" t="s">
        <v>413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74</v>
      </c>
    </row>
    <row r="59" customFormat="false" ht="15" hidden="false" customHeight="false" outlineLevel="0" collapsed="false">
      <c r="A59" s="9" t="s">
        <v>414</v>
      </c>
      <c r="B59" s="9" t="s">
        <v>415</v>
      </c>
      <c r="C59" s="9" t="s">
        <v>58</v>
      </c>
      <c r="D59" s="9" t="s">
        <v>416</v>
      </c>
      <c r="E59" s="10" t="n">
        <v>0.5</v>
      </c>
      <c r="F59" s="9"/>
      <c r="G59" s="9"/>
      <c r="H59" s="9" t="s">
        <v>60</v>
      </c>
      <c r="I59" s="9" t="s">
        <v>176</v>
      </c>
      <c r="J59" s="9"/>
      <c r="K59" s="9"/>
      <c r="L59" s="9" t="s">
        <v>417</v>
      </c>
      <c r="M59" s="9" t="s">
        <v>132</v>
      </c>
      <c r="N59" s="9" t="s">
        <v>133</v>
      </c>
      <c r="O59" s="9" t="s">
        <v>66</v>
      </c>
      <c r="P59" s="9" t="s">
        <v>67</v>
      </c>
      <c r="Q59" s="9" t="s">
        <v>418</v>
      </c>
      <c r="R59" s="9" t="s">
        <v>135</v>
      </c>
      <c r="S59" s="11" t="s">
        <v>70</v>
      </c>
      <c r="T59" s="9" t="s">
        <v>418</v>
      </c>
      <c r="U59" s="11" t="s">
        <v>136</v>
      </c>
      <c r="V59" s="11" t="s">
        <v>72</v>
      </c>
      <c r="W59" s="11" t="s">
        <v>419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74</v>
      </c>
    </row>
    <row r="60" customFormat="false" ht="15" hidden="false" customHeight="false" outlineLevel="0" collapsed="false">
      <c r="A60" s="9" t="s">
        <v>420</v>
      </c>
      <c r="B60" s="9" t="s">
        <v>421</v>
      </c>
      <c r="C60" s="9" t="s">
        <v>58</v>
      </c>
      <c r="D60" s="9" t="s">
        <v>416</v>
      </c>
      <c r="E60" s="10" t="n">
        <v>1</v>
      </c>
      <c r="F60" s="9"/>
      <c r="G60" s="10" t="n">
        <v>1</v>
      </c>
      <c r="H60" s="9" t="s">
        <v>60</v>
      </c>
      <c r="I60" s="9" t="s">
        <v>180</v>
      </c>
      <c r="J60" s="9"/>
      <c r="K60" s="9"/>
      <c r="L60" s="9" t="s">
        <v>305</v>
      </c>
      <c r="M60" s="9" t="s">
        <v>182</v>
      </c>
      <c r="N60" s="9" t="s">
        <v>183</v>
      </c>
      <c r="O60" s="9" t="s">
        <v>66</v>
      </c>
      <c r="P60" s="9" t="s">
        <v>67</v>
      </c>
      <c r="Q60" s="9" t="s">
        <v>418</v>
      </c>
      <c r="R60" s="9" t="s">
        <v>69</v>
      </c>
      <c r="S60" s="11" t="s">
        <v>70</v>
      </c>
      <c r="T60" s="9" t="s">
        <v>418</v>
      </c>
      <c r="U60" s="11" t="s">
        <v>71</v>
      </c>
      <c r="V60" s="11" t="s">
        <v>72</v>
      </c>
      <c r="W60" s="11" t="s">
        <v>422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74</v>
      </c>
    </row>
    <row r="61" customFormat="false" ht="15" hidden="false" customHeight="false" outlineLevel="0" collapsed="false">
      <c r="A61" s="9" t="s">
        <v>423</v>
      </c>
      <c r="B61" s="9" t="s">
        <v>424</v>
      </c>
      <c r="C61" s="9" t="s">
        <v>58</v>
      </c>
      <c r="D61" s="9" t="s">
        <v>416</v>
      </c>
      <c r="E61" s="10" t="n">
        <v>1</v>
      </c>
      <c r="F61" s="9"/>
      <c r="G61" s="9"/>
      <c r="H61" s="9" t="s">
        <v>60</v>
      </c>
      <c r="I61" s="9" t="s">
        <v>425</v>
      </c>
      <c r="J61" s="9"/>
      <c r="K61" s="9"/>
      <c r="L61" s="9" t="s">
        <v>426</v>
      </c>
      <c r="M61" s="9" t="s">
        <v>427</v>
      </c>
      <c r="N61" s="9" t="s">
        <v>428</v>
      </c>
      <c r="O61" s="9" t="s">
        <v>66</v>
      </c>
      <c r="P61" s="9" t="s">
        <v>67</v>
      </c>
      <c r="Q61" s="9" t="s">
        <v>418</v>
      </c>
      <c r="R61" s="9" t="s">
        <v>135</v>
      </c>
      <c r="S61" s="11" t="s">
        <v>70</v>
      </c>
      <c r="T61" s="9" t="s">
        <v>418</v>
      </c>
      <c r="U61" s="11" t="s">
        <v>136</v>
      </c>
      <c r="V61" s="11" t="s">
        <v>72</v>
      </c>
      <c r="W61" s="11" t="s">
        <v>429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74</v>
      </c>
    </row>
    <row r="62" customFormat="false" ht="15" hidden="false" customHeight="false" outlineLevel="0" collapsed="false">
      <c r="A62" s="9" t="s">
        <v>430</v>
      </c>
      <c r="B62" s="9" t="s">
        <v>431</v>
      </c>
      <c r="C62" s="9" t="s">
        <v>58</v>
      </c>
      <c r="D62" s="9" t="s">
        <v>416</v>
      </c>
      <c r="E62" s="10" t="n">
        <v>2.5</v>
      </c>
      <c r="F62" s="9"/>
      <c r="G62" s="9"/>
      <c r="H62" s="9" t="s">
        <v>60</v>
      </c>
      <c r="I62" s="9" t="s">
        <v>199</v>
      </c>
      <c r="J62" s="9"/>
      <c r="K62" s="9"/>
      <c r="L62" s="9" t="s">
        <v>432</v>
      </c>
      <c r="M62" s="9" t="s">
        <v>201</v>
      </c>
      <c r="N62" s="9" t="s">
        <v>202</v>
      </c>
      <c r="O62" s="9" t="s">
        <v>66</v>
      </c>
      <c r="P62" s="9" t="s">
        <v>67</v>
      </c>
      <c r="Q62" s="9" t="s">
        <v>418</v>
      </c>
      <c r="R62" s="9" t="s">
        <v>135</v>
      </c>
      <c r="S62" s="11" t="s">
        <v>70</v>
      </c>
      <c r="T62" s="9" t="s">
        <v>418</v>
      </c>
      <c r="U62" s="11" t="s">
        <v>136</v>
      </c>
      <c r="V62" s="11" t="s">
        <v>72</v>
      </c>
      <c r="W62" s="11" t="s">
        <v>433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74</v>
      </c>
    </row>
    <row r="63" customFormat="false" ht="15" hidden="false" customHeight="false" outlineLevel="0" collapsed="false">
      <c r="A63" s="9" t="s">
        <v>434</v>
      </c>
      <c r="B63" s="9" t="s">
        <v>435</v>
      </c>
      <c r="C63" s="9" t="s">
        <v>58</v>
      </c>
      <c r="D63" s="11" t="s">
        <v>436</v>
      </c>
      <c r="E63" s="10" t="n">
        <v>0.5</v>
      </c>
      <c r="F63" s="10" t="n">
        <v>0.5</v>
      </c>
      <c r="G63" s="9"/>
      <c r="H63" s="11" t="s">
        <v>253</v>
      </c>
      <c r="I63" s="9" t="s">
        <v>199</v>
      </c>
      <c r="J63" s="9"/>
      <c r="K63" s="9"/>
      <c r="L63" s="9" t="s">
        <v>432</v>
      </c>
      <c r="M63" s="9" t="s">
        <v>201</v>
      </c>
      <c r="N63" s="9" t="s">
        <v>202</v>
      </c>
      <c r="O63" s="9" t="s">
        <v>66</v>
      </c>
      <c r="P63" s="9" t="s">
        <v>67</v>
      </c>
      <c r="Q63" s="9" t="s">
        <v>418</v>
      </c>
      <c r="R63" s="9" t="s">
        <v>135</v>
      </c>
      <c r="S63" s="11" t="s">
        <v>70</v>
      </c>
      <c r="T63" s="9" t="s">
        <v>418</v>
      </c>
      <c r="U63" s="11" t="s">
        <v>136</v>
      </c>
      <c r="V63" s="11" t="s">
        <v>72</v>
      </c>
      <c r="W63" s="11" t="s">
        <v>437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74</v>
      </c>
    </row>
    <row r="64" customFormat="false" ht="15" hidden="false" customHeight="false" outlineLevel="0" collapsed="false">
      <c r="A64" s="9" t="s">
        <v>438</v>
      </c>
      <c r="B64" s="9" t="s">
        <v>439</v>
      </c>
      <c r="C64" s="9" t="s">
        <v>58</v>
      </c>
      <c r="D64" s="9" t="s">
        <v>440</v>
      </c>
      <c r="E64" s="10" t="n">
        <v>8</v>
      </c>
      <c r="F64" s="10" t="n">
        <v>5</v>
      </c>
      <c r="G64" s="10" t="n">
        <v>10</v>
      </c>
      <c r="H64" s="9" t="s">
        <v>60</v>
      </c>
      <c r="I64" s="9" t="s">
        <v>217</v>
      </c>
      <c r="J64" s="9"/>
      <c r="K64" s="9"/>
      <c r="L64" s="9" t="s">
        <v>441</v>
      </c>
      <c r="M64" s="9" t="s">
        <v>442</v>
      </c>
      <c r="N64" s="9" t="s">
        <v>217</v>
      </c>
      <c r="O64" s="9" t="s">
        <v>66</v>
      </c>
      <c r="P64" s="9" t="s">
        <v>283</v>
      </c>
      <c r="Q64" s="9"/>
      <c r="R64" s="9" t="s">
        <v>69</v>
      </c>
      <c r="S64" s="11" t="s">
        <v>284</v>
      </c>
      <c r="T64" s="11" t="s">
        <v>285</v>
      </c>
      <c r="U64" s="11" t="s">
        <v>71</v>
      </c>
      <c r="V64" s="11" t="s">
        <v>72</v>
      </c>
      <c r="W64" s="11" t="s">
        <v>443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74</v>
      </c>
    </row>
    <row r="65" customFormat="false" ht="15" hidden="false" customHeight="false" outlineLevel="0" collapsed="false">
      <c r="A65" s="9" t="s">
        <v>444</v>
      </c>
      <c r="B65" s="9" t="s">
        <v>445</v>
      </c>
      <c r="C65" s="9" t="s">
        <v>58</v>
      </c>
      <c r="D65" s="9" t="s">
        <v>446</v>
      </c>
      <c r="E65" s="10" t="n">
        <v>0.725</v>
      </c>
      <c r="F65" s="10" t="n">
        <v>0.7</v>
      </c>
      <c r="G65" s="10" t="n">
        <v>0.75</v>
      </c>
      <c r="H65" s="11" t="s">
        <v>253</v>
      </c>
      <c r="I65" s="9" t="s">
        <v>290</v>
      </c>
      <c r="J65" s="9"/>
      <c r="K65" s="9"/>
      <c r="L65" s="9" t="s">
        <v>447</v>
      </c>
      <c r="M65" s="9" t="s">
        <v>448</v>
      </c>
      <c r="N65" s="9" t="s">
        <v>449</v>
      </c>
      <c r="O65" s="9" t="s">
        <v>66</v>
      </c>
      <c r="P65" s="9" t="s">
        <v>283</v>
      </c>
      <c r="Q65" s="9"/>
      <c r="R65" s="9" t="s">
        <v>69</v>
      </c>
      <c r="S65" s="11" t="s">
        <v>284</v>
      </c>
      <c r="T65" s="11" t="s">
        <v>285</v>
      </c>
      <c r="U65" s="11" t="s">
        <v>71</v>
      </c>
      <c r="V65" s="11" t="s">
        <v>72</v>
      </c>
      <c r="W65" s="11" t="s">
        <v>450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74</v>
      </c>
    </row>
    <row r="66" customFormat="false" ht="15" hidden="false" customHeight="false" outlineLevel="0" collapsed="false">
      <c r="A66" s="9" t="s">
        <v>451</v>
      </c>
      <c r="B66" s="9" t="s">
        <v>452</v>
      </c>
      <c r="C66" s="9" t="s">
        <v>58</v>
      </c>
      <c r="D66" s="11" t="s">
        <v>453</v>
      </c>
      <c r="E66" s="10" t="n">
        <v>0.125</v>
      </c>
      <c r="F66" s="10" t="n">
        <v>0.1</v>
      </c>
      <c r="G66" s="10" t="n">
        <v>0.15</v>
      </c>
      <c r="H66" s="11" t="s">
        <v>253</v>
      </c>
      <c r="I66" s="9" t="s">
        <v>290</v>
      </c>
      <c r="J66" s="9"/>
      <c r="K66" s="9"/>
      <c r="L66" s="9" t="s">
        <v>454</v>
      </c>
      <c r="M66" s="9" t="s">
        <v>448</v>
      </c>
      <c r="N66" s="9" t="s">
        <v>449</v>
      </c>
      <c r="O66" s="9" t="s">
        <v>66</v>
      </c>
      <c r="P66" s="9" t="s">
        <v>283</v>
      </c>
      <c r="Q66" s="9"/>
      <c r="R66" s="9" t="s">
        <v>69</v>
      </c>
      <c r="S66" s="11" t="s">
        <v>284</v>
      </c>
      <c r="T66" s="11" t="s">
        <v>285</v>
      </c>
      <c r="U66" s="11" t="s">
        <v>71</v>
      </c>
      <c r="V66" s="11" t="s">
        <v>72</v>
      </c>
      <c r="W66" s="11" t="s">
        <v>455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74</v>
      </c>
    </row>
    <row r="67" customFormat="false" ht="15" hidden="false" customHeight="false" outlineLevel="0" collapsed="false">
      <c r="A67" s="9" t="s">
        <v>456</v>
      </c>
      <c r="B67" s="9" t="s">
        <v>457</v>
      </c>
      <c r="C67" s="9" t="s">
        <v>58</v>
      </c>
      <c r="D67" s="11" t="s">
        <v>458</v>
      </c>
      <c r="E67" s="10" t="n">
        <v>0.15</v>
      </c>
      <c r="F67" s="10" t="n">
        <v>0.1</v>
      </c>
      <c r="G67" s="10" t="n">
        <v>0.2</v>
      </c>
      <c r="H67" s="11" t="s">
        <v>253</v>
      </c>
      <c r="I67" s="9" t="s">
        <v>61</v>
      </c>
      <c r="J67" s="9"/>
      <c r="K67" s="9"/>
      <c r="L67" s="9" t="s">
        <v>459</v>
      </c>
      <c r="M67" s="9" t="s">
        <v>460</v>
      </c>
      <c r="N67" s="9" t="s">
        <v>461</v>
      </c>
      <c r="O67" s="9" t="s">
        <v>66</v>
      </c>
      <c r="P67" s="9" t="s">
        <v>283</v>
      </c>
      <c r="Q67" s="9"/>
      <c r="R67" s="9" t="s">
        <v>69</v>
      </c>
      <c r="S67" s="11" t="s">
        <v>284</v>
      </c>
      <c r="T67" s="11" t="s">
        <v>285</v>
      </c>
      <c r="U67" s="11" t="s">
        <v>71</v>
      </c>
      <c r="V67" s="11" t="s">
        <v>72</v>
      </c>
      <c r="W67" s="11" t="s">
        <v>462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74</v>
      </c>
    </row>
    <row r="68" customFormat="false" ht="15" hidden="false" customHeight="false" outlineLevel="0" collapsed="false">
      <c r="A68" s="9" t="s">
        <v>463</v>
      </c>
      <c r="B68" s="9" t="s">
        <v>464</v>
      </c>
      <c r="C68" s="9" t="s">
        <v>58</v>
      </c>
      <c r="D68" s="9" t="s">
        <v>465</v>
      </c>
      <c r="E68" s="10" t="n">
        <v>0.909</v>
      </c>
      <c r="F68" s="9"/>
      <c r="G68" s="9"/>
      <c r="H68" s="9" t="s">
        <v>466</v>
      </c>
      <c r="I68" s="9" t="s">
        <v>467</v>
      </c>
      <c r="J68" s="13" t="n">
        <v>46022</v>
      </c>
      <c r="K68" s="11" t="s">
        <v>62</v>
      </c>
      <c r="L68" s="9" t="s">
        <v>248</v>
      </c>
      <c r="M68" s="9" t="s">
        <v>241</v>
      </c>
      <c r="N68" s="9" t="s">
        <v>242</v>
      </c>
      <c r="O68" s="9" t="s">
        <v>66</v>
      </c>
      <c r="P68" s="9" t="s">
        <v>67</v>
      </c>
      <c r="Q68" s="9" t="s">
        <v>310</v>
      </c>
      <c r="R68" s="9" t="s">
        <v>69</v>
      </c>
      <c r="S68" s="11" t="s">
        <v>70</v>
      </c>
      <c r="T68" s="9" t="s">
        <v>310</v>
      </c>
      <c r="U68" s="11" t="s">
        <v>71</v>
      </c>
      <c r="V68" s="11" t="s">
        <v>72</v>
      </c>
      <c r="W68" s="11" t="s">
        <v>468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74</v>
      </c>
    </row>
    <row r="69" customFormat="false" ht="15" hidden="false" customHeight="false" outlineLevel="0" collapsed="false">
      <c r="A69" s="9" t="s">
        <v>469</v>
      </c>
      <c r="B69" s="9" t="s">
        <v>470</v>
      </c>
      <c r="C69" s="9" t="s">
        <v>471</v>
      </c>
      <c r="D69" s="9" t="s">
        <v>472</v>
      </c>
      <c r="E69" s="10" t="n">
        <v>15</v>
      </c>
      <c r="F69" s="9"/>
      <c r="G69" s="9"/>
      <c r="H69" s="9" t="s">
        <v>473</v>
      </c>
      <c r="I69" s="9" t="s">
        <v>474</v>
      </c>
      <c r="J69" s="13" t="n">
        <v>45355</v>
      </c>
      <c r="K69" s="9"/>
      <c r="L69" s="9" t="s">
        <v>475</v>
      </c>
      <c r="M69" s="9" t="s">
        <v>476</v>
      </c>
      <c r="N69" s="9" t="s">
        <v>474</v>
      </c>
      <c r="O69" s="9" t="s">
        <v>66</v>
      </c>
      <c r="P69" s="9" t="s">
        <v>67</v>
      </c>
      <c r="Q69" s="9" t="s">
        <v>477</v>
      </c>
      <c r="R69" s="9" t="s">
        <v>135</v>
      </c>
      <c r="S69" s="11" t="s">
        <v>70</v>
      </c>
      <c r="T69" s="9" t="s">
        <v>477</v>
      </c>
      <c r="U69" s="11" t="s">
        <v>136</v>
      </c>
      <c r="V69" s="11" t="s">
        <v>72</v>
      </c>
      <c r="W69" s="11" t="s">
        <v>478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74</v>
      </c>
    </row>
    <row r="70" customFormat="false" ht="15" hidden="false" customHeight="false" outlineLevel="0" collapsed="false">
      <c r="A70" s="9" t="s">
        <v>479</v>
      </c>
      <c r="B70" s="9" t="s">
        <v>480</v>
      </c>
      <c r="C70" s="9" t="s">
        <v>471</v>
      </c>
      <c r="D70" s="9" t="s">
        <v>481</v>
      </c>
      <c r="E70" s="10" t="n">
        <v>75</v>
      </c>
      <c r="F70" s="9"/>
      <c r="G70" s="9"/>
      <c r="H70" s="9" t="s">
        <v>473</v>
      </c>
      <c r="I70" s="9" t="s">
        <v>474</v>
      </c>
      <c r="J70" s="13" t="n">
        <v>45355</v>
      </c>
      <c r="K70" s="9"/>
      <c r="L70" s="9" t="s">
        <v>475</v>
      </c>
      <c r="M70" s="9" t="s">
        <v>476</v>
      </c>
      <c r="N70" s="9" t="s">
        <v>474</v>
      </c>
      <c r="O70" s="9" t="s">
        <v>66</v>
      </c>
      <c r="P70" s="9" t="s">
        <v>67</v>
      </c>
      <c r="Q70" s="9" t="s">
        <v>477</v>
      </c>
      <c r="R70" s="9" t="s">
        <v>135</v>
      </c>
      <c r="S70" s="11" t="s">
        <v>70</v>
      </c>
      <c r="T70" s="9" t="s">
        <v>477</v>
      </c>
      <c r="U70" s="11" t="s">
        <v>136</v>
      </c>
      <c r="V70" s="11" t="s">
        <v>72</v>
      </c>
      <c r="W70" s="11" t="s">
        <v>478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74</v>
      </c>
    </row>
    <row r="71" customFormat="false" ht="15" hidden="false" customHeight="false" outlineLevel="0" collapsed="false">
      <c r="A71" s="9" t="s">
        <v>482</v>
      </c>
      <c r="B71" s="9" t="s">
        <v>483</v>
      </c>
      <c r="C71" s="9" t="s">
        <v>471</v>
      </c>
      <c r="D71" s="9" t="s">
        <v>484</v>
      </c>
      <c r="E71" s="10" t="n">
        <v>3</v>
      </c>
      <c r="F71" s="9"/>
      <c r="G71" s="9"/>
      <c r="H71" s="9" t="s">
        <v>473</v>
      </c>
      <c r="I71" s="9" t="s">
        <v>474</v>
      </c>
      <c r="J71" s="13" t="n">
        <v>45355</v>
      </c>
      <c r="K71" s="9"/>
      <c r="L71" s="9" t="s">
        <v>475</v>
      </c>
      <c r="M71" s="9" t="s">
        <v>476</v>
      </c>
      <c r="N71" s="9" t="s">
        <v>474</v>
      </c>
      <c r="O71" s="9" t="s">
        <v>66</v>
      </c>
      <c r="P71" s="9" t="s">
        <v>67</v>
      </c>
      <c r="Q71" s="9" t="s">
        <v>477</v>
      </c>
      <c r="R71" s="9" t="s">
        <v>135</v>
      </c>
      <c r="S71" s="11" t="s">
        <v>70</v>
      </c>
      <c r="T71" s="9" t="s">
        <v>477</v>
      </c>
      <c r="U71" s="11" t="s">
        <v>136</v>
      </c>
      <c r="V71" s="11" t="s">
        <v>72</v>
      </c>
      <c r="W71" s="11" t="s">
        <v>485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74</v>
      </c>
    </row>
    <row r="72" customFormat="false" ht="15" hidden="false" customHeight="false" outlineLevel="0" collapsed="false">
      <c r="A72" s="9" t="s">
        <v>486</v>
      </c>
      <c r="B72" s="9" t="s">
        <v>487</v>
      </c>
      <c r="C72" s="9" t="s">
        <v>471</v>
      </c>
      <c r="D72" s="9" t="s">
        <v>488</v>
      </c>
      <c r="E72" s="10" t="n">
        <v>15</v>
      </c>
      <c r="F72" s="9"/>
      <c r="G72" s="9"/>
      <c r="H72" s="9" t="s">
        <v>473</v>
      </c>
      <c r="I72" s="9" t="s">
        <v>474</v>
      </c>
      <c r="J72" s="13" t="n">
        <v>45355</v>
      </c>
      <c r="K72" s="9"/>
      <c r="L72" s="9" t="s">
        <v>475</v>
      </c>
      <c r="M72" s="9" t="s">
        <v>476</v>
      </c>
      <c r="N72" s="9" t="s">
        <v>474</v>
      </c>
      <c r="O72" s="9" t="s">
        <v>66</v>
      </c>
      <c r="P72" s="9" t="s">
        <v>67</v>
      </c>
      <c r="Q72" s="9" t="s">
        <v>477</v>
      </c>
      <c r="R72" s="9" t="s">
        <v>135</v>
      </c>
      <c r="S72" s="11" t="s">
        <v>70</v>
      </c>
      <c r="T72" s="9" t="s">
        <v>477</v>
      </c>
      <c r="U72" s="11" t="s">
        <v>136</v>
      </c>
      <c r="V72" s="11" t="s">
        <v>72</v>
      </c>
      <c r="W72" s="11" t="s">
        <v>485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74</v>
      </c>
    </row>
    <row r="73" customFormat="false" ht="15" hidden="false" customHeight="false" outlineLevel="0" collapsed="false">
      <c r="A73" s="9" t="s">
        <v>489</v>
      </c>
      <c r="B73" s="9" t="s">
        <v>490</v>
      </c>
      <c r="C73" s="9" t="s">
        <v>471</v>
      </c>
      <c r="D73" s="9" t="s">
        <v>491</v>
      </c>
      <c r="E73" s="10" t="n">
        <v>0.25</v>
      </c>
      <c r="F73" s="9"/>
      <c r="G73" s="9"/>
      <c r="H73" s="9" t="s">
        <v>473</v>
      </c>
      <c r="I73" s="9" t="s">
        <v>474</v>
      </c>
      <c r="J73" s="13" t="n">
        <v>45355</v>
      </c>
      <c r="K73" s="9"/>
      <c r="L73" s="9" t="s">
        <v>475</v>
      </c>
      <c r="M73" s="9" t="s">
        <v>476</v>
      </c>
      <c r="N73" s="9" t="s">
        <v>474</v>
      </c>
      <c r="O73" s="9" t="s">
        <v>66</v>
      </c>
      <c r="P73" s="9" t="s">
        <v>67</v>
      </c>
      <c r="Q73" s="9" t="s">
        <v>477</v>
      </c>
      <c r="R73" s="9" t="s">
        <v>135</v>
      </c>
      <c r="S73" s="11" t="s">
        <v>70</v>
      </c>
      <c r="T73" s="9" t="s">
        <v>477</v>
      </c>
      <c r="U73" s="11" t="s">
        <v>136</v>
      </c>
      <c r="V73" s="11" t="s">
        <v>72</v>
      </c>
      <c r="W73" s="11" t="s">
        <v>492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74</v>
      </c>
    </row>
    <row r="74" customFormat="false" ht="15" hidden="false" customHeight="false" outlineLevel="0" collapsed="false">
      <c r="A74" s="9" t="s">
        <v>493</v>
      </c>
      <c r="B74" s="9" t="s">
        <v>494</v>
      </c>
      <c r="C74" s="9" t="s">
        <v>471</v>
      </c>
      <c r="D74" s="9" t="s">
        <v>495</v>
      </c>
      <c r="E74" s="10" t="n">
        <v>1.25</v>
      </c>
      <c r="F74" s="9"/>
      <c r="G74" s="9"/>
      <c r="H74" s="9" t="s">
        <v>473</v>
      </c>
      <c r="I74" s="9" t="s">
        <v>474</v>
      </c>
      <c r="J74" s="13" t="n">
        <v>45355</v>
      </c>
      <c r="K74" s="9"/>
      <c r="L74" s="9" t="s">
        <v>475</v>
      </c>
      <c r="M74" s="9" t="s">
        <v>476</v>
      </c>
      <c r="N74" s="9" t="s">
        <v>474</v>
      </c>
      <c r="O74" s="9" t="s">
        <v>66</v>
      </c>
      <c r="P74" s="9" t="s">
        <v>67</v>
      </c>
      <c r="Q74" s="9" t="s">
        <v>477</v>
      </c>
      <c r="R74" s="9" t="s">
        <v>135</v>
      </c>
      <c r="S74" s="11" t="s">
        <v>70</v>
      </c>
      <c r="T74" s="9" t="s">
        <v>477</v>
      </c>
      <c r="U74" s="11" t="s">
        <v>136</v>
      </c>
      <c r="V74" s="11" t="s">
        <v>72</v>
      </c>
      <c r="W74" s="11" t="s">
        <v>492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74</v>
      </c>
    </row>
    <row r="75" customFormat="false" ht="15" hidden="false" customHeight="false" outlineLevel="0" collapsed="false">
      <c r="A75" s="9" t="s">
        <v>496</v>
      </c>
      <c r="B75" s="9" t="s">
        <v>497</v>
      </c>
      <c r="C75" s="9" t="s">
        <v>471</v>
      </c>
      <c r="D75" s="9" t="s">
        <v>498</v>
      </c>
      <c r="E75" s="10" t="n">
        <v>3</v>
      </c>
      <c r="F75" s="9"/>
      <c r="G75" s="9"/>
      <c r="H75" s="9" t="s">
        <v>473</v>
      </c>
      <c r="I75" s="9" t="s">
        <v>499</v>
      </c>
      <c r="J75" s="13" t="n">
        <v>45463</v>
      </c>
      <c r="K75" s="9"/>
      <c r="L75" s="9" t="s">
        <v>500</v>
      </c>
      <c r="M75" s="9" t="s">
        <v>501</v>
      </c>
      <c r="N75" s="9" t="s">
        <v>502</v>
      </c>
      <c r="O75" s="9" t="s">
        <v>66</v>
      </c>
      <c r="P75" s="9" t="s">
        <v>67</v>
      </c>
      <c r="Q75" s="9" t="s">
        <v>477</v>
      </c>
      <c r="R75" s="9" t="s">
        <v>135</v>
      </c>
      <c r="S75" s="11" t="s">
        <v>70</v>
      </c>
      <c r="T75" s="9" t="s">
        <v>477</v>
      </c>
      <c r="U75" s="11" t="s">
        <v>136</v>
      </c>
      <c r="V75" s="11" t="s">
        <v>72</v>
      </c>
      <c r="W75" s="11" t="s">
        <v>503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74</v>
      </c>
    </row>
    <row r="76" customFormat="false" ht="15" hidden="false" customHeight="false" outlineLevel="0" collapsed="false">
      <c r="A76" s="9" t="s">
        <v>504</v>
      </c>
      <c r="B76" s="9" t="s">
        <v>505</v>
      </c>
      <c r="C76" s="9" t="s">
        <v>471</v>
      </c>
      <c r="D76" s="9" t="s">
        <v>506</v>
      </c>
      <c r="E76" s="10" t="n">
        <v>15</v>
      </c>
      <c r="F76" s="9"/>
      <c r="G76" s="9"/>
      <c r="H76" s="9" t="s">
        <v>473</v>
      </c>
      <c r="I76" s="9" t="s">
        <v>499</v>
      </c>
      <c r="J76" s="13" t="n">
        <v>45463</v>
      </c>
      <c r="K76" s="9"/>
      <c r="L76" s="9" t="s">
        <v>500</v>
      </c>
      <c r="M76" s="9" t="s">
        <v>501</v>
      </c>
      <c r="N76" s="9" t="s">
        <v>502</v>
      </c>
      <c r="O76" s="9" t="s">
        <v>66</v>
      </c>
      <c r="P76" s="9" t="s">
        <v>67</v>
      </c>
      <c r="Q76" s="9" t="s">
        <v>477</v>
      </c>
      <c r="R76" s="9" t="s">
        <v>135</v>
      </c>
      <c r="S76" s="11" t="s">
        <v>70</v>
      </c>
      <c r="T76" s="9" t="s">
        <v>477</v>
      </c>
      <c r="U76" s="11" t="s">
        <v>136</v>
      </c>
      <c r="V76" s="11" t="s">
        <v>72</v>
      </c>
      <c r="W76" s="11" t="s">
        <v>503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74</v>
      </c>
    </row>
    <row r="77" customFormat="false" ht="15" hidden="false" customHeight="false" outlineLevel="0" collapsed="false">
      <c r="A77" s="9" t="s">
        <v>507</v>
      </c>
      <c r="B77" s="9" t="s">
        <v>508</v>
      </c>
      <c r="C77" s="9" t="s">
        <v>471</v>
      </c>
      <c r="D77" s="9" t="s">
        <v>509</v>
      </c>
      <c r="E77" s="10" t="n">
        <v>1</v>
      </c>
      <c r="F77" s="9"/>
      <c r="G77" s="9"/>
      <c r="H77" s="9" t="s">
        <v>473</v>
      </c>
      <c r="I77" s="9" t="s">
        <v>510</v>
      </c>
      <c r="J77" s="13" t="n">
        <v>45600</v>
      </c>
      <c r="K77" s="9"/>
      <c r="L77" s="9" t="s">
        <v>511</v>
      </c>
      <c r="M77" s="9" t="s">
        <v>512</v>
      </c>
      <c r="N77" s="9" t="s">
        <v>510</v>
      </c>
      <c r="O77" s="9" t="s">
        <v>66</v>
      </c>
      <c r="P77" s="9" t="s">
        <v>67</v>
      </c>
      <c r="Q77" s="9" t="s">
        <v>513</v>
      </c>
      <c r="R77" s="9" t="s">
        <v>69</v>
      </c>
      <c r="S77" s="11" t="s">
        <v>70</v>
      </c>
      <c r="T77" s="9" t="s">
        <v>513</v>
      </c>
      <c r="U77" s="11" t="s">
        <v>71</v>
      </c>
      <c r="V77" s="11" t="s">
        <v>72</v>
      </c>
      <c r="W77" s="11" t="s">
        <v>514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74</v>
      </c>
    </row>
    <row r="78" customFormat="false" ht="15" hidden="false" customHeight="false" outlineLevel="0" collapsed="false">
      <c r="A78" s="9" t="s">
        <v>515</v>
      </c>
      <c r="B78" s="9" t="s">
        <v>516</v>
      </c>
      <c r="C78" s="9" t="s">
        <v>471</v>
      </c>
      <c r="D78" s="9" t="s">
        <v>517</v>
      </c>
      <c r="E78" s="10" t="n">
        <v>5</v>
      </c>
      <c r="F78" s="9"/>
      <c r="G78" s="9"/>
      <c r="H78" s="9" t="s">
        <v>473</v>
      </c>
      <c r="I78" s="9" t="s">
        <v>510</v>
      </c>
      <c r="J78" s="13" t="n">
        <v>45600</v>
      </c>
      <c r="K78" s="9"/>
      <c r="L78" s="9" t="s">
        <v>511</v>
      </c>
      <c r="M78" s="9" t="s">
        <v>512</v>
      </c>
      <c r="N78" s="9" t="s">
        <v>510</v>
      </c>
      <c r="O78" s="9" t="s">
        <v>66</v>
      </c>
      <c r="P78" s="9" t="s">
        <v>67</v>
      </c>
      <c r="Q78" s="9" t="s">
        <v>513</v>
      </c>
      <c r="R78" s="9" t="s">
        <v>69</v>
      </c>
      <c r="S78" s="11" t="s">
        <v>70</v>
      </c>
      <c r="T78" s="9" t="s">
        <v>513</v>
      </c>
      <c r="U78" s="11" t="s">
        <v>71</v>
      </c>
      <c r="V78" s="11" t="s">
        <v>72</v>
      </c>
      <c r="W78" s="11" t="s">
        <v>514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74</v>
      </c>
    </row>
    <row r="79" customFormat="false" ht="15" hidden="false" customHeight="false" outlineLevel="0" collapsed="false">
      <c r="A79" s="9" t="s">
        <v>518</v>
      </c>
      <c r="B79" s="9" t="s">
        <v>519</v>
      </c>
      <c r="C79" s="9" t="s">
        <v>471</v>
      </c>
      <c r="D79" s="9" t="s">
        <v>520</v>
      </c>
      <c r="E79" s="10" t="n">
        <v>0.8</v>
      </c>
      <c r="F79" s="9"/>
      <c r="G79" s="9"/>
      <c r="H79" s="9" t="s">
        <v>473</v>
      </c>
      <c r="I79" s="9" t="s">
        <v>521</v>
      </c>
      <c r="J79" s="13" t="n">
        <v>45629</v>
      </c>
      <c r="K79" s="9"/>
      <c r="L79" s="9" t="s">
        <v>522</v>
      </c>
      <c r="M79" s="9" t="s">
        <v>523</v>
      </c>
      <c r="N79" s="9" t="s">
        <v>521</v>
      </c>
      <c r="O79" s="9" t="s">
        <v>66</v>
      </c>
      <c r="P79" s="9" t="s">
        <v>67</v>
      </c>
      <c r="Q79" s="9" t="s">
        <v>477</v>
      </c>
      <c r="R79" s="9" t="s">
        <v>135</v>
      </c>
      <c r="S79" s="11" t="s">
        <v>70</v>
      </c>
      <c r="T79" s="9" t="s">
        <v>477</v>
      </c>
      <c r="U79" s="11" t="s">
        <v>136</v>
      </c>
      <c r="V79" s="11" t="s">
        <v>72</v>
      </c>
      <c r="W79" s="11" t="s">
        <v>524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74</v>
      </c>
    </row>
    <row r="80" customFormat="false" ht="15" hidden="false" customHeight="false" outlineLevel="0" collapsed="false">
      <c r="A80" s="9" t="s">
        <v>525</v>
      </c>
      <c r="B80" s="9" t="s">
        <v>526</v>
      </c>
      <c r="C80" s="9" t="s">
        <v>471</v>
      </c>
      <c r="D80" s="9" t="s">
        <v>527</v>
      </c>
      <c r="E80" s="10" t="n">
        <v>4</v>
      </c>
      <c r="F80" s="9"/>
      <c r="G80" s="9"/>
      <c r="H80" s="9" t="s">
        <v>473</v>
      </c>
      <c r="I80" s="9" t="s">
        <v>521</v>
      </c>
      <c r="J80" s="13" t="n">
        <v>45629</v>
      </c>
      <c r="K80" s="9"/>
      <c r="L80" s="9" t="s">
        <v>522</v>
      </c>
      <c r="M80" s="9" t="s">
        <v>523</v>
      </c>
      <c r="N80" s="9" t="s">
        <v>521</v>
      </c>
      <c r="O80" s="9" t="s">
        <v>66</v>
      </c>
      <c r="P80" s="9" t="s">
        <v>67</v>
      </c>
      <c r="Q80" s="9" t="s">
        <v>477</v>
      </c>
      <c r="R80" s="9" t="s">
        <v>135</v>
      </c>
      <c r="S80" s="11" t="s">
        <v>70</v>
      </c>
      <c r="T80" s="9" t="s">
        <v>477</v>
      </c>
      <c r="U80" s="11" t="s">
        <v>136</v>
      </c>
      <c r="V80" s="11" t="s">
        <v>72</v>
      </c>
      <c r="W80" s="11" t="s">
        <v>524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74</v>
      </c>
    </row>
    <row r="81" customFormat="false" ht="15" hidden="false" customHeight="false" outlineLevel="0" collapsed="false">
      <c r="A81" s="9" t="s">
        <v>528</v>
      </c>
      <c r="B81" s="9" t="s">
        <v>529</v>
      </c>
      <c r="C81" s="9" t="s">
        <v>471</v>
      </c>
      <c r="D81" s="9" t="s">
        <v>530</v>
      </c>
      <c r="E81" s="10" t="n">
        <v>3</v>
      </c>
      <c r="F81" s="9"/>
      <c r="G81" s="9"/>
      <c r="H81" s="9" t="s">
        <v>473</v>
      </c>
      <c r="I81" s="9" t="s">
        <v>531</v>
      </c>
      <c r="J81" s="13" t="n">
        <v>45712</v>
      </c>
      <c r="K81" s="9"/>
      <c r="L81" s="9" t="s">
        <v>532</v>
      </c>
      <c r="M81" s="9" t="s">
        <v>533</v>
      </c>
      <c r="N81" s="9" t="s">
        <v>531</v>
      </c>
      <c r="O81" s="9" t="s">
        <v>66</v>
      </c>
      <c r="P81" s="9" t="s">
        <v>67</v>
      </c>
      <c r="Q81" s="9" t="s">
        <v>477</v>
      </c>
      <c r="R81" s="9" t="s">
        <v>135</v>
      </c>
      <c r="S81" s="11" t="s">
        <v>70</v>
      </c>
      <c r="T81" s="9" t="s">
        <v>477</v>
      </c>
      <c r="U81" s="11" t="s">
        <v>136</v>
      </c>
      <c r="V81" s="11" t="s">
        <v>72</v>
      </c>
      <c r="W81" s="11" t="s">
        <v>534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74</v>
      </c>
    </row>
    <row r="82" customFormat="false" ht="15" hidden="false" customHeight="false" outlineLevel="0" collapsed="false">
      <c r="A82" s="9" t="s">
        <v>535</v>
      </c>
      <c r="B82" s="9" t="s">
        <v>536</v>
      </c>
      <c r="C82" s="9" t="s">
        <v>471</v>
      </c>
      <c r="D82" s="9" t="s">
        <v>537</v>
      </c>
      <c r="E82" s="10" t="n">
        <v>15</v>
      </c>
      <c r="F82" s="9"/>
      <c r="G82" s="9"/>
      <c r="H82" s="9" t="s">
        <v>473</v>
      </c>
      <c r="I82" s="9" t="s">
        <v>531</v>
      </c>
      <c r="J82" s="13" t="n">
        <v>45712</v>
      </c>
      <c r="K82" s="9"/>
      <c r="L82" s="9" t="s">
        <v>532</v>
      </c>
      <c r="M82" s="9" t="s">
        <v>533</v>
      </c>
      <c r="N82" s="9" t="s">
        <v>531</v>
      </c>
      <c r="O82" s="9" t="s">
        <v>66</v>
      </c>
      <c r="P82" s="9" t="s">
        <v>67</v>
      </c>
      <c r="Q82" s="9" t="s">
        <v>477</v>
      </c>
      <c r="R82" s="9" t="s">
        <v>135</v>
      </c>
      <c r="S82" s="11" t="s">
        <v>70</v>
      </c>
      <c r="T82" s="9" t="s">
        <v>477</v>
      </c>
      <c r="U82" s="11" t="s">
        <v>136</v>
      </c>
      <c r="V82" s="11" t="s">
        <v>72</v>
      </c>
      <c r="W82" s="11" t="s">
        <v>534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74</v>
      </c>
    </row>
    <row r="83" customFormat="false" ht="15" hidden="false" customHeight="false" outlineLevel="0" collapsed="false">
      <c r="A83" s="9" t="s">
        <v>538</v>
      </c>
      <c r="B83" s="9" t="s">
        <v>539</v>
      </c>
      <c r="C83" s="9" t="s">
        <v>471</v>
      </c>
      <c r="D83" s="9" t="s">
        <v>540</v>
      </c>
      <c r="E83" s="10" t="n">
        <v>15</v>
      </c>
      <c r="F83" s="9"/>
      <c r="G83" s="9"/>
      <c r="H83" s="9" t="s">
        <v>473</v>
      </c>
      <c r="I83" s="9" t="s">
        <v>541</v>
      </c>
      <c r="J83" s="13" t="n">
        <v>45799</v>
      </c>
      <c r="K83" s="9"/>
      <c r="L83" s="9" t="s">
        <v>542</v>
      </c>
      <c r="M83" s="9" t="s">
        <v>543</v>
      </c>
      <c r="N83" s="9" t="s">
        <v>541</v>
      </c>
      <c r="O83" s="9" t="s">
        <v>66</v>
      </c>
      <c r="P83" s="9" t="s">
        <v>67</v>
      </c>
      <c r="Q83" s="9" t="s">
        <v>477</v>
      </c>
      <c r="R83" s="9" t="s">
        <v>135</v>
      </c>
      <c r="S83" s="11" t="s">
        <v>70</v>
      </c>
      <c r="T83" s="9" t="s">
        <v>477</v>
      </c>
      <c r="U83" s="11" t="s">
        <v>136</v>
      </c>
      <c r="V83" s="11" t="s">
        <v>72</v>
      </c>
      <c r="W83" s="11" t="s">
        <v>544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74</v>
      </c>
    </row>
    <row r="84" customFormat="false" ht="15" hidden="false" customHeight="false" outlineLevel="0" collapsed="false">
      <c r="A84" s="9" t="s">
        <v>545</v>
      </c>
      <c r="B84" s="9" t="s">
        <v>546</v>
      </c>
      <c r="C84" s="9" t="s">
        <v>471</v>
      </c>
      <c r="D84" s="9" t="s">
        <v>547</v>
      </c>
      <c r="E84" s="10" t="n">
        <v>75</v>
      </c>
      <c r="F84" s="9"/>
      <c r="G84" s="9"/>
      <c r="H84" s="9" t="s">
        <v>473</v>
      </c>
      <c r="I84" s="9" t="s">
        <v>541</v>
      </c>
      <c r="J84" s="13" t="n">
        <v>45799</v>
      </c>
      <c r="K84" s="9"/>
      <c r="L84" s="9" t="s">
        <v>542</v>
      </c>
      <c r="M84" s="9" t="s">
        <v>543</v>
      </c>
      <c r="N84" s="9" t="s">
        <v>541</v>
      </c>
      <c r="O84" s="9" t="s">
        <v>66</v>
      </c>
      <c r="P84" s="9" t="s">
        <v>67</v>
      </c>
      <c r="Q84" s="9" t="s">
        <v>477</v>
      </c>
      <c r="R84" s="9" t="s">
        <v>135</v>
      </c>
      <c r="S84" s="11" t="s">
        <v>70</v>
      </c>
      <c r="T84" s="9" t="s">
        <v>477</v>
      </c>
      <c r="U84" s="11" t="s">
        <v>136</v>
      </c>
      <c r="V84" s="11" t="s">
        <v>72</v>
      </c>
      <c r="W84" s="11" t="s">
        <v>544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74</v>
      </c>
    </row>
    <row r="85" customFormat="false" ht="15" hidden="false" customHeight="false" outlineLevel="0" collapsed="false">
      <c r="A85" s="9" t="s">
        <v>548</v>
      </c>
      <c r="B85" s="9" t="s">
        <v>549</v>
      </c>
      <c r="C85" s="9" t="s">
        <v>471</v>
      </c>
      <c r="D85" s="9" t="s">
        <v>550</v>
      </c>
      <c r="E85" s="10" t="n">
        <v>3</v>
      </c>
      <c r="F85" s="9"/>
      <c r="G85" s="9"/>
      <c r="H85" s="9" t="s">
        <v>473</v>
      </c>
      <c r="I85" s="9" t="s">
        <v>541</v>
      </c>
      <c r="J85" s="13" t="n">
        <v>45799</v>
      </c>
      <c r="K85" s="9"/>
      <c r="L85" s="9" t="s">
        <v>542</v>
      </c>
      <c r="M85" s="9" t="s">
        <v>543</v>
      </c>
      <c r="N85" s="9" t="s">
        <v>541</v>
      </c>
      <c r="O85" s="9" t="s">
        <v>66</v>
      </c>
      <c r="P85" s="9" t="s">
        <v>67</v>
      </c>
      <c r="Q85" s="9" t="s">
        <v>477</v>
      </c>
      <c r="R85" s="9" t="s">
        <v>135</v>
      </c>
      <c r="S85" s="11" t="s">
        <v>70</v>
      </c>
      <c r="T85" s="9" t="s">
        <v>477</v>
      </c>
      <c r="U85" s="11" t="s">
        <v>136</v>
      </c>
      <c r="V85" s="11" t="s">
        <v>72</v>
      </c>
      <c r="W85" s="11" t="s">
        <v>551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74</v>
      </c>
    </row>
    <row r="86" customFormat="false" ht="15" hidden="false" customHeight="false" outlineLevel="0" collapsed="false">
      <c r="A86" s="9" t="s">
        <v>552</v>
      </c>
      <c r="B86" s="9" t="s">
        <v>553</v>
      </c>
      <c r="C86" s="9" t="s">
        <v>471</v>
      </c>
      <c r="D86" s="9" t="s">
        <v>554</v>
      </c>
      <c r="E86" s="10" t="n">
        <v>15</v>
      </c>
      <c r="F86" s="9"/>
      <c r="G86" s="9"/>
      <c r="H86" s="9" t="s">
        <v>473</v>
      </c>
      <c r="I86" s="9" t="s">
        <v>541</v>
      </c>
      <c r="J86" s="13" t="n">
        <v>45799</v>
      </c>
      <c r="K86" s="9"/>
      <c r="L86" s="9" t="s">
        <v>542</v>
      </c>
      <c r="M86" s="9" t="s">
        <v>543</v>
      </c>
      <c r="N86" s="9" t="s">
        <v>541</v>
      </c>
      <c r="O86" s="9" t="s">
        <v>66</v>
      </c>
      <c r="P86" s="9" t="s">
        <v>67</v>
      </c>
      <c r="Q86" s="9" t="s">
        <v>477</v>
      </c>
      <c r="R86" s="9" t="s">
        <v>135</v>
      </c>
      <c r="S86" s="11" t="s">
        <v>70</v>
      </c>
      <c r="T86" s="9" t="s">
        <v>477</v>
      </c>
      <c r="U86" s="11" t="s">
        <v>136</v>
      </c>
      <c r="V86" s="11" t="s">
        <v>72</v>
      </c>
      <c r="W86" s="11" t="s">
        <v>551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74</v>
      </c>
    </row>
    <row r="87" customFormat="false" ht="15" hidden="false" customHeight="false" outlineLevel="0" collapsed="false">
      <c r="A87" s="9" t="s">
        <v>555</v>
      </c>
      <c r="B87" s="9" t="s">
        <v>556</v>
      </c>
      <c r="C87" s="9" t="s">
        <v>471</v>
      </c>
      <c r="D87" s="9" t="s">
        <v>557</v>
      </c>
      <c r="E87" s="10" t="n">
        <v>15</v>
      </c>
      <c r="F87" s="9"/>
      <c r="G87" s="9"/>
      <c r="H87" s="9" t="s">
        <v>473</v>
      </c>
      <c r="I87" s="9" t="s">
        <v>558</v>
      </c>
      <c r="J87" s="13" t="n">
        <v>45874</v>
      </c>
      <c r="K87" s="9"/>
      <c r="L87" s="9" t="s">
        <v>559</v>
      </c>
      <c r="M87" s="9" t="s">
        <v>560</v>
      </c>
      <c r="N87" s="9" t="s">
        <v>558</v>
      </c>
      <c r="O87" s="9" t="s">
        <v>66</v>
      </c>
      <c r="P87" s="9" t="s">
        <v>67</v>
      </c>
      <c r="Q87" s="9" t="s">
        <v>477</v>
      </c>
      <c r="R87" s="9" t="s">
        <v>135</v>
      </c>
      <c r="S87" s="11" t="s">
        <v>70</v>
      </c>
      <c r="T87" s="9" t="s">
        <v>477</v>
      </c>
      <c r="U87" s="11" t="s">
        <v>136</v>
      </c>
      <c r="V87" s="11" t="s">
        <v>72</v>
      </c>
      <c r="W87" s="11" t="s">
        <v>561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74</v>
      </c>
    </row>
    <row r="88" customFormat="false" ht="15" hidden="false" customHeight="false" outlineLevel="0" collapsed="false">
      <c r="A88" s="9" t="s">
        <v>562</v>
      </c>
      <c r="B88" s="9" t="s">
        <v>563</v>
      </c>
      <c r="C88" s="9" t="s">
        <v>471</v>
      </c>
      <c r="D88" s="9" t="s">
        <v>564</v>
      </c>
      <c r="E88" s="10" t="n">
        <v>75</v>
      </c>
      <c r="F88" s="9"/>
      <c r="G88" s="9"/>
      <c r="H88" s="9" t="s">
        <v>473</v>
      </c>
      <c r="I88" s="9" t="s">
        <v>558</v>
      </c>
      <c r="J88" s="13" t="n">
        <v>45874</v>
      </c>
      <c r="K88" s="9"/>
      <c r="L88" s="9" t="s">
        <v>559</v>
      </c>
      <c r="M88" s="9" t="s">
        <v>560</v>
      </c>
      <c r="N88" s="9" t="s">
        <v>558</v>
      </c>
      <c r="O88" s="9" t="s">
        <v>66</v>
      </c>
      <c r="P88" s="9" t="s">
        <v>67</v>
      </c>
      <c r="Q88" s="9" t="s">
        <v>477</v>
      </c>
      <c r="R88" s="9" t="s">
        <v>135</v>
      </c>
      <c r="S88" s="11" t="s">
        <v>70</v>
      </c>
      <c r="T88" s="9" t="s">
        <v>477</v>
      </c>
      <c r="U88" s="11" t="s">
        <v>136</v>
      </c>
      <c r="V88" s="11" t="s">
        <v>72</v>
      </c>
      <c r="W88" s="11" t="s">
        <v>561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74</v>
      </c>
    </row>
    <row r="89" customFormat="false" ht="15" hidden="false" customHeight="false" outlineLevel="0" collapsed="false">
      <c r="A89" s="9" t="s">
        <v>565</v>
      </c>
      <c r="B89" s="9" t="s">
        <v>566</v>
      </c>
      <c r="C89" s="9" t="s">
        <v>471</v>
      </c>
      <c r="D89" s="9" t="s">
        <v>567</v>
      </c>
      <c r="E89" s="10" t="n">
        <v>3</v>
      </c>
      <c r="F89" s="9"/>
      <c r="G89" s="9"/>
      <c r="H89" s="9" t="s">
        <v>473</v>
      </c>
      <c r="I89" s="9" t="s">
        <v>568</v>
      </c>
      <c r="J89" s="13" t="n">
        <v>45929</v>
      </c>
      <c r="K89" s="9"/>
      <c r="L89" s="9" t="s">
        <v>569</v>
      </c>
      <c r="M89" s="9" t="s">
        <v>570</v>
      </c>
      <c r="N89" s="9" t="s">
        <v>568</v>
      </c>
      <c r="O89" s="9" t="s">
        <v>66</v>
      </c>
      <c r="P89" s="9" t="s">
        <v>67</v>
      </c>
      <c r="Q89" s="9" t="s">
        <v>477</v>
      </c>
      <c r="R89" s="9" t="s">
        <v>135</v>
      </c>
      <c r="S89" s="11" t="s">
        <v>70</v>
      </c>
      <c r="T89" s="9" t="s">
        <v>477</v>
      </c>
      <c r="U89" s="11" t="s">
        <v>136</v>
      </c>
      <c r="V89" s="11" t="s">
        <v>72</v>
      </c>
      <c r="W89" s="11" t="s">
        <v>571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74</v>
      </c>
    </row>
    <row r="90" customFormat="false" ht="15" hidden="false" customHeight="false" outlineLevel="0" collapsed="false">
      <c r="A90" s="9" t="s">
        <v>572</v>
      </c>
      <c r="B90" s="9" t="s">
        <v>573</v>
      </c>
      <c r="C90" s="9" t="s">
        <v>471</v>
      </c>
      <c r="D90" s="9" t="s">
        <v>574</v>
      </c>
      <c r="E90" s="10" t="n">
        <v>15</v>
      </c>
      <c r="F90" s="9"/>
      <c r="G90" s="9"/>
      <c r="H90" s="9" t="s">
        <v>473</v>
      </c>
      <c r="I90" s="9" t="s">
        <v>568</v>
      </c>
      <c r="J90" s="13" t="n">
        <v>45929</v>
      </c>
      <c r="K90" s="9"/>
      <c r="L90" s="9" t="s">
        <v>569</v>
      </c>
      <c r="M90" s="9" t="s">
        <v>570</v>
      </c>
      <c r="N90" s="9" t="s">
        <v>568</v>
      </c>
      <c r="O90" s="9" t="s">
        <v>66</v>
      </c>
      <c r="P90" s="9" t="s">
        <v>67</v>
      </c>
      <c r="Q90" s="9" t="s">
        <v>477</v>
      </c>
      <c r="R90" s="9" t="s">
        <v>135</v>
      </c>
      <c r="S90" s="11" t="s">
        <v>70</v>
      </c>
      <c r="T90" s="9" t="s">
        <v>477</v>
      </c>
      <c r="U90" s="11" t="s">
        <v>136</v>
      </c>
      <c r="V90" s="11" t="s">
        <v>72</v>
      </c>
      <c r="W90" s="11" t="s">
        <v>571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74</v>
      </c>
    </row>
    <row r="91" customFormat="false" ht="15" hidden="false" customHeight="false" outlineLevel="0" collapsed="false">
      <c r="A91" s="9" t="s">
        <v>575</v>
      </c>
      <c r="B91" s="9" t="s">
        <v>576</v>
      </c>
      <c r="C91" s="9" t="s">
        <v>471</v>
      </c>
      <c r="D91" s="9" t="s">
        <v>577</v>
      </c>
      <c r="E91" s="10" t="n">
        <v>1</v>
      </c>
      <c r="F91" s="9"/>
      <c r="G91" s="9"/>
      <c r="H91" s="9" t="s">
        <v>473</v>
      </c>
      <c r="I91" s="9" t="s">
        <v>183</v>
      </c>
      <c r="J91" s="13" t="n">
        <v>45945</v>
      </c>
      <c r="K91" s="9"/>
      <c r="L91" s="9" t="s">
        <v>578</v>
      </c>
      <c r="M91" s="9" t="s">
        <v>579</v>
      </c>
      <c r="N91" s="9" t="s">
        <v>183</v>
      </c>
      <c r="O91" s="9" t="s">
        <v>66</v>
      </c>
      <c r="P91" s="9" t="s">
        <v>67</v>
      </c>
      <c r="Q91" s="9" t="s">
        <v>477</v>
      </c>
      <c r="R91" s="9" t="s">
        <v>135</v>
      </c>
      <c r="S91" s="11" t="s">
        <v>70</v>
      </c>
      <c r="T91" s="9" t="s">
        <v>477</v>
      </c>
      <c r="U91" s="11" t="s">
        <v>136</v>
      </c>
      <c r="V91" s="11" t="s">
        <v>72</v>
      </c>
      <c r="W91" s="11" t="s">
        <v>580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74</v>
      </c>
    </row>
    <row r="92" customFormat="false" ht="15" hidden="false" customHeight="false" outlineLevel="0" collapsed="false">
      <c r="A92" s="9" t="s">
        <v>581</v>
      </c>
      <c r="B92" s="9" t="s">
        <v>582</v>
      </c>
      <c r="C92" s="9" t="s">
        <v>471</v>
      </c>
      <c r="D92" s="9" t="s">
        <v>583</v>
      </c>
      <c r="E92" s="10" t="n">
        <v>5</v>
      </c>
      <c r="F92" s="9"/>
      <c r="G92" s="9"/>
      <c r="H92" s="9" t="s">
        <v>473</v>
      </c>
      <c r="I92" s="9" t="s">
        <v>183</v>
      </c>
      <c r="J92" s="13" t="n">
        <v>45945</v>
      </c>
      <c r="K92" s="9"/>
      <c r="L92" s="9" t="s">
        <v>578</v>
      </c>
      <c r="M92" s="9" t="s">
        <v>579</v>
      </c>
      <c r="N92" s="9" t="s">
        <v>183</v>
      </c>
      <c r="O92" s="9" t="s">
        <v>66</v>
      </c>
      <c r="P92" s="9" t="s">
        <v>67</v>
      </c>
      <c r="Q92" s="9" t="s">
        <v>477</v>
      </c>
      <c r="R92" s="9" t="s">
        <v>135</v>
      </c>
      <c r="S92" s="11" t="s">
        <v>70</v>
      </c>
      <c r="T92" s="9" t="s">
        <v>477</v>
      </c>
      <c r="U92" s="11" t="s">
        <v>136</v>
      </c>
      <c r="V92" s="11" t="s">
        <v>72</v>
      </c>
      <c r="W92" s="11" t="s">
        <v>580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74</v>
      </c>
    </row>
    <row r="93" customFormat="false" ht="15" hidden="false" customHeight="false" outlineLevel="0" collapsed="false">
      <c r="A93" s="9" t="s">
        <v>584</v>
      </c>
      <c r="B93" s="9" t="s">
        <v>585</v>
      </c>
      <c r="C93" s="9" t="s">
        <v>471</v>
      </c>
      <c r="D93" s="9" t="s">
        <v>586</v>
      </c>
      <c r="E93" s="10" t="n">
        <v>5</v>
      </c>
      <c r="F93" s="9"/>
      <c r="G93" s="9"/>
      <c r="H93" s="9" t="s">
        <v>473</v>
      </c>
      <c r="I93" s="9" t="s">
        <v>587</v>
      </c>
      <c r="J93" s="13" t="n">
        <v>45985</v>
      </c>
      <c r="K93" s="9"/>
      <c r="L93" s="9" t="s">
        <v>588</v>
      </c>
      <c r="M93" s="9" t="s">
        <v>589</v>
      </c>
      <c r="N93" s="9" t="s">
        <v>587</v>
      </c>
      <c r="O93" s="9" t="s">
        <v>66</v>
      </c>
      <c r="P93" s="9" t="s">
        <v>67</v>
      </c>
      <c r="Q93" s="9" t="s">
        <v>477</v>
      </c>
      <c r="R93" s="9" t="s">
        <v>135</v>
      </c>
      <c r="S93" s="11" t="s">
        <v>70</v>
      </c>
      <c r="T93" s="9" t="s">
        <v>477</v>
      </c>
      <c r="U93" s="11" t="s">
        <v>136</v>
      </c>
      <c r="V93" s="11" t="s">
        <v>72</v>
      </c>
      <c r="W93" s="11" t="s">
        <v>590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74</v>
      </c>
    </row>
    <row r="94" customFormat="false" ht="15" hidden="false" customHeight="false" outlineLevel="0" collapsed="false">
      <c r="A94" s="9" t="s">
        <v>591</v>
      </c>
      <c r="B94" s="9" t="s">
        <v>592</v>
      </c>
      <c r="C94" s="9" t="s">
        <v>471</v>
      </c>
      <c r="D94" s="9" t="s">
        <v>593</v>
      </c>
      <c r="E94" s="10" t="n">
        <v>25</v>
      </c>
      <c r="F94" s="9"/>
      <c r="G94" s="9"/>
      <c r="H94" s="9" t="s">
        <v>473</v>
      </c>
      <c r="I94" s="9" t="s">
        <v>587</v>
      </c>
      <c r="J94" s="13" t="n">
        <v>45985</v>
      </c>
      <c r="K94" s="9"/>
      <c r="L94" s="9" t="s">
        <v>588</v>
      </c>
      <c r="M94" s="9" t="s">
        <v>589</v>
      </c>
      <c r="N94" s="9" t="s">
        <v>587</v>
      </c>
      <c r="O94" s="9" t="s">
        <v>66</v>
      </c>
      <c r="P94" s="9" t="s">
        <v>67</v>
      </c>
      <c r="Q94" s="9" t="s">
        <v>477</v>
      </c>
      <c r="R94" s="9" t="s">
        <v>135</v>
      </c>
      <c r="S94" s="11" t="s">
        <v>70</v>
      </c>
      <c r="T94" s="9" t="s">
        <v>477</v>
      </c>
      <c r="U94" s="11" t="s">
        <v>136</v>
      </c>
      <c r="V94" s="11" t="s">
        <v>72</v>
      </c>
      <c r="W94" s="11" t="s">
        <v>590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74</v>
      </c>
    </row>
    <row r="95" customFormat="false" ht="15" hidden="false" customHeight="false" outlineLevel="0" collapsed="false">
      <c r="A95" s="9" t="s">
        <v>594</v>
      </c>
      <c r="B95" s="9" t="s">
        <v>595</v>
      </c>
      <c r="C95" s="9" t="s">
        <v>471</v>
      </c>
      <c r="D95" s="9" t="s">
        <v>596</v>
      </c>
      <c r="E95" s="10" t="n">
        <v>5</v>
      </c>
      <c r="F95" s="9"/>
      <c r="G95" s="9"/>
      <c r="H95" s="9" t="s">
        <v>473</v>
      </c>
      <c r="I95" s="9" t="s">
        <v>597</v>
      </c>
      <c r="J95" s="13" t="n">
        <v>46058</v>
      </c>
      <c r="K95" s="9"/>
      <c r="L95" s="9" t="s">
        <v>598</v>
      </c>
      <c r="M95" s="9" t="s">
        <v>599</v>
      </c>
      <c r="N95" s="9" t="s">
        <v>597</v>
      </c>
      <c r="O95" s="9" t="s">
        <v>66</v>
      </c>
      <c r="P95" s="9" t="s">
        <v>67</v>
      </c>
      <c r="Q95" s="9" t="s">
        <v>477</v>
      </c>
      <c r="R95" s="9" t="s">
        <v>135</v>
      </c>
      <c r="S95" s="11" t="s">
        <v>70</v>
      </c>
      <c r="T95" s="9" t="s">
        <v>477</v>
      </c>
      <c r="U95" s="11" t="s">
        <v>136</v>
      </c>
      <c r="V95" s="11" t="s">
        <v>72</v>
      </c>
      <c r="W95" s="11" t="s">
        <v>600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74</v>
      </c>
    </row>
    <row r="96" customFormat="false" ht="15" hidden="false" customHeight="false" outlineLevel="0" collapsed="false">
      <c r="A96" s="9" t="s">
        <v>601</v>
      </c>
      <c r="B96" s="9" t="s">
        <v>602</v>
      </c>
      <c r="C96" s="9" t="s">
        <v>471</v>
      </c>
      <c r="D96" s="9" t="s">
        <v>603</v>
      </c>
      <c r="E96" s="10" t="n">
        <v>25</v>
      </c>
      <c r="F96" s="9"/>
      <c r="G96" s="9"/>
      <c r="H96" s="9" t="s">
        <v>473</v>
      </c>
      <c r="I96" s="9" t="s">
        <v>597</v>
      </c>
      <c r="J96" s="13" t="n">
        <v>46058</v>
      </c>
      <c r="K96" s="9"/>
      <c r="L96" s="9" t="s">
        <v>598</v>
      </c>
      <c r="M96" s="9" t="s">
        <v>599</v>
      </c>
      <c r="N96" s="9" t="s">
        <v>597</v>
      </c>
      <c r="O96" s="9" t="s">
        <v>66</v>
      </c>
      <c r="P96" s="9" t="s">
        <v>67</v>
      </c>
      <c r="Q96" s="9" t="s">
        <v>477</v>
      </c>
      <c r="R96" s="9" t="s">
        <v>135</v>
      </c>
      <c r="S96" s="11" t="s">
        <v>70</v>
      </c>
      <c r="T96" s="9" t="s">
        <v>477</v>
      </c>
      <c r="U96" s="11" t="s">
        <v>136</v>
      </c>
      <c r="V96" s="11" t="s">
        <v>72</v>
      </c>
      <c r="W96" s="11" t="s">
        <v>600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74</v>
      </c>
    </row>
    <row r="97" customFormat="false" ht="15" hidden="false" customHeight="false" outlineLevel="0" collapsed="false">
      <c r="A97" s="9" t="s">
        <v>604</v>
      </c>
      <c r="B97" s="9" t="s">
        <v>605</v>
      </c>
      <c r="C97" s="9" t="s">
        <v>471</v>
      </c>
      <c r="D97" s="9" t="s">
        <v>606</v>
      </c>
      <c r="E97" s="10" t="n">
        <v>3</v>
      </c>
      <c r="F97" s="9"/>
      <c r="G97" s="9"/>
      <c r="H97" s="9" t="s">
        <v>473</v>
      </c>
      <c r="I97" s="9" t="s">
        <v>607</v>
      </c>
      <c r="J97" s="13" t="n">
        <v>46070</v>
      </c>
      <c r="K97" s="9"/>
      <c r="L97" s="9" t="s">
        <v>608</v>
      </c>
      <c r="M97" s="9" t="s">
        <v>609</v>
      </c>
      <c r="N97" s="9" t="s">
        <v>607</v>
      </c>
      <c r="O97" s="9" t="s">
        <v>66</v>
      </c>
      <c r="P97" s="9" t="s">
        <v>67</v>
      </c>
      <c r="Q97" s="9" t="s">
        <v>477</v>
      </c>
      <c r="R97" s="9" t="s">
        <v>135</v>
      </c>
      <c r="S97" s="11" t="s">
        <v>70</v>
      </c>
      <c r="T97" s="9" t="s">
        <v>477</v>
      </c>
      <c r="U97" s="11" t="s">
        <v>136</v>
      </c>
      <c r="V97" s="11" t="s">
        <v>72</v>
      </c>
      <c r="W97" s="11" t="s">
        <v>610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74</v>
      </c>
    </row>
    <row r="98" customFormat="false" ht="15" hidden="false" customHeight="false" outlineLevel="0" collapsed="false">
      <c r="A98" s="9" t="s">
        <v>611</v>
      </c>
      <c r="B98" s="9" t="s">
        <v>612</v>
      </c>
      <c r="C98" s="9" t="s">
        <v>471</v>
      </c>
      <c r="D98" s="9" t="s">
        <v>613</v>
      </c>
      <c r="E98" s="10" t="n">
        <v>15</v>
      </c>
      <c r="F98" s="9"/>
      <c r="G98" s="9"/>
      <c r="H98" s="9" t="s">
        <v>473</v>
      </c>
      <c r="I98" s="9" t="s">
        <v>607</v>
      </c>
      <c r="J98" s="13" t="n">
        <v>46070</v>
      </c>
      <c r="K98" s="9"/>
      <c r="L98" s="9" t="s">
        <v>608</v>
      </c>
      <c r="M98" s="9" t="s">
        <v>609</v>
      </c>
      <c r="N98" s="9" t="s">
        <v>607</v>
      </c>
      <c r="O98" s="9" t="s">
        <v>66</v>
      </c>
      <c r="P98" s="9" t="s">
        <v>67</v>
      </c>
      <c r="Q98" s="9" t="s">
        <v>477</v>
      </c>
      <c r="R98" s="9" t="s">
        <v>135</v>
      </c>
      <c r="S98" s="11" t="s">
        <v>70</v>
      </c>
      <c r="T98" s="9" t="s">
        <v>477</v>
      </c>
      <c r="U98" s="11" t="s">
        <v>136</v>
      </c>
      <c r="V98" s="11" t="s">
        <v>72</v>
      </c>
      <c r="W98" s="11" t="s">
        <v>610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74</v>
      </c>
    </row>
    <row r="99" customFormat="false" ht="15" hidden="false" customHeight="false" outlineLevel="0" collapsed="false">
      <c r="A99" s="9" t="s">
        <v>614</v>
      </c>
      <c r="B99" s="9" t="s">
        <v>615</v>
      </c>
      <c r="C99" s="9" t="s">
        <v>471</v>
      </c>
      <c r="D99" s="9" t="s">
        <v>616</v>
      </c>
      <c r="E99" s="10" t="n">
        <v>25</v>
      </c>
      <c r="F99" s="9"/>
      <c r="G99" s="9"/>
      <c r="H99" s="9" t="s">
        <v>473</v>
      </c>
      <c r="I99" s="9" t="s">
        <v>617</v>
      </c>
      <c r="J99" s="13" t="n">
        <v>46119</v>
      </c>
      <c r="K99" s="9"/>
      <c r="L99" s="9" t="s">
        <v>618</v>
      </c>
      <c r="M99" s="9" t="s">
        <v>619</v>
      </c>
      <c r="N99" s="9" t="s">
        <v>617</v>
      </c>
      <c r="O99" s="9" t="s">
        <v>66</v>
      </c>
      <c r="P99" s="9" t="s">
        <v>67</v>
      </c>
      <c r="Q99" s="9" t="s">
        <v>513</v>
      </c>
      <c r="R99" s="11" t="s">
        <v>87</v>
      </c>
      <c r="S99" s="11" t="s">
        <v>70</v>
      </c>
      <c r="T99" s="9" t="s">
        <v>513</v>
      </c>
      <c r="U99" s="11" t="s">
        <v>87</v>
      </c>
      <c r="V99" s="11" t="s">
        <v>72</v>
      </c>
      <c r="W99" s="11" t="s">
        <v>620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74</v>
      </c>
    </row>
    <row r="100" customFormat="false" ht="15" hidden="false" customHeight="false" outlineLevel="0" collapsed="false">
      <c r="A100" s="9" t="s">
        <v>621</v>
      </c>
      <c r="B100" s="9" t="s">
        <v>622</v>
      </c>
      <c r="C100" s="9" t="s">
        <v>471</v>
      </c>
      <c r="D100" s="9" t="s">
        <v>623</v>
      </c>
      <c r="E100" s="10" t="n">
        <v>125</v>
      </c>
      <c r="F100" s="9"/>
      <c r="G100" s="9"/>
      <c r="H100" s="9" t="s">
        <v>473</v>
      </c>
      <c r="I100" s="9" t="s">
        <v>617</v>
      </c>
      <c r="J100" s="13" t="n">
        <v>46119</v>
      </c>
      <c r="K100" s="9"/>
      <c r="L100" s="9" t="s">
        <v>618</v>
      </c>
      <c r="M100" s="9" t="s">
        <v>619</v>
      </c>
      <c r="N100" s="9" t="s">
        <v>617</v>
      </c>
      <c r="O100" s="9" t="s">
        <v>66</v>
      </c>
      <c r="P100" s="9" t="s">
        <v>67</v>
      </c>
      <c r="Q100" s="9" t="s">
        <v>513</v>
      </c>
      <c r="R100" s="11" t="s">
        <v>87</v>
      </c>
      <c r="S100" s="11" t="s">
        <v>70</v>
      </c>
      <c r="T100" s="9" t="s">
        <v>513</v>
      </c>
      <c r="U100" s="11" t="s">
        <v>87</v>
      </c>
      <c r="V100" s="11" t="s">
        <v>72</v>
      </c>
      <c r="W100" s="11" t="s">
        <v>620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74</v>
      </c>
    </row>
    <row r="101" customFormat="false" ht="15" hidden="false" customHeight="false" outlineLevel="0" collapsed="false">
      <c r="A101" s="9" t="s">
        <v>624</v>
      </c>
      <c r="B101" s="9" t="s">
        <v>625</v>
      </c>
      <c r="C101" s="9" t="s">
        <v>471</v>
      </c>
      <c r="D101" s="9" t="s">
        <v>626</v>
      </c>
      <c r="E101" s="10" t="n">
        <v>5</v>
      </c>
      <c r="F101" s="9"/>
      <c r="G101" s="9"/>
      <c r="H101" s="9" t="s">
        <v>473</v>
      </c>
      <c r="I101" s="9" t="s">
        <v>627</v>
      </c>
      <c r="J101" s="13" t="n">
        <v>46128</v>
      </c>
      <c r="K101" s="9"/>
      <c r="L101" s="9" t="s">
        <v>628</v>
      </c>
      <c r="M101" s="9" t="s">
        <v>629</v>
      </c>
      <c r="N101" s="9" t="s">
        <v>627</v>
      </c>
      <c r="O101" s="9" t="s">
        <v>66</v>
      </c>
      <c r="P101" s="9" t="s">
        <v>67</v>
      </c>
      <c r="Q101" s="9" t="s">
        <v>477</v>
      </c>
      <c r="R101" s="9" t="s">
        <v>135</v>
      </c>
      <c r="S101" s="11" t="s">
        <v>70</v>
      </c>
      <c r="T101" s="9" t="s">
        <v>477</v>
      </c>
      <c r="U101" s="11" t="s">
        <v>136</v>
      </c>
      <c r="V101" s="11" t="s">
        <v>72</v>
      </c>
      <c r="W101" s="11" t="s">
        <v>630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74</v>
      </c>
    </row>
    <row r="102" customFormat="false" ht="15" hidden="false" customHeight="false" outlineLevel="0" collapsed="false">
      <c r="A102" s="9" t="s">
        <v>631</v>
      </c>
      <c r="B102" s="9" t="s">
        <v>632</v>
      </c>
      <c r="C102" s="9" t="s">
        <v>471</v>
      </c>
      <c r="D102" s="9" t="s">
        <v>633</v>
      </c>
      <c r="E102" s="10" t="n">
        <v>25</v>
      </c>
      <c r="F102" s="9"/>
      <c r="G102" s="9"/>
      <c r="H102" s="9" t="s">
        <v>473</v>
      </c>
      <c r="I102" s="9" t="s">
        <v>627</v>
      </c>
      <c r="J102" s="13" t="n">
        <v>46128</v>
      </c>
      <c r="K102" s="9"/>
      <c r="L102" s="9" t="s">
        <v>628</v>
      </c>
      <c r="M102" s="9" t="s">
        <v>629</v>
      </c>
      <c r="N102" s="9" t="s">
        <v>627</v>
      </c>
      <c r="O102" s="9" t="s">
        <v>66</v>
      </c>
      <c r="P102" s="9" t="s">
        <v>67</v>
      </c>
      <c r="Q102" s="9" t="s">
        <v>477</v>
      </c>
      <c r="R102" s="9" t="s">
        <v>135</v>
      </c>
      <c r="S102" s="11" t="s">
        <v>70</v>
      </c>
      <c r="T102" s="9" t="s">
        <v>477</v>
      </c>
      <c r="U102" s="11" t="s">
        <v>136</v>
      </c>
      <c r="V102" s="11" t="s">
        <v>72</v>
      </c>
      <c r="W102" s="11" t="s">
        <v>630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74</v>
      </c>
    </row>
    <row r="103" customFormat="false" ht="15" hidden="false" customHeight="false" outlineLevel="0" collapsed="false">
      <c r="A103" s="9" t="s">
        <v>634</v>
      </c>
      <c r="B103" s="9" t="s">
        <v>635</v>
      </c>
      <c r="C103" s="9" t="s">
        <v>471</v>
      </c>
      <c r="D103" s="9" t="s">
        <v>636</v>
      </c>
      <c r="E103" s="10" t="n">
        <v>5</v>
      </c>
      <c r="F103" s="9"/>
      <c r="G103" s="9"/>
      <c r="H103" s="9" t="s">
        <v>473</v>
      </c>
      <c r="I103" s="9" t="s">
        <v>220</v>
      </c>
      <c r="J103" s="13" t="n">
        <v>46170</v>
      </c>
      <c r="K103" s="9"/>
      <c r="L103" s="9" t="s">
        <v>637</v>
      </c>
      <c r="M103" s="9" t="s">
        <v>638</v>
      </c>
      <c r="N103" s="9" t="s">
        <v>220</v>
      </c>
      <c r="O103" s="9" t="s">
        <v>66</v>
      </c>
      <c r="P103" s="9" t="s">
        <v>67</v>
      </c>
      <c r="Q103" s="9" t="s">
        <v>477</v>
      </c>
      <c r="R103" s="9" t="s">
        <v>135</v>
      </c>
      <c r="S103" s="11" t="s">
        <v>70</v>
      </c>
      <c r="T103" s="9" t="s">
        <v>477</v>
      </c>
      <c r="U103" s="11" t="s">
        <v>136</v>
      </c>
      <c r="V103" s="11" t="s">
        <v>72</v>
      </c>
      <c r="W103" s="11" t="s">
        <v>639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74</v>
      </c>
    </row>
    <row r="104" customFormat="false" ht="15" hidden="false" customHeight="false" outlineLevel="0" collapsed="false">
      <c r="A104" s="9" t="s">
        <v>640</v>
      </c>
      <c r="B104" s="9" t="s">
        <v>641</v>
      </c>
      <c r="C104" s="9" t="s">
        <v>471</v>
      </c>
      <c r="D104" s="9" t="s">
        <v>642</v>
      </c>
      <c r="E104" s="10" t="n">
        <v>25</v>
      </c>
      <c r="F104" s="9"/>
      <c r="G104" s="9"/>
      <c r="H104" s="9" t="s">
        <v>473</v>
      </c>
      <c r="I104" s="9" t="s">
        <v>220</v>
      </c>
      <c r="J104" s="13" t="n">
        <v>46170</v>
      </c>
      <c r="K104" s="9"/>
      <c r="L104" s="9" t="s">
        <v>637</v>
      </c>
      <c r="M104" s="9" t="s">
        <v>638</v>
      </c>
      <c r="N104" s="9" t="s">
        <v>220</v>
      </c>
      <c r="O104" s="9" t="s">
        <v>66</v>
      </c>
      <c r="P104" s="9" t="s">
        <v>67</v>
      </c>
      <c r="Q104" s="9" t="s">
        <v>477</v>
      </c>
      <c r="R104" s="9" t="s">
        <v>135</v>
      </c>
      <c r="S104" s="11" t="s">
        <v>70</v>
      </c>
      <c r="T104" s="9" t="s">
        <v>477</v>
      </c>
      <c r="U104" s="11" t="s">
        <v>136</v>
      </c>
      <c r="V104" s="11" t="s">
        <v>72</v>
      </c>
      <c r="W104" s="11" t="s">
        <v>639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74</v>
      </c>
    </row>
    <row r="105" customFormat="false" ht="15" hidden="false" customHeight="false" outlineLevel="0" collapsed="false">
      <c r="A105" s="9" t="s">
        <v>643</v>
      </c>
      <c r="B105" s="9" t="s">
        <v>644</v>
      </c>
      <c r="C105" s="9" t="s">
        <v>471</v>
      </c>
      <c r="D105" s="9" t="s">
        <v>645</v>
      </c>
      <c r="E105" s="10" t="n">
        <v>10</v>
      </c>
      <c r="F105" s="9"/>
      <c r="G105" s="9"/>
      <c r="H105" s="9" t="s">
        <v>473</v>
      </c>
      <c r="I105" s="9" t="s">
        <v>646</v>
      </c>
      <c r="J105" s="13" t="n">
        <v>46182</v>
      </c>
      <c r="K105" s="9"/>
      <c r="L105" s="9" t="s">
        <v>647</v>
      </c>
      <c r="M105" s="9" t="s">
        <v>648</v>
      </c>
      <c r="N105" s="9" t="s">
        <v>646</v>
      </c>
      <c r="O105" s="9" t="s">
        <v>66</v>
      </c>
      <c r="P105" s="9" t="s">
        <v>67</v>
      </c>
      <c r="Q105" s="9" t="s">
        <v>477</v>
      </c>
      <c r="R105" s="9" t="s">
        <v>135</v>
      </c>
      <c r="S105" s="11" t="s">
        <v>70</v>
      </c>
      <c r="T105" s="9" t="s">
        <v>477</v>
      </c>
      <c r="U105" s="11" t="s">
        <v>136</v>
      </c>
      <c r="V105" s="11" t="s">
        <v>72</v>
      </c>
      <c r="W105" s="11" t="s">
        <v>649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74</v>
      </c>
    </row>
    <row r="106" customFormat="false" ht="15" hidden="false" customHeight="false" outlineLevel="0" collapsed="false">
      <c r="A106" s="9" t="s">
        <v>650</v>
      </c>
      <c r="B106" s="9" t="s">
        <v>651</v>
      </c>
      <c r="C106" s="9" t="s">
        <v>471</v>
      </c>
      <c r="D106" s="9" t="s">
        <v>652</v>
      </c>
      <c r="E106" s="10" t="n">
        <v>50</v>
      </c>
      <c r="F106" s="9"/>
      <c r="G106" s="9"/>
      <c r="H106" s="9" t="s">
        <v>473</v>
      </c>
      <c r="I106" s="9" t="s">
        <v>646</v>
      </c>
      <c r="J106" s="13" t="n">
        <v>46182</v>
      </c>
      <c r="K106" s="9"/>
      <c r="L106" s="9" t="s">
        <v>647</v>
      </c>
      <c r="M106" s="9" t="s">
        <v>648</v>
      </c>
      <c r="N106" s="9" t="s">
        <v>646</v>
      </c>
      <c r="O106" s="9" t="s">
        <v>66</v>
      </c>
      <c r="P106" s="9" t="s">
        <v>67</v>
      </c>
      <c r="Q106" s="9" t="s">
        <v>477</v>
      </c>
      <c r="R106" s="9" t="s">
        <v>135</v>
      </c>
      <c r="S106" s="11" t="s">
        <v>70</v>
      </c>
      <c r="T106" s="9" t="s">
        <v>477</v>
      </c>
      <c r="U106" s="11" t="s">
        <v>136</v>
      </c>
      <c r="V106" s="11" t="s">
        <v>72</v>
      </c>
      <c r="W106" s="11" t="s">
        <v>649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74</v>
      </c>
    </row>
    <row r="107" customFormat="false" ht="15" hidden="false" customHeight="false" outlineLevel="0" collapsed="false">
      <c r="A107" s="9" t="s">
        <v>653</v>
      </c>
      <c r="B107" s="9" t="s">
        <v>654</v>
      </c>
      <c r="C107" s="9" t="s">
        <v>471</v>
      </c>
      <c r="D107" s="9" t="s">
        <v>655</v>
      </c>
      <c r="E107" s="10" t="n">
        <v>10</v>
      </c>
      <c r="F107" s="9"/>
      <c r="G107" s="9"/>
      <c r="H107" s="9" t="s">
        <v>473</v>
      </c>
      <c r="I107" s="9" t="s">
        <v>646</v>
      </c>
      <c r="J107" s="13" t="n">
        <v>46182</v>
      </c>
      <c r="K107" s="9"/>
      <c r="L107" s="9" t="s">
        <v>647</v>
      </c>
      <c r="M107" s="9" t="s">
        <v>648</v>
      </c>
      <c r="N107" s="9" t="s">
        <v>646</v>
      </c>
      <c r="O107" s="9" t="s">
        <v>66</v>
      </c>
      <c r="P107" s="9" t="s">
        <v>67</v>
      </c>
      <c r="Q107" s="9" t="s">
        <v>477</v>
      </c>
      <c r="R107" s="9" t="s">
        <v>135</v>
      </c>
      <c r="S107" s="11" t="s">
        <v>70</v>
      </c>
      <c r="T107" s="9" t="s">
        <v>477</v>
      </c>
      <c r="U107" s="11" t="s">
        <v>136</v>
      </c>
      <c r="V107" s="11" t="s">
        <v>72</v>
      </c>
      <c r="W107" s="11" t="s">
        <v>656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74</v>
      </c>
    </row>
    <row r="108" customFormat="false" ht="15" hidden="false" customHeight="false" outlineLevel="0" collapsed="false">
      <c r="A108" s="9" t="s">
        <v>657</v>
      </c>
      <c r="B108" s="9" t="s">
        <v>658</v>
      </c>
      <c r="C108" s="9" t="s">
        <v>471</v>
      </c>
      <c r="D108" s="9" t="s">
        <v>659</v>
      </c>
      <c r="E108" s="10" t="n">
        <v>50</v>
      </c>
      <c r="F108" s="9"/>
      <c r="G108" s="9"/>
      <c r="H108" s="9" t="s">
        <v>473</v>
      </c>
      <c r="I108" s="9" t="s">
        <v>646</v>
      </c>
      <c r="J108" s="13" t="n">
        <v>46182</v>
      </c>
      <c r="K108" s="9"/>
      <c r="L108" s="9" t="s">
        <v>647</v>
      </c>
      <c r="M108" s="9" t="s">
        <v>648</v>
      </c>
      <c r="N108" s="9" t="s">
        <v>646</v>
      </c>
      <c r="O108" s="9" t="s">
        <v>66</v>
      </c>
      <c r="P108" s="9" t="s">
        <v>67</v>
      </c>
      <c r="Q108" s="9" t="s">
        <v>477</v>
      </c>
      <c r="R108" s="9" t="s">
        <v>135</v>
      </c>
      <c r="S108" s="11" t="s">
        <v>70</v>
      </c>
      <c r="T108" s="9" t="s">
        <v>477</v>
      </c>
      <c r="U108" s="11" t="s">
        <v>136</v>
      </c>
      <c r="V108" s="11" t="s">
        <v>72</v>
      </c>
      <c r="W108" s="11" t="s">
        <v>656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74</v>
      </c>
    </row>
    <row r="109" customFormat="false" ht="15" hidden="false" customHeight="false" outlineLevel="0" collapsed="false">
      <c r="A109" s="9" t="s">
        <v>660</v>
      </c>
      <c r="B109" s="9" t="s">
        <v>661</v>
      </c>
      <c r="C109" s="9" t="s">
        <v>471</v>
      </c>
      <c r="D109" s="9" t="s">
        <v>662</v>
      </c>
      <c r="E109" s="10" t="n">
        <v>2</v>
      </c>
      <c r="F109" s="9"/>
      <c r="G109" s="9"/>
      <c r="H109" s="9" t="s">
        <v>473</v>
      </c>
      <c r="I109" s="9" t="s">
        <v>663</v>
      </c>
      <c r="J109" s="13" t="n">
        <v>46203</v>
      </c>
      <c r="K109" s="9"/>
      <c r="L109" s="9" t="s">
        <v>664</v>
      </c>
      <c r="M109" s="9" t="s">
        <v>665</v>
      </c>
      <c r="N109" s="9" t="s">
        <v>663</v>
      </c>
      <c r="O109" s="9" t="s">
        <v>66</v>
      </c>
      <c r="P109" s="9" t="s">
        <v>67</v>
      </c>
      <c r="Q109" s="9" t="s">
        <v>477</v>
      </c>
      <c r="R109" s="9" t="s">
        <v>135</v>
      </c>
      <c r="S109" s="11" t="s">
        <v>70</v>
      </c>
      <c r="T109" s="9" t="s">
        <v>477</v>
      </c>
      <c r="U109" s="11" t="s">
        <v>136</v>
      </c>
      <c r="V109" s="11" t="s">
        <v>72</v>
      </c>
      <c r="W109" s="11" t="s">
        <v>666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74</v>
      </c>
    </row>
    <row r="110" customFormat="false" ht="15" hidden="false" customHeight="false" outlineLevel="0" collapsed="false">
      <c r="A110" s="9" t="s">
        <v>667</v>
      </c>
      <c r="B110" s="9" t="s">
        <v>668</v>
      </c>
      <c r="C110" s="9" t="s">
        <v>471</v>
      </c>
      <c r="D110" s="9" t="s">
        <v>669</v>
      </c>
      <c r="E110" s="10" t="n">
        <v>10</v>
      </c>
      <c r="F110" s="9"/>
      <c r="G110" s="9"/>
      <c r="H110" s="9" t="s">
        <v>473</v>
      </c>
      <c r="I110" s="9" t="s">
        <v>663</v>
      </c>
      <c r="J110" s="13" t="n">
        <v>46203</v>
      </c>
      <c r="K110" s="9"/>
      <c r="L110" s="9" t="s">
        <v>664</v>
      </c>
      <c r="M110" s="9" t="s">
        <v>665</v>
      </c>
      <c r="N110" s="9" t="s">
        <v>663</v>
      </c>
      <c r="O110" s="9" t="s">
        <v>66</v>
      </c>
      <c r="P110" s="9" t="s">
        <v>67</v>
      </c>
      <c r="Q110" s="9" t="s">
        <v>477</v>
      </c>
      <c r="R110" s="9" t="s">
        <v>135</v>
      </c>
      <c r="S110" s="11" t="s">
        <v>70</v>
      </c>
      <c r="T110" s="9" t="s">
        <v>477</v>
      </c>
      <c r="U110" s="11" t="s">
        <v>136</v>
      </c>
      <c r="V110" s="11" t="s">
        <v>72</v>
      </c>
      <c r="W110" s="11" t="s">
        <v>666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74</v>
      </c>
    </row>
    <row r="111" customFormat="false" ht="15" hidden="false" customHeight="false" outlineLevel="0" collapsed="false">
      <c r="A111" s="9" t="s">
        <v>670</v>
      </c>
      <c r="B111" s="9" t="s">
        <v>671</v>
      </c>
      <c r="C111" s="9" t="s">
        <v>471</v>
      </c>
      <c r="D111" s="9" t="s">
        <v>672</v>
      </c>
      <c r="E111" s="10" t="n">
        <v>5</v>
      </c>
      <c r="F111" s="9"/>
      <c r="G111" s="9"/>
      <c r="H111" s="9" t="s">
        <v>473</v>
      </c>
      <c r="I111" s="9" t="s">
        <v>673</v>
      </c>
      <c r="J111" s="13" t="n">
        <v>46227</v>
      </c>
      <c r="K111" s="9"/>
      <c r="L111" s="9" t="s">
        <v>674</v>
      </c>
      <c r="M111" s="9" t="s">
        <v>675</v>
      </c>
      <c r="N111" s="9" t="s">
        <v>673</v>
      </c>
      <c r="O111" s="9" t="s">
        <v>66</v>
      </c>
      <c r="P111" s="9" t="s">
        <v>67</v>
      </c>
      <c r="Q111" s="9" t="s">
        <v>477</v>
      </c>
      <c r="R111" s="9" t="s">
        <v>135</v>
      </c>
      <c r="S111" s="11" t="s">
        <v>70</v>
      </c>
      <c r="T111" s="9" t="s">
        <v>477</v>
      </c>
      <c r="U111" s="11" t="s">
        <v>136</v>
      </c>
      <c r="V111" s="11" t="s">
        <v>72</v>
      </c>
      <c r="W111" s="11" t="s">
        <v>676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74</v>
      </c>
    </row>
    <row r="112" customFormat="false" ht="15" hidden="false" customHeight="false" outlineLevel="0" collapsed="false">
      <c r="A112" s="9" t="s">
        <v>677</v>
      </c>
      <c r="B112" s="9" t="s">
        <v>678</v>
      </c>
      <c r="C112" s="9" t="s">
        <v>471</v>
      </c>
      <c r="D112" s="9" t="s">
        <v>679</v>
      </c>
      <c r="E112" s="10" t="n">
        <v>25</v>
      </c>
      <c r="F112" s="9"/>
      <c r="G112" s="9"/>
      <c r="H112" s="9" t="s">
        <v>473</v>
      </c>
      <c r="I112" s="9" t="s">
        <v>673</v>
      </c>
      <c r="J112" s="13" t="n">
        <v>46227</v>
      </c>
      <c r="K112" s="9"/>
      <c r="L112" s="9" t="s">
        <v>674</v>
      </c>
      <c r="M112" s="9" t="s">
        <v>675</v>
      </c>
      <c r="N112" s="9" t="s">
        <v>673</v>
      </c>
      <c r="O112" s="9" t="s">
        <v>66</v>
      </c>
      <c r="P112" s="9" t="s">
        <v>67</v>
      </c>
      <c r="Q112" s="9" t="s">
        <v>477</v>
      </c>
      <c r="R112" s="9" t="s">
        <v>135</v>
      </c>
      <c r="S112" s="11" t="s">
        <v>70</v>
      </c>
      <c r="T112" s="9" t="s">
        <v>477</v>
      </c>
      <c r="U112" s="11" t="s">
        <v>136</v>
      </c>
      <c r="V112" s="11" t="s">
        <v>72</v>
      </c>
      <c r="W112" s="11" t="s">
        <v>676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74</v>
      </c>
    </row>
    <row r="113" customFormat="false" ht="15" hidden="false" customHeight="false" outlineLevel="0" collapsed="false">
      <c r="A113" s="9" t="s">
        <v>680</v>
      </c>
      <c r="B113" s="9" t="s">
        <v>681</v>
      </c>
      <c r="C113" s="9" t="s">
        <v>471</v>
      </c>
      <c r="D113" s="9" t="s">
        <v>682</v>
      </c>
      <c r="E113" s="10" t="n">
        <v>10</v>
      </c>
      <c r="F113" s="9"/>
      <c r="G113" s="9"/>
      <c r="H113" s="9" t="s">
        <v>473</v>
      </c>
      <c r="I113" s="9" t="s">
        <v>683</v>
      </c>
      <c r="J113" s="13" t="n">
        <v>46266</v>
      </c>
      <c r="K113" s="9"/>
      <c r="L113" s="9" t="s">
        <v>684</v>
      </c>
      <c r="M113" s="9" t="s">
        <v>685</v>
      </c>
      <c r="N113" s="9" t="s">
        <v>683</v>
      </c>
      <c r="O113" s="9" t="s">
        <v>66</v>
      </c>
      <c r="P113" s="9" t="s">
        <v>67</v>
      </c>
      <c r="Q113" s="9" t="s">
        <v>477</v>
      </c>
      <c r="R113" s="9" t="s">
        <v>135</v>
      </c>
      <c r="S113" s="11" t="s">
        <v>70</v>
      </c>
      <c r="T113" s="9" t="s">
        <v>477</v>
      </c>
      <c r="U113" s="11" t="s">
        <v>136</v>
      </c>
      <c r="V113" s="11" t="s">
        <v>72</v>
      </c>
      <c r="W113" s="11" t="s">
        <v>686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74</v>
      </c>
    </row>
    <row r="114" customFormat="false" ht="15" hidden="false" customHeight="false" outlineLevel="0" collapsed="false">
      <c r="A114" s="9" t="s">
        <v>687</v>
      </c>
      <c r="B114" s="9" t="s">
        <v>688</v>
      </c>
      <c r="C114" s="9" t="s">
        <v>471</v>
      </c>
      <c r="D114" s="9" t="s">
        <v>689</v>
      </c>
      <c r="E114" s="10" t="n">
        <v>50</v>
      </c>
      <c r="F114" s="9"/>
      <c r="G114" s="9"/>
      <c r="H114" s="9" t="s">
        <v>473</v>
      </c>
      <c r="I114" s="9" t="s">
        <v>683</v>
      </c>
      <c r="J114" s="13" t="n">
        <v>46266</v>
      </c>
      <c r="K114" s="9"/>
      <c r="L114" s="9" t="s">
        <v>684</v>
      </c>
      <c r="M114" s="9" t="s">
        <v>685</v>
      </c>
      <c r="N114" s="9" t="s">
        <v>683</v>
      </c>
      <c r="O114" s="9" t="s">
        <v>66</v>
      </c>
      <c r="P114" s="9" t="s">
        <v>67</v>
      </c>
      <c r="Q114" s="9" t="s">
        <v>477</v>
      </c>
      <c r="R114" s="9" t="s">
        <v>135</v>
      </c>
      <c r="S114" s="11" t="s">
        <v>70</v>
      </c>
      <c r="T114" s="9" t="s">
        <v>477</v>
      </c>
      <c r="U114" s="11" t="s">
        <v>136</v>
      </c>
      <c r="V114" s="11" t="s">
        <v>72</v>
      </c>
      <c r="W114" s="11" t="s">
        <v>686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74</v>
      </c>
    </row>
    <row r="115" customFormat="false" ht="15" hidden="false" customHeight="false" outlineLevel="0" collapsed="false">
      <c r="A115" s="9" t="s">
        <v>690</v>
      </c>
      <c r="B115" s="9" t="s">
        <v>691</v>
      </c>
      <c r="C115" s="9" t="s">
        <v>471</v>
      </c>
      <c r="D115" s="9" t="s">
        <v>692</v>
      </c>
      <c r="E115" s="10" t="n">
        <v>4</v>
      </c>
      <c r="F115" s="9"/>
      <c r="G115" s="9"/>
      <c r="H115" s="9" t="s">
        <v>473</v>
      </c>
      <c r="I115" s="9" t="s">
        <v>693</v>
      </c>
      <c r="J115" s="13" t="n">
        <v>46287</v>
      </c>
      <c r="K115" s="9"/>
      <c r="L115" s="9" t="s">
        <v>694</v>
      </c>
      <c r="M115" s="9" t="s">
        <v>695</v>
      </c>
      <c r="N115" s="9" t="s">
        <v>693</v>
      </c>
      <c r="O115" s="9" t="s">
        <v>66</v>
      </c>
      <c r="P115" s="9" t="s">
        <v>67</v>
      </c>
      <c r="Q115" s="9" t="s">
        <v>477</v>
      </c>
      <c r="R115" s="9" t="s">
        <v>135</v>
      </c>
      <c r="S115" s="11" t="s">
        <v>70</v>
      </c>
      <c r="T115" s="9" t="s">
        <v>477</v>
      </c>
      <c r="U115" s="11" t="s">
        <v>136</v>
      </c>
      <c r="V115" s="11" t="s">
        <v>72</v>
      </c>
      <c r="W115" s="11" t="s">
        <v>696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74</v>
      </c>
    </row>
    <row r="116" customFormat="false" ht="15" hidden="false" customHeight="false" outlineLevel="0" collapsed="false">
      <c r="A116" s="9" t="s">
        <v>697</v>
      </c>
      <c r="B116" s="9" t="s">
        <v>698</v>
      </c>
      <c r="C116" s="9" t="s">
        <v>471</v>
      </c>
      <c r="D116" s="9" t="s">
        <v>699</v>
      </c>
      <c r="E116" s="10" t="n">
        <v>20</v>
      </c>
      <c r="F116" s="9"/>
      <c r="G116" s="9"/>
      <c r="H116" s="9" t="s">
        <v>473</v>
      </c>
      <c r="I116" s="9" t="s">
        <v>693</v>
      </c>
      <c r="J116" s="13" t="n">
        <v>46287</v>
      </c>
      <c r="K116" s="9"/>
      <c r="L116" s="9" t="s">
        <v>694</v>
      </c>
      <c r="M116" s="9" t="s">
        <v>695</v>
      </c>
      <c r="N116" s="9" t="s">
        <v>693</v>
      </c>
      <c r="O116" s="9" t="s">
        <v>66</v>
      </c>
      <c r="P116" s="9" t="s">
        <v>67</v>
      </c>
      <c r="Q116" s="9" t="s">
        <v>477</v>
      </c>
      <c r="R116" s="9" t="s">
        <v>135</v>
      </c>
      <c r="S116" s="11" t="s">
        <v>70</v>
      </c>
      <c r="T116" s="9" t="s">
        <v>477</v>
      </c>
      <c r="U116" s="11" t="s">
        <v>136</v>
      </c>
      <c r="V116" s="11" t="s">
        <v>72</v>
      </c>
      <c r="W116" s="11" t="s">
        <v>696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74</v>
      </c>
    </row>
    <row r="117" customFormat="false" ht="15" hidden="false" customHeight="false" outlineLevel="0" collapsed="false">
      <c r="A117" s="9" t="s">
        <v>700</v>
      </c>
      <c r="B117" s="9" t="s">
        <v>701</v>
      </c>
      <c r="C117" s="9" t="s">
        <v>471</v>
      </c>
      <c r="D117" s="9" t="s">
        <v>702</v>
      </c>
      <c r="E117" s="10" t="n">
        <v>2</v>
      </c>
      <c r="F117" s="9"/>
      <c r="G117" s="9"/>
      <c r="H117" s="9" t="s">
        <v>473</v>
      </c>
      <c r="I117" s="9" t="s">
        <v>703</v>
      </c>
      <c r="J117" s="13" t="n">
        <v>46293</v>
      </c>
      <c r="K117" s="9"/>
      <c r="L117" s="9" t="s">
        <v>704</v>
      </c>
      <c r="M117" s="9" t="s">
        <v>705</v>
      </c>
      <c r="N117" s="9" t="s">
        <v>703</v>
      </c>
      <c r="O117" s="9" t="s">
        <v>66</v>
      </c>
      <c r="P117" s="9" t="s">
        <v>67</v>
      </c>
      <c r="Q117" s="9" t="s">
        <v>477</v>
      </c>
      <c r="R117" s="9" t="s">
        <v>135</v>
      </c>
      <c r="S117" s="11" t="s">
        <v>70</v>
      </c>
      <c r="T117" s="9" t="s">
        <v>477</v>
      </c>
      <c r="U117" s="11" t="s">
        <v>136</v>
      </c>
      <c r="V117" s="11" t="s">
        <v>72</v>
      </c>
      <c r="W117" s="11" t="s">
        <v>706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74</v>
      </c>
    </row>
    <row r="118" customFormat="false" ht="15" hidden="false" customHeight="false" outlineLevel="0" collapsed="false">
      <c r="A118" s="9" t="s">
        <v>707</v>
      </c>
      <c r="B118" s="9" t="s">
        <v>708</v>
      </c>
      <c r="C118" s="9" t="s">
        <v>471</v>
      </c>
      <c r="D118" s="9" t="s">
        <v>709</v>
      </c>
      <c r="E118" s="10" t="n">
        <v>10</v>
      </c>
      <c r="F118" s="9"/>
      <c r="G118" s="9"/>
      <c r="H118" s="9" t="s">
        <v>473</v>
      </c>
      <c r="I118" s="9" t="s">
        <v>703</v>
      </c>
      <c r="J118" s="13" t="n">
        <v>46293</v>
      </c>
      <c r="K118" s="9"/>
      <c r="L118" s="9" t="s">
        <v>704</v>
      </c>
      <c r="M118" s="9" t="s">
        <v>705</v>
      </c>
      <c r="N118" s="9" t="s">
        <v>703</v>
      </c>
      <c r="O118" s="9" t="s">
        <v>66</v>
      </c>
      <c r="P118" s="9" t="s">
        <v>67</v>
      </c>
      <c r="Q118" s="9" t="s">
        <v>477</v>
      </c>
      <c r="R118" s="9" t="s">
        <v>135</v>
      </c>
      <c r="S118" s="11" t="s">
        <v>70</v>
      </c>
      <c r="T118" s="9" t="s">
        <v>477</v>
      </c>
      <c r="U118" s="11" t="s">
        <v>136</v>
      </c>
      <c r="V118" s="11" t="s">
        <v>72</v>
      </c>
      <c r="W118" s="11" t="s">
        <v>706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74</v>
      </c>
    </row>
    <row r="119" customFormat="false" ht="15" hidden="false" customHeight="false" outlineLevel="0" collapsed="false">
      <c r="A119" s="9" t="s">
        <v>710</v>
      </c>
      <c r="B119" s="9" t="s">
        <v>711</v>
      </c>
      <c r="C119" s="9" t="s">
        <v>471</v>
      </c>
      <c r="D119" s="9" t="s">
        <v>712</v>
      </c>
      <c r="E119" s="10" t="n">
        <v>0.1</v>
      </c>
      <c r="F119" s="9"/>
      <c r="G119" s="9"/>
      <c r="H119" s="9" t="s">
        <v>473</v>
      </c>
      <c r="I119" s="9" t="s">
        <v>713</v>
      </c>
      <c r="J119" s="13" t="n">
        <v>46302</v>
      </c>
      <c r="K119" s="9"/>
      <c r="L119" s="9" t="s">
        <v>714</v>
      </c>
      <c r="M119" s="9" t="s">
        <v>715</v>
      </c>
      <c r="N119" s="9" t="s">
        <v>713</v>
      </c>
      <c r="O119" s="9" t="s">
        <v>66</v>
      </c>
      <c r="P119" s="9" t="s">
        <v>67</v>
      </c>
      <c r="Q119" s="9" t="s">
        <v>477</v>
      </c>
      <c r="R119" s="9" t="s">
        <v>135</v>
      </c>
      <c r="S119" s="11" t="s">
        <v>70</v>
      </c>
      <c r="T119" s="9" t="s">
        <v>477</v>
      </c>
      <c r="U119" s="11" t="s">
        <v>136</v>
      </c>
      <c r="V119" s="11" t="s">
        <v>72</v>
      </c>
      <c r="W119" s="11" t="s">
        <v>716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74</v>
      </c>
    </row>
    <row r="120" customFormat="false" ht="15" hidden="false" customHeight="false" outlineLevel="0" collapsed="false">
      <c r="A120" s="9" t="s">
        <v>717</v>
      </c>
      <c r="B120" s="9" t="s">
        <v>718</v>
      </c>
      <c r="C120" s="9" t="s">
        <v>471</v>
      </c>
      <c r="D120" s="9" t="s">
        <v>719</v>
      </c>
      <c r="E120" s="10" t="n">
        <v>0.5</v>
      </c>
      <c r="F120" s="9"/>
      <c r="G120" s="9"/>
      <c r="H120" s="9" t="s">
        <v>473</v>
      </c>
      <c r="I120" s="9" t="s">
        <v>713</v>
      </c>
      <c r="J120" s="13" t="n">
        <v>46302</v>
      </c>
      <c r="K120" s="9"/>
      <c r="L120" s="9" t="s">
        <v>714</v>
      </c>
      <c r="M120" s="9" t="s">
        <v>715</v>
      </c>
      <c r="N120" s="9" t="s">
        <v>713</v>
      </c>
      <c r="O120" s="9" t="s">
        <v>66</v>
      </c>
      <c r="P120" s="9" t="s">
        <v>67</v>
      </c>
      <c r="Q120" s="9" t="s">
        <v>477</v>
      </c>
      <c r="R120" s="9" t="s">
        <v>135</v>
      </c>
      <c r="S120" s="11" t="s">
        <v>70</v>
      </c>
      <c r="T120" s="9" t="s">
        <v>477</v>
      </c>
      <c r="U120" s="11" t="s">
        <v>136</v>
      </c>
      <c r="V120" s="11" t="s">
        <v>72</v>
      </c>
      <c r="W120" s="11" t="s">
        <v>716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74</v>
      </c>
    </row>
    <row r="121" customFormat="false" ht="15" hidden="false" customHeight="false" outlineLevel="0" collapsed="false">
      <c r="A121" s="9" t="s">
        <v>720</v>
      </c>
      <c r="B121" s="9" t="s">
        <v>721</v>
      </c>
      <c r="C121" s="9" t="s">
        <v>471</v>
      </c>
      <c r="D121" s="9" t="s">
        <v>722</v>
      </c>
      <c r="E121" s="10" t="n">
        <v>10</v>
      </c>
      <c r="F121" s="9"/>
      <c r="G121" s="9"/>
      <c r="H121" s="9" t="s">
        <v>473</v>
      </c>
      <c r="I121" s="9" t="s">
        <v>597</v>
      </c>
      <c r="J121" s="13" t="n">
        <v>46058</v>
      </c>
      <c r="K121" s="9"/>
      <c r="L121" s="9" t="s">
        <v>598</v>
      </c>
      <c r="M121" s="9" t="s">
        <v>599</v>
      </c>
      <c r="N121" s="9" t="s">
        <v>597</v>
      </c>
      <c r="O121" s="9" t="s">
        <v>66</v>
      </c>
      <c r="P121" s="9" t="s">
        <v>67</v>
      </c>
      <c r="Q121" s="9" t="s">
        <v>477</v>
      </c>
      <c r="R121" s="9" t="s">
        <v>135</v>
      </c>
      <c r="S121" s="11" t="s">
        <v>70</v>
      </c>
      <c r="T121" s="9" t="s">
        <v>477</v>
      </c>
      <c r="U121" s="11" t="s">
        <v>136</v>
      </c>
      <c r="V121" s="11" t="s">
        <v>72</v>
      </c>
      <c r="W121" s="11" t="s">
        <v>723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74</v>
      </c>
    </row>
    <row r="122" customFormat="false" ht="15" hidden="false" customHeight="false" outlineLevel="0" collapsed="false">
      <c r="A122" s="9" t="s">
        <v>724</v>
      </c>
      <c r="B122" s="9" t="s">
        <v>725</v>
      </c>
      <c r="C122" s="9" t="s">
        <v>471</v>
      </c>
      <c r="D122" s="9" t="s">
        <v>726</v>
      </c>
      <c r="E122" s="10" t="n">
        <v>37.5</v>
      </c>
      <c r="F122" s="9"/>
      <c r="G122" s="9"/>
      <c r="H122" s="9" t="s">
        <v>473</v>
      </c>
      <c r="I122" s="9" t="s">
        <v>597</v>
      </c>
      <c r="J122" s="13" t="n">
        <v>46058</v>
      </c>
      <c r="K122" s="9"/>
      <c r="L122" s="9" t="s">
        <v>598</v>
      </c>
      <c r="M122" s="9" t="s">
        <v>599</v>
      </c>
      <c r="N122" s="9" t="s">
        <v>597</v>
      </c>
      <c r="O122" s="9" t="s">
        <v>66</v>
      </c>
      <c r="P122" s="9" t="s">
        <v>67</v>
      </c>
      <c r="Q122" s="9" t="s">
        <v>477</v>
      </c>
      <c r="R122" s="9" t="s">
        <v>135</v>
      </c>
      <c r="S122" s="11" t="s">
        <v>70</v>
      </c>
      <c r="T122" s="9" t="s">
        <v>477</v>
      </c>
      <c r="U122" s="11" t="s">
        <v>136</v>
      </c>
      <c r="V122" s="11" t="s">
        <v>72</v>
      </c>
      <c r="W122" s="11" t="s">
        <v>727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74</v>
      </c>
    </row>
    <row r="123" customFormat="false" ht="15" hidden="false" customHeight="false" outlineLevel="0" collapsed="false">
      <c r="A123" s="9" t="s">
        <v>728</v>
      </c>
      <c r="B123" s="9" t="s">
        <v>729</v>
      </c>
      <c r="C123" s="9" t="s">
        <v>471</v>
      </c>
      <c r="D123" s="11" t="s">
        <v>730</v>
      </c>
      <c r="E123" s="10" t="n">
        <v>1.1</v>
      </c>
      <c r="F123" s="9"/>
      <c r="G123" s="9"/>
      <c r="H123" s="11" t="s">
        <v>731</v>
      </c>
      <c r="I123" s="9" t="s">
        <v>597</v>
      </c>
      <c r="J123" s="13" t="n">
        <v>46058</v>
      </c>
      <c r="K123" s="9"/>
      <c r="L123" s="9" t="s">
        <v>598</v>
      </c>
      <c r="M123" s="9" t="s">
        <v>599</v>
      </c>
      <c r="N123" s="9" t="s">
        <v>597</v>
      </c>
      <c r="O123" s="9" t="s">
        <v>66</v>
      </c>
      <c r="P123" s="9" t="s">
        <v>67</v>
      </c>
      <c r="Q123" s="9" t="s">
        <v>477</v>
      </c>
      <c r="R123" s="9" t="s">
        <v>135</v>
      </c>
      <c r="S123" s="11" t="s">
        <v>70</v>
      </c>
      <c r="T123" s="9" t="s">
        <v>477</v>
      </c>
      <c r="U123" s="11" t="s">
        <v>136</v>
      </c>
      <c r="V123" s="11" t="s">
        <v>72</v>
      </c>
      <c r="W123" s="11" t="s">
        <v>732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74</v>
      </c>
    </row>
    <row r="124" customFormat="false" ht="15" hidden="false" customHeight="false" outlineLevel="0" collapsed="false">
      <c r="A124" s="9" t="s">
        <v>733</v>
      </c>
      <c r="B124" s="9" t="s">
        <v>734</v>
      </c>
      <c r="C124" s="9" t="s">
        <v>471</v>
      </c>
      <c r="D124" s="9" t="s">
        <v>735</v>
      </c>
      <c r="E124" s="10" t="n">
        <v>10</v>
      </c>
      <c r="F124" s="9"/>
      <c r="G124" s="9"/>
      <c r="H124" s="9" t="s">
        <v>473</v>
      </c>
      <c r="I124" s="9" t="s">
        <v>220</v>
      </c>
      <c r="J124" s="13" t="n">
        <v>46170</v>
      </c>
      <c r="K124" s="9"/>
      <c r="L124" s="9" t="s">
        <v>637</v>
      </c>
      <c r="M124" s="9" t="s">
        <v>638</v>
      </c>
      <c r="N124" s="9" t="s">
        <v>220</v>
      </c>
      <c r="O124" s="9" t="s">
        <v>66</v>
      </c>
      <c r="P124" s="9" t="s">
        <v>67</v>
      </c>
      <c r="Q124" s="9" t="s">
        <v>477</v>
      </c>
      <c r="R124" s="9" t="s">
        <v>135</v>
      </c>
      <c r="S124" s="11" t="s">
        <v>70</v>
      </c>
      <c r="T124" s="9" t="s">
        <v>477</v>
      </c>
      <c r="U124" s="11" t="s">
        <v>136</v>
      </c>
      <c r="V124" s="11" t="s">
        <v>72</v>
      </c>
      <c r="W124" s="11" t="s">
        <v>736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74</v>
      </c>
    </row>
    <row r="125" customFormat="false" ht="15" hidden="false" customHeight="false" outlineLevel="0" collapsed="false">
      <c r="A125" s="9" t="s">
        <v>737</v>
      </c>
      <c r="B125" s="9" t="s">
        <v>738</v>
      </c>
      <c r="C125" s="9" t="s">
        <v>471</v>
      </c>
      <c r="D125" s="9" t="s">
        <v>739</v>
      </c>
      <c r="E125" s="10" t="n">
        <v>50</v>
      </c>
      <c r="F125" s="9"/>
      <c r="G125" s="9"/>
      <c r="H125" s="9" t="s">
        <v>473</v>
      </c>
      <c r="I125" s="9" t="s">
        <v>220</v>
      </c>
      <c r="J125" s="13" t="n">
        <v>46170</v>
      </c>
      <c r="K125" s="9"/>
      <c r="L125" s="9" t="s">
        <v>637</v>
      </c>
      <c r="M125" s="9" t="s">
        <v>638</v>
      </c>
      <c r="N125" s="9" t="s">
        <v>220</v>
      </c>
      <c r="O125" s="9" t="s">
        <v>66</v>
      </c>
      <c r="P125" s="9" t="s">
        <v>67</v>
      </c>
      <c r="Q125" s="9" t="s">
        <v>477</v>
      </c>
      <c r="R125" s="9" t="s">
        <v>135</v>
      </c>
      <c r="S125" s="11" t="s">
        <v>70</v>
      </c>
      <c r="T125" s="9" t="s">
        <v>477</v>
      </c>
      <c r="U125" s="11" t="s">
        <v>136</v>
      </c>
      <c r="V125" s="11" t="s">
        <v>72</v>
      </c>
      <c r="W125" s="11" t="s">
        <v>740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74</v>
      </c>
    </row>
    <row r="126" customFormat="false" ht="15" hidden="false" customHeight="false" outlineLevel="0" collapsed="false">
      <c r="A126" s="9" t="s">
        <v>741</v>
      </c>
      <c r="B126" s="9" t="s">
        <v>742</v>
      </c>
      <c r="C126" s="9" t="s">
        <v>471</v>
      </c>
      <c r="D126" s="9" t="s">
        <v>743</v>
      </c>
      <c r="E126" s="10" t="n">
        <v>2</v>
      </c>
      <c r="F126" s="9"/>
      <c r="G126" s="9"/>
      <c r="H126" s="11" t="s">
        <v>731</v>
      </c>
      <c r="I126" s="9" t="s">
        <v>673</v>
      </c>
      <c r="J126" s="13" t="n">
        <v>46227</v>
      </c>
      <c r="K126" s="9"/>
      <c r="L126" s="9" t="s">
        <v>674</v>
      </c>
      <c r="M126" s="9" t="s">
        <v>675</v>
      </c>
      <c r="N126" s="9" t="s">
        <v>673</v>
      </c>
      <c r="O126" s="9" t="s">
        <v>66</v>
      </c>
      <c r="P126" s="9" t="s">
        <v>67</v>
      </c>
      <c r="Q126" s="9" t="s">
        <v>477</v>
      </c>
      <c r="R126" s="9" t="s">
        <v>135</v>
      </c>
      <c r="S126" s="11" t="s">
        <v>70</v>
      </c>
      <c r="T126" s="9" t="s">
        <v>477</v>
      </c>
      <c r="U126" s="11" t="s">
        <v>136</v>
      </c>
      <c r="V126" s="11" t="s">
        <v>72</v>
      </c>
      <c r="W126" s="11" t="s">
        <v>744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74</v>
      </c>
    </row>
    <row r="127" customFormat="false" ht="15" hidden="false" customHeight="false" outlineLevel="0" collapsed="false">
      <c r="A127" s="9" t="s">
        <v>745</v>
      </c>
      <c r="B127" s="9" t="s">
        <v>746</v>
      </c>
      <c r="C127" s="9" t="s">
        <v>471</v>
      </c>
      <c r="D127" s="9" t="s">
        <v>747</v>
      </c>
      <c r="E127" s="10" t="n">
        <v>8</v>
      </c>
      <c r="F127" s="9"/>
      <c r="G127" s="9"/>
      <c r="H127" s="9" t="s">
        <v>473</v>
      </c>
      <c r="I127" s="9" t="s">
        <v>693</v>
      </c>
      <c r="J127" s="13" t="n">
        <v>46287</v>
      </c>
      <c r="K127" s="9"/>
      <c r="L127" s="9" t="s">
        <v>694</v>
      </c>
      <c r="M127" s="9" t="s">
        <v>695</v>
      </c>
      <c r="N127" s="9" t="s">
        <v>693</v>
      </c>
      <c r="O127" s="9" t="s">
        <v>66</v>
      </c>
      <c r="P127" s="9" t="s">
        <v>67</v>
      </c>
      <c r="Q127" s="9" t="s">
        <v>477</v>
      </c>
      <c r="R127" s="9" t="s">
        <v>135</v>
      </c>
      <c r="S127" s="11" t="s">
        <v>70</v>
      </c>
      <c r="T127" s="9" t="s">
        <v>477</v>
      </c>
      <c r="U127" s="11" t="s">
        <v>136</v>
      </c>
      <c r="V127" s="11" t="s">
        <v>72</v>
      </c>
      <c r="W127" s="11" t="s">
        <v>748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74</v>
      </c>
    </row>
    <row r="128" customFormat="false" ht="15" hidden="false" customHeight="false" outlineLevel="0" collapsed="false">
      <c r="A128" s="9" t="s">
        <v>749</v>
      </c>
      <c r="B128" s="9" t="s">
        <v>750</v>
      </c>
      <c r="C128" s="9" t="s">
        <v>471</v>
      </c>
      <c r="D128" s="9" t="s">
        <v>751</v>
      </c>
      <c r="E128" s="10" t="n">
        <v>40</v>
      </c>
      <c r="F128" s="9"/>
      <c r="G128" s="9"/>
      <c r="H128" s="9" t="s">
        <v>473</v>
      </c>
      <c r="I128" s="9" t="s">
        <v>693</v>
      </c>
      <c r="J128" s="13" t="n">
        <v>46287</v>
      </c>
      <c r="K128" s="9"/>
      <c r="L128" s="9" t="s">
        <v>694</v>
      </c>
      <c r="M128" s="9" t="s">
        <v>695</v>
      </c>
      <c r="N128" s="9" t="s">
        <v>693</v>
      </c>
      <c r="O128" s="9" t="s">
        <v>66</v>
      </c>
      <c r="P128" s="9" t="s">
        <v>67</v>
      </c>
      <c r="Q128" s="9" t="s">
        <v>477</v>
      </c>
      <c r="R128" s="9" t="s">
        <v>135</v>
      </c>
      <c r="S128" s="11" t="s">
        <v>70</v>
      </c>
      <c r="T128" s="9" t="s">
        <v>477</v>
      </c>
      <c r="U128" s="11" t="s">
        <v>136</v>
      </c>
      <c r="V128" s="11" t="s">
        <v>72</v>
      </c>
      <c r="W128" s="11" t="s">
        <v>752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74</v>
      </c>
    </row>
    <row r="129" customFormat="false" ht="15" hidden="false" customHeight="false" outlineLevel="0" collapsed="false">
      <c r="A129" s="9" t="s">
        <v>753</v>
      </c>
      <c r="B129" s="9" t="s">
        <v>754</v>
      </c>
      <c r="C129" s="9" t="s">
        <v>471</v>
      </c>
      <c r="D129" s="9" t="s">
        <v>755</v>
      </c>
      <c r="E129" s="10" t="n">
        <v>0.2</v>
      </c>
      <c r="F129" s="9"/>
      <c r="G129" s="9"/>
      <c r="H129" s="9" t="s">
        <v>473</v>
      </c>
      <c r="I129" s="9" t="s">
        <v>693</v>
      </c>
      <c r="J129" s="13" t="n">
        <v>46287</v>
      </c>
      <c r="K129" s="9"/>
      <c r="L129" s="9" t="s">
        <v>694</v>
      </c>
      <c r="M129" s="9" t="s">
        <v>695</v>
      </c>
      <c r="N129" s="9" t="s">
        <v>693</v>
      </c>
      <c r="O129" s="9" t="s">
        <v>66</v>
      </c>
      <c r="P129" s="9" t="s">
        <v>67</v>
      </c>
      <c r="Q129" s="9" t="s">
        <v>477</v>
      </c>
      <c r="R129" s="9" t="s">
        <v>135</v>
      </c>
      <c r="S129" s="11" t="s">
        <v>70</v>
      </c>
      <c r="T129" s="9" t="s">
        <v>477</v>
      </c>
      <c r="U129" s="11" t="s">
        <v>136</v>
      </c>
      <c r="V129" s="11" t="s">
        <v>72</v>
      </c>
      <c r="W129" s="11" t="s">
        <v>756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74</v>
      </c>
    </row>
    <row r="130" customFormat="false" ht="15" hidden="false" customHeight="false" outlineLevel="0" collapsed="false">
      <c r="A130" s="9" t="s">
        <v>757</v>
      </c>
      <c r="B130" s="9" t="s">
        <v>758</v>
      </c>
      <c r="C130" s="9" t="s">
        <v>471</v>
      </c>
      <c r="D130" s="9" t="s">
        <v>759</v>
      </c>
      <c r="E130" s="10" t="n">
        <v>0.25</v>
      </c>
      <c r="F130" s="9"/>
      <c r="G130" s="9"/>
      <c r="H130" s="9" t="s">
        <v>473</v>
      </c>
      <c r="I130" s="9" t="s">
        <v>683</v>
      </c>
      <c r="J130" s="13" t="n">
        <v>46266</v>
      </c>
      <c r="K130" s="9"/>
      <c r="L130" s="9" t="s">
        <v>684</v>
      </c>
      <c r="M130" s="9" t="s">
        <v>685</v>
      </c>
      <c r="N130" s="9" t="s">
        <v>683</v>
      </c>
      <c r="O130" s="9" t="s">
        <v>66</v>
      </c>
      <c r="P130" s="9" t="s">
        <v>67</v>
      </c>
      <c r="Q130" s="9" t="s">
        <v>477</v>
      </c>
      <c r="R130" s="9" t="s">
        <v>135</v>
      </c>
      <c r="S130" s="11" t="s">
        <v>70</v>
      </c>
      <c r="T130" s="9" t="s">
        <v>477</v>
      </c>
      <c r="U130" s="11" t="s">
        <v>136</v>
      </c>
      <c r="V130" s="11" t="s">
        <v>72</v>
      </c>
      <c r="W130" s="11" t="s">
        <v>760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74</v>
      </c>
    </row>
    <row r="131" customFormat="false" ht="15" hidden="false" customHeight="false" outlineLevel="0" collapsed="false">
      <c r="A131" s="9" t="s">
        <v>761</v>
      </c>
      <c r="B131" s="9" t="s">
        <v>762</v>
      </c>
      <c r="C131" s="9" t="s">
        <v>471</v>
      </c>
      <c r="D131" s="9" t="s">
        <v>763</v>
      </c>
      <c r="E131" s="10" t="n">
        <v>0.2</v>
      </c>
      <c r="F131" s="9"/>
      <c r="G131" s="9"/>
      <c r="H131" s="9" t="s">
        <v>473</v>
      </c>
      <c r="I131" s="9" t="s">
        <v>703</v>
      </c>
      <c r="J131" s="13" t="n">
        <v>46293</v>
      </c>
      <c r="K131" s="9"/>
      <c r="L131" s="9" t="s">
        <v>704</v>
      </c>
      <c r="M131" s="9" t="s">
        <v>705</v>
      </c>
      <c r="N131" s="9" t="s">
        <v>703</v>
      </c>
      <c r="O131" s="9" t="s">
        <v>66</v>
      </c>
      <c r="P131" s="9" t="s">
        <v>67</v>
      </c>
      <c r="Q131" s="9" t="s">
        <v>477</v>
      </c>
      <c r="R131" s="9" t="s">
        <v>135</v>
      </c>
      <c r="S131" s="11" t="s">
        <v>70</v>
      </c>
      <c r="T131" s="9" t="s">
        <v>477</v>
      </c>
      <c r="U131" s="11" t="s">
        <v>136</v>
      </c>
      <c r="V131" s="11" t="s">
        <v>72</v>
      </c>
      <c r="W131" s="11" t="s">
        <v>764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74</v>
      </c>
    </row>
    <row r="132" customFormat="false" ht="15" hidden="false" customHeight="false" outlineLevel="0" collapsed="false">
      <c r="A132" s="9" t="s">
        <v>765</v>
      </c>
      <c r="B132" s="9" t="s">
        <v>766</v>
      </c>
      <c r="C132" s="9" t="s">
        <v>471</v>
      </c>
      <c r="D132" s="9" t="s">
        <v>767</v>
      </c>
      <c r="E132" s="10" t="n">
        <v>0.1</v>
      </c>
      <c r="F132" s="9"/>
      <c r="G132" s="9"/>
      <c r="H132" s="9" t="s">
        <v>473</v>
      </c>
      <c r="I132" s="9" t="s">
        <v>713</v>
      </c>
      <c r="J132" s="13" t="n">
        <v>46302</v>
      </c>
      <c r="K132" s="9"/>
      <c r="L132" s="9" t="s">
        <v>714</v>
      </c>
      <c r="M132" s="9" t="s">
        <v>715</v>
      </c>
      <c r="N132" s="9" t="s">
        <v>713</v>
      </c>
      <c r="O132" s="9" t="s">
        <v>66</v>
      </c>
      <c r="P132" s="9" t="s">
        <v>67</v>
      </c>
      <c r="Q132" s="9" t="s">
        <v>477</v>
      </c>
      <c r="R132" s="9" t="s">
        <v>135</v>
      </c>
      <c r="S132" s="11" t="s">
        <v>70</v>
      </c>
      <c r="T132" s="9" t="s">
        <v>477</v>
      </c>
      <c r="U132" s="11" t="s">
        <v>136</v>
      </c>
      <c r="V132" s="11" t="s">
        <v>72</v>
      </c>
      <c r="W132" s="11" t="s">
        <v>768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74</v>
      </c>
    </row>
    <row r="133" customFormat="false" ht="15" hidden="false" customHeight="false" outlineLevel="0" collapsed="false">
      <c r="A133" s="9" t="s">
        <v>769</v>
      </c>
      <c r="B133" s="9" t="s">
        <v>770</v>
      </c>
      <c r="C133" s="9" t="s">
        <v>471</v>
      </c>
      <c r="D133" s="9" t="s">
        <v>771</v>
      </c>
      <c r="E133" s="10" t="n">
        <v>2.5</v>
      </c>
      <c r="F133" s="9"/>
      <c r="G133" s="9"/>
      <c r="H133" s="9" t="s">
        <v>473</v>
      </c>
      <c r="I133" s="9" t="s">
        <v>713</v>
      </c>
      <c r="J133" s="13" t="n">
        <v>46302</v>
      </c>
      <c r="K133" s="9"/>
      <c r="L133" s="9" t="s">
        <v>772</v>
      </c>
      <c r="M133" s="9" t="s">
        <v>715</v>
      </c>
      <c r="N133" s="9" t="s">
        <v>713</v>
      </c>
      <c r="O133" s="9" t="s">
        <v>66</v>
      </c>
      <c r="P133" s="9" t="s">
        <v>67</v>
      </c>
      <c r="Q133" s="9" t="s">
        <v>477</v>
      </c>
      <c r="R133" s="9" t="s">
        <v>135</v>
      </c>
      <c r="S133" s="11" t="s">
        <v>70</v>
      </c>
      <c r="T133" s="9" t="s">
        <v>477</v>
      </c>
      <c r="U133" s="11" t="s">
        <v>136</v>
      </c>
      <c r="V133" s="11" t="s">
        <v>72</v>
      </c>
      <c r="W133" s="11" t="s">
        <v>773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74</v>
      </c>
    </row>
    <row r="134" customFormat="false" ht="15" hidden="false" customHeight="false" outlineLevel="0" collapsed="false">
      <c r="A134" s="9" t="s">
        <v>774</v>
      </c>
      <c r="B134" s="9" t="s">
        <v>775</v>
      </c>
      <c r="C134" s="9" t="s">
        <v>471</v>
      </c>
      <c r="D134" s="9" t="s">
        <v>776</v>
      </c>
      <c r="E134" s="10" t="n">
        <v>0.5</v>
      </c>
      <c r="F134" s="9"/>
      <c r="G134" s="9"/>
      <c r="H134" s="9" t="s">
        <v>473</v>
      </c>
      <c r="I134" s="9" t="s">
        <v>713</v>
      </c>
      <c r="J134" s="13" t="n">
        <v>46302</v>
      </c>
      <c r="K134" s="9"/>
      <c r="L134" s="9" t="s">
        <v>772</v>
      </c>
      <c r="M134" s="9" t="s">
        <v>715</v>
      </c>
      <c r="N134" s="9" t="s">
        <v>713</v>
      </c>
      <c r="O134" s="9" t="s">
        <v>66</v>
      </c>
      <c r="P134" s="9" t="s">
        <v>67</v>
      </c>
      <c r="Q134" s="9" t="s">
        <v>477</v>
      </c>
      <c r="R134" s="9" t="s">
        <v>135</v>
      </c>
      <c r="S134" s="11" t="s">
        <v>70</v>
      </c>
      <c r="T134" s="9" t="s">
        <v>477</v>
      </c>
      <c r="U134" s="11" t="s">
        <v>136</v>
      </c>
      <c r="V134" s="11" t="s">
        <v>72</v>
      </c>
      <c r="W134" s="11" t="s">
        <v>777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74</v>
      </c>
    </row>
    <row r="135" customFormat="false" ht="15" hidden="false" customHeight="false" outlineLevel="0" collapsed="false">
      <c r="A135" s="9" t="s">
        <v>778</v>
      </c>
      <c r="B135" s="9" t="s">
        <v>779</v>
      </c>
      <c r="C135" s="9" t="s">
        <v>471</v>
      </c>
      <c r="D135" s="9" t="s">
        <v>780</v>
      </c>
      <c r="E135" s="10" t="n">
        <v>2.5</v>
      </c>
      <c r="F135" s="9"/>
      <c r="G135" s="9"/>
      <c r="H135" s="9" t="s">
        <v>473</v>
      </c>
      <c r="I135" s="9" t="s">
        <v>713</v>
      </c>
      <c r="J135" s="13" t="n">
        <v>46302</v>
      </c>
      <c r="K135" s="9"/>
      <c r="L135" s="9" t="s">
        <v>772</v>
      </c>
      <c r="M135" s="9" t="s">
        <v>715</v>
      </c>
      <c r="N135" s="9" t="s">
        <v>713</v>
      </c>
      <c r="O135" s="9" t="s">
        <v>66</v>
      </c>
      <c r="P135" s="9" t="s">
        <v>67</v>
      </c>
      <c r="Q135" s="9" t="s">
        <v>477</v>
      </c>
      <c r="R135" s="9" t="s">
        <v>135</v>
      </c>
      <c r="S135" s="11" t="s">
        <v>70</v>
      </c>
      <c r="T135" s="9" t="s">
        <v>477</v>
      </c>
      <c r="U135" s="11" t="s">
        <v>136</v>
      </c>
      <c r="V135" s="11" t="s">
        <v>72</v>
      </c>
      <c r="W135" s="11" t="s">
        <v>781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74</v>
      </c>
    </row>
    <row r="136" customFormat="false" ht="15" hidden="false" customHeight="false" outlineLevel="0" collapsed="false">
      <c r="A136" s="9" t="s">
        <v>782</v>
      </c>
      <c r="B136" s="9" t="s">
        <v>783</v>
      </c>
      <c r="C136" s="9" t="s">
        <v>471</v>
      </c>
      <c r="D136" s="9" t="s">
        <v>784</v>
      </c>
      <c r="E136" s="10" t="n">
        <v>0.01</v>
      </c>
      <c r="F136" s="9"/>
      <c r="G136" s="9"/>
      <c r="H136" s="9" t="s">
        <v>473</v>
      </c>
      <c r="I136" s="9" t="s">
        <v>713</v>
      </c>
      <c r="J136" s="13" t="n">
        <v>46302</v>
      </c>
      <c r="K136" s="9"/>
      <c r="L136" s="9" t="s">
        <v>772</v>
      </c>
      <c r="M136" s="9" t="s">
        <v>715</v>
      </c>
      <c r="N136" s="9" t="s">
        <v>713</v>
      </c>
      <c r="O136" s="9" t="s">
        <v>66</v>
      </c>
      <c r="P136" s="9" t="s">
        <v>67</v>
      </c>
      <c r="Q136" s="9" t="s">
        <v>477</v>
      </c>
      <c r="R136" s="9" t="s">
        <v>135</v>
      </c>
      <c r="S136" s="11" t="s">
        <v>70</v>
      </c>
      <c r="T136" s="9" t="s">
        <v>477</v>
      </c>
      <c r="U136" s="11" t="s">
        <v>136</v>
      </c>
      <c r="V136" s="11" t="s">
        <v>72</v>
      </c>
      <c r="W136" s="11" t="s">
        <v>785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74</v>
      </c>
    </row>
    <row r="137" customFormat="false" ht="15" hidden="false" customHeight="false" outlineLevel="0" collapsed="false">
      <c r="A137" s="9" t="s">
        <v>786</v>
      </c>
      <c r="B137" s="9" t="s">
        <v>787</v>
      </c>
      <c r="C137" s="9" t="s">
        <v>471</v>
      </c>
      <c r="D137" s="9" t="s">
        <v>788</v>
      </c>
      <c r="E137" s="10" t="n">
        <v>1.25</v>
      </c>
      <c r="F137" s="9"/>
      <c r="G137" s="9"/>
      <c r="H137" s="9" t="s">
        <v>473</v>
      </c>
      <c r="I137" s="9" t="s">
        <v>713</v>
      </c>
      <c r="J137" s="13" t="n">
        <v>46302</v>
      </c>
      <c r="K137" s="9"/>
      <c r="L137" s="9" t="s">
        <v>772</v>
      </c>
      <c r="M137" s="9" t="s">
        <v>715</v>
      </c>
      <c r="N137" s="9" t="s">
        <v>713</v>
      </c>
      <c r="O137" s="9" t="s">
        <v>66</v>
      </c>
      <c r="P137" s="9" t="s">
        <v>67</v>
      </c>
      <c r="Q137" s="9" t="s">
        <v>477</v>
      </c>
      <c r="R137" s="9" t="s">
        <v>135</v>
      </c>
      <c r="S137" s="11" t="s">
        <v>70</v>
      </c>
      <c r="T137" s="9" t="s">
        <v>477</v>
      </c>
      <c r="U137" s="11" t="s">
        <v>136</v>
      </c>
      <c r="V137" s="11" t="s">
        <v>72</v>
      </c>
      <c r="W137" s="11" t="s">
        <v>789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74</v>
      </c>
    </row>
    <row r="138" customFormat="false" ht="15" hidden="false" customHeight="false" outlineLevel="0" collapsed="false">
      <c r="A138" s="9" t="s">
        <v>790</v>
      </c>
      <c r="B138" s="9" t="s">
        <v>791</v>
      </c>
      <c r="C138" s="9" t="s">
        <v>471</v>
      </c>
      <c r="D138" s="9" t="s">
        <v>792</v>
      </c>
      <c r="E138" s="10" t="n">
        <v>0.1</v>
      </c>
      <c r="F138" s="9"/>
      <c r="G138" s="9"/>
      <c r="H138" s="9" t="s">
        <v>473</v>
      </c>
      <c r="I138" s="9" t="s">
        <v>713</v>
      </c>
      <c r="J138" s="13" t="n">
        <v>46302</v>
      </c>
      <c r="K138" s="9"/>
      <c r="L138" s="9" t="s">
        <v>772</v>
      </c>
      <c r="M138" s="9" t="s">
        <v>715</v>
      </c>
      <c r="N138" s="9" t="s">
        <v>713</v>
      </c>
      <c r="O138" s="9" t="s">
        <v>66</v>
      </c>
      <c r="P138" s="9" t="s">
        <v>67</v>
      </c>
      <c r="Q138" s="9" t="s">
        <v>477</v>
      </c>
      <c r="R138" s="9" t="s">
        <v>135</v>
      </c>
      <c r="S138" s="11" t="s">
        <v>70</v>
      </c>
      <c r="T138" s="9" t="s">
        <v>477</v>
      </c>
      <c r="U138" s="11" t="s">
        <v>136</v>
      </c>
      <c r="V138" s="11" t="s">
        <v>72</v>
      </c>
      <c r="W138" s="11" t="s">
        <v>793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74</v>
      </c>
    </row>
    <row r="139" customFormat="false" ht="15" hidden="false" customHeight="false" outlineLevel="0" collapsed="false">
      <c r="A139" s="9" t="s">
        <v>794</v>
      </c>
      <c r="B139" s="9" t="s">
        <v>795</v>
      </c>
      <c r="C139" s="9" t="s">
        <v>471</v>
      </c>
      <c r="D139" s="11" t="s">
        <v>796</v>
      </c>
      <c r="E139" s="10" t="n">
        <v>1.25</v>
      </c>
      <c r="F139" s="9"/>
      <c r="G139" s="9"/>
      <c r="H139" s="11" t="s">
        <v>797</v>
      </c>
      <c r="I139" s="9" t="s">
        <v>213</v>
      </c>
      <c r="J139" s="9"/>
      <c r="K139" s="9"/>
      <c r="L139" s="9" t="s">
        <v>798</v>
      </c>
      <c r="M139" s="9" t="s">
        <v>799</v>
      </c>
      <c r="N139" s="9" t="s">
        <v>800</v>
      </c>
      <c r="O139" s="9" t="s">
        <v>66</v>
      </c>
      <c r="P139" s="9" t="s">
        <v>283</v>
      </c>
      <c r="Q139" s="9"/>
      <c r="R139" s="11" t="s">
        <v>87</v>
      </c>
      <c r="S139" s="11" t="s">
        <v>284</v>
      </c>
      <c r="T139" s="11" t="s">
        <v>285</v>
      </c>
      <c r="U139" s="11" t="s">
        <v>87</v>
      </c>
      <c r="V139" s="11" t="s">
        <v>72</v>
      </c>
      <c r="W139" s="11" t="s">
        <v>801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74</v>
      </c>
    </row>
    <row r="140" customFormat="false" ht="15" hidden="false" customHeight="false" outlineLevel="0" collapsed="false">
      <c r="A140" s="9" t="s">
        <v>802</v>
      </c>
      <c r="B140" s="9" t="s">
        <v>803</v>
      </c>
      <c r="C140" s="9" t="s">
        <v>471</v>
      </c>
      <c r="D140" s="11" t="s">
        <v>804</v>
      </c>
      <c r="E140" s="10" t="n">
        <v>2</v>
      </c>
      <c r="F140" s="9"/>
      <c r="G140" s="9"/>
      <c r="H140" s="11" t="s">
        <v>797</v>
      </c>
      <c r="I140" s="9" t="s">
        <v>213</v>
      </c>
      <c r="J140" s="9"/>
      <c r="K140" s="9"/>
      <c r="L140" s="9" t="s">
        <v>805</v>
      </c>
      <c r="M140" s="9" t="s">
        <v>799</v>
      </c>
      <c r="N140" s="9" t="s">
        <v>800</v>
      </c>
      <c r="O140" s="9" t="s">
        <v>66</v>
      </c>
      <c r="P140" s="9" t="s">
        <v>283</v>
      </c>
      <c r="Q140" s="9"/>
      <c r="R140" s="11" t="s">
        <v>87</v>
      </c>
      <c r="S140" s="11" t="s">
        <v>284</v>
      </c>
      <c r="T140" s="11" t="s">
        <v>285</v>
      </c>
      <c r="U140" s="11" t="s">
        <v>87</v>
      </c>
      <c r="V140" s="11" t="s">
        <v>72</v>
      </c>
      <c r="W140" s="11" t="s">
        <v>806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74</v>
      </c>
    </row>
    <row r="141" customFormat="false" ht="15" hidden="false" customHeight="false" outlineLevel="0" collapsed="false">
      <c r="A141" s="9" t="s">
        <v>807</v>
      </c>
      <c r="B141" s="9" t="s">
        <v>808</v>
      </c>
      <c r="C141" s="9" t="s">
        <v>471</v>
      </c>
      <c r="D141" s="11" t="s">
        <v>809</v>
      </c>
      <c r="E141" s="10" t="n">
        <v>0.1</v>
      </c>
      <c r="F141" s="9"/>
      <c r="G141" s="9"/>
      <c r="H141" s="11" t="s">
        <v>797</v>
      </c>
      <c r="I141" s="9" t="s">
        <v>213</v>
      </c>
      <c r="J141" s="9"/>
      <c r="K141" s="9"/>
      <c r="L141" s="9" t="s">
        <v>805</v>
      </c>
      <c r="M141" s="9" t="s">
        <v>799</v>
      </c>
      <c r="N141" s="9" t="s">
        <v>800</v>
      </c>
      <c r="O141" s="9" t="s">
        <v>66</v>
      </c>
      <c r="P141" s="9" t="s">
        <v>283</v>
      </c>
      <c r="Q141" s="9"/>
      <c r="R141" s="11" t="s">
        <v>87</v>
      </c>
      <c r="S141" s="11" t="s">
        <v>284</v>
      </c>
      <c r="T141" s="11" t="s">
        <v>285</v>
      </c>
      <c r="U141" s="11" t="s">
        <v>87</v>
      </c>
      <c r="V141" s="11" t="s">
        <v>72</v>
      </c>
      <c r="W141" s="11" t="s">
        <v>810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74</v>
      </c>
    </row>
    <row r="142" customFormat="false" ht="15" hidden="false" customHeight="false" outlineLevel="0" collapsed="false">
      <c r="A142" s="9" t="s">
        <v>811</v>
      </c>
      <c r="B142" s="9" t="s">
        <v>812</v>
      </c>
      <c r="C142" s="9" t="s">
        <v>471</v>
      </c>
      <c r="D142" s="9" t="s">
        <v>813</v>
      </c>
      <c r="E142" s="10" t="n">
        <v>0.5</v>
      </c>
      <c r="F142" s="9"/>
      <c r="G142" s="9"/>
      <c r="H142" s="11" t="s">
        <v>814</v>
      </c>
      <c r="I142" s="9" t="s">
        <v>213</v>
      </c>
      <c r="J142" s="9"/>
      <c r="K142" s="9"/>
      <c r="L142" s="9" t="s">
        <v>805</v>
      </c>
      <c r="M142" s="9" t="s">
        <v>799</v>
      </c>
      <c r="N142" s="9" t="s">
        <v>800</v>
      </c>
      <c r="O142" s="9" t="s">
        <v>66</v>
      </c>
      <c r="P142" s="9" t="s">
        <v>283</v>
      </c>
      <c r="Q142" s="9"/>
      <c r="R142" s="11" t="s">
        <v>87</v>
      </c>
      <c r="S142" s="11" t="s">
        <v>284</v>
      </c>
      <c r="T142" s="11" t="s">
        <v>285</v>
      </c>
      <c r="U142" s="11" t="s">
        <v>87</v>
      </c>
      <c r="V142" s="11" t="s">
        <v>72</v>
      </c>
      <c r="W142" s="11" t="s">
        <v>815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74</v>
      </c>
    </row>
    <row r="143" customFormat="false" ht="15" hidden="false" customHeight="false" outlineLevel="0" collapsed="false">
      <c r="A143" s="9" t="s">
        <v>816</v>
      </c>
      <c r="B143" s="9" t="s">
        <v>817</v>
      </c>
      <c r="C143" s="9" t="s">
        <v>471</v>
      </c>
      <c r="D143" s="9" t="s">
        <v>813</v>
      </c>
      <c r="E143" s="10" t="n">
        <v>0.5</v>
      </c>
      <c r="F143" s="9"/>
      <c r="G143" s="9"/>
      <c r="H143" s="11" t="s">
        <v>814</v>
      </c>
      <c r="I143" s="9" t="s">
        <v>217</v>
      </c>
      <c r="J143" s="9"/>
      <c r="K143" s="9"/>
      <c r="L143" s="9" t="s">
        <v>818</v>
      </c>
      <c r="M143" s="9" t="s">
        <v>819</v>
      </c>
      <c r="N143" s="9" t="s">
        <v>820</v>
      </c>
      <c r="O143" s="9" t="s">
        <v>66</v>
      </c>
      <c r="P143" s="9" t="s">
        <v>283</v>
      </c>
      <c r="Q143" s="9"/>
      <c r="R143" s="11" t="s">
        <v>87</v>
      </c>
      <c r="S143" s="11" t="s">
        <v>284</v>
      </c>
      <c r="T143" s="11" t="s">
        <v>285</v>
      </c>
      <c r="U143" s="11" t="s">
        <v>87</v>
      </c>
      <c r="V143" s="11" t="s">
        <v>72</v>
      </c>
      <c r="W143" s="11" t="s">
        <v>821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74</v>
      </c>
    </row>
    <row r="144" customFormat="false" ht="15" hidden="false" customHeight="false" outlineLevel="0" collapsed="false">
      <c r="A144" s="9" t="s">
        <v>822</v>
      </c>
      <c r="B144" s="9" t="s">
        <v>823</v>
      </c>
      <c r="C144" s="9" t="s">
        <v>471</v>
      </c>
      <c r="D144" s="9" t="s">
        <v>824</v>
      </c>
      <c r="E144" s="10" t="n">
        <v>0</v>
      </c>
      <c r="F144" s="9"/>
      <c r="G144" s="9"/>
      <c r="H144" s="11" t="s">
        <v>825</v>
      </c>
      <c r="I144" s="9" t="s">
        <v>213</v>
      </c>
      <c r="J144" s="9"/>
      <c r="K144" s="9"/>
      <c r="L144" s="9" t="s">
        <v>805</v>
      </c>
      <c r="M144" s="9" t="s">
        <v>799</v>
      </c>
      <c r="N144" s="9" t="s">
        <v>800</v>
      </c>
      <c r="O144" s="9" t="s">
        <v>66</v>
      </c>
      <c r="P144" s="9" t="s">
        <v>283</v>
      </c>
      <c r="Q144" s="9"/>
      <c r="R144" s="11" t="s">
        <v>87</v>
      </c>
      <c r="S144" s="11" t="s">
        <v>284</v>
      </c>
      <c r="T144" s="11" t="s">
        <v>285</v>
      </c>
      <c r="U144" s="11" t="s">
        <v>87</v>
      </c>
      <c r="V144" s="11" t="s">
        <v>72</v>
      </c>
      <c r="W144" s="11" t="s">
        <v>826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74</v>
      </c>
    </row>
    <row r="145" customFormat="false" ht="15" hidden="false" customHeight="false" outlineLevel="0" collapsed="false">
      <c r="A145" s="9" t="s">
        <v>827</v>
      </c>
      <c r="B145" s="9" t="s">
        <v>828</v>
      </c>
      <c r="C145" s="9" t="s">
        <v>471</v>
      </c>
      <c r="D145" s="9" t="s">
        <v>829</v>
      </c>
      <c r="E145" s="10" t="n">
        <v>20</v>
      </c>
      <c r="F145" s="9"/>
      <c r="G145" s="9"/>
      <c r="H145" s="9" t="s">
        <v>830</v>
      </c>
      <c r="I145" s="9" t="s">
        <v>831</v>
      </c>
      <c r="J145" s="9"/>
      <c r="K145" s="9"/>
      <c r="L145" s="9" t="s">
        <v>832</v>
      </c>
      <c r="M145" s="9" t="s">
        <v>833</v>
      </c>
      <c r="N145" s="9" t="s">
        <v>831</v>
      </c>
      <c r="O145" s="9" t="s">
        <v>66</v>
      </c>
      <c r="P145" s="9" t="s">
        <v>67</v>
      </c>
      <c r="Q145" s="9" t="s">
        <v>834</v>
      </c>
      <c r="R145" s="11" t="s">
        <v>87</v>
      </c>
      <c r="S145" s="11" t="s">
        <v>70</v>
      </c>
      <c r="T145" s="9" t="s">
        <v>834</v>
      </c>
      <c r="U145" s="11" t="s">
        <v>87</v>
      </c>
      <c r="V145" s="11" t="s">
        <v>72</v>
      </c>
      <c r="W145" s="11" t="s">
        <v>835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74</v>
      </c>
    </row>
    <row r="146" customFormat="false" ht="15" hidden="false" customHeight="false" outlineLevel="0" collapsed="false">
      <c r="A146" s="9" t="s">
        <v>836</v>
      </c>
      <c r="B146" s="9" t="s">
        <v>837</v>
      </c>
      <c r="C146" s="9" t="s">
        <v>471</v>
      </c>
      <c r="D146" s="9" t="s">
        <v>838</v>
      </c>
      <c r="E146" s="10" t="n">
        <v>17</v>
      </c>
      <c r="F146" s="9"/>
      <c r="G146" s="9"/>
      <c r="H146" s="9" t="s">
        <v>830</v>
      </c>
      <c r="I146" s="9" t="s">
        <v>831</v>
      </c>
      <c r="J146" s="9"/>
      <c r="K146" s="9"/>
      <c r="L146" s="9" t="s">
        <v>839</v>
      </c>
      <c r="M146" s="9" t="s">
        <v>833</v>
      </c>
      <c r="N146" s="9" t="s">
        <v>831</v>
      </c>
      <c r="O146" s="9" t="s">
        <v>66</v>
      </c>
      <c r="P146" s="9" t="s">
        <v>67</v>
      </c>
      <c r="Q146" s="9" t="s">
        <v>834</v>
      </c>
      <c r="R146" s="11" t="s">
        <v>87</v>
      </c>
      <c r="S146" s="11" t="s">
        <v>70</v>
      </c>
      <c r="T146" s="9" t="s">
        <v>834</v>
      </c>
      <c r="U146" s="11" t="s">
        <v>87</v>
      </c>
      <c r="V146" s="11" t="s">
        <v>72</v>
      </c>
      <c r="W146" s="11" t="s">
        <v>840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74</v>
      </c>
    </row>
    <row r="147" customFormat="false" ht="15" hidden="false" customHeight="false" outlineLevel="0" collapsed="false">
      <c r="A147" s="9" t="s">
        <v>841</v>
      </c>
      <c r="B147" s="9" t="s">
        <v>842</v>
      </c>
      <c r="C147" s="9" t="s">
        <v>471</v>
      </c>
      <c r="D147" s="9" t="s">
        <v>843</v>
      </c>
      <c r="E147" s="10" t="n">
        <v>100</v>
      </c>
      <c r="F147" s="9"/>
      <c r="G147" s="9"/>
      <c r="H147" s="9" t="s">
        <v>830</v>
      </c>
      <c r="I147" s="9" t="s">
        <v>831</v>
      </c>
      <c r="J147" s="9"/>
      <c r="K147" s="9"/>
      <c r="L147" s="9" t="s">
        <v>839</v>
      </c>
      <c r="M147" s="9" t="s">
        <v>833</v>
      </c>
      <c r="N147" s="9" t="s">
        <v>831</v>
      </c>
      <c r="O147" s="9" t="s">
        <v>66</v>
      </c>
      <c r="P147" s="9" t="s">
        <v>67</v>
      </c>
      <c r="Q147" s="9" t="s">
        <v>834</v>
      </c>
      <c r="R147" s="11" t="s">
        <v>87</v>
      </c>
      <c r="S147" s="11" t="s">
        <v>70</v>
      </c>
      <c r="T147" s="9" t="s">
        <v>834</v>
      </c>
      <c r="U147" s="11" t="s">
        <v>87</v>
      </c>
      <c r="V147" s="11" t="s">
        <v>72</v>
      </c>
      <c r="W147" s="11" t="s">
        <v>844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74</v>
      </c>
    </row>
    <row r="148" customFormat="false" ht="15" hidden="false" customHeight="false" outlineLevel="0" collapsed="false">
      <c r="A148" s="9" t="s">
        <v>845</v>
      </c>
      <c r="B148" s="9" t="s">
        <v>846</v>
      </c>
      <c r="C148" s="9" t="s">
        <v>471</v>
      </c>
      <c r="D148" s="9" t="s">
        <v>847</v>
      </c>
      <c r="E148" s="10" t="n">
        <v>200</v>
      </c>
      <c r="F148" s="9"/>
      <c r="G148" s="9"/>
      <c r="H148" s="9" t="s">
        <v>830</v>
      </c>
      <c r="I148" s="9" t="s">
        <v>831</v>
      </c>
      <c r="J148" s="9"/>
      <c r="K148" s="9"/>
      <c r="L148" s="9" t="s">
        <v>839</v>
      </c>
      <c r="M148" s="9" t="s">
        <v>833</v>
      </c>
      <c r="N148" s="9" t="s">
        <v>831</v>
      </c>
      <c r="O148" s="9" t="s">
        <v>66</v>
      </c>
      <c r="P148" s="9" t="s">
        <v>67</v>
      </c>
      <c r="Q148" s="9" t="s">
        <v>834</v>
      </c>
      <c r="R148" s="11" t="s">
        <v>87</v>
      </c>
      <c r="S148" s="11" t="s">
        <v>70</v>
      </c>
      <c r="T148" s="9" t="s">
        <v>834</v>
      </c>
      <c r="U148" s="11" t="s">
        <v>87</v>
      </c>
      <c r="V148" s="11" t="s">
        <v>72</v>
      </c>
      <c r="W148" s="11" t="s">
        <v>848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74</v>
      </c>
    </row>
    <row r="149" customFormat="false" ht="15" hidden="false" customHeight="false" outlineLevel="0" collapsed="false">
      <c r="A149" s="9" t="s">
        <v>849</v>
      </c>
      <c r="B149" s="9" t="s">
        <v>850</v>
      </c>
      <c r="C149" s="9" t="s">
        <v>471</v>
      </c>
      <c r="D149" s="9" t="s">
        <v>851</v>
      </c>
      <c r="E149" s="10" t="n">
        <v>100</v>
      </c>
      <c r="F149" s="9"/>
      <c r="G149" s="9"/>
      <c r="H149" s="9" t="s">
        <v>830</v>
      </c>
      <c r="I149" s="9" t="s">
        <v>852</v>
      </c>
      <c r="J149" s="9"/>
      <c r="K149" s="9"/>
      <c r="L149" s="9" t="s">
        <v>853</v>
      </c>
      <c r="M149" s="9" t="s">
        <v>854</v>
      </c>
      <c r="N149" s="9" t="s">
        <v>855</v>
      </c>
      <c r="O149" s="9" t="s">
        <v>66</v>
      </c>
      <c r="P149" s="9" t="s">
        <v>67</v>
      </c>
      <c r="Q149" s="9" t="s">
        <v>834</v>
      </c>
      <c r="R149" s="11" t="s">
        <v>87</v>
      </c>
      <c r="S149" s="11" t="s">
        <v>70</v>
      </c>
      <c r="T149" s="9" t="s">
        <v>834</v>
      </c>
      <c r="U149" s="11" t="s">
        <v>87</v>
      </c>
      <c r="V149" s="11" t="s">
        <v>72</v>
      </c>
      <c r="W149" s="11" t="s">
        <v>856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74</v>
      </c>
    </row>
    <row r="150" customFormat="false" ht="15" hidden="false" customHeight="false" outlineLevel="0" collapsed="false">
      <c r="A150" s="9" t="s">
        <v>857</v>
      </c>
      <c r="B150" s="9" t="s">
        <v>858</v>
      </c>
      <c r="C150" s="9" t="s">
        <v>471</v>
      </c>
      <c r="D150" s="9" t="s">
        <v>859</v>
      </c>
      <c r="E150" s="10" t="n">
        <v>20</v>
      </c>
      <c r="F150" s="9"/>
      <c r="G150" s="9"/>
      <c r="H150" s="9" t="s">
        <v>860</v>
      </c>
      <c r="I150" s="9" t="s">
        <v>861</v>
      </c>
      <c r="J150" s="9"/>
      <c r="K150" s="9"/>
      <c r="L150" s="9" t="s">
        <v>862</v>
      </c>
      <c r="M150" s="9" t="s">
        <v>863</v>
      </c>
      <c r="N150" s="9" t="s">
        <v>864</v>
      </c>
      <c r="O150" s="9" t="s">
        <v>66</v>
      </c>
      <c r="P150" s="9" t="s">
        <v>67</v>
      </c>
      <c r="Q150" s="9" t="s">
        <v>834</v>
      </c>
      <c r="R150" s="11" t="s">
        <v>87</v>
      </c>
      <c r="S150" s="11" t="s">
        <v>70</v>
      </c>
      <c r="T150" s="9" t="s">
        <v>834</v>
      </c>
      <c r="U150" s="11" t="s">
        <v>87</v>
      </c>
      <c r="V150" s="11" t="s">
        <v>72</v>
      </c>
      <c r="W150" s="11" t="s">
        <v>865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74</v>
      </c>
    </row>
    <row r="151" customFormat="false" ht="15" hidden="false" customHeight="false" outlineLevel="0" collapsed="false">
      <c r="A151" s="9" t="s">
        <v>866</v>
      </c>
      <c r="B151" s="9" t="s">
        <v>867</v>
      </c>
      <c r="C151" s="9" t="s">
        <v>471</v>
      </c>
      <c r="D151" s="9" t="s">
        <v>868</v>
      </c>
      <c r="E151" s="10" t="n">
        <v>25</v>
      </c>
      <c r="F151" s="9"/>
      <c r="G151" s="9"/>
      <c r="H151" s="9" t="s">
        <v>860</v>
      </c>
      <c r="I151" s="9" t="s">
        <v>861</v>
      </c>
      <c r="J151" s="9"/>
      <c r="K151" s="9"/>
      <c r="L151" s="9" t="s">
        <v>869</v>
      </c>
      <c r="M151" s="9" t="s">
        <v>863</v>
      </c>
      <c r="N151" s="9" t="s">
        <v>864</v>
      </c>
      <c r="O151" s="9" t="s">
        <v>66</v>
      </c>
      <c r="P151" s="9" t="s">
        <v>67</v>
      </c>
      <c r="Q151" s="9" t="s">
        <v>834</v>
      </c>
      <c r="R151" s="11" t="s">
        <v>87</v>
      </c>
      <c r="S151" s="11" t="s">
        <v>70</v>
      </c>
      <c r="T151" s="9" t="s">
        <v>834</v>
      </c>
      <c r="U151" s="11" t="s">
        <v>87</v>
      </c>
      <c r="V151" s="11" t="s">
        <v>72</v>
      </c>
      <c r="W151" s="11" t="s">
        <v>870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74</v>
      </c>
    </row>
    <row r="152" customFormat="false" ht="15" hidden="false" customHeight="false" outlineLevel="0" collapsed="false">
      <c r="A152" s="9" t="s">
        <v>871</v>
      </c>
      <c r="B152" s="9" t="s">
        <v>872</v>
      </c>
      <c r="C152" s="9" t="s">
        <v>471</v>
      </c>
      <c r="D152" s="9" t="s">
        <v>873</v>
      </c>
      <c r="E152" s="10" t="n">
        <v>100</v>
      </c>
      <c r="F152" s="9"/>
      <c r="G152" s="9"/>
      <c r="H152" s="9" t="s">
        <v>860</v>
      </c>
      <c r="I152" s="9" t="s">
        <v>861</v>
      </c>
      <c r="J152" s="9"/>
      <c r="K152" s="9"/>
      <c r="L152" s="9" t="s">
        <v>869</v>
      </c>
      <c r="M152" s="9" t="s">
        <v>863</v>
      </c>
      <c r="N152" s="9" t="s">
        <v>864</v>
      </c>
      <c r="O152" s="9" t="s">
        <v>66</v>
      </c>
      <c r="P152" s="9" t="s">
        <v>67</v>
      </c>
      <c r="Q152" s="9" t="s">
        <v>834</v>
      </c>
      <c r="R152" s="11" t="s">
        <v>87</v>
      </c>
      <c r="S152" s="11" t="s">
        <v>70</v>
      </c>
      <c r="T152" s="9" t="s">
        <v>834</v>
      </c>
      <c r="U152" s="11" t="s">
        <v>87</v>
      </c>
      <c r="V152" s="11" t="s">
        <v>72</v>
      </c>
      <c r="W152" s="11" t="s">
        <v>874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74</v>
      </c>
    </row>
    <row r="153" customFormat="false" ht="15" hidden="false" customHeight="false" outlineLevel="0" collapsed="false">
      <c r="A153" s="9" t="s">
        <v>875</v>
      </c>
      <c r="B153" s="9" t="s">
        <v>876</v>
      </c>
      <c r="C153" s="9" t="s">
        <v>471</v>
      </c>
      <c r="D153" s="9" t="s">
        <v>877</v>
      </c>
      <c r="E153" s="10" t="n">
        <v>125</v>
      </c>
      <c r="F153" s="9"/>
      <c r="G153" s="9"/>
      <c r="H153" s="9" t="s">
        <v>860</v>
      </c>
      <c r="I153" s="9" t="s">
        <v>861</v>
      </c>
      <c r="J153" s="9"/>
      <c r="K153" s="9"/>
      <c r="L153" s="9" t="s">
        <v>869</v>
      </c>
      <c r="M153" s="9" t="s">
        <v>863</v>
      </c>
      <c r="N153" s="9" t="s">
        <v>864</v>
      </c>
      <c r="O153" s="9" t="s">
        <v>66</v>
      </c>
      <c r="P153" s="9" t="s">
        <v>67</v>
      </c>
      <c r="Q153" s="9" t="s">
        <v>834</v>
      </c>
      <c r="R153" s="11" t="s">
        <v>87</v>
      </c>
      <c r="S153" s="11" t="s">
        <v>70</v>
      </c>
      <c r="T153" s="9" t="s">
        <v>834</v>
      </c>
      <c r="U153" s="11" t="s">
        <v>87</v>
      </c>
      <c r="V153" s="11" t="s">
        <v>72</v>
      </c>
      <c r="W153" s="11" t="s">
        <v>878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74</v>
      </c>
    </row>
    <row r="154" customFormat="false" ht="15" hidden="false" customHeight="false" outlineLevel="0" collapsed="false">
      <c r="A154" s="9" t="s">
        <v>879</v>
      </c>
      <c r="B154" s="9" t="s">
        <v>880</v>
      </c>
      <c r="C154" s="9" t="s">
        <v>471</v>
      </c>
      <c r="D154" s="9" t="s">
        <v>881</v>
      </c>
      <c r="E154" s="10" t="n">
        <v>25</v>
      </c>
      <c r="F154" s="9"/>
      <c r="G154" s="9"/>
      <c r="H154" s="9" t="s">
        <v>860</v>
      </c>
      <c r="I154" s="9" t="s">
        <v>217</v>
      </c>
      <c r="J154" s="9"/>
      <c r="K154" s="9"/>
      <c r="L154" s="9" t="s">
        <v>818</v>
      </c>
      <c r="M154" s="9" t="s">
        <v>819</v>
      </c>
      <c r="N154" s="9" t="s">
        <v>820</v>
      </c>
      <c r="O154" s="9" t="s">
        <v>66</v>
      </c>
      <c r="P154" s="9" t="s">
        <v>67</v>
      </c>
      <c r="Q154" s="9" t="s">
        <v>834</v>
      </c>
      <c r="R154" s="11" t="s">
        <v>87</v>
      </c>
      <c r="S154" s="11" t="s">
        <v>70</v>
      </c>
      <c r="T154" s="9" t="s">
        <v>834</v>
      </c>
      <c r="U154" s="11" t="s">
        <v>87</v>
      </c>
      <c r="V154" s="11" t="s">
        <v>72</v>
      </c>
      <c r="W154" s="11" t="s">
        <v>882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74</v>
      </c>
    </row>
    <row r="155" customFormat="false" ht="15" hidden="false" customHeight="false" outlineLevel="0" collapsed="false">
      <c r="A155" s="9" t="s">
        <v>883</v>
      </c>
      <c r="B155" s="9" t="s">
        <v>884</v>
      </c>
      <c r="C155" s="9" t="s">
        <v>471</v>
      </c>
      <c r="D155" s="9" t="s">
        <v>885</v>
      </c>
      <c r="E155" s="10" t="n">
        <v>2</v>
      </c>
      <c r="F155" s="9"/>
      <c r="G155" s="9"/>
      <c r="H155" s="11" t="s">
        <v>886</v>
      </c>
      <c r="I155" s="9" t="s">
        <v>831</v>
      </c>
      <c r="J155" s="9"/>
      <c r="K155" s="9"/>
      <c r="L155" s="9" t="s">
        <v>887</v>
      </c>
      <c r="M155" s="9" t="s">
        <v>888</v>
      </c>
      <c r="N155" s="9" t="s">
        <v>65</v>
      </c>
      <c r="O155" s="9" t="s">
        <v>66</v>
      </c>
      <c r="P155" s="9" t="s">
        <v>67</v>
      </c>
      <c r="Q155" s="9" t="s">
        <v>834</v>
      </c>
      <c r="R155" s="11" t="s">
        <v>87</v>
      </c>
      <c r="S155" s="11" t="s">
        <v>70</v>
      </c>
      <c r="T155" s="9" t="s">
        <v>834</v>
      </c>
      <c r="U155" s="11" t="s">
        <v>87</v>
      </c>
      <c r="V155" s="11" t="s">
        <v>72</v>
      </c>
      <c r="W155" s="11" t="s">
        <v>889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74</v>
      </c>
    </row>
    <row r="156" customFormat="false" ht="15" hidden="false" customHeight="false" outlineLevel="0" collapsed="false">
      <c r="A156" s="9" t="s">
        <v>890</v>
      </c>
      <c r="B156" s="9" t="s">
        <v>891</v>
      </c>
      <c r="C156" s="9" t="s">
        <v>471</v>
      </c>
      <c r="D156" s="9" t="s">
        <v>892</v>
      </c>
      <c r="E156" s="10" t="n">
        <v>20</v>
      </c>
      <c r="F156" s="9"/>
      <c r="G156" s="9"/>
      <c r="H156" s="9" t="s">
        <v>860</v>
      </c>
      <c r="I156" s="9" t="s">
        <v>199</v>
      </c>
      <c r="J156" s="9"/>
      <c r="K156" s="9"/>
      <c r="L156" s="9" t="s">
        <v>893</v>
      </c>
      <c r="M156" s="9" t="s">
        <v>894</v>
      </c>
      <c r="N156" s="9" t="s">
        <v>627</v>
      </c>
      <c r="O156" s="9" t="s">
        <v>66</v>
      </c>
      <c r="P156" s="9" t="s">
        <v>67</v>
      </c>
      <c r="Q156" s="9" t="s">
        <v>895</v>
      </c>
      <c r="R156" s="9" t="s">
        <v>69</v>
      </c>
      <c r="S156" s="11" t="s">
        <v>70</v>
      </c>
      <c r="T156" s="9" t="s">
        <v>895</v>
      </c>
      <c r="U156" s="11" t="s">
        <v>71</v>
      </c>
      <c r="V156" s="11" t="s">
        <v>72</v>
      </c>
      <c r="W156" s="11" t="s">
        <v>896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74</v>
      </c>
    </row>
    <row r="157" customFormat="false" ht="15" hidden="false" customHeight="false" outlineLevel="0" collapsed="false">
      <c r="A157" s="9" t="s">
        <v>897</v>
      </c>
      <c r="B157" s="9" t="s">
        <v>898</v>
      </c>
      <c r="C157" s="9" t="s">
        <v>471</v>
      </c>
      <c r="D157" s="9" t="s">
        <v>899</v>
      </c>
      <c r="E157" s="10" t="n">
        <v>60</v>
      </c>
      <c r="F157" s="10" t="n">
        <v>40</v>
      </c>
      <c r="G157" s="10" t="n">
        <v>60</v>
      </c>
      <c r="H157" s="9" t="s">
        <v>860</v>
      </c>
      <c r="I157" s="9" t="s">
        <v>61</v>
      </c>
      <c r="J157" s="9"/>
      <c r="K157" s="9"/>
      <c r="L157" s="9" t="s">
        <v>900</v>
      </c>
      <c r="M157" s="9" t="s">
        <v>901</v>
      </c>
      <c r="N157" s="9" t="s">
        <v>902</v>
      </c>
      <c r="O157" s="9" t="s">
        <v>66</v>
      </c>
      <c r="P157" s="9" t="s">
        <v>283</v>
      </c>
      <c r="Q157" s="9"/>
      <c r="R157" s="11" t="s">
        <v>87</v>
      </c>
      <c r="S157" s="11" t="s">
        <v>284</v>
      </c>
      <c r="T157" s="11" t="s">
        <v>285</v>
      </c>
      <c r="U157" s="11" t="s">
        <v>87</v>
      </c>
      <c r="V157" s="11" t="s">
        <v>72</v>
      </c>
      <c r="W157" s="11" t="s">
        <v>903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74</v>
      </c>
    </row>
    <row r="158" customFormat="false" ht="15" hidden="false" customHeight="false" outlineLevel="0" collapsed="false">
      <c r="A158" s="9" t="s">
        <v>904</v>
      </c>
      <c r="B158" s="9" t="s">
        <v>905</v>
      </c>
      <c r="C158" s="9" t="s">
        <v>471</v>
      </c>
      <c r="D158" s="11" t="s">
        <v>906</v>
      </c>
      <c r="E158" s="9"/>
      <c r="F158" s="9"/>
      <c r="G158" s="9"/>
      <c r="H158" s="11" t="s">
        <v>265</v>
      </c>
      <c r="I158" s="9" t="s">
        <v>907</v>
      </c>
      <c r="J158" s="13" t="n">
        <v>46116</v>
      </c>
      <c r="K158" s="9"/>
      <c r="L158" s="9" t="s">
        <v>908</v>
      </c>
      <c r="M158" s="9" t="s">
        <v>909</v>
      </c>
      <c r="N158" s="9" t="s">
        <v>910</v>
      </c>
      <c r="O158" s="9" t="s">
        <v>66</v>
      </c>
      <c r="P158" s="9" t="s">
        <v>67</v>
      </c>
      <c r="Q158" s="9" t="s">
        <v>895</v>
      </c>
      <c r="R158" s="9" t="s">
        <v>69</v>
      </c>
      <c r="S158" s="11" t="s">
        <v>70</v>
      </c>
      <c r="T158" s="9" t="s">
        <v>895</v>
      </c>
      <c r="U158" s="11" t="s">
        <v>71</v>
      </c>
      <c r="V158" s="11" t="s">
        <v>72</v>
      </c>
      <c r="W158" s="11" t="s">
        <v>911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74</v>
      </c>
    </row>
    <row r="159" customFormat="false" ht="15" hidden="false" customHeight="false" outlineLevel="0" collapsed="false">
      <c r="A159" s="9" t="s">
        <v>912</v>
      </c>
      <c r="B159" s="9" t="s">
        <v>913</v>
      </c>
      <c r="C159" s="9" t="s">
        <v>471</v>
      </c>
      <c r="D159" s="11" t="s">
        <v>914</v>
      </c>
      <c r="E159" s="10" t="n">
        <v>2</v>
      </c>
      <c r="F159" s="9"/>
      <c r="G159" s="9"/>
      <c r="H159" s="11" t="s">
        <v>731</v>
      </c>
      <c r="I159" s="9" t="s">
        <v>915</v>
      </c>
      <c r="J159" s="13" t="n">
        <v>46148</v>
      </c>
      <c r="K159" s="9"/>
      <c r="L159" s="9" t="s">
        <v>839</v>
      </c>
      <c r="M159" s="9" t="s">
        <v>833</v>
      </c>
      <c r="N159" s="9" t="s">
        <v>831</v>
      </c>
      <c r="O159" s="9" t="s">
        <v>66</v>
      </c>
      <c r="P159" s="9" t="s">
        <v>67</v>
      </c>
      <c r="Q159" s="9" t="s">
        <v>834</v>
      </c>
      <c r="R159" s="11" t="s">
        <v>87</v>
      </c>
      <c r="S159" s="11" t="s">
        <v>70</v>
      </c>
      <c r="T159" s="9" t="s">
        <v>834</v>
      </c>
      <c r="U159" s="11" t="s">
        <v>87</v>
      </c>
      <c r="V159" s="11" t="s">
        <v>72</v>
      </c>
      <c r="W159" s="11" t="s">
        <v>916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74</v>
      </c>
    </row>
    <row r="160" customFormat="false" ht="15" hidden="false" customHeight="false" outlineLevel="0" collapsed="false">
      <c r="A160" s="9" t="s">
        <v>917</v>
      </c>
      <c r="B160" s="9" t="s">
        <v>918</v>
      </c>
      <c r="C160" s="9" t="s">
        <v>471</v>
      </c>
      <c r="D160" s="11" t="s">
        <v>919</v>
      </c>
      <c r="E160" s="9"/>
      <c r="F160" s="9"/>
      <c r="G160" s="9"/>
      <c r="H160" s="11" t="s">
        <v>265</v>
      </c>
      <c r="I160" s="9" t="s">
        <v>646</v>
      </c>
      <c r="J160" s="13" t="n">
        <v>46182</v>
      </c>
      <c r="K160" s="9"/>
      <c r="L160" s="9" t="s">
        <v>647</v>
      </c>
      <c r="M160" s="9" t="s">
        <v>648</v>
      </c>
      <c r="N160" s="9" t="s">
        <v>646</v>
      </c>
      <c r="O160" s="9" t="s">
        <v>66</v>
      </c>
      <c r="P160" s="9" t="s">
        <v>67</v>
      </c>
      <c r="Q160" s="9" t="s">
        <v>418</v>
      </c>
      <c r="R160" s="9" t="s">
        <v>135</v>
      </c>
      <c r="S160" s="11" t="s">
        <v>70</v>
      </c>
      <c r="T160" s="9" t="s">
        <v>418</v>
      </c>
      <c r="U160" s="11" t="s">
        <v>136</v>
      </c>
      <c r="V160" s="11" t="s">
        <v>72</v>
      </c>
      <c r="W160" s="11" t="s">
        <v>920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74</v>
      </c>
    </row>
    <row r="161" customFormat="false" ht="15" hidden="false" customHeight="false" outlineLevel="0" collapsed="false">
      <c r="A161" s="9" t="s">
        <v>921</v>
      </c>
      <c r="B161" s="9" t="s">
        <v>922</v>
      </c>
      <c r="C161" s="9" t="s">
        <v>471</v>
      </c>
      <c r="D161" s="11" t="s">
        <v>923</v>
      </c>
      <c r="E161" s="9" t="n">
        <f aca="false">SRC_ANT_089/SRC_ANT_079-1</f>
        <v>-0.666666666666667</v>
      </c>
      <c r="F161" s="9"/>
      <c r="G161" s="9"/>
      <c r="H161" s="11" t="s">
        <v>924</v>
      </c>
      <c r="I161" s="9" t="s">
        <v>587</v>
      </c>
      <c r="J161" s="13" t="n">
        <v>45985</v>
      </c>
      <c r="K161" s="9"/>
      <c r="L161" s="9" t="s">
        <v>588</v>
      </c>
      <c r="M161" s="9" t="s">
        <v>589</v>
      </c>
      <c r="N161" s="9" t="s">
        <v>587</v>
      </c>
      <c r="O161" s="9" t="s">
        <v>66</v>
      </c>
      <c r="P161" s="9" t="s">
        <v>86</v>
      </c>
      <c r="Q161" s="9"/>
      <c r="R161" s="11" t="s">
        <v>87</v>
      </c>
      <c r="S161" s="11" t="s">
        <v>88</v>
      </c>
      <c r="T161" s="11" t="s">
        <v>89</v>
      </c>
      <c r="U161" s="11" t="s">
        <v>88</v>
      </c>
      <c r="V161" s="9" t="s">
        <v>90</v>
      </c>
      <c r="W161" s="11" t="s">
        <v>925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74</v>
      </c>
    </row>
    <row r="162" customFormat="false" ht="15" hidden="false" customHeight="false" outlineLevel="0" collapsed="false">
      <c r="A162" s="9" t="s">
        <v>926</v>
      </c>
      <c r="B162" s="9" t="s">
        <v>927</v>
      </c>
      <c r="C162" s="9" t="s">
        <v>471</v>
      </c>
      <c r="D162" s="11" t="s">
        <v>928</v>
      </c>
      <c r="E162" s="10" t="n">
        <v>-0.2</v>
      </c>
      <c r="F162" s="9"/>
      <c r="G162" s="9"/>
      <c r="H162" s="11" t="s">
        <v>924</v>
      </c>
      <c r="I162" s="9" t="s">
        <v>693</v>
      </c>
      <c r="J162" s="13" t="n">
        <v>46287</v>
      </c>
      <c r="K162" s="9"/>
      <c r="L162" s="9" t="s">
        <v>694</v>
      </c>
      <c r="M162" s="9" t="s">
        <v>695</v>
      </c>
      <c r="N162" s="9" t="s">
        <v>693</v>
      </c>
      <c r="O162" s="9" t="s">
        <v>66</v>
      </c>
      <c r="P162" s="9" t="s">
        <v>67</v>
      </c>
      <c r="Q162" s="9" t="s">
        <v>418</v>
      </c>
      <c r="R162" s="9" t="s">
        <v>135</v>
      </c>
      <c r="S162" s="11" t="s">
        <v>70</v>
      </c>
      <c r="T162" s="9" t="s">
        <v>418</v>
      </c>
      <c r="U162" s="11" t="s">
        <v>136</v>
      </c>
      <c r="V162" s="11" t="s">
        <v>72</v>
      </c>
      <c r="W162" s="11" t="s">
        <v>929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74</v>
      </c>
    </row>
    <row r="163" customFormat="false" ht="15" hidden="false" customHeight="false" outlineLevel="0" collapsed="false">
      <c r="A163" s="9" t="s">
        <v>930</v>
      </c>
      <c r="B163" s="9" t="s">
        <v>931</v>
      </c>
      <c r="C163" s="9" t="s">
        <v>471</v>
      </c>
      <c r="D163" s="11" t="s">
        <v>932</v>
      </c>
      <c r="E163" s="10" t="n">
        <v>-0.9</v>
      </c>
      <c r="F163" s="9"/>
      <c r="G163" s="9"/>
      <c r="H163" s="11" t="s">
        <v>924</v>
      </c>
      <c r="I163" s="9" t="s">
        <v>713</v>
      </c>
      <c r="J163" s="13" t="n">
        <v>46302</v>
      </c>
      <c r="K163" s="9"/>
      <c r="L163" s="9" t="s">
        <v>714</v>
      </c>
      <c r="M163" s="9" t="s">
        <v>715</v>
      </c>
      <c r="N163" s="9" t="s">
        <v>713</v>
      </c>
      <c r="O163" s="9" t="s">
        <v>66</v>
      </c>
      <c r="P163" s="9" t="s">
        <v>67</v>
      </c>
      <c r="Q163" s="9" t="s">
        <v>418</v>
      </c>
      <c r="R163" s="9" t="s">
        <v>135</v>
      </c>
      <c r="S163" s="11" t="s">
        <v>70</v>
      </c>
      <c r="T163" s="9" t="s">
        <v>418</v>
      </c>
      <c r="U163" s="11" t="s">
        <v>136</v>
      </c>
      <c r="V163" s="11" t="s">
        <v>72</v>
      </c>
      <c r="W163" s="11" t="s">
        <v>933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74</v>
      </c>
    </row>
    <row r="164" customFormat="false" ht="15" hidden="false" customHeight="false" outlineLevel="0" collapsed="false">
      <c r="A164" s="9" t="s">
        <v>934</v>
      </c>
      <c r="B164" s="9" t="s">
        <v>935</v>
      </c>
      <c r="C164" s="9" t="s">
        <v>471</v>
      </c>
      <c r="D164" s="11" t="s">
        <v>936</v>
      </c>
      <c r="E164" s="10" t="n">
        <v>-0.333</v>
      </c>
      <c r="F164" s="9"/>
      <c r="G164" s="9"/>
      <c r="H164" s="11" t="s">
        <v>924</v>
      </c>
      <c r="I164" s="9" t="s">
        <v>449</v>
      </c>
      <c r="J164" s="9"/>
      <c r="K164" s="9"/>
      <c r="L164" s="9" t="s">
        <v>937</v>
      </c>
      <c r="M164" s="9" t="s">
        <v>665</v>
      </c>
      <c r="N164" s="9" t="s">
        <v>938</v>
      </c>
      <c r="O164" s="9" t="s">
        <v>66</v>
      </c>
      <c r="P164" s="9" t="s">
        <v>67</v>
      </c>
      <c r="Q164" s="9" t="s">
        <v>418</v>
      </c>
      <c r="R164" s="9" t="s">
        <v>135</v>
      </c>
      <c r="S164" s="11" t="s">
        <v>70</v>
      </c>
      <c r="T164" s="9" t="s">
        <v>418</v>
      </c>
      <c r="U164" s="11" t="s">
        <v>136</v>
      </c>
      <c r="V164" s="11" t="s">
        <v>72</v>
      </c>
      <c r="W164" s="11" t="s">
        <v>939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74</v>
      </c>
    </row>
    <row r="165" customFormat="false" ht="15" hidden="false" customHeight="false" outlineLevel="0" collapsed="false">
      <c r="A165" s="9" t="s">
        <v>940</v>
      </c>
      <c r="B165" s="9" t="s">
        <v>941</v>
      </c>
      <c r="C165" s="9" t="s">
        <v>942</v>
      </c>
      <c r="D165" s="11" t="s">
        <v>943</v>
      </c>
      <c r="E165" s="10" t="n">
        <v>300000</v>
      </c>
      <c r="F165" s="9"/>
      <c r="G165" s="9"/>
      <c r="H165" s="11" t="s">
        <v>944</v>
      </c>
      <c r="I165" s="9" t="s">
        <v>176</v>
      </c>
      <c r="J165" s="9"/>
      <c r="K165" s="9"/>
      <c r="L165" s="9" t="s">
        <v>417</v>
      </c>
      <c r="M165" s="9" t="s">
        <v>132</v>
      </c>
      <c r="N165" s="9" t="s">
        <v>133</v>
      </c>
      <c r="O165" s="9" t="s">
        <v>66</v>
      </c>
      <c r="P165" s="9" t="s">
        <v>67</v>
      </c>
      <c r="Q165" s="9" t="s">
        <v>418</v>
      </c>
      <c r="R165" s="9" t="s">
        <v>135</v>
      </c>
      <c r="S165" s="11" t="s">
        <v>70</v>
      </c>
      <c r="T165" s="9" t="s">
        <v>418</v>
      </c>
      <c r="U165" s="11" t="s">
        <v>136</v>
      </c>
      <c r="V165" s="11" t="s">
        <v>72</v>
      </c>
      <c r="W165" s="11" t="s">
        <v>945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74</v>
      </c>
    </row>
    <row r="166" customFormat="false" ht="15" hidden="false" customHeight="false" outlineLevel="0" collapsed="false">
      <c r="A166" s="9" t="s">
        <v>946</v>
      </c>
      <c r="B166" s="9" t="s">
        <v>947</v>
      </c>
      <c r="C166" s="9" t="s">
        <v>942</v>
      </c>
      <c r="D166" s="11" t="s">
        <v>943</v>
      </c>
      <c r="E166" s="10" t="n">
        <v>300000</v>
      </c>
      <c r="F166" s="9"/>
      <c r="G166" s="9"/>
      <c r="H166" s="11" t="s">
        <v>944</v>
      </c>
      <c r="I166" s="9" t="s">
        <v>180</v>
      </c>
      <c r="J166" s="9"/>
      <c r="K166" s="9"/>
      <c r="L166" s="9" t="s">
        <v>948</v>
      </c>
      <c r="M166" s="9" t="s">
        <v>182</v>
      </c>
      <c r="N166" s="9" t="s">
        <v>183</v>
      </c>
      <c r="O166" s="9" t="s">
        <v>66</v>
      </c>
      <c r="P166" s="9" t="s">
        <v>67</v>
      </c>
      <c r="Q166" s="9" t="s">
        <v>418</v>
      </c>
      <c r="R166" s="9" t="s">
        <v>69</v>
      </c>
      <c r="S166" s="11" t="s">
        <v>70</v>
      </c>
      <c r="T166" s="9" t="s">
        <v>418</v>
      </c>
      <c r="U166" s="11" t="s">
        <v>71</v>
      </c>
      <c r="V166" s="11" t="s">
        <v>72</v>
      </c>
      <c r="W166" s="11" t="s">
        <v>949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74</v>
      </c>
    </row>
    <row r="167" customFormat="false" ht="15" hidden="false" customHeight="false" outlineLevel="0" collapsed="false">
      <c r="A167" s="9" t="s">
        <v>950</v>
      </c>
      <c r="B167" s="9" t="s">
        <v>951</v>
      </c>
      <c r="C167" s="9" t="s">
        <v>942</v>
      </c>
      <c r="D167" s="11" t="s">
        <v>952</v>
      </c>
      <c r="E167" s="10" t="n">
        <v>7</v>
      </c>
      <c r="F167" s="9"/>
      <c r="G167" s="9"/>
      <c r="H167" s="11" t="s">
        <v>953</v>
      </c>
      <c r="I167" s="9" t="s">
        <v>176</v>
      </c>
      <c r="J167" s="9"/>
      <c r="K167" s="9"/>
      <c r="L167" s="9" t="s">
        <v>417</v>
      </c>
      <c r="M167" s="9" t="s">
        <v>132</v>
      </c>
      <c r="N167" s="9" t="s">
        <v>133</v>
      </c>
      <c r="O167" s="9" t="s">
        <v>66</v>
      </c>
      <c r="P167" s="9" t="s">
        <v>67</v>
      </c>
      <c r="Q167" s="9" t="s">
        <v>418</v>
      </c>
      <c r="R167" s="9" t="s">
        <v>135</v>
      </c>
      <c r="S167" s="11" t="s">
        <v>70</v>
      </c>
      <c r="T167" s="9" t="s">
        <v>418</v>
      </c>
      <c r="U167" s="11" t="s">
        <v>136</v>
      </c>
      <c r="V167" s="11" t="s">
        <v>72</v>
      </c>
      <c r="W167" s="11" t="s">
        <v>954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74</v>
      </c>
    </row>
    <row r="168" customFormat="false" ht="15" hidden="false" customHeight="false" outlineLevel="0" collapsed="false">
      <c r="A168" s="9" t="s">
        <v>955</v>
      </c>
      <c r="B168" s="9" t="s">
        <v>956</v>
      </c>
      <c r="C168" s="9" t="s">
        <v>942</v>
      </c>
      <c r="D168" s="11" t="s">
        <v>952</v>
      </c>
      <c r="E168" s="10" t="n">
        <v>7</v>
      </c>
      <c r="F168" s="9"/>
      <c r="G168" s="9"/>
      <c r="H168" s="11" t="s">
        <v>953</v>
      </c>
      <c r="I168" s="9" t="s">
        <v>199</v>
      </c>
      <c r="J168" s="9"/>
      <c r="K168" s="9"/>
      <c r="L168" s="9" t="s">
        <v>432</v>
      </c>
      <c r="M168" s="9" t="s">
        <v>201</v>
      </c>
      <c r="N168" s="9" t="s">
        <v>202</v>
      </c>
      <c r="O168" s="9" t="s">
        <v>66</v>
      </c>
      <c r="P168" s="9" t="s">
        <v>67</v>
      </c>
      <c r="Q168" s="9" t="s">
        <v>418</v>
      </c>
      <c r="R168" s="9" t="s">
        <v>135</v>
      </c>
      <c r="S168" s="11" t="s">
        <v>70</v>
      </c>
      <c r="T168" s="9" t="s">
        <v>418</v>
      </c>
      <c r="U168" s="11" t="s">
        <v>136</v>
      </c>
      <c r="V168" s="11" t="s">
        <v>72</v>
      </c>
      <c r="W168" s="11" t="s">
        <v>957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74</v>
      </c>
    </row>
    <row r="169" customFormat="false" ht="15" hidden="false" customHeight="false" outlineLevel="0" collapsed="false">
      <c r="A169" s="9" t="s">
        <v>958</v>
      </c>
      <c r="B169" s="9" t="s">
        <v>959</v>
      </c>
      <c r="C169" s="9" t="s">
        <v>942</v>
      </c>
      <c r="D169" s="11" t="s">
        <v>960</v>
      </c>
      <c r="E169" s="10" t="n">
        <v>500</v>
      </c>
      <c r="F169" s="9"/>
      <c r="G169" s="9"/>
      <c r="H169" s="11" t="s">
        <v>944</v>
      </c>
      <c r="I169" s="9" t="s">
        <v>199</v>
      </c>
      <c r="J169" s="9"/>
      <c r="K169" s="9"/>
      <c r="L169" s="9" t="s">
        <v>432</v>
      </c>
      <c r="M169" s="9" t="s">
        <v>201</v>
      </c>
      <c r="N169" s="9" t="s">
        <v>202</v>
      </c>
      <c r="O169" s="9" t="s">
        <v>66</v>
      </c>
      <c r="P169" s="9" t="s">
        <v>67</v>
      </c>
      <c r="Q169" s="9" t="s">
        <v>418</v>
      </c>
      <c r="R169" s="9" t="s">
        <v>135</v>
      </c>
      <c r="S169" s="11" t="s">
        <v>70</v>
      </c>
      <c r="T169" s="9" t="s">
        <v>418</v>
      </c>
      <c r="U169" s="11" t="s">
        <v>136</v>
      </c>
      <c r="V169" s="11" t="s">
        <v>72</v>
      </c>
      <c r="W169" s="11" t="s">
        <v>961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74</v>
      </c>
    </row>
    <row r="170" customFormat="false" ht="15" hidden="false" customHeight="false" outlineLevel="0" collapsed="false">
      <c r="A170" s="9" t="s">
        <v>962</v>
      </c>
      <c r="B170" s="9" t="s">
        <v>963</v>
      </c>
      <c r="C170" s="9" t="s">
        <v>942</v>
      </c>
      <c r="D170" s="11" t="s">
        <v>960</v>
      </c>
      <c r="E170" s="10" t="n">
        <v>12</v>
      </c>
      <c r="F170" s="9"/>
      <c r="G170" s="9"/>
      <c r="H170" s="11" t="s">
        <v>944</v>
      </c>
      <c r="I170" s="9" t="s">
        <v>964</v>
      </c>
      <c r="J170" s="9"/>
      <c r="K170" s="9"/>
      <c r="L170" s="9" t="s">
        <v>432</v>
      </c>
      <c r="M170" s="9" t="s">
        <v>201</v>
      </c>
      <c r="N170" s="9" t="s">
        <v>202</v>
      </c>
      <c r="O170" s="9" t="s">
        <v>66</v>
      </c>
      <c r="P170" s="9" t="s">
        <v>67</v>
      </c>
      <c r="Q170" s="9" t="s">
        <v>418</v>
      </c>
      <c r="R170" s="9" t="s">
        <v>135</v>
      </c>
      <c r="S170" s="11" t="s">
        <v>70</v>
      </c>
      <c r="T170" s="9" t="s">
        <v>418</v>
      </c>
      <c r="U170" s="11" t="s">
        <v>136</v>
      </c>
      <c r="V170" s="11" t="s">
        <v>72</v>
      </c>
      <c r="W170" s="11" t="s">
        <v>965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74</v>
      </c>
    </row>
    <row r="171" customFormat="false" ht="15" hidden="false" customHeight="false" outlineLevel="0" collapsed="false">
      <c r="A171" s="9" t="s">
        <v>966</v>
      </c>
      <c r="B171" s="9" t="s">
        <v>967</v>
      </c>
      <c r="C171" s="9" t="s">
        <v>942</v>
      </c>
      <c r="D171" s="11" t="s">
        <v>960</v>
      </c>
      <c r="E171" s="10" t="n">
        <v>1000</v>
      </c>
      <c r="F171" s="9"/>
      <c r="G171" s="9"/>
      <c r="H171" s="11" t="s">
        <v>944</v>
      </c>
      <c r="I171" s="9" t="s">
        <v>213</v>
      </c>
      <c r="J171" s="9"/>
      <c r="K171" s="9"/>
      <c r="L171" s="9" t="s">
        <v>189</v>
      </c>
      <c r="M171" s="9" t="s">
        <v>190</v>
      </c>
      <c r="N171" s="9" t="s">
        <v>191</v>
      </c>
      <c r="O171" s="9" t="s">
        <v>66</v>
      </c>
      <c r="P171" s="9" t="s">
        <v>67</v>
      </c>
      <c r="Q171" s="9" t="s">
        <v>418</v>
      </c>
      <c r="R171" s="9" t="s">
        <v>135</v>
      </c>
      <c r="S171" s="11" t="s">
        <v>70</v>
      </c>
      <c r="T171" s="9" t="s">
        <v>418</v>
      </c>
      <c r="U171" s="11" t="s">
        <v>136</v>
      </c>
      <c r="V171" s="11" t="s">
        <v>72</v>
      </c>
      <c r="W171" s="11" t="s">
        <v>968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74</v>
      </c>
    </row>
    <row r="172" customFormat="false" ht="15" hidden="false" customHeight="false" outlineLevel="0" collapsed="false">
      <c r="A172" s="9" t="s">
        <v>969</v>
      </c>
      <c r="B172" s="9" t="s">
        <v>970</v>
      </c>
      <c r="C172" s="9" t="s">
        <v>942</v>
      </c>
      <c r="D172" s="11" t="s">
        <v>971</v>
      </c>
      <c r="E172" s="10" t="n">
        <v>100000</v>
      </c>
      <c r="F172" s="9"/>
      <c r="G172" s="9"/>
      <c r="H172" s="11" t="s">
        <v>944</v>
      </c>
      <c r="I172" s="9" t="s">
        <v>213</v>
      </c>
      <c r="J172" s="9"/>
      <c r="K172" s="9"/>
      <c r="L172" s="9" t="s">
        <v>972</v>
      </c>
      <c r="M172" s="9" t="s">
        <v>973</v>
      </c>
      <c r="N172" s="9" t="s">
        <v>974</v>
      </c>
      <c r="O172" s="9" t="s">
        <v>66</v>
      </c>
      <c r="P172" s="9" t="s">
        <v>67</v>
      </c>
      <c r="Q172" s="9" t="s">
        <v>418</v>
      </c>
      <c r="R172" s="9" t="s">
        <v>135</v>
      </c>
      <c r="S172" s="11" t="s">
        <v>70</v>
      </c>
      <c r="T172" s="9" t="s">
        <v>418</v>
      </c>
      <c r="U172" s="11" t="s">
        <v>136</v>
      </c>
      <c r="V172" s="11" t="s">
        <v>72</v>
      </c>
      <c r="W172" s="11" t="s">
        <v>975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74</v>
      </c>
    </row>
    <row r="173" customFormat="false" ht="15" hidden="false" customHeight="false" outlineLevel="0" collapsed="false">
      <c r="A173" s="9" t="s">
        <v>976</v>
      </c>
      <c r="B173" s="9" t="s">
        <v>977</v>
      </c>
      <c r="C173" s="9" t="s">
        <v>942</v>
      </c>
      <c r="D173" s="11" t="s">
        <v>978</v>
      </c>
      <c r="E173" s="10" t="n">
        <v>2</v>
      </c>
      <c r="F173" s="10" t="n">
        <v>2</v>
      </c>
      <c r="G173" s="9"/>
      <c r="H173" s="11" t="s">
        <v>731</v>
      </c>
      <c r="I173" s="9" t="s">
        <v>979</v>
      </c>
      <c r="J173" s="9"/>
      <c r="K173" s="9"/>
      <c r="L173" s="9" t="s">
        <v>980</v>
      </c>
      <c r="M173" s="9" t="s">
        <v>981</v>
      </c>
      <c r="N173" s="9" t="s">
        <v>982</v>
      </c>
      <c r="O173" s="9" t="s">
        <v>66</v>
      </c>
      <c r="P173" s="9" t="s">
        <v>67</v>
      </c>
      <c r="Q173" s="9" t="s">
        <v>418</v>
      </c>
      <c r="R173" s="9" t="s">
        <v>69</v>
      </c>
      <c r="S173" s="11" t="s">
        <v>70</v>
      </c>
      <c r="T173" s="9" t="s">
        <v>418</v>
      </c>
      <c r="U173" s="11" t="s">
        <v>71</v>
      </c>
      <c r="V173" s="11" t="s">
        <v>72</v>
      </c>
      <c r="W173" s="11" t="s">
        <v>983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74</v>
      </c>
    </row>
    <row r="174" customFormat="false" ht="15" hidden="false" customHeight="false" outlineLevel="0" collapsed="false">
      <c r="A174" s="9" t="s">
        <v>984</v>
      </c>
      <c r="B174" s="9" t="s">
        <v>985</v>
      </c>
      <c r="C174" s="9" t="s">
        <v>942</v>
      </c>
      <c r="D174" s="9" t="s">
        <v>986</v>
      </c>
      <c r="E174" s="9"/>
      <c r="F174" s="10" t="n">
        <v>18</v>
      </c>
      <c r="G174" s="10" t="n">
        <v>30</v>
      </c>
      <c r="H174" s="11" t="s">
        <v>987</v>
      </c>
      <c r="I174" s="9" t="s">
        <v>979</v>
      </c>
      <c r="J174" s="9"/>
      <c r="K174" s="9"/>
      <c r="L174" s="9" t="s">
        <v>988</v>
      </c>
      <c r="M174" s="9" t="s">
        <v>981</v>
      </c>
      <c r="N174" s="9" t="s">
        <v>982</v>
      </c>
      <c r="O174" s="9" t="s">
        <v>66</v>
      </c>
      <c r="P174" s="9" t="s">
        <v>283</v>
      </c>
      <c r="Q174" s="9"/>
      <c r="R174" s="9" t="s">
        <v>69</v>
      </c>
      <c r="S174" s="11" t="s">
        <v>284</v>
      </c>
      <c r="T174" s="11" t="s">
        <v>285</v>
      </c>
      <c r="U174" s="11" t="s">
        <v>71</v>
      </c>
      <c r="V174" s="11" t="s">
        <v>72</v>
      </c>
      <c r="W174" s="11" t="s">
        <v>989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74</v>
      </c>
    </row>
    <row r="175" customFormat="false" ht="15" hidden="false" customHeight="false" outlineLevel="0" collapsed="false">
      <c r="A175" s="9" t="s">
        <v>990</v>
      </c>
      <c r="B175" s="9" t="s">
        <v>991</v>
      </c>
      <c r="C175" s="9" t="s">
        <v>942</v>
      </c>
      <c r="D175" s="9" t="s">
        <v>992</v>
      </c>
      <c r="E175" s="10" t="n">
        <v>56</v>
      </c>
      <c r="F175" s="10" t="n">
        <v>45</v>
      </c>
      <c r="G175" s="10" t="n">
        <v>67</v>
      </c>
      <c r="H175" s="11" t="s">
        <v>987</v>
      </c>
      <c r="I175" s="9" t="s">
        <v>105</v>
      </c>
      <c r="J175" s="9"/>
      <c r="K175" s="9"/>
      <c r="L175" s="9" t="s">
        <v>993</v>
      </c>
      <c r="M175" s="9" t="s">
        <v>994</v>
      </c>
      <c r="N175" s="9" t="s">
        <v>995</v>
      </c>
      <c r="O175" s="9" t="s">
        <v>66</v>
      </c>
      <c r="P175" s="9" t="s">
        <v>283</v>
      </c>
      <c r="Q175" s="9"/>
      <c r="R175" s="9" t="s">
        <v>69</v>
      </c>
      <c r="S175" s="11" t="s">
        <v>284</v>
      </c>
      <c r="T175" s="11" t="s">
        <v>285</v>
      </c>
      <c r="U175" s="11" t="s">
        <v>71</v>
      </c>
      <c r="V175" s="11" t="s">
        <v>72</v>
      </c>
      <c r="W175" s="11" t="s">
        <v>996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74</v>
      </c>
    </row>
    <row r="176" customFormat="false" ht="15" hidden="false" customHeight="false" outlineLevel="0" collapsed="false">
      <c r="A176" s="9" t="s">
        <v>997</v>
      </c>
      <c r="B176" s="9" t="s">
        <v>998</v>
      </c>
      <c r="C176" s="9" t="s">
        <v>942</v>
      </c>
      <c r="D176" s="9" t="s">
        <v>999</v>
      </c>
      <c r="E176" s="10" t="n">
        <v>952.5</v>
      </c>
      <c r="F176" s="10" t="n">
        <v>850</v>
      </c>
      <c r="G176" s="10" t="n">
        <v>1050</v>
      </c>
      <c r="H176" s="11" t="s">
        <v>1000</v>
      </c>
      <c r="I176" s="9" t="s">
        <v>217</v>
      </c>
      <c r="J176" s="9"/>
      <c r="K176" s="9"/>
      <c r="L176" s="9" t="s">
        <v>1001</v>
      </c>
      <c r="M176" s="9" t="s">
        <v>1002</v>
      </c>
      <c r="N176" s="9" t="s">
        <v>646</v>
      </c>
      <c r="O176" s="9" t="s">
        <v>66</v>
      </c>
      <c r="P176" s="9" t="s">
        <v>283</v>
      </c>
      <c r="Q176" s="9"/>
      <c r="R176" s="9" t="s">
        <v>69</v>
      </c>
      <c r="S176" s="11" t="s">
        <v>284</v>
      </c>
      <c r="T176" s="11" t="s">
        <v>285</v>
      </c>
      <c r="U176" s="11" t="s">
        <v>71</v>
      </c>
      <c r="V176" s="11" t="s">
        <v>72</v>
      </c>
      <c r="W176" s="11" t="s">
        <v>1003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74</v>
      </c>
    </row>
    <row r="177" customFormat="false" ht="15" hidden="false" customHeight="false" outlineLevel="0" collapsed="false">
      <c r="A177" s="9" t="s">
        <v>1004</v>
      </c>
      <c r="B177" s="9" t="s">
        <v>1005</v>
      </c>
      <c r="C177" s="9" t="s">
        <v>942</v>
      </c>
      <c r="D177" s="9" t="s">
        <v>1006</v>
      </c>
      <c r="E177" s="10" t="n">
        <v>18.9</v>
      </c>
      <c r="F177" s="10" t="n">
        <v>15</v>
      </c>
      <c r="G177" s="10" t="n">
        <v>25</v>
      </c>
      <c r="H177" s="11" t="s">
        <v>987</v>
      </c>
      <c r="I177" s="9" t="s">
        <v>61</v>
      </c>
      <c r="J177" s="9"/>
      <c r="K177" s="9"/>
      <c r="L177" s="9" t="s">
        <v>1007</v>
      </c>
      <c r="M177" s="9" t="s">
        <v>460</v>
      </c>
      <c r="N177" s="9" t="s">
        <v>461</v>
      </c>
      <c r="O177" s="9" t="s">
        <v>66</v>
      </c>
      <c r="P177" s="9" t="s">
        <v>283</v>
      </c>
      <c r="Q177" s="9"/>
      <c r="R177" s="9" t="s">
        <v>69</v>
      </c>
      <c r="S177" s="11" t="s">
        <v>284</v>
      </c>
      <c r="T177" s="11" t="s">
        <v>285</v>
      </c>
      <c r="U177" s="11" t="s">
        <v>71</v>
      </c>
      <c r="V177" s="11" t="s">
        <v>72</v>
      </c>
      <c r="W177" s="11" t="s">
        <v>1008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74</v>
      </c>
    </row>
    <row r="178" customFormat="false" ht="15" hidden="false" customHeight="false" outlineLevel="0" collapsed="false">
      <c r="A178" s="9" t="s">
        <v>1009</v>
      </c>
      <c r="B178" s="9" t="s">
        <v>1010</v>
      </c>
      <c r="C178" s="9" t="s">
        <v>942</v>
      </c>
      <c r="D178" s="11" t="s">
        <v>1011</v>
      </c>
      <c r="E178" s="10" t="n">
        <v>470000</v>
      </c>
      <c r="F178" s="9"/>
      <c r="G178" s="9"/>
      <c r="H178" s="11" t="s">
        <v>1012</v>
      </c>
      <c r="I178" s="9" t="s">
        <v>1013</v>
      </c>
      <c r="J178" s="13" t="n">
        <v>45936</v>
      </c>
      <c r="K178" s="9"/>
      <c r="L178" s="9" t="s">
        <v>1014</v>
      </c>
      <c r="M178" s="9" t="s">
        <v>1015</v>
      </c>
      <c r="N178" s="9" t="s">
        <v>1013</v>
      </c>
      <c r="O178" s="9" t="s">
        <v>66</v>
      </c>
      <c r="P178" s="9" t="s">
        <v>67</v>
      </c>
      <c r="Q178" s="9" t="s">
        <v>1016</v>
      </c>
      <c r="R178" s="9" t="s">
        <v>135</v>
      </c>
      <c r="S178" s="11" t="s">
        <v>70</v>
      </c>
      <c r="T178" s="9" t="s">
        <v>1016</v>
      </c>
      <c r="U178" s="11" t="s">
        <v>136</v>
      </c>
      <c r="V178" s="11" t="s">
        <v>72</v>
      </c>
      <c r="W178" s="11" t="s">
        <v>1017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74</v>
      </c>
    </row>
    <row r="179" customFormat="false" ht="15" hidden="false" customHeight="false" outlineLevel="0" collapsed="false">
      <c r="A179" s="9" t="s">
        <v>1018</v>
      </c>
      <c r="B179" s="9" t="s">
        <v>1019</v>
      </c>
      <c r="C179" s="9" t="s">
        <v>942</v>
      </c>
      <c r="D179" s="11" t="s">
        <v>1020</v>
      </c>
      <c r="E179" s="10" t="n">
        <v>350000</v>
      </c>
      <c r="F179" s="9"/>
      <c r="G179" s="10" t="n">
        <v>350000</v>
      </c>
      <c r="H179" s="11" t="s">
        <v>1012</v>
      </c>
      <c r="I179" s="9" t="s">
        <v>1021</v>
      </c>
      <c r="J179" s="13" t="n">
        <v>45965</v>
      </c>
      <c r="K179" s="9"/>
      <c r="L179" s="9" t="s">
        <v>1022</v>
      </c>
      <c r="M179" s="9" t="s">
        <v>1023</v>
      </c>
      <c r="N179" s="9" t="s">
        <v>1021</v>
      </c>
      <c r="O179" s="9" t="s">
        <v>66</v>
      </c>
      <c r="P179" s="9" t="s">
        <v>67</v>
      </c>
      <c r="Q179" s="9" t="s">
        <v>1024</v>
      </c>
      <c r="R179" s="9" t="s">
        <v>135</v>
      </c>
      <c r="S179" s="11" t="s">
        <v>70</v>
      </c>
      <c r="T179" s="9" t="s">
        <v>1024</v>
      </c>
      <c r="U179" s="11" t="s">
        <v>136</v>
      </c>
      <c r="V179" s="11" t="s">
        <v>72</v>
      </c>
      <c r="W179" s="11" t="s">
        <v>1025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74</v>
      </c>
    </row>
    <row r="180" customFormat="false" ht="15" hidden="false" customHeight="false" outlineLevel="0" collapsed="false">
      <c r="A180" s="9" t="s">
        <v>1026</v>
      </c>
      <c r="B180" s="9" t="s">
        <v>1027</v>
      </c>
      <c r="C180" s="9" t="s">
        <v>942</v>
      </c>
      <c r="D180" s="9" t="s">
        <v>1028</v>
      </c>
      <c r="E180" s="10" t="n">
        <v>30000</v>
      </c>
      <c r="F180" s="9"/>
      <c r="G180" s="9"/>
      <c r="H180" s="11" t="s">
        <v>1012</v>
      </c>
      <c r="I180" s="9" t="s">
        <v>1029</v>
      </c>
      <c r="J180" s="13" t="n">
        <v>46230</v>
      </c>
      <c r="K180" s="9"/>
      <c r="L180" s="9" t="s">
        <v>1030</v>
      </c>
      <c r="M180" s="9" t="s">
        <v>1031</v>
      </c>
      <c r="N180" s="9" t="s">
        <v>1029</v>
      </c>
      <c r="O180" s="9" t="s">
        <v>66</v>
      </c>
      <c r="P180" s="9" t="s">
        <v>67</v>
      </c>
      <c r="Q180" s="9" t="s">
        <v>1032</v>
      </c>
      <c r="R180" s="9" t="s">
        <v>135</v>
      </c>
      <c r="S180" s="11" t="s">
        <v>70</v>
      </c>
      <c r="T180" s="9" t="s">
        <v>1032</v>
      </c>
      <c r="U180" s="11" t="s">
        <v>136</v>
      </c>
      <c r="V180" s="11" t="s">
        <v>72</v>
      </c>
      <c r="W180" s="11" t="s">
        <v>1033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74</v>
      </c>
    </row>
    <row r="181" customFormat="false" ht="15" hidden="false" customHeight="false" outlineLevel="0" collapsed="false">
      <c r="A181" s="9" t="s">
        <v>1034</v>
      </c>
      <c r="B181" s="9" t="s">
        <v>1035</v>
      </c>
      <c r="C181" s="9" t="s">
        <v>942</v>
      </c>
      <c r="D181" s="11" t="s">
        <v>1036</v>
      </c>
      <c r="E181" s="10" t="n">
        <v>30000</v>
      </c>
      <c r="F181" s="9"/>
      <c r="G181" s="9"/>
      <c r="H181" s="11" t="s">
        <v>1012</v>
      </c>
      <c r="I181" s="9" t="s">
        <v>1037</v>
      </c>
      <c r="J181" s="13" t="n">
        <v>46000</v>
      </c>
      <c r="K181" s="9"/>
      <c r="L181" s="9" t="s">
        <v>1038</v>
      </c>
      <c r="M181" s="9" t="s">
        <v>1039</v>
      </c>
      <c r="N181" s="9" t="s">
        <v>1037</v>
      </c>
      <c r="O181" s="9" t="s">
        <v>66</v>
      </c>
      <c r="P181" s="9" t="s">
        <v>67</v>
      </c>
      <c r="Q181" s="9" t="s">
        <v>1040</v>
      </c>
      <c r="R181" s="9" t="s">
        <v>135</v>
      </c>
      <c r="S181" s="11" t="s">
        <v>70</v>
      </c>
      <c r="T181" s="9" t="s">
        <v>1040</v>
      </c>
      <c r="U181" s="11" t="s">
        <v>136</v>
      </c>
      <c r="V181" s="11" t="s">
        <v>72</v>
      </c>
      <c r="W181" s="11" t="s">
        <v>1041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74</v>
      </c>
    </row>
    <row r="182" customFormat="false" ht="15" hidden="false" customHeight="false" outlineLevel="0" collapsed="false">
      <c r="A182" s="9" t="s">
        <v>1042</v>
      </c>
      <c r="B182" s="9" t="s">
        <v>1043</v>
      </c>
      <c r="C182" s="9" t="s">
        <v>942</v>
      </c>
      <c r="D182" s="11" t="s">
        <v>1044</v>
      </c>
      <c r="E182" s="10" t="n">
        <v>50000</v>
      </c>
      <c r="F182" s="9"/>
      <c r="G182" s="9"/>
      <c r="H182" s="11" t="s">
        <v>1012</v>
      </c>
      <c r="I182" s="9" t="s">
        <v>1045</v>
      </c>
      <c r="J182" s="13" t="n">
        <v>46184</v>
      </c>
      <c r="K182" s="9"/>
      <c r="L182" s="9" t="s">
        <v>1046</v>
      </c>
      <c r="M182" s="9" t="s">
        <v>1047</v>
      </c>
      <c r="N182" s="9" t="s">
        <v>1045</v>
      </c>
      <c r="O182" s="9" t="s">
        <v>66</v>
      </c>
      <c r="P182" s="9" t="s">
        <v>67</v>
      </c>
      <c r="Q182" s="9" t="s">
        <v>1048</v>
      </c>
      <c r="R182" s="11" t="s">
        <v>87</v>
      </c>
      <c r="S182" s="11" t="s">
        <v>70</v>
      </c>
      <c r="T182" s="9" t="s">
        <v>1048</v>
      </c>
      <c r="U182" s="11" t="s">
        <v>87</v>
      </c>
      <c r="V182" s="11" t="s">
        <v>72</v>
      </c>
      <c r="W182" s="11" t="s">
        <v>1049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74</v>
      </c>
    </row>
    <row r="183" customFormat="false" ht="15" hidden="false" customHeight="false" outlineLevel="0" collapsed="false">
      <c r="A183" s="9" t="s">
        <v>1050</v>
      </c>
      <c r="B183" s="9" t="s">
        <v>1051</v>
      </c>
      <c r="C183" s="9" t="s">
        <v>942</v>
      </c>
      <c r="D183" s="11" t="s">
        <v>1052</v>
      </c>
      <c r="E183" s="10" t="n">
        <v>57000</v>
      </c>
      <c r="F183" s="9"/>
      <c r="G183" s="9"/>
      <c r="H183" s="11" t="s">
        <v>1012</v>
      </c>
      <c r="I183" s="9" t="s">
        <v>213</v>
      </c>
      <c r="J183" s="9"/>
      <c r="K183" s="9"/>
      <c r="L183" s="9" t="s">
        <v>1053</v>
      </c>
      <c r="M183" s="9" t="s">
        <v>1054</v>
      </c>
      <c r="N183" s="9" t="s">
        <v>299</v>
      </c>
      <c r="O183" s="9" t="s">
        <v>66</v>
      </c>
      <c r="P183" s="9" t="s">
        <v>67</v>
      </c>
      <c r="Q183" s="9" t="s">
        <v>1055</v>
      </c>
      <c r="R183" s="11" t="s">
        <v>87</v>
      </c>
      <c r="S183" s="11" t="s">
        <v>70</v>
      </c>
      <c r="T183" s="9" t="s">
        <v>1055</v>
      </c>
      <c r="U183" s="11" t="s">
        <v>87</v>
      </c>
      <c r="V183" s="11" t="s">
        <v>72</v>
      </c>
      <c r="W183" s="11" t="s">
        <v>1056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74</v>
      </c>
    </row>
    <row r="184" customFormat="false" ht="15" hidden="false" customHeight="false" outlineLevel="0" collapsed="false">
      <c r="A184" s="9" t="s">
        <v>1057</v>
      </c>
      <c r="B184" s="9" t="s">
        <v>1058</v>
      </c>
      <c r="C184" s="9" t="s">
        <v>942</v>
      </c>
      <c r="D184" s="11" t="s">
        <v>1059</v>
      </c>
      <c r="E184" s="10" t="n">
        <v>16000</v>
      </c>
      <c r="F184" s="9"/>
      <c r="G184" s="9"/>
      <c r="H184" s="11" t="s">
        <v>1012</v>
      </c>
      <c r="I184" s="9" t="s">
        <v>1060</v>
      </c>
      <c r="J184" s="13" t="n">
        <v>46296</v>
      </c>
      <c r="K184" s="9"/>
      <c r="L184" s="9" t="s">
        <v>1061</v>
      </c>
      <c r="M184" s="9" t="s">
        <v>1062</v>
      </c>
      <c r="N184" s="9" t="s">
        <v>1060</v>
      </c>
      <c r="O184" s="9" t="s">
        <v>66</v>
      </c>
      <c r="P184" s="9" t="s">
        <v>67</v>
      </c>
      <c r="Q184" s="9" t="s">
        <v>1063</v>
      </c>
      <c r="R184" s="9" t="s">
        <v>135</v>
      </c>
      <c r="S184" s="11" t="s">
        <v>70</v>
      </c>
      <c r="T184" s="9" t="s">
        <v>1063</v>
      </c>
      <c r="U184" s="11" t="s">
        <v>136</v>
      </c>
      <c r="V184" s="11" t="s">
        <v>72</v>
      </c>
      <c r="W184" s="11" t="s">
        <v>1064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74</v>
      </c>
    </row>
    <row r="185" customFormat="false" ht="15" hidden="false" customHeight="false" outlineLevel="0" collapsed="false">
      <c r="A185" s="9" t="s">
        <v>1065</v>
      </c>
      <c r="B185" s="9" t="s">
        <v>1066</v>
      </c>
      <c r="C185" s="9" t="s">
        <v>942</v>
      </c>
      <c r="D185" s="9" t="s">
        <v>1067</v>
      </c>
      <c r="E185" s="10" t="n">
        <v>0.025</v>
      </c>
      <c r="F185" s="10" t="n">
        <v>0.02</v>
      </c>
      <c r="G185" s="10" t="n">
        <v>0.04</v>
      </c>
      <c r="H185" s="11" t="s">
        <v>253</v>
      </c>
      <c r="I185" s="9" t="s">
        <v>1068</v>
      </c>
      <c r="J185" s="9"/>
      <c r="K185" s="9"/>
      <c r="L185" s="9" t="s">
        <v>1069</v>
      </c>
      <c r="M185" s="9" t="s">
        <v>1070</v>
      </c>
      <c r="N185" s="9" t="s">
        <v>66</v>
      </c>
      <c r="O185" s="9" t="s">
        <v>66</v>
      </c>
      <c r="P185" s="9" t="s">
        <v>283</v>
      </c>
      <c r="Q185" s="9"/>
      <c r="R185" s="11" t="s">
        <v>87</v>
      </c>
      <c r="S185" s="11" t="s">
        <v>284</v>
      </c>
      <c r="T185" s="11" t="s">
        <v>285</v>
      </c>
      <c r="U185" s="11" t="s">
        <v>87</v>
      </c>
      <c r="V185" s="11" t="s">
        <v>72</v>
      </c>
      <c r="W185" s="11" t="s">
        <v>1071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74</v>
      </c>
    </row>
    <row r="186" customFormat="false" ht="15" hidden="false" customHeight="false" outlineLevel="0" collapsed="false">
      <c r="A186" s="9" t="s">
        <v>1072</v>
      </c>
      <c r="B186" s="9" t="s">
        <v>1073</v>
      </c>
      <c r="C186" s="9" t="s">
        <v>942</v>
      </c>
      <c r="D186" s="11" t="s">
        <v>1074</v>
      </c>
      <c r="E186" s="10" t="n">
        <v>0.32</v>
      </c>
      <c r="F186" s="10" t="n">
        <v>0.25</v>
      </c>
      <c r="G186" s="10" t="n">
        <v>0.4</v>
      </c>
      <c r="H186" s="11" t="s">
        <v>253</v>
      </c>
      <c r="I186" s="9" t="s">
        <v>169</v>
      </c>
      <c r="J186" s="9"/>
      <c r="K186" s="9"/>
      <c r="L186" s="9" t="s">
        <v>1075</v>
      </c>
      <c r="M186" s="9" t="s">
        <v>327</v>
      </c>
      <c r="N186" s="9" t="s">
        <v>328</v>
      </c>
      <c r="O186" s="9" t="s">
        <v>66</v>
      </c>
      <c r="P186" s="9" t="s">
        <v>283</v>
      </c>
      <c r="Q186" s="9"/>
      <c r="R186" s="9" t="s">
        <v>69</v>
      </c>
      <c r="S186" s="11" t="s">
        <v>284</v>
      </c>
      <c r="T186" s="11" t="s">
        <v>285</v>
      </c>
      <c r="U186" s="11" t="s">
        <v>71</v>
      </c>
      <c r="V186" s="11" t="s">
        <v>72</v>
      </c>
      <c r="W186" s="11" t="s">
        <v>1076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74</v>
      </c>
    </row>
    <row r="187" customFormat="false" ht="15" hidden="false" customHeight="false" outlineLevel="0" collapsed="false">
      <c r="A187" s="9" t="s">
        <v>1077</v>
      </c>
      <c r="B187" s="9" t="s">
        <v>1078</v>
      </c>
      <c r="C187" s="9" t="s">
        <v>1079</v>
      </c>
      <c r="D187" s="9" t="s">
        <v>1080</v>
      </c>
      <c r="E187" s="10" t="n">
        <v>1000000</v>
      </c>
      <c r="F187" s="9"/>
      <c r="G187" s="9"/>
      <c r="H187" s="11" t="s">
        <v>1081</v>
      </c>
      <c r="I187" s="9" t="s">
        <v>1082</v>
      </c>
      <c r="J187" s="9"/>
      <c r="K187" s="9"/>
      <c r="L187" s="9" t="s">
        <v>1083</v>
      </c>
      <c r="M187" s="9" t="s">
        <v>1084</v>
      </c>
      <c r="N187" s="9" t="s">
        <v>1085</v>
      </c>
      <c r="O187" s="9" t="s">
        <v>66</v>
      </c>
      <c r="P187" s="9" t="s">
        <v>67</v>
      </c>
      <c r="Q187" s="9" t="s">
        <v>192</v>
      </c>
      <c r="R187" s="9" t="s">
        <v>135</v>
      </c>
      <c r="S187" s="11" t="s">
        <v>70</v>
      </c>
      <c r="T187" s="9" t="s">
        <v>192</v>
      </c>
      <c r="U187" s="11" t="s">
        <v>136</v>
      </c>
      <c r="V187" s="11" t="s">
        <v>72</v>
      </c>
      <c r="W187" s="11" t="s">
        <v>1086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74</v>
      </c>
    </row>
    <row r="188" customFormat="false" ht="15" hidden="false" customHeight="false" outlineLevel="0" collapsed="false">
      <c r="A188" s="9" t="s">
        <v>1087</v>
      </c>
      <c r="B188" s="9" t="s">
        <v>1088</v>
      </c>
      <c r="C188" s="9" t="s">
        <v>1079</v>
      </c>
      <c r="D188" s="9" t="s">
        <v>1089</v>
      </c>
      <c r="E188" s="9"/>
      <c r="F188" s="10" t="n">
        <v>1</v>
      </c>
      <c r="G188" s="9"/>
      <c r="H188" s="9" t="s">
        <v>1090</v>
      </c>
      <c r="I188" s="9" t="s">
        <v>290</v>
      </c>
      <c r="J188" s="9"/>
      <c r="K188" s="11" t="s">
        <v>130</v>
      </c>
      <c r="L188" s="9" t="s">
        <v>1083</v>
      </c>
      <c r="M188" s="9" t="s">
        <v>1084</v>
      </c>
      <c r="N188" s="9" t="s">
        <v>1085</v>
      </c>
      <c r="O188" s="9" t="s">
        <v>66</v>
      </c>
      <c r="P188" s="9" t="s">
        <v>67</v>
      </c>
      <c r="Q188" s="9" t="s">
        <v>192</v>
      </c>
      <c r="R188" s="9" t="s">
        <v>135</v>
      </c>
      <c r="S188" s="11" t="s">
        <v>70</v>
      </c>
      <c r="T188" s="9" t="s">
        <v>192</v>
      </c>
      <c r="U188" s="11" t="s">
        <v>136</v>
      </c>
      <c r="V188" s="11" t="s">
        <v>72</v>
      </c>
      <c r="W188" s="11" t="s">
        <v>1091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74</v>
      </c>
    </row>
    <row r="189" customFormat="false" ht="15" hidden="false" customHeight="false" outlineLevel="0" collapsed="false">
      <c r="A189" s="9" t="s">
        <v>1092</v>
      </c>
      <c r="B189" s="9" t="s">
        <v>1093</v>
      </c>
      <c r="C189" s="9" t="s">
        <v>1079</v>
      </c>
      <c r="D189" s="9" t="s">
        <v>1094</v>
      </c>
      <c r="E189" s="9"/>
      <c r="F189" s="10" t="n">
        <v>10</v>
      </c>
      <c r="G189" s="9"/>
      <c r="H189" s="9" t="s">
        <v>1095</v>
      </c>
      <c r="I189" s="9" t="s">
        <v>1082</v>
      </c>
      <c r="J189" s="9"/>
      <c r="K189" s="11" t="s">
        <v>62</v>
      </c>
      <c r="L189" s="9" t="s">
        <v>1083</v>
      </c>
      <c r="M189" s="9" t="s">
        <v>1084</v>
      </c>
      <c r="N189" s="9" t="s">
        <v>1085</v>
      </c>
      <c r="O189" s="9" t="s">
        <v>66</v>
      </c>
      <c r="P189" s="9" t="s">
        <v>67</v>
      </c>
      <c r="Q189" s="9" t="s">
        <v>192</v>
      </c>
      <c r="R189" s="9" t="s">
        <v>135</v>
      </c>
      <c r="S189" s="11" t="s">
        <v>70</v>
      </c>
      <c r="T189" s="9" t="s">
        <v>192</v>
      </c>
      <c r="U189" s="11" t="s">
        <v>136</v>
      </c>
      <c r="V189" s="11" t="s">
        <v>72</v>
      </c>
      <c r="W189" s="11" t="s">
        <v>1096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74</v>
      </c>
    </row>
    <row r="190" customFormat="false" ht="15" hidden="false" customHeight="false" outlineLevel="0" collapsed="false">
      <c r="A190" s="9" t="s">
        <v>1097</v>
      </c>
      <c r="B190" s="9" t="s">
        <v>1098</v>
      </c>
      <c r="C190" s="9" t="s">
        <v>1079</v>
      </c>
      <c r="D190" s="11" t="s">
        <v>1099</v>
      </c>
      <c r="E190" s="9"/>
      <c r="F190" s="9"/>
      <c r="G190" s="9"/>
      <c r="H190" s="11" t="s">
        <v>265</v>
      </c>
      <c r="I190" s="9" t="s">
        <v>180</v>
      </c>
      <c r="J190" s="9"/>
      <c r="K190" s="9"/>
      <c r="L190" s="9" t="s">
        <v>1083</v>
      </c>
      <c r="M190" s="9" t="s">
        <v>1084</v>
      </c>
      <c r="N190" s="9" t="s">
        <v>1085</v>
      </c>
      <c r="O190" s="9" t="s">
        <v>66</v>
      </c>
      <c r="P190" s="9" t="s">
        <v>67</v>
      </c>
      <c r="Q190" s="9" t="s">
        <v>1100</v>
      </c>
      <c r="R190" s="9" t="s">
        <v>135</v>
      </c>
      <c r="S190" s="11" t="s">
        <v>70</v>
      </c>
      <c r="T190" s="9" t="s">
        <v>1100</v>
      </c>
      <c r="U190" s="11" t="s">
        <v>136</v>
      </c>
      <c r="V190" s="11" t="s">
        <v>72</v>
      </c>
      <c r="W190" s="11" t="s">
        <v>1101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74</v>
      </c>
    </row>
    <row r="191" customFormat="false" ht="15" hidden="false" customHeight="false" outlineLevel="0" collapsed="false">
      <c r="A191" s="9" t="s">
        <v>1102</v>
      </c>
      <c r="B191" s="9" t="s">
        <v>1103</v>
      </c>
      <c r="C191" s="9" t="s">
        <v>1079</v>
      </c>
      <c r="D191" s="9" t="s">
        <v>1104</v>
      </c>
      <c r="E191" s="9"/>
      <c r="F191" s="10" t="n">
        <v>2</v>
      </c>
      <c r="G191" s="9"/>
      <c r="H191" s="9" t="s">
        <v>1090</v>
      </c>
      <c r="I191" s="9" t="s">
        <v>1105</v>
      </c>
      <c r="J191" s="9"/>
      <c r="K191" s="11" t="s">
        <v>130</v>
      </c>
      <c r="L191" s="9" t="s">
        <v>1106</v>
      </c>
      <c r="M191" s="9" t="s">
        <v>190</v>
      </c>
      <c r="N191" s="9" t="s">
        <v>191</v>
      </c>
      <c r="O191" s="9" t="s">
        <v>66</v>
      </c>
      <c r="P191" s="9" t="s">
        <v>67</v>
      </c>
      <c r="Q191" s="9" t="s">
        <v>192</v>
      </c>
      <c r="R191" s="9" t="s">
        <v>135</v>
      </c>
      <c r="S191" s="11" t="s">
        <v>70</v>
      </c>
      <c r="T191" s="9" t="s">
        <v>192</v>
      </c>
      <c r="U191" s="11" t="s">
        <v>136</v>
      </c>
      <c r="V191" s="11" t="s">
        <v>72</v>
      </c>
      <c r="W191" s="11" t="s">
        <v>1107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74</v>
      </c>
    </row>
    <row r="192" customFormat="false" ht="15" hidden="false" customHeight="false" outlineLevel="0" collapsed="false">
      <c r="A192" s="9" t="s">
        <v>1108</v>
      </c>
      <c r="B192" s="9" t="s">
        <v>1109</v>
      </c>
      <c r="C192" s="9" t="s">
        <v>1079</v>
      </c>
      <c r="D192" s="9" t="s">
        <v>1110</v>
      </c>
      <c r="E192" s="10" t="n">
        <v>3.5</v>
      </c>
      <c r="F192" s="9"/>
      <c r="G192" s="9"/>
      <c r="H192" s="9" t="s">
        <v>1090</v>
      </c>
      <c r="I192" s="9" t="s">
        <v>1105</v>
      </c>
      <c r="J192" s="9"/>
      <c r="K192" s="11" t="s">
        <v>130</v>
      </c>
      <c r="L192" s="9" t="s">
        <v>1111</v>
      </c>
      <c r="M192" s="9" t="s">
        <v>1112</v>
      </c>
      <c r="N192" s="9" t="s">
        <v>191</v>
      </c>
      <c r="O192" s="9" t="s">
        <v>66</v>
      </c>
      <c r="P192" s="9" t="s">
        <v>1113</v>
      </c>
      <c r="Q192" s="9"/>
      <c r="R192" s="9" t="s">
        <v>69</v>
      </c>
      <c r="S192" s="11" t="s">
        <v>1114</v>
      </c>
      <c r="T192" s="11" t="s">
        <v>1115</v>
      </c>
      <c r="U192" s="11" t="s">
        <v>1116</v>
      </c>
      <c r="V192" s="11" t="s">
        <v>72</v>
      </c>
      <c r="W192" s="11" t="s">
        <v>1117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74</v>
      </c>
    </row>
    <row r="193" customFormat="false" ht="15" hidden="false" customHeight="false" outlineLevel="0" collapsed="false">
      <c r="A193" s="9" t="s">
        <v>1118</v>
      </c>
      <c r="B193" s="9" t="s">
        <v>1119</v>
      </c>
      <c r="C193" s="9" t="s">
        <v>1079</v>
      </c>
      <c r="D193" s="9" t="s">
        <v>1120</v>
      </c>
      <c r="E193" s="10" t="n">
        <v>5</v>
      </c>
      <c r="F193" s="9"/>
      <c r="G193" s="9"/>
      <c r="H193" s="9" t="s">
        <v>1090</v>
      </c>
      <c r="I193" s="9" t="s">
        <v>1105</v>
      </c>
      <c r="J193" s="9"/>
      <c r="K193" s="11" t="s">
        <v>130</v>
      </c>
      <c r="L193" s="9" t="s">
        <v>1121</v>
      </c>
      <c r="M193" s="9" t="s">
        <v>1122</v>
      </c>
      <c r="N193" s="9" t="s">
        <v>915</v>
      </c>
      <c r="O193" s="9" t="s">
        <v>66</v>
      </c>
      <c r="P193" s="9" t="s">
        <v>67</v>
      </c>
      <c r="Q193" s="9" t="s">
        <v>192</v>
      </c>
      <c r="R193" s="9" t="s">
        <v>135</v>
      </c>
      <c r="S193" s="11" t="s">
        <v>70</v>
      </c>
      <c r="T193" s="9" t="s">
        <v>192</v>
      </c>
      <c r="U193" s="11" t="s">
        <v>136</v>
      </c>
      <c r="V193" s="11" t="s">
        <v>72</v>
      </c>
      <c r="W193" s="11" t="s">
        <v>1123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74</v>
      </c>
    </row>
    <row r="194" customFormat="false" ht="15" hidden="false" customHeight="false" outlineLevel="0" collapsed="false">
      <c r="A194" s="9" t="s">
        <v>1124</v>
      </c>
      <c r="B194" s="9" t="s">
        <v>1125</v>
      </c>
      <c r="C194" s="9" t="s">
        <v>1079</v>
      </c>
      <c r="D194" s="9" t="s">
        <v>1126</v>
      </c>
      <c r="E194" s="9"/>
      <c r="F194" s="9"/>
      <c r="G194" s="9"/>
      <c r="H194" s="11" t="s">
        <v>265</v>
      </c>
      <c r="I194" s="9" t="s">
        <v>1105</v>
      </c>
      <c r="J194" s="9"/>
      <c r="K194" s="9"/>
      <c r="L194" s="9" t="s">
        <v>1127</v>
      </c>
      <c r="M194" s="9" t="s">
        <v>1128</v>
      </c>
      <c r="N194" s="9" t="s">
        <v>617</v>
      </c>
      <c r="O194" s="9" t="s">
        <v>66</v>
      </c>
      <c r="P194" s="9" t="s">
        <v>1113</v>
      </c>
      <c r="Q194" s="9"/>
      <c r="R194" s="9" t="s">
        <v>69</v>
      </c>
      <c r="S194" s="11" t="s">
        <v>1114</v>
      </c>
      <c r="T194" s="11" t="s">
        <v>1115</v>
      </c>
      <c r="U194" s="11" t="s">
        <v>1116</v>
      </c>
      <c r="V194" s="11" t="s">
        <v>72</v>
      </c>
      <c r="W194" s="9" t="s">
        <v>1129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74</v>
      </c>
    </row>
    <row r="195" customFormat="false" ht="15" hidden="false" customHeight="false" outlineLevel="0" collapsed="false">
      <c r="A195" s="9" t="s">
        <v>1130</v>
      </c>
      <c r="B195" s="9" t="s">
        <v>1131</v>
      </c>
      <c r="C195" s="9" t="s">
        <v>1079</v>
      </c>
      <c r="D195" s="9" t="s">
        <v>1132</v>
      </c>
      <c r="E195" s="10" t="n">
        <v>2031</v>
      </c>
      <c r="F195" s="9"/>
      <c r="G195" s="9"/>
      <c r="H195" s="11" t="s">
        <v>1133</v>
      </c>
      <c r="I195" s="9" t="s">
        <v>1134</v>
      </c>
      <c r="J195" s="9"/>
      <c r="K195" s="9"/>
      <c r="L195" s="9" t="s">
        <v>1135</v>
      </c>
      <c r="M195" s="9" t="s">
        <v>1136</v>
      </c>
      <c r="N195" s="9" t="s">
        <v>617</v>
      </c>
      <c r="O195" s="9" t="s">
        <v>66</v>
      </c>
      <c r="P195" s="9" t="s">
        <v>1113</v>
      </c>
      <c r="Q195" s="9"/>
      <c r="R195" s="11" t="s">
        <v>87</v>
      </c>
      <c r="S195" s="11" t="s">
        <v>1114</v>
      </c>
      <c r="T195" s="11" t="s">
        <v>1115</v>
      </c>
      <c r="U195" s="11" t="s">
        <v>87</v>
      </c>
      <c r="V195" s="11" t="s">
        <v>72</v>
      </c>
      <c r="W195" s="9" t="s">
        <v>1137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74</v>
      </c>
    </row>
    <row r="196" customFormat="false" ht="15" hidden="false" customHeight="false" outlineLevel="0" collapsed="false">
      <c r="A196" s="9" t="s">
        <v>1138</v>
      </c>
      <c r="B196" s="9" t="s">
        <v>1139</v>
      </c>
      <c r="C196" s="9" t="s">
        <v>1079</v>
      </c>
      <c r="D196" s="9" t="s">
        <v>1140</v>
      </c>
      <c r="E196" s="10" t="n">
        <v>1</v>
      </c>
      <c r="F196" s="9"/>
      <c r="G196" s="9"/>
      <c r="H196" s="9" t="s">
        <v>1090</v>
      </c>
      <c r="I196" s="9" t="s">
        <v>290</v>
      </c>
      <c r="J196" s="9"/>
      <c r="K196" s="11" t="s">
        <v>130</v>
      </c>
      <c r="L196" s="9" t="s">
        <v>1141</v>
      </c>
      <c r="M196" s="9" t="s">
        <v>1136</v>
      </c>
      <c r="N196" s="9" t="s">
        <v>617</v>
      </c>
      <c r="O196" s="9" t="s">
        <v>66</v>
      </c>
      <c r="P196" s="9" t="s">
        <v>67</v>
      </c>
      <c r="Q196" s="9" t="s">
        <v>1142</v>
      </c>
      <c r="R196" s="11" t="s">
        <v>87</v>
      </c>
      <c r="S196" s="11" t="s">
        <v>70</v>
      </c>
      <c r="T196" s="9" t="s">
        <v>1142</v>
      </c>
      <c r="U196" s="11" t="s">
        <v>87</v>
      </c>
      <c r="V196" s="11" t="s">
        <v>72</v>
      </c>
      <c r="W196" s="11" t="s">
        <v>1143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74</v>
      </c>
    </row>
    <row r="197" customFormat="false" ht="15" hidden="false" customHeight="false" outlineLevel="0" collapsed="false">
      <c r="A197" s="9" t="s">
        <v>1144</v>
      </c>
      <c r="B197" s="9" t="s">
        <v>1145</v>
      </c>
      <c r="C197" s="9" t="s">
        <v>1079</v>
      </c>
      <c r="D197" s="9" t="s">
        <v>1146</v>
      </c>
      <c r="E197" s="9"/>
      <c r="F197" s="10" t="n">
        <v>21</v>
      </c>
      <c r="G197" s="10" t="n">
        <v>42</v>
      </c>
      <c r="H197" s="9" t="s">
        <v>1147</v>
      </c>
      <c r="I197" s="9" t="s">
        <v>1148</v>
      </c>
      <c r="J197" s="9"/>
      <c r="K197" s="11" t="s">
        <v>62</v>
      </c>
      <c r="L197" s="9" t="s">
        <v>1149</v>
      </c>
      <c r="M197" s="9" t="s">
        <v>1136</v>
      </c>
      <c r="N197" s="9" t="s">
        <v>617</v>
      </c>
      <c r="O197" s="9" t="s">
        <v>66</v>
      </c>
      <c r="P197" s="9" t="s">
        <v>283</v>
      </c>
      <c r="Q197" s="9"/>
      <c r="R197" s="9" t="s">
        <v>69</v>
      </c>
      <c r="S197" s="11" t="s">
        <v>284</v>
      </c>
      <c r="T197" s="11" t="s">
        <v>285</v>
      </c>
      <c r="U197" s="11" t="s">
        <v>71</v>
      </c>
      <c r="V197" s="11" t="s">
        <v>72</v>
      </c>
      <c r="W197" s="9" t="s">
        <v>1150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74</v>
      </c>
    </row>
    <row r="198" customFormat="false" ht="15" hidden="false" customHeight="false" outlineLevel="0" collapsed="false">
      <c r="A198" s="9" t="s">
        <v>1151</v>
      </c>
      <c r="B198" s="9" t="s">
        <v>1152</v>
      </c>
      <c r="C198" s="9" t="s">
        <v>1079</v>
      </c>
      <c r="D198" s="9" t="s">
        <v>1153</v>
      </c>
      <c r="E198" s="10" t="n">
        <v>200</v>
      </c>
      <c r="F198" s="9"/>
      <c r="G198" s="9"/>
      <c r="H198" s="9" t="s">
        <v>1154</v>
      </c>
      <c r="I198" s="11" t="s">
        <v>1155</v>
      </c>
      <c r="J198" s="9"/>
      <c r="K198" s="11" t="s">
        <v>62</v>
      </c>
      <c r="L198" s="9" t="s">
        <v>1156</v>
      </c>
      <c r="M198" s="9" t="s">
        <v>1157</v>
      </c>
      <c r="N198" s="9" t="s">
        <v>915</v>
      </c>
      <c r="O198" s="9" t="s">
        <v>66</v>
      </c>
      <c r="P198" s="9" t="s">
        <v>67</v>
      </c>
      <c r="Q198" s="9" t="s">
        <v>1158</v>
      </c>
      <c r="R198" s="9" t="s">
        <v>69</v>
      </c>
      <c r="S198" s="11" t="s">
        <v>70</v>
      </c>
      <c r="T198" s="9" t="s">
        <v>1158</v>
      </c>
      <c r="U198" s="11" t="s">
        <v>71</v>
      </c>
      <c r="V198" s="11" t="s">
        <v>72</v>
      </c>
      <c r="W198" s="11" t="s">
        <v>1159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74</v>
      </c>
    </row>
    <row r="199" customFormat="false" ht="15" hidden="false" customHeight="false" outlineLevel="0" collapsed="false">
      <c r="A199" s="9" t="s">
        <v>1160</v>
      </c>
      <c r="B199" s="9" t="s">
        <v>1161</v>
      </c>
      <c r="C199" s="9" t="s">
        <v>1079</v>
      </c>
      <c r="D199" s="9" t="s">
        <v>1162</v>
      </c>
      <c r="E199" s="10" t="n">
        <v>10</v>
      </c>
      <c r="F199" s="9"/>
      <c r="G199" s="9"/>
      <c r="H199" s="9" t="s">
        <v>1163</v>
      </c>
      <c r="I199" s="9" t="s">
        <v>1164</v>
      </c>
      <c r="J199" s="9"/>
      <c r="K199" s="11" t="s">
        <v>62</v>
      </c>
      <c r="L199" s="9" t="s">
        <v>1165</v>
      </c>
      <c r="M199" s="9" t="s">
        <v>1166</v>
      </c>
      <c r="N199" s="9" t="s">
        <v>1167</v>
      </c>
      <c r="O199" s="9" t="s">
        <v>66</v>
      </c>
      <c r="P199" s="9" t="s">
        <v>67</v>
      </c>
      <c r="Q199" s="9" t="s">
        <v>1168</v>
      </c>
      <c r="R199" s="9" t="s">
        <v>69</v>
      </c>
      <c r="S199" s="11" t="s">
        <v>70</v>
      </c>
      <c r="T199" s="9" t="s">
        <v>1168</v>
      </c>
      <c r="U199" s="11" t="s">
        <v>71</v>
      </c>
      <c r="V199" s="11" t="s">
        <v>72</v>
      </c>
      <c r="W199" s="9" t="s">
        <v>1169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74</v>
      </c>
    </row>
    <row r="200" customFormat="false" ht="15" hidden="false" customHeight="false" outlineLevel="0" collapsed="false">
      <c r="A200" s="9" t="s">
        <v>1170</v>
      </c>
      <c r="B200" s="9" t="s">
        <v>1171</v>
      </c>
      <c r="C200" s="9" t="s">
        <v>1079</v>
      </c>
      <c r="D200" s="9" t="s">
        <v>1172</v>
      </c>
      <c r="E200" s="10" t="n">
        <v>11</v>
      </c>
      <c r="F200" s="9"/>
      <c r="G200" s="9"/>
      <c r="H200" s="9" t="s">
        <v>1163</v>
      </c>
      <c r="I200" s="9" t="s">
        <v>1173</v>
      </c>
      <c r="J200" s="9"/>
      <c r="K200" s="11" t="s">
        <v>62</v>
      </c>
      <c r="L200" s="9" t="s">
        <v>1174</v>
      </c>
      <c r="M200" s="9" t="s">
        <v>1166</v>
      </c>
      <c r="N200" s="9" t="s">
        <v>1167</v>
      </c>
      <c r="O200" s="9" t="s">
        <v>66</v>
      </c>
      <c r="P200" s="9" t="s">
        <v>67</v>
      </c>
      <c r="Q200" s="9" t="s">
        <v>1168</v>
      </c>
      <c r="R200" s="9" t="s">
        <v>69</v>
      </c>
      <c r="S200" s="11" t="s">
        <v>70</v>
      </c>
      <c r="T200" s="9" t="s">
        <v>1168</v>
      </c>
      <c r="U200" s="11" t="s">
        <v>71</v>
      </c>
      <c r="V200" s="11" t="s">
        <v>72</v>
      </c>
      <c r="W200" s="11" t="s">
        <v>1175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74</v>
      </c>
    </row>
    <row r="201" customFormat="false" ht="15" hidden="false" customHeight="false" outlineLevel="0" collapsed="false">
      <c r="A201" s="9" t="s">
        <v>1176</v>
      </c>
      <c r="B201" s="9" t="s">
        <v>1177</v>
      </c>
      <c r="C201" s="9" t="s">
        <v>1079</v>
      </c>
      <c r="D201" s="9" t="s">
        <v>1178</v>
      </c>
      <c r="E201" s="10" t="n">
        <v>500000</v>
      </c>
      <c r="F201" s="9"/>
      <c r="G201" s="9"/>
      <c r="H201" s="11" t="s">
        <v>1179</v>
      </c>
      <c r="I201" s="9" t="s">
        <v>180</v>
      </c>
      <c r="J201" s="9"/>
      <c r="K201" s="9"/>
      <c r="L201" s="9" t="s">
        <v>1180</v>
      </c>
      <c r="M201" s="9" t="s">
        <v>1181</v>
      </c>
      <c r="N201" s="9" t="s">
        <v>1182</v>
      </c>
      <c r="O201" s="9" t="s">
        <v>66</v>
      </c>
      <c r="P201" s="9" t="s">
        <v>67</v>
      </c>
      <c r="Q201" s="9" t="s">
        <v>1183</v>
      </c>
      <c r="R201" s="9" t="s">
        <v>69</v>
      </c>
      <c r="S201" s="11" t="s">
        <v>70</v>
      </c>
      <c r="T201" s="9" t="s">
        <v>1183</v>
      </c>
      <c r="U201" s="11" t="s">
        <v>1116</v>
      </c>
      <c r="V201" s="11" t="s">
        <v>72</v>
      </c>
      <c r="W201" s="11" t="s">
        <v>1184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74</v>
      </c>
    </row>
    <row r="202" customFormat="false" ht="15" hidden="false" customHeight="false" outlineLevel="0" collapsed="false">
      <c r="A202" s="9" t="s">
        <v>1185</v>
      </c>
      <c r="B202" s="9" t="s">
        <v>1186</v>
      </c>
      <c r="C202" s="9" t="s">
        <v>1079</v>
      </c>
      <c r="D202" s="9" t="s">
        <v>1187</v>
      </c>
      <c r="E202" s="9"/>
      <c r="F202" s="10" t="n">
        <v>1000000</v>
      </c>
      <c r="G202" s="9"/>
      <c r="H202" s="11" t="s">
        <v>1188</v>
      </c>
      <c r="I202" s="9" t="s">
        <v>188</v>
      </c>
      <c r="J202" s="9"/>
      <c r="K202" s="9"/>
      <c r="L202" s="9" t="s">
        <v>1189</v>
      </c>
      <c r="M202" s="9" t="s">
        <v>1181</v>
      </c>
      <c r="N202" s="9" t="s">
        <v>1182</v>
      </c>
      <c r="O202" s="9" t="s">
        <v>66</v>
      </c>
      <c r="P202" s="9" t="s">
        <v>67</v>
      </c>
      <c r="Q202" s="9" t="s">
        <v>1183</v>
      </c>
      <c r="R202" s="11" t="s">
        <v>87</v>
      </c>
      <c r="S202" s="11" t="s">
        <v>70</v>
      </c>
      <c r="T202" s="9" t="s">
        <v>1183</v>
      </c>
      <c r="U202" s="11" t="s">
        <v>87</v>
      </c>
      <c r="V202" s="11" t="s">
        <v>72</v>
      </c>
      <c r="W202" s="11" t="s">
        <v>1190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74</v>
      </c>
    </row>
    <row r="203" customFormat="false" ht="15" hidden="false" customHeight="false" outlineLevel="0" collapsed="false">
      <c r="A203" s="9" t="s">
        <v>1191</v>
      </c>
      <c r="B203" s="9" t="s">
        <v>1192</v>
      </c>
      <c r="C203" s="9" t="s">
        <v>1079</v>
      </c>
      <c r="D203" s="9" t="s">
        <v>1193</v>
      </c>
      <c r="E203" s="10" t="n">
        <v>2.2</v>
      </c>
      <c r="F203" s="9"/>
      <c r="G203" s="9"/>
      <c r="H203" s="9" t="s">
        <v>1090</v>
      </c>
      <c r="I203" s="11" t="s">
        <v>1194</v>
      </c>
      <c r="J203" s="9"/>
      <c r="K203" s="11" t="s">
        <v>1195</v>
      </c>
      <c r="L203" s="9" t="s">
        <v>1189</v>
      </c>
      <c r="M203" s="9" t="s">
        <v>1181</v>
      </c>
      <c r="N203" s="9" t="s">
        <v>1182</v>
      </c>
      <c r="O203" s="9" t="s">
        <v>66</v>
      </c>
      <c r="P203" s="9" t="s">
        <v>67</v>
      </c>
      <c r="Q203" s="9" t="s">
        <v>1183</v>
      </c>
      <c r="R203" s="11" t="s">
        <v>87</v>
      </c>
      <c r="S203" s="11" t="s">
        <v>70</v>
      </c>
      <c r="T203" s="9" t="s">
        <v>1183</v>
      </c>
      <c r="U203" s="11" t="s">
        <v>87</v>
      </c>
      <c r="V203" s="11" t="s">
        <v>72</v>
      </c>
      <c r="W203" s="11" t="s">
        <v>1196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74</v>
      </c>
    </row>
    <row r="204" customFormat="false" ht="15" hidden="false" customHeight="false" outlineLevel="0" collapsed="false">
      <c r="A204" s="9" t="s">
        <v>1197</v>
      </c>
      <c r="B204" s="9" t="s">
        <v>1198</v>
      </c>
      <c r="C204" s="9" t="s">
        <v>1079</v>
      </c>
      <c r="D204" s="9" t="s">
        <v>1199</v>
      </c>
      <c r="E204" s="10" t="n">
        <v>11</v>
      </c>
      <c r="F204" s="9"/>
      <c r="G204" s="9"/>
      <c r="H204" s="9" t="s">
        <v>466</v>
      </c>
      <c r="I204" s="9" t="s">
        <v>1200</v>
      </c>
      <c r="J204" s="9"/>
      <c r="K204" s="11" t="s">
        <v>62</v>
      </c>
      <c r="L204" s="9" t="s">
        <v>1189</v>
      </c>
      <c r="M204" s="9" t="s">
        <v>1181</v>
      </c>
      <c r="N204" s="9" t="s">
        <v>1182</v>
      </c>
      <c r="O204" s="9" t="s">
        <v>66</v>
      </c>
      <c r="P204" s="9" t="s">
        <v>67</v>
      </c>
      <c r="Q204" s="9" t="s">
        <v>1183</v>
      </c>
      <c r="R204" s="11" t="s">
        <v>87</v>
      </c>
      <c r="S204" s="11" t="s">
        <v>70</v>
      </c>
      <c r="T204" s="9" t="s">
        <v>1183</v>
      </c>
      <c r="U204" s="11" t="s">
        <v>87</v>
      </c>
      <c r="V204" s="11" t="s">
        <v>72</v>
      </c>
      <c r="W204" s="11" t="s">
        <v>1201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74</v>
      </c>
    </row>
    <row r="205" customFormat="false" ht="15" hidden="false" customHeight="false" outlineLevel="0" collapsed="false">
      <c r="A205" s="9" t="s">
        <v>1202</v>
      </c>
      <c r="B205" s="9" t="s">
        <v>1203</v>
      </c>
      <c r="C205" s="9" t="s">
        <v>1079</v>
      </c>
      <c r="D205" s="9" t="s">
        <v>1204</v>
      </c>
      <c r="E205" s="10" t="n">
        <v>910</v>
      </c>
      <c r="F205" s="9"/>
      <c r="G205" s="10" t="n">
        <v>1037</v>
      </c>
      <c r="H205" s="9" t="s">
        <v>1205</v>
      </c>
      <c r="I205" s="9" t="s">
        <v>861</v>
      </c>
      <c r="J205" s="9"/>
      <c r="K205" s="9" t="s">
        <v>1206</v>
      </c>
      <c r="L205" s="9" t="s">
        <v>1207</v>
      </c>
      <c r="M205" s="9" t="s">
        <v>1208</v>
      </c>
      <c r="N205" s="9" t="s">
        <v>864</v>
      </c>
      <c r="O205" s="9" t="s">
        <v>66</v>
      </c>
      <c r="P205" s="9" t="s">
        <v>283</v>
      </c>
      <c r="Q205" s="9"/>
      <c r="R205" s="9" t="s">
        <v>69</v>
      </c>
      <c r="S205" s="11" t="s">
        <v>284</v>
      </c>
      <c r="T205" s="11" t="s">
        <v>285</v>
      </c>
      <c r="U205" s="11" t="s">
        <v>71</v>
      </c>
      <c r="V205" s="11" t="s">
        <v>72</v>
      </c>
      <c r="W205" s="11" t="s">
        <v>1209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74</v>
      </c>
    </row>
    <row r="206" customFormat="false" ht="15" hidden="false" customHeight="false" outlineLevel="0" collapsed="false">
      <c r="A206" s="9" t="s">
        <v>1210</v>
      </c>
      <c r="B206" s="9" t="s">
        <v>1211</v>
      </c>
      <c r="C206" s="9" t="s">
        <v>1079</v>
      </c>
      <c r="D206" s="9" t="s">
        <v>1212</v>
      </c>
      <c r="E206" s="10" t="n">
        <v>1925</v>
      </c>
      <c r="F206" s="9"/>
      <c r="G206" s="9"/>
      <c r="H206" s="9" t="s">
        <v>1205</v>
      </c>
      <c r="I206" s="9" t="s">
        <v>1213</v>
      </c>
      <c r="J206" s="9"/>
      <c r="K206" s="9" t="s">
        <v>1206</v>
      </c>
      <c r="L206" s="9" t="s">
        <v>1214</v>
      </c>
      <c r="M206" s="9" t="s">
        <v>1208</v>
      </c>
      <c r="N206" s="9" t="s">
        <v>864</v>
      </c>
      <c r="O206" s="9" t="s">
        <v>66</v>
      </c>
      <c r="P206" s="9" t="s">
        <v>283</v>
      </c>
      <c r="Q206" s="9"/>
      <c r="R206" s="9" t="s">
        <v>69</v>
      </c>
      <c r="S206" s="11" t="s">
        <v>284</v>
      </c>
      <c r="T206" s="11" t="s">
        <v>285</v>
      </c>
      <c r="U206" s="11" t="s">
        <v>71</v>
      </c>
      <c r="V206" s="11" t="s">
        <v>72</v>
      </c>
      <c r="W206" s="9" t="s">
        <v>1215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74</v>
      </c>
    </row>
    <row r="207" customFormat="false" ht="15" hidden="false" customHeight="false" outlineLevel="0" collapsed="false">
      <c r="A207" s="9" t="s">
        <v>1216</v>
      </c>
      <c r="B207" s="9" t="s">
        <v>1217</v>
      </c>
      <c r="C207" s="9" t="s">
        <v>1079</v>
      </c>
      <c r="D207" s="9" t="s">
        <v>1218</v>
      </c>
      <c r="E207" s="9"/>
      <c r="F207" s="9"/>
      <c r="G207" s="10" t="n">
        <v>5</v>
      </c>
      <c r="H207" s="9" t="s">
        <v>1090</v>
      </c>
      <c r="I207" s="9" t="s">
        <v>1219</v>
      </c>
      <c r="J207" s="9"/>
      <c r="K207" s="11" t="s">
        <v>130</v>
      </c>
      <c r="L207" s="9" t="s">
        <v>1220</v>
      </c>
      <c r="M207" s="9" t="s">
        <v>973</v>
      </c>
      <c r="N207" s="9" t="s">
        <v>974</v>
      </c>
      <c r="O207" s="9" t="s">
        <v>66</v>
      </c>
      <c r="P207" s="9" t="s">
        <v>67</v>
      </c>
      <c r="Q207" s="9" t="s">
        <v>192</v>
      </c>
      <c r="R207" s="9" t="s">
        <v>135</v>
      </c>
      <c r="S207" s="11" t="s">
        <v>70</v>
      </c>
      <c r="T207" s="9" t="s">
        <v>192</v>
      </c>
      <c r="U207" s="11" t="s">
        <v>136</v>
      </c>
      <c r="V207" s="11" t="s">
        <v>72</v>
      </c>
      <c r="W207" s="11" t="s">
        <v>1221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74</v>
      </c>
    </row>
    <row r="208" customFormat="false" ht="15" hidden="false" customHeight="false" outlineLevel="0" collapsed="false">
      <c r="A208" s="9" t="s">
        <v>1222</v>
      </c>
      <c r="B208" s="9" t="s">
        <v>1223</v>
      </c>
      <c r="C208" s="9" t="s">
        <v>1079</v>
      </c>
      <c r="D208" s="9" t="s">
        <v>1224</v>
      </c>
      <c r="E208" s="9"/>
      <c r="F208" s="10" t="n">
        <v>100</v>
      </c>
      <c r="G208" s="9"/>
      <c r="H208" s="9" t="s">
        <v>1225</v>
      </c>
      <c r="I208" s="9" t="s">
        <v>1219</v>
      </c>
      <c r="J208" s="9"/>
      <c r="K208" s="11" t="s">
        <v>62</v>
      </c>
      <c r="L208" s="9" t="s">
        <v>1220</v>
      </c>
      <c r="M208" s="9" t="s">
        <v>973</v>
      </c>
      <c r="N208" s="9" t="s">
        <v>974</v>
      </c>
      <c r="O208" s="9" t="s">
        <v>66</v>
      </c>
      <c r="P208" s="9" t="s">
        <v>67</v>
      </c>
      <c r="Q208" s="9" t="s">
        <v>192</v>
      </c>
      <c r="R208" s="9" t="s">
        <v>135</v>
      </c>
      <c r="S208" s="11" t="s">
        <v>70</v>
      </c>
      <c r="T208" s="9" t="s">
        <v>192</v>
      </c>
      <c r="U208" s="11" t="s">
        <v>136</v>
      </c>
      <c r="V208" s="11" t="s">
        <v>72</v>
      </c>
      <c r="W208" s="11" t="s">
        <v>1226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74</v>
      </c>
    </row>
    <row r="209" customFormat="false" ht="15" hidden="false" customHeight="false" outlineLevel="0" collapsed="false">
      <c r="A209" s="9" t="s">
        <v>1227</v>
      </c>
      <c r="B209" s="9" t="s">
        <v>1228</v>
      </c>
      <c r="C209" s="9" t="s">
        <v>1079</v>
      </c>
      <c r="D209" s="9" t="s">
        <v>1229</v>
      </c>
      <c r="E209" s="10" t="n">
        <v>1</v>
      </c>
      <c r="F209" s="9"/>
      <c r="G209" s="9"/>
      <c r="H209" s="9" t="s">
        <v>1230</v>
      </c>
      <c r="I209" s="9" t="s">
        <v>1231</v>
      </c>
      <c r="J209" s="9"/>
      <c r="K209" s="11" t="s">
        <v>130</v>
      </c>
      <c r="L209" s="9" t="s">
        <v>1220</v>
      </c>
      <c r="M209" s="9" t="s">
        <v>973</v>
      </c>
      <c r="N209" s="9" t="s">
        <v>974</v>
      </c>
      <c r="O209" s="9" t="s">
        <v>66</v>
      </c>
      <c r="P209" s="9" t="s">
        <v>67</v>
      </c>
      <c r="Q209" s="9" t="s">
        <v>192</v>
      </c>
      <c r="R209" s="9" t="s">
        <v>135</v>
      </c>
      <c r="S209" s="11" t="s">
        <v>70</v>
      </c>
      <c r="T209" s="9" t="s">
        <v>192</v>
      </c>
      <c r="U209" s="11" t="s">
        <v>136</v>
      </c>
      <c r="V209" s="11" t="s">
        <v>72</v>
      </c>
      <c r="W209" s="11" t="s">
        <v>1232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74</v>
      </c>
    </row>
    <row r="210" customFormat="false" ht="15" hidden="false" customHeight="false" outlineLevel="0" collapsed="false">
      <c r="A210" s="9" t="s">
        <v>1233</v>
      </c>
      <c r="B210" s="9" t="s">
        <v>1234</v>
      </c>
      <c r="C210" s="9" t="s">
        <v>1079</v>
      </c>
      <c r="D210" s="11" t="s">
        <v>1235</v>
      </c>
      <c r="E210" s="9"/>
      <c r="F210" s="10" t="n">
        <v>1000000</v>
      </c>
      <c r="G210" s="9"/>
      <c r="H210" s="11" t="s">
        <v>1188</v>
      </c>
      <c r="I210" s="9" t="s">
        <v>213</v>
      </c>
      <c r="J210" s="9"/>
      <c r="K210" s="9"/>
      <c r="L210" s="9" t="s">
        <v>1220</v>
      </c>
      <c r="M210" s="9" t="s">
        <v>973</v>
      </c>
      <c r="N210" s="9" t="s">
        <v>974</v>
      </c>
      <c r="O210" s="9" t="s">
        <v>66</v>
      </c>
      <c r="P210" s="9" t="s">
        <v>67</v>
      </c>
      <c r="Q210" s="9" t="s">
        <v>1100</v>
      </c>
      <c r="R210" s="9" t="s">
        <v>135</v>
      </c>
      <c r="S210" s="11" t="s">
        <v>70</v>
      </c>
      <c r="T210" s="9" t="s">
        <v>1100</v>
      </c>
      <c r="U210" s="11" t="s">
        <v>136</v>
      </c>
      <c r="V210" s="11" t="s">
        <v>72</v>
      </c>
      <c r="W210" s="11" t="s">
        <v>1236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74</v>
      </c>
    </row>
    <row r="211" customFormat="false" ht="15" hidden="false" customHeight="false" outlineLevel="0" collapsed="false">
      <c r="A211" s="9" t="s">
        <v>1237</v>
      </c>
      <c r="B211" s="9" t="s">
        <v>1238</v>
      </c>
      <c r="C211" s="9" t="s">
        <v>1079</v>
      </c>
      <c r="D211" s="11" t="s">
        <v>1239</v>
      </c>
      <c r="E211" s="9"/>
      <c r="F211" s="9"/>
      <c r="G211" s="9"/>
      <c r="H211" s="11" t="s">
        <v>265</v>
      </c>
      <c r="I211" s="9" t="s">
        <v>213</v>
      </c>
      <c r="J211" s="9"/>
      <c r="K211" s="9"/>
      <c r="L211" s="9" t="s">
        <v>1106</v>
      </c>
      <c r="M211" s="9" t="s">
        <v>190</v>
      </c>
      <c r="N211" s="9" t="s">
        <v>191</v>
      </c>
      <c r="O211" s="9" t="s">
        <v>66</v>
      </c>
      <c r="P211" s="9" t="s">
        <v>67</v>
      </c>
      <c r="Q211" s="9" t="s">
        <v>1100</v>
      </c>
      <c r="R211" s="9" t="s">
        <v>135</v>
      </c>
      <c r="S211" s="11" t="s">
        <v>70</v>
      </c>
      <c r="T211" s="9" t="s">
        <v>1100</v>
      </c>
      <c r="U211" s="11" t="s">
        <v>136</v>
      </c>
      <c r="V211" s="11" t="s">
        <v>72</v>
      </c>
      <c r="W211" s="11" t="s">
        <v>1240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74</v>
      </c>
    </row>
    <row r="212" customFormat="false" ht="15" hidden="false" customHeight="false" outlineLevel="0" collapsed="false">
      <c r="A212" s="9" t="s">
        <v>1241</v>
      </c>
      <c r="B212" s="9" t="s">
        <v>1242</v>
      </c>
      <c r="C212" s="9" t="s">
        <v>1079</v>
      </c>
      <c r="D212" s="9" t="s">
        <v>1243</v>
      </c>
      <c r="E212" s="10" t="n">
        <v>5</v>
      </c>
      <c r="F212" s="9"/>
      <c r="G212" s="9"/>
      <c r="H212" s="9" t="s">
        <v>1090</v>
      </c>
      <c r="I212" s="11" t="s">
        <v>1244</v>
      </c>
      <c r="J212" s="9"/>
      <c r="K212" s="11" t="s">
        <v>130</v>
      </c>
      <c r="L212" s="9" t="s">
        <v>1245</v>
      </c>
      <c r="M212" s="9" t="s">
        <v>1246</v>
      </c>
      <c r="N212" s="9" t="s">
        <v>1247</v>
      </c>
      <c r="O212" s="9" t="s">
        <v>66</v>
      </c>
      <c r="P212" s="9" t="s">
        <v>67</v>
      </c>
      <c r="Q212" s="9" t="s">
        <v>1248</v>
      </c>
      <c r="R212" s="9" t="s">
        <v>69</v>
      </c>
      <c r="S212" s="11" t="s">
        <v>70</v>
      </c>
      <c r="T212" s="9" t="s">
        <v>1248</v>
      </c>
      <c r="U212" s="11" t="s">
        <v>71</v>
      </c>
      <c r="V212" s="11" t="s">
        <v>72</v>
      </c>
      <c r="W212" s="11" t="s">
        <v>1249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74</v>
      </c>
    </row>
    <row r="213" customFormat="false" ht="15" hidden="false" customHeight="false" outlineLevel="0" collapsed="false">
      <c r="A213" s="9" t="s">
        <v>1250</v>
      </c>
      <c r="B213" s="9" t="s">
        <v>1251</v>
      </c>
      <c r="C213" s="9" t="s">
        <v>1079</v>
      </c>
      <c r="D213" s="9" t="s">
        <v>1252</v>
      </c>
      <c r="E213" s="10" t="n">
        <v>30</v>
      </c>
      <c r="F213" s="9"/>
      <c r="G213" s="9"/>
      <c r="H213" s="9" t="s">
        <v>1253</v>
      </c>
      <c r="I213" s="9" t="s">
        <v>1254</v>
      </c>
      <c r="J213" s="9"/>
      <c r="K213" s="11" t="s">
        <v>62</v>
      </c>
      <c r="L213" s="9" t="s">
        <v>1255</v>
      </c>
      <c r="M213" s="9" t="s">
        <v>1256</v>
      </c>
      <c r="N213" s="9" t="s">
        <v>1257</v>
      </c>
      <c r="O213" s="9" t="s">
        <v>66</v>
      </c>
      <c r="P213" s="9" t="s">
        <v>67</v>
      </c>
      <c r="Q213" s="9" t="s">
        <v>1258</v>
      </c>
      <c r="R213" s="9" t="s">
        <v>135</v>
      </c>
      <c r="S213" s="11" t="s">
        <v>70</v>
      </c>
      <c r="T213" s="9" t="s">
        <v>1258</v>
      </c>
      <c r="U213" s="11" t="s">
        <v>136</v>
      </c>
      <c r="V213" s="11" t="s">
        <v>72</v>
      </c>
      <c r="W213" s="11" t="s">
        <v>1259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74</v>
      </c>
    </row>
    <row r="214" customFormat="false" ht="15" hidden="false" customHeight="false" outlineLevel="0" collapsed="false">
      <c r="A214" s="9" t="s">
        <v>1260</v>
      </c>
      <c r="B214" s="9" t="s">
        <v>1261</v>
      </c>
      <c r="C214" s="9" t="s">
        <v>1079</v>
      </c>
      <c r="D214" s="9" t="s">
        <v>1262</v>
      </c>
      <c r="E214" s="9"/>
      <c r="F214" s="9"/>
      <c r="G214" s="10" t="n">
        <v>1</v>
      </c>
      <c r="H214" s="9" t="s">
        <v>1090</v>
      </c>
      <c r="I214" s="9" t="s">
        <v>1263</v>
      </c>
      <c r="J214" s="9"/>
      <c r="K214" s="11" t="s">
        <v>130</v>
      </c>
      <c r="L214" s="9" t="s">
        <v>1255</v>
      </c>
      <c r="M214" s="9" t="s">
        <v>1256</v>
      </c>
      <c r="N214" s="9" t="s">
        <v>1257</v>
      </c>
      <c r="O214" s="9" t="s">
        <v>66</v>
      </c>
      <c r="P214" s="9" t="s">
        <v>67</v>
      </c>
      <c r="Q214" s="9" t="s">
        <v>1264</v>
      </c>
      <c r="R214" s="9" t="s">
        <v>135</v>
      </c>
      <c r="S214" s="11" t="s">
        <v>70</v>
      </c>
      <c r="T214" s="9" t="s">
        <v>1264</v>
      </c>
      <c r="U214" s="11" t="s">
        <v>136</v>
      </c>
      <c r="V214" s="11" t="s">
        <v>72</v>
      </c>
      <c r="W214" s="11" t="s">
        <v>1265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74</v>
      </c>
    </row>
    <row r="215" customFormat="false" ht="15" hidden="false" customHeight="false" outlineLevel="0" collapsed="false">
      <c r="A215" s="9" t="s">
        <v>1266</v>
      </c>
      <c r="B215" s="9" t="s">
        <v>1267</v>
      </c>
      <c r="C215" s="9" t="s">
        <v>1079</v>
      </c>
      <c r="D215" s="9" t="s">
        <v>1268</v>
      </c>
      <c r="E215" s="10" t="n">
        <v>31.4</v>
      </c>
      <c r="F215" s="9"/>
      <c r="G215" s="9"/>
      <c r="H215" s="9" t="s">
        <v>1253</v>
      </c>
      <c r="I215" s="9" t="s">
        <v>1269</v>
      </c>
      <c r="J215" s="9"/>
      <c r="K215" s="11" t="s">
        <v>62</v>
      </c>
      <c r="L215" s="9" t="s">
        <v>1270</v>
      </c>
      <c r="M215" s="9" t="s">
        <v>1271</v>
      </c>
      <c r="N215" s="9" t="s">
        <v>65</v>
      </c>
      <c r="O215" s="9" t="s">
        <v>66</v>
      </c>
      <c r="P215" s="9" t="s">
        <v>67</v>
      </c>
      <c r="Q215" s="9" t="s">
        <v>1272</v>
      </c>
      <c r="R215" s="9" t="s">
        <v>69</v>
      </c>
      <c r="S215" s="11" t="s">
        <v>70</v>
      </c>
      <c r="T215" s="9" t="s">
        <v>1272</v>
      </c>
      <c r="U215" s="11" t="s">
        <v>1273</v>
      </c>
      <c r="V215" s="11" t="s">
        <v>72</v>
      </c>
      <c r="W215" s="11" t="s">
        <v>1274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74</v>
      </c>
    </row>
    <row r="216" customFormat="false" ht="15" hidden="false" customHeight="false" outlineLevel="0" collapsed="false">
      <c r="A216" s="9" t="s">
        <v>1275</v>
      </c>
      <c r="B216" s="9" t="s">
        <v>1276</v>
      </c>
      <c r="C216" s="9" t="s">
        <v>1079</v>
      </c>
      <c r="D216" s="11" t="s">
        <v>1277</v>
      </c>
      <c r="E216" s="10" t="n">
        <v>50</v>
      </c>
      <c r="F216" s="9"/>
      <c r="G216" s="9"/>
      <c r="H216" s="9" t="s">
        <v>1253</v>
      </c>
      <c r="I216" s="9" t="s">
        <v>1278</v>
      </c>
      <c r="J216" s="9"/>
      <c r="K216" s="11" t="s">
        <v>62</v>
      </c>
      <c r="L216" s="9" t="s">
        <v>1279</v>
      </c>
      <c r="M216" s="9" t="s">
        <v>1280</v>
      </c>
      <c r="N216" s="9" t="s">
        <v>1281</v>
      </c>
      <c r="O216" s="9" t="s">
        <v>66</v>
      </c>
      <c r="P216" s="9" t="s">
        <v>67</v>
      </c>
      <c r="Q216" s="9" t="s">
        <v>1282</v>
      </c>
      <c r="R216" s="9" t="s">
        <v>135</v>
      </c>
      <c r="S216" s="11" t="s">
        <v>70</v>
      </c>
      <c r="T216" s="9" t="s">
        <v>1282</v>
      </c>
      <c r="U216" s="11" t="s">
        <v>136</v>
      </c>
      <c r="V216" s="11" t="s">
        <v>72</v>
      </c>
      <c r="W216" s="11" t="s">
        <v>1283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74</v>
      </c>
    </row>
    <row r="217" customFormat="false" ht="15" hidden="false" customHeight="false" outlineLevel="0" collapsed="false">
      <c r="A217" s="9" t="s">
        <v>1284</v>
      </c>
      <c r="B217" s="9" t="s">
        <v>1285</v>
      </c>
      <c r="C217" s="9" t="s">
        <v>1079</v>
      </c>
      <c r="D217" s="9" t="s">
        <v>1286</v>
      </c>
      <c r="E217" s="9"/>
      <c r="F217" s="10" t="n">
        <v>168</v>
      </c>
      <c r="G217" s="10" t="n">
        <v>360</v>
      </c>
      <c r="H217" s="9" t="s">
        <v>1287</v>
      </c>
      <c r="I217" s="9" t="s">
        <v>290</v>
      </c>
      <c r="J217" s="9"/>
      <c r="K217" s="11" t="s">
        <v>130</v>
      </c>
      <c r="L217" s="9" t="s">
        <v>1288</v>
      </c>
      <c r="M217" s="9" t="s">
        <v>1289</v>
      </c>
      <c r="N217" s="9" t="s">
        <v>1281</v>
      </c>
      <c r="O217" s="9" t="s">
        <v>66</v>
      </c>
      <c r="P217" s="9" t="s">
        <v>283</v>
      </c>
      <c r="Q217" s="9"/>
      <c r="R217" s="9" t="s">
        <v>69</v>
      </c>
      <c r="S217" s="11" t="s">
        <v>284</v>
      </c>
      <c r="T217" s="11" t="s">
        <v>285</v>
      </c>
      <c r="U217" s="11" t="s">
        <v>71</v>
      </c>
      <c r="V217" s="11" t="s">
        <v>72</v>
      </c>
      <c r="W217" s="9" t="s">
        <v>1290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74</v>
      </c>
    </row>
    <row r="218" customFormat="false" ht="15" hidden="false" customHeight="false" outlineLevel="0" collapsed="false">
      <c r="A218" s="9" t="s">
        <v>1291</v>
      </c>
      <c r="B218" s="9" t="s">
        <v>1292</v>
      </c>
      <c r="C218" s="9" t="s">
        <v>1079</v>
      </c>
      <c r="D218" s="9" t="s">
        <v>1293</v>
      </c>
      <c r="E218" s="10" t="n">
        <v>245</v>
      </c>
      <c r="F218" s="9"/>
      <c r="G218" s="9"/>
      <c r="H218" s="9" t="s">
        <v>1205</v>
      </c>
      <c r="I218" s="9" t="s">
        <v>1294</v>
      </c>
      <c r="J218" s="9"/>
      <c r="K218" s="11" t="s">
        <v>130</v>
      </c>
      <c r="L218" s="9" t="s">
        <v>1295</v>
      </c>
      <c r="M218" s="9" t="s">
        <v>1296</v>
      </c>
      <c r="N218" s="9" t="s">
        <v>1297</v>
      </c>
      <c r="O218" s="9" t="s">
        <v>66</v>
      </c>
      <c r="P218" s="9" t="s">
        <v>67</v>
      </c>
      <c r="Q218" s="9" t="s">
        <v>1298</v>
      </c>
      <c r="R218" s="9" t="s">
        <v>69</v>
      </c>
      <c r="S218" s="11" t="s">
        <v>70</v>
      </c>
      <c r="T218" s="9" t="s">
        <v>1298</v>
      </c>
      <c r="U218" s="11" t="s">
        <v>71</v>
      </c>
      <c r="V218" s="11" t="s">
        <v>72</v>
      </c>
      <c r="W218" s="11" t="s">
        <v>1299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74</v>
      </c>
    </row>
    <row r="219" customFormat="false" ht="15" hidden="false" customHeight="false" outlineLevel="0" collapsed="false">
      <c r="A219" s="9" t="s">
        <v>1300</v>
      </c>
      <c r="B219" s="9" t="s">
        <v>1301</v>
      </c>
      <c r="C219" s="9" t="s">
        <v>1079</v>
      </c>
      <c r="D219" s="9" t="s">
        <v>1302</v>
      </c>
      <c r="E219" s="10" t="n">
        <v>7</v>
      </c>
      <c r="F219" s="9"/>
      <c r="G219" s="10" t="n">
        <v>17.7</v>
      </c>
      <c r="H219" s="9" t="s">
        <v>1303</v>
      </c>
      <c r="I219" s="9" t="s">
        <v>1304</v>
      </c>
      <c r="J219" s="9"/>
      <c r="K219" s="11" t="s">
        <v>62</v>
      </c>
      <c r="L219" s="9" t="s">
        <v>1305</v>
      </c>
      <c r="M219" s="9" t="s">
        <v>1296</v>
      </c>
      <c r="N219" s="9" t="s">
        <v>1297</v>
      </c>
      <c r="O219" s="9" t="s">
        <v>66</v>
      </c>
      <c r="P219" s="9" t="s">
        <v>67</v>
      </c>
      <c r="Q219" s="9" t="s">
        <v>1298</v>
      </c>
      <c r="R219" s="9" t="s">
        <v>69</v>
      </c>
      <c r="S219" s="11" t="s">
        <v>70</v>
      </c>
      <c r="T219" s="9" t="s">
        <v>1298</v>
      </c>
      <c r="U219" s="11" t="s">
        <v>71</v>
      </c>
      <c r="V219" s="11" t="s">
        <v>72</v>
      </c>
      <c r="W219" s="11" t="s">
        <v>1306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74</v>
      </c>
    </row>
    <row r="220" customFormat="false" ht="15" hidden="false" customHeight="false" outlineLevel="0" collapsed="false">
      <c r="A220" s="9" t="s">
        <v>1307</v>
      </c>
      <c r="B220" s="9" t="s">
        <v>1308</v>
      </c>
      <c r="C220" s="9" t="s">
        <v>1079</v>
      </c>
      <c r="D220" s="9" t="s">
        <v>1309</v>
      </c>
      <c r="E220" s="9"/>
      <c r="F220" s="10" t="n">
        <v>0.245</v>
      </c>
      <c r="G220" s="10" t="n">
        <v>2.295</v>
      </c>
      <c r="H220" s="9" t="s">
        <v>1090</v>
      </c>
      <c r="I220" s="9" t="s">
        <v>1105</v>
      </c>
      <c r="J220" s="9"/>
      <c r="K220" s="11" t="s">
        <v>130</v>
      </c>
      <c r="L220" s="9" t="s">
        <v>1305</v>
      </c>
      <c r="M220" s="9" t="s">
        <v>1296</v>
      </c>
      <c r="N220" s="9" t="s">
        <v>1297</v>
      </c>
      <c r="O220" s="9" t="s">
        <v>66</v>
      </c>
      <c r="P220" s="9" t="s">
        <v>67</v>
      </c>
      <c r="Q220" s="9" t="s">
        <v>1310</v>
      </c>
      <c r="R220" s="9" t="s">
        <v>69</v>
      </c>
      <c r="S220" s="11" t="s">
        <v>70</v>
      </c>
      <c r="T220" s="9" t="s">
        <v>1310</v>
      </c>
      <c r="U220" s="11" t="s">
        <v>71</v>
      </c>
      <c r="V220" s="11" t="s">
        <v>72</v>
      </c>
      <c r="W220" s="11" t="s">
        <v>1311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74</v>
      </c>
    </row>
    <row r="221" customFormat="false" ht="15" hidden="false" customHeight="false" outlineLevel="0" collapsed="false">
      <c r="A221" s="9" t="s">
        <v>1312</v>
      </c>
      <c r="B221" s="9" t="s">
        <v>1313</v>
      </c>
      <c r="C221" s="9" t="s">
        <v>1079</v>
      </c>
      <c r="D221" s="9" t="s">
        <v>1314</v>
      </c>
      <c r="E221" s="10" t="n">
        <v>401</v>
      </c>
      <c r="F221" s="9"/>
      <c r="G221" s="9"/>
      <c r="H221" s="9" t="s">
        <v>1205</v>
      </c>
      <c r="I221" s="9" t="s">
        <v>1315</v>
      </c>
      <c r="J221" s="9"/>
      <c r="K221" s="9" t="s">
        <v>1206</v>
      </c>
      <c r="L221" s="9" t="s">
        <v>1316</v>
      </c>
      <c r="M221" s="9" t="s">
        <v>1317</v>
      </c>
      <c r="N221" s="9" t="s">
        <v>1318</v>
      </c>
      <c r="O221" s="9" t="s">
        <v>66</v>
      </c>
      <c r="P221" s="9" t="s">
        <v>67</v>
      </c>
      <c r="Q221" s="9" t="s">
        <v>1319</v>
      </c>
      <c r="R221" s="9" t="s">
        <v>135</v>
      </c>
      <c r="S221" s="11" t="s">
        <v>70</v>
      </c>
      <c r="T221" s="9" t="s">
        <v>1319</v>
      </c>
      <c r="U221" s="11" t="s">
        <v>136</v>
      </c>
      <c r="V221" s="11" t="s">
        <v>72</v>
      </c>
      <c r="W221" s="11" t="s">
        <v>1320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74</v>
      </c>
    </row>
    <row r="222" customFormat="false" ht="15" hidden="false" customHeight="false" outlineLevel="0" collapsed="false">
      <c r="A222" s="9" t="s">
        <v>1321</v>
      </c>
      <c r="B222" s="9" t="s">
        <v>1322</v>
      </c>
      <c r="C222" s="9" t="s">
        <v>1079</v>
      </c>
      <c r="D222" s="9" t="s">
        <v>1323</v>
      </c>
      <c r="E222" s="10" t="n">
        <v>19</v>
      </c>
      <c r="F222" s="9"/>
      <c r="G222" s="9"/>
      <c r="H222" s="9" t="s">
        <v>1324</v>
      </c>
      <c r="I222" s="9" t="s">
        <v>1325</v>
      </c>
      <c r="J222" s="9"/>
      <c r="K222" s="11" t="s">
        <v>62</v>
      </c>
      <c r="L222" s="9" t="s">
        <v>1316</v>
      </c>
      <c r="M222" s="9" t="s">
        <v>1317</v>
      </c>
      <c r="N222" s="9" t="s">
        <v>1318</v>
      </c>
      <c r="O222" s="9" t="s">
        <v>66</v>
      </c>
      <c r="P222" s="9" t="s">
        <v>67</v>
      </c>
      <c r="Q222" s="9" t="s">
        <v>1319</v>
      </c>
      <c r="R222" s="9" t="s">
        <v>135</v>
      </c>
      <c r="S222" s="11" t="s">
        <v>70</v>
      </c>
      <c r="T222" s="9" t="s">
        <v>1319</v>
      </c>
      <c r="U222" s="11" t="s">
        <v>136</v>
      </c>
      <c r="V222" s="11" t="s">
        <v>72</v>
      </c>
      <c r="W222" s="11" t="s">
        <v>1326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74</v>
      </c>
    </row>
    <row r="223" customFormat="false" ht="15" hidden="false" customHeight="false" outlineLevel="0" collapsed="false">
      <c r="A223" s="9" t="s">
        <v>1327</v>
      </c>
      <c r="B223" s="9" t="s">
        <v>1328</v>
      </c>
      <c r="C223" s="9" t="s">
        <v>1079</v>
      </c>
      <c r="D223" s="9" t="s">
        <v>1329</v>
      </c>
      <c r="E223" s="10" t="n">
        <v>191</v>
      </c>
      <c r="F223" s="10" t="n">
        <v>96</v>
      </c>
      <c r="G223" s="9"/>
      <c r="H223" s="9" t="s">
        <v>1205</v>
      </c>
      <c r="I223" s="9" t="s">
        <v>1330</v>
      </c>
      <c r="J223" s="9"/>
      <c r="K223" s="11" t="s">
        <v>130</v>
      </c>
      <c r="L223" s="9" t="s">
        <v>1331</v>
      </c>
      <c r="M223" s="9" t="s">
        <v>1332</v>
      </c>
      <c r="N223" s="9" t="s">
        <v>1333</v>
      </c>
      <c r="O223" s="9" t="s">
        <v>66</v>
      </c>
      <c r="P223" s="9" t="s">
        <v>67</v>
      </c>
      <c r="Q223" s="9" t="s">
        <v>1334</v>
      </c>
      <c r="R223" s="9" t="s">
        <v>69</v>
      </c>
      <c r="S223" s="11" t="s">
        <v>70</v>
      </c>
      <c r="T223" s="9" t="s">
        <v>1334</v>
      </c>
      <c r="U223" s="11" t="s">
        <v>71</v>
      </c>
      <c r="V223" s="11" t="s">
        <v>72</v>
      </c>
      <c r="W223" s="11" t="s">
        <v>1335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74</v>
      </c>
    </row>
    <row r="224" customFormat="false" ht="15" hidden="false" customHeight="false" outlineLevel="0" collapsed="false">
      <c r="A224" s="9" t="s">
        <v>1336</v>
      </c>
      <c r="B224" s="9" t="s">
        <v>1337</v>
      </c>
      <c r="C224" s="9" t="s">
        <v>1079</v>
      </c>
      <c r="D224" s="9" t="s">
        <v>1338</v>
      </c>
      <c r="E224" s="10" t="n">
        <v>9.1</v>
      </c>
      <c r="F224" s="9"/>
      <c r="G224" s="10" t="n">
        <v>16.5</v>
      </c>
      <c r="H224" s="9" t="s">
        <v>1339</v>
      </c>
      <c r="I224" s="9" t="s">
        <v>1325</v>
      </c>
      <c r="J224" s="9"/>
      <c r="K224" s="11" t="s">
        <v>62</v>
      </c>
      <c r="L224" s="9" t="s">
        <v>1305</v>
      </c>
      <c r="M224" s="9" t="s">
        <v>1332</v>
      </c>
      <c r="N224" s="9" t="s">
        <v>1333</v>
      </c>
      <c r="O224" s="9" t="s">
        <v>66</v>
      </c>
      <c r="P224" s="9" t="s">
        <v>67</v>
      </c>
      <c r="Q224" s="9" t="s">
        <v>1340</v>
      </c>
      <c r="R224" s="9" t="s">
        <v>69</v>
      </c>
      <c r="S224" s="11" t="s">
        <v>70</v>
      </c>
      <c r="T224" s="9" t="s">
        <v>1340</v>
      </c>
      <c r="U224" s="11" t="s">
        <v>71</v>
      </c>
      <c r="V224" s="11" t="s">
        <v>72</v>
      </c>
      <c r="W224" s="11" t="s">
        <v>1341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74</v>
      </c>
    </row>
    <row r="225" customFormat="false" ht="15" hidden="false" customHeight="false" outlineLevel="0" collapsed="false">
      <c r="A225" s="9" t="s">
        <v>1342</v>
      </c>
      <c r="B225" s="9" t="s">
        <v>1343</v>
      </c>
      <c r="C225" s="9" t="s">
        <v>1079</v>
      </c>
      <c r="D225" s="9" t="s">
        <v>1344</v>
      </c>
      <c r="E225" s="10" t="n">
        <v>45</v>
      </c>
      <c r="F225" s="9"/>
      <c r="G225" s="9"/>
      <c r="H225" s="9" t="s">
        <v>1345</v>
      </c>
      <c r="I225" s="11" t="s">
        <v>1346</v>
      </c>
      <c r="J225" s="9"/>
      <c r="K225" s="11" t="s">
        <v>62</v>
      </c>
      <c r="L225" s="9" t="s">
        <v>1347</v>
      </c>
      <c r="M225" s="9" t="s">
        <v>1348</v>
      </c>
      <c r="N225" s="9" t="s">
        <v>1349</v>
      </c>
      <c r="O225" s="9" t="s">
        <v>66</v>
      </c>
      <c r="P225" s="9" t="s">
        <v>67</v>
      </c>
      <c r="Q225" s="9" t="s">
        <v>1350</v>
      </c>
      <c r="R225" s="9" t="s">
        <v>69</v>
      </c>
      <c r="S225" s="11" t="s">
        <v>70</v>
      </c>
      <c r="T225" s="9" t="s">
        <v>1350</v>
      </c>
      <c r="U225" s="11" t="s">
        <v>71</v>
      </c>
      <c r="V225" s="11" t="s">
        <v>72</v>
      </c>
      <c r="W225" s="11" t="s">
        <v>1351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74</v>
      </c>
    </row>
    <row r="226" customFormat="false" ht="15" hidden="false" customHeight="false" outlineLevel="0" collapsed="false">
      <c r="A226" s="9" t="s">
        <v>1352</v>
      </c>
      <c r="B226" s="9" t="s">
        <v>1353</v>
      </c>
      <c r="C226" s="9" t="s">
        <v>1079</v>
      </c>
      <c r="D226" s="9" t="s">
        <v>1354</v>
      </c>
      <c r="E226" s="10" t="n">
        <v>460</v>
      </c>
      <c r="F226" s="9"/>
      <c r="G226" s="9"/>
      <c r="H226" s="9" t="s">
        <v>1205</v>
      </c>
      <c r="I226" s="9" t="s">
        <v>1355</v>
      </c>
      <c r="J226" s="9"/>
      <c r="K226" s="11" t="s">
        <v>130</v>
      </c>
      <c r="L226" s="9" t="s">
        <v>1305</v>
      </c>
      <c r="M226" s="9" t="s">
        <v>1348</v>
      </c>
      <c r="N226" s="9" t="s">
        <v>1349</v>
      </c>
      <c r="O226" s="9" t="s">
        <v>66</v>
      </c>
      <c r="P226" s="9" t="s">
        <v>67</v>
      </c>
      <c r="Q226" s="9" t="s">
        <v>1356</v>
      </c>
      <c r="R226" s="9" t="s">
        <v>69</v>
      </c>
      <c r="S226" s="11" t="s">
        <v>70</v>
      </c>
      <c r="T226" s="9" t="s">
        <v>1356</v>
      </c>
      <c r="U226" s="11" t="s">
        <v>71</v>
      </c>
      <c r="V226" s="11" t="s">
        <v>72</v>
      </c>
      <c r="W226" s="11" t="s">
        <v>1357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74</v>
      </c>
    </row>
    <row r="227" customFormat="false" ht="15" hidden="false" customHeight="false" outlineLevel="0" collapsed="false">
      <c r="A227" s="9" t="s">
        <v>1358</v>
      </c>
      <c r="B227" s="9" t="s">
        <v>1359</v>
      </c>
      <c r="C227" s="9" t="s">
        <v>1079</v>
      </c>
      <c r="D227" s="9" t="s">
        <v>1360</v>
      </c>
      <c r="E227" s="10" t="n">
        <v>35</v>
      </c>
      <c r="F227" s="9"/>
      <c r="G227" s="9"/>
      <c r="H227" s="9" t="s">
        <v>1361</v>
      </c>
      <c r="I227" s="11" t="s">
        <v>1362</v>
      </c>
      <c r="J227" s="9"/>
      <c r="K227" s="11" t="s">
        <v>62</v>
      </c>
      <c r="L227" s="9" t="s">
        <v>1363</v>
      </c>
      <c r="M227" s="9" t="s">
        <v>1364</v>
      </c>
      <c r="N227" s="9" t="s">
        <v>683</v>
      </c>
      <c r="O227" s="9" t="s">
        <v>66</v>
      </c>
      <c r="P227" s="9" t="s">
        <v>67</v>
      </c>
      <c r="Q227" s="9" t="s">
        <v>1365</v>
      </c>
      <c r="R227" s="9" t="s">
        <v>69</v>
      </c>
      <c r="S227" s="11" t="s">
        <v>70</v>
      </c>
      <c r="T227" s="9" t="s">
        <v>1365</v>
      </c>
      <c r="U227" s="11" t="s">
        <v>71</v>
      </c>
      <c r="V227" s="11" t="s">
        <v>72</v>
      </c>
      <c r="W227" s="11" t="s">
        <v>1366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74</v>
      </c>
    </row>
    <row r="228" customFormat="false" ht="15" hidden="false" customHeight="false" outlineLevel="0" collapsed="false">
      <c r="A228" s="9" t="s">
        <v>1367</v>
      </c>
      <c r="B228" s="9" t="s">
        <v>1368</v>
      </c>
      <c r="C228" s="9" t="s">
        <v>1079</v>
      </c>
      <c r="D228" s="9" t="s">
        <v>1369</v>
      </c>
      <c r="E228" s="10" t="n">
        <v>350</v>
      </c>
      <c r="F228" s="9"/>
      <c r="G228" s="9"/>
      <c r="H228" s="9" t="s">
        <v>1205</v>
      </c>
      <c r="I228" s="11" t="s">
        <v>1370</v>
      </c>
      <c r="J228" s="9"/>
      <c r="K228" s="11" t="s">
        <v>130</v>
      </c>
      <c r="L228" s="9" t="s">
        <v>1371</v>
      </c>
      <c r="M228" s="9" t="s">
        <v>1364</v>
      </c>
      <c r="N228" s="9" t="s">
        <v>683</v>
      </c>
      <c r="O228" s="9" t="s">
        <v>66</v>
      </c>
      <c r="P228" s="9" t="s">
        <v>67</v>
      </c>
      <c r="Q228" s="9" t="s">
        <v>1372</v>
      </c>
      <c r="R228" s="11" t="s">
        <v>87</v>
      </c>
      <c r="S228" s="11" t="s">
        <v>70</v>
      </c>
      <c r="T228" s="9" t="s">
        <v>1372</v>
      </c>
      <c r="U228" s="11" t="s">
        <v>87</v>
      </c>
      <c r="V228" s="11" t="s">
        <v>72</v>
      </c>
      <c r="W228" s="11" t="s">
        <v>1373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74</v>
      </c>
    </row>
    <row r="229" customFormat="false" ht="15" hidden="false" customHeight="false" outlineLevel="0" collapsed="false">
      <c r="A229" s="9" t="s">
        <v>1374</v>
      </c>
      <c r="B229" s="9" t="s">
        <v>1375</v>
      </c>
      <c r="C229" s="9" t="s">
        <v>1079</v>
      </c>
      <c r="D229" s="9" t="s">
        <v>1376</v>
      </c>
      <c r="E229" s="9"/>
      <c r="F229" s="10" t="n">
        <v>300</v>
      </c>
      <c r="G229" s="9"/>
      <c r="H229" s="9" t="s">
        <v>1205</v>
      </c>
      <c r="I229" s="9" t="s">
        <v>1377</v>
      </c>
      <c r="J229" s="9"/>
      <c r="K229" s="11" t="s">
        <v>130</v>
      </c>
      <c r="L229" s="9" t="s">
        <v>1121</v>
      </c>
      <c r="M229" s="9" t="s">
        <v>1122</v>
      </c>
      <c r="N229" s="9" t="s">
        <v>915</v>
      </c>
      <c r="O229" s="9" t="s">
        <v>66</v>
      </c>
      <c r="P229" s="9" t="s">
        <v>67</v>
      </c>
      <c r="Q229" s="9" t="s">
        <v>1378</v>
      </c>
      <c r="R229" s="9" t="s">
        <v>135</v>
      </c>
      <c r="S229" s="11" t="s">
        <v>70</v>
      </c>
      <c r="T229" s="9" t="s">
        <v>1378</v>
      </c>
      <c r="U229" s="11" t="s">
        <v>136</v>
      </c>
      <c r="V229" s="11" t="s">
        <v>72</v>
      </c>
      <c r="W229" s="11" t="s">
        <v>1379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74</v>
      </c>
    </row>
    <row r="230" customFormat="false" ht="15" hidden="false" customHeight="false" outlineLevel="0" collapsed="false">
      <c r="A230" s="9" t="s">
        <v>1380</v>
      </c>
      <c r="B230" s="9" t="s">
        <v>1381</v>
      </c>
      <c r="C230" s="9" t="s">
        <v>1079</v>
      </c>
      <c r="D230" s="9" t="s">
        <v>1382</v>
      </c>
      <c r="E230" s="9"/>
      <c r="F230" s="10" t="n">
        <v>220000</v>
      </c>
      <c r="G230" s="9"/>
      <c r="H230" s="11" t="s">
        <v>1383</v>
      </c>
      <c r="I230" s="9" t="s">
        <v>217</v>
      </c>
      <c r="J230" s="9"/>
      <c r="K230" s="9"/>
      <c r="L230" s="9" t="s">
        <v>1121</v>
      </c>
      <c r="M230" s="9" t="s">
        <v>1122</v>
      </c>
      <c r="N230" s="9" t="s">
        <v>915</v>
      </c>
      <c r="O230" s="9" t="s">
        <v>66</v>
      </c>
      <c r="P230" s="9" t="s">
        <v>67</v>
      </c>
      <c r="Q230" s="9" t="s">
        <v>1100</v>
      </c>
      <c r="R230" s="9" t="s">
        <v>135</v>
      </c>
      <c r="S230" s="11" t="s">
        <v>70</v>
      </c>
      <c r="T230" s="9" t="s">
        <v>1100</v>
      </c>
      <c r="U230" s="11" t="s">
        <v>136</v>
      </c>
      <c r="V230" s="11" t="s">
        <v>72</v>
      </c>
      <c r="W230" s="11" t="s">
        <v>1384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74</v>
      </c>
    </row>
    <row r="231" customFormat="false" ht="15" hidden="false" customHeight="false" outlineLevel="0" collapsed="false">
      <c r="A231" s="9" t="s">
        <v>1385</v>
      </c>
      <c r="B231" s="9" t="s">
        <v>1386</v>
      </c>
      <c r="C231" s="9" t="s">
        <v>1079</v>
      </c>
      <c r="D231" s="9" t="s">
        <v>1387</v>
      </c>
      <c r="E231" s="10" t="n">
        <v>1.25</v>
      </c>
      <c r="F231" s="9"/>
      <c r="G231" s="9"/>
      <c r="H231" s="9" t="s">
        <v>1388</v>
      </c>
      <c r="I231" s="9" t="s">
        <v>1389</v>
      </c>
      <c r="J231" s="9"/>
      <c r="K231" s="11" t="s">
        <v>62</v>
      </c>
      <c r="L231" s="9" t="s">
        <v>1390</v>
      </c>
      <c r="M231" s="9" t="s">
        <v>1391</v>
      </c>
      <c r="N231" s="9" t="s">
        <v>398</v>
      </c>
      <c r="O231" s="9" t="s">
        <v>66</v>
      </c>
      <c r="P231" s="9" t="s">
        <v>1113</v>
      </c>
      <c r="Q231" s="9"/>
      <c r="R231" s="9" t="s">
        <v>69</v>
      </c>
      <c r="S231" s="11" t="s">
        <v>1114</v>
      </c>
      <c r="T231" s="11" t="s">
        <v>1115</v>
      </c>
      <c r="U231" s="11" t="s">
        <v>71</v>
      </c>
      <c r="V231" s="11" t="s">
        <v>72</v>
      </c>
      <c r="W231" s="9" t="s">
        <v>1392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74</v>
      </c>
    </row>
    <row r="232" customFormat="false" ht="15" hidden="false" customHeight="false" outlineLevel="0" collapsed="false">
      <c r="A232" s="9" t="s">
        <v>1393</v>
      </c>
      <c r="B232" s="9" t="s">
        <v>1394</v>
      </c>
      <c r="C232" s="9" t="s">
        <v>1079</v>
      </c>
      <c r="D232" s="9" t="s">
        <v>1395</v>
      </c>
      <c r="E232" s="10" t="n">
        <v>180</v>
      </c>
      <c r="F232" s="9"/>
      <c r="G232" s="9"/>
      <c r="H232" s="11" t="s">
        <v>1396</v>
      </c>
      <c r="I232" s="9" t="s">
        <v>1397</v>
      </c>
      <c r="J232" s="9"/>
      <c r="K232" s="9"/>
      <c r="L232" s="9" t="s">
        <v>1398</v>
      </c>
      <c r="M232" s="9" t="s">
        <v>1399</v>
      </c>
      <c r="N232" s="9" t="s">
        <v>1400</v>
      </c>
      <c r="O232" s="9" t="s">
        <v>66</v>
      </c>
      <c r="P232" s="9" t="s">
        <v>67</v>
      </c>
      <c r="Q232" s="9" t="s">
        <v>1401</v>
      </c>
      <c r="R232" s="9" t="s">
        <v>69</v>
      </c>
      <c r="S232" s="11" t="s">
        <v>70</v>
      </c>
      <c r="T232" s="9" t="s">
        <v>1401</v>
      </c>
      <c r="U232" s="11" t="s">
        <v>1116</v>
      </c>
      <c r="V232" s="11" t="s">
        <v>72</v>
      </c>
      <c r="W232" s="9" t="s">
        <v>1402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74</v>
      </c>
    </row>
    <row r="233" customFormat="false" ht="15" hidden="false" customHeight="false" outlineLevel="0" collapsed="false">
      <c r="A233" s="9" t="s">
        <v>1403</v>
      </c>
      <c r="B233" s="9" t="s">
        <v>1404</v>
      </c>
      <c r="C233" s="9" t="s">
        <v>1079</v>
      </c>
      <c r="D233" s="9" t="s">
        <v>1405</v>
      </c>
      <c r="E233" s="9"/>
      <c r="F233" s="9"/>
      <c r="G233" s="10" t="n">
        <v>84.5</v>
      </c>
      <c r="H233" s="9" t="s">
        <v>1406</v>
      </c>
      <c r="I233" s="9" t="s">
        <v>1407</v>
      </c>
      <c r="J233" s="9"/>
      <c r="K233" s="11" t="s">
        <v>62</v>
      </c>
      <c r="L233" s="9" t="s">
        <v>1408</v>
      </c>
      <c r="M233" s="9" t="s">
        <v>1409</v>
      </c>
      <c r="N233" s="9" t="s">
        <v>65</v>
      </c>
      <c r="O233" s="9" t="s">
        <v>66</v>
      </c>
      <c r="P233" s="9" t="s">
        <v>67</v>
      </c>
      <c r="Q233" s="9" t="s">
        <v>1410</v>
      </c>
      <c r="R233" s="9" t="s">
        <v>69</v>
      </c>
      <c r="S233" s="11" t="s">
        <v>70</v>
      </c>
      <c r="T233" s="9" t="s">
        <v>1410</v>
      </c>
      <c r="U233" s="11" t="s">
        <v>71</v>
      </c>
      <c r="V233" s="11" t="s">
        <v>72</v>
      </c>
      <c r="W233" s="11" t="s">
        <v>1411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74</v>
      </c>
    </row>
    <row r="234" customFormat="false" ht="15" hidden="false" customHeight="false" outlineLevel="0" collapsed="false">
      <c r="A234" s="9" t="s">
        <v>1412</v>
      </c>
      <c r="B234" s="9" t="s">
        <v>1413</v>
      </c>
      <c r="C234" s="9" t="s">
        <v>1079</v>
      </c>
      <c r="D234" s="9" t="s">
        <v>1414</v>
      </c>
      <c r="E234" s="9" t="n">
        <f aca="false">SRC_ANT_227*INP_014</f>
        <v>45</v>
      </c>
      <c r="F234" s="9"/>
      <c r="G234" s="9"/>
      <c r="H234" s="9" t="s">
        <v>1415</v>
      </c>
      <c r="I234" s="9" t="s">
        <v>1389</v>
      </c>
      <c r="J234" s="9"/>
      <c r="K234" s="11" t="s">
        <v>62</v>
      </c>
      <c r="L234" s="9" t="s">
        <v>1416</v>
      </c>
      <c r="M234" s="9" t="s">
        <v>1246</v>
      </c>
      <c r="N234" s="9" t="s">
        <v>1247</v>
      </c>
      <c r="O234" s="9" t="s">
        <v>66</v>
      </c>
      <c r="P234" s="9" t="s">
        <v>86</v>
      </c>
      <c r="Q234" s="9"/>
      <c r="R234" s="11" t="s">
        <v>87</v>
      </c>
      <c r="S234" s="11" t="s">
        <v>88</v>
      </c>
      <c r="T234" s="11" t="s">
        <v>89</v>
      </c>
      <c r="U234" s="11" t="s">
        <v>88</v>
      </c>
      <c r="V234" s="9" t="s">
        <v>90</v>
      </c>
      <c r="W234" s="11" t="s">
        <v>1417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74</v>
      </c>
    </row>
    <row r="235" customFormat="false" ht="15" hidden="false" customHeight="false" outlineLevel="0" collapsed="false">
      <c r="A235" s="9" t="s">
        <v>1418</v>
      </c>
      <c r="B235" s="9" t="s">
        <v>1419</v>
      </c>
      <c r="C235" s="9" t="s">
        <v>1079</v>
      </c>
      <c r="D235" s="9" t="s">
        <v>1420</v>
      </c>
      <c r="E235" s="9"/>
      <c r="F235" s="9"/>
      <c r="G235" s="10" t="n">
        <v>2</v>
      </c>
      <c r="H235" s="9" t="s">
        <v>1090</v>
      </c>
      <c r="I235" s="11" t="s">
        <v>1421</v>
      </c>
      <c r="J235" s="9"/>
      <c r="K235" s="11" t="s">
        <v>130</v>
      </c>
      <c r="L235" s="9" t="s">
        <v>1422</v>
      </c>
      <c r="M235" s="9" t="s">
        <v>1423</v>
      </c>
      <c r="N235" s="9" t="s">
        <v>1424</v>
      </c>
      <c r="O235" s="9" t="s">
        <v>66</v>
      </c>
      <c r="P235" s="9" t="s">
        <v>67</v>
      </c>
      <c r="Q235" s="9" t="s">
        <v>1425</v>
      </c>
      <c r="R235" s="9" t="s">
        <v>135</v>
      </c>
      <c r="S235" s="11" t="s">
        <v>70</v>
      </c>
      <c r="T235" s="9" t="s">
        <v>1425</v>
      </c>
      <c r="U235" s="11" t="s">
        <v>136</v>
      </c>
      <c r="V235" s="11" t="s">
        <v>72</v>
      </c>
      <c r="W235" s="11" t="s">
        <v>1426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74</v>
      </c>
    </row>
    <row r="236" customFormat="false" ht="15" hidden="false" customHeight="false" outlineLevel="0" collapsed="false">
      <c r="A236" s="9" t="s">
        <v>1427</v>
      </c>
      <c r="B236" s="9" t="s">
        <v>1428</v>
      </c>
      <c r="C236" s="9" t="s">
        <v>1079</v>
      </c>
      <c r="D236" s="9" t="s">
        <v>1429</v>
      </c>
      <c r="E236" s="9"/>
      <c r="F236" s="10" t="n">
        <v>20</v>
      </c>
      <c r="G236" s="9"/>
      <c r="H236" s="9" t="s">
        <v>1253</v>
      </c>
      <c r="I236" s="9" t="s">
        <v>1430</v>
      </c>
      <c r="J236" s="9"/>
      <c r="K236" s="11" t="s">
        <v>62</v>
      </c>
      <c r="L236" s="9" t="s">
        <v>1431</v>
      </c>
      <c r="M236" s="9" t="s">
        <v>1409</v>
      </c>
      <c r="N236" s="9" t="s">
        <v>65</v>
      </c>
      <c r="O236" s="9" t="s">
        <v>66</v>
      </c>
      <c r="P236" s="9" t="s">
        <v>67</v>
      </c>
      <c r="Q236" s="9" t="s">
        <v>1410</v>
      </c>
      <c r="R236" s="9" t="s">
        <v>69</v>
      </c>
      <c r="S236" s="11" t="s">
        <v>70</v>
      </c>
      <c r="T236" s="9" t="s">
        <v>1410</v>
      </c>
      <c r="U236" s="11" t="s">
        <v>71</v>
      </c>
      <c r="V236" s="11" t="s">
        <v>72</v>
      </c>
      <c r="W236" s="11" t="s">
        <v>1432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74</v>
      </c>
    </row>
    <row r="237" customFormat="false" ht="15" hidden="false" customHeight="false" outlineLevel="0" collapsed="false">
      <c r="A237" s="9" t="s">
        <v>1433</v>
      </c>
      <c r="B237" s="9" t="s">
        <v>1434</v>
      </c>
      <c r="C237" s="9" t="s">
        <v>1079</v>
      </c>
      <c r="D237" s="9" t="s">
        <v>1435</v>
      </c>
      <c r="E237" s="9"/>
      <c r="F237" s="9"/>
      <c r="G237" s="9"/>
      <c r="H237" s="11" t="s">
        <v>265</v>
      </c>
      <c r="I237" s="9" t="s">
        <v>1436</v>
      </c>
      <c r="J237" s="9"/>
      <c r="K237" s="9"/>
      <c r="L237" s="9" t="s">
        <v>1437</v>
      </c>
      <c r="M237" s="9" t="s">
        <v>1438</v>
      </c>
      <c r="N237" s="9" t="s">
        <v>1439</v>
      </c>
      <c r="O237" s="9" t="s">
        <v>66</v>
      </c>
      <c r="P237" s="9" t="s">
        <v>67</v>
      </c>
      <c r="Q237" s="9" t="s">
        <v>1440</v>
      </c>
      <c r="R237" s="9" t="s">
        <v>135</v>
      </c>
      <c r="S237" s="11" t="s">
        <v>70</v>
      </c>
      <c r="T237" s="9" t="s">
        <v>1440</v>
      </c>
      <c r="U237" s="11" t="s">
        <v>136</v>
      </c>
      <c r="V237" s="11" t="s">
        <v>72</v>
      </c>
      <c r="W237" s="11" t="s">
        <v>1441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74</v>
      </c>
    </row>
    <row r="238" customFormat="false" ht="15" hidden="false" customHeight="false" outlineLevel="0" collapsed="false">
      <c r="A238" s="9" t="s">
        <v>1442</v>
      </c>
      <c r="B238" s="9" t="s">
        <v>1443</v>
      </c>
      <c r="C238" s="9" t="s">
        <v>1079</v>
      </c>
      <c r="D238" s="9" t="s">
        <v>1444</v>
      </c>
      <c r="E238" s="10" t="n">
        <v>1.8</v>
      </c>
      <c r="F238" s="9"/>
      <c r="G238" s="9"/>
      <c r="H238" s="9" t="s">
        <v>1445</v>
      </c>
      <c r="I238" s="9" t="s">
        <v>1446</v>
      </c>
      <c r="J238" s="9"/>
      <c r="K238" s="11" t="s">
        <v>62</v>
      </c>
      <c r="L238" s="9" t="s">
        <v>1447</v>
      </c>
      <c r="M238" s="9" t="s">
        <v>1448</v>
      </c>
      <c r="N238" s="9" t="s">
        <v>1449</v>
      </c>
      <c r="O238" s="9" t="s">
        <v>66</v>
      </c>
      <c r="P238" s="9" t="s">
        <v>67</v>
      </c>
      <c r="Q238" s="9" t="s">
        <v>1450</v>
      </c>
      <c r="R238" s="9" t="s">
        <v>69</v>
      </c>
      <c r="S238" s="11" t="s">
        <v>70</v>
      </c>
      <c r="T238" s="9" t="s">
        <v>1450</v>
      </c>
      <c r="U238" s="11" t="s">
        <v>71</v>
      </c>
      <c r="V238" s="11" t="s">
        <v>72</v>
      </c>
      <c r="W238" s="11" t="s">
        <v>1451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74</v>
      </c>
    </row>
    <row r="239" customFormat="false" ht="15" hidden="false" customHeight="false" outlineLevel="0" collapsed="false">
      <c r="A239" s="9" t="s">
        <v>1452</v>
      </c>
      <c r="B239" s="9" t="s">
        <v>1453</v>
      </c>
      <c r="C239" s="9" t="s">
        <v>1079</v>
      </c>
      <c r="D239" s="9" t="s">
        <v>1454</v>
      </c>
      <c r="E239" s="9"/>
      <c r="F239" s="9"/>
      <c r="G239" s="9"/>
      <c r="H239" s="11" t="s">
        <v>1455</v>
      </c>
      <c r="I239" s="9" t="s">
        <v>180</v>
      </c>
      <c r="J239" s="9"/>
      <c r="K239" s="9"/>
      <c r="L239" s="9" t="s">
        <v>1456</v>
      </c>
      <c r="M239" s="9" t="s">
        <v>1457</v>
      </c>
      <c r="N239" s="9" t="s">
        <v>1085</v>
      </c>
      <c r="O239" s="9" t="s">
        <v>66</v>
      </c>
      <c r="P239" s="9" t="s">
        <v>67</v>
      </c>
      <c r="Q239" s="9" t="s">
        <v>1458</v>
      </c>
      <c r="R239" s="9" t="s">
        <v>135</v>
      </c>
      <c r="S239" s="11" t="s">
        <v>70</v>
      </c>
      <c r="T239" s="9" t="s">
        <v>1458</v>
      </c>
      <c r="U239" s="11" t="s">
        <v>136</v>
      </c>
      <c r="V239" s="11" t="s">
        <v>72</v>
      </c>
      <c r="W239" s="9" t="s">
        <v>1459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74</v>
      </c>
    </row>
    <row r="240" customFormat="false" ht="15" hidden="false" customHeight="false" outlineLevel="0" collapsed="false">
      <c r="A240" s="9" t="s">
        <v>1460</v>
      </c>
      <c r="B240" s="9" t="s">
        <v>1461</v>
      </c>
      <c r="C240" s="9" t="s">
        <v>1079</v>
      </c>
      <c r="D240" s="9" t="s">
        <v>1462</v>
      </c>
      <c r="E240" s="10" t="n">
        <v>10</v>
      </c>
      <c r="F240" s="9"/>
      <c r="G240" s="9"/>
      <c r="H240" s="9" t="s">
        <v>1345</v>
      </c>
      <c r="I240" s="11" t="s">
        <v>1463</v>
      </c>
      <c r="J240" s="9"/>
      <c r="K240" s="11" t="s">
        <v>62</v>
      </c>
      <c r="L240" s="9" t="s">
        <v>1464</v>
      </c>
      <c r="M240" s="9" t="s">
        <v>1465</v>
      </c>
      <c r="N240" s="9" t="s">
        <v>1318</v>
      </c>
      <c r="O240" s="9" t="s">
        <v>66</v>
      </c>
      <c r="P240" s="9" t="s">
        <v>67</v>
      </c>
      <c r="Q240" s="9" t="s">
        <v>1466</v>
      </c>
      <c r="R240" s="9" t="s">
        <v>69</v>
      </c>
      <c r="S240" s="11" t="s">
        <v>70</v>
      </c>
      <c r="T240" s="9" t="s">
        <v>1466</v>
      </c>
      <c r="U240" s="11" t="s">
        <v>71</v>
      </c>
      <c r="V240" s="11" t="s">
        <v>72</v>
      </c>
      <c r="W240" s="11" t="s">
        <v>1467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74</v>
      </c>
    </row>
    <row r="241" customFormat="false" ht="15" hidden="false" customHeight="false" outlineLevel="0" collapsed="false">
      <c r="A241" s="9" t="s">
        <v>1468</v>
      </c>
      <c r="B241" s="9" t="s">
        <v>1469</v>
      </c>
      <c r="C241" s="9" t="s">
        <v>1079</v>
      </c>
      <c r="D241" s="9" t="s">
        <v>1470</v>
      </c>
      <c r="E241" s="10" t="n">
        <v>133</v>
      </c>
      <c r="F241" s="9"/>
      <c r="G241" s="9"/>
      <c r="H241" s="9" t="s">
        <v>1205</v>
      </c>
      <c r="I241" s="11" t="s">
        <v>1471</v>
      </c>
      <c r="J241" s="9"/>
      <c r="K241" s="11" t="s">
        <v>130</v>
      </c>
      <c r="L241" s="9" t="s">
        <v>1472</v>
      </c>
      <c r="M241" s="9" t="s">
        <v>1473</v>
      </c>
      <c r="N241" s="9" t="s">
        <v>1318</v>
      </c>
      <c r="O241" s="9" t="s">
        <v>66</v>
      </c>
      <c r="P241" s="9" t="s">
        <v>67</v>
      </c>
      <c r="Q241" s="9" t="s">
        <v>1474</v>
      </c>
      <c r="R241" s="11" t="s">
        <v>87</v>
      </c>
      <c r="S241" s="11" t="s">
        <v>70</v>
      </c>
      <c r="T241" s="9" t="s">
        <v>1474</v>
      </c>
      <c r="U241" s="11" t="s">
        <v>87</v>
      </c>
      <c r="V241" s="11" t="s">
        <v>72</v>
      </c>
      <c r="W241" s="11" t="s">
        <v>1475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74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1079</v>
      </c>
      <c r="D242" s="9" t="s">
        <v>1478</v>
      </c>
      <c r="E242" s="10" t="n">
        <v>500</v>
      </c>
      <c r="F242" s="9"/>
      <c r="G242" s="10" t="n">
        <v>7700</v>
      </c>
      <c r="H242" s="9" t="s">
        <v>1479</v>
      </c>
      <c r="I242" s="9" t="s">
        <v>1480</v>
      </c>
      <c r="J242" s="9"/>
      <c r="K242" s="11" t="s">
        <v>130</v>
      </c>
      <c r="L242" s="9" t="s">
        <v>1481</v>
      </c>
      <c r="M242" s="9" t="s">
        <v>1482</v>
      </c>
      <c r="N242" s="9" t="s">
        <v>1483</v>
      </c>
      <c r="O242" s="9" t="s">
        <v>66</v>
      </c>
      <c r="P242" s="9" t="s">
        <v>67</v>
      </c>
      <c r="Q242" s="9" t="s">
        <v>1484</v>
      </c>
      <c r="R242" s="9" t="s">
        <v>69</v>
      </c>
      <c r="S242" s="11" t="s">
        <v>70</v>
      </c>
      <c r="T242" s="9" t="s">
        <v>1484</v>
      </c>
      <c r="U242" s="11" t="s">
        <v>71</v>
      </c>
      <c r="V242" s="11" t="s">
        <v>72</v>
      </c>
      <c r="W242" s="11" t="s">
        <v>1485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74</v>
      </c>
    </row>
    <row r="243" customFormat="false" ht="15" hidden="false" customHeight="false" outlineLevel="0" collapsed="false">
      <c r="A243" s="9" t="s">
        <v>1486</v>
      </c>
      <c r="B243" s="9" t="s">
        <v>1487</v>
      </c>
      <c r="C243" s="9" t="s">
        <v>1079</v>
      </c>
      <c r="D243" s="9" t="s">
        <v>1488</v>
      </c>
      <c r="E243" s="10" t="n">
        <v>15</v>
      </c>
      <c r="F243" s="9"/>
      <c r="G243" s="9"/>
      <c r="H243" s="9" t="s">
        <v>466</v>
      </c>
      <c r="I243" s="9" t="s">
        <v>449</v>
      </c>
      <c r="J243" s="9"/>
      <c r="K243" s="11" t="s">
        <v>62</v>
      </c>
      <c r="L243" s="9" t="s">
        <v>1489</v>
      </c>
      <c r="M243" s="9" t="s">
        <v>1490</v>
      </c>
      <c r="N243" s="9" t="s">
        <v>1491</v>
      </c>
      <c r="O243" s="9" t="s">
        <v>66</v>
      </c>
      <c r="P243" s="9" t="s">
        <v>67</v>
      </c>
      <c r="Q243" s="9" t="s">
        <v>1365</v>
      </c>
      <c r="R243" s="9" t="s">
        <v>69</v>
      </c>
      <c r="S243" s="11" t="s">
        <v>70</v>
      </c>
      <c r="T243" s="9" t="s">
        <v>1365</v>
      </c>
      <c r="U243" s="11" t="s">
        <v>71</v>
      </c>
      <c r="V243" s="11" t="s">
        <v>72</v>
      </c>
      <c r="W243" s="11" t="s">
        <v>1492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74</v>
      </c>
    </row>
    <row r="244" customFormat="false" ht="15" hidden="false" customHeight="false" outlineLevel="0" collapsed="false">
      <c r="A244" s="9" t="s">
        <v>1493</v>
      </c>
      <c r="B244" s="9" t="s">
        <v>1494</v>
      </c>
      <c r="C244" s="9" t="s">
        <v>1079</v>
      </c>
      <c r="D244" s="9" t="s">
        <v>1495</v>
      </c>
      <c r="E244" s="10" t="n">
        <v>207</v>
      </c>
      <c r="F244" s="10" t="n">
        <v>168</v>
      </c>
      <c r="G244" s="9"/>
      <c r="H244" s="9" t="s">
        <v>1205</v>
      </c>
      <c r="I244" s="9" t="s">
        <v>1496</v>
      </c>
      <c r="J244" s="9"/>
      <c r="K244" s="9" t="s">
        <v>1206</v>
      </c>
      <c r="L244" s="9" t="s">
        <v>1497</v>
      </c>
      <c r="M244" s="9" t="s">
        <v>1498</v>
      </c>
      <c r="N244" s="9" t="s">
        <v>864</v>
      </c>
      <c r="O244" s="9" t="s">
        <v>66</v>
      </c>
      <c r="P244" s="9" t="s">
        <v>283</v>
      </c>
      <c r="Q244" s="9"/>
      <c r="R244" s="9" t="s">
        <v>69</v>
      </c>
      <c r="S244" s="11" t="s">
        <v>284</v>
      </c>
      <c r="T244" s="11" t="s">
        <v>285</v>
      </c>
      <c r="U244" s="11" t="s">
        <v>71</v>
      </c>
      <c r="V244" s="11" t="s">
        <v>72</v>
      </c>
      <c r="W244" s="11" t="s">
        <v>1499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74</v>
      </c>
    </row>
    <row r="245" customFormat="false" ht="15" hidden="false" customHeight="false" outlineLevel="0" collapsed="false">
      <c r="A245" s="9" t="s">
        <v>1500</v>
      </c>
      <c r="B245" s="9" t="s">
        <v>1501</v>
      </c>
      <c r="C245" s="9" t="s">
        <v>1079</v>
      </c>
      <c r="D245" s="9" t="s">
        <v>1502</v>
      </c>
      <c r="E245" s="9"/>
      <c r="F245" s="9"/>
      <c r="G245" s="10" t="n">
        <v>517</v>
      </c>
      <c r="H245" s="9" t="s">
        <v>1503</v>
      </c>
      <c r="I245" s="9" t="s">
        <v>1504</v>
      </c>
      <c r="J245" s="9"/>
      <c r="K245" s="11" t="s">
        <v>62</v>
      </c>
      <c r="L245" s="9" t="s">
        <v>1505</v>
      </c>
      <c r="M245" s="9" t="s">
        <v>1506</v>
      </c>
      <c r="N245" s="9" t="s">
        <v>1507</v>
      </c>
      <c r="O245" s="9" t="s">
        <v>66</v>
      </c>
      <c r="P245" s="9" t="s">
        <v>67</v>
      </c>
      <c r="Q245" s="9" t="s">
        <v>1508</v>
      </c>
      <c r="R245" s="9" t="s">
        <v>69</v>
      </c>
      <c r="S245" s="11" t="s">
        <v>70</v>
      </c>
      <c r="T245" s="9" t="s">
        <v>1508</v>
      </c>
      <c r="U245" s="11" t="s">
        <v>71</v>
      </c>
      <c r="V245" s="11" t="s">
        <v>72</v>
      </c>
      <c r="W245" s="11" t="s">
        <v>1509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74</v>
      </c>
    </row>
    <row r="246" customFormat="false" ht="15" hidden="false" customHeight="false" outlineLevel="0" collapsed="false">
      <c r="A246" s="9" t="s">
        <v>1510</v>
      </c>
      <c r="B246" s="9" t="s">
        <v>1511</v>
      </c>
      <c r="C246" s="9" t="s">
        <v>1079</v>
      </c>
      <c r="D246" s="9" t="s">
        <v>1512</v>
      </c>
      <c r="E246" s="9"/>
      <c r="F246" s="10" t="n">
        <v>14.8</v>
      </c>
      <c r="G246" s="9"/>
      <c r="H246" s="9" t="s">
        <v>1090</v>
      </c>
      <c r="I246" s="9" t="s">
        <v>1504</v>
      </c>
      <c r="J246" s="9"/>
      <c r="K246" s="11" t="s">
        <v>130</v>
      </c>
      <c r="L246" s="9" t="s">
        <v>1513</v>
      </c>
      <c r="M246" s="9" t="s">
        <v>1514</v>
      </c>
      <c r="N246" s="9" t="s">
        <v>1247</v>
      </c>
      <c r="O246" s="9" t="s">
        <v>66</v>
      </c>
      <c r="P246" s="9" t="s">
        <v>67</v>
      </c>
      <c r="Q246" s="9" t="s">
        <v>1515</v>
      </c>
      <c r="R246" s="9" t="s">
        <v>69</v>
      </c>
      <c r="S246" s="11" t="s">
        <v>70</v>
      </c>
      <c r="T246" s="9" t="s">
        <v>1515</v>
      </c>
      <c r="U246" s="11" t="s">
        <v>71</v>
      </c>
      <c r="V246" s="11" t="s">
        <v>72</v>
      </c>
      <c r="W246" s="11" t="s">
        <v>1516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74</v>
      </c>
    </row>
    <row r="247" customFormat="false" ht="15" hidden="false" customHeight="false" outlineLevel="0" collapsed="false">
      <c r="A247" s="9" t="s">
        <v>1517</v>
      </c>
      <c r="B247" s="9" t="s">
        <v>1518</v>
      </c>
      <c r="C247" s="9" t="s">
        <v>1079</v>
      </c>
      <c r="D247" s="11" t="s">
        <v>1519</v>
      </c>
      <c r="E247" s="9"/>
      <c r="F247" s="10" t="n">
        <v>16</v>
      </c>
      <c r="G247" s="10" t="n">
        <v>17</v>
      </c>
      <c r="H247" s="9" t="s">
        <v>1090</v>
      </c>
      <c r="I247" s="9" t="s">
        <v>831</v>
      </c>
      <c r="J247" s="9"/>
      <c r="K247" s="11" t="s">
        <v>130</v>
      </c>
      <c r="L247" s="9" t="s">
        <v>1520</v>
      </c>
      <c r="M247" s="9" t="s">
        <v>1521</v>
      </c>
      <c r="N247" s="9" t="s">
        <v>1507</v>
      </c>
      <c r="O247" s="9" t="s">
        <v>66</v>
      </c>
      <c r="P247" s="9" t="s">
        <v>67</v>
      </c>
      <c r="Q247" s="11" t="s">
        <v>1522</v>
      </c>
      <c r="R247" s="11" t="s">
        <v>87</v>
      </c>
      <c r="S247" s="11" t="s">
        <v>70</v>
      </c>
      <c r="T247" s="11" t="s">
        <v>1522</v>
      </c>
      <c r="U247" s="11" t="s">
        <v>87</v>
      </c>
      <c r="V247" s="11" t="s">
        <v>72</v>
      </c>
      <c r="W247" s="11" t="s">
        <v>1523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74</v>
      </c>
    </row>
    <row r="248" customFormat="false" ht="15" hidden="false" customHeight="false" outlineLevel="0" collapsed="false">
      <c r="A248" s="9" t="s">
        <v>1524</v>
      </c>
      <c r="B248" s="9" t="s">
        <v>1525</v>
      </c>
      <c r="C248" s="9" t="s">
        <v>1079</v>
      </c>
      <c r="D248" s="11" t="s">
        <v>1526</v>
      </c>
      <c r="E248" s="10" t="n">
        <v>180</v>
      </c>
      <c r="F248" s="9"/>
      <c r="G248" s="9"/>
      <c r="H248" s="9" t="s">
        <v>1527</v>
      </c>
      <c r="I248" s="11" t="s">
        <v>1528</v>
      </c>
      <c r="J248" s="9"/>
      <c r="K248" s="11" t="s">
        <v>62</v>
      </c>
      <c r="L248" s="9" t="s">
        <v>1529</v>
      </c>
      <c r="M248" s="9" t="s">
        <v>1506</v>
      </c>
      <c r="N248" s="9" t="s">
        <v>1507</v>
      </c>
      <c r="O248" s="9" t="s">
        <v>66</v>
      </c>
      <c r="P248" s="9" t="s">
        <v>67</v>
      </c>
      <c r="Q248" s="9" t="s">
        <v>1530</v>
      </c>
      <c r="R248" s="9" t="s">
        <v>69</v>
      </c>
      <c r="S248" s="11" t="s">
        <v>70</v>
      </c>
      <c r="T248" s="9" t="s">
        <v>1530</v>
      </c>
      <c r="U248" s="11" t="s">
        <v>71</v>
      </c>
      <c r="V248" s="11" t="s">
        <v>72</v>
      </c>
      <c r="W248" s="11" t="s">
        <v>1531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74</v>
      </c>
    </row>
    <row r="249" customFormat="false" ht="15" hidden="false" customHeight="false" outlineLevel="0" collapsed="false">
      <c r="A249" s="9" t="s">
        <v>1532</v>
      </c>
      <c r="B249" s="9" t="s">
        <v>1533</v>
      </c>
      <c r="C249" s="9" t="s">
        <v>1079</v>
      </c>
      <c r="D249" s="11" t="s">
        <v>1534</v>
      </c>
      <c r="E249" s="10" t="n">
        <v>518</v>
      </c>
      <c r="F249" s="9"/>
      <c r="G249" s="9"/>
      <c r="H249" s="9" t="s">
        <v>1535</v>
      </c>
      <c r="I249" s="9" t="s">
        <v>1219</v>
      </c>
      <c r="J249" s="9"/>
      <c r="K249" s="11" t="s">
        <v>62</v>
      </c>
      <c r="L249" s="9" t="s">
        <v>1536</v>
      </c>
      <c r="M249" s="9" t="s">
        <v>1409</v>
      </c>
      <c r="N249" s="9" t="s">
        <v>65</v>
      </c>
      <c r="O249" s="9" t="s">
        <v>66</v>
      </c>
      <c r="P249" s="9" t="s">
        <v>67</v>
      </c>
      <c r="Q249" s="9" t="s">
        <v>1537</v>
      </c>
      <c r="R249" s="9" t="s">
        <v>69</v>
      </c>
      <c r="S249" s="11" t="s">
        <v>70</v>
      </c>
      <c r="T249" s="9" t="s">
        <v>1537</v>
      </c>
      <c r="U249" s="11" t="s">
        <v>71</v>
      </c>
      <c r="V249" s="11" t="s">
        <v>72</v>
      </c>
      <c r="W249" s="11" t="s">
        <v>1538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74</v>
      </c>
    </row>
    <row r="250" customFormat="false" ht="15" hidden="false" customHeight="false" outlineLevel="0" collapsed="false">
      <c r="A250" s="9" t="s">
        <v>1539</v>
      </c>
      <c r="B250" s="9" t="s">
        <v>1540</v>
      </c>
      <c r="C250" s="9" t="s">
        <v>1079</v>
      </c>
      <c r="D250" s="11" t="s">
        <v>1541</v>
      </c>
      <c r="E250" s="10" t="n">
        <v>0.8</v>
      </c>
      <c r="F250" s="9"/>
      <c r="G250" s="9"/>
      <c r="H250" s="11" t="s">
        <v>253</v>
      </c>
      <c r="I250" s="9" t="s">
        <v>1219</v>
      </c>
      <c r="J250" s="9"/>
      <c r="K250" s="9"/>
      <c r="L250" s="9" t="s">
        <v>1431</v>
      </c>
      <c r="M250" s="9" t="s">
        <v>1409</v>
      </c>
      <c r="N250" s="9" t="s">
        <v>65</v>
      </c>
      <c r="O250" s="9" t="s">
        <v>66</v>
      </c>
      <c r="P250" s="9" t="s">
        <v>67</v>
      </c>
      <c r="Q250" s="9" t="s">
        <v>1542</v>
      </c>
      <c r="R250" s="9" t="s">
        <v>69</v>
      </c>
      <c r="S250" s="11" t="s">
        <v>70</v>
      </c>
      <c r="T250" s="9" t="s">
        <v>1542</v>
      </c>
      <c r="U250" s="11" t="s">
        <v>71</v>
      </c>
      <c r="V250" s="11" t="s">
        <v>72</v>
      </c>
      <c r="W250" s="11" t="s">
        <v>1543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74</v>
      </c>
    </row>
    <row r="251" customFormat="false" ht="15" hidden="false" customHeight="false" outlineLevel="0" collapsed="false">
      <c r="A251" s="9" t="s">
        <v>1544</v>
      </c>
      <c r="B251" s="9" t="s">
        <v>1545</v>
      </c>
      <c r="C251" s="9" t="s">
        <v>1079</v>
      </c>
      <c r="D251" s="9" t="s">
        <v>1546</v>
      </c>
      <c r="E251" s="9"/>
      <c r="F251" s="10" t="n">
        <v>111.1</v>
      </c>
      <c r="G251" s="9"/>
      <c r="H251" s="9" t="s">
        <v>1253</v>
      </c>
      <c r="I251" s="9" t="s">
        <v>1547</v>
      </c>
      <c r="J251" s="9"/>
      <c r="K251" s="11" t="s">
        <v>62</v>
      </c>
      <c r="L251" s="9" t="s">
        <v>1548</v>
      </c>
      <c r="M251" s="9" t="s">
        <v>1271</v>
      </c>
      <c r="N251" s="9" t="s">
        <v>65</v>
      </c>
      <c r="O251" s="9" t="s">
        <v>66</v>
      </c>
      <c r="P251" s="9" t="s">
        <v>67</v>
      </c>
      <c r="Q251" s="9" t="s">
        <v>1549</v>
      </c>
      <c r="R251" s="9" t="s">
        <v>69</v>
      </c>
      <c r="S251" s="11" t="s">
        <v>70</v>
      </c>
      <c r="T251" s="9" t="s">
        <v>1549</v>
      </c>
      <c r="U251" s="11" t="s">
        <v>71</v>
      </c>
      <c r="V251" s="11" t="s">
        <v>72</v>
      </c>
      <c r="W251" s="11" t="s">
        <v>1550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74</v>
      </c>
    </row>
    <row r="252" customFormat="false" ht="15" hidden="false" customHeight="false" outlineLevel="0" collapsed="false">
      <c r="A252" s="9" t="s">
        <v>1551</v>
      </c>
      <c r="B252" s="9" t="s">
        <v>1552</v>
      </c>
      <c r="C252" s="9" t="s">
        <v>1079</v>
      </c>
      <c r="D252" s="9" t="s">
        <v>1553</v>
      </c>
      <c r="E252" s="10" t="n">
        <v>110</v>
      </c>
      <c r="F252" s="9"/>
      <c r="G252" s="9"/>
      <c r="H252" s="9" t="s">
        <v>1253</v>
      </c>
      <c r="I252" s="9" t="s">
        <v>1554</v>
      </c>
      <c r="J252" s="9"/>
      <c r="K252" s="11" t="s">
        <v>62</v>
      </c>
      <c r="L252" s="9" t="s">
        <v>1548</v>
      </c>
      <c r="M252" s="9" t="s">
        <v>1271</v>
      </c>
      <c r="N252" s="9" t="s">
        <v>65</v>
      </c>
      <c r="O252" s="9" t="s">
        <v>66</v>
      </c>
      <c r="P252" s="9" t="s">
        <v>67</v>
      </c>
      <c r="Q252" s="9" t="s">
        <v>1549</v>
      </c>
      <c r="R252" s="9" t="s">
        <v>69</v>
      </c>
      <c r="S252" s="11" t="s">
        <v>70</v>
      </c>
      <c r="T252" s="9" t="s">
        <v>1549</v>
      </c>
      <c r="U252" s="11" t="s">
        <v>71</v>
      </c>
      <c r="V252" s="11" t="s">
        <v>72</v>
      </c>
      <c r="W252" s="11" t="s">
        <v>1555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74</v>
      </c>
    </row>
    <row r="253" customFormat="false" ht="15" hidden="false" customHeight="false" outlineLevel="0" collapsed="false">
      <c r="A253" s="9" t="s">
        <v>1556</v>
      </c>
      <c r="B253" s="9" t="s">
        <v>1557</v>
      </c>
      <c r="C253" s="9" t="s">
        <v>1079</v>
      </c>
      <c r="D253" s="9" t="s">
        <v>1558</v>
      </c>
      <c r="E253" s="10" t="n">
        <v>161.2</v>
      </c>
      <c r="F253" s="9"/>
      <c r="G253" s="9"/>
      <c r="H253" s="9" t="s">
        <v>1253</v>
      </c>
      <c r="I253" s="11" t="s">
        <v>1559</v>
      </c>
      <c r="J253" s="9"/>
      <c r="K253" s="11" t="s">
        <v>62</v>
      </c>
      <c r="L253" s="9" t="s">
        <v>1431</v>
      </c>
      <c r="M253" s="9" t="s">
        <v>1409</v>
      </c>
      <c r="N253" s="9" t="s">
        <v>65</v>
      </c>
      <c r="O253" s="9" t="s">
        <v>66</v>
      </c>
      <c r="P253" s="9" t="s">
        <v>67</v>
      </c>
      <c r="Q253" s="9" t="s">
        <v>1542</v>
      </c>
      <c r="R253" s="9" t="s">
        <v>69</v>
      </c>
      <c r="S253" s="11" t="s">
        <v>70</v>
      </c>
      <c r="T253" s="9" t="s">
        <v>1542</v>
      </c>
      <c r="U253" s="11" t="s">
        <v>71</v>
      </c>
      <c r="V253" s="11" t="s">
        <v>72</v>
      </c>
      <c r="W253" s="11" t="s">
        <v>1560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74</v>
      </c>
    </row>
    <row r="254" customFormat="false" ht="15" hidden="false" customHeight="false" outlineLevel="0" collapsed="false">
      <c r="A254" s="9" t="s">
        <v>1561</v>
      </c>
      <c r="B254" s="9" t="s">
        <v>1562</v>
      </c>
      <c r="C254" s="9" t="s">
        <v>1079</v>
      </c>
      <c r="D254" s="9" t="s">
        <v>1563</v>
      </c>
      <c r="E254" s="10" t="n">
        <v>125.2</v>
      </c>
      <c r="F254" s="9"/>
      <c r="G254" s="9"/>
      <c r="H254" s="9" t="s">
        <v>1154</v>
      </c>
      <c r="I254" s="11" t="s">
        <v>1564</v>
      </c>
      <c r="J254" s="9"/>
      <c r="K254" s="11" t="s">
        <v>62</v>
      </c>
      <c r="L254" s="9" t="s">
        <v>1565</v>
      </c>
      <c r="M254" s="9" t="s">
        <v>1566</v>
      </c>
      <c r="N254" s="9" t="s">
        <v>1060</v>
      </c>
      <c r="O254" s="9" t="s">
        <v>66</v>
      </c>
      <c r="P254" s="9" t="s">
        <v>67</v>
      </c>
      <c r="Q254" s="9" t="s">
        <v>1410</v>
      </c>
      <c r="R254" s="9" t="s">
        <v>69</v>
      </c>
      <c r="S254" s="11" t="s">
        <v>70</v>
      </c>
      <c r="T254" s="9" t="s">
        <v>1410</v>
      </c>
      <c r="U254" s="11" t="s">
        <v>71</v>
      </c>
      <c r="V254" s="11" t="s">
        <v>72</v>
      </c>
      <c r="W254" s="11" t="s">
        <v>1567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74</v>
      </c>
    </row>
    <row r="255" customFormat="false" ht="15" hidden="false" customHeight="false" outlineLevel="0" collapsed="false">
      <c r="A255" s="9" t="s">
        <v>1568</v>
      </c>
      <c r="B255" s="9" t="s">
        <v>1569</v>
      </c>
      <c r="C255" s="9" t="s">
        <v>1079</v>
      </c>
      <c r="D255" s="9" t="s">
        <v>1570</v>
      </c>
      <c r="E255" s="9"/>
      <c r="F255" s="9"/>
      <c r="G255" s="10" t="n">
        <v>42</v>
      </c>
      <c r="H255" s="9" t="s">
        <v>466</v>
      </c>
      <c r="I255" s="9" t="s">
        <v>1571</v>
      </c>
      <c r="J255" s="9"/>
      <c r="K255" s="11" t="s">
        <v>62</v>
      </c>
      <c r="L255" s="9" t="s">
        <v>1572</v>
      </c>
      <c r="M255" s="9" t="s">
        <v>1566</v>
      </c>
      <c r="N255" s="9" t="s">
        <v>1060</v>
      </c>
      <c r="O255" s="9" t="s">
        <v>66</v>
      </c>
      <c r="P255" s="9" t="s">
        <v>67</v>
      </c>
      <c r="Q255" s="9" t="s">
        <v>1573</v>
      </c>
      <c r="R255" s="9" t="s">
        <v>69</v>
      </c>
      <c r="S255" s="11" t="s">
        <v>70</v>
      </c>
      <c r="T255" s="9" t="s">
        <v>1573</v>
      </c>
      <c r="U255" s="11" t="s">
        <v>71</v>
      </c>
      <c r="V255" s="11" t="s">
        <v>72</v>
      </c>
      <c r="W255" s="11" t="s">
        <v>1574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74</v>
      </c>
    </row>
    <row r="256" customFormat="false" ht="15" hidden="false" customHeight="false" outlineLevel="0" collapsed="false">
      <c r="A256" s="9" t="s">
        <v>1575</v>
      </c>
      <c r="B256" s="9" t="s">
        <v>1576</v>
      </c>
      <c r="C256" s="9" t="s">
        <v>1079</v>
      </c>
      <c r="D256" s="9" t="s">
        <v>1577</v>
      </c>
      <c r="E256" s="10" t="n">
        <v>7.33</v>
      </c>
      <c r="F256" s="9"/>
      <c r="G256" s="9"/>
      <c r="H256" s="9" t="s">
        <v>466</v>
      </c>
      <c r="I256" s="9" t="s">
        <v>61</v>
      </c>
      <c r="J256" s="9"/>
      <c r="K256" s="11" t="s">
        <v>62</v>
      </c>
      <c r="L256" s="9" t="s">
        <v>1578</v>
      </c>
      <c r="M256" s="9" t="s">
        <v>1579</v>
      </c>
      <c r="N256" s="9" t="s">
        <v>1580</v>
      </c>
      <c r="O256" s="9" t="s">
        <v>66</v>
      </c>
      <c r="P256" s="9" t="s">
        <v>67</v>
      </c>
      <c r="Q256" s="9" t="s">
        <v>1549</v>
      </c>
      <c r="R256" s="9" t="s">
        <v>69</v>
      </c>
      <c r="S256" s="11" t="s">
        <v>70</v>
      </c>
      <c r="T256" s="9" t="s">
        <v>1549</v>
      </c>
      <c r="U256" s="11" t="s">
        <v>71</v>
      </c>
      <c r="V256" s="11" t="s">
        <v>72</v>
      </c>
      <c r="W256" s="11" t="s">
        <v>1581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74</v>
      </c>
    </row>
    <row r="257" customFormat="false" ht="15" hidden="false" customHeight="false" outlineLevel="0" collapsed="false">
      <c r="A257" s="9" t="s">
        <v>1582</v>
      </c>
      <c r="B257" s="9" t="s">
        <v>1583</v>
      </c>
      <c r="C257" s="9" t="s">
        <v>1079</v>
      </c>
      <c r="D257" s="9" t="s">
        <v>1584</v>
      </c>
      <c r="E257" s="10" t="n">
        <v>4.1</v>
      </c>
      <c r="F257" s="9"/>
      <c r="G257" s="9"/>
      <c r="H257" s="9" t="s">
        <v>466</v>
      </c>
      <c r="I257" s="9" t="s">
        <v>61</v>
      </c>
      <c r="J257" s="9"/>
      <c r="K257" s="11" t="s">
        <v>62</v>
      </c>
      <c r="L257" s="9" t="s">
        <v>1585</v>
      </c>
      <c r="M257" s="9" t="s">
        <v>1586</v>
      </c>
      <c r="N257" s="9" t="s">
        <v>356</v>
      </c>
      <c r="O257" s="9" t="s">
        <v>66</v>
      </c>
      <c r="P257" s="9" t="s">
        <v>67</v>
      </c>
      <c r="Q257" s="9" t="s">
        <v>1587</v>
      </c>
      <c r="R257" s="9" t="s">
        <v>69</v>
      </c>
      <c r="S257" s="11" t="s">
        <v>70</v>
      </c>
      <c r="T257" s="9" t="s">
        <v>1587</v>
      </c>
      <c r="U257" s="11" t="s">
        <v>71</v>
      </c>
      <c r="V257" s="11" t="s">
        <v>72</v>
      </c>
      <c r="W257" s="11" t="s">
        <v>1588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74</v>
      </c>
    </row>
    <row r="258" customFormat="false" ht="15" hidden="false" customHeight="false" outlineLevel="0" collapsed="false">
      <c r="A258" s="9" t="s">
        <v>1589</v>
      </c>
      <c r="B258" s="9" t="s">
        <v>1590</v>
      </c>
      <c r="C258" s="9" t="s">
        <v>1079</v>
      </c>
      <c r="D258" s="9" t="s">
        <v>360</v>
      </c>
      <c r="E258" s="10" t="n">
        <v>0.23</v>
      </c>
      <c r="F258" s="9"/>
      <c r="G258" s="9"/>
      <c r="H258" s="11" t="s">
        <v>253</v>
      </c>
      <c r="I258" s="9" t="s">
        <v>61</v>
      </c>
      <c r="J258" s="9"/>
      <c r="K258" s="9"/>
      <c r="L258" s="9" t="s">
        <v>1591</v>
      </c>
      <c r="M258" s="9" t="s">
        <v>1586</v>
      </c>
      <c r="N258" s="9" t="s">
        <v>356</v>
      </c>
      <c r="O258" s="9" t="s">
        <v>66</v>
      </c>
      <c r="P258" s="9" t="s">
        <v>67</v>
      </c>
      <c r="Q258" s="9" t="s">
        <v>1587</v>
      </c>
      <c r="R258" s="9" t="s">
        <v>69</v>
      </c>
      <c r="S258" s="11" t="s">
        <v>70</v>
      </c>
      <c r="T258" s="9" t="s">
        <v>1587</v>
      </c>
      <c r="U258" s="11" t="s">
        <v>71</v>
      </c>
      <c r="V258" s="11" t="s">
        <v>72</v>
      </c>
      <c r="W258" s="11" t="s">
        <v>1592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74</v>
      </c>
    </row>
    <row r="259" customFormat="false" ht="15" hidden="false" customHeight="false" outlineLevel="0" collapsed="false">
      <c r="A259" s="9" t="s">
        <v>1593</v>
      </c>
      <c r="B259" s="9" t="s">
        <v>1594</v>
      </c>
      <c r="C259" s="9" t="s">
        <v>1079</v>
      </c>
      <c r="D259" s="9" t="s">
        <v>1595</v>
      </c>
      <c r="E259" s="9" t="n">
        <f aca="false">SRC_ANT_252-SRC_ANT_253</f>
        <v>3.23</v>
      </c>
      <c r="F259" s="9"/>
      <c r="G259" s="9"/>
      <c r="H259" s="9" t="s">
        <v>466</v>
      </c>
      <c r="I259" s="9" t="s">
        <v>61</v>
      </c>
      <c r="J259" s="9"/>
      <c r="K259" s="11" t="s">
        <v>62</v>
      </c>
      <c r="L259" s="11" t="s">
        <v>1596</v>
      </c>
      <c r="M259" s="9" t="s">
        <v>1579</v>
      </c>
      <c r="N259" s="9" t="s">
        <v>1580</v>
      </c>
      <c r="O259" s="9" t="s">
        <v>66</v>
      </c>
      <c r="P259" s="9" t="s">
        <v>86</v>
      </c>
      <c r="Q259" s="9"/>
      <c r="R259" s="11" t="s">
        <v>87</v>
      </c>
      <c r="S259" s="11" t="s">
        <v>88</v>
      </c>
      <c r="T259" s="11" t="s">
        <v>89</v>
      </c>
      <c r="U259" s="11" t="s">
        <v>88</v>
      </c>
      <c r="V259" s="9" t="s">
        <v>90</v>
      </c>
      <c r="W259" s="9" t="s">
        <v>1597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74</v>
      </c>
    </row>
    <row r="260" customFormat="false" ht="15" hidden="false" customHeight="false" outlineLevel="0" collapsed="false">
      <c r="A260" s="9" t="s">
        <v>1598</v>
      </c>
      <c r="B260" s="9" t="s">
        <v>1599</v>
      </c>
      <c r="C260" s="9" t="s">
        <v>1079</v>
      </c>
      <c r="D260" s="9" t="s">
        <v>1600</v>
      </c>
      <c r="E260" s="10" t="n">
        <v>1.359</v>
      </c>
      <c r="F260" s="9"/>
      <c r="G260" s="9"/>
      <c r="H260" s="9" t="s">
        <v>466</v>
      </c>
      <c r="I260" s="9" t="s">
        <v>84</v>
      </c>
      <c r="J260" s="9"/>
      <c r="K260" s="11" t="s">
        <v>296</v>
      </c>
      <c r="L260" s="9" t="s">
        <v>1601</v>
      </c>
      <c r="M260" s="9" t="s">
        <v>1602</v>
      </c>
      <c r="N260" s="9" t="s">
        <v>1603</v>
      </c>
      <c r="O260" s="9" t="s">
        <v>66</v>
      </c>
      <c r="P260" s="9" t="s">
        <v>67</v>
      </c>
      <c r="Q260" s="11" t="s">
        <v>1604</v>
      </c>
      <c r="R260" s="11" t="s">
        <v>87</v>
      </c>
      <c r="S260" s="11" t="s">
        <v>70</v>
      </c>
      <c r="T260" s="11" t="s">
        <v>1604</v>
      </c>
      <c r="U260" s="11" t="s">
        <v>87</v>
      </c>
      <c r="V260" s="11" t="s">
        <v>72</v>
      </c>
      <c r="W260" s="11" t="s">
        <v>1605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74</v>
      </c>
    </row>
    <row r="261" customFormat="false" ht="15" hidden="false" customHeight="false" outlineLevel="0" collapsed="false">
      <c r="A261" s="9" t="s">
        <v>1606</v>
      </c>
      <c r="B261" s="9" t="s">
        <v>1607</v>
      </c>
      <c r="C261" s="9" t="s">
        <v>1079</v>
      </c>
      <c r="D261" s="9" t="s">
        <v>1608</v>
      </c>
      <c r="E261" s="10" t="n">
        <v>2.66</v>
      </c>
      <c r="F261" s="9"/>
      <c r="G261" s="9"/>
      <c r="H261" s="9" t="s">
        <v>466</v>
      </c>
      <c r="I261" s="9" t="s">
        <v>1609</v>
      </c>
      <c r="J261" s="9"/>
      <c r="K261" s="11" t="s">
        <v>296</v>
      </c>
      <c r="L261" s="9" t="s">
        <v>1610</v>
      </c>
      <c r="M261" s="9" t="s">
        <v>1602</v>
      </c>
      <c r="N261" s="9" t="s">
        <v>1603</v>
      </c>
      <c r="O261" s="9" t="s">
        <v>66</v>
      </c>
      <c r="P261" s="9" t="s">
        <v>67</v>
      </c>
      <c r="Q261" s="11" t="s">
        <v>1604</v>
      </c>
      <c r="R261" s="11" t="s">
        <v>87</v>
      </c>
      <c r="S261" s="11" t="s">
        <v>70</v>
      </c>
      <c r="T261" s="11" t="s">
        <v>1604</v>
      </c>
      <c r="U261" s="11" t="s">
        <v>87</v>
      </c>
      <c r="V261" s="11" t="s">
        <v>72</v>
      </c>
      <c r="W261" s="11" t="s">
        <v>1611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74</v>
      </c>
    </row>
    <row r="262" customFormat="false" ht="15" hidden="false" customHeight="false" outlineLevel="0" collapsed="false">
      <c r="A262" s="9" t="s">
        <v>1612</v>
      </c>
      <c r="B262" s="9" t="s">
        <v>1613</v>
      </c>
      <c r="C262" s="9" t="s">
        <v>1079</v>
      </c>
      <c r="D262" s="9" t="s">
        <v>1614</v>
      </c>
      <c r="E262" s="10" t="n">
        <v>12</v>
      </c>
      <c r="F262" s="9"/>
      <c r="G262" s="9"/>
      <c r="H262" s="9" t="s">
        <v>466</v>
      </c>
      <c r="I262" s="9" t="s">
        <v>290</v>
      </c>
      <c r="J262" s="9"/>
      <c r="K262" s="11" t="s">
        <v>62</v>
      </c>
      <c r="L262" s="9" t="s">
        <v>1615</v>
      </c>
      <c r="M262" s="9" t="s">
        <v>1616</v>
      </c>
      <c r="N262" s="9" t="s">
        <v>1617</v>
      </c>
      <c r="O262" s="9" t="s">
        <v>66</v>
      </c>
      <c r="P262" s="9" t="s">
        <v>67</v>
      </c>
      <c r="Q262" s="9" t="s">
        <v>1618</v>
      </c>
      <c r="R262" s="9" t="s">
        <v>69</v>
      </c>
      <c r="S262" s="11" t="s">
        <v>70</v>
      </c>
      <c r="T262" s="9" t="s">
        <v>1618</v>
      </c>
      <c r="U262" s="11" t="s">
        <v>71</v>
      </c>
      <c r="V262" s="11" t="s">
        <v>72</v>
      </c>
      <c r="W262" s="11" t="s">
        <v>1619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74</v>
      </c>
    </row>
    <row r="263" customFormat="false" ht="15" hidden="false" customHeight="false" outlineLevel="0" collapsed="false">
      <c r="A263" s="9" t="s">
        <v>1620</v>
      </c>
      <c r="B263" s="9" t="s">
        <v>1621</v>
      </c>
      <c r="C263" s="9" t="s">
        <v>1079</v>
      </c>
      <c r="D263" s="9" t="s">
        <v>1622</v>
      </c>
      <c r="E263" s="10" t="n">
        <v>7</v>
      </c>
      <c r="F263" s="9"/>
      <c r="G263" s="9"/>
      <c r="H263" s="9" t="s">
        <v>466</v>
      </c>
      <c r="I263" s="9" t="s">
        <v>290</v>
      </c>
      <c r="J263" s="9"/>
      <c r="K263" s="11" t="s">
        <v>62</v>
      </c>
      <c r="L263" s="9" t="s">
        <v>1623</v>
      </c>
      <c r="M263" s="9" t="s">
        <v>1616</v>
      </c>
      <c r="N263" s="9" t="s">
        <v>1617</v>
      </c>
      <c r="O263" s="9" t="s">
        <v>66</v>
      </c>
      <c r="P263" s="9" t="s">
        <v>67</v>
      </c>
      <c r="Q263" s="9" t="s">
        <v>1587</v>
      </c>
      <c r="R263" s="9" t="s">
        <v>69</v>
      </c>
      <c r="S263" s="11" t="s">
        <v>70</v>
      </c>
      <c r="T263" s="9" t="s">
        <v>1587</v>
      </c>
      <c r="U263" s="11" t="s">
        <v>71</v>
      </c>
      <c r="V263" s="11" t="s">
        <v>72</v>
      </c>
      <c r="W263" s="11" t="s">
        <v>1624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74</v>
      </c>
    </row>
    <row r="264" customFormat="false" ht="15" hidden="false" customHeight="false" outlineLevel="0" collapsed="false">
      <c r="A264" s="9" t="s">
        <v>1625</v>
      </c>
      <c r="B264" s="9" t="s">
        <v>1626</v>
      </c>
      <c r="C264" s="9" t="s">
        <v>1079</v>
      </c>
      <c r="D264" s="11" t="s">
        <v>1627</v>
      </c>
      <c r="E264" s="9"/>
      <c r="F264" s="10" t="n">
        <v>100</v>
      </c>
      <c r="G264" s="9"/>
      <c r="H264" s="9" t="s">
        <v>466</v>
      </c>
      <c r="I264" s="9" t="s">
        <v>1628</v>
      </c>
      <c r="J264" s="9"/>
      <c r="K264" s="11" t="s">
        <v>62</v>
      </c>
      <c r="L264" s="9" t="s">
        <v>1629</v>
      </c>
      <c r="M264" s="9" t="s">
        <v>1630</v>
      </c>
      <c r="N264" s="9" t="s">
        <v>1631</v>
      </c>
      <c r="O264" s="9" t="s">
        <v>66</v>
      </c>
      <c r="P264" s="9" t="s">
        <v>67</v>
      </c>
      <c r="Q264" s="9" t="s">
        <v>1587</v>
      </c>
      <c r="R264" s="9" t="s">
        <v>69</v>
      </c>
      <c r="S264" s="11" t="s">
        <v>70</v>
      </c>
      <c r="T264" s="9" t="s">
        <v>1587</v>
      </c>
      <c r="U264" s="11" t="s">
        <v>71</v>
      </c>
      <c r="V264" s="11" t="s">
        <v>72</v>
      </c>
      <c r="W264" s="11" t="s">
        <v>1632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74</v>
      </c>
    </row>
    <row r="265" customFormat="false" ht="15" hidden="false" customHeight="false" outlineLevel="0" collapsed="false">
      <c r="A265" s="9" t="s">
        <v>1633</v>
      </c>
      <c r="B265" s="9" t="s">
        <v>1634</v>
      </c>
      <c r="C265" s="9" t="s">
        <v>1079</v>
      </c>
      <c r="D265" s="11" t="s">
        <v>1635</v>
      </c>
      <c r="E265" s="9"/>
      <c r="F265" s="9"/>
      <c r="G265" s="10" t="n">
        <v>100</v>
      </c>
      <c r="H265" s="9" t="s">
        <v>1636</v>
      </c>
      <c r="I265" s="11" t="s">
        <v>1528</v>
      </c>
      <c r="J265" s="9"/>
      <c r="K265" s="11" t="s">
        <v>62</v>
      </c>
      <c r="L265" s="9" t="s">
        <v>1637</v>
      </c>
      <c r="M265" s="9" t="s">
        <v>1638</v>
      </c>
      <c r="N265" s="9" t="s">
        <v>1639</v>
      </c>
      <c r="O265" s="9" t="s">
        <v>66</v>
      </c>
      <c r="P265" s="9" t="s">
        <v>67</v>
      </c>
      <c r="Q265" s="9" t="s">
        <v>1587</v>
      </c>
      <c r="R265" s="9" t="s">
        <v>69</v>
      </c>
      <c r="S265" s="11" t="s">
        <v>70</v>
      </c>
      <c r="T265" s="9" t="s">
        <v>1587</v>
      </c>
      <c r="U265" s="11" t="s">
        <v>71</v>
      </c>
      <c r="V265" s="11" t="s">
        <v>72</v>
      </c>
      <c r="W265" s="11" t="s">
        <v>1640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74</v>
      </c>
    </row>
    <row r="266" customFormat="false" ht="15" hidden="false" customHeight="false" outlineLevel="0" collapsed="false">
      <c r="A266" s="9" t="s">
        <v>1641</v>
      </c>
      <c r="B266" s="9" t="s">
        <v>1642</v>
      </c>
      <c r="C266" s="9" t="s">
        <v>1079</v>
      </c>
      <c r="D266" s="11" t="s">
        <v>1643</v>
      </c>
      <c r="E266" s="10" t="n">
        <v>30</v>
      </c>
      <c r="F266" s="9"/>
      <c r="G266" s="9"/>
      <c r="H266" s="9" t="s">
        <v>60</v>
      </c>
      <c r="I266" s="9" t="s">
        <v>1644</v>
      </c>
      <c r="J266" s="9"/>
      <c r="K266" s="11" t="s">
        <v>62</v>
      </c>
      <c r="L266" s="9" t="s">
        <v>1645</v>
      </c>
      <c r="M266" s="9" t="s">
        <v>1646</v>
      </c>
      <c r="N266" s="9" t="s">
        <v>617</v>
      </c>
      <c r="O266" s="9" t="s">
        <v>66</v>
      </c>
      <c r="P266" s="9" t="s">
        <v>67</v>
      </c>
      <c r="Q266" s="9" t="s">
        <v>1647</v>
      </c>
      <c r="R266" s="9" t="s">
        <v>69</v>
      </c>
      <c r="S266" s="11" t="s">
        <v>70</v>
      </c>
      <c r="T266" s="9" t="s">
        <v>1647</v>
      </c>
      <c r="U266" s="11" t="s">
        <v>1273</v>
      </c>
      <c r="V266" s="11" t="s">
        <v>72</v>
      </c>
      <c r="W266" s="11" t="s">
        <v>1648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74</v>
      </c>
    </row>
    <row r="267" customFormat="false" ht="15" hidden="false" customHeight="false" outlineLevel="0" collapsed="false">
      <c r="A267" s="9" t="s">
        <v>1649</v>
      </c>
      <c r="B267" s="9" t="s">
        <v>1650</v>
      </c>
      <c r="C267" s="9" t="s">
        <v>1079</v>
      </c>
      <c r="D267" s="11" t="s">
        <v>1651</v>
      </c>
      <c r="E267" s="9"/>
      <c r="F267" s="10" t="n">
        <v>80</v>
      </c>
      <c r="G267" s="9"/>
      <c r="H267" s="9" t="s">
        <v>1527</v>
      </c>
      <c r="I267" s="9" t="s">
        <v>1407</v>
      </c>
      <c r="J267" s="9"/>
      <c r="K267" s="11" t="s">
        <v>62</v>
      </c>
      <c r="L267" s="9" t="s">
        <v>1652</v>
      </c>
      <c r="M267" s="9" t="s">
        <v>1653</v>
      </c>
      <c r="N267" s="9" t="s">
        <v>1639</v>
      </c>
      <c r="O267" s="9" t="s">
        <v>66</v>
      </c>
      <c r="P267" s="9" t="s">
        <v>67</v>
      </c>
      <c r="Q267" s="9" t="s">
        <v>1587</v>
      </c>
      <c r="R267" s="9" t="s">
        <v>69</v>
      </c>
      <c r="S267" s="11" t="s">
        <v>70</v>
      </c>
      <c r="T267" s="9" t="s">
        <v>1587</v>
      </c>
      <c r="U267" s="11" t="s">
        <v>71</v>
      </c>
      <c r="V267" s="11" t="s">
        <v>72</v>
      </c>
      <c r="W267" s="11" t="s">
        <v>1654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74</v>
      </c>
    </row>
    <row r="268" customFormat="false" ht="15" hidden="false" customHeight="false" outlineLevel="0" collapsed="false">
      <c r="A268" s="9" t="s">
        <v>1655</v>
      </c>
      <c r="B268" s="9" t="s">
        <v>1656</v>
      </c>
      <c r="C268" s="9" t="s">
        <v>1079</v>
      </c>
      <c r="D268" s="11" t="s">
        <v>1657</v>
      </c>
      <c r="E268" s="9"/>
      <c r="F268" s="9"/>
      <c r="G268" s="9"/>
      <c r="H268" s="11" t="s">
        <v>1658</v>
      </c>
      <c r="I268" s="9" t="s">
        <v>199</v>
      </c>
      <c r="J268" s="9"/>
      <c r="K268" s="9"/>
      <c r="L268" s="9" t="s">
        <v>1659</v>
      </c>
      <c r="M268" s="9" t="s">
        <v>1660</v>
      </c>
      <c r="N268" s="9" t="s">
        <v>1661</v>
      </c>
      <c r="O268" s="9" t="s">
        <v>66</v>
      </c>
      <c r="P268" s="9" t="s">
        <v>67</v>
      </c>
      <c r="Q268" s="9" t="s">
        <v>1662</v>
      </c>
      <c r="R268" s="9" t="s">
        <v>69</v>
      </c>
      <c r="S268" s="11" t="s">
        <v>70</v>
      </c>
      <c r="T268" s="9" t="s">
        <v>1662</v>
      </c>
      <c r="U268" s="11" t="s">
        <v>71</v>
      </c>
      <c r="V268" s="11" t="s">
        <v>72</v>
      </c>
      <c r="W268" s="9" t="s">
        <v>1663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74</v>
      </c>
    </row>
    <row r="269" customFormat="false" ht="15" hidden="false" customHeight="false" outlineLevel="0" collapsed="false">
      <c r="A269" s="9" t="s">
        <v>1664</v>
      </c>
      <c r="B269" s="9" t="s">
        <v>1665</v>
      </c>
      <c r="C269" s="9" t="s">
        <v>1079</v>
      </c>
      <c r="D269" s="11" t="s">
        <v>1666</v>
      </c>
      <c r="E269" s="10" t="n">
        <v>5</v>
      </c>
      <c r="F269" s="10" t="n">
        <v>1.4</v>
      </c>
      <c r="G269" s="10" t="n">
        <v>15</v>
      </c>
      <c r="H269" s="9" t="s">
        <v>1667</v>
      </c>
      <c r="I269" s="9" t="s">
        <v>1668</v>
      </c>
      <c r="J269" s="9"/>
      <c r="K269" s="11" t="s">
        <v>130</v>
      </c>
      <c r="L269" s="9" t="s">
        <v>1669</v>
      </c>
      <c r="M269" s="9" t="s">
        <v>1670</v>
      </c>
      <c r="N269" s="9" t="s">
        <v>1671</v>
      </c>
      <c r="O269" s="9" t="s">
        <v>66</v>
      </c>
      <c r="P269" s="9" t="s">
        <v>283</v>
      </c>
      <c r="Q269" s="9"/>
      <c r="R269" s="9" t="s">
        <v>69</v>
      </c>
      <c r="S269" s="11" t="s">
        <v>284</v>
      </c>
      <c r="T269" s="11" t="s">
        <v>285</v>
      </c>
      <c r="U269" s="11" t="s">
        <v>71</v>
      </c>
      <c r="V269" s="11" t="s">
        <v>72</v>
      </c>
      <c r="W269" s="11" t="s">
        <v>1672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74</v>
      </c>
    </row>
    <row r="270" customFormat="false" ht="15" hidden="false" customHeight="false" outlineLevel="0" collapsed="false">
      <c r="A270" s="9" t="s">
        <v>1673</v>
      </c>
      <c r="B270" s="9" t="s">
        <v>1674</v>
      </c>
      <c r="C270" s="9" t="s">
        <v>1079</v>
      </c>
      <c r="D270" s="11" t="s">
        <v>1675</v>
      </c>
      <c r="E270" s="10" t="n">
        <v>10</v>
      </c>
      <c r="F270" s="10" t="n">
        <v>9.5</v>
      </c>
      <c r="G270" s="9"/>
      <c r="H270" s="9" t="s">
        <v>1676</v>
      </c>
      <c r="I270" s="9" t="s">
        <v>1677</v>
      </c>
      <c r="J270" s="9"/>
      <c r="K270" s="11" t="s">
        <v>130</v>
      </c>
      <c r="L270" s="9" t="s">
        <v>1678</v>
      </c>
      <c r="M270" s="9" t="s">
        <v>1679</v>
      </c>
      <c r="N270" s="9" t="s">
        <v>1680</v>
      </c>
      <c r="O270" s="9" t="s">
        <v>66</v>
      </c>
      <c r="P270" s="9" t="s">
        <v>67</v>
      </c>
      <c r="Q270" s="11" t="s">
        <v>1681</v>
      </c>
      <c r="R270" s="11" t="s">
        <v>87</v>
      </c>
      <c r="S270" s="11" t="s">
        <v>70</v>
      </c>
      <c r="T270" s="11" t="s">
        <v>1681</v>
      </c>
      <c r="U270" s="11" t="s">
        <v>87</v>
      </c>
      <c r="V270" s="11" t="s">
        <v>72</v>
      </c>
      <c r="W270" s="11" t="s">
        <v>1682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74</v>
      </c>
    </row>
    <row r="271" customFormat="false" ht="15" hidden="false" customHeight="false" outlineLevel="0" collapsed="false">
      <c r="A271" s="9" t="s">
        <v>1683</v>
      </c>
      <c r="B271" s="9" t="s">
        <v>1684</v>
      </c>
      <c r="C271" s="9" t="s">
        <v>1079</v>
      </c>
      <c r="D271" s="11" t="s">
        <v>1685</v>
      </c>
      <c r="E271" s="10" t="n">
        <v>5</v>
      </c>
      <c r="F271" s="9"/>
      <c r="G271" s="9"/>
      <c r="H271" s="9" t="s">
        <v>1686</v>
      </c>
      <c r="I271" s="9" t="s">
        <v>1231</v>
      </c>
      <c r="J271" s="9"/>
      <c r="K271" s="11" t="s">
        <v>130</v>
      </c>
      <c r="L271" s="9" t="s">
        <v>1687</v>
      </c>
      <c r="M271" s="9" t="s">
        <v>1688</v>
      </c>
      <c r="N271" s="9" t="s">
        <v>1680</v>
      </c>
      <c r="O271" s="9" t="s">
        <v>66</v>
      </c>
      <c r="P271" s="9" t="s">
        <v>67</v>
      </c>
      <c r="Q271" s="9" t="s">
        <v>1689</v>
      </c>
      <c r="R271" s="9" t="s">
        <v>69</v>
      </c>
      <c r="S271" s="11" t="s">
        <v>70</v>
      </c>
      <c r="T271" s="9" t="s">
        <v>1689</v>
      </c>
      <c r="U271" s="11" t="s">
        <v>71</v>
      </c>
      <c r="V271" s="11" t="s">
        <v>72</v>
      </c>
      <c r="W271" s="11" t="s">
        <v>1690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74</v>
      </c>
    </row>
    <row r="272" customFormat="false" ht="15" hidden="false" customHeight="false" outlineLevel="0" collapsed="false">
      <c r="A272" s="9" t="s">
        <v>1691</v>
      </c>
      <c r="B272" s="9" t="s">
        <v>1692</v>
      </c>
      <c r="C272" s="9" t="s">
        <v>1079</v>
      </c>
      <c r="D272" s="9" t="s">
        <v>1693</v>
      </c>
      <c r="E272" s="9" t="n">
        <f aca="false">SRC_ANT_267*SRC_ANT_379</f>
        <v>10</v>
      </c>
      <c r="F272" s="9"/>
      <c r="G272" s="9"/>
      <c r="H272" s="9" t="s">
        <v>1090</v>
      </c>
      <c r="I272" s="9" t="s">
        <v>1677</v>
      </c>
      <c r="J272" s="9"/>
      <c r="K272" s="11" t="s">
        <v>130</v>
      </c>
      <c r="L272" s="9" t="s">
        <v>1694</v>
      </c>
      <c r="M272" s="9" t="s">
        <v>1688</v>
      </c>
      <c r="N272" s="9" t="s">
        <v>1680</v>
      </c>
      <c r="O272" s="9" t="s">
        <v>66</v>
      </c>
      <c r="P272" s="9" t="s">
        <v>86</v>
      </c>
      <c r="Q272" s="9"/>
      <c r="R272" s="11" t="s">
        <v>87</v>
      </c>
      <c r="S272" s="11" t="s">
        <v>88</v>
      </c>
      <c r="T272" s="11" t="s">
        <v>89</v>
      </c>
      <c r="U272" s="11" t="s">
        <v>88</v>
      </c>
      <c r="V272" s="9" t="s">
        <v>90</v>
      </c>
      <c r="W272" s="9" t="s">
        <v>1695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74</v>
      </c>
    </row>
    <row r="273" customFormat="false" ht="15" hidden="false" customHeight="false" outlineLevel="0" collapsed="false">
      <c r="A273" s="9" t="s">
        <v>1696</v>
      </c>
      <c r="B273" s="9" t="s">
        <v>1697</v>
      </c>
      <c r="C273" s="9" t="s">
        <v>1079</v>
      </c>
      <c r="D273" s="9" t="s">
        <v>1698</v>
      </c>
      <c r="E273" s="10" t="n">
        <v>1.4</v>
      </c>
      <c r="F273" s="9"/>
      <c r="G273" s="9"/>
      <c r="H273" s="9" t="s">
        <v>1090</v>
      </c>
      <c r="I273" s="9" t="s">
        <v>188</v>
      </c>
      <c r="J273" s="9"/>
      <c r="K273" s="11" t="s">
        <v>130</v>
      </c>
      <c r="L273" s="9" t="s">
        <v>1699</v>
      </c>
      <c r="M273" s="9" t="s">
        <v>1700</v>
      </c>
      <c r="N273" s="9"/>
      <c r="O273" s="9" t="s">
        <v>66</v>
      </c>
      <c r="P273" s="9" t="s">
        <v>67</v>
      </c>
      <c r="Q273" s="11" t="s">
        <v>1701</v>
      </c>
      <c r="R273" s="11" t="s">
        <v>87</v>
      </c>
      <c r="S273" s="11" t="s">
        <v>70</v>
      </c>
      <c r="T273" s="11" t="s">
        <v>1701</v>
      </c>
      <c r="U273" s="11" t="s">
        <v>87</v>
      </c>
      <c r="V273" s="11" t="s">
        <v>72</v>
      </c>
      <c r="W273" s="11" t="s">
        <v>1702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74</v>
      </c>
    </row>
    <row r="274" customFormat="false" ht="15" hidden="false" customHeight="false" outlineLevel="0" collapsed="false">
      <c r="A274" s="9" t="s">
        <v>1703</v>
      </c>
      <c r="B274" s="9" t="s">
        <v>1704</v>
      </c>
      <c r="C274" s="9" t="s">
        <v>1079</v>
      </c>
      <c r="D274" s="9" t="s">
        <v>1705</v>
      </c>
      <c r="E274" s="10" t="n">
        <v>11</v>
      </c>
      <c r="F274" s="9"/>
      <c r="G274" s="9"/>
      <c r="H274" s="9" t="s">
        <v>1706</v>
      </c>
      <c r="I274" s="11" t="s">
        <v>1707</v>
      </c>
      <c r="J274" s="9"/>
      <c r="K274" s="11" t="s">
        <v>130</v>
      </c>
      <c r="L274" s="9" t="s">
        <v>1708</v>
      </c>
      <c r="M274" s="9" t="s">
        <v>1514</v>
      </c>
      <c r="N274" s="9" t="s">
        <v>1247</v>
      </c>
      <c r="O274" s="9" t="s">
        <v>66</v>
      </c>
      <c r="P274" s="9" t="s">
        <v>67</v>
      </c>
      <c r="Q274" s="9" t="s">
        <v>1515</v>
      </c>
      <c r="R274" s="9" t="s">
        <v>69</v>
      </c>
      <c r="S274" s="11" t="s">
        <v>70</v>
      </c>
      <c r="T274" s="9" t="s">
        <v>1515</v>
      </c>
      <c r="U274" s="11" t="s">
        <v>71</v>
      </c>
      <c r="V274" s="11" t="s">
        <v>72</v>
      </c>
      <c r="W274" s="11" t="s">
        <v>1709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74</v>
      </c>
    </row>
    <row r="275" customFormat="false" ht="15" hidden="false" customHeight="false" outlineLevel="0" collapsed="false">
      <c r="A275" s="9" t="s">
        <v>1710</v>
      </c>
      <c r="B275" s="9" t="s">
        <v>1711</v>
      </c>
      <c r="C275" s="9" t="s">
        <v>1079</v>
      </c>
      <c r="D275" s="9" t="s">
        <v>1712</v>
      </c>
      <c r="E275" s="10" t="n">
        <v>80</v>
      </c>
      <c r="F275" s="9"/>
      <c r="G275" s="9"/>
      <c r="H275" s="9" t="s">
        <v>1713</v>
      </c>
      <c r="I275" s="11" t="s">
        <v>1714</v>
      </c>
      <c r="J275" s="9"/>
      <c r="K275" s="11" t="s">
        <v>62</v>
      </c>
      <c r="L275" s="9" t="s">
        <v>1708</v>
      </c>
      <c r="M275" s="9" t="s">
        <v>1514</v>
      </c>
      <c r="N275" s="9" t="s">
        <v>1247</v>
      </c>
      <c r="O275" s="9" t="s">
        <v>66</v>
      </c>
      <c r="P275" s="9" t="s">
        <v>67</v>
      </c>
      <c r="Q275" s="9" t="s">
        <v>1515</v>
      </c>
      <c r="R275" s="9" t="s">
        <v>69</v>
      </c>
      <c r="S275" s="11" t="s">
        <v>70</v>
      </c>
      <c r="T275" s="9" t="s">
        <v>1515</v>
      </c>
      <c r="U275" s="11" t="s">
        <v>71</v>
      </c>
      <c r="V275" s="11" t="s">
        <v>72</v>
      </c>
      <c r="W275" s="11" t="s">
        <v>1715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74</v>
      </c>
    </row>
    <row r="276" customFormat="false" ht="15" hidden="false" customHeight="false" outlineLevel="0" collapsed="false">
      <c r="A276" s="9" t="s">
        <v>1716</v>
      </c>
      <c r="B276" s="9" t="s">
        <v>1717</v>
      </c>
      <c r="C276" s="9" t="s">
        <v>1079</v>
      </c>
      <c r="D276" s="9" t="s">
        <v>1718</v>
      </c>
      <c r="E276" s="9"/>
      <c r="F276" s="10" t="n">
        <v>30</v>
      </c>
      <c r="G276" s="9"/>
      <c r="H276" s="9" t="s">
        <v>1719</v>
      </c>
      <c r="I276" s="11" t="s">
        <v>1370</v>
      </c>
      <c r="J276" s="9"/>
      <c r="K276" s="11" t="s">
        <v>62</v>
      </c>
      <c r="L276" s="9" t="s">
        <v>1708</v>
      </c>
      <c r="M276" s="9" t="s">
        <v>1514</v>
      </c>
      <c r="N276" s="9" t="s">
        <v>1247</v>
      </c>
      <c r="O276" s="9" t="s">
        <v>66</v>
      </c>
      <c r="P276" s="9" t="s">
        <v>67</v>
      </c>
      <c r="Q276" s="9" t="s">
        <v>1515</v>
      </c>
      <c r="R276" s="9" t="s">
        <v>69</v>
      </c>
      <c r="S276" s="11" t="s">
        <v>70</v>
      </c>
      <c r="T276" s="9" t="s">
        <v>1515</v>
      </c>
      <c r="U276" s="11" t="s">
        <v>71</v>
      </c>
      <c r="V276" s="11" t="s">
        <v>72</v>
      </c>
      <c r="W276" s="11" t="s">
        <v>1720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74</v>
      </c>
    </row>
    <row r="277" customFormat="false" ht="15" hidden="false" customHeight="false" outlineLevel="0" collapsed="false">
      <c r="A277" s="9" t="s">
        <v>1721</v>
      </c>
      <c r="B277" s="9" t="s">
        <v>1722</v>
      </c>
      <c r="C277" s="9" t="s">
        <v>1079</v>
      </c>
      <c r="D277" s="9" t="s">
        <v>1723</v>
      </c>
      <c r="E277" s="10" t="n">
        <v>200</v>
      </c>
      <c r="F277" s="9"/>
      <c r="G277" s="9"/>
      <c r="H277" s="9" t="s">
        <v>1724</v>
      </c>
      <c r="I277" s="11" t="s">
        <v>1725</v>
      </c>
      <c r="J277" s="9"/>
      <c r="K277" s="11" t="s">
        <v>62</v>
      </c>
      <c r="L277" s="9" t="s">
        <v>1726</v>
      </c>
      <c r="M277" s="9" t="s">
        <v>1246</v>
      </c>
      <c r="N277" s="9" t="s">
        <v>1247</v>
      </c>
      <c r="O277" s="9" t="s">
        <v>66</v>
      </c>
      <c r="P277" s="9" t="s">
        <v>67</v>
      </c>
      <c r="Q277" s="9" t="s">
        <v>1515</v>
      </c>
      <c r="R277" s="9" t="s">
        <v>69</v>
      </c>
      <c r="S277" s="11" t="s">
        <v>70</v>
      </c>
      <c r="T277" s="9" t="s">
        <v>1515</v>
      </c>
      <c r="U277" s="11" t="s">
        <v>71</v>
      </c>
      <c r="V277" s="11" t="s">
        <v>72</v>
      </c>
      <c r="W277" s="11" t="s">
        <v>1727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74</v>
      </c>
    </row>
    <row r="278" customFormat="false" ht="15" hidden="false" customHeight="false" outlineLevel="0" collapsed="false">
      <c r="A278" s="9" t="s">
        <v>1728</v>
      </c>
      <c r="B278" s="9" t="s">
        <v>1729</v>
      </c>
      <c r="C278" s="9" t="s">
        <v>1730</v>
      </c>
      <c r="D278" s="9" t="s">
        <v>1731</v>
      </c>
      <c r="E278" s="10" t="n">
        <v>12.65</v>
      </c>
      <c r="F278" s="9"/>
      <c r="G278" s="9"/>
      <c r="H278" s="9" t="s">
        <v>466</v>
      </c>
      <c r="I278" s="9" t="s">
        <v>1732</v>
      </c>
      <c r="J278" s="9"/>
      <c r="K278" s="11" t="s">
        <v>62</v>
      </c>
      <c r="L278" s="9" t="s">
        <v>1733</v>
      </c>
      <c r="M278" s="9" t="s">
        <v>1734</v>
      </c>
      <c r="N278" s="9" t="s">
        <v>65</v>
      </c>
      <c r="O278" s="9" t="s">
        <v>66</v>
      </c>
      <c r="P278" s="9" t="s">
        <v>67</v>
      </c>
      <c r="Q278" s="9" t="s">
        <v>1735</v>
      </c>
      <c r="R278" s="9" t="s">
        <v>69</v>
      </c>
      <c r="S278" s="11" t="s">
        <v>70</v>
      </c>
      <c r="T278" s="9" t="s">
        <v>1735</v>
      </c>
      <c r="U278" s="11" t="s">
        <v>1273</v>
      </c>
      <c r="V278" s="11" t="s">
        <v>72</v>
      </c>
      <c r="W278" s="11" t="s">
        <v>1736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74</v>
      </c>
    </row>
    <row r="279" customFormat="false" ht="15" hidden="false" customHeight="false" outlineLevel="0" collapsed="false">
      <c r="A279" s="9" t="s">
        <v>1737</v>
      </c>
      <c r="B279" s="9" t="s">
        <v>1738</v>
      </c>
      <c r="C279" s="9" t="s">
        <v>1730</v>
      </c>
      <c r="D279" s="9" t="s">
        <v>1739</v>
      </c>
      <c r="E279" s="10" t="n">
        <v>13</v>
      </c>
      <c r="F279" s="9"/>
      <c r="G279" s="9"/>
      <c r="H279" s="9" t="s">
        <v>466</v>
      </c>
      <c r="I279" s="9" t="s">
        <v>1732</v>
      </c>
      <c r="J279" s="9"/>
      <c r="K279" s="11" t="s">
        <v>62</v>
      </c>
      <c r="L279" s="9" t="s">
        <v>1740</v>
      </c>
      <c r="M279" s="9" t="s">
        <v>1741</v>
      </c>
      <c r="N279" s="9" t="s">
        <v>65</v>
      </c>
      <c r="O279" s="9" t="s">
        <v>66</v>
      </c>
      <c r="P279" s="9" t="s">
        <v>67</v>
      </c>
      <c r="Q279" s="9" t="s">
        <v>1735</v>
      </c>
      <c r="R279" s="9" t="s">
        <v>69</v>
      </c>
      <c r="S279" s="11" t="s">
        <v>70</v>
      </c>
      <c r="T279" s="9" t="s">
        <v>1735</v>
      </c>
      <c r="U279" s="11" t="s">
        <v>71</v>
      </c>
      <c r="V279" s="11" t="s">
        <v>72</v>
      </c>
      <c r="W279" s="11" t="s">
        <v>1742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74</v>
      </c>
    </row>
    <row r="280" customFormat="false" ht="15" hidden="false" customHeight="false" outlineLevel="0" collapsed="false">
      <c r="A280" s="9" t="s">
        <v>1743</v>
      </c>
      <c r="B280" s="9" t="s">
        <v>1744</v>
      </c>
      <c r="C280" s="9" t="s">
        <v>1730</v>
      </c>
      <c r="D280" s="9" t="s">
        <v>1745</v>
      </c>
      <c r="E280" s="10" t="n">
        <v>7.33</v>
      </c>
      <c r="F280" s="9"/>
      <c r="G280" s="9"/>
      <c r="H280" s="9" t="s">
        <v>466</v>
      </c>
      <c r="I280" s="9" t="s">
        <v>1732</v>
      </c>
      <c r="J280" s="9"/>
      <c r="K280" s="11" t="s">
        <v>62</v>
      </c>
      <c r="L280" s="9" t="s">
        <v>1733</v>
      </c>
      <c r="M280" s="9" t="s">
        <v>1734</v>
      </c>
      <c r="N280" s="9" t="s">
        <v>65</v>
      </c>
      <c r="O280" s="9" t="s">
        <v>66</v>
      </c>
      <c r="P280" s="9" t="s">
        <v>67</v>
      </c>
      <c r="Q280" s="9" t="s">
        <v>1735</v>
      </c>
      <c r="R280" s="9" t="s">
        <v>69</v>
      </c>
      <c r="S280" s="11" t="s">
        <v>70</v>
      </c>
      <c r="T280" s="9" t="s">
        <v>1735</v>
      </c>
      <c r="U280" s="11" t="s">
        <v>1273</v>
      </c>
      <c r="V280" s="11" t="s">
        <v>72</v>
      </c>
      <c r="W280" s="11" t="s">
        <v>1746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74</v>
      </c>
    </row>
    <row r="281" customFormat="false" ht="15" hidden="false" customHeight="false" outlineLevel="0" collapsed="false">
      <c r="A281" s="9" t="s">
        <v>1747</v>
      </c>
      <c r="B281" s="9" t="s">
        <v>1748</v>
      </c>
      <c r="C281" s="9" t="s">
        <v>1730</v>
      </c>
      <c r="D281" s="9" t="s">
        <v>1749</v>
      </c>
      <c r="E281" s="9" t="n">
        <f aca="false">SRC_ANT_274-SRC_ANT_276</f>
        <v>5.32</v>
      </c>
      <c r="F281" s="9"/>
      <c r="G281" s="9"/>
      <c r="H281" s="9" t="s">
        <v>466</v>
      </c>
      <c r="I281" s="9" t="s">
        <v>1732</v>
      </c>
      <c r="J281" s="9"/>
      <c r="K281" s="11" t="s">
        <v>62</v>
      </c>
      <c r="L281" s="9" t="s">
        <v>1750</v>
      </c>
      <c r="M281" s="9" t="s">
        <v>1734</v>
      </c>
      <c r="N281" s="9" t="s">
        <v>65</v>
      </c>
      <c r="O281" s="9" t="s">
        <v>66</v>
      </c>
      <c r="P281" s="9" t="s">
        <v>86</v>
      </c>
      <c r="Q281" s="9"/>
      <c r="R281" s="11" t="s">
        <v>87</v>
      </c>
      <c r="S281" s="11" t="s">
        <v>88</v>
      </c>
      <c r="T281" s="11" t="s">
        <v>89</v>
      </c>
      <c r="U281" s="11" t="s">
        <v>88</v>
      </c>
      <c r="V281" s="9" t="s">
        <v>90</v>
      </c>
      <c r="W281" s="11" t="s">
        <v>1751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74</v>
      </c>
    </row>
    <row r="282" customFormat="false" ht="15" hidden="false" customHeight="false" outlineLevel="0" collapsed="false">
      <c r="A282" s="9" t="s">
        <v>1752</v>
      </c>
      <c r="B282" s="9" t="s">
        <v>1753</v>
      </c>
      <c r="C282" s="9" t="s">
        <v>1730</v>
      </c>
      <c r="D282" s="9" t="s">
        <v>1754</v>
      </c>
      <c r="E282" s="10" t="n">
        <v>8.06</v>
      </c>
      <c r="F282" s="9"/>
      <c r="G282" s="9"/>
      <c r="H282" s="9" t="s">
        <v>466</v>
      </c>
      <c r="I282" s="9" t="s">
        <v>1732</v>
      </c>
      <c r="J282" s="9"/>
      <c r="K282" s="9"/>
      <c r="L282" s="9" t="s">
        <v>1733</v>
      </c>
      <c r="M282" s="9" t="s">
        <v>1734</v>
      </c>
      <c r="N282" s="9" t="s">
        <v>65</v>
      </c>
      <c r="O282" s="9" t="s">
        <v>66</v>
      </c>
      <c r="P282" s="9" t="s">
        <v>67</v>
      </c>
      <c r="Q282" s="9" t="s">
        <v>1735</v>
      </c>
      <c r="R282" s="9" t="s">
        <v>69</v>
      </c>
      <c r="S282" s="11" t="s">
        <v>70</v>
      </c>
      <c r="T282" s="9" t="s">
        <v>1735</v>
      </c>
      <c r="U282" s="11" t="s">
        <v>1273</v>
      </c>
      <c r="V282" s="11" t="s">
        <v>72</v>
      </c>
      <c r="W282" s="11" t="s">
        <v>1755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74</v>
      </c>
    </row>
    <row r="283" customFormat="false" ht="15" hidden="false" customHeight="false" outlineLevel="0" collapsed="false">
      <c r="A283" s="9" t="s">
        <v>1756</v>
      </c>
      <c r="B283" s="9" t="s">
        <v>1757</v>
      </c>
      <c r="C283" s="9" t="s">
        <v>1730</v>
      </c>
      <c r="D283" s="9" t="s">
        <v>1758</v>
      </c>
      <c r="E283" s="10" t="n">
        <v>2.98</v>
      </c>
      <c r="F283" s="9"/>
      <c r="G283" s="9"/>
      <c r="H283" s="9" t="s">
        <v>466</v>
      </c>
      <c r="I283" s="9" t="s">
        <v>1759</v>
      </c>
      <c r="J283" s="9"/>
      <c r="K283" s="9"/>
      <c r="L283" s="9" t="s">
        <v>1733</v>
      </c>
      <c r="M283" s="9" t="s">
        <v>1734</v>
      </c>
      <c r="N283" s="9" t="s">
        <v>65</v>
      </c>
      <c r="O283" s="9" t="s">
        <v>66</v>
      </c>
      <c r="P283" s="9" t="s">
        <v>67</v>
      </c>
      <c r="Q283" s="9" t="s">
        <v>1735</v>
      </c>
      <c r="R283" s="9" t="s">
        <v>69</v>
      </c>
      <c r="S283" s="11" t="s">
        <v>70</v>
      </c>
      <c r="T283" s="9" t="s">
        <v>1735</v>
      </c>
      <c r="U283" s="11" t="s">
        <v>1273</v>
      </c>
      <c r="V283" s="11" t="s">
        <v>72</v>
      </c>
      <c r="W283" s="11" t="s">
        <v>1760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74</v>
      </c>
    </row>
    <row r="284" customFormat="false" ht="15" hidden="false" customHeight="false" outlineLevel="0" collapsed="false">
      <c r="A284" s="9" t="s">
        <v>1761</v>
      </c>
      <c r="B284" s="9" t="s">
        <v>1762</v>
      </c>
      <c r="C284" s="9" t="s">
        <v>1730</v>
      </c>
      <c r="D284" s="9" t="s">
        <v>1763</v>
      </c>
      <c r="E284" s="10" t="n">
        <v>42</v>
      </c>
      <c r="F284" s="9"/>
      <c r="G284" s="9"/>
      <c r="H284" s="9" t="s">
        <v>466</v>
      </c>
      <c r="I284" s="9" t="s">
        <v>1732</v>
      </c>
      <c r="J284" s="9"/>
      <c r="K284" s="9"/>
      <c r="L284" s="9" t="s">
        <v>1733</v>
      </c>
      <c r="M284" s="9" t="s">
        <v>1734</v>
      </c>
      <c r="N284" s="9" t="s">
        <v>65</v>
      </c>
      <c r="O284" s="9" t="s">
        <v>66</v>
      </c>
      <c r="P284" s="9" t="s">
        <v>67</v>
      </c>
      <c r="Q284" s="9" t="s">
        <v>1735</v>
      </c>
      <c r="R284" s="9" t="s">
        <v>69</v>
      </c>
      <c r="S284" s="11" t="s">
        <v>70</v>
      </c>
      <c r="T284" s="9" t="s">
        <v>1735</v>
      </c>
      <c r="U284" s="11" t="s">
        <v>1273</v>
      </c>
      <c r="V284" s="11" t="s">
        <v>72</v>
      </c>
      <c r="W284" s="11" t="s">
        <v>1764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74</v>
      </c>
    </row>
    <row r="285" customFormat="false" ht="15" hidden="false" customHeight="false" outlineLevel="0" collapsed="false">
      <c r="A285" s="9" t="s">
        <v>1765</v>
      </c>
      <c r="B285" s="9" t="s">
        <v>1766</v>
      </c>
      <c r="C285" s="9" t="s">
        <v>1730</v>
      </c>
      <c r="D285" s="9" t="s">
        <v>1767</v>
      </c>
      <c r="E285" s="10" t="n">
        <v>34</v>
      </c>
      <c r="F285" s="9"/>
      <c r="G285" s="9"/>
      <c r="H285" s="9" t="s">
        <v>466</v>
      </c>
      <c r="I285" s="9" t="s">
        <v>1732</v>
      </c>
      <c r="J285" s="9"/>
      <c r="K285" s="9"/>
      <c r="L285" s="9" t="s">
        <v>1733</v>
      </c>
      <c r="M285" s="9" t="s">
        <v>1734</v>
      </c>
      <c r="N285" s="9" t="s">
        <v>65</v>
      </c>
      <c r="O285" s="9" t="s">
        <v>66</v>
      </c>
      <c r="P285" s="9" t="s">
        <v>67</v>
      </c>
      <c r="Q285" s="9" t="s">
        <v>1735</v>
      </c>
      <c r="R285" s="9" t="s">
        <v>69</v>
      </c>
      <c r="S285" s="11" t="s">
        <v>70</v>
      </c>
      <c r="T285" s="9" t="s">
        <v>1735</v>
      </c>
      <c r="U285" s="11" t="s">
        <v>1273</v>
      </c>
      <c r="V285" s="11" t="s">
        <v>72</v>
      </c>
      <c r="W285" s="11" t="s">
        <v>1768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74</v>
      </c>
    </row>
    <row r="286" customFormat="false" ht="15" hidden="false" customHeight="false" outlineLevel="0" collapsed="false">
      <c r="A286" s="9" t="s">
        <v>1769</v>
      </c>
      <c r="B286" s="9" t="s">
        <v>1770</v>
      </c>
      <c r="C286" s="9" t="s">
        <v>1730</v>
      </c>
      <c r="D286" s="9" t="s">
        <v>1771</v>
      </c>
      <c r="E286" s="10" t="n">
        <v>0.71</v>
      </c>
      <c r="F286" s="9"/>
      <c r="G286" s="9"/>
      <c r="H286" s="9" t="s">
        <v>1772</v>
      </c>
      <c r="I286" s="9" t="s">
        <v>96</v>
      </c>
      <c r="J286" s="9"/>
      <c r="K286" s="9"/>
      <c r="L286" s="9" t="s">
        <v>1773</v>
      </c>
      <c r="M286" s="9" t="s">
        <v>1774</v>
      </c>
      <c r="N286" s="9" t="s">
        <v>398</v>
      </c>
      <c r="O286" s="9" t="s">
        <v>66</v>
      </c>
      <c r="P286" s="9" t="s">
        <v>67</v>
      </c>
      <c r="Q286" s="9" t="s">
        <v>1775</v>
      </c>
      <c r="R286" s="9" t="s">
        <v>69</v>
      </c>
      <c r="S286" s="11" t="s">
        <v>70</v>
      </c>
      <c r="T286" s="9" t="s">
        <v>1775</v>
      </c>
      <c r="U286" s="11" t="s">
        <v>71</v>
      </c>
      <c r="V286" s="11" t="s">
        <v>72</v>
      </c>
      <c r="W286" s="11" t="s">
        <v>1776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74</v>
      </c>
    </row>
    <row r="287" customFormat="false" ht="15" hidden="false" customHeight="false" outlineLevel="0" collapsed="false">
      <c r="A287" s="9" t="s">
        <v>1777</v>
      </c>
      <c r="B287" s="9" t="s">
        <v>1778</v>
      </c>
      <c r="C287" s="9" t="s">
        <v>1730</v>
      </c>
      <c r="D287" s="11" t="s">
        <v>1779</v>
      </c>
      <c r="E287" s="10" t="n">
        <v>718</v>
      </c>
      <c r="F287" s="9"/>
      <c r="G287" s="9"/>
      <c r="H287" s="11" t="s">
        <v>1012</v>
      </c>
      <c r="I287" s="9" t="s">
        <v>1780</v>
      </c>
      <c r="J287" s="9"/>
      <c r="K287" s="9"/>
      <c r="L287" s="9" t="s">
        <v>1781</v>
      </c>
      <c r="M287" s="9" t="s">
        <v>1782</v>
      </c>
      <c r="N287" s="9" t="s">
        <v>979</v>
      </c>
      <c r="O287" s="9" t="s">
        <v>66</v>
      </c>
      <c r="P287" s="9" t="s">
        <v>283</v>
      </c>
      <c r="Q287" s="9"/>
      <c r="R287" s="11" t="s">
        <v>87</v>
      </c>
      <c r="S287" s="11" t="s">
        <v>284</v>
      </c>
      <c r="T287" s="11" t="s">
        <v>285</v>
      </c>
      <c r="U287" s="11" t="s">
        <v>87</v>
      </c>
      <c r="V287" s="11" t="s">
        <v>72</v>
      </c>
      <c r="W287" s="11" t="s">
        <v>1783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74</v>
      </c>
    </row>
    <row r="288" customFormat="false" ht="15" hidden="false" customHeight="false" outlineLevel="0" collapsed="false">
      <c r="A288" s="9" t="s">
        <v>1784</v>
      </c>
      <c r="B288" s="9" t="s">
        <v>1785</v>
      </c>
      <c r="C288" s="9" t="s">
        <v>1730</v>
      </c>
      <c r="D288" s="11" t="s">
        <v>1779</v>
      </c>
      <c r="E288" s="10" t="n">
        <v>1324</v>
      </c>
      <c r="F288" s="9"/>
      <c r="G288" s="9"/>
      <c r="H288" s="11" t="s">
        <v>1012</v>
      </c>
      <c r="I288" s="9" t="s">
        <v>1786</v>
      </c>
      <c r="J288" s="9"/>
      <c r="K288" s="9"/>
      <c r="L288" s="9" t="s">
        <v>1787</v>
      </c>
      <c r="M288" s="9" t="s">
        <v>1782</v>
      </c>
      <c r="N288" s="9" t="s">
        <v>979</v>
      </c>
      <c r="O288" s="9" t="s">
        <v>66</v>
      </c>
      <c r="P288" s="9" t="s">
        <v>283</v>
      </c>
      <c r="Q288" s="9"/>
      <c r="R288" s="11" t="s">
        <v>87</v>
      </c>
      <c r="S288" s="11" t="s">
        <v>284</v>
      </c>
      <c r="T288" s="11" t="s">
        <v>285</v>
      </c>
      <c r="U288" s="11" t="s">
        <v>87</v>
      </c>
      <c r="V288" s="11" t="s">
        <v>72</v>
      </c>
      <c r="W288" s="9" t="s">
        <v>1788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74</v>
      </c>
    </row>
    <row r="289" customFormat="false" ht="15" hidden="false" customHeight="false" outlineLevel="0" collapsed="false">
      <c r="A289" s="9" t="s">
        <v>1789</v>
      </c>
      <c r="B289" s="9" t="s">
        <v>1790</v>
      </c>
      <c r="C289" s="9" t="s">
        <v>1730</v>
      </c>
      <c r="D289" s="11" t="s">
        <v>1779</v>
      </c>
      <c r="E289" s="10" t="n">
        <v>3089</v>
      </c>
      <c r="F289" s="9"/>
      <c r="G289" s="9"/>
      <c r="H289" s="11" t="s">
        <v>1012</v>
      </c>
      <c r="I289" s="9" t="s">
        <v>1791</v>
      </c>
      <c r="J289" s="9"/>
      <c r="K289" s="9"/>
      <c r="L289" s="9" t="s">
        <v>1787</v>
      </c>
      <c r="M289" s="9" t="s">
        <v>1782</v>
      </c>
      <c r="N289" s="9" t="s">
        <v>979</v>
      </c>
      <c r="O289" s="9" t="s">
        <v>66</v>
      </c>
      <c r="P289" s="9" t="s">
        <v>283</v>
      </c>
      <c r="Q289" s="9"/>
      <c r="R289" s="11" t="s">
        <v>87</v>
      </c>
      <c r="S289" s="11" t="s">
        <v>284</v>
      </c>
      <c r="T289" s="11" t="s">
        <v>285</v>
      </c>
      <c r="U289" s="11" t="s">
        <v>87</v>
      </c>
      <c r="V289" s="11" t="s">
        <v>72</v>
      </c>
      <c r="W289" s="9" t="s">
        <v>1792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74</v>
      </c>
    </row>
    <row r="290" customFormat="false" ht="15" hidden="false" customHeight="false" outlineLevel="0" collapsed="false">
      <c r="A290" s="9" t="s">
        <v>1793</v>
      </c>
      <c r="B290" s="9" t="s">
        <v>1794</v>
      </c>
      <c r="C290" s="9" t="s">
        <v>1730</v>
      </c>
      <c r="D290" s="11" t="s">
        <v>1779</v>
      </c>
      <c r="E290" s="10" t="n">
        <v>3950</v>
      </c>
      <c r="F290" s="9"/>
      <c r="G290" s="9"/>
      <c r="H290" s="11" t="s">
        <v>1012</v>
      </c>
      <c r="I290" s="9" t="s">
        <v>96</v>
      </c>
      <c r="J290" s="9"/>
      <c r="K290" s="9"/>
      <c r="L290" s="9" t="s">
        <v>1787</v>
      </c>
      <c r="M290" s="9" t="s">
        <v>1782</v>
      </c>
      <c r="N290" s="9" t="s">
        <v>979</v>
      </c>
      <c r="O290" s="9" t="s">
        <v>66</v>
      </c>
      <c r="P290" s="9" t="s">
        <v>283</v>
      </c>
      <c r="Q290" s="9"/>
      <c r="R290" s="11" t="s">
        <v>87</v>
      </c>
      <c r="S290" s="11" t="s">
        <v>284</v>
      </c>
      <c r="T290" s="11" t="s">
        <v>285</v>
      </c>
      <c r="U290" s="11" t="s">
        <v>87</v>
      </c>
      <c r="V290" s="11" t="s">
        <v>72</v>
      </c>
      <c r="W290" s="11" t="s">
        <v>1795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74</v>
      </c>
    </row>
    <row r="291" customFormat="false" ht="15" hidden="false" customHeight="false" outlineLevel="0" collapsed="false">
      <c r="A291" s="9" t="s">
        <v>1796</v>
      </c>
      <c r="B291" s="9" t="s">
        <v>1797</v>
      </c>
      <c r="C291" s="9" t="s">
        <v>1730</v>
      </c>
      <c r="D291" s="11" t="s">
        <v>1798</v>
      </c>
      <c r="E291" s="9"/>
      <c r="F291" s="10" t="n">
        <v>2500</v>
      </c>
      <c r="G291" s="10" t="n">
        <v>5000</v>
      </c>
      <c r="H291" s="11" t="s">
        <v>1012</v>
      </c>
      <c r="I291" s="9" t="s">
        <v>979</v>
      </c>
      <c r="J291" s="9"/>
      <c r="K291" s="9"/>
      <c r="L291" s="9" t="s">
        <v>1799</v>
      </c>
      <c r="M291" s="9" t="s">
        <v>1800</v>
      </c>
      <c r="N291" s="9" t="s">
        <v>1801</v>
      </c>
      <c r="O291" s="9" t="s">
        <v>66</v>
      </c>
      <c r="P291" s="9" t="s">
        <v>283</v>
      </c>
      <c r="Q291" s="9"/>
      <c r="R291" s="9" t="s">
        <v>69</v>
      </c>
      <c r="S291" s="11" t="s">
        <v>284</v>
      </c>
      <c r="T291" s="11" t="s">
        <v>285</v>
      </c>
      <c r="U291" s="11" t="s">
        <v>71</v>
      </c>
      <c r="V291" s="11" t="s">
        <v>72</v>
      </c>
      <c r="W291" s="11" t="s">
        <v>1802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74</v>
      </c>
    </row>
    <row r="292" customFormat="false" ht="15" hidden="false" customHeight="false" outlineLevel="0" collapsed="false">
      <c r="A292" s="9" t="s">
        <v>1803</v>
      </c>
      <c r="B292" s="9" t="s">
        <v>1804</v>
      </c>
      <c r="C292" s="9" t="s">
        <v>1730</v>
      </c>
      <c r="D292" s="9" t="s">
        <v>1805</v>
      </c>
      <c r="E292" s="10" t="n">
        <v>2.5</v>
      </c>
      <c r="F292" s="9"/>
      <c r="G292" s="9"/>
      <c r="H292" s="9" t="s">
        <v>466</v>
      </c>
      <c r="I292" s="9" t="s">
        <v>1759</v>
      </c>
      <c r="J292" s="9"/>
      <c r="K292" s="11" t="s">
        <v>62</v>
      </c>
      <c r="L292" s="9" t="s">
        <v>1806</v>
      </c>
      <c r="M292" s="9" t="s">
        <v>1807</v>
      </c>
      <c r="N292" s="9" t="s">
        <v>703</v>
      </c>
      <c r="O292" s="9" t="s">
        <v>66</v>
      </c>
      <c r="P292" s="9" t="s">
        <v>67</v>
      </c>
      <c r="Q292" s="9" t="s">
        <v>1735</v>
      </c>
      <c r="R292" s="9" t="s">
        <v>69</v>
      </c>
      <c r="S292" s="11" t="s">
        <v>70</v>
      </c>
      <c r="T292" s="9" t="s">
        <v>1735</v>
      </c>
      <c r="U292" s="11" t="s">
        <v>71</v>
      </c>
      <c r="V292" s="11" t="s">
        <v>72</v>
      </c>
      <c r="W292" s="11" t="s">
        <v>1808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74</v>
      </c>
    </row>
    <row r="293" customFormat="false" ht="15" hidden="false" customHeight="false" outlineLevel="0" collapsed="false">
      <c r="A293" s="9" t="s">
        <v>1809</v>
      </c>
      <c r="B293" s="9" t="s">
        <v>1810</v>
      </c>
      <c r="C293" s="9" t="s">
        <v>1730</v>
      </c>
      <c r="D293" s="9" t="s">
        <v>1811</v>
      </c>
      <c r="E293" s="10" t="n">
        <v>8</v>
      </c>
      <c r="F293" s="9"/>
      <c r="G293" s="9"/>
      <c r="H293" s="9" t="s">
        <v>466</v>
      </c>
      <c r="I293" s="9" t="s">
        <v>1759</v>
      </c>
      <c r="J293" s="9"/>
      <c r="K293" s="9"/>
      <c r="L293" s="9" t="s">
        <v>1812</v>
      </c>
      <c r="M293" s="9" t="s">
        <v>1807</v>
      </c>
      <c r="N293" s="9" t="s">
        <v>703</v>
      </c>
      <c r="O293" s="9" t="s">
        <v>66</v>
      </c>
      <c r="P293" s="9" t="s">
        <v>67</v>
      </c>
      <c r="Q293" s="9" t="s">
        <v>1735</v>
      </c>
      <c r="R293" s="9" t="s">
        <v>69</v>
      </c>
      <c r="S293" s="11" t="s">
        <v>70</v>
      </c>
      <c r="T293" s="9" t="s">
        <v>1735</v>
      </c>
      <c r="U293" s="11" t="s">
        <v>71</v>
      </c>
      <c r="V293" s="11" t="s">
        <v>72</v>
      </c>
      <c r="W293" s="11" t="s">
        <v>1813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74</v>
      </c>
    </row>
    <row r="294" customFormat="false" ht="15" hidden="false" customHeight="false" outlineLevel="0" collapsed="false">
      <c r="A294" s="9" t="s">
        <v>1814</v>
      </c>
      <c r="B294" s="9" t="s">
        <v>1815</v>
      </c>
      <c r="C294" s="9" t="s">
        <v>1730</v>
      </c>
      <c r="D294" s="9" t="s">
        <v>1816</v>
      </c>
      <c r="E294" s="10" t="n">
        <v>5.6</v>
      </c>
      <c r="F294" s="9"/>
      <c r="G294" s="9"/>
      <c r="H294" s="9" t="s">
        <v>466</v>
      </c>
      <c r="I294" s="9" t="s">
        <v>1759</v>
      </c>
      <c r="J294" s="9"/>
      <c r="K294" s="9"/>
      <c r="L294" s="9" t="s">
        <v>1817</v>
      </c>
      <c r="M294" s="9" t="s">
        <v>1818</v>
      </c>
      <c r="N294" s="9" t="s">
        <v>1819</v>
      </c>
      <c r="O294" s="9" t="s">
        <v>66</v>
      </c>
      <c r="P294" s="9" t="s">
        <v>67</v>
      </c>
      <c r="Q294" s="9" t="s">
        <v>1775</v>
      </c>
      <c r="R294" s="9" t="s">
        <v>69</v>
      </c>
      <c r="S294" s="11" t="s">
        <v>70</v>
      </c>
      <c r="T294" s="9" t="s">
        <v>1775</v>
      </c>
      <c r="U294" s="11" t="s">
        <v>71</v>
      </c>
      <c r="V294" s="11" t="s">
        <v>72</v>
      </c>
      <c r="W294" s="11" t="s">
        <v>1820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74</v>
      </c>
    </row>
    <row r="295" customFormat="false" ht="15" hidden="false" customHeight="false" outlineLevel="0" collapsed="false">
      <c r="A295" s="9" t="s">
        <v>1821</v>
      </c>
      <c r="B295" s="9" t="s">
        <v>1822</v>
      </c>
      <c r="C295" s="9" t="s">
        <v>1730</v>
      </c>
      <c r="D295" s="9" t="s">
        <v>1823</v>
      </c>
      <c r="E295" s="10" t="n">
        <v>-0.94</v>
      </c>
      <c r="F295" s="9"/>
      <c r="G295" s="9"/>
      <c r="H295" s="11" t="s">
        <v>253</v>
      </c>
      <c r="I295" s="9" t="s">
        <v>1759</v>
      </c>
      <c r="J295" s="9"/>
      <c r="K295" s="9"/>
      <c r="L295" s="9" t="s">
        <v>1824</v>
      </c>
      <c r="M295" s="9" t="s">
        <v>1825</v>
      </c>
      <c r="N295" s="9" t="s">
        <v>1021</v>
      </c>
      <c r="O295" s="9" t="s">
        <v>66</v>
      </c>
      <c r="P295" s="9" t="s">
        <v>67</v>
      </c>
      <c r="Q295" s="9" t="s">
        <v>1775</v>
      </c>
      <c r="R295" s="9" t="s">
        <v>69</v>
      </c>
      <c r="S295" s="11" t="s">
        <v>70</v>
      </c>
      <c r="T295" s="9" t="s">
        <v>1775</v>
      </c>
      <c r="U295" s="11" t="s">
        <v>71</v>
      </c>
      <c r="V295" s="11" t="s">
        <v>72</v>
      </c>
      <c r="W295" s="11" t="s">
        <v>1826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74</v>
      </c>
    </row>
    <row r="296" customFormat="false" ht="15" hidden="false" customHeight="false" outlineLevel="0" collapsed="false">
      <c r="A296" s="9" t="s">
        <v>1827</v>
      </c>
      <c r="B296" s="9" t="s">
        <v>1828</v>
      </c>
      <c r="C296" s="9" t="s">
        <v>1730</v>
      </c>
      <c r="D296" s="9" t="s">
        <v>1829</v>
      </c>
      <c r="E296" s="10" t="n">
        <v>0.4</v>
      </c>
      <c r="F296" s="9"/>
      <c r="G296" s="9"/>
      <c r="H296" s="11" t="s">
        <v>253</v>
      </c>
      <c r="I296" s="9" t="s">
        <v>1732</v>
      </c>
      <c r="J296" s="9"/>
      <c r="K296" s="9"/>
      <c r="L296" s="9" t="s">
        <v>1830</v>
      </c>
      <c r="M296" s="9" t="s">
        <v>374</v>
      </c>
      <c r="N296" s="9" t="s">
        <v>356</v>
      </c>
      <c r="O296" s="9" t="s">
        <v>66</v>
      </c>
      <c r="P296" s="9" t="s">
        <v>67</v>
      </c>
      <c r="Q296" s="9" t="s">
        <v>1775</v>
      </c>
      <c r="R296" s="9" t="s">
        <v>69</v>
      </c>
      <c r="S296" s="11" t="s">
        <v>70</v>
      </c>
      <c r="T296" s="9" t="s">
        <v>1775</v>
      </c>
      <c r="U296" s="11" t="s">
        <v>71</v>
      </c>
      <c r="V296" s="11" t="s">
        <v>72</v>
      </c>
      <c r="W296" s="11" t="s">
        <v>1831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74</v>
      </c>
    </row>
    <row r="297" customFormat="false" ht="15" hidden="false" customHeight="false" outlineLevel="0" collapsed="false">
      <c r="A297" s="9" t="s">
        <v>1832</v>
      </c>
      <c r="B297" s="9" t="s">
        <v>1833</v>
      </c>
      <c r="C297" s="9" t="s">
        <v>1730</v>
      </c>
      <c r="D297" s="11" t="s">
        <v>1834</v>
      </c>
      <c r="E297" s="10" t="n">
        <v>0.8</v>
      </c>
      <c r="F297" s="10" t="n">
        <v>0.8</v>
      </c>
      <c r="G297" s="9"/>
      <c r="H297" s="11" t="s">
        <v>253</v>
      </c>
      <c r="I297" s="9" t="s">
        <v>105</v>
      </c>
      <c r="J297" s="9"/>
      <c r="K297" s="11" t="s">
        <v>62</v>
      </c>
      <c r="L297" s="9" t="s">
        <v>1835</v>
      </c>
      <c r="M297" s="9" t="s">
        <v>1836</v>
      </c>
      <c r="N297" s="9" t="s">
        <v>383</v>
      </c>
      <c r="O297" s="9" t="s">
        <v>66</v>
      </c>
      <c r="P297" s="9" t="s">
        <v>67</v>
      </c>
      <c r="Q297" s="11" t="s">
        <v>1837</v>
      </c>
      <c r="R297" s="9" t="s">
        <v>69</v>
      </c>
      <c r="S297" s="11" t="s">
        <v>70</v>
      </c>
      <c r="T297" s="11" t="s">
        <v>1837</v>
      </c>
      <c r="U297" s="11" t="s">
        <v>71</v>
      </c>
      <c r="V297" s="11" t="s">
        <v>72</v>
      </c>
      <c r="W297" s="11" t="s">
        <v>1838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74</v>
      </c>
    </row>
    <row r="298" customFormat="false" ht="15" hidden="false" customHeight="false" outlineLevel="0" collapsed="false">
      <c r="A298" s="9" t="s">
        <v>1839</v>
      </c>
      <c r="B298" s="9" t="s">
        <v>1840</v>
      </c>
      <c r="C298" s="9" t="s">
        <v>1730</v>
      </c>
      <c r="D298" s="9" t="s">
        <v>1841</v>
      </c>
      <c r="E298" s="9" t="n">
        <f aca="false">SRC_ANT_276/SRC_ANT_001</f>
        <v>1.59347826086957</v>
      </c>
      <c r="F298" s="9"/>
      <c r="G298" s="9"/>
      <c r="H298" s="11" t="s">
        <v>731</v>
      </c>
      <c r="I298" s="9" t="s">
        <v>1732</v>
      </c>
      <c r="J298" s="9"/>
      <c r="K298" s="9"/>
      <c r="L298" s="9" t="s">
        <v>1842</v>
      </c>
      <c r="M298" s="9" t="s">
        <v>1843</v>
      </c>
      <c r="N298" s="9" t="s">
        <v>831</v>
      </c>
      <c r="O298" s="9" t="s">
        <v>66</v>
      </c>
      <c r="P298" s="9" t="s">
        <v>86</v>
      </c>
      <c r="Q298" s="9"/>
      <c r="R298" s="11" t="s">
        <v>87</v>
      </c>
      <c r="S298" s="11" t="s">
        <v>88</v>
      </c>
      <c r="T298" s="11" t="s">
        <v>89</v>
      </c>
      <c r="U298" s="11" t="s">
        <v>88</v>
      </c>
      <c r="V298" s="9" t="s">
        <v>90</v>
      </c>
      <c r="W298" s="11" t="s">
        <v>1844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74</v>
      </c>
    </row>
    <row r="299" customFormat="false" ht="15" hidden="false" customHeight="false" outlineLevel="0" collapsed="false">
      <c r="A299" s="9" t="s">
        <v>1845</v>
      </c>
      <c r="B299" s="9" t="s">
        <v>1846</v>
      </c>
      <c r="C299" s="9" t="s">
        <v>1730</v>
      </c>
      <c r="D299" s="11" t="s">
        <v>1847</v>
      </c>
      <c r="E299" s="10" t="n">
        <v>3500</v>
      </c>
      <c r="F299" s="9"/>
      <c r="G299" s="9"/>
      <c r="H299" s="11" t="s">
        <v>1012</v>
      </c>
      <c r="I299" s="9" t="s">
        <v>820</v>
      </c>
      <c r="J299" s="13" t="n">
        <v>46174</v>
      </c>
      <c r="K299" s="9"/>
      <c r="L299" s="9" t="s">
        <v>1848</v>
      </c>
      <c r="M299" s="9" t="s">
        <v>1849</v>
      </c>
      <c r="N299" s="9" t="s">
        <v>820</v>
      </c>
      <c r="O299" s="9" t="s">
        <v>66</v>
      </c>
      <c r="P299" s="9" t="s">
        <v>67</v>
      </c>
      <c r="Q299" s="9" t="s">
        <v>1850</v>
      </c>
      <c r="R299" s="11" t="s">
        <v>87</v>
      </c>
      <c r="S299" s="11" t="s">
        <v>70</v>
      </c>
      <c r="T299" s="9" t="s">
        <v>1850</v>
      </c>
      <c r="U299" s="11" t="s">
        <v>87</v>
      </c>
      <c r="V299" s="11" t="s">
        <v>72</v>
      </c>
      <c r="W299" s="11" t="s">
        <v>1851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74</v>
      </c>
    </row>
    <row r="300" customFormat="false" ht="15" hidden="false" customHeight="false" outlineLevel="0" collapsed="false">
      <c r="A300" s="9" t="s">
        <v>1852</v>
      </c>
      <c r="B300" s="9" t="s">
        <v>1853</v>
      </c>
      <c r="C300" s="9" t="s">
        <v>1730</v>
      </c>
      <c r="D300" s="11" t="s">
        <v>1854</v>
      </c>
      <c r="E300" s="10" t="n">
        <v>0.125</v>
      </c>
      <c r="F300" s="9"/>
      <c r="G300" s="9"/>
      <c r="H300" s="9" t="s">
        <v>466</v>
      </c>
      <c r="I300" s="9" t="s">
        <v>96</v>
      </c>
      <c r="J300" s="9"/>
      <c r="K300" s="9"/>
      <c r="L300" s="9" t="s">
        <v>1855</v>
      </c>
      <c r="M300" s="9" t="s">
        <v>1856</v>
      </c>
      <c r="N300" s="9" t="s">
        <v>864</v>
      </c>
      <c r="O300" s="9" t="s">
        <v>66</v>
      </c>
      <c r="P300" s="9" t="s">
        <v>67</v>
      </c>
      <c r="Q300" s="9" t="s">
        <v>1857</v>
      </c>
      <c r="R300" s="11" t="s">
        <v>87</v>
      </c>
      <c r="S300" s="11" t="s">
        <v>70</v>
      </c>
      <c r="T300" s="9" t="s">
        <v>1857</v>
      </c>
      <c r="U300" s="11" t="s">
        <v>87</v>
      </c>
      <c r="V300" s="11" t="s">
        <v>72</v>
      </c>
      <c r="W300" s="11" t="s">
        <v>1858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74</v>
      </c>
    </row>
    <row r="301" customFormat="false" ht="15" hidden="false" customHeight="false" outlineLevel="0" collapsed="false">
      <c r="A301" s="9" t="s">
        <v>1859</v>
      </c>
      <c r="B301" s="9" t="s">
        <v>1860</v>
      </c>
      <c r="C301" s="9" t="s">
        <v>1730</v>
      </c>
      <c r="D301" s="9" t="s">
        <v>1861</v>
      </c>
      <c r="E301" s="9" t="n">
        <f aca="false">SRC_ANT_296/SRC_ANT_378</f>
        <v>1.25</v>
      </c>
      <c r="F301" s="9"/>
      <c r="G301" s="9"/>
      <c r="H301" s="9" t="s">
        <v>466</v>
      </c>
      <c r="I301" s="9" t="s">
        <v>96</v>
      </c>
      <c r="J301" s="9"/>
      <c r="K301" s="9"/>
      <c r="L301" s="9" t="s">
        <v>1862</v>
      </c>
      <c r="M301" s="9" t="s">
        <v>1856</v>
      </c>
      <c r="N301" s="9" t="s">
        <v>864</v>
      </c>
      <c r="O301" s="9" t="s">
        <v>66</v>
      </c>
      <c r="P301" s="9" t="s">
        <v>86</v>
      </c>
      <c r="Q301" s="9"/>
      <c r="R301" s="11" t="s">
        <v>87</v>
      </c>
      <c r="S301" s="11" t="s">
        <v>88</v>
      </c>
      <c r="T301" s="11" t="s">
        <v>89</v>
      </c>
      <c r="U301" s="11" t="s">
        <v>88</v>
      </c>
      <c r="V301" s="9" t="s">
        <v>90</v>
      </c>
      <c r="W301" s="11" t="s">
        <v>1863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74</v>
      </c>
    </row>
    <row r="302" customFormat="false" ht="15" hidden="false" customHeight="false" outlineLevel="0" collapsed="false">
      <c r="A302" s="9" t="s">
        <v>1864</v>
      </c>
      <c r="B302" s="9" t="s">
        <v>1865</v>
      </c>
      <c r="C302" s="9" t="s">
        <v>1866</v>
      </c>
      <c r="D302" s="9" t="s">
        <v>1867</v>
      </c>
      <c r="E302" s="10" t="n">
        <v>65</v>
      </c>
      <c r="F302" s="9"/>
      <c r="G302" s="9"/>
      <c r="H302" s="9" t="s">
        <v>466</v>
      </c>
      <c r="I302" s="9" t="s">
        <v>220</v>
      </c>
      <c r="J302" s="13" t="n">
        <v>46170</v>
      </c>
      <c r="K302" s="11" t="s">
        <v>62</v>
      </c>
      <c r="L302" s="9" t="s">
        <v>218</v>
      </c>
      <c r="M302" s="9" t="s">
        <v>219</v>
      </c>
      <c r="N302" s="9" t="s">
        <v>220</v>
      </c>
      <c r="O302" s="9" t="s">
        <v>66</v>
      </c>
      <c r="P302" s="9" t="s">
        <v>67</v>
      </c>
      <c r="Q302" s="9" t="s">
        <v>134</v>
      </c>
      <c r="R302" s="9" t="s">
        <v>135</v>
      </c>
      <c r="S302" s="11" t="s">
        <v>70</v>
      </c>
      <c r="T302" s="9" t="s">
        <v>134</v>
      </c>
      <c r="U302" s="11" t="s">
        <v>136</v>
      </c>
      <c r="V302" s="11" t="s">
        <v>72</v>
      </c>
      <c r="W302" s="11" t="s">
        <v>1868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74</v>
      </c>
    </row>
    <row r="303" customFormat="false" ht="15" hidden="false" customHeight="false" outlineLevel="0" collapsed="false">
      <c r="A303" s="9" t="s">
        <v>1869</v>
      </c>
      <c r="B303" s="9" t="s">
        <v>1870</v>
      </c>
      <c r="C303" s="9" t="s">
        <v>1866</v>
      </c>
      <c r="D303" s="9" t="s">
        <v>1871</v>
      </c>
      <c r="E303" s="10" t="n">
        <v>965</v>
      </c>
      <c r="F303" s="9"/>
      <c r="G303" s="9"/>
      <c r="H303" s="9" t="s">
        <v>466</v>
      </c>
      <c r="I303" s="9" t="s">
        <v>220</v>
      </c>
      <c r="J303" s="13" t="n">
        <v>46170</v>
      </c>
      <c r="K303" s="9"/>
      <c r="L303" s="9" t="s">
        <v>1872</v>
      </c>
      <c r="M303" s="9" t="s">
        <v>1873</v>
      </c>
      <c r="N303" s="9" t="s">
        <v>220</v>
      </c>
      <c r="O303" s="9" t="s">
        <v>66</v>
      </c>
      <c r="P303" s="9" t="s">
        <v>67</v>
      </c>
      <c r="Q303" s="9" t="s">
        <v>1874</v>
      </c>
      <c r="R303" s="9" t="s">
        <v>69</v>
      </c>
      <c r="S303" s="11" t="s">
        <v>70</v>
      </c>
      <c r="T303" s="9" t="s">
        <v>1874</v>
      </c>
      <c r="U303" s="11" t="s">
        <v>71</v>
      </c>
      <c r="V303" s="11" t="s">
        <v>72</v>
      </c>
      <c r="W303" s="9" t="s">
        <v>1875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74</v>
      </c>
    </row>
    <row r="304" customFormat="false" ht="15" hidden="false" customHeight="false" outlineLevel="0" collapsed="false">
      <c r="A304" s="9" t="s">
        <v>1876</v>
      </c>
      <c r="B304" s="9" t="s">
        <v>1877</v>
      </c>
      <c r="C304" s="9" t="s">
        <v>1866</v>
      </c>
      <c r="D304" s="9" t="s">
        <v>1878</v>
      </c>
      <c r="E304" s="10" t="n">
        <v>15</v>
      </c>
      <c r="F304" s="9"/>
      <c r="G304" s="9"/>
      <c r="H304" s="9" t="s">
        <v>466</v>
      </c>
      <c r="I304" s="9" t="s">
        <v>220</v>
      </c>
      <c r="J304" s="13" t="n">
        <v>46170</v>
      </c>
      <c r="K304" s="11" t="s">
        <v>62</v>
      </c>
      <c r="L304" s="9" t="s">
        <v>218</v>
      </c>
      <c r="M304" s="9" t="s">
        <v>219</v>
      </c>
      <c r="N304" s="9" t="s">
        <v>220</v>
      </c>
      <c r="O304" s="9" t="s">
        <v>66</v>
      </c>
      <c r="P304" s="9" t="s">
        <v>67</v>
      </c>
      <c r="Q304" s="9" t="s">
        <v>134</v>
      </c>
      <c r="R304" s="9" t="s">
        <v>135</v>
      </c>
      <c r="S304" s="11" t="s">
        <v>70</v>
      </c>
      <c r="T304" s="9" t="s">
        <v>134</v>
      </c>
      <c r="U304" s="11" t="s">
        <v>136</v>
      </c>
      <c r="V304" s="11" t="s">
        <v>72</v>
      </c>
      <c r="W304" s="11" t="s">
        <v>1879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74</v>
      </c>
    </row>
    <row r="305" customFormat="false" ht="15" hidden="false" customHeight="false" outlineLevel="0" collapsed="false">
      <c r="A305" s="9" t="s">
        <v>1880</v>
      </c>
      <c r="B305" s="9" t="s">
        <v>1881</v>
      </c>
      <c r="C305" s="9" t="s">
        <v>1866</v>
      </c>
      <c r="D305" s="9" t="s">
        <v>1882</v>
      </c>
      <c r="E305" s="9"/>
      <c r="F305" s="9"/>
      <c r="G305" s="9"/>
      <c r="H305" s="11" t="s">
        <v>1883</v>
      </c>
      <c r="I305" s="9" t="s">
        <v>220</v>
      </c>
      <c r="J305" s="13" t="n">
        <v>46170</v>
      </c>
      <c r="K305" s="9"/>
      <c r="L305" s="9" t="s">
        <v>218</v>
      </c>
      <c r="M305" s="9" t="s">
        <v>219</v>
      </c>
      <c r="N305" s="9" t="s">
        <v>220</v>
      </c>
      <c r="O305" s="9" t="s">
        <v>66</v>
      </c>
      <c r="P305" s="9" t="s">
        <v>67</v>
      </c>
      <c r="Q305" s="9" t="s">
        <v>134</v>
      </c>
      <c r="R305" s="9" t="s">
        <v>135</v>
      </c>
      <c r="S305" s="11" t="s">
        <v>70</v>
      </c>
      <c r="T305" s="9" t="s">
        <v>134</v>
      </c>
      <c r="U305" s="11" t="s">
        <v>136</v>
      </c>
      <c r="V305" s="11" t="s">
        <v>72</v>
      </c>
      <c r="W305" s="11" t="s">
        <v>1884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74</v>
      </c>
    </row>
    <row r="306" customFormat="false" ht="15" hidden="false" customHeight="false" outlineLevel="0" collapsed="false">
      <c r="A306" s="9" t="s">
        <v>1885</v>
      </c>
      <c r="B306" s="9" t="s">
        <v>1886</v>
      </c>
      <c r="C306" s="9" t="s">
        <v>1866</v>
      </c>
      <c r="D306" s="9" t="s">
        <v>1887</v>
      </c>
      <c r="E306" s="10" t="n">
        <v>30</v>
      </c>
      <c r="F306" s="9"/>
      <c r="G306" s="9"/>
      <c r="H306" s="9" t="s">
        <v>466</v>
      </c>
      <c r="I306" s="9" t="s">
        <v>199</v>
      </c>
      <c r="J306" s="9"/>
      <c r="K306" s="11" t="s">
        <v>62</v>
      </c>
      <c r="L306" s="9" t="s">
        <v>1888</v>
      </c>
      <c r="M306" s="9" t="s">
        <v>1889</v>
      </c>
      <c r="N306" s="9" t="s">
        <v>199</v>
      </c>
      <c r="O306" s="9" t="s">
        <v>66</v>
      </c>
      <c r="P306" s="9" t="s">
        <v>67</v>
      </c>
      <c r="Q306" s="9" t="s">
        <v>1890</v>
      </c>
      <c r="R306" s="11" t="s">
        <v>87</v>
      </c>
      <c r="S306" s="11" t="s">
        <v>70</v>
      </c>
      <c r="T306" s="9" t="s">
        <v>1890</v>
      </c>
      <c r="U306" s="11" t="s">
        <v>87</v>
      </c>
      <c r="V306" s="11" t="s">
        <v>72</v>
      </c>
      <c r="W306" s="11" t="s">
        <v>1891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74</v>
      </c>
    </row>
    <row r="307" customFormat="false" ht="15" hidden="false" customHeight="false" outlineLevel="0" collapsed="false">
      <c r="A307" s="9" t="s">
        <v>1892</v>
      </c>
      <c r="B307" s="9" t="s">
        <v>1893</v>
      </c>
      <c r="C307" s="9" t="s">
        <v>1866</v>
      </c>
      <c r="D307" s="9" t="s">
        <v>1894</v>
      </c>
      <c r="E307" s="10" t="n">
        <v>380</v>
      </c>
      <c r="F307" s="9"/>
      <c r="G307" s="9"/>
      <c r="H307" s="9" t="s">
        <v>466</v>
      </c>
      <c r="I307" s="9" t="s">
        <v>199</v>
      </c>
      <c r="J307" s="9"/>
      <c r="K307" s="9"/>
      <c r="L307" s="9" t="s">
        <v>1888</v>
      </c>
      <c r="M307" s="9" t="s">
        <v>1889</v>
      </c>
      <c r="N307" s="9" t="s">
        <v>199</v>
      </c>
      <c r="O307" s="9" t="s">
        <v>66</v>
      </c>
      <c r="P307" s="9" t="s">
        <v>67</v>
      </c>
      <c r="Q307" s="9" t="s">
        <v>134</v>
      </c>
      <c r="R307" s="11" t="s">
        <v>87</v>
      </c>
      <c r="S307" s="11" t="s">
        <v>70</v>
      </c>
      <c r="T307" s="9" t="s">
        <v>134</v>
      </c>
      <c r="U307" s="11" t="s">
        <v>87</v>
      </c>
      <c r="V307" s="11" t="s">
        <v>72</v>
      </c>
      <c r="W307" s="9" t="s">
        <v>1895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74</v>
      </c>
    </row>
    <row r="308" customFormat="false" ht="15" hidden="false" customHeight="false" outlineLevel="0" collapsed="false">
      <c r="A308" s="9" t="s">
        <v>1896</v>
      </c>
      <c r="B308" s="9" t="s">
        <v>1897</v>
      </c>
      <c r="C308" s="9" t="s">
        <v>1866</v>
      </c>
      <c r="D308" s="11" t="s">
        <v>1898</v>
      </c>
      <c r="E308" s="10" t="n">
        <v>125</v>
      </c>
      <c r="F308" s="10" t="n">
        <v>125</v>
      </c>
      <c r="G308" s="9"/>
      <c r="H308" s="9" t="s">
        <v>466</v>
      </c>
      <c r="I308" s="9" t="s">
        <v>831</v>
      </c>
      <c r="J308" s="9"/>
      <c r="K308" s="11" t="s">
        <v>62</v>
      </c>
      <c r="L308" s="9" t="s">
        <v>1899</v>
      </c>
      <c r="M308" s="9" t="s">
        <v>124</v>
      </c>
      <c r="N308" s="9" t="s">
        <v>65</v>
      </c>
      <c r="O308" s="9" t="s">
        <v>66</v>
      </c>
      <c r="P308" s="9" t="s">
        <v>67</v>
      </c>
      <c r="Q308" s="9" t="s">
        <v>1900</v>
      </c>
      <c r="R308" s="9" t="s">
        <v>69</v>
      </c>
      <c r="S308" s="11" t="s">
        <v>70</v>
      </c>
      <c r="T308" s="9" t="s">
        <v>1900</v>
      </c>
      <c r="U308" s="11" t="s">
        <v>1273</v>
      </c>
      <c r="V308" s="11" t="s">
        <v>72</v>
      </c>
      <c r="W308" s="11" t="s">
        <v>1901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74</v>
      </c>
    </row>
    <row r="309" customFormat="false" ht="15" hidden="false" customHeight="false" outlineLevel="0" collapsed="false">
      <c r="A309" s="9" t="s">
        <v>1902</v>
      </c>
      <c r="B309" s="9" t="s">
        <v>1903</v>
      </c>
      <c r="C309" s="9" t="s">
        <v>1866</v>
      </c>
      <c r="D309" s="11" t="s">
        <v>1904</v>
      </c>
      <c r="E309" s="10" t="n">
        <v>20.28</v>
      </c>
      <c r="F309" s="9"/>
      <c r="G309" s="9"/>
      <c r="H309" s="9" t="s">
        <v>466</v>
      </c>
      <c r="I309" s="9" t="s">
        <v>467</v>
      </c>
      <c r="J309" s="13" t="n">
        <v>46022</v>
      </c>
      <c r="K309" s="9"/>
      <c r="L309" s="9" t="s">
        <v>1733</v>
      </c>
      <c r="M309" s="9" t="s">
        <v>1734</v>
      </c>
      <c r="N309" s="9" t="s">
        <v>65</v>
      </c>
      <c r="O309" s="9" t="s">
        <v>66</v>
      </c>
      <c r="P309" s="9" t="s">
        <v>67</v>
      </c>
      <c r="Q309" s="9" t="s">
        <v>1905</v>
      </c>
      <c r="R309" s="9" t="s">
        <v>69</v>
      </c>
      <c r="S309" s="11" t="s">
        <v>70</v>
      </c>
      <c r="T309" s="9" t="s">
        <v>1905</v>
      </c>
      <c r="U309" s="11" t="s">
        <v>1273</v>
      </c>
      <c r="V309" s="11" t="s">
        <v>72</v>
      </c>
      <c r="W309" s="11" t="s">
        <v>1906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74</v>
      </c>
    </row>
    <row r="310" customFormat="false" ht="15" hidden="false" customHeight="false" outlineLevel="0" collapsed="false">
      <c r="A310" s="9" t="s">
        <v>1907</v>
      </c>
      <c r="B310" s="9" t="s">
        <v>1908</v>
      </c>
      <c r="C310" s="9" t="s">
        <v>1866</v>
      </c>
      <c r="D310" s="11" t="s">
        <v>1909</v>
      </c>
      <c r="E310" s="10" t="n">
        <v>15</v>
      </c>
      <c r="F310" s="9"/>
      <c r="G310" s="9"/>
      <c r="H310" s="9" t="s">
        <v>466</v>
      </c>
      <c r="I310" s="9" t="s">
        <v>831</v>
      </c>
      <c r="J310" s="9"/>
      <c r="K310" s="11" t="s">
        <v>62</v>
      </c>
      <c r="L310" s="9" t="s">
        <v>1910</v>
      </c>
      <c r="M310" s="9" t="s">
        <v>1911</v>
      </c>
      <c r="N310" s="9" t="s">
        <v>65</v>
      </c>
      <c r="O310" s="9" t="s">
        <v>66</v>
      </c>
      <c r="P310" s="9" t="s">
        <v>67</v>
      </c>
      <c r="Q310" s="9" t="s">
        <v>1735</v>
      </c>
      <c r="R310" s="9" t="s">
        <v>69</v>
      </c>
      <c r="S310" s="11" t="s">
        <v>70</v>
      </c>
      <c r="T310" s="9" t="s">
        <v>1735</v>
      </c>
      <c r="U310" s="11" t="s">
        <v>1273</v>
      </c>
      <c r="V310" s="11" t="s">
        <v>72</v>
      </c>
      <c r="W310" s="11" t="s">
        <v>1912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74</v>
      </c>
    </row>
    <row r="311" customFormat="false" ht="15" hidden="false" customHeight="false" outlineLevel="0" collapsed="false">
      <c r="A311" s="9" t="s">
        <v>1913</v>
      </c>
      <c r="B311" s="9" t="s">
        <v>1914</v>
      </c>
      <c r="C311" s="9" t="s">
        <v>1866</v>
      </c>
      <c r="D311" s="11" t="s">
        <v>1915</v>
      </c>
      <c r="E311" s="10" t="n">
        <v>71</v>
      </c>
      <c r="F311" s="10" t="n">
        <v>71</v>
      </c>
      <c r="G311" s="9"/>
      <c r="H311" s="9" t="s">
        <v>466</v>
      </c>
      <c r="I311" s="9" t="s">
        <v>831</v>
      </c>
      <c r="J311" s="9"/>
      <c r="K311" s="11" t="s">
        <v>62</v>
      </c>
      <c r="L311" s="9" t="s">
        <v>1910</v>
      </c>
      <c r="M311" s="9" t="s">
        <v>1911</v>
      </c>
      <c r="N311" s="9" t="s">
        <v>65</v>
      </c>
      <c r="O311" s="9" t="s">
        <v>66</v>
      </c>
      <c r="P311" s="9" t="s">
        <v>67</v>
      </c>
      <c r="Q311" s="9" t="s">
        <v>1916</v>
      </c>
      <c r="R311" s="9" t="s">
        <v>69</v>
      </c>
      <c r="S311" s="11" t="s">
        <v>70</v>
      </c>
      <c r="T311" s="9" t="s">
        <v>1916</v>
      </c>
      <c r="U311" s="11" t="s">
        <v>1273</v>
      </c>
      <c r="V311" s="11" t="s">
        <v>72</v>
      </c>
      <c r="W311" s="11" t="s">
        <v>1917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74</v>
      </c>
    </row>
    <row r="312" customFormat="false" ht="15" hidden="false" customHeight="false" outlineLevel="0" collapsed="false">
      <c r="A312" s="9" t="s">
        <v>1918</v>
      </c>
      <c r="B312" s="9" t="s">
        <v>1919</v>
      </c>
      <c r="C312" s="9" t="s">
        <v>1866</v>
      </c>
      <c r="D312" s="11" t="s">
        <v>1920</v>
      </c>
      <c r="E312" s="9"/>
      <c r="F312" s="9"/>
      <c r="G312" s="9"/>
      <c r="H312" s="11" t="s">
        <v>1921</v>
      </c>
      <c r="I312" s="9" t="s">
        <v>820</v>
      </c>
      <c r="J312" s="13" t="n">
        <v>46174</v>
      </c>
      <c r="K312" s="9"/>
      <c r="L312" s="9" t="s">
        <v>1922</v>
      </c>
      <c r="M312" s="9" t="s">
        <v>1923</v>
      </c>
      <c r="N312" s="9" t="s">
        <v>820</v>
      </c>
      <c r="O312" s="9" t="s">
        <v>66</v>
      </c>
      <c r="P312" s="9" t="s">
        <v>1113</v>
      </c>
      <c r="Q312" s="9"/>
      <c r="R312" s="9" t="s">
        <v>135</v>
      </c>
      <c r="S312" s="11" t="s">
        <v>1114</v>
      </c>
      <c r="T312" s="11" t="s">
        <v>1115</v>
      </c>
      <c r="U312" s="11" t="s">
        <v>136</v>
      </c>
      <c r="V312" s="11" t="s">
        <v>72</v>
      </c>
      <c r="W312" s="9" t="s">
        <v>1924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74</v>
      </c>
    </row>
    <row r="313" customFormat="false" ht="15" hidden="false" customHeight="false" outlineLevel="0" collapsed="false">
      <c r="A313" s="9" t="s">
        <v>1925</v>
      </c>
      <c r="B313" s="9" t="s">
        <v>1926</v>
      </c>
      <c r="C313" s="9" t="s">
        <v>1866</v>
      </c>
      <c r="D313" s="9" t="s">
        <v>1927</v>
      </c>
      <c r="E313" s="9"/>
      <c r="F313" s="9"/>
      <c r="G313" s="9"/>
      <c r="H313" s="11" t="s">
        <v>1883</v>
      </c>
      <c r="I313" s="9" t="s">
        <v>995</v>
      </c>
      <c r="J313" s="13" t="n">
        <v>46176</v>
      </c>
      <c r="K313" s="9"/>
      <c r="L313" s="9" t="s">
        <v>1928</v>
      </c>
      <c r="M313" s="9" t="s">
        <v>1929</v>
      </c>
      <c r="N313" s="9" t="s">
        <v>995</v>
      </c>
      <c r="O313" s="9" t="s">
        <v>66</v>
      </c>
      <c r="P313" s="9" t="s">
        <v>67</v>
      </c>
      <c r="Q313" s="11" t="s">
        <v>1930</v>
      </c>
      <c r="R313" s="9" t="s">
        <v>69</v>
      </c>
      <c r="S313" s="11" t="s">
        <v>70</v>
      </c>
      <c r="T313" s="11" t="s">
        <v>1930</v>
      </c>
      <c r="U313" s="11" t="s">
        <v>71</v>
      </c>
      <c r="V313" s="11" t="s">
        <v>72</v>
      </c>
      <c r="W313" s="11" t="s">
        <v>1931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74</v>
      </c>
    </row>
    <row r="314" customFormat="false" ht="15" hidden="false" customHeight="false" outlineLevel="0" collapsed="false">
      <c r="A314" s="9" t="s">
        <v>1932</v>
      </c>
      <c r="B314" s="9" t="s">
        <v>1933</v>
      </c>
      <c r="C314" s="9" t="s">
        <v>1866</v>
      </c>
      <c r="D314" s="9" t="s">
        <v>1934</v>
      </c>
      <c r="E314" s="10" t="n">
        <v>2000</v>
      </c>
      <c r="F314" s="10" t="n">
        <v>2000</v>
      </c>
      <c r="G314" s="9"/>
      <c r="H314" s="9" t="s">
        <v>466</v>
      </c>
      <c r="I314" s="9" t="s">
        <v>1935</v>
      </c>
      <c r="J314" s="9"/>
      <c r="K314" s="9"/>
      <c r="L314" s="9" t="s">
        <v>1936</v>
      </c>
      <c r="M314" s="9" t="s">
        <v>1734</v>
      </c>
      <c r="N314" s="9" t="s">
        <v>65</v>
      </c>
      <c r="O314" s="9" t="s">
        <v>66</v>
      </c>
      <c r="P314" s="9" t="s">
        <v>67</v>
      </c>
      <c r="Q314" s="11" t="s">
        <v>1937</v>
      </c>
      <c r="R314" s="9" t="s">
        <v>69</v>
      </c>
      <c r="S314" s="11" t="s">
        <v>70</v>
      </c>
      <c r="T314" s="11" t="s">
        <v>1937</v>
      </c>
      <c r="U314" s="11" t="s">
        <v>71</v>
      </c>
      <c r="V314" s="11" t="s">
        <v>72</v>
      </c>
      <c r="W314" s="11" t="s">
        <v>1938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74</v>
      </c>
    </row>
    <row r="315" customFormat="false" ht="15" hidden="false" customHeight="false" outlineLevel="0" collapsed="false">
      <c r="A315" s="9" t="s">
        <v>1939</v>
      </c>
      <c r="B315" s="9" t="s">
        <v>1940</v>
      </c>
      <c r="C315" s="9" t="s">
        <v>1866</v>
      </c>
      <c r="D315" s="11" t="s">
        <v>1941</v>
      </c>
      <c r="E315" s="10" t="n">
        <v>50.1</v>
      </c>
      <c r="F315" s="9"/>
      <c r="G315" s="9"/>
      <c r="H315" s="9" t="s">
        <v>1942</v>
      </c>
      <c r="I315" s="9" t="s">
        <v>831</v>
      </c>
      <c r="J315" s="9"/>
      <c r="K315" s="9"/>
      <c r="L315" s="9" t="s">
        <v>1733</v>
      </c>
      <c r="M315" s="9" t="s">
        <v>1734</v>
      </c>
      <c r="N315" s="9" t="s">
        <v>65</v>
      </c>
      <c r="O315" s="9" t="s">
        <v>66</v>
      </c>
      <c r="P315" s="9" t="s">
        <v>67</v>
      </c>
      <c r="Q315" s="9" t="s">
        <v>1735</v>
      </c>
      <c r="R315" s="9" t="s">
        <v>69</v>
      </c>
      <c r="S315" s="11" t="s">
        <v>70</v>
      </c>
      <c r="T315" s="9" t="s">
        <v>1735</v>
      </c>
      <c r="U315" s="11" t="s">
        <v>1273</v>
      </c>
      <c r="V315" s="11" t="s">
        <v>72</v>
      </c>
      <c r="W315" s="11" t="s">
        <v>1943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74</v>
      </c>
    </row>
    <row r="316" customFormat="false" ht="15" hidden="false" customHeight="false" outlineLevel="0" collapsed="false">
      <c r="A316" s="9" t="s">
        <v>1944</v>
      </c>
      <c r="B316" s="9" t="s">
        <v>1945</v>
      </c>
      <c r="C316" s="9" t="s">
        <v>1866</v>
      </c>
      <c r="D316" s="9" t="s">
        <v>1946</v>
      </c>
      <c r="E316" s="10" t="n">
        <v>13</v>
      </c>
      <c r="F316" s="9"/>
      <c r="G316" s="9"/>
      <c r="H316" s="9" t="s">
        <v>466</v>
      </c>
      <c r="I316" s="9" t="s">
        <v>133</v>
      </c>
      <c r="J316" s="13" t="n">
        <v>45902</v>
      </c>
      <c r="K316" s="11" t="s">
        <v>62</v>
      </c>
      <c r="L316" s="9" t="s">
        <v>131</v>
      </c>
      <c r="M316" s="9" t="s">
        <v>132</v>
      </c>
      <c r="N316" s="9" t="s">
        <v>133</v>
      </c>
      <c r="O316" s="9" t="s">
        <v>66</v>
      </c>
      <c r="P316" s="9" t="s">
        <v>67</v>
      </c>
      <c r="Q316" s="9" t="s">
        <v>134</v>
      </c>
      <c r="R316" s="9" t="s">
        <v>135</v>
      </c>
      <c r="S316" s="11" t="s">
        <v>70</v>
      </c>
      <c r="T316" s="9" t="s">
        <v>134</v>
      </c>
      <c r="U316" s="11" t="s">
        <v>136</v>
      </c>
      <c r="V316" s="11" t="s">
        <v>72</v>
      </c>
      <c r="W316" s="11" t="s">
        <v>1947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74</v>
      </c>
    </row>
    <row r="317" customFormat="false" ht="15" hidden="false" customHeight="false" outlineLevel="0" collapsed="false">
      <c r="A317" s="9" t="s">
        <v>1948</v>
      </c>
      <c r="B317" s="9" t="s">
        <v>1949</v>
      </c>
      <c r="C317" s="9" t="s">
        <v>1866</v>
      </c>
      <c r="D317" s="9" t="s">
        <v>1950</v>
      </c>
      <c r="E317" s="10" t="n">
        <v>183</v>
      </c>
      <c r="F317" s="9"/>
      <c r="G317" s="9"/>
      <c r="H317" s="9" t="s">
        <v>466</v>
      </c>
      <c r="I317" s="9" t="s">
        <v>133</v>
      </c>
      <c r="J317" s="13" t="n">
        <v>45902</v>
      </c>
      <c r="K317" s="9"/>
      <c r="L317" s="9" t="s">
        <v>131</v>
      </c>
      <c r="M317" s="9" t="s">
        <v>132</v>
      </c>
      <c r="N317" s="9" t="s">
        <v>133</v>
      </c>
      <c r="O317" s="9" t="s">
        <v>66</v>
      </c>
      <c r="P317" s="9" t="s">
        <v>67</v>
      </c>
      <c r="Q317" s="9" t="s">
        <v>134</v>
      </c>
      <c r="R317" s="9" t="s">
        <v>135</v>
      </c>
      <c r="S317" s="11" t="s">
        <v>70</v>
      </c>
      <c r="T317" s="9" t="s">
        <v>134</v>
      </c>
      <c r="U317" s="11" t="s">
        <v>136</v>
      </c>
      <c r="V317" s="11" t="s">
        <v>72</v>
      </c>
      <c r="W317" s="11" t="s">
        <v>1951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74</v>
      </c>
    </row>
    <row r="318" customFormat="false" ht="15" hidden="false" customHeight="false" outlineLevel="0" collapsed="false">
      <c r="A318" s="9" t="s">
        <v>1952</v>
      </c>
      <c r="B318" s="9" t="s">
        <v>1953</v>
      </c>
      <c r="C318" s="9" t="s">
        <v>1866</v>
      </c>
      <c r="D318" s="9" t="s">
        <v>1954</v>
      </c>
      <c r="E318" s="10" t="n">
        <v>3.5</v>
      </c>
      <c r="F318" s="9"/>
      <c r="G318" s="9"/>
      <c r="H318" s="9" t="s">
        <v>466</v>
      </c>
      <c r="I318" s="9" t="s">
        <v>1955</v>
      </c>
      <c r="J318" s="13" t="n">
        <v>45719</v>
      </c>
      <c r="K318" s="11" t="s">
        <v>62</v>
      </c>
      <c r="L318" s="9" t="s">
        <v>1956</v>
      </c>
      <c r="M318" s="9" t="s">
        <v>1957</v>
      </c>
      <c r="N318" s="9" t="s">
        <v>1955</v>
      </c>
      <c r="O318" s="9" t="s">
        <v>66</v>
      </c>
      <c r="P318" s="9" t="s">
        <v>67</v>
      </c>
      <c r="Q318" s="9" t="s">
        <v>134</v>
      </c>
      <c r="R318" s="9" t="s">
        <v>135</v>
      </c>
      <c r="S318" s="11" t="s">
        <v>70</v>
      </c>
      <c r="T318" s="9" t="s">
        <v>134</v>
      </c>
      <c r="U318" s="11" t="s">
        <v>136</v>
      </c>
      <c r="V318" s="11" t="s">
        <v>72</v>
      </c>
      <c r="W318" s="11" t="s">
        <v>1958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74</v>
      </c>
    </row>
    <row r="319" customFormat="false" ht="15" hidden="false" customHeight="false" outlineLevel="0" collapsed="false">
      <c r="A319" s="9" t="s">
        <v>1959</v>
      </c>
      <c r="B319" s="9" t="s">
        <v>1960</v>
      </c>
      <c r="C319" s="9" t="s">
        <v>1866</v>
      </c>
      <c r="D319" s="9" t="s">
        <v>1961</v>
      </c>
      <c r="E319" s="10" t="n">
        <v>61.5</v>
      </c>
      <c r="F319" s="9"/>
      <c r="G319" s="9"/>
      <c r="H319" s="9" t="s">
        <v>466</v>
      </c>
      <c r="I319" s="9" t="s">
        <v>1955</v>
      </c>
      <c r="J319" s="13" t="n">
        <v>45719</v>
      </c>
      <c r="K319" s="9"/>
      <c r="L319" s="9" t="s">
        <v>1962</v>
      </c>
      <c r="M319" s="9" t="s">
        <v>1957</v>
      </c>
      <c r="N319" s="9" t="s">
        <v>1955</v>
      </c>
      <c r="O319" s="9" t="s">
        <v>66</v>
      </c>
      <c r="P319" s="9" t="s">
        <v>67</v>
      </c>
      <c r="Q319" s="9" t="s">
        <v>134</v>
      </c>
      <c r="R319" s="9" t="s">
        <v>135</v>
      </c>
      <c r="S319" s="11" t="s">
        <v>70</v>
      </c>
      <c r="T319" s="9" t="s">
        <v>134</v>
      </c>
      <c r="U319" s="11" t="s">
        <v>136</v>
      </c>
      <c r="V319" s="11" t="s">
        <v>72</v>
      </c>
      <c r="W319" s="11" t="s">
        <v>1963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74</v>
      </c>
    </row>
    <row r="320" customFormat="false" ht="15" hidden="false" customHeight="false" outlineLevel="0" collapsed="false">
      <c r="A320" s="9" t="s">
        <v>1964</v>
      </c>
      <c r="B320" s="9" t="s">
        <v>1965</v>
      </c>
      <c r="C320" s="9" t="s">
        <v>1866</v>
      </c>
      <c r="D320" s="9" t="s">
        <v>1966</v>
      </c>
      <c r="E320" s="9"/>
      <c r="F320" s="9"/>
      <c r="G320" s="9"/>
      <c r="H320" s="11" t="s">
        <v>1883</v>
      </c>
      <c r="I320" s="9" t="s">
        <v>202</v>
      </c>
      <c r="J320" s="13" t="n">
        <v>46065</v>
      </c>
      <c r="K320" s="9"/>
      <c r="L320" s="9" t="s">
        <v>432</v>
      </c>
      <c r="M320" s="9" t="s">
        <v>201</v>
      </c>
      <c r="N320" s="9" t="s">
        <v>202</v>
      </c>
      <c r="O320" s="9" t="s">
        <v>66</v>
      </c>
      <c r="P320" s="9" t="s">
        <v>67</v>
      </c>
      <c r="Q320" s="9" t="s">
        <v>134</v>
      </c>
      <c r="R320" s="9" t="s">
        <v>135</v>
      </c>
      <c r="S320" s="11" t="s">
        <v>70</v>
      </c>
      <c r="T320" s="9" t="s">
        <v>134</v>
      </c>
      <c r="U320" s="11" t="s">
        <v>136</v>
      </c>
      <c r="V320" s="11" t="s">
        <v>72</v>
      </c>
      <c r="W320" s="11" t="s">
        <v>1967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74</v>
      </c>
    </row>
    <row r="321" customFormat="false" ht="15" hidden="false" customHeight="false" outlineLevel="0" collapsed="false">
      <c r="A321" s="9" t="s">
        <v>1968</v>
      </c>
      <c r="B321" s="9" t="s">
        <v>1969</v>
      </c>
      <c r="C321" s="9" t="s">
        <v>1866</v>
      </c>
      <c r="D321" s="9" t="s">
        <v>1970</v>
      </c>
      <c r="E321" s="10" t="n">
        <v>8</v>
      </c>
      <c r="F321" s="9"/>
      <c r="G321" s="9"/>
      <c r="H321" s="9" t="s">
        <v>466</v>
      </c>
      <c r="I321" s="9" t="s">
        <v>467</v>
      </c>
      <c r="J321" s="13" t="n">
        <v>46022</v>
      </c>
      <c r="K321" s="11" t="s">
        <v>62</v>
      </c>
      <c r="L321" s="9" t="s">
        <v>1971</v>
      </c>
      <c r="M321" s="9" t="s">
        <v>1972</v>
      </c>
      <c r="N321" s="9" t="s">
        <v>1973</v>
      </c>
      <c r="O321" s="9" t="s">
        <v>66</v>
      </c>
      <c r="P321" s="9" t="s">
        <v>1113</v>
      </c>
      <c r="Q321" s="9"/>
      <c r="R321" s="9" t="s">
        <v>135</v>
      </c>
      <c r="S321" s="11" t="s">
        <v>1114</v>
      </c>
      <c r="T321" s="11" t="s">
        <v>1115</v>
      </c>
      <c r="U321" s="11" t="s">
        <v>136</v>
      </c>
      <c r="V321" s="11" t="s">
        <v>72</v>
      </c>
      <c r="W321" s="11" t="s">
        <v>1974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74</v>
      </c>
    </row>
    <row r="322" customFormat="false" ht="15" hidden="false" customHeight="false" outlineLevel="0" collapsed="false">
      <c r="A322" s="9" t="s">
        <v>1975</v>
      </c>
      <c r="B322" s="9" t="s">
        <v>1976</v>
      </c>
      <c r="C322" s="9" t="s">
        <v>1866</v>
      </c>
      <c r="D322" s="9" t="s">
        <v>1977</v>
      </c>
      <c r="E322" s="10" t="n">
        <v>4</v>
      </c>
      <c r="F322" s="9"/>
      <c r="G322" s="9"/>
      <c r="H322" s="9" t="s">
        <v>466</v>
      </c>
      <c r="I322" s="9" t="s">
        <v>1978</v>
      </c>
      <c r="J322" s="13" t="n">
        <v>45618</v>
      </c>
      <c r="K322" s="11" t="s">
        <v>62</v>
      </c>
      <c r="L322" s="9" t="s">
        <v>1979</v>
      </c>
      <c r="M322" s="9" t="s">
        <v>1980</v>
      </c>
      <c r="N322" s="9" t="s">
        <v>1978</v>
      </c>
      <c r="O322" s="9" t="s">
        <v>66</v>
      </c>
      <c r="P322" s="9" t="s">
        <v>67</v>
      </c>
      <c r="Q322" s="9" t="s">
        <v>134</v>
      </c>
      <c r="R322" s="9" t="s">
        <v>135</v>
      </c>
      <c r="S322" s="11" t="s">
        <v>70</v>
      </c>
      <c r="T322" s="9" t="s">
        <v>134</v>
      </c>
      <c r="U322" s="11" t="s">
        <v>136</v>
      </c>
      <c r="V322" s="11" t="s">
        <v>72</v>
      </c>
      <c r="W322" s="11" t="s">
        <v>1981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74</v>
      </c>
    </row>
    <row r="323" customFormat="false" ht="15" hidden="false" customHeight="false" outlineLevel="0" collapsed="false">
      <c r="A323" s="9" t="s">
        <v>1982</v>
      </c>
      <c r="B323" s="9" t="s">
        <v>1983</v>
      </c>
      <c r="C323" s="9" t="s">
        <v>1866</v>
      </c>
      <c r="D323" s="9" t="s">
        <v>1984</v>
      </c>
      <c r="E323" s="10" t="n">
        <v>5</v>
      </c>
      <c r="F323" s="9"/>
      <c r="G323" s="9"/>
      <c r="H323" s="9" t="s">
        <v>466</v>
      </c>
      <c r="I323" s="9" t="s">
        <v>105</v>
      </c>
      <c r="J323" s="9"/>
      <c r="K323" s="11" t="s">
        <v>62</v>
      </c>
      <c r="L323" s="9" t="s">
        <v>1985</v>
      </c>
      <c r="M323" s="9" t="s">
        <v>1986</v>
      </c>
      <c r="N323" s="9" t="s">
        <v>1987</v>
      </c>
      <c r="O323" s="9" t="s">
        <v>66</v>
      </c>
      <c r="P323" s="9" t="s">
        <v>1113</v>
      </c>
      <c r="Q323" s="9"/>
      <c r="R323" s="9" t="s">
        <v>135</v>
      </c>
      <c r="S323" s="11" t="s">
        <v>1114</v>
      </c>
      <c r="T323" s="11" t="s">
        <v>1115</v>
      </c>
      <c r="U323" s="11" t="s">
        <v>136</v>
      </c>
      <c r="V323" s="11" t="s">
        <v>72</v>
      </c>
      <c r="W323" s="11" t="s">
        <v>1988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74</v>
      </c>
    </row>
    <row r="324" customFormat="false" ht="15" hidden="false" customHeight="false" outlineLevel="0" collapsed="false">
      <c r="A324" s="9" t="s">
        <v>1989</v>
      </c>
      <c r="B324" s="9" t="s">
        <v>1990</v>
      </c>
      <c r="C324" s="9" t="s">
        <v>1866</v>
      </c>
      <c r="D324" s="9" t="s">
        <v>1991</v>
      </c>
      <c r="E324" s="10" t="n">
        <v>5</v>
      </c>
      <c r="F324" s="9"/>
      <c r="G324" s="9"/>
      <c r="H324" s="9" t="s">
        <v>466</v>
      </c>
      <c r="I324" s="9" t="s">
        <v>105</v>
      </c>
      <c r="J324" s="9"/>
      <c r="K324" s="11" t="s">
        <v>62</v>
      </c>
      <c r="L324" s="9" t="s">
        <v>1985</v>
      </c>
      <c r="M324" s="9" t="s">
        <v>1986</v>
      </c>
      <c r="N324" s="9" t="s">
        <v>1987</v>
      </c>
      <c r="O324" s="9" t="s">
        <v>66</v>
      </c>
      <c r="P324" s="9" t="s">
        <v>1113</v>
      </c>
      <c r="Q324" s="9"/>
      <c r="R324" s="9" t="s">
        <v>135</v>
      </c>
      <c r="S324" s="11" t="s">
        <v>1114</v>
      </c>
      <c r="T324" s="11" t="s">
        <v>1115</v>
      </c>
      <c r="U324" s="11" t="s">
        <v>136</v>
      </c>
      <c r="V324" s="11" t="s">
        <v>72</v>
      </c>
      <c r="W324" s="9" t="s">
        <v>1992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74</v>
      </c>
    </row>
    <row r="325" customFormat="false" ht="15" hidden="false" customHeight="false" outlineLevel="0" collapsed="false">
      <c r="A325" s="9" t="s">
        <v>1993</v>
      </c>
      <c r="B325" s="9" t="s">
        <v>1994</v>
      </c>
      <c r="C325" s="9" t="s">
        <v>1866</v>
      </c>
      <c r="D325" s="9" t="s">
        <v>1995</v>
      </c>
      <c r="E325" s="10" t="n">
        <v>20</v>
      </c>
      <c r="F325" s="9"/>
      <c r="G325" s="9"/>
      <c r="H325" s="9" t="s">
        <v>466</v>
      </c>
      <c r="I325" s="9" t="s">
        <v>213</v>
      </c>
      <c r="J325" s="9"/>
      <c r="K325" s="11" t="s">
        <v>62</v>
      </c>
      <c r="L325" s="9" t="s">
        <v>1996</v>
      </c>
      <c r="M325" s="9" t="s">
        <v>1972</v>
      </c>
      <c r="N325" s="9" t="s">
        <v>1973</v>
      </c>
      <c r="O325" s="9" t="s">
        <v>66</v>
      </c>
      <c r="P325" s="9" t="s">
        <v>1113</v>
      </c>
      <c r="Q325" s="9"/>
      <c r="R325" s="9" t="s">
        <v>135</v>
      </c>
      <c r="S325" s="11" t="s">
        <v>1114</v>
      </c>
      <c r="T325" s="11" t="s">
        <v>1115</v>
      </c>
      <c r="U325" s="11" t="s">
        <v>136</v>
      </c>
      <c r="V325" s="11" t="s">
        <v>72</v>
      </c>
      <c r="W325" s="11" t="s">
        <v>1997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74</v>
      </c>
    </row>
    <row r="326" customFormat="false" ht="15" hidden="false" customHeight="false" outlineLevel="0" collapsed="false">
      <c r="A326" s="9" t="s">
        <v>1998</v>
      </c>
      <c r="B326" s="9" t="s">
        <v>1999</v>
      </c>
      <c r="C326" s="9" t="s">
        <v>1866</v>
      </c>
      <c r="D326" s="9" t="s">
        <v>2000</v>
      </c>
      <c r="E326" s="10" t="n">
        <v>15</v>
      </c>
      <c r="F326" s="9"/>
      <c r="G326" s="9"/>
      <c r="H326" s="9" t="s">
        <v>466</v>
      </c>
      <c r="I326" s="9" t="s">
        <v>663</v>
      </c>
      <c r="J326" s="13" t="n">
        <v>46203</v>
      </c>
      <c r="K326" s="11" t="s">
        <v>62</v>
      </c>
      <c r="L326" s="9" t="s">
        <v>1985</v>
      </c>
      <c r="M326" s="9" t="s">
        <v>1986</v>
      </c>
      <c r="N326" s="9" t="s">
        <v>1987</v>
      </c>
      <c r="O326" s="9" t="s">
        <v>66</v>
      </c>
      <c r="P326" s="9" t="s">
        <v>1113</v>
      </c>
      <c r="Q326" s="9"/>
      <c r="R326" s="9" t="s">
        <v>135</v>
      </c>
      <c r="S326" s="11" t="s">
        <v>1114</v>
      </c>
      <c r="T326" s="11" t="s">
        <v>1115</v>
      </c>
      <c r="U326" s="11" t="s">
        <v>136</v>
      </c>
      <c r="V326" s="11" t="s">
        <v>72</v>
      </c>
      <c r="W326" s="11" t="s">
        <v>2001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74</v>
      </c>
    </row>
    <row r="327" customFormat="false" ht="15" hidden="false" customHeight="false" outlineLevel="0" collapsed="false">
      <c r="A327" s="9" t="s">
        <v>2002</v>
      </c>
      <c r="B327" s="9" t="s">
        <v>2003</v>
      </c>
      <c r="C327" s="9" t="s">
        <v>1866</v>
      </c>
      <c r="D327" s="9" t="s">
        <v>2004</v>
      </c>
      <c r="E327" s="9" t="n">
        <f aca="false">SRC_ANT_317+SRC_ANT_319+SRC_ANT_320</f>
        <v>18</v>
      </c>
      <c r="F327" s="9"/>
      <c r="G327" s="9"/>
      <c r="H327" s="9" t="s">
        <v>466</v>
      </c>
      <c r="I327" s="9" t="s">
        <v>663</v>
      </c>
      <c r="J327" s="13" t="n">
        <v>46203</v>
      </c>
      <c r="K327" s="11" t="s">
        <v>62</v>
      </c>
      <c r="L327" s="9" t="s">
        <v>2005</v>
      </c>
      <c r="M327" s="9" t="s">
        <v>1986</v>
      </c>
      <c r="N327" s="9" t="s">
        <v>1987</v>
      </c>
      <c r="O327" s="9" t="s">
        <v>66</v>
      </c>
      <c r="P327" s="9" t="s">
        <v>86</v>
      </c>
      <c r="Q327" s="9"/>
      <c r="R327" s="11" t="s">
        <v>87</v>
      </c>
      <c r="S327" s="11" t="s">
        <v>88</v>
      </c>
      <c r="T327" s="11" t="s">
        <v>89</v>
      </c>
      <c r="U327" s="11" t="s">
        <v>88</v>
      </c>
      <c r="V327" s="9" t="s">
        <v>90</v>
      </c>
      <c r="W327" s="11" t="s">
        <v>2006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74</v>
      </c>
    </row>
    <row r="328" customFormat="false" ht="15" hidden="false" customHeight="false" outlineLevel="0" collapsed="false">
      <c r="A328" s="9" t="s">
        <v>2007</v>
      </c>
      <c r="B328" s="9" t="s">
        <v>2008</v>
      </c>
      <c r="C328" s="9" t="s">
        <v>1866</v>
      </c>
      <c r="D328" s="9" t="s">
        <v>2009</v>
      </c>
      <c r="E328" s="10" t="n">
        <v>25</v>
      </c>
      <c r="F328" s="10" t="n">
        <v>5</v>
      </c>
      <c r="G328" s="10" t="n">
        <v>25</v>
      </c>
      <c r="H328" s="9" t="s">
        <v>466</v>
      </c>
      <c r="I328" s="9" t="s">
        <v>974</v>
      </c>
      <c r="J328" s="13" t="n">
        <v>46132</v>
      </c>
      <c r="K328" s="11" t="s">
        <v>62</v>
      </c>
      <c r="L328" s="9" t="s">
        <v>2010</v>
      </c>
      <c r="M328" s="9" t="s">
        <v>2011</v>
      </c>
      <c r="N328" s="9" t="s">
        <v>974</v>
      </c>
      <c r="O328" s="9" t="s">
        <v>66</v>
      </c>
      <c r="P328" s="9" t="s">
        <v>67</v>
      </c>
      <c r="Q328" s="9" t="s">
        <v>2012</v>
      </c>
      <c r="R328" s="11" t="s">
        <v>87</v>
      </c>
      <c r="S328" s="11" t="s">
        <v>70</v>
      </c>
      <c r="T328" s="9" t="s">
        <v>2012</v>
      </c>
      <c r="U328" s="11" t="s">
        <v>87</v>
      </c>
      <c r="V328" s="11" t="s">
        <v>72</v>
      </c>
      <c r="W328" s="11" t="s">
        <v>2013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74</v>
      </c>
    </row>
    <row r="329" customFormat="false" ht="15" hidden="false" customHeight="false" outlineLevel="0" collapsed="false">
      <c r="A329" s="9" t="s">
        <v>2014</v>
      </c>
      <c r="B329" s="9" t="s">
        <v>2015</v>
      </c>
      <c r="C329" s="9" t="s">
        <v>1866</v>
      </c>
      <c r="D329" s="9" t="s">
        <v>2016</v>
      </c>
      <c r="E329" s="10" t="n">
        <v>92.5</v>
      </c>
      <c r="F329" s="9"/>
      <c r="G329" s="9"/>
      <c r="H329" s="9" t="s">
        <v>466</v>
      </c>
      <c r="I329" s="9" t="s">
        <v>663</v>
      </c>
      <c r="J329" s="13" t="n">
        <v>46203</v>
      </c>
      <c r="K329" s="9"/>
      <c r="L329" s="9" t="s">
        <v>1985</v>
      </c>
      <c r="M329" s="9" t="s">
        <v>1986</v>
      </c>
      <c r="N329" s="9" t="s">
        <v>1987</v>
      </c>
      <c r="O329" s="9" t="s">
        <v>66</v>
      </c>
      <c r="P329" s="9" t="s">
        <v>1113</v>
      </c>
      <c r="Q329" s="9"/>
      <c r="R329" s="9" t="s">
        <v>135</v>
      </c>
      <c r="S329" s="11" t="s">
        <v>1114</v>
      </c>
      <c r="T329" s="11" t="s">
        <v>1115</v>
      </c>
      <c r="U329" s="11" t="s">
        <v>136</v>
      </c>
      <c r="V329" s="11" t="s">
        <v>72</v>
      </c>
      <c r="W329" s="9" t="s">
        <v>2017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74</v>
      </c>
    </row>
    <row r="330" customFormat="false" ht="15" hidden="false" customHeight="false" outlineLevel="0" collapsed="false">
      <c r="A330" s="9" t="s">
        <v>2018</v>
      </c>
      <c r="B330" s="9" t="s">
        <v>2019</v>
      </c>
      <c r="C330" s="9" t="s">
        <v>1866</v>
      </c>
      <c r="D330" s="9" t="s">
        <v>2020</v>
      </c>
      <c r="E330" s="10" t="n">
        <v>97.9</v>
      </c>
      <c r="F330" s="9"/>
      <c r="G330" s="9"/>
      <c r="H330" s="9" t="s">
        <v>466</v>
      </c>
      <c r="I330" s="9" t="s">
        <v>663</v>
      </c>
      <c r="J330" s="13" t="n">
        <v>46203</v>
      </c>
      <c r="K330" s="9"/>
      <c r="L330" s="9" t="s">
        <v>1985</v>
      </c>
      <c r="M330" s="9" t="s">
        <v>1986</v>
      </c>
      <c r="N330" s="9" t="s">
        <v>1987</v>
      </c>
      <c r="O330" s="9" t="s">
        <v>66</v>
      </c>
      <c r="P330" s="9" t="s">
        <v>1113</v>
      </c>
      <c r="Q330" s="9"/>
      <c r="R330" s="9" t="s">
        <v>135</v>
      </c>
      <c r="S330" s="11" t="s">
        <v>1114</v>
      </c>
      <c r="T330" s="11" t="s">
        <v>1115</v>
      </c>
      <c r="U330" s="11" t="s">
        <v>136</v>
      </c>
      <c r="V330" s="11" t="s">
        <v>72</v>
      </c>
      <c r="W330" s="9" t="s">
        <v>2021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74</v>
      </c>
    </row>
    <row r="331" customFormat="false" ht="15" hidden="false" customHeight="false" outlineLevel="0" collapsed="false">
      <c r="A331" s="9" t="s">
        <v>2022</v>
      </c>
      <c r="B331" s="9" t="s">
        <v>2023</v>
      </c>
      <c r="C331" s="9" t="s">
        <v>1866</v>
      </c>
      <c r="D331" s="9" t="s">
        <v>2024</v>
      </c>
      <c r="E331" s="10" t="n">
        <v>3</v>
      </c>
      <c r="F331" s="10" t="n">
        <v>3</v>
      </c>
      <c r="G331" s="9"/>
      <c r="H331" s="9" t="s">
        <v>466</v>
      </c>
      <c r="I331" s="9" t="s">
        <v>2025</v>
      </c>
      <c r="J331" s="9"/>
      <c r="K331" s="11" t="s">
        <v>62</v>
      </c>
      <c r="L331" s="9" t="s">
        <v>2026</v>
      </c>
      <c r="M331" s="9" t="s">
        <v>2027</v>
      </c>
      <c r="N331" s="9" t="s">
        <v>2028</v>
      </c>
      <c r="O331" s="9" t="s">
        <v>66</v>
      </c>
      <c r="P331" s="9" t="s">
        <v>1113</v>
      </c>
      <c r="Q331" s="9"/>
      <c r="R331" s="9" t="s">
        <v>69</v>
      </c>
      <c r="S331" s="11" t="s">
        <v>1114</v>
      </c>
      <c r="T331" s="11" t="s">
        <v>1115</v>
      </c>
      <c r="U331" s="11" t="s">
        <v>71</v>
      </c>
      <c r="V331" s="11" t="s">
        <v>72</v>
      </c>
      <c r="W331" s="11" t="s">
        <v>2029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74</v>
      </c>
    </row>
    <row r="332" customFormat="false" ht="15" hidden="false" customHeight="false" outlineLevel="0" collapsed="false">
      <c r="A332" s="9" t="s">
        <v>2030</v>
      </c>
      <c r="B332" s="9" t="s">
        <v>2031</v>
      </c>
      <c r="C332" s="9" t="s">
        <v>1866</v>
      </c>
      <c r="D332" s="9" t="s">
        <v>2032</v>
      </c>
      <c r="E332" s="10" t="n">
        <v>10</v>
      </c>
      <c r="F332" s="9"/>
      <c r="G332" s="9"/>
      <c r="H332" s="9" t="s">
        <v>466</v>
      </c>
      <c r="I332" s="9" t="s">
        <v>2033</v>
      </c>
      <c r="J332" s="13" t="n">
        <v>46136</v>
      </c>
      <c r="K332" s="11" t="s">
        <v>62</v>
      </c>
      <c r="L332" s="9" t="s">
        <v>2034</v>
      </c>
      <c r="M332" s="9" t="s">
        <v>2035</v>
      </c>
      <c r="N332" s="9" t="s">
        <v>2033</v>
      </c>
      <c r="O332" s="9" t="s">
        <v>66</v>
      </c>
      <c r="P332" s="9" t="s">
        <v>67</v>
      </c>
      <c r="Q332" s="9" t="s">
        <v>2036</v>
      </c>
      <c r="R332" s="9" t="s">
        <v>69</v>
      </c>
      <c r="S332" s="11" t="s">
        <v>70</v>
      </c>
      <c r="T332" s="9" t="s">
        <v>2036</v>
      </c>
      <c r="U332" s="11" t="s">
        <v>71</v>
      </c>
      <c r="V332" s="11" t="s">
        <v>72</v>
      </c>
      <c r="W332" s="11" t="s">
        <v>2037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74</v>
      </c>
    </row>
    <row r="333" customFormat="false" ht="15" hidden="false" customHeight="false" outlineLevel="0" collapsed="false">
      <c r="A333" s="9" t="s">
        <v>2038</v>
      </c>
      <c r="B333" s="9" t="s">
        <v>2039</v>
      </c>
      <c r="C333" s="9" t="s">
        <v>1866</v>
      </c>
      <c r="D333" s="9" t="s">
        <v>2040</v>
      </c>
      <c r="E333" s="10" t="n">
        <v>30</v>
      </c>
      <c r="F333" s="10" t="n">
        <v>0</v>
      </c>
      <c r="G333" s="10" t="n">
        <v>30</v>
      </c>
      <c r="H333" s="9" t="s">
        <v>466</v>
      </c>
      <c r="I333" s="9" t="s">
        <v>2033</v>
      </c>
      <c r="J333" s="13" t="n">
        <v>46136</v>
      </c>
      <c r="K333" s="11" t="s">
        <v>62</v>
      </c>
      <c r="L333" s="9" t="s">
        <v>2041</v>
      </c>
      <c r="M333" s="9" t="s">
        <v>2035</v>
      </c>
      <c r="N333" s="9" t="s">
        <v>2033</v>
      </c>
      <c r="O333" s="9" t="s">
        <v>66</v>
      </c>
      <c r="P333" s="9" t="s">
        <v>67</v>
      </c>
      <c r="Q333" s="9" t="s">
        <v>2036</v>
      </c>
      <c r="R333" s="9" t="s">
        <v>69</v>
      </c>
      <c r="S333" s="11" t="s">
        <v>70</v>
      </c>
      <c r="T333" s="9" t="s">
        <v>2036</v>
      </c>
      <c r="U333" s="11" t="s">
        <v>71</v>
      </c>
      <c r="V333" s="11" t="s">
        <v>72</v>
      </c>
      <c r="W333" s="11" t="s">
        <v>2042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74</v>
      </c>
    </row>
    <row r="334" customFormat="false" ht="15" hidden="false" customHeight="false" outlineLevel="0" collapsed="false">
      <c r="A334" s="9" t="s">
        <v>2043</v>
      </c>
      <c r="B334" s="9" t="s">
        <v>2044</v>
      </c>
      <c r="C334" s="9" t="s">
        <v>1866</v>
      </c>
      <c r="D334" s="9" t="s">
        <v>2045</v>
      </c>
      <c r="E334" s="10" t="n">
        <v>15</v>
      </c>
      <c r="F334" s="9"/>
      <c r="G334" s="10" t="n">
        <v>15</v>
      </c>
      <c r="H334" s="9" t="s">
        <v>466</v>
      </c>
      <c r="I334" s="9" t="s">
        <v>1257</v>
      </c>
      <c r="J334" s="13" t="n">
        <v>45979</v>
      </c>
      <c r="K334" s="11" t="s">
        <v>62</v>
      </c>
      <c r="L334" s="9" t="s">
        <v>2046</v>
      </c>
      <c r="M334" s="9" t="s">
        <v>1256</v>
      </c>
      <c r="N334" s="9" t="s">
        <v>1257</v>
      </c>
      <c r="O334" s="9" t="s">
        <v>66</v>
      </c>
      <c r="P334" s="9" t="s">
        <v>67</v>
      </c>
      <c r="Q334" s="9" t="s">
        <v>2047</v>
      </c>
      <c r="R334" s="9" t="s">
        <v>135</v>
      </c>
      <c r="S334" s="11" t="s">
        <v>70</v>
      </c>
      <c r="T334" s="9" t="s">
        <v>2047</v>
      </c>
      <c r="U334" s="11" t="s">
        <v>136</v>
      </c>
      <c r="V334" s="11" t="s">
        <v>72</v>
      </c>
      <c r="W334" s="11" t="s">
        <v>2048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74</v>
      </c>
    </row>
    <row r="335" customFormat="false" ht="15" hidden="false" customHeight="false" outlineLevel="0" collapsed="false">
      <c r="A335" s="9" t="s">
        <v>2049</v>
      </c>
      <c r="B335" s="9" t="s">
        <v>2050</v>
      </c>
      <c r="C335" s="9" t="s">
        <v>1866</v>
      </c>
      <c r="D335" s="9" t="s">
        <v>2051</v>
      </c>
      <c r="E335" s="10" t="n">
        <v>5</v>
      </c>
      <c r="F335" s="9"/>
      <c r="G335" s="9"/>
      <c r="H335" s="9" t="s">
        <v>466</v>
      </c>
      <c r="I335" s="9" t="s">
        <v>2052</v>
      </c>
      <c r="J335" s="9"/>
      <c r="K335" s="11" t="s">
        <v>62</v>
      </c>
      <c r="L335" s="9" t="s">
        <v>2053</v>
      </c>
      <c r="M335" s="9" t="s">
        <v>2054</v>
      </c>
      <c r="N335" s="9" t="s">
        <v>2055</v>
      </c>
      <c r="O335" s="9" t="s">
        <v>66</v>
      </c>
      <c r="P335" s="9" t="s">
        <v>67</v>
      </c>
      <c r="Q335" s="11" t="s">
        <v>2056</v>
      </c>
      <c r="R335" s="9" t="s">
        <v>69</v>
      </c>
      <c r="S335" s="11" t="s">
        <v>70</v>
      </c>
      <c r="T335" s="11" t="s">
        <v>2056</v>
      </c>
      <c r="U335" s="11" t="s">
        <v>71</v>
      </c>
      <c r="V335" s="11" t="s">
        <v>72</v>
      </c>
      <c r="W335" s="11" t="s">
        <v>2057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74</v>
      </c>
    </row>
    <row r="336" customFormat="false" ht="15" hidden="false" customHeight="false" outlineLevel="0" collapsed="false">
      <c r="A336" s="9" t="s">
        <v>2058</v>
      </c>
      <c r="B336" s="9" t="s">
        <v>2059</v>
      </c>
      <c r="C336" s="9" t="s">
        <v>1866</v>
      </c>
      <c r="D336" s="9" t="s">
        <v>2060</v>
      </c>
      <c r="E336" s="10" t="n">
        <v>5</v>
      </c>
      <c r="F336" s="9"/>
      <c r="G336" s="10" t="n">
        <v>5</v>
      </c>
      <c r="H336" s="9" t="s">
        <v>466</v>
      </c>
      <c r="I336" s="9" t="s">
        <v>831</v>
      </c>
      <c r="J336" s="9"/>
      <c r="K336" s="11" t="s">
        <v>62</v>
      </c>
      <c r="L336" s="9" t="s">
        <v>1733</v>
      </c>
      <c r="M336" s="9" t="s">
        <v>1734</v>
      </c>
      <c r="N336" s="9" t="s">
        <v>65</v>
      </c>
      <c r="O336" s="9" t="s">
        <v>66</v>
      </c>
      <c r="P336" s="9" t="s">
        <v>67</v>
      </c>
      <c r="Q336" s="9" t="s">
        <v>1735</v>
      </c>
      <c r="R336" s="9" t="s">
        <v>69</v>
      </c>
      <c r="S336" s="11" t="s">
        <v>70</v>
      </c>
      <c r="T336" s="9" t="s">
        <v>1735</v>
      </c>
      <c r="U336" s="11" t="s">
        <v>1273</v>
      </c>
      <c r="V336" s="11" t="s">
        <v>72</v>
      </c>
      <c r="W336" s="11" t="s">
        <v>2061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74</v>
      </c>
    </row>
    <row r="337" customFormat="false" ht="15" hidden="false" customHeight="false" outlineLevel="0" collapsed="false">
      <c r="A337" s="9" t="s">
        <v>2062</v>
      </c>
      <c r="B337" s="9" t="s">
        <v>2063</v>
      </c>
      <c r="C337" s="9" t="s">
        <v>1866</v>
      </c>
      <c r="D337" s="9" t="s">
        <v>2064</v>
      </c>
      <c r="E337" s="10" t="n">
        <v>10</v>
      </c>
      <c r="F337" s="9"/>
      <c r="G337" s="10" t="n">
        <v>10</v>
      </c>
      <c r="H337" s="9" t="s">
        <v>466</v>
      </c>
      <c r="I337" s="9" t="s">
        <v>2065</v>
      </c>
      <c r="J337" s="13" t="n">
        <v>46276</v>
      </c>
      <c r="K337" s="11" t="s">
        <v>62</v>
      </c>
      <c r="L337" s="9" t="s">
        <v>2066</v>
      </c>
      <c r="M337" s="9" t="s">
        <v>2067</v>
      </c>
      <c r="N337" s="9" t="s">
        <v>383</v>
      </c>
      <c r="O337" s="9" t="s">
        <v>66</v>
      </c>
      <c r="P337" s="9" t="s">
        <v>67</v>
      </c>
      <c r="Q337" s="11" t="s">
        <v>2068</v>
      </c>
      <c r="R337" s="9" t="s">
        <v>69</v>
      </c>
      <c r="S337" s="11" t="s">
        <v>70</v>
      </c>
      <c r="T337" s="11" t="s">
        <v>2068</v>
      </c>
      <c r="U337" s="11" t="s">
        <v>71</v>
      </c>
      <c r="V337" s="11" t="s">
        <v>72</v>
      </c>
      <c r="W337" s="11" t="s">
        <v>2069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74</v>
      </c>
    </row>
    <row r="338" customFormat="false" ht="15" hidden="false" customHeight="false" outlineLevel="0" collapsed="false">
      <c r="A338" s="9" t="s">
        <v>2070</v>
      </c>
      <c r="B338" s="9" t="s">
        <v>2071</v>
      </c>
      <c r="C338" s="9" t="s">
        <v>1866</v>
      </c>
      <c r="D338" s="9" t="s">
        <v>2072</v>
      </c>
      <c r="E338" s="10" t="n">
        <v>56.09</v>
      </c>
      <c r="F338" s="9"/>
      <c r="G338" s="9"/>
      <c r="H338" s="9" t="s">
        <v>2073</v>
      </c>
      <c r="I338" s="9" t="s">
        <v>158</v>
      </c>
      <c r="J338" s="9"/>
      <c r="K338" s="9"/>
      <c r="L338" s="9" t="s">
        <v>2074</v>
      </c>
      <c r="M338" s="9" t="s">
        <v>2075</v>
      </c>
      <c r="N338" s="9" t="s">
        <v>2076</v>
      </c>
      <c r="O338" s="9" t="s">
        <v>66</v>
      </c>
      <c r="P338" s="9" t="s">
        <v>67</v>
      </c>
      <c r="Q338" s="11" t="s">
        <v>2077</v>
      </c>
      <c r="R338" s="9" t="s">
        <v>69</v>
      </c>
      <c r="S338" s="11" t="s">
        <v>70</v>
      </c>
      <c r="T338" s="11" t="s">
        <v>2077</v>
      </c>
      <c r="U338" s="11" t="s">
        <v>71</v>
      </c>
      <c r="V338" s="11" t="s">
        <v>72</v>
      </c>
      <c r="W338" s="11" t="s">
        <v>2078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74</v>
      </c>
    </row>
    <row r="339" customFormat="false" ht="15" hidden="false" customHeight="false" outlineLevel="0" collapsed="false">
      <c r="A339" s="9" t="s">
        <v>2079</v>
      </c>
      <c r="B339" s="9" t="s">
        <v>2080</v>
      </c>
      <c r="C339" s="9" t="s">
        <v>1866</v>
      </c>
      <c r="D339" s="9" t="s">
        <v>2081</v>
      </c>
      <c r="E339" s="9"/>
      <c r="F339" s="10" t="n">
        <v>5</v>
      </c>
      <c r="G339" s="10" t="n">
        <v>6</v>
      </c>
      <c r="H339" s="9" t="s">
        <v>466</v>
      </c>
      <c r="I339" s="9" t="s">
        <v>199</v>
      </c>
      <c r="J339" s="9"/>
      <c r="K339" s="11" t="s">
        <v>62</v>
      </c>
      <c r="L339" s="9" t="s">
        <v>2082</v>
      </c>
      <c r="M339" s="9" t="s">
        <v>2083</v>
      </c>
      <c r="N339" s="9" t="s">
        <v>2084</v>
      </c>
      <c r="O339" s="9" t="s">
        <v>66</v>
      </c>
      <c r="P339" s="9" t="s">
        <v>67</v>
      </c>
      <c r="Q339" s="11" t="s">
        <v>2077</v>
      </c>
      <c r="R339" s="9" t="s">
        <v>69</v>
      </c>
      <c r="S339" s="11" t="s">
        <v>70</v>
      </c>
      <c r="T339" s="11" t="s">
        <v>2077</v>
      </c>
      <c r="U339" s="11" t="s">
        <v>71</v>
      </c>
      <c r="V339" s="11" t="s">
        <v>72</v>
      </c>
      <c r="W339" s="11" t="s">
        <v>2085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74</v>
      </c>
    </row>
    <row r="340" customFormat="false" ht="15" hidden="false" customHeight="false" outlineLevel="0" collapsed="false">
      <c r="A340" s="9" t="s">
        <v>2086</v>
      </c>
      <c r="B340" s="9" t="s">
        <v>2087</v>
      </c>
      <c r="C340" s="9" t="s">
        <v>1866</v>
      </c>
      <c r="D340" s="9" t="s">
        <v>2088</v>
      </c>
      <c r="E340" s="9"/>
      <c r="F340" s="9"/>
      <c r="G340" s="10" t="n">
        <v>6</v>
      </c>
      <c r="H340" s="9" t="s">
        <v>466</v>
      </c>
      <c r="I340" s="9" t="s">
        <v>213</v>
      </c>
      <c r="J340" s="9"/>
      <c r="K340" s="11" t="s">
        <v>62</v>
      </c>
      <c r="L340" s="9" t="s">
        <v>2089</v>
      </c>
      <c r="M340" s="9" t="s">
        <v>2090</v>
      </c>
      <c r="N340" s="9" t="s">
        <v>2091</v>
      </c>
      <c r="O340" s="9" t="s">
        <v>66</v>
      </c>
      <c r="P340" s="9" t="s">
        <v>67</v>
      </c>
      <c r="Q340" s="11" t="s">
        <v>2092</v>
      </c>
      <c r="R340" s="9" t="s">
        <v>69</v>
      </c>
      <c r="S340" s="11" t="s">
        <v>70</v>
      </c>
      <c r="T340" s="11" t="s">
        <v>2092</v>
      </c>
      <c r="U340" s="11" t="s">
        <v>71</v>
      </c>
      <c r="V340" s="11" t="s">
        <v>72</v>
      </c>
      <c r="W340" s="11" t="s">
        <v>2093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74</v>
      </c>
    </row>
    <row r="341" customFormat="false" ht="15" hidden="false" customHeight="false" outlineLevel="0" collapsed="false">
      <c r="A341" s="9" t="s">
        <v>2094</v>
      </c>
      <c r="B341" s="9" t="s">
        <v>2095</v>
      </c>
      <c r="C341" s="9" t="s">
        <v>1866</v>
      </c>
      <c r="D341" s="9" t="s">
        <v>2096</v>
      </c>
      <c r="E341" s="10" t="n">
        <v>0.45</v>
      </c>
      <c r="F341" s="9"/>
      <c r="G341" s="9"/>
      <c r="H341" s="9" t="s">
        <v>466</v>
      </c>
      <c r="I341" s="9" t="s">
        <v>2097</v>
      </c>
      <c r="J341" s="13" t="n">
        <v>45069</v>
      </c>
      <c r="K341" s="11" t="s">
        <v>62</v>
      </c>
      <c r="L341" s="9" t="s">
        <v>2098</v>
      </c>
      <c r="M341" s="9" t="s">
        <v>2099</v>
      </c>
      <c r="N341" s="9" t="s">
        <v>2097</v>
      </c>
      <c r="O341" s="9" t="s">
        <v>66</v>
      </c>
      <c r="P341" s="9" t="s">
        <v>67</v>
      </c>
      <c r="Q341" s="9" t="s">
        <v>134</v>
      </c>
      <c r="R341" s="9" t="s">
        <v>135</v>
      </c>
      <c r="S341" s="11" t="s">
        <v>70</v>
      </c>
      <c r="T341" s="9" t="s">
        <v>134</v>
      </c>
      <c r="U341" s="11" t="s">
        <v>136</v>
      </c>
      <c r="V341" s="11" t="s">
        <v>72</v>
      </c>
      <c r="W341" s="11" t="s">
        <v>2100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74</v>
      </c>
    </row>
    <row r="342" customFormat="false" ht="15" hidden="false" customHeight="false" outlineLevel="0" collapsed="false">
      <c r="A342" s="9" t="s">
        <v>2101</v>
      </c>
      <c r="B342" s="9" t="s">
        <v>2102</v>
      </c>
      <c r="C342" s="9" t="s">
        <v>1866</v>
      </c>
      <c r="D342" s="9" t="s">
        <v>2103</v>
      </c>
      <c r="E342" s="10" t="n">
        <v>0.75</v>
      </c>
      <c r="F342" s="9"/>
      <c r="G342" s="9"/>
      <c r="H342" s="9" t="s">
        <v>466</v>
      </c>
      <c r="I342" s="9" t="s">
        <v>2104</v>
      </c>
      <c r="J342" s="9"/>
      <c r="K342" s="11" t="s">
        <v>62</v>
      </c>
      <c r="L342" s="9" t="s">
        <v>2105</v>
      </c>
      <c r="M342" s="9" t="s">
        <v>2106</v>
      </c>
      <c r="N342" s="9" t="s">
        <v>2107</v>
      </c>
      <c r="O342" s="9" t="s">
        <v>66</v>
      </c>
      <c r="P342" s="9" t="s">
        <v>67</v>
      </c>
      <c r="Q342" s="11" t="s">
        <v>1930</v>
      </c>
      <c r="R342" s="9" t="s">
        <v>69</v>
      </c>
      <c r="S342" s="11" t="s">
        <v>70</v>
      </c>
      <c r="T342" s="11" t="s">
        <v>1930</v>
      </c>
      <c r="U342" s="11" t="s">
        <v>71</v>
      </c>
      <c r="V342" s="11" t="s">
        <v>72</v>
      </c>
      <c r="W342" s="11" t="s">
        <v>2108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74</v>
      </c>
    </row>
    <row r="343" customFormat="false" ht="15" hidden="false" customHeight="false" outlineLevel="0" collapsed="false">
      <c r="A343" s="9" t="s">
        <v>2109</v>
      </c>
      <c r="B343" s="9" t="s">
        <v>2110</v>
      </c>
      <c r="C343" s="9" t="s">
        <v>1866</v>
      </c>
      <c r="D343" s="11" t="s">
        <v>2111</v>
      </c>
      <c r="E343" s="10" t="n">
        <v>1000</v>
      </c>
      <c r="F343" s="10" t="n">
        <v>960</v>
      </c>
      <c r="G343" s="10" t="n">
        <v>1150</v>
      </c>
      <c r="H343" s="9" t="s">
        <v>466</v>
      </c>
      <c r="I343" s="9" t="s">
        <v>213</v>
      </c>
      <c r="J343" s="9"/>
      <c r="K343" s="9"/>
      <c r="L343" s="9" t="s">
        <v>2112</v>
      </c>
      <c r="M343" s="9" t="s">
        <v>2113</v>
      </c>
      <c r="N343" s="9" t="s">
        <v>2114</v>
      </c>
      <c r="O343" s="9" t="s">
        <v>66</v>
      </c>
      <c r="P343" s="9" t="s">
        <v>283</v>
      </c>
      <c r="Q343" s="9"/>
      <c r="R343" s="9" t="s">
        <v>69</v>
      </c>
      <c r="S343" s="11" t="s">
        <v>284</v>
      </c>
      <c r="T343" s="11" t="s">
        <v>285</v>
      </c>
      <c r="U343" s="11" t="s">
        <v>71</v>
      </c>
      <c r="V343" s="11" t="s">
        <v>72</v>
      </c>
      <c r="W343" s="11" t="s">
        <v>2115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74</v>
      </c>
    </row>
    <row r="344" customFormat="false" ht="15" hidden="false" customHeight="false" outlineLevel="0" collapsed="false">
      <c r="A344" s="9" t="s">
        <v>2116</v>
      </c>
      <c r="B344" s="9" t="s">
        <v>2117</v>
      </c>
      <c r="C344" s="9" t="s">
        <v>1866</v>
      </c>
      <c r="D344" s="9" t="s">
        <v>2118</v>
      </c>
      <c r="E344" s="9"/>
      <c r="F344" s="9"/>
      <c r="G344" s="9"/>
      <c r="H344" s="11" t="s">
        <v>1883</v>
      </c>
      <c r="I344" s="9" t="s">
        <v>2119</v>
      </c>
      <c r="J344" s="9"/>
      <c r="K344" s="9"/>
      <c r="L344" s="9" t="s">
        <v>2120</v>
      </c>
      <c r="M344" s="9" t="s">
        <v>2121</v>
      </c>
      <c r="N344" s="9" t="s">
        <v>2122</v>
      </c>
      <c r="O344" s="9" t="s">
        <v>66</v>
      </c>
      <c r="P344" s="9" t="s">
        <v>67</v>
      </c>
      <c r="Q344" s="11" t="s">
        <v>2123</v>
      </c>
      <c r="R344" s="9" t="s">
        <v>69</v>
      </c>
      <c r="S344" s="11" t="s">
        <v>70</v>
      </c>
      <c r="T344" s="11" t="s">
        <v>2123</v>
      </c>
      <c r="U344" s="11" t="s">
        <v>71</v>
      </c>
      <c r="V344" s="11" t="s">
        <v>72</v>
      </c>
      <c r="W344" s="11" t="s">
        <v>2124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74</v>
      </c>
    </row>
    <row r="345" customFormat="false" ht="15" hidden="false" customHeight="false" outlineLevel="0" collapsed="false">
      <c r="A345" s="9" t="s">
        <v>2125</v>
      </c>
      <c r="B345" s="9" t="s">
        <v>2126</v>
      </c>
      <c r="C345" s="9" t="s">
        <v>1866</v>
      </c>
      <c r="D345" s="9" t="s">
        <v>2127</v>
      </c>
      <c r="E345" s="10" t="n">
        <v>100</v>
      </c>
      <c r="F345" s="9"/>
      <c r="G345" s="10" t="n">
        <v>100</v>
      </c>
      <c r="H345" s="9" t="s">
        <v>466</v>
      </c>
      <c r="I345" s="9" t="s">
        <v>2119</v>
      </c>
      <c r="J345" s="9"/>
      <c r="K345" s="11" t="s">
        <v>62</v>
      </c>
      <c r="L345" s="9" t="s">
        <v>2128</v>
      </c>
      <c r="M345" s="9" t="s">
        <v>2121</v>
      </c>
      <c r="N345" s="9" t="s">
        <v>2122</v>
      </c>
      <c r="O345" s="9" t="s">
        <v>66</v>
      </c>
      <c r="P345" s="9" t="s">
        <v>67</v>
      </c>
      <c r="Q345" s="11" t="s">
        <v>1930</v>
      </c>
      <c r="R345" s="9" t="s">
        <v>69</v>
      </c>
      <c r="S345" s="11" t="s">
        <v>70</v>
      </c>
      <c r="T345" s="11" t="s">
        <v>1930</v>
      </c>
      <c r="U345" s="11" t="s">
        <v>71</v>
      </c>
      <c r="V345" s="11" t="s">
        <v>72</v>
      </c>
      <c r="W345" s="11" t="s">
        <v>2129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74</v>
      </c>
    </row>
    <row r="346" customFormat="false" ht="15" hidden="false" customHeight="false" outlineLevel="0" collapsed="false">
      <c r="A346" s="9" t="s">
        <v>2130</v>
      </c>
      <c r="B346" s="9" t="s">
        <v>2131</v>
      </c>
      <c r="C346" s="9" t="s">
        <v>1866</v>
      </c>
      <c r="D346" s="9" t="s">
        <v>2132</v>
      </c>
      <c r="E346" s="9"/>
      <c r="F346" s="10" t="n">
        <v>1800</v>
      </c>
      <c r="G346" s="10" t="n">
        <v>2000</v>
      </c>
      <c r="H346" s="9" t="s">
        <v>466</v>
      </c>
      <c r="I346" s="9" t="s">
        <v>2119</v>
      </c>
      <c r="J346" s="9"/>
      <c r="K346" s="9"/>
      <c r="L346" s="9" t="s">
        <v>2128</v>
      </c>
      <c r="M346" s="9" t="s">
        <v>2121</v>
      </c>
      <c r="N346" s="9" t="s">
        <v>2122</v>
      </c>
      <c r="O346" s="9" t="s">
        <v>66</v>
      </c>
      <c r="P346" s="9" t="s">
        <v>67</v>
      </c>
      <c r="Q346" s="11" t="s">
        <v>2133</v>
      </c>
      <c r="R346" s="9" t="s">
        <v>69</v>
      </c>
      <c r="S346" s="11" t="s">
        <v>70</v>
      </c>
      <c r="T346" s="11" t="s">
        <v>2133</v>
      </c>
      <c r="U346" s="11" t="s">
        <v>71</v>
      </c>
      <c r="V346" s="11" t="s">
        <v>72</v>
      </c>
      <c r="W346" s="11" t="s">
        <v>2134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74</v>
      </c>
    </row>
    <row r="347" customFormat="false" ht="15" hidden="false" customHeight="false" outlineLevel="0" collapsed="false">
      <c r="A347" s="9" t="s">
        <v>2135</v>
      </c>
      <c r="B347" s="9" t="s">
        <v>2136</v>
      </c>
      <c r="C347" s="9" t="s">
        <v>1866</v>
      </c>
      <c r="D347" s="11" t="s">
        <v>2137</v>
      </c>
      <c r="E347" s="9"/>
      <c r="F347" s="9"/>
      <c r="G347" s="9"/>
      <c r="H347" s="11" t="s">
        <v>1883</v>
      </c>
      <c r="I347" s="9" t="s">
        <v>693</v>
      </c>
      <c r="J347" s="13" t="n">
        <v>46287</v>
      </c>
      <c r="K347" s="9"/>
      <c r="L347" s="9" t="s">
        <v>2138</v>
      </c>
      <c r="M347" s="9" t="s">
        <v>2139</v>
      </c>
      <c r="N347" s="9" t="s">
        <v>693</v>
      </c>
      <c r="O347" s="9" t="s">
        <v>66</v>
      </c>
      <c r="P347" s="9" t="s">
        <v>67</v>
      </c>
      <c r="Q347" s="11" t="s">
        <v>2140</v>
      </c>
      <c r="R347" s="11" t="s">
        <v>87</v>
      </c>
      <c r="S347" s="11" t="s">
        <v>70</v>
      </c>
      <c r="T347" s="11" t="s">
        <v>2140</v>
      </c>
      <c r="U347" s="11" t="s">
        <v>87</v>
      </c>
      <c r="V347" s="11" t="s">
        <v>72</v>
      </c>
      <c r="W347" s="11" t="s">
        <v>2141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74</v>
      </c>
    </row>
    <row r="348" customFormat="false" ht="15" hidden="false" customHeight="false" outlineLevel="0" collapsed="false">
      <c r="A348" s="9" t="s">
        <v>2142</v>
      </c>
      <c r="B348" s="9" t="s">
        <v>2143</v>
      </c>
      <c r="C348" s="9" t="s">
        <v>1866</v>
      </c>
      <c r="D348" s="11" t="s">
        <v>2144</v>
      </c>
      <c r="E348" s="10" t="n">
        <v>15</v>
      </c>
      <c r="F348" s="10" t="n">
        <v>10</v>
      </c>
      <c r="G348" s="10" t="n">
        <v>15</v>
      </c>
      <c r="H348" s="9" t="s">
        <v>466</v>
      </c>
      <c r="I348" s="9" t="s">
        <v>2145</v>
      </c>
      <c r="J348" s="13" t="n">
        <v>46268</v>
      </c>
      <c r="K348" s="11" t="s">
        <v>62</v>
      </c>
      <c r="L348" s="9" t="s">
        <v>2146</v>
      </c>
      <c r="M348" s="9" t="s">
        <v>2147</v>
      </c>
      <c r="N348" s="9" t="s">
        <v>2148</v>
      </c>
      <c r="O348" s="9" t="s">
        <v>66</v>
      </c>
      <c r="P348" s="9" t="s">
        <v>67</v>
      </c>
      <c r="Q348" s="11" t="s">
        <v>1837</v>
      </c>
      <c r="R348" s="9" t="s">
        <v>69</v>
      </c>
      <c r="S348" s="11" t="s">
        <v>70</v>
      </c>
      <c r="T348" s="11" t="s">
        <v>1837</v>
      </c>
      <c r="U348" s="11" t="s">
        <v>71</v>
      </c>
      <c r="V348" s="11" t="s">
        <v>72</v>
      </c>
      <c r="W348" s="11" t="s">
        <v>2149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74</v>
      </c>
    </row>
    <row r="349" customFormat="false" ht="15" hidden="false" customHeight="false" outlineLevel="0" collapsed="false">
      <c r="A349" s="9" t="s">
        <v>2150</v>
      </c>
      <c r="B349" s="9" t="s">
        <v>2151</v>
      </c>
      <c r="C349" s="9" t="s">
        <v>1866</v>
      </c>
      <c r="D349" s="11" t="s">
        <v>2152</v>
      </c>
      <c r="E349" s="10" t="n">
        <v>0.19</v>
      </c>
      <c r="F349" s="9"/>
      <c r="G349" s="9"/>
      <c r="H349" s="11" t="s">
        <v>253</v>
      </c>
      <c r="I349" s="9" t="s">
        <v>831</v>
      </c>
      <c r="J349" s="9"/>
      <c r="K349" s="9"/>
      <c r="L349" s="9" t="s">
        <v>2153</v>
      </c>
      <c r="M349" s="9" t="s">
        <v>2154</v>
      </c>
      <c r="N349" s="9" t="s">
        <v>65</v>
      </c>
      <c r="O349" s="9" t="s">
        <v>66</v>
      </c>
      <c r="P349" s="9" t="s">
        <v>67</v>
      </c>
      <c r="Q349" s="9" t="s">
        <v>2155</v>
      </c>
      <c r="R349" s="11" t="s">
        <v>87</v>
      </c>
      <c r="S349" s="11" t="s">
        <v>70</v>
      </c>
      <c r="T349" s="9" t="s">
        <v>2155</v>
      </c>
      <c r="U349" s="11" t="s">
        <v>87</v>
      </c>
      <c r="V349" s="11" t="s">
        <v>72</v>
      </c>
      <c r="W349" s="11" t="s">
        <v>2156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74</v>
      </c>
    </row>
    <row r="350" customFormat="false" ht="15" hidden="false" customHeight="false" outlineLevel="0" collapsed="false">
      <c r="A350" s="9" t="s">
        <v>2157</v>
      </c>
      <c r="B350" s="9" t="s">
        <v>2158</v>
      </c>
      <c r="C350" s="9" t="s">
        <v>2159</v>
      </c>
      <c r="D350" s="9" t="s">
        <v>2160</v>
      </c>
      <c r="E350" s="10" t="n">
        <v>0.56</v>
      </c>
      <c r="F350" s="9"/>
      <c r="G350" s="9"/>
      <c r="H350" s="9" t="s">
        <v>1772</v>
      </c>
      <c r="I350" s="9" t="s">
        <v>105</v>
      </c>
      <c r="J350" s="9"/>
      <c r="K350" s="9"/>
      <c r="L350" s="9" t="s">
        <v>1773</v>
      </c>
      <c r="M350" s="9" t="s">
        <v>1774</v>
      </c>
      <c r="N350" s="9" t="s">
        <v>398</v>
      </c>
      <c r="O350" s="9" t="s">
        <v>66</v>
      </c>
      <c r="P350" s="9" t="s">
        <v>67</v>
      </c>
      <c r="Q350" s="9" t="s">
        <v>1775</v>
      </c>
      <c r="R350" s="9" t="s">
        <v>69</v>
      </c>
      <c r="S350" s="11" t="s">
        <v>70</v>
      </c>
      <c r="T350" s="9" t="s">
        <v>1775</v>
      </c>
      <c r="U350" s="11" t="s">
        <v>71</v>
      </c>
      <c r="V350" s="11" t="s">
        <v>72</v>
      </c>
      <c r="W350" s="11" t="s">
        <v>2161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74</v>
      </c>
    </row>
    <row r="351" customFormat="false" ht="15" hidden="false" customHeight="false" outlineLevel="0" collapsed="false">
      <c r="A351" s="9" t="s">
        <v>2162</v>
      </c>
      <c r="B351" s="9" t="s">
        <v>2163</v>
      </c>
      <c r="C351" s="9" t="s">
        <v>2159</v>
      </c>
      <c r="D351" s="9" t="s">
        <v>2164</v>
      </c>
      <c r="E351" s="10" t="n">
        <v>10.9</v>
      </c>
      <c r="F351" s="9"/>
      <c r="G351" s="9"/>
      <c r="H351" s="9" t="s">
        <v>466</v>
      </c>
      <c r="I351" s="9" t="s">
        <v>105</v>
      </c>
      <c r="J351" s="9"/>
      <c r="K351" s="9"/>
      <c r="L351" s="9" t="s">
        <v>1773</v>
      </c>
      <c r="M351" s="9" t="s">
        <v>1774</v>
      </c>
      <c r="N351" s="9" t="s">
        <v>398</v>
      </c>
      <c r="O351" s="9" t="s">
        <v>66</v>
      </c>
      <c r="P351" s="9" t="s">
        <v>67</v>
      </c>
      <c r="Q351" s="9" t="s">
        <v>1775</v>
      </c>
      <c r="R351" s="9" t="s">
        <v>69</v>
      </c>
      <c r="S351" s="11" t="s">
        <v>70</v>
      </c>
      <c r="T351" s="9" t="s">
        <v>1775</v>
      </c>
      <c r="U351" s="11" t="s">
        <v>71</v>
      </c>
      <c r="V351" s="11" t="s">
        <v>72</v>
      </c>
      <c r="W351" s="11" t="s">
        <v>2165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74</v>
      </c>
    </row>
    <row r="352" customFormat="false" ht="15" hidden="false" customHeight="false" outlineLevel="0" collapsed="false">
      <c r="A352" s="9" t="s">
        <v>2166</v>
      </c>
      <c r="B352" s="9" t="s">
        <v>2167</v>
      </c>
      <c r="C352" s="9" t="s">
        <v>2159</v>
      </c>
      <c r="D352" s="9" t="s">
        <v>2168</v>
      </c>
      <c r="E352" s="10" t="n">
        <v>0.559</v>
      </c>
      <c r="F352" s="9"/>
      <c r="G352" s="9"/>
      <c r="H352" s="9" t="s">
        <v>466</v>
      </c>
      <c r="I352" s="9" t="s">
        <v>105</v>
      </c>
      <c r="J352" s="9"/>
      <c r="K352" s="9"/>
      <c r="L352" s="9" t="s">
        <v>1773</v>
      </c>
      <c r="M352" s="9" t="s">
        <v>1774</v>
      </c>
      <c r="N352" s="9" t="s">
        <v>398</v>
      </c>
      <c r="O352" s="9" t="s">
        <v>66</v>
      </c>
      <c r="P352" s="9" t="s">
        <v>67</v>
      </c>
      <c r="Q352" s="9" t="s">
        <v>1775</v>
      </c>
      <c r="R352" s="9" t="s">
        <v>69</v>
      </c>
      <c r="S352" s="11" t="s">
        <v>70</v>
      </c>
      <c r="T352" s="9" t="s">
        <v>1775</v>
      </c>
      <c r="U352" s="11" t="s">
        <v>71</v>
      </c>
      <c r="V352" s="11" t="s">
        <v>72</v>
      </c>
      <c r="W352" s="11" t="s">
        <v>2169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74</v>
      </c>
    </row>
    <row r="353" customFormat="false" ht="15" hidden="false" customHeight="false" outlineLevel="0" collapsed="false">
      <c r="A353" s="9" t="s">
        <v>2170</v>
      </c>
      <c r="B353" s="9" t="s">
        <v>2171</v>
      </c>
      <c r="C353" s="9" t="s">
        <v>2159</v>
      </c>
      <c r="D353" s="11" t="s">
        <v>2172</v>
      </c>
      <c r="E353" s="10" t="n">
        <v>2028</v>
      </c>
      <c r="F353" s="9"/>
      <c r="G353" s="9"/>
      <c r="H353" s="11" t="s">
        <v>2173</v>
      </c>
      <c r="I353" s="9" t="s">
        <v>2174</v>
      </c>
      <c r="J353" s="9"/>
      <c r="K353" s="9"/>
      <c r="L353" s="9" t="s">
        <v>2175</v>
      </c>
      <c r="M353" s="9" t="s">
        <v>1774</v>
      </c>
      <c r="N353" s="9" t="s">
        <v>398</v>
      </c>
      <c r="O353" s="9" t="s">
        <v>66</v>
      </c>
      <c r="P353" s="9" t="s">
        <v>67</v>
      </c>
      <c r="Q353" s="9" t="s">
        <v>1775</v>
      </c>
      <c r="R353" s="9" t="s">
        <v>69</v>
      </c>
      <c r="S353" s="11" t="s">
        <v>70</v>
      </c>
      <c r="T353" s="9" t="s">
        <v>1775</v>
      </c>
      <c r="U353" s="11" t="s">
        <v>71</v>
      </c>
      <c r="V353" s="11" t="s">
        <v>72</v>
      </c>
      <c r="W353" s="11" t="s">
        <v>2176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74</v>
      </c>
    </row>
    <row r="354" customFormat="false" ht="15" hidden="false" customHeight="false" outlineLevel="0" collapsed="false">
      <c r="A354" s="9" t="s">
        <v>2177</v>
      </c>
      <c r="B354" s="9" t="s">
        <v>2178</v>
      </c>
      <c r="C354" s="9" t="s">
        <v>2159</v>
      </c>
      <c r="D354" s="9" t="s">
        <v>2179</v>
      </c>
      <c r="E354" s="10" t="n">
        <v>11.5</v>
      </c>
      <c r="F354" s="10" t="n">
        <v>11.5</v>
      </c>
      <c r="G354" s="9"/>
      <c r="H354" s="9" t="s">
        <v>466</v>
      </c>
      <c r="I354" s="9" t="s">
        <v>105</v>
      </c>
      <c r="J354" s="9"/>
      <c r="K354" s="9"/>
      <c r="L354" s="9" t="s">
        <v>2180</v>
      </c>
      <c r="M354" s="9" t="s">
        <v>114</v>
      </c>
      <c r="N354" s="9" t="s">
        <v>115</v>
      </c>
      <c r="O354" s="9" t="s">
        <v>66</v>
      </c>
      <c r="P354" s="9" t="s">
        <v>67</v>
      </c>
      <c r="Q354" s="9" t="s">
        <v>2181</v>
      </c>
      <c r="R354" s="9" t="s">
        <v>69</v>
      </c>
      <c r="S354" s="11" t="s">
        <v>70</v>
      </c>
      <c r="T354" s="9" t="s">
        <v>2181</v>
      </c>
      <c r="U354" s="11" t="s">
        <v>1273</v>
      </c>
      <c r="V354" s="11" t="s">
        <v>72</v>
      </c>
      <c r="W354" s="11" t="s">
        <v>2182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74</v>
      </c>
    </row>
    <row r="355" customFormat="false" ht="15" hidden="false" customHeight="false" outlineLevel="0" collapsed="false">
      <c r="A355" s="9" t="s">
        <v>2183</v>
      </c>
      <c r="B355" s="9" t="s">
        <v>2184</v>
      </c>
      <c r="C355" s="9" t="s">
        <v>2159</v>
      </c>
      <c r="D355" s="11" t="s">
        <v>2185</v>
      </c>
      <c r="E355" s="9"/>
      <c r="F355" s="9"/>
      <c r="G355" s="9"/>
      <c r="H355" s="11" t="s">
        <v>1883</v>
      </c>
      <c r="I355" s="9" t="s">
        <v>380</v>
      </c>
      <c r="J355" s="9"/>
      <c r="K355" s="9"/>
      <c r="L355" s="9" t="s">
        <v>2186</v>
      </c>
      <c r="M355" s="9" t="s">
        <v>1734</v>
      </c>
      <c r="N355" s="9" t="s">
        <v>65</v>
      </c>
      <c r="O355" s="9" t="s">
        <v>66</v>
      </c>
      <c r="P355" s="9" t="s">
        <v>67</v>
      </c>
      <c r="Q355" s="9" t="s">
        <v>134</v>
      </c>
      <c r="R355" s="9" t="s">
        <v>69</v>
      </c>
      <c r="S355" s="11" t="s">
        <v>70</v>
      </c>
      <c r="T355" s="9" t="s">
        <v>134</v>
      </c>
      <c r="U355" s="11" t="s">
        <v>71</v>
      </c>
      <c r="V355" s="11" t="s">
        <v>72</v>
      </c>
      <c r="W355" s="11" t="s">
        <v>2187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74</v>
      </c>
    </row>
    <row r="356" customFormat="false" ht="15" hidden="false" customHeight="false" outlineLevel="0" collapsed="false">
      <c r="A356" s="9" t="s">
        <v>2188</v>
      </c>
      <c r="B356" s="9" t="s">
        <v>2189</v>
      </c>
      <c r="C356" s="9" t="s">
        <v>2159</v>
      </c>
      <c r="D356" s="9" t="s">
        <v>2190</v>
      </c>
      <c r="E356" s="10" t="n">
        <v>3</v>
      </c>
      <c r="F356" s="9"/>
      <c r="G356" s="9"/>
      <c r="H356" s="9" t="s">
        <v>466</v>
      </c>
      <c r="I356" s="9" t="s">
        <v>1732</v>
      </c>
      <c r="J356" s="9"/>
      <c r="K356" s="9"/>
      <c r="L356" s="9" t="s">
        <v>2191</v>
      </c>
      <c r="M356" s="9" t="s">
        <v>1818</v>
      </c>
      <c r="N356" s="9" t="s">
        <v>1819</v>
      </c>
      <c r="O356" s="9" t="s">
        <v>66</v>
      </c>
      <c r="P356" s="9" t="s">
        <v>67</v>
      </c>
      <c r="Q356" s="9" t="s">
        <v>1775</v>
      </c>
      <c r="R356" s="9" t="s">
        <v>69</v>
      </c>
      <c r="S356" s="11" t="s">
        <v>70</v>
      </c>
      <c r="T356" s="9" t="s">
        <v>1775</v>
      </c>
      <c r="U356" s="11" t="s">
        <v>71</v>
      </c>
      <c r="V356" s="11" t="s">
        <v>72</v>
      </c>
      <c r="W356" s="11" t="s">
        <v>2192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74</v>
      </c>
    </row>
    <row r="357" customFormat="false" ht="15" hidden="false" customHeight="false" outlineLevel="0" collapsed="false">
      <c r="A357" s="9" t="s">
        <v>2193</v>
      </c>
      <c r="B357" s="9" t="s">
        <v>2194</v>
      </c>
      <c r="C357" s="9" t="s">
        <v>2159</v>
      </c>
      <c r="D357" s="9" t="s">
        <v>2195</v>
      </c>
      <c r="E357" s="10" t="n">
        <v>0.33</v>
      </c>
      <c r="F357" s="9"/>
      <c r="G357" s="9"/>
      <c r="H357" s="11" t="s">
        <v>253</v>
      </c>
      <c r="I357" s="9" t="s">
        <v>2196</v>
      </c>
      <c r="J357" s="9"/>
      <c r="K357" s="9"/>
      <c r="L357" s="9" t="s">
        <v>2197</v>
      </c>
      <c r="M357" s="9" t="s">
        <v>2198</v>
      </c>
      <c r="N357" s="9" t="s">
        <v>2199</v>
      </c>
      <c r="O357" s="9" t="s">
        <v>66</v>
      </c>
      <c r="P357" s="9" t="s">
        <v>67</v>
      </c>
      <c r="Q357" s="9" t="s">
        <v>1775</v>
      </c>
      <c r="R357" s="9" t="s">
        <v>69</v>
      </c>
      <c r="S357" s="11" t="s">
        <v>70</v>
      </c>
      <c r="T357" s="9" t="s">
        <v>1775</v>
      </c>
      <c r="U357" s="11" t="s">
        <v>71</v>
      </c>
      <c r="V357" s="11" t="s">
        <v>72</v>
      </c>
      <c r="W357" s="11" t="s">
        <v>2200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74</v>
      </c>
    </row>
    <row r="358" customFormat="false" ht="15" hidden="false" customHeight="false" outlineLevel="0" collapsed="false">
      <c r="A358" s="9" t="s">
        <v>2201</v>
      </c>
      <c r="B358" s="9" t="s">
        <v>2202</v>
      </c>
      <c r="C358" s="9" t="s">
        <v>2159</v>
      </c>
      <c r="D358" s="9" t="s">
        <v>2203</v>
      </c>
      <c r="E358" s="10" t="n">
        <v>0.09</v>
      </c>
      <c r="F358" s="9"/>
      <c r="G358" s="9"/>
      <c r="H358" s="11" t="s">
        <v>253</v>
      </c>
      <c r="I358" s="9" t="s">
        <v>2204</v>
      </c>
      <c r="J358" s="9"/>
      <c r="K358" s="9"/>
      <c r="L358" s="9" t="s">
        <v>2197</v>
      </c>
      <c r="M358" s="9" t="s">
        <v>2198</v>
      </c>
      <c r="N358" s="9" t="s">
        <v>2199</v>
      </c>
      <c r="O358" s="9" t="s">
        <v>66</v>
      </c>
      <c r="P358" s="9" t="s">
        <v>67</v>
      </c>
      <c r="Q358" s="9" t="s">
        <v>1775</v>
      </c>
      <c r="R358" s="9" t="s">
        <v>69</v>
      </c>
      <c r="S358" s="11" t="s">
        <v>70</v>
      </c>
      <c r="T358" s="9" t="s">
        <v>1775</v>
      </c>
      <c r="U358" s="11" t="s">
        <v>71</v>
      </c>
      <c r="V358" s="11" t="s">
        <v>72</v>
      </c>
      <c r="W358" s="11" t="s">
        <v>2205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74</v>
      </c>
    </row>
    <row r="359" customFormat="false" ht="15" hidden="false" customHeight="false" outlineLevel="0" collapsed="false">
      <c r="A359" s="9" t="s">
        <v>2206</v>
      </c>
      <c r="B359" s="9" t="s">
        <v>2207</v>
      </c>
      <c r="C359" s="9" t="s">
        <v>2159</v>
      </c>
      <c r="D359" s="9" t="s">
        <v>2208</v>
      </c>
      <c r="E359" s="10" t="n">
        <v>12</v>
      </c>
      <c r="F359" s="9"/>
      <c r="G359" s="9"/>
      <c r="H359" s="9" t="s">
        <v>466</v>
      </c>
      <c r="I359" s="9" t="s">
        <v>2196</v>
      </c>
      <c r="J359" s="9"/>
      <c r="K359" s="9"/>
      <c r="L359" s="9" t="s">
        <v>2209</v>
      </c>
      <c r="M359" s="9" t="s">
        <v>1616</v>
      </c>
      <c r="N359" s="9" t="s">
        <v>1617</v>
      </c>
      <c r="O359" s="9" t="s">
        <v>66</v>
      </c>
      <c r="P359" s="9" t="s">
        <v>67</v>
      </c>
      <c r="Q359" s="9" t="s">
        <v>1775</v>
      </c>
      <c r="R359" s="9" t="s">
        <v>69</v>
      </c>
      <c r="S359" s="11" t="s">
        <v>70</v>
      </c>
      <c r="T359" s="9" t="s">
        <v>1775</v>
      </c>
      <c r="U359" s="11" t="s">
        <v>71</v>
      </c>
      <c r="V359" s="11" t="s">
        <v>72</v>
      </c>
      <c r="W359" s="11" t="s">
        <v>2210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74</v>
      </c>
    </row>
    <row r="360" customFormat="false" ht="15" hidden="false" customHeight="false" outlineLevel="0" collapsed="false">
      <c r="A360" s="9" t="s">
        <v>2211</v>
      </c>
      <c r="B360" s="9" t="s">
        <v>2212</v>
      </c>
      <c r="C360" s="9" t="s">
        <v>2159</v>
      </c>
      <c r="D360" s="9" t="s">
        <v>2213</v>
      </c>
      <c r="E360" s="10" t="n">
        <v>7</v>
      </c>
      <c r="F360" s="9"/>
      <c r="G360" s="9"/>
      <c r="H360" s="9" t="s">
        <v>466</v>
      </c>
      <c r="I360" s="9" t="s">
        <v>2196</v>
      </c>
      <c r="J360" s="9"/>
      <c r="K360" s="9"/>
      <c r="L360" s="9" t="s">
        <v>2214</v>
      </c>
      <c r="M360" s="9" t="s">
        <v>1616</v>
      </c>
      <c r="N360" s="9" t="s">
        <v>1617</v>
      </c>
      <c r="O360" s="9" t="s">
        <v>66</v>
      </c>
      <c r="P360" s="9" t="s">
        <v>67</v>
      </c>
      <c r="Q360" s="9" t="s">
        <v>1775</v>
      </c>
      <c r="R360" s="9" t="s">
        <v>69</v>
      </c>
      <c r="S360" s="11" t="s">
        <v>70</v>
      </c>
      <c r="T360" s="9" t="s">
        <v>1775</v>
      </c>
      <c r="U360" s="11" t="s">
        <v>71</v>
      </c>
      <c r="V360" s="11" t="s">
        <v>72</v>
      </c>
      <c r="W360" s="11" t="s">
        <v>2215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74</v>
      </c>
    </row>
    <row r="361" customFormat="false" ht="15" hidden="false" customHeight="false" outlineLevel="0" collapsed="false">
      <c r="A361" s="9" t="s">
        <v>2216</v>
      </c>
      <c r="B361" s="9" t="s">
        <v>2217</v>
      </c>
      <c r="C361" s="9" t="s">
        <v>2159</v>
      </c>
      <c r="D361" s="11" t="s">
        <v>2218</v>
      </c>
      <c r="E361" s="10" t="n">
        <v>30</v>
      </c>
      <c r="F361" s="9"/>
      <c r="G361" s="9"/>
      <c r="H361" s="9" t="s">
        <v>60</v>
      </c>
      <c r="I361" s="9" t="s">
        <v>2174</v>
      </c>
      <c r="J361" s="9"/>
      <c r="K361" s="9"/>
      <c r="L361" s="9" t="s">
        <v>2219</v>
      </c>
      <c r="M361" s="9" t="s">
        <v>1646</v>
      </c>
      <c r="N361" s="9" t="s">
        <v>617</v>
      </c>
      <c r="O361" s="9" t="s">
        <v>66</v>
      </c>
      <c r="P361" s="9" t="s">
        <v>67</v>
      </c>
      <c r="Q361" s="9" t="s">
        <v>2220</v>
      </c>
      <c r="R361" s="9" t="s">
        <v>69</v>
      </c>
      <c r="S361" s="11" t="s">
        <v>70</v>
      </c>
      <c r="T361" s="9" t="s">
        <v>2220</v>
      </c>
      <c r="U361" s="11" t="s">
        <v>1273</v>
      </c>
      <c r="V361" s="11" t="s">
        <v>72</v>
      </c>
      <c r="W361" s="11" t="s">
        <v>2221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74</v>
      </c>
    </row>
    <row r="362" customFormat="false" ht="15" hidden="false" customHeight="false" outlineLevel="0" collapsed="false">
      <c r="A362" s="9" t="s">
        <v>2222</v>
      </c>
      <c r="B362" s="9" t="s">
        <v>2223</v>
      </c>
      <c r="C362" s="9" t="s">
        <v>2159</v>
      </c>
      <c r="D362" s="9" t="s">
        <v>2224</v>
      </c>
      <c r="E362" s="10" t="n">
        <v>2.2</v>
      </c>
      <c r="F362" s="9"/>
      <c r="G362" s="9"/>
      <c r="H362" s="9" t="s">
        <v>466</v>
      </c>
      <c r="I362" s="9" t="s">
        <v>1732</v>
      </c>
      <c r="J362" s="9"/>
      <c r="K362" s="9"/>
      <c r="L362" s="9" t="s">
        <v>2191</v>
      </c>
      <c r="M362" s="9" t="s">
        <v>1818</v>
      </c>
      <c r="N362" s="9" t="s">
        <v>1819</v>
      </c>
      <c r="O362" s="9" t="s">
        <v>66</v>
      </c>
      <c r="P362" s="9" t="s">
        <v>67</v>
      </c>
      <c r="Q362" s="9" t="s">
        <v>1775</v>
      </c>
      <c r="R362" s="9" t="s">
        <v>69</v>
      </c>
      <c r="S362" s="11" t="s">
        <v>70</v>
      </c>
      <c r="T362" s="9" t="s">
        <v>1775</v>
      </c>
      <c r="U362" s="11" t="s">
        <v>71</v>
      </c>
      <c r="V362" s="11" t="s">
        <v>72</v>
      </c>
      <c r="W362" s="11" t="s">
        <v>2225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74</v>
      </c>
    </row>
    <row r="363" customFormat="false" ht="15" hidden="false" customHeight="false" outlineLevel="0" collapsed="false">
      <c r="A363" s="9" t="s">
        <v>2226</v>
      </c>
      <c r="B363" s="9" t="s">
        <v>2227</v>
      </c>
      <c r="C363" s="9" t="s">
        <v>2159</v>
      </c>
      <c r="D363" s="9" t="s">
        <v>2228</v>
      </c>
      <c r="E363" s="10" t="n">
        <v>12</v>
      </c>
      <c r="F363" s="9"/>
      <c r="G363" s="9"/>
      <c r="H363" s="9" t="s">
        <v>466</v>
      </c>
      <c r="I363" s="9" t="s">
        <v>2204</v>
      </c>
      <c r="J363" s="9"/>
      <c r="K363" s="9"/>
      <c r="L363" s="9" t="s">
        <v>2191</v>
      </c>
      <c r="M363" s="9" t="s">
        <v>1818</v>
      </c>
      <c r="N363" s="9" t="s">
        <v>1819</v>
      </c>
      <c r="O363" s="9" t="s">
        <v>66</v>
      </c>
      <c r="P363" s="9" t="s">
        <v>67</v>
      </c>
      <c r="Q363" s="9" t="s">
        <v>1775</v>
      </c>
      <c r="R363" s="9" t="s">
        <v>69</v>
      </c>
      <c r="S363" s="11" t="s">
        <v>70</v>
      </c>
      <c r="T363" s="9" t="s">
        <v>1775</v>
      </c>
      <c r="U363" s="11" t="s">
        <v>71</v>
      </c>
      <c r="V363" s="11" t="s">
        <v>72</v>
      </c>
      <c r="W363" s="11" t="s">
        <v>2229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74</v>
      </c>
    </row>
    <row r="364" customFormat="false" ht="15" hidden="false" customHeight="false" outlineLevel="0" collapsed="false">
      <c r="A364" s="9" t="s">
        <v>2230</v>
      </c>
      <c r="B364" s="9" t="s">
        <v>2231</v>
      </c>
      <c r="C364" s="9" t="s">
        <v>2159</v>
      </c>
      <c r="D364" s="9" t="s">
        <v>2232</v>
      </c>
      <c r="E364" s="10" t="n">
        <v>34.5</v>
      </c>
      <c r="F364" s="9"/>
      <c r="G364" s="9"/>
      <c r="H364" s="9" t="s">
        <v>466</v>
      </c>
      <c r="I364" s="9" t="s">
        <v>2204</v>
      </c>
      <c r="J364" s="9"/>
      <c r="K364" s="9"/>
      <c r="L364" s="9" t="s">
        <v>2191</v>
      </c>
      <c r="M364" s="9" t="s">
        <v>1818</v>
      </c>
      <c r="N364" s="9" t="s">
        <v>1819</v>
      </c>
      <c r="O364" s="9" t="s">
        <v>66</v>
      </c>
      <c r="P364" s="9" t="s">
        <v>67</v>
      </c>
      <c r="Q364" s="9" t="s">
        <v>1775</v>
      </c>
      <c r="R364" s="9" t="s">
        <v>69</v>
      </c>
      <c r="S364" s="11" t="s">
        <v>70</v>
      </c>
      <c r="T364" s="9" t="s">
        <v>1775</v>
      </c>
      <c r="U364" s="11" t="s">
        <v>71</v>
      </c>
      <c r="V364" s="11" t="s">
        <v>72</v>
      </c>
      <c r="W364" s="11" t="s">
        <v>2233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74</v>
      </c>
    </row>
    <row r="365" customFormat="false" ht="15" hidden="false" customHeight="false" outlineLevel="0" collapsed="false">
      <c r="A365" s="9" t="s">
        <v>2234</v>
      </c>
      <c r="B365" s="9" t="s">
        <v>2235</v>
      </c>
      <c r="C365" s="9" t="s">
        <v>2159</v>
      </c>
      <c r="D365" s="11" t="s">
        <v>2236</v>
      </c>
      <c r="E365" s="10" t="n">
        <v>2027</v>
      </c>
      <c r="F365" s="9"/>
      <c r="G365" s="9"/>
      <c r="H365" s="11" t="s">
        <v>2173</v>
      </c>
      <c r="I365" s="9" t="s">
        <v>2204</v>
      </c>
      <c r="J365" s="9"/>
      <c r="K365" s="9"/>
      <c r="L365" s="9" t="s">
        <v>2191</v>
      </c>
      <c r="M365" s="9" t="s">
        <v>1818</v>
      </c>
      <c r="N365" s="9" t="s">
        <v>1819</v>
      </c>
      <c r="O365" s="9" t="s">
        <v>66</v>
      </c>
      <c r="P365" s="9" t="s">
        <v>67</v>
      </c>
      <c r="Q365" s="9" t="s">
        <v>1775</v>
      </c>
      <c r="R365" s="9" t="s">
        <v>69</v>
      </c>
      <c r="S365" s="11" t="s">
        <v>70</v>
      </c>
      <c r="T365" s="9" t="s">
        <v>1775</v>
      </c>
      <c r="U365" s="11" t="s">
        <v>71</v>
      </c>
      <c r="V365" s="11" t="s">
        <v>72</v>
      </c>
      <c r="W365" s="11" t="s">
        <v>2237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74</v>
      </c>
    </row>
    <row r="366" customFormat="false" ht="15" hidden="false" customHeight="false" outlineLevel="0" collapsed="false">
      <c r="A366" s="9" t="s">
        <v>2238</v>
      </c>
      <c r="B366" s="9" t="s">
        <v>2239</v>
      </c>
      <c r="C366" s="9" t="s">
        <v>2159</v>
      </c>
      <c r="D366" s="9" t="s">
        <v>2240</v>
      </c>
      <c r="E366" s="10" t="n">
        <v>70</v>
      </c>
      <c r="F366" s="9"/>
      <c r="G366" s="10" t="n">
        <v>70</v>
      </c>
      <c r="H366" s="9" t="s">
        <v>466</v>
      </c>
      <c r="I366" s="9" t="s">
        <v>2174</v>
      </c>
      <c r="J366" s="9"/>
      <c r="K366" s="9"/>
      <c r="L366" s="9" t="s">
        <v>1824</v>
      </c>
      <c r="M366" s="9" t="s">
        <v>1825</v>
      </c>
      <c r="N366" s="9" t="s">
        <v>1021</v>
      </c>
      <c r="O366" s="9" t="s">
        <v>66</v>
      </c>
      <c r="P366" s="9" t="s">
        <v>67</v>
      </c>
      <c r="Q366" s="9" t="s">
        <v>1775</v>
      </c>
      <c r="R366" s="9" t="s">
        <v>69</v>
      </c>
      <c r="S366" s="11" t="s">
        <v>70</v>
      </c>
      <c r="T366" s="9" t="s">
        <v>1775</v>
      </c>
      <c r="U366" s="11" t="s">
        <v>71</v>
      </c>
      <c r="V366" s="11" t="s">
        <v>72</v>
      </c>
      <c r="W366" s="11" t="s">
        <v>2241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74</v>
      </c>
    </row>
    <row r="367" customFormat="false" ht="15" hidden="false" customHeight="false" outlineLevel="0" collapsed="false">
      <c r="A367" s="9" t="s">
        <v>2242</v>
      </c>
      <c r="B367" s="9" t="s">
        <v>2243</v>
      </c>
      <c r="C367" s="9" t="s">
        <v>2159</v>
      </c>
      <c r="D367" s="11" t="s">
        <v>2244</v>
      </c>
      <c r="E367" s="9"/>
      <c r="F367" s="10" t="n">
        <v>15.2</v>
      </c>
      <c r="G367" s="10" t="n">
        <v>38.9</v>
      </c>
      <c r="H367" s="9" t="s">
        <v>466</v>
      </c>
      <c r="I367" s="9" t="s">
        <v>2245</v>
      </c>
      <c r="J367" s="9"/>
      <c r="K367" s="9"/>
      <c r="L367" s="9" t="s">
        <v>2246</v>
      </c>
      <c r="M367" s="9" t="s">
        <v>2247</v>
      </c>
      <c r="N367" s="9" t="s">
        <v>2052</v>
      </c>
      <c r="O367" s="9" t="s">
        <v>66</v>
      </c>
      <c r="P367" s="9" t="s">
        <v>67</v>
      </c>
      <c r="Q367" s="9" t="s">
        <v>1775</v>
      </c>
      <c r="R367" s="9" t="s">
        <v>69</v>
      </c>
      <c r="S367" s="11" t="s">
        <v>70</v>
      </c>
      <c r="T367" s="9" t="s">
        <v>1775</v>
      </c>
      <c r="U367" s="11" t="s">
        <v>71</v>
      </c>
      <c r="V367" s="11" t="s">
        <v>72</v>
      </c>
      <c r="W367" s="9" t="s">
        <v>2248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74</v>
      </c>
    </row>
    <row r="368" customFormat="false" ht="15" hidden="false" customHeight="false" outlineLevel="0" collapsed="false">
      <c r="A368" s="9" t="s">
        <v>2249</v>
      </c>
      <c r="B368" s="9" t="s">
        <v>2250</v>
      </c>
      <c r="C368" s="9" t="s">
        <v>2159</v>
      </c>
      <c r="D368" s="9" t="s">
        <v>2251</v>
      </c>
      <c r="E368" s="9"/>
      <c r="F368" s="10" t="n">
        <v>20</v>
      </c>
      <c r="G368" s="10" t="n">
        <v>26</v>
      </c>
      <c r="H368" s="9" t="s">
        <v>60</v>
      </c>
      <c r="I368" s="9" t="s">
        <v>1231</v>
      </c>
      <c r="J368" s="9"/>
      <c r="K368" s="9"/>
      <c r="L368" s="9" t="s">
        <v>1824</v>
      </c>
      <c r="M368" s="9" t="s">
        <v>1825</v>
      </c>
      <c r="N368" s="9" t="s">
        <v>1021</v>
      </c>
      <c r="O368" s="9" t="s">
        <v>66</v>
      </c>
      <c r="P368" s="9" t="s">
        <v>67</v>
      </c>
      <c r="Q368" s="9" t="s">
        <v>1775</v>
      </c>
      <c r="R368" s="9" t="s">
        <v>69</v>
      </c>
      <c r="S368" s="11" t="s">
        <v>70</v>
      </c>
      <c r="T368" s="9" t="s">
        <v>1775</v>
      </c>
      <c r="U368" s="11" t="s">
        <v>71</v>
      </c>
      <c r="V368" s="11" t="s">
        <v>72</v>
      </c>
      <c r="W368" s="11" t="s">
        <v>2252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74</v>
      </c>
    </row>
    <row r="369" customFormat="false" ht="15" hidden="false" customHeight="false" outlineLevel="0" collapsed="false">
      <c r="A369" s="9" t="s">
        <v>2253</v>
      </c>
      <c r="B369" s="9" t="s">
        <v>2254</v>
      </c>
      <c r="C369" s="9" t="s">
        <v>2159</v>
      </c>
      <c r="D369" s="9" t="s">
        <v>2255</v>
      </c>
      <c r="E369" s="10" t="n">
        <v>17</v>
      </c>
      <c r="F369" s="9"/>
      <c r="G369" s="9"/>
      <c r="H369" s="9" t="s">
        <v>466</v>
      </c>
      <c r="I369" s="9" t="s">
        <v>2174</v>
      </c>
      <c r="J369" s="9"/>
      <c r="K369" s="9"/>
      <c r="L369" s="9" t="s">
        <v>1824</v>
      </c>
      <c r="M369" s="9" t="s">
        <v>1825</v>
      </c>
      <c r="N369" s="9" t="s">
        <v>1021</v>
      </c>
      <c r="O369" s="9" t="s">
        <v>66</v>
      </c>
      <c r="P369" s="9" t="s">
        <v>67</v>
      </c>
      <c r="Q369" s="9" t="s">
        <v>1775</v>
      </c>
      <c r="R369" s="9" t="s">
        <v>69</v>
      </c>
      <c r="S369" s="11" t="s">
        <v>70</v>
      </c>
      <c r="T369" s="9" t="s">
        <v>1775</v>
      </c>
      <c r="U369" s="11" t="s">
        <v>71</v>
      </c>
      <c r="V369" s="11" t="s">
        <v>72</v>
      </c>
      <c r="W369" s="11" t="s">
        <v>2256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74</v>
      </c>
    </row>
    <row r="370" customFormat="false" ht="15" hidden="false" customHeight="false" outlineLevel="0" collapsed="false">
      <c r="A370" s="9" t="s">
        <v>2257</v>
      </c>
      <c r="B370" s="9" t="s">
        <v>2258</v>
      </c>
      <c r="C370" s="9" t="s">
        <v>2159</v>
      </c>
      <c r="D370" s="11" t="s">
        <v>2259</v>
      </c>
      <c r="E370" s="10" t="n">
        <v>2028</v>
      </c>
      <c r="F370" s="9"/>
      <c r="G370" s="9"/>
      <c r="H370" s="11" t="s">
        <v>2173</v>
      </c>
      <c r="I370" s="9" t="s">
        <v>2174</v>
      </c>
      <c r="J370" s="9"/>
      <c r="K370" s="9"/>
      <c r="L370" s="9" t="s">
        <v>1824</v>
      </c>
      <c r="M370" s="9" t="s">
        <v>1825</v>
      </c>
      <c r="N370" s="9" t="s">
        <v>1021</v>
      </c>
      <c r="O370" s="9" t="s">
        <v>66</v>
      </c>
      <c r="P370" s="9" t="s">
        <v>67</v>
      </c>
      <c r="Q370" s="9" t="s">
        <v>1775</v>
      </c>
      <c r="R370" s="9" t="s">
        <v>69</v>
      </c>
      <c r="S370" s="11" t="s">
        <v>70</v>
      </c>
      <c r="T370" s="9" t="s">
        <v>1775</v>
      </c>
      <c r="U370" s="11" t="s">
        <v>71</v>
      </c>
      <c r="V370" s="11" t="s">
        <v>72</v>
      </c>
      <c r="W370" s="11" t="s">
        <v>2260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74</v>
      </c>
    </row>
    <row r="371" customFormat="false" ht="15" hidden="false" customHeight="false" outlineLevel="0" collapsed="false">
      <c r="A371" s="9" t="s">
        <v>2261</v>
      </c>
      <c r="B371" s="9" t="s">
        <v>2262</v>
      </c>
      <c r="C371" s="9" t="s">
        <v>2159</v>
      </c>
      <c r="D371" s="11" t="s">
        <v>2263</v>
      </c>
      <c r="E371" s="10" t="n">
        <v>2028</v>
      </c>
      <c r="F371" s="9"/>
      <c r="G371" s="9"/>
      <c r="H371" s="11" t="s">
        <v>2173</v>
      </c>
      <c r="I371" s="9" t="s">
        <v>2174</v>
      </c>
      <c r="J371" s="9"/>
      <c r="K371" s="9"/>
      <c r="L371" s="9" t="s">
        <v>2197</v>
      </c>
      <c r="M371" s="9" t="s">
        <v>2198</v>
      </c>
      <c r="N371" s="9" t="s">
        <v>2199</v>
      </c>
      <c r="O371" s="9" t="s">
        <v>66</v>
      </c>
      <c r="P371" s="9" t="s">
        <v>67</v>
      </c>
      <c r="Q371" s="9" t="s">
        <v>1775</v>
      </c>
      <c r="R371" s="9" t="s">
        <v>69</v>
      </c>
      <c r="S371" s="11" t="s">
        <v>70</v>
      </c>
      <c r="T371" s="9" t="s">
        <v>1775</v>
      </c>
      <c r="U371" s="11" t="s">
        <v>71</v>
      </c>
      <c r="V371" s="11" t="s">
        <v>72</v>
      </c>
      <c r="W371" s="11" t="s">
        <v>2264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74</v>
      </c>
    </row>
    <row r="372" customFormat="false" ht="15" hidden="false" customHeight="false" outlineLevel="0" collapsed="false">
      <c r="A372" s="9" t="s">
        <v>2265</v>
      </c>
      <c r="B372" s="9" t="s">
        <v>2266</v>
      </c>
      <c r="C372" s="9" t="s">
        <v>2159</v>
      </c>
      <c r="D372" s="9" t="s">
        <v>2267</v>
      </c>
      <c r="E372" s="10" t="n">
        <v>18</v>
      </c>
      <c r="F372" s="9"/>
      <c r="G372" s="10" t="n">
        <v>18</v>
      </c>
      <c r="H372" s="9" t="s">
        <v>466</v>
      </c>
      <c r="I372" s="9" t="s">
        <v>2196</v>
      </c>
      <c r="J372" s="9"/>
      <c r="K372" s="9"/>
      <c r="L372" s="9" t="s">
        <v>2268</v>
      </c>
      <c r="M372" s="9" t="s">
        <v>2269</v>
      </c>
      <c r="N372" s="9" t="s">
        <v>1631</v>
      </c>
      <c r="O372" s="9" t="s">
        <v>66</v>
      </c>
      <c r="P372" s="9" t="s">
        <v>67</v>
      </c>
      <c r="Q372" s="9" t="s">
        <v>1775</v>
      </c>
      <c r="R372" s="9" t="s">
        <v>69</v>
      </c>
      <c r="S372" s="11" t="s">
        <v>70</v>
      </c>
      <c r="T372" s="9" t="s">
        <v>1775</v>
      </c>
      <c r="U372" s="11" t="s">
        <v>71</v>
      </c>
      <c r="V372" s="11" t="s">
        <v>72</v>
      </c>
      <c r="W372" s="11" t="s">
        <v>2270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74</v>
      </c>
    </row>
    <row r="373" customFormat="false" ht="15" hidden="false" customHeight="false" outlineLevel="0" collapsed="false">
      <c r="A373" s="9" t="s">
        <v>2271</v>
      </c>
      <c r="B373" s="9" t="s">
        <v>2272</v>
      </c>
      <c r="C373" s="9" t="s">
        <v>2159</v>
      </c>
      <c r="D373" s="9" t="s">
        <v>2273</v>
      </c>
      <c r="E373" s="10" t="n">
        <v>55</v>
      </c>
      <c r="F373" s="9"/>
      <c r="G373" s="9"/>
      <c r="H373" s="9" t="s">
        <v>466</v>
      </c>
      <c r="I373" s="9" t="s">
        <v>2204</v>
      </c>
      <c r="J373" s="9"/>
      <c r="K373" s="9"/>
      <c r="L373" s="9" t="s">
        <v>2274</v>
      </c>
      <c r="M373" s="9" t="s">
        <v>2269</v>
      </c>
      <c r="N373" s="9" t="s">
        <v>1631</v>
      </c>
      <c r="O373" s="9" t="s">
        <v>66</v>
      </c>
      <c r="P373" s="9" t="s">
        <v>67</v>
      </c>
      <c r="Q373" s="9" t="s">
        <v>1775</v>
      </c>
      <c r="R373" s="9" t="s">
        <v>69</v>
      </c>
      <c r="S373" s="11" t="s">
        <v>70</v>
      </c>
      <c r="T373" s="9" t="s">
        <v>1775</v>
      </c>
      <c r="U373" s="11" t="s">
        <v>71</v>
      </c>
      <c r="V373" s="11" t="s">
        <v>72</v>
      </c>
      <c r="W373" s="11" t="s">
        <v>2275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74</v>
      </c>
    </row>
    <row r="374" customFormat="false" ht="15" hidden="false" customHeight="false" outlineLevel="0" collapsed="false">
      <c r="A374" s="9" t="s">
        <v>2276</v>
      </c>
      <c r="B374" s="9" t="s">
        <v>2277</v>
      </c>
      <c r="C374" s="9" t="s">
        <v>2159</v>
      </c>
      <c r="D374" s="9" t="s">
        <v>2278</v>
      </c>
      <c r="E374" s="10" t="n">
        <v>148</v>
      </c>
      <c r="F374" s="9"/>
      <c r="G374" s="10" t="n">
        <v>148</v>
      </c>
      <c r="H374" s="9" t="s">
        <v>466</v>
      </c>
      <c r="I374" s="9" t="s">
        <v>2279</v>
      </c>
      <c r="J374" s="9"/>
      <c r="K374" s="9"/>
      <c r="L374" s="9" t="s">
        <v>2214</v>
      </c>
      <c r="M374" s="9" t="s">
        <v>1616</v>
      </c>
      <c r="N374" s="9" t="s">
        <v>1617</v>
      </c>
      <c r="O374" s="9" t="s">
        <v>66</v>
      </c>
      <c r="P374" s="9" t="s">
        <v>67</v>
      </c>
      <c r="Q374" s="9" t="s">
        <v>1775</v>
      </c>
      <c r="R374" s="9" t="s">
        <v>69</v>
      </c>
      <c r="S374" s="11" t="s">
        <v>70</v>
      </c>
      <c r="T374" s="9" t="s">
        <v>1775</v>
      </c>
      <c r="U374" s="11" t="s">
        <v>71</v>
      </c>
      <c r="V374" s="11" t="s">
        <v>72</v>
      </c>
      <c r="W374" s="11" t="s">
        <v>2280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74</v>
      </c>
    </row>
    <row r="375" customFormat="false" ht="15" hidden="false" customHeight="false" outlineLevel="0" collapsed="false">
      <c r="A375" s="9" t="s">
        <v>2281</v>
      </c>
      <c r="B375" s="9" t="s">
        <v>2282</v>
      </c>
      <c r="C375" s="9" t="s">
        <v>2159</v>
      </c>
      <c r="D375" s="11" t="s">
        <v>2283</v>
      </c>
      <c r="E375" s="10" t="n">
        <v>2028</v>
      </c>
      <c r="F375" s="9"/>
      <c r="G375" s="9"/>
      <c r="H375" s="11" t="s">
        <v>2173</v>
      </c>
      <c r="I375" s="9" t="s">
        <v>2174</v>
      </c>
      <c r="J375" s="9"/>
      <c r="K375" s="9"/>
      <c r="L375" s="9" t="s">
        <v>2274</v>
      </c>
      <c r="M375" s="9" t="s">
        <v>2269</v>
      </c>
      <c r="N375" s="9" t="s">
        <v>1631</v>
      </c>
      <c r="O375" s="9" t="s">
        <v>66</v>
      </c>
      <c r="P375" s="9" t="s">
        <v>67</v>
      </c>
      <c r="Q375" s="9" t="s">
        <v>1775</v>
      </c>
      <c r="R375" s="9" t="s">
        <v>69</v>
      </c>
      <c r="S375" s="11" t="s">
        <v>70</v>
      </c>
      <c r="T375" s="9" t="s">
        <v>1775</v>
      </c>
      <c r="U375" s="11" t="s">
        <v>71</v>
      </c>
      <c r="V375" s="11" t="s">
        <v>72</v>
      </c>
      <c r="W375" s="11" t="s">
        <v>2284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74</v>
      </c>
    </row>
    <row r="376" customFormat="false" ht="15" hidden="false" customHeight="false" outlineLevel="0" collapsed="false">
      <c r="A376" s="9" t="s">
        <v>2285</v>
      </c>
      <c r="B376" s="9" t="s">
        <v>2286</v>
      </c>
      <c r="C376" s="9" t="s">
        <v>2159</v>
      </c>
      <c r="D376" s="11" t="s">
        <v>2287</v>
      </c>
      <c r="E376" s="10" t="n">
        <v>2028</v>
      </c>
      <c r="F376" s="9"/>
      <c r="G376" s="9"/>
      <c r="H376" s="11" t="s">
        <v>2173</v>
      </c>
      <c r="I376" s="9" t="s">
        <v>2174</v>
      </c>
      <c r="J376" s="9"/>
      <c r="K376" s="9"/>
      <c r="L376" s="9" t="s">
        <v>2288</v>
      </c>
      <c r="M376" s="9" t="s">
        <v>2289</v>
      </c>
      <c r="N376" s="9" t="s">
        <v>213</v>
      </c>
      <c r="O376" s="9" t="s">
        <v>66</v>
      </c>
      <c r="P376" s="9" t="s">
        <v>67</v>
      </c>
      <c r="Q376" s="9" t="s">
        <v>1775</v>
      </c>
      <c r="R376" s="9" t="s">
        <v>69</v>
      </c>
      <c r="S376" s="11" t="s">
        <v>70</v>
      </c>
      <c r="T376" s="9" t="s">
        <v>1775</v>
      </c>
      <c r="U376" s="11" t="s">
        <v>71</v>
      </c>
      <c r="V376" s="11" t="s">
        <v>72</v>
      </c>
      <c r="W376" s="11" t="s">
        <v>2290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74</v>
      </c>
    </row>
    <row r="377" customFormat="false" ht="15" hidden="false" customHeight="false" outlineLevel="0" collapsed="false">
      <c r="A377" s="9" t="s">
        <v>2291</v>
      </c>
      <c r="B377" s="9" t="s">
        <v>2292</v>
      </c>
      <c r="C377" s="9" t="s">
        <v>2159</v>
      </c>
      <c r="D377" s="9" t="s">
        <v>2293</v>
      </c>
      <c r="E377" s="9"/>
      <c r="F377" s="10" t="n">
        <v>100</v>
      </c>
      <c r="G377" s="10" t="n">
        <v>120</v>
      </c>
      <c r="H377" s="9" t="s">
        <v>60</v>
      </c>
      <c r="I377" s="9" t="s">
        <v>1231</v>
      </c>
      <c r="J377" s="9"/>
      <c r="K377" s="9"/>
      <c r="L377" s="9" t="s">
        <v>2294</v>
      </c>
      <c r="M377" s="9" t="s">
        <v>226</v>
      </c>
      <c r="N377" s="9" t="s">
        <v>99</v>
      </c>
      <c r="O377" s="9" t="s">
        <v>66</v>
      </c>
      <c r="P377" s="9" t="s">
        <v>67</v>
      </c>
      <c r="Q377" s="11" t="s">
        <v>2295</v>
      </c>
      <c r="R377" s="9" t="s">
        <v>69</v>
      </c>
      <c r="S377" s="11" t="s">
        <v>70</v>
      </c>
      <c r="T377" s="11" t="s">
        <v>2295</v>
      </c>
      <c r="U377" s="11" t="s">
        <v>71</v>
      </c>
      <c r="V377" s="11" t="s">
        <v>72</v>
      </c>
      <c r="W377" s="11" t="s">
        <v>2296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74</v>
      </c>
    </row>
    <row r="378" customFormat="false" ht="15" hidden="false" customHeight="false" outlineLevel="0" collapsed="false">
      <c r="A378" s="9" t="s">
        <v>2297</v>
      </c>
      <c r="B378" s="9" t="s">
        <v>2298</v>
      </c>
      <c r="C378" s="9" t="s">
        <v>2159</v>
      </c>
      <c r="D378" s="11" t="s">
        <v>2299</v>
      </c>
      <c r="E378" s="10" t="n">
        <v>30000</v>
      </c>
      <c r="F378" s="10" t="n">
        <v>30000</v>
      </c>
      <c r="G378" s="9"/>
      <c r="H378" s="9" t="s">
        <v>466</v>
      </c>
      <c r="I378" s="9" t="s">
        <v>449</v>
      </c>
      <c r="J378" s="9"/>
      <c r="K378" s="9"/>
      <c r="L378" s="9" t="s">
        <v>2175</v>
      </c>
      <c r="M378" s="9" t="s">
        <v>2300</v>
      </c>
      <c r="N378" s="9" t="s">
        <v>2301</v>
      </c>
      <c r="O378" s="9" t="s">
        <v>66</v>
      </c>
      <c r="P378" s="9" t="s">
        <v>67</v>
      </c>
      <c r="Q378" s="9" t="s">
        <v>2302</v>
      </c>
      <c r="R378" s="9" t="s">
        <v>69</v>
      </c>
      <c r="S378" s="11" t="s">
        <v>70</v>
      </c>
      <c r="T378" s="9" t="s">
        <v>2302</v>
      </c>
      <c r="U378" s="11" t="s">
        <v>71</v>
      </c>
      <c r="V378" s="11" t="s">
        <v>72</v>
      </c>
      <c r="W378" s="11" t="s">
        <v>2303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74</v>
      </c>
    </row>
    <row r="379" customFormat="false" ht="15" hidden="false" customHeight="false" outlineLevel="0" collapsed="false">
      <c r="A379" s="9" t="s">
        <v>2304</v>
      </c>
      <c r="B379" s="9" t="s">
        <v>2305</v>
      </c>
      <c r="C379" s="9" t="s">
        <v>2159</v>
      </c>
      <c r="D379" s="9" t="s">
        <v>2306</v>
      </c>
      <c r="E379" s="10" t="n">
        <v>0.5</v>
      </c>
      <c r="F379" s="9"/>
      <c r="G379" s="9"/>
      <c r="H379" s="11" t="s">
        <v>253</v>
      </c>
      <c r="I379" s="9" t="s">
        <v>1732</v>
      </c>
      <c r="J379" s="9"/>
      <c r="K379" s="9"/>
      <c r="L379" s="9" t="s">
        <v>1824</v>
      </c>
      <c r="M379" s="9" t="s">
        <v>1825</v>
      </c>
      <c r="N379" s="9" t="s">
        <v>1021</v>
      </c>
      <c r="O379" s="9" t="s">
        <v>66</v>
      </c>
      <c r="P379" s="9" t="s">
        <v>67</v>
      </c>
      <c r="Q379" s="9" t="s">
        <v>1775</v>
      </c>
      <c r="R379" s="9" t="s">
        <v>69</v>
      </c>
      <c r="S379" s="11" t="s">
        <v>70</v>
      </c>
      <c r="T379" s="9" t="s">
        <v>1775</v>
      </c>
      <c r="U379" s="11" t="s">
        <v>71</v>
      </c>
      <c r="V379" s="11" t="s">
        <v>72</v>
      </c>
      <c r="W379" s="11" t="s">
        <v>2307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74</v>
      </c>
    </row>
    <row r="380" customFormat="false" ht="15" hidden="false" customHeight="false" outlineLevel="0" collapsed="false">
      <c r="A380" s="9" t="s">
        <v>2308</v>
      </c>
      <c r="B380" s="9" t="s">
        <v>2309</v>
      </c>
      <c r="C380" s="9" t="s">
        <v>2159</v>
      </c>
      <c r="D380" s="9" t="s">
        <v>2310</v>
      </c>
      <c r="E380" s="10" t="n">
        <v>0.77</v>
      </c>
      <c r="F380" s="9"/>
      <c r="G380" s="9"/>
      <c r="H380" s="11" t="s">
        <v>253</v>
      </c>
      <c r="I380" s="9" t="s">
        <v>2174</v>
      </c>
      <c r="J380" s="9"/>
      <c r="K380" s="9"/>
      <c r="L380" s="9" t="s">
        <v>1824</v>
      </c>
      <c r="M380" s="9" t="s">
        <v>1825</v>
      </c>
      <c r="N380" s="9" t="s">
        <v>1021</v>
      </c>
      <c r="O380" s="9" t="s">
        <v>66</v>
      </c>
      <c r="P380" s="9" t="s">
        <v>67</v>
      </c>
      <c r="Q380" s="9" t="s">
        <v>1775</v>
      </c>
      <c r="R380" s="9" t="s">
        <v>69</v>
      </c>
      <c r="S380" s="11" t="s">
        <v>70</v>
      </c>
      <c r="T380" s="9" t="s">
        <v>1775</v>
      </c>
      <c r="U380" s="11" t="s">
        <v>71</v>
      </c>
      <c r="V380" s="11" t="s">
        <v>72</v>
      </c>
      <c r="W380" s="11" t="s">
        <v>2311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74</v>
      </c>
    </row>
    <row r="381" customFormat="false" ht="15" hidden="false" customHeight="false" outlineLevel="0" collapsed="false">
      <c r="A381" s="9" t="s">
        <v>2312</v>
      </c>
      <c r="B381" s="9" t="s">
        <v>2313</v>
      </c>
      <c r="C381" s="9" t="s">
        <v>58</v>
      </c>
      <c r="D381" s="9" t="s">
        <v>2314</v>
      </c>
      <c r="E381" s="10" t="n">
        <v>10.88</v>
      </c>
      <c r="F381" s="9"/>
      <c r="G381" s="9"/>
      <c r="H381" s="11" t="s">
        <v>2315</v>
      </c>
      <c r="I381" s="9" t="s">
        <v>61</v>
      </c>
      <c r="J381" s="9"/>
      <c r="K381" s="11" t="s">
        <v>62</v>
      </c>
      <c r="L381" s="9" t="s">
        <v>63</v>
      </c>
      <c r="M381" s="9" t="s">
        <v>64</v>
      </c>
      <c r="N381" s="9" t="s">
        <v>65</v>
      </c>
      <c r="O381" s="9" t="s">
        <v>66</v>
      </c>
      <c r="P381" s="9" t="s">
        <v>67</v>
      </c>
      <c r="Q381" s="9" t="s">
        <v>68</v>
      </c>
      <c r="R381" s="9" t="s">
        <v>69</v>
      </c>
      <c r="S381" s="11" t="s">
        <v>70</v>
      </c>
      <c r="T381" s="9" t="s">
        <v>68</v>
      </c>
      <c r="U381" s="11" t="s">
        <v>71</v>
      </c>
      <c r="V381" s="11" t="s">
        <v>72</v>
      </c>
      <c r="W381" s="9" t="s">
        <v>2316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74</v>
      </c>
    </row>
    <row r="382" customFormat="false" ht="15" hidden="false" customHeight="false" outlineLevel="0" collapsed="false">
      <c r="A382" s="9" t="s">
        <v>2317</v>
      </c>
      <c r="B382" s="9" t="s">
        <v>2318</v>
      </c>
      <c r="C382" s="9" t="s">
        <v>1730</v>
      </c>
      <c r="D382" s="11" t="s">
        <v>2319</v>
      </c>
      <c r="E382" s="10" t="n">
        <v>0.1</v>
      </c>
      <c r="F382" s="9"/>
      <c r="G382" s="9"/>
      <c r="H382" s="11" t="s">
        <v>253</v>
      </c>
      <c r="I382" s="9" t="s">
        <v>96</v>
      </c>
      <c r="J382" s="9"/>
      <c r="K382" s="9"/>
      <c r="L382" s="9" t="s">
        <v>1855</v>
      </c>
      <c r="M382" s="9" t="s">
        <v>1856</v>
      </c>
      <c r="N382" s="9" t="s">
        <v>864</v>
      </c>
      <c r="O382" s="9" t="s">
        <v>66</v>
      </c>
      <c r="P382" s="9" t="s">
        <v>67</v>
      </c>
      <c r="Q382" s="9" t="s">
        <v>1857</v>
      </c>
      <c r="R382" s="11" t="s">
        <v>87</v>
      </c>
      <c r="S382" s="11" t="s">
        <v>70</v>
      </c>
      <c r="T382" s="9" t="s">
        <v>1857</v>
      </c>
      <c r="U382" s="11" t="s">
        <v>87</v>
      </c>
      <c r="V382" s="11" t="s">
        <v>72</v>
      </c>
      <c r="W382" s="9" t="s">
        <v>2320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74</v>
      </c>
    </row>
    <row r="383" customFormat="false" ht="15" hidden="false" customHeight="false" outlineLevel="0" collapsed="false">
      <c r="A383" s="9" t="s">
        <v>2321</v>
      </c>
      <c r="B383" s="9" t="s">
        <v>2322</v>
      </c>
      <c r="C383" s="9" t="s">
        <v>1079</v>
      </c>
      <c r="D383" s="9" t="s">
        <v>2323</v>
      </c>
      <c r="E383" s="10" t="n">
        <v>2</v>
      </c>
      <c r="F383" s="9"/>
      <c r="G383" s="9"/>
      <c r="H383" s="11" t="s">
        <v>731</v>
      </c>
      <c r="I383" s="9" t="s">
        <v>1677</v>
      </c>
      <c r="J383" s="9"/>
      <c r="K383" s="11" t="s">
        <v>130</v>
      </c>
      <c r="L383" s="9" t="s">
        <v>1687</v>
      </c>
      <c r="M383" s="9" t="s">
        <v>1688</v>
      </c>
      <c r="N383" s="9" t="s">
        <v>1680</v>
      </c>
      <c r="O383" s="9" t="s">
        <v>66</v>
      </c>
      <c r="P383" s="9" t="s">
        <v>67</v>
      </c>
      <c r="Q383" s="9" t="s">
        <v>1689</v>
      </c>
      <c r="R383" s="9" t="s">
        <v>69</v>
      </c>
      <c r="S383" s="11" t="s">
        <v>70</v>
      </c>
      <c r="T383" s="9" t="s">
        <v>1689</v>
      </c>
      <c r="U383" s="11" t="s">
        <v>71</v>
      </c>
      <c r="V383" s="11" t="s">
        <v>72</v>
      </c>
      <c r="W383" s="9" t="s">
        <v>2324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2325</v>
      </c>
    </row>
    <row r="2" customFormat="false" ht="15" hidden="false" customHeight="false" outlineLevel="0" collapsed="false">
      <c r="A2" s="2" t="s">
        <v>2326</v>
      </c>
    </row>
    <row r="3" customFormat="false" ht="15" hidden="false" customHeight="false" outlineLevel="0" collapsed="false">
      <c r="A3" s="5" t="s">
        <v>2327</v>
      </c>
      <c r="B3" s="9" t="s">
        <v>2328</v>
      </c>
    </row>
    <row r="4" customFormat="false" ht="15" hidden="false" customHeight="false" outlineLevel="0" collapsed="false">
      <c r="A4" s="5" t="s">
        <v>2329</v>
      </c>
      <c r="B4" s="9" t="s">
        <v>2330</v>
      </c>
    </row>
    <row r="5" customFormat="false" ht="15" hidden="false" customHeight="false" outlineLevel="0" collapsed="false">
      <c r="A5" s="5" t="s">
        <v>2331</v>
      </c>
      <c r="B5" s="9" t="s">
        <v>2332</v>
      </c>
    </row>
    <row r="6" customFormat="false" ht="15" hidden="false" customHeight="false" outlineLevel="0" collapsed="false">
      <c r="A6" s="3" t="s">
        <v>2333</v>
      </c>
      <c r="B6" s="9" t="s">
        <v>66</v>
      </c>
    </row>
    <row r="7" customFormat="false" ht="15" hidden="false" customHeight="false" outlineLevel="0" collapsed="false">
      <c r="I7" s="3" t="s">
        <v>2334</v>
      </c>
      <c r="J7" s="9" t="s">
        <v>2335</v>
      </c>
      <c r="K7" s="9" t="s">
        <v>2335</v>
      </c>
      <c r="L7" s="9" t="s">
        <v>2335</v>
      </c>
      <c r="M7" s="9" t="s">
        <v>2336</v>
      </c>
      <c r="N7" s="9" t="s">
        <v>2336</v>
      </c>
      <c r="O7" s="9" t="s">
        <v>2336</v>
      </c>
      <c r="P7" s="9" t="s">
        <v>2337</v>
      </c>
      <c r="Q7" s="9" t="s">
        <v>2337</v>
      </c>
      <c r="R7" s="9" t="s">
        <v>2337</v>
      </c>
      <c r="S7" s="9" t="s">
        <v>2338</v>
      </c>
      <c r="T7" s="9" t="s">
        <v>2338</v>
      </c>
      <c r="U7" s="9" t="s">
        <v>2338</v>
      </c>
      <c r="V7" s="9" t="s">
        <v>2339</v>
      </c>
      <c r="W7" s="9" t="s">
        <v>2339</v>
      </c>
      <c r="X7" s="9" t="s">
        <v>2339</v>
      </c>
    </row>
    <row r="8" customFormat="false" ht="15" hidden="false" customHeight="false" outlineLevel="0" collapsed="false">
      <c r="I8" s="3" t="s">
        <v>2340</v>
      </c>
      <c r="J8" s="11" t="s">
        <v>2341</v>
      </c>
      <c r="K8" s="11" t="s">
        <v>2342</v>
      </c>
      <c r="L8" s="11" t="s">
        <v>2343</v>
      </c>
      <c r="M8" s="11" t="s">
        <v>2341</v>
      </c>
      <c r="N8" s="11" t="s">
        <v>2342</v>
      </c>
      <c r="O8" s="11" t="s">
        <v>2343</v>
      </c>
      <c r="P8" s="11" t="s">
        <v>2341</v>
      </c>
      <c r="Q8" s="11" t="s">
        <v>2342</v>
      </c>
      <c r="R8" s="11" t="s">
        <v>2343</v>
      </c>
      <c r="S8" s="11" t="s">
        <v>2341</v>
      </c>
      <c r="T8" s="11" t="s">
        <v>2342</v>
      </c>
      <c r="U8" s="11" t="s">
        <v>2343</v>
      </c>
      <c r="V8" s="11" t="s">
        <v>2341</v>
      </c>
      <c r="W8" s="11" t="s">
        <v>2342</v>
      </c>
      <c r="X8" s="11" t="s">
        <v>2343</v>
      </c>
    </row>
    <row r="9" customFormat="false" ht="26.85" hidden="false" customHeight="false" outlineLevel="0" collapsed="false">
      <c r="A9" s="7" t="s">
        <v>2344</v>
      </c>
      <c r="B9" s="8" t="s">
        <v>2345</v>
      </c>
      <c r="C9" s="8" t="s">
        <v>2346</v>
      </c>
      <c r="D9" s="8" t="s">
        <v>36</v>
      </c>
      <c r="E9" s="8" t="s">
        <v>2347</v>
      </c>
      <c r="F9" s="8" t="s">
        <v>2348</v>
      </c>
      <c r="G9" s="7" t="s">
        <v>2329</v>
      </c>
      <c r="H9" s="8" t="s">
        <v>2349</v>
      </c>
      <c r="I9" s="8" t="s">
        <v>2333</v>
      </c>
      <c r="J9" s="8" t="s">
        <v>2350</v>
      </c>
      <c r="K9" s="8" t="s">
        <v>2351</v>
      </c>
      <c r="L9" s="8" t="s">
        <v>2352</v>
      </c>
      <c r="M9" s="8" t="s">
        <v>2353</v>
      </c>
      <c r="N9" s="8" t="s">
        <v>2354</v>
      </c>
      <c r="O9" s="8" t="s">
        <v>2355</v>
      </c>
      <c r="P9" s="8" t="s">
        <v>2356</v>
      </c>
      <c r="Q9" s="8" t="s">
        <v>2357</v>
      </c>
      <c r="R9" s="8" t="s">
        <v>2358</v>
      </c>
      <c r="S9" s="8" t="s">
        <v>2359</v>
      </c>
      <c r="T9" s="8" t="s">
        <v>2360</v>
      </c>
      <c r="U9" s="8" t="s">
        <v>2361</v>
      </c>
      <c r="V9" s="8" t="s">
        <v>2362</v>
      </c>
      <c r="W9" s="8" t="s">
        <v>2363</v>
      </c>
      <c r="X9" s="8" t="s">
        <v>2364</v>
      </c>
    </row>
    <row r="10" customFormat="false" ht="15" hidden="false" customHeight="false" outlineLevel="0" collapsed="false">
      <c r="A10" s="9" t="s">
        <v>2365</v>
      </c>
      <c r="B10" s="9" t="s">
        <v>2366</v>
      </c>
      <c r="C10" s="11" t="s">
        <v>2367</v>
      </c>
      <c r="D10" s="9" t="s">
        <v>2368</v>
      </c>
      <c r="E10" s="9" t="n">
        <v>15</v>
      </c>
      <c r="F10" s="9" t="s">
        <v>2369</v>
      </c>
      <c r="G10" s="9" t="s">
        <v>2330</v>
      </c>
      <c r="H10" s="9" t="s">
        <v>2370</v>
      </c>
      <c r="I10" s="9" t="s">
        <v>66</v>
      </c>
      <c r="J10" s="10" t="n">
        <v>3876518295.93805</v>
      </c>
      <c r="K10" s="10" t="n">
        <v>3876518295.93805</v>
      </c>
      <c r="L10" s="10" t="n">
        <v>3876518295.93805</v>
      </c>
      <c r="M10" s="10" t="n">
        <v>20041838664.2467</v>
      </c>
      <c r="N10" s="10" t="n">
        <v>20041838664.2467</v>
      </c>
      <c r="O10" s="10" t="n">
        <v>20041838664.2467</v>
      </c>
      <c r="P10" s="10" t="n">
        <v>24234237528.7831</v>
      </c>
      <c r="Q10" s="10" t="n">
        <v>24234237528.7831</v>
      </c>
      <c r="R10" s="10" t="n">
        <v>24234237528.7831</v>
      </c>
      <c r="S10" s="10" t="n">
        <v>51167890551.5595</v>
      </c>
      <c r="T10" s="10" t="n">
        <v>51167890551.5595</v>
      </c>
      <c r="U10" s="10" t="n">
        <v>51167890551.5595</v>
      </c>
      <c r="V10" s="10" t="n">
        <v>74400955991.7707</v>
      </c>
      <c r="W10" s="10" t="n">
        <v>74400955991.7707</v>
      </c>
      <c r="X10" s="10" t="n">
        <v>74400955991.7707</v>
      </c>
    </row>
    <row r="11" customFormat="false" ht="15" hidden="false" customHeight="false" outlineLevel="0" collapsed="false">
      <c r="A11" s="9" t="s">
        <v>2371</v>
      </c>
      <c r="B11" s="9" t="s">
        <v>2372</v>
      </c>
      <c r="C11" s="11" t="s">
        <v>2367</v>
      </c>
      <c r="D11" s="9" t="s">
        <v>2368</v>
      </c>
      <c r="E11" s="9" t="n">
        <v>15</v>
      </c>
      <c r="F11" s="9" t="s">
        <v>2369</v>
      </c>
      <c r="G11" s="9" t="s">
        <v>2330</v>
      </c>
      <c r="H11" s="9" t="s">
        <v>2370</v>
      </c>
      <c r="I11" s="9" t="s">
        <v>66</v>
      </c>
      <c r="J11" s="10" t="n">
        <v>74067251304.9223</v>
      </c>
      <c r="K11" s="10" t="n">
        <v>74067251304.9223</v>
      </c>
      <c r="L11" s="10" t="n">
        <v>74067251304.9223</v>
      </c>
      <c r="M11" s="10" t="n">
        <v>362306894085.614</v>
      </c>
      <c r="N11" s="10" t="n">
        <v>362306894085.614</v>
      </c>
      <c r="O11" s="10" t="n">
        <v>362306894085.614</v>
      </c>
      <c r="P11" s="10" t="n">
        <v>527473919843.971</v>
      </c>
      <c r="Q11" s="10" t="n">
        <v>527473919843.971</v>
      </c>
      <c r="R11" s="10" t="n">
        <v>527473919843.971</v>
      </c>
      <c r="S11" s="10" t="n">
        <v>772778400993.445</v>
      </c>
      <c r="T11" s="10" t="n">
        <v>772778400993.445</v>
      </c>
      <c r="U11" s="10" t="n">
        <v>772778400993.445</v>
      </c>
      <c r="V11" s="10" t="n">
        <v>1044373713057.39</v>
      </c>
      <c r="W11" s="10" t="n">
        <v>1044373713057.39</v>
      </c>
      <c r="X11" s="10" t="n">
        <v>1044373713057.39</v>
      </c>
    </row>
    <row r="12" customFormat="false" ht="15" hidden="false" customHeight="false" outlineLevel="0" collapsed="false">
      <c r="A12" s="9" t="s">
        <v>2373</v>
      </c>
      <c r="B12" s="9" t="s">
        <v>2374</v>
      </c>
      <c r="C12" s="11" t="s">
        <v>2367</v>
      </c>
      <c r="D12" s="9" t="s">
        <v>2368</v>
      </c>
      <c r="E12" s="9" t="n">
        <v>15</v>
      </c>
      <c r="F12" s="9" t="s">
        <v>2369</v>
      </c>
      <c r="G12" s="9" t="s">
        <v>2330</v>
      </c>
      <c r="H12" s="9" t="s">
        <v>2370</v>
      </c>
      <c r="I12" s="9" t="s">
        <v>66</v>
      </c>
      <c r="J12" s="10" t="n">
        <v>21490429685.4234</v>
      </c>
      <c r="K12" s="10" t="n">
        <v>21490429685.4234</v>
      </c>
      <c r="L12" s="10" t="n">
        <v>21490429685.4234</v>
      </c>
      <c r="M12" s="10" t="n">
        <v>104125401080.667</v>
      </c>
      <c r="N12" s="10" t="n">
        <v>104125401080.667</v>
      </c>
      <c r="O12" s="10" t="n">
        <v>104125401080.667</v>
      </c>
      <c r="P12" s="10" t="n">
        <v>151593674754.548</v>
      </c>
      <c r="Q12" s="10" t="n">
        <v>151593674754.548</v>
      </c>
      <c r="R12" s="10" t="n">
        <v>151593674754.548</v>
      </c>
      <c r="S12" s="10" t="n">
        <v>237287338734.99</v>
      </c>
      <c r="T12" s="10" t="n">
        <v>237287338734.99</v>
      </c>
      <c r="U12" s="10" t="n">
        <v>237287338734.99</v>
      </c>
      <c r="V12" s="10" t="n">
        <v>326185670522.351</v>
      </c>
      <c r="W12" s="10" t="n">
        <v>326185670522.351</v>
      </c>
      <c r="X12" s="10" t="n">
        <v>326185670522.351</v>
      </c>
    </row>
    <row r="13" customFormat="false" ht="15" hidden="false" customHeight="false" outlineLevel="0" collapsed="false">
      <c r="A13" s="9" t="s">
        <v>2375</v>
      </c>
      <c r="B13" s="9" t="s">
        <v>2376</v>
      </c>
      <c r="C13" s="11" t="s">
        <v>2377</v>
      </c>
      <c r="D13" s="9" t="s">
        <v>1942</v>
      </c>
      <c r="E13" s="9" t="n">
        <v>1</v>
      </c>
      <c r="F13" s="9" t="s">
        <v>2369</v>
      </c>
      <c r="G13" s="9" t="s">
        <v>2330</v>
      </c>
      <c r="H13" s="9" t="s">
        <v>2370</v>
      </c>
      <c r="I13" s="9" t="s">
        <v>66</v>
      </c>
      <c r="J13" s="10" t="n">
        <v>0.6</v>
      </c>
    </row>
    <row r="14" customFormat="false" ht="15" hidden="false" customHeight="false" outlineLevel="0" collapsed="false">
      <c r="A14" s="9" t="s">
        <v>2378</v>
      </c>
      <c r="B14" s="9" t="s">
        <v>2379</v>
      </c>
      <c r="C14" s="11" t="s">
        <v>2380</v>
      </c>
      <c r="D14" s="9" t="s">
        <v>60</v>
      </c>
      <c r="E14" s="9" t="n">
        <v>15</v>
      </c>
      <c r="F14" s="9" t="s">
        <v>2369</v>
      </c>
      <c r="G14" s="9" t="s">
        <v>2330</v>
      </c>
      <c r="H14" s="9" t="s">
        <v>2370</v>
      </c>
      <c r="I14" s="9" t="s">
        <v>66</v>
      </c>
      <c r="J14" s="10" t="n">
        <v>7.0000433103819</v>
      </c>
      <c r="K14" s="10" t="n">
        <v>10.0957952959174</v>
      </c>
      <c r="L14" s="10" t="n">
        <v>17.4059720636914</v>
      </c>
      <c r="M14" s="10" t="n">
        <v>6.81316695089878</v>
      </c>
      <c r="N14" s="10" t="n">
        <v>9.17098191725462</v>
      </c>
      <c r="O14" s="10" t="n">
        <v>14.9200285257983</v>
      </c>
      <c r="P14" s="10" t="n">
        <v>8.70747076237914</v>
      </c>
      <c r="Q14" s="10" t="n">
        <v>12.7247463559608</v>
      </c>
      <c r="R14" s="10" t="n">
        <v>23.87186935202</v>
      </c>
      <c r="S14" s="10" t="n">
        <v>9.83668060375303</v>
      </c>
      <c r="T14" s="10" t="n">
        <v>12.7620157762701</v>
      </c>
      <c r="U14" s="10" t="n">
        <v>20.6780894215396</v>
      </c>
      <c r="V14" s="10" t="n">
        <v>10.4522416094636</v>
      </c>
      <c r="W14" s="10" t="n">
        <v>16.0694566753819</v>
      </c>
      <c r="X14" s="10" t="n">
        <v>29.454615058956</v>
      </c>
    </row>
    <row r="15" customFormat="false" ht="15" hidden="false" customHeight="false" outlineLevel="0" collapsed="false">
      <c r="A15" s="9" t="s">
        <v>2381</v>
      </c>
      <c r="B15" s="9" t="s">
        <v>2382</v>
      </c>
      <c r="C15" s="11" t="s">
        <v>2383</v>
      </c>
      <c r="D15" s="9" t="s">
        <v>2384</v>
      </c>
      <c r="E15" s="9" t="n">
        <v>15</v>
      </c>
      <c r="F15" s="9" t="s">
        <v>2369</v>
      </c>
      <c r="G15" s="9" t="s">
        <v>2330</v>
      </c>
      <c r="H15" s="9" t="s">
        <v>2370</v>
      </c>
      <c r="I15" s="9" t="s">
        <v>66</v>
      </c>
      <c r="J15" s="10" t="n">
        <v>6.98232343835803</v>
      </c>
      <c r="K15" s="10" t="n">
        <v>10.0701401279639</v>
      </c>
      <c r="L15" s="10" t="n">
        <v>17.3615788262088</v>
      </c>
      <c r="M15" s="10" t="n">
        <v>0.929824661004986</v>
      </c>
      <c r="N15" s="10" t="n">
        <v>1.25152940803565</v>
      </c>
      <c r="O15" s="10" t="n">
        <v>2.03594023384679</v>
      </c>
      <c r="P15" s="10" t="n">
        <v>0.933052266852849</v>
      </c>
      <c r="Q15" s="10" t="n">
        <v>1.36342193413465</v>
      </c>
      <c r="R15" s="10" t="n">
        <v>2.55761025983181</v>
      </c>
      <c r="S15" s="10" t="n">
        <v>0.425384609769744</v>
      </c>
      <c r="T15" s="10" t="n">
        <v>0.551823554780618</v>
      </c>
      <c r="U15" s="10" t="n">
        <v>0.8939723826276</v>
      </c>
      <c r="V15" s="10" t="n">
        <v>0.278094026413058</v>
      </c>
      <c r="W15" s="10" t="n">
        <v>0.427426585241239</v>
      </c>
      <c r="X15" s="10" t="n">
        <v>0.783268390883916</v>
      </c>
    </row>
    <row r="16" customFormat="false" ht="15" hidden="false" customHeight="false" outlineLevel="0" collapsed="false">
      <c r="A16" s="9" t="s">
        <v>2385</v>
      </c>
      <c r="B16" s="9" t="s">
        <v>2386</v>
      </c>
      <c r="C16" s="11" t="s">
        <v>2383</v>
      </c>
      <c r="D16" s="9" t="s">
        <v>2384</v>
      </c>
      <c r="E16" s="9" t="n">
        <v>15</v>
      </c>
      <c r="F16" s="9" t="s">
        <v>2369</v>
      </c>
      <c r="G16" s="9" t="s">
        <v>2330</v>
      </c>
      <c r="H16" s="9" t="s">
        <v>2370</v>
      </c>
      <c r="I16" s="9" t="s">
        <v>66</v>
      </c>
      <c r="J16" s="10" t="n">
        <v>0.133329814173381</v>
      </c>
      <c r="K16" s="10" t="n">
        <v>0.192289806873558</v>
      </c>
      <c r="L16" s="10" t="n">
        <v>0.331515420191033</v>
      </c>
      <c r="M16" s="10" t="n">
        <v>0.0276536496722329</v>
      </c>
      <c r="N16" s="10" t="n">
        <v>0.0372199275435518</v>
      </c>
      <c r="O16" s="10" t="n">
        <v>0.0605453276013408</v>
      </c>
      <c r="P16" s="10" t="n">
        <v>0.0242079987569706</v>
      </c>
      <c r="Q16" s="10" t="n">
        <v>0.0353715947566594</v>
      </c>
      <c r="R16" s="10" t="n">
        <v>0.0663483039188753</v>
      </c>
      <c r="S16" s="10" t="n">
        <v>0.018368231651997</v>
      </c>
      <c r="T16" s="10" t="n">
        <v>0.0238275474334597</v>
      </c>
      <c r="U16" s="10" t="n">
        <v>0.0386006736669421</v>
      </c>
      <c r="V16" s="10" t="n">
        <v>0.014351217590964</v>
      </c>
      <c r="W16" s="10" t="n">
        <v>0.0220579881248366</v>
      </c>
      <c r="X16" s="10" t="n">
        <v>0.0404223097702075</v>
      </c>
    </row>
    <row r="17" customFormat="false" ht="15" hidden="false" customHeight="false" outlineLevel="0" collapsed="false">
      <c r="A17" s="9" t="s">
        <v>2387</v>
      </c>
      <c r="B17" s="9" t="s">
        <v>2388</v>
      </c>
      <c r="C17" s="11" t="s">
        <v>2383</v>
      </c>
      <c r="D17" s="9" t="s">
        <v>2384</v>
      </c>
      <c r="E17" s="9" t="n">
        <v>15</v>
      </c>
      <c r="F17" s="9" t="s">
        <v>2369</v>
      </c>
      <c r="G17" s="9" t="s">
        <v>2330</v>
      </c>
      <c r="H17" s="9" t="s">
        <v>2370</v>
      </c>
      <c r="I17" s="9" t="s">
        <v>66</v>
      </c>
      <c r="J17" s="10" t="n">
        <v>0.531910528331284</v>
      </c>
      <c r="K17" s="10" t="n">
        <v>0.767139858927169</v>
      </c>
      <c r="L17" s="10" t="n">
        <v>1.32260037244879</v>
      </c>
      <c r="M17" s="10" t="n">
        <v>0.103191989823563</v>
      </c>
      <c r="N17" s="10" t="n">
        <v>0.138898055360943</v>
      </c>
      <c r="O17" s="10" t="n">
        <v>0.22595994864402</v>
      </c>
      <c r="P17" s="10" t="n">
        <v>0.0903712380397286</v>
      </c>
      <c r="Q17" s="10" t="n">
        <v>0.132057790392487</v>
      </c>
      <c r="R17" s="10" t="n">
        <v>0.247729497631164</v>
      </c>
      <c r="S17" s="10" t="n">
        <v>0.0615718912295467</v>
      </c>
      <c r="T17" s="10" t="n">
        <v>0.0798782155803801</v>
      </c>
      <c r="U17" s="10" t="n">
        <v>0.129415859367946</v>
      </c>
      <c r="V17" s="10" t="n">
        <v>0.0464745260500349</v>
      </c>
      <c r="W17" s="10" t="n">
        <v>0.0714424801387287</v>
      </c>
      <c r="X17" s="10" t="n">
        <v>0.130938158347436</v>
      </c>
    </row>
    <row r="18" customFormat="false" ht="15" hidden="false" customHeight="false" outlineLevel="0" collapsed="false">
      <c r="A18" s="9" t="s">
        <v>2389</v>
      </c>
      <c r="B18" s="9" t="s">
        <v>2390</v>
      </c>
      <c r="C18" s="11" t="s">
        <v>2391</v>
      </c>
      <c r="D18" s="9" t="s">
        <v>2384</v>
      </c>
      <c r="E18" s="9" t="n">
        <v>1</v>
      </c>
      <c r="F18" s="9" t="s">
        <v>2369</v>
      </c>
      <c r="G18" s="9" t="s">
        <v>2330</v>
      </c>
      <c r="H18" s="9" t="s">
        <v>2370</v>
      </c>
      <c r="I18" s="9" t="s">
        <v>66</v>
      </c>
      <c r="J18" s="10" t="n">
        <v>0.8</v>
      </c>
    </row>
    <row r="19" customFormat="false" ht="15" hidden="false" customHeight="false" outlineLevel="0" collapsed="false">
      <c r="A19" s="9" t="s">
        <v>2392</v>
      </c>
      <c r="B19" s="9" t="s">
        <v>2393</v>
      </c>
      <c r="C19" s="11" t="s">
        <v>2391</v>
      </c>
      <c r="D19" s="9" t="s">
        <v>2384</v>
      </c>
      <c r="E19" s="9" t="n">
        <v>1</v>
      </c>
      <c r="F19" s="9" t="s">
        <v>2369</v>
      </c>
      <c r="G19" s="9" t="s">
        <v>2330</v>
      </c>
      <c r="H19" s="9" t="s">
        <v>2370</v>
      </c>
      <c r="I19" s="9" t="s">
        <v>66</v>
      </c>
      <c r="J19" s="10" t="n">
        <v>0.008</v>
      </c>
    </row>
    <row r="20" customFormat="false" ht="15" hidden="false" customHeight="false" outlineLevel="0" collapsed="false">
      <c r="A20" s="9" t="s">
        <v>2394</v>
      </c>
      <c r="B20" s="9" t="s">
        <v>2395</v>
      </c>
      <c r="C20" s="11" t="s">
        <v>2391</v>
      </c>
      <c r="D20" s="9" t="s">
        <v>2384</v>
      </c>
      <c r="E20" s="9" t="n">
        <v>1</v>
      </c>
      <c r="F20" s="9" t="s">
        <v>2369</v>
      </c>
      <c r="G20" s="9" t="s">
        <v>2330</v>
      </c>
      <c r="H20" s="9" t="s">
        <v>2370</v>
      </c>
      <c r="I20" s="9" t="s">
        <v>66</v>
      </c>
      <c r="J20" s="10" t="n">
        <v>0.16</v>
      </c>
    </row>
    <row r="21" customFormat="false" ht="15" hidden="false" customHeight="false" outlineLevel="0" collapsed="false">
      <c r="A21" s="9" t="s">
        <v>2396</v>
      </c>
      <c r="B21" s="9" t="s">
        <v>2397</v>
      </c>
      <c r="C21" s="11" t="s">
        <v>2398</v>
      </c>
      <c r="D21" s="9" t="s">
        <v>2384</v>
      </c>
      <c r="E21" s="9" t="n">
        <v>1</v>
      </c>
      <c r="F21" s="9" t="s">
        <v>2369</v>
      </c>
      <c r="G21" s="9" t="s">
        <v>2330</v>
      </c>
      <c r="H21" s="9" t="s">
        <v>2370</v>
      </c>
      <c r="I21" s="9" t="s">
        <v>66</v>
      </c>
      <c r="J21" s="10" t="n">
        <v>8</v>
      </c>
    </row>
    <row r="22" customFormat="false" ht="15" hidden="false" customHeight="false" outlineLevel="0" collapsed="false">
      <c r="A22" s="9" t="s">
        <v>2399</v>
      </c>
      <c r="B22" s="9" t="s">
        <v>2400</v>
      </c>
      <c r="C22" s="11" t="s">
        <v>2398</v>
      </c>
      <c r="D22" s="9" t="s">
        <v>2384</v>
      </c>
      <c r="E22" s="9" t="n">
        <v>1</v>
      </c>
      <c r="F22" s="9" t="s">
        <v>2369</v>
      </c>
      <c r="G22" s="9" t="s">
        <v>2330</v>
      </c>
      <c r="H22" s="9" t="s">
        <v>2370</v>
      </c>
      <c r="I22" s="9" t="s">
        <v>66</v>
      </c>
      <c r="J22" s="10" t="n">
        <v>0.08</v>
      </c>
    </row>
    <row r="23" customFormat="false" ht="15" hidden="false" customHeight="false" outlineLevel="0" collapsed="false">
      <c r="A23" s="9" t="s">
        <v>2401</v>
      </c>
      <c r="B23" s="9" t="s">
        <v>2402</v>
      </c>
      <c r="C23" s="11" t="s">
        <v>2398</v>
      </c>
      <c r="D23" s="9" t="s">
        <v>2384</v>
      </c>
      <c r="E23" s="9" t="n">
        <v>1</v>
      </c>
      <c r="F23" s="9" t="s">
        <v>2369</v>
      </c>
      <c r="G23" s="9" t="s">
        <v>2330</v>
      </c>
      <c r="H23" s="9" t="s">
        <v>2370</v>
      </c>
      <c r="I23" s="9" t="s">
        <v>66</v>
      </c>
      <c r="J23" s="10" t="n">
        <v>1.6</v>
      </c>
    </row>
    <row r="24" customFormat="false" ht="15" hidden="false" customHeight="false" outlineLevel="0" collapsed="false">
      <c r="A24" s="9" t="s">
        <v>2403</v>
      </c>
      <c r="B24" s="9" t="s">
        <v>2404</v>
      </c>
      <c r="C24" s="11" t="s">
        <v>2405</v>
      </c>
      <c r="D24" s="9" t="s">
        <v>2384</v>
      </c>
      <c r="E24" s="9" t="n">
        <v>1</v>
      </c>
      <c r="F24" s="9" t="s">
        <v>2369</v>
      </c>
      <c r="G24" s="9" t="s">
        <v>2330</v>
      </c>
      <c r="H24" s="9" t="s">
        <v>2370</v>
      </c>
      <c r="I24" s="9" t="s">
        <v>66</v>
      </c>
      <c r="J24" s="10" t="n">
        <v>40</v>
      </c>
    </row>
    <row r="25" customFormat="false" ht="15" hidden="false" customHeight="false" outlineLevel="0" collapsed="false">
      <c r="A25" s="9" t="s">
        <v>2406</v>
      </c>
      <c r="B25" s="9" t="s">
        <v>2407</v>
      </c>
      <c r="C25" s="11" t="s">
        <v>2405</v>
      </c>
      <c r="D25" s="9" t="s">
        <v>2384</v>
      </c>
      <c r="E25" s="9" t="n">
        <v>1</v>
      </c>
      <c r="F25" s="9" t="s">
        <v>2369</v>
      </c>
      <c r="G25" s="9" t="s">
        <v>2330</v>
      </c>
      <c r="H25" s="9" t="s">
        <v>2370</v>
      </c>
      <c r="I25" s="9" t="s">
        <v>66</v>
      </c>
      <c r="J25" s="10" t="n">
        <v>0.4</v>
      </c>
    </row>
    <row r="26" customFormat="false" ht="15" hidden="false" customHeight="false" outlineLevel="0" collapsed="false">
      <c r="A26" s="9" t="s">
        <v>2408</v>
      </c>
      <c r="B26" s="9" t="s">
        <v>2409</v>
      </c>
      <c r="C26" s="11" t="s">
        <v>2405</v>
      </c>
      <c r="D26" s="9" t="s">
        <v>2384</v>
      </c>
      <c r="E26" s="9" t="n">
        <v>1</v>
      </c>
      <c r="F26" s="9" t="s">
        <v>2369</v>
      </c>
      <c r="G26" s="9" t="s">
        <v>2330</v>
      </c>
      <c r="H26" s="9" t="s">
        <v>2370</v>
      </c>
      <c r="I26" s="9" t="s">
        <v>66</v>
      </c>
      <c r="J26" s="10" t="n">
        <v>8</v>
      </c>
    </row>
    <row r="27" customFormat="false" ht="15" hidden="false" customHeight="false" outlineLevel="0" collapsed="false">
      <c r="A27" s="9" t="s">
        <v>2410</v>
      </c>
      <c r="B27" s="9" t="s">
        <v>2411</v>
      </c>
      <c r="C27" s="11" t="s">
        <v>2412</v>
      </c>
      <c r="D27" s="9" t="s">
        <v>2384</v>
      </c>
      <c r="E27" s="9" t="n">
        <v>1</v>
      </c>
      <c r="F27" s="9" t="s">
        <v>2369</v>
      </c>
      <c r="G27" s="9" t="s">
        <v>2330</v>
      </c>
      <c r="H27" s="9" t="s">
        <v>2370</v>
      </c>
      <c r="I27" s="9" t="s">
        <v>66</v>
      </c>
      <c r="J27" s="10" t="n">
        <v>8.03555555555555</v>
      </c>
    </row>
    <row r="28" customFormat="false" ht="15" hidden="false" customHeight="false" outlineLevel="0" collapsed="false">
      <c r="A28" s="9" t="s">
        <v>2413</v>
      </c>
      <c r="B28" s="9" t="s">
        <v>2414</v>
      </c>
      <c r="C28" s="11" t="s">
        <v>2412</v>
      </c>
      <c r="D28" s="9" t="s">
        <v>2384</v>
      </c>
      <c r="E28" s="9" t="n">
        <v>1</v>
      </c>
      <c r="F28" s="9" t="s">
        <v>2369</v>
      </c>
      <c r="G28" s="9" t="s">
        <v>2330</v>
      </c>
      <c r="H28" s="9" t="s">
        <v>2370</v>
      </c>
      <c r="I28" s="9" t="s">
        <v>66</v>
      </c>
      <c r="J28" s="10" t="n">
        <v>0.0803555555555556</v>
      </c>
    </row>
    <row r="29" customFormat="false" ht="15" hidden="false" customHeight="false" outlineLevel="0" collapsed="false">
      <c r="A29" s="9" t="s">
        <v>2415</v>
      </c>
      <c r="B29" s="9" t="s">
        <v>2416</v>
      </c>
      <c r="C29" s="11" t="s">
        <v>2412</v>
      </c>
      <c r="D29" s="9" t="s">
        <v>2384</v>
      </c>
      <c r="E29" s="9" t="n">
        <v>1</v>
      </c>
      <c r="F29" s="9" t="s">
        <v>2369</v>
      </c>
      <c r="G29" s="9" t="s">
        <v>2330</v>
      </c>
      <c r="H29" s="9" t="s">
        <v>2370</v>
      </c>
      <c r="I29" s="9" t="s">
        <v>66</v>
      </c>
      <c r="J29" s="10" t="n">
        <v>1.60711111111111</v>
      </c>
    </row>
    <row r="30" customFormat="false" ht="15" hidden="false" customHeight="false" outlineLevel="0" collapsed="false">
      <c r="A30" s="9" t="s">
        <v>2417</v>
      </c>
      <c r="B30" s="9" t="s">
        <v>2418</v>
      </c>
      <c r="C30" s="11" t="s">
        <v>2419</v>
      </c>
      <c r="D30" s="9" t="s">
        <v>2384</v>
      </c>
      <c r="E30" s="9" t="n">
        <v>1</v>
      </c>
      <c r="F30" s="9" t="s">
        <v>2369</v>
      </c>
      <c r="G30" s="9" t="s">
        <v>2330</v>
      </c>
      <c r="H30" s="9" t="s">
        <v>2370</v>
      </c>
      <c r="I30" s="9" t="s">
        <v>66</v>
      </c>
      <c r="J30" s="10" t="n">
        <v>40</v>
      </c>
    </row>
    <row r="31" customFormat="false" ht="15" hidden="false" customHeight="false" outlineLevel="0" collapsed="false">
      <c r="A31" s="9" t="s">
        <v>2420</v>
      </c>
      <c r="B31" s="9" t="s">
        <v>2421</v>
      </c>
      <c r="C31" s="11" t="s">
        <v>2419</v>
      </c>
      <c r="D31" s="9" t="s">
        <v>2384</v>
      </c>
      <c r="E31" s="9" t="n">
        <v>1</v>
      </c>
      <c r="F31" s="9" t="s">
        <v>2369</v>
      </c>
      <c r="G31" s="9" t="s">
        <v>2330</v>
      </c>
      <c r="H31" s="9" t="s">
        <v>2370</v>
      </c>
      <c r="I31" s="9" t="s">
        <v>66</v>
      </c>
      <c r="J31" s="10" t="n">
        <v>0.4</v>
      </c>
    </row>
    <row r="32" customFormat="false" ht="15" hidden="false" customHeight="false" outlineLevel="0" collapsed="false">
      <c r="A32" s="9" t="s">
        <v>2422</v>
      </c>
      <c r="B32" s="9" t="s">
        <v>2423</v>
      </c>
      <c r="C32" s="11" t="s">
        <v>2419</v>
      </c>
      <c r="D32" s="9" t="s">
        <v>2384</v>
      </c>
      <c r="E32" s="9" t="n">
        <v>1</v>
      </c>
      <c r="F32" s="9" t="s">
        <v>2369</v>
      </c>
      <c r="G32" s="9" t="s">
        <v>2330</v>
      </c>
      <c r="H32" s="9" t="s">
        <v>2370</v>
      </c>
      <c r="I32" s="9" t="s">
        <v>66</v>
      </c>
      <c r="J32" s="10" t="n">
        <v>8</v>
      </c>
    </row>
    <row r="33" customFormat="false" ht="15" hidden="false" customHeight="false" outlineLevel="0" collapsed="false">
      <c r="A33" s="9" t="s">
        <v>2424</v>
      </c>
      <c r="B33" s="9" t="s">
        <v>2425</v>
      </c>
      <c r="C33" s="11" t="s">
        <v>2426</v>
      </c>
      <c r="D33" s="9" t="s">
        <v>2384</v>
      </c>
      <c r="E33" s="9" t="n">
        <v>1</v>
      </c>
      <c r="F33" s="9" t="s">
        <v>2369</v>
      </c>
      <c r="G33" s="9" t="s">
        <v>2330</v>
      </c>
      <c r="H33" s="9" t="s">
        <v>2370</v>
      </c>
      <c r="I33" s="9" t="s">
        <v>66</v>
      </c>
      <c r="J33" s="10" t="n">
        <v>7.74222222222222</v>
      </c>
    </row>
    <row r="34" customFormat="false" ht="15" hidden="false" customHeight="false" outlineLevel="0" collapsed="false">
      <c r="A34" s="9" t="s">
        <v>2427</v>
      </c>
      <c r="B34" s="9" t="s">
        <v>2428</v>
      </c>
      <c r="C34" s="11" t="s">
        <v>2426</v>
      </c>
      <c r="D34" s="9" t="s">
        <v>2384</v>
      </c>
      <c r="E34" s="9" t="n">
        <v>1</v>
      </c>
      <c r="F34" s="9" t="s">
        <v>2369</v>
      </c>
      <c r="G34" s="9" t="s">
        <v>2330</v>
      </c>
      <c r="H34" s="9" t="s">
        <v>2370</v>
      </c>
      <c r="I34" s="9" t="s">
        <v>66</v>
      </c>
      <c r="J34" s="10" t="n">
        <v>0.0803555555555556</v>
      </c>
    </row>
    <row r="35" customFormat="false" ht="15" hidden="false" customHeight="false" outlineLevel="0" collapsed="false">
      <c r="A35" s="9" t="s">
        <v>2429</v>
      </c>
      <c r="B35" s="9" t="s">
        <v>2430</v>
      </c>
      <c r="C35" s="11" t="s">
        <v>2426</v>
      </c>
      <c r="D35" s="9" t="s">
        <v>2384</v>
      </c>
      <c r="E35" s="9" t="n">
        <v>1</v>
      </c>
      <c r="F35" s="9" t="s">
        <v>2369</v>
      </c>
      <c r="G35" s="9" t="s">
        <v>2330</v>
      </c>
      <c r="H35" s="9" t="s">
        <v>2370</v>
      </c>
      <c r="I35" s="9" t="s">
        <v>66</v>
      </c>
      <c r="J35" s="10" t="n">
        <v>1.60711111111111</v>
      </c>
    </row>
    <row r="36" customFormat="false" ht="15" hidden="false" customHeight="false" outlineLevel="0" collapsed="false">
      <c r="A36" s="9" t="s">
        <v>2431</v>
      </c>
      <c r="B36" s="9" t="s">
        <v>2432</v>
      </c>
      <c r="C36" s="11" t="s">
        <v>2433</v>
      </c>
      <c r="D36" s="9" t="s">
        <v>1942</v>
      </c>
      <c r="E36" s="9" t="n">
        <v>15</v>
      </c>
      <c r="F36" s="9" t="s">
        <v>2369</v>
      </c>
      <c r="G36" s="9" t="s">
        <v>2330</v>
      </c>
      <c r="H36" s="9" t="s">
        <v>2370</v>
      </c>
      <c r="I36" s="9" t="s">
        <v>66</v>
      </c>
      <c r="J36" s="10" t="n">
        <v>0.142679390737942</v>
      </c>
      <c r="K36" s="10" t="n">
        <v>0.142679390737942</v>
      </c>
      <c r="L36" s="10" t="n">
        <v>0.142679390737942</v>
      </c>
      <c r="M36" s="10" t="n">
        <v>0.0703975899347298</v>
      </c>
      <c r="N36" s="10" t="n">
        <v>0.0703975899347298</v>
      </c>
      <c r="O36" s="10" t="n">
        <v>0.0703975899347298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2434</v>
      </c>
      <c r="B37" s="9" t="s">
        <v>2435</v>
      </c>
      <c r="C37" s="11" t="s">
        <v>2433</v>
      </c>
      <c r="D37" s="9" t="s">
        <v>1942</v>
      </c>
      <c r="E37" s="9" t="n">
        <v>15</v>
      </c>
      <c r="F37" s="9" t="s">
        <v>2369</v>
      </c>
      <c r="G37" s="9" t="s">
        <v>2330</v>
      </c>
      <c r="H37" s="9" t="s">
        <v>2370</v>
      </c>
      <c r="I37" s="9" t="s">
        <v>66</v>
      </c>
      <c r="J37" s="10" t="n">
        <v>0.00813235831640886</v>
      </c>
      <c r="K37" s="10" t="n">
        <v>0.00813235831640886</v>
      </c>
      <c r="L37" s="10" t="n">
        <v>0.00813235831640886</v>
      </c>
      <c r="M37" s="10" t="n">
        <v>0.00378530041866208</v>
      </c>
      <c r="N37" s="10" t="n">
        <v>0.00378530041866208</v>
      </c>
      <c r="O37" s="10" t="n">
        <v>0.00378530041866208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2436</v>
      </c>
      <c r="B38" s="9" t="s">
        <v>2437</v>
      </c>
      <c r="C38" s="11" t="s">
        <v>2433</v>
      </c>
      <c r="D38" s="9" t="s">
        <v>1942</v>
      </c>
      <c r="E38" s="9" t="n">
        <v>15</v>
      </c>
      <c r="F38" s="9" t="s">
        <v>2369</v>
      </c>
      <c r="G38" s="9" t="s">
        <v>2330</v>
      </c>
      <c r="H38" s="9" t="s">
        <v>2370</v>
      </c>
      <c r="I38" s="9" t="s">
        <v>66</v>
      </c>
      <c r="J38" s="10" t="n">
        <v>0.0231462920032773</v>
      </c>
      <c r="K38" s="10" t="n">
        <v>0.0231462920032773</v>
      </c>
      <c r="L38" s="10" t="n">
        <v>0.0231462920032773</v>
      </c>
      <c r="M38" s="10" t="n">
        <v>0.0111975472382432</v>
      </c>
      <c r="N38" s="10" t="n">
        <v>0.0111975472382432</v>
      </c>
      <c r="O38" s="10" t="n">
        <v>0.0111975472382432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2438</v>
      </c>
      <c r="B39" s="9" t="s">
        <v>2439</v>
      </c>
      <c r="C39" s="11" t="s">
        <v>2440</v>
      </c>
      <c r="D39" s="9" t="s">
        <v>2441</v>
      </c>
      <c r="E39" s="9" t="n">
        <v>1</v>
      </c>
      <c r="F39" s="9" t="s">
        <v>2369</v>
      </c>
      <c r="G39" s="9" t="s">
        <v>2330</v>
      </c>
      <c r="H39" s="9" t="s">
        <v>2370</v>
      </c>
      <c r="I39" s="9" t="s">
        <v>66</v>
      </c>
      <c r="J39" s="10" t="n">
        <v>8</v>
      </c>
    </row>
    <row r="40" customFormat="false" ht="15" hidden="false" customHeight="false" outlineLevel="0" collapsed="false">
      <c r="A40" s="9" t="s">
        <v>2442</v>
      </c>
      <c r="B40" s="9" t="s">
        <v>2443</v>
      </c>
      <c r="C40" s="11" t="s">
        <v>2444</v>
      </c>
      <c r="D40" s="11" t="s">
        <v>2445</v>
      </c>
      <c r="E40" s="9" t="n">
        <v>1</v>
      </c>
      <c r="F40" s="9" t="s">
        <v>2369</v>
      </c>
      <c r="G40" s="9" t="s">
        <v>2330</v>
      </c>
      <c r="H40" s="9" t="s">
        <v>2370</v>
      </c>
      <c r="I40" s="9" t="s">
        <v>66</v>
      </c>
      <c r="J40" s="10" t="n">
        <v>4</v>
      </c>
    </row>
    <row r="41" customFormat="false" ht="15" hidden="false" customHeight="false" outlineLevel="0" collapsed="false">
      <c r="A41" s="9" t="s">
        <v>2446</v>
      </c>
      <c r="B41" s="9" t="s">
        <v>2447</v>
      </c>
      <c r="C41" s="9" t="s">
        <v>2448</v>
      </c>
      <c r="D41" s="9" t="s">
        <v>466</v>
      </c>
      <c r="E41" s="9" t="n">
        <v>1</v>
      </c>
      <c r="F41" s="9" t="s">
        <v>2369</v>
      </c>
      <c r="G41" s="9" t="s">
        <v>2330</v>
      </c>
      <c r="H41" s="9" t="s">
        <v>2370</v>
      </c>
      <c r="I41" s="9" t="s">
        <v>66</v>
      </c>
      <c r="J41" s="10" t="n">
        <v>8.4</v>
      </c>
    </row>
    <row r="42" customFormat="false" ht="15" hidden="false" customHeight="false" outlineLevel="0" collapsed="false">
      <c r="A42" s="9" t="s">
        <v>2449</v>
      </c>
      <c r="B42" s="9" t="s">
        <v>2450</v>
      </c>
      <c r="C42" s="9" t="s">
        <v>2451</v>
      </c>
      <c r="D42" s="9" t="s">
        <v>466</v>
      </c>
      <c r="E42" s="9" t="n">
        <v>1</v>
      </c>
      <c r="F42" s="9" t="s">
        <v>2369</v>
      </c>
      <c r="G42" s="9" t="s">
        <v>2330</v>
      </c>
      <c r="H42" s="9" t="s">
        <v>2370</v>
      </c>
      <c r="I42" s="9" t="s">
        <v>66</v>
      </c>
      <c r="J42" s="10" t="n">
        <v>3.9</v>
      </c>
    </row>
    <row r="43" customFormat="false" ht="15" hidden="false" customHeight="false" outlineLevel="0" collapsed="false">
      <c r="A43" s="9" t="s">
        <v>2452</v>
      </c>
      <c r="B43" s="9" t="s">
        <v>2453</v>
      </c>
      <c r="C43" s="9" t="s">
        <v>2454</v>
      </c>
      <c r="D43" s="9" t="s">
        <v>466</v>
      </c>
      <c r="E43" s="9" t="n">
        <v>1</v>
      </c>
      <c r="F43" s="9" t="s">
        <v>2369</v>
      </c>
      <c r="G43" s="9" t="s">
        <v>2330</v>
      </c>
      <c r="H43" s="9" t="s">
        <v>2370</v>
      </c>
      <c r="I43" s="9" t="s">
        <v>66</v>
      </c>
      <c r="J43" s="10" t="n">
        <v>12</v>
      </c>
    </row>
    <row r="44" customFormat="false" ht="15" hidden="false" customHeight="false" outlineLevel="0" collapsed="false">
      <c r="A44" s="9" t="s">
        <v>2455</v>
      </c>
      <c r="B44" s="9" t="s">
        <v>2456</v>
      </c>
      <c r="C44" s="9" t="s">
        <v>2457</v>
      </c>
      <c r="D44" s="9" t="s">
        <v>466</v>
      </c>
      <c r="E44" s="9" t="n">
        <v>1</v>
      </c>
      <c r="F44" s="9" t="s">
        <v>2369</v>
      </c>
      <c r="G44" s="9" t="s">
        <v>2330</v>
      </c>
      <c r="H44" s="9" t="s">
        <v>2370</v>
      </c>
      <c r="I44" s="9" t="s">
        <v>66</v>
      </c>
      <c r="J44" s="10" t="n">
        <v>13.07</v>
      </c>
    </row>
    <row r="45" customFormat="false" ht="15" hidden="false" customHeight="false" outlineLevel="0" collapsed="false">
      <c r="A45" s="9" t="s">
        <v>2458</v>
      </c>
      <c r="B45" s="9" t="s">
        <v>2459</v>
      </c>
      <c r="C45" s="9" t="s">
        <v>2460</v>
      </c>
      <c r="D45" s="9" t="s">
        <v>1090</v>
      </c>
      <c r="E45" s="9" t="n">
        <v>1</v>
      </c>
      <c r="F45" s="9" t="s">
        <v>2369</v>
      </c>
      <c r="G45" s="9" t="s">
        <v>2330</v>
      </c>
      <c r="H45" s="9" t="s">
        <v>2370</v>
      </c>
      <c r="I45" s="9" t="s">
        <v>66</v>
      </c>
      <c r="J45" s="10" t="n">
        <v>0.6</v>
      </c>
    </row>
    <row r="46" customFormat="false" ht="15" hidden="false" customHeight="false" outlineLevel="0" collapsed="false">
      <c r="A46" s="9" t="s">
        <v>2461</v>
      </c>
      <c r="B46" s="9" t="s">
        <v>2462</v>
      </c>
      <c r="C46" s="9" t="s">
        <v>2463</v>
      </c>
      <c r="D46" s="9" t="s">
        <v>1090</v>
      </c>
      <c r="E46" s="9" t="n">
        <v>1</v>
      </c>
      <c r="F46" s="9" t="s">
        <v>2369</v>
      </c>
      <c r="G46" s="9" t="s">
        <v>2330</v>
      </c>
      <c r="H46" s="9" t="s">
        <v>2370</v>
      </c>
      <c r="I46" s="9" t="s">
        <v>66</v>
      </c>
      <c r="J46" s="10" t="n">
        <v>1.9</v>
      </c>
    </row>
    <row r="47" customFormat="false" ht="15" hidden="false" customHeight="false" outlineLevel="0" collapsed="false">
      <c r="A47" s="9" t="s">
        <v>2464</v>
      </c>
      <c r="B47" s="9" t="s">
        <v>2465</v>
      </c>
      <c r="C47" s="9" t="s">
        <v>2466</v>
      </c>
      <c r="D47" s="9" t="s">
        <v>2467</v>
      </c>
      <c r="E47" s="9" t="n">
        <v>1</v>
      </c>
      <c r="F47" s="9" t="s">
        <v>2369</v>
      </c>
      <c r="G47" s="9" t="s">
        <v>2330</v>
      </c>
      <c r="H47" s="9" t="s">
        <v>2370</v>
      </c>
      <c r="I47" s="9" t="s">
        <v>66</v>
      </c>
      <c r="J47" s="10" t="n">
        <v>6</v>
      </c>
    </row>
    <row r="48" customFormat="false" ht="15" hidden="false" customHeight="false" outlineLevel="0" collapsed="false">
      <c r="A48" s="9" t="s">
        <v>2468</v>
      </c>
      <c r="B48" s="9" t="s">
        <v>2469</v>
      </c>
      <c r="C48" s="9" t="s">
        <v>2470</v>
      </c>
      <c r="D48" s="9" t="s">
        <v>2467</v>
      </c>
      <c r="E48" s="9" t="n">
        <v>1</v>
      </c>
      <c r="F48" s="9" t="s">
        <v>2369</v>
      </c>
      <c r="G48" s="9" t="s">
        <v>2330</v>
      </c>
      <c r="H48" s="9" t="s">
        <v>2370</v>
      </c>
      <c r="I48" s="9" t="s">
        <v>66</v>
      </c>
      <c r="J48" s="10" t="n">
        <v>15</v>
      </c>
    </row>
    <row r="49" customFormat="false" ht="15" hidden="false" customHeight="false" outlineLevel="0" collapsed="false">
      <c r="A49" s="9" t="s">
        <v>2471</v>
      </c>
      <c r="B49" s="9" t="s">
        <v>2472</v>
      </c>
      <c r="C49" s="9" t="s">
        <v>2473</v>
      </c>
      <c r="D49" s="9" t="s">
        <v>2474</v>
      </c>
      <c r="E49" s="9" t="n">
        <v>1</v>
      </c>
      <c r="F49" s="9" t="s">
        <v>2369</v>
      </c>
      <c r="G49" s="9" t="s">
        <v>2330</v>
      </c>
      <c r="H49" s="9" t="s">
        <v>2370</v>
      </c>
      <c r="I49" s="9" t="s">
        <v>66</v>
      </c>
      <c r="J49" s="10" t="n">
        <v>2.5</v>
      </c>
    </row>
    <row r="50" customFormat="false" ht="15" hidden="false" customHeight="false" outlineLevel="0" collapsed="false">
      <c r="A50" s="9" t="s">
        <v>2475</v>
      </c>
      <c r="B50" s="9" t="s">
        <v>2476</v>
      </c>
      <c r="C50" s="11" t="s">
        <v>2477</v>
      </c>
      <c r="D50" s="9" t="s">
        <v>2478</v>
      </c>
      <c r="E50" s="9" t="n">
        <v>1</v>
      </c>
      <c r="F50" s="9" t="s">
        <v>2369</v>
      </c>
      <c r="G50" s="9" t="s">
        <v>2330</v>
      </c>
      <c r="H50" s="9" t="s">
        <v>2370</v>
      </c>
      <c r="I50" s="9" t="s">
        <v>66</v>
      </c>
      <c r="J50" s="10"/>
    </row>
    <row r="51" customFormat="false" ht="15" hidden="false" customHeight="false" outlineLevel="0" collapsed="false">
      <c r="A51" s="9" t="s">
        <v>2479</v>
      </c>
      <c r="B51" s="9" t="s">
        <v>2480</v>
      </c>
      <c r="C51" s="11" t="s">
        <v>2477</v>
      </c>
      <c r="D51" s="9" t="s">
        <v>2478</v>
      </c>
      <c r="E51" s="9" t="n">
        <v>1</v>
      </c>
      <c r="F51" s="9" t="s">
        <v>2369</v>
      </c>
      <c r="G51" s="9" t="s">
        <v>2330</v>
      </c>
      <c r="H51" s="9" t="s">
        <v>2370</v>
      </c>
      <c r="I51" s="9" t="s">
        <v>66</v>
      </c>
      <c r="J51" s="10" t="n">
        <v>10</v>
      </c>
    </row>
    <row r="52" customFormat="false" ht="15" hidden="false" customHeight="false" outlineLevel="0" collapsed="false">
      <c r="A52" s="9" t="s">
        <v>2481</v>
      </c>
      <c r="B52" s="9" t="s">
        <v>2482</v>
      </c>
      <c r="C52" s="11" t="s">
        <v>2477</v>
      </c>
      <c r="D52" s="9" t="s">
        <v>2478</v>
      </c>
      <c r="E52" s="9" t="n">
        <v>1</v>
      </c>
      <c r="F52" s="9" t="s">
        <v>2369</v>
      </c>
      <c r="G52" s="9" t="s">
        <v>2330</v>
      </c>
      <c r="H52" s="9" t="s">
        <v>2370</v>
      </c>
      <c r="I52" s="9" t="s">
        <v>66</v>
      </c>
      <c r="J52" s="10" t="n">
        <v>100</v>
      </c>
    </row>
    <row r="53" customFormat="false" ht="15" hidden="false" customHeight="false" outlineLevel="0" collapsed="false">
      <c r="A53" s="9" t="s">
        <v>2483</v>
      </c>
      <c r="B53" s="9" t="s">
        <v>2484</v>
      </c>
      <c r="C53" s="11" t="s">
        <v>2485</v>
      </c>
      <c r="D53" s="9" t="s">
        <v>1942</v>
      </c>
      <c r="E53" s="9" t="n">
        <v>1</v>
      </c>
      <c r="F53" s="9" t="s">
        <v>2369</v>
      </c>
      <c r="G53" s="9" t="s">
        <v>2330</v>
      </c>
      <c r="H53" s="9" t="s">
        <v>2370</v>
      </c>
      <c r="I53" s="9" t="s">
        <v>66</v>
      </c>
      <c r="J53" s="10" t="n">
        <v>0.63609601991434</v>
      </c>
    </row>
    <row r="54" customFormat="false" ht="15" hidden="false" customHeight="false" outlineLevel="0" collapsed="false">
      <c r="A54" s="9" t="s">
        <v>2486</v>
      </c>
      <c r="B54" s="9" t="s">
        <v>2487</v>
      </c>
      <c r="C54" s="11" t="s">
        <v>2488</v>
      </c>
      <c r="D54" s="9" t="s">
        <v>1942</v>
      </c>
      <c r="E54" s="9" t="n">
        <v>1</v>
      </c>
      <c r="F54" s="9" t="s">
        <v>2369</v>
      </c>
      <c r="G54" s="9" t="s">
        <v>2330</v>
      </c>
      <c r="H54" s="9" t="s">
        <v>2370</v>
      </c>
      <c r="I54" s="9" t="s">
        <v>66</v>
      </c>
      <c r="J54" s="10" t="n">
        <v>0.667220154597978</v>
      </c>
    </row>
    <row r="55" customFormat="false" ht="15" hidden="false" customHeight="false" outlineLevel="0" collapsed="false">
      <c r="A55" s="9" t="s">
        <v>2489</v>
      </c>
      <c r="B55" s="9" t="s">
        <v>2490</v>
      </c>
      <c r="C55" s="11" t="s">
        <v>2491</v>
      </c>
      <c r="D55" s="9" t="s">
        <v>1942</v>
      </c>
      <c r="E55" s="9" t="n">
        <v>1</v>
      </c>
      <c r="F55" s="9" t="s">
        <v>2369</v>
      </c>
      <c r="G55" s="9" t="s">
        <v>2330</v>
      </c>
      <c r="H55" s="9" t="s">
        <v>2370</v>
      </c>
      <c r="I55" s="9" t="s">
        <v>66</v>
      </c>
      <c r="J55" s="10" t="n">
        <v>0.663556558253475</v>
      </c>
    </row>
    <row r="56" customFormat="false" ht="15" hidden="false" customHeight="false" outlineLevel="0" collapsed="false">
      <c r="A56" s="9" t="s">
        <v>2492</v>
      </c>
      <c r="B56" s="9" t="s">
        <v>2493</v>
      </c>
      <c r="C56" s="11" t="s">
        <v>2494</v>
      </c>
      <c r="D56" s="9" t="s">
        <v>1090</v>
      </c>
      <c r="E56" s="9" t="n">
        <v>1</v>
      </c>
      <c r="F56" s="9" t="s">
        <v>2369</v>
      </c>
      <c r="G56" s="9" t="s">
        <v>2330</v>
      </c>
      <c r="H56" s="9" t="s">
        <v>2370</v>
      </c>
      <c r="I56" s="9" t="s">
        <v>66</v>
      </c>
      <c r="J56" s="10" t="n">
        <v>0.0518797846974362</v>
      </c>
    </row>
    <row r="57" customFormat="false" ht="15" hidden="false" customHeight="false" outlineLevel="0" collapsed="false">
      <c r="A57" s="9" t="s">
        <v>2495</v>
      </c>
      <c r="B57" s="9" t="s">
        <v>2496</v>
      </c>
      <c r="C57" s="11" t="s">
        <v>2497</v>
      </c>
      <c r="D57" s="9" t="s">
        <v>2498</v>
      </c>
      <c r="E57" s="9" t="n">
        <v>1</v>
      </c>
      <c r="F57" s="9" t="s">
        <v>2369</v>
      </c>
      <c r="G57" s="9" t="s">
        <v>2330</v>
      </c>
      <c r="H57" s="9" t="s">
        <v>2370</v>
      </c>
      <c r="I57" s="9" t="s">
        <v>66</v>
      </c>
      <c r="J57" s="10" t="n">
        <v>0.0906847035646163</v>
      </c>
    </row>
    <row r="58" customFormat="false" ht="15" hidden="false" customHeight="false" outlineLevel="0" collapsed="false">
      <c r="A58" s="9" t="s">
        <v>2499</v>
      </c>
      <c r="B58" s="9" t="s">
        <v>2500</v>
      </c>
      <c r="C58" s="11" t="s">
        <v>2501</v>
      </c>
      <c r="D58" s="9" t="s">
        <v>2368</v>
      </c>
      <c r="E58" s="9" t="n">
        <v>1</v>
      </c>
      <c r="F58" s="9" t="s">
        <v>2369</v>
      </c>
      <c r="G58" s="9" t="s">
        <v>2330</v>
      </c>
      <c r="H58" s="9" t="s">
        <v>2370</v>
      </c>
      <c r="I58" s="9" t="s">
        <v>66</v>
      </c>
      <c r="J58" s="10" t="n">
        <v>4190200000</v>
      </c>
    </row>
    <row r="59" customFormat="false" ht="15" hidden="false" customHeight="false" outlineLevel="0" collapsed="false">
      <c r="A59" s="9" t="s">
        <v>2502</v>
      </c>
      <c r="B59" s="9" t="s">
        <v>2503</v>
      </c>
      <c r="C59" s="11" t="s">
        <v>2504</v>
      </c>
      <c r="D59" s="11" t="s">
        <v>2505</v>
      </c>
      <c r="E59" s="9" t="n">
        <v>1</v>
      </c>
      <c r="F59" s="9" t="s">
        <v>2369</v>
      </c>
      <c r="G59" s="9" t="s">
        <v>2330</v>
      </c>
      <c r="H59" s="9" t="s">
        <v>2370</v>
      </c>
      <c r="I59" s="9" t="s">
        <v>66</v>
      </c>
      <c r="J59" s="10" t="n">
        <v>1.52362137919411</v>
      </c>
    </row>
    <row r="60" customFormat="false" ht="15" hidden="false" customHeight="false" outlineLevel="0" collapsed="false">
      <c r="A60" s="9" t="s">
        <v>2506</v>
      </c>
      <c r="B60" s="9" t="s">
        <v>2507</v>
      </c>
      <c r="C60" s="11" t="s">
        <v>2508</v>
      </c>
      <c r="D60" s="9" t="s">
        <v>2509</v>
      </c>
      <c r="E60" s="9" t="n">
        <v>15</v>
      </c>
      <c r="F60" s="9" t="s">
        <v>2369</v>
      </c>
      <c r="G60" s="9" t="s">
        <v>2330</v>
      </c>
      <c r="H60" s="9" t="s">
        <v>2370</v>
      </c>
      <c r="I60" s="9" t="s">
        <v>66</v>
      </c>
      <c r="J60" s="10" t="n">
        <v>124.845239333062</v>
      </c>
      <c r="K60" s="10" t="n">
        <v>180.057740229558</v>
      </c>
      <c r="L60" s="10" t="n">
        <v>310.434186156141</v>
      </c>
      <c r="M60" s="10" t="n">
        <v>59.9538166457782</v>
      </c>
      <c r="N60" s="10" t="n">
        <v>80.7018780387141</v>
      </c>
      <c r="O60" s="10" t="n">
        <v>131.291756246702</v>
      </c>
      <c r="P60" s="10" t="n">
        <v>71.3864657110668</v>
      </c>
      <c r="Q60" s="10" t="n">
        <v>104.321299974554</v>
      </c>
      <c r="R60" s="10" t="n">
        <v>195.708768879222</v>
      </c>
      <c r="S60" s="10" t="n">
        <v>49.2053430691912</v>
      </c>
      <c r="T60" s="10" t="n">
        <v>63.8385436939176</v>
      </c>
      <c r="U60" s="10" t="n">
        <v>103.43656818684</v>
      </c>
      <c r="V60" s="10" t="n">
        <v>35.603489581288</v>
      </c>
      <c r="W60" s="10" t="n">
        <v>54.7374194642521</v>
      </c>
      <c r="X60" s="10" t="n">
        <v>100.33130878097</v>
      </c>
    </row>
    <row r="61" customFormat="false" ht="15" hidden="false" customHeight="false" outlineLevel="0" collapsed="false">
      <c r="A61" s="9" t="s">
        <v>2510</v>
      </c>
      <c r="B61" s="9" t="s">
        <v>2511</v>
      </c>
      <c r="C61" s="11" t="s">
        <v>2508</v>
      </c>
      <c r="D61" s="9" t="s">
        <v>2509</v>
      </c>
      <c r="E61" s="9" t="n">
        <v>15</v>
      </c>
      <c r="F61" s="9" t="s">
        <v>2369</v>
      </c>
      <c r="G61" s="9" t="s">
        <v>2330</v>
      </c>
      <c r="H61" s="9" t="s">
        <v>2370</v>
      </c>
      <c r="I61" s="9" t="s">
        <v>66</v>
      </c>
      <c r="J61" s="10" t="n">
        <v>7.1158575538008</v>
      </c>
      <c r="K61" s="10" t="n">
        <v>10.2628281044394</v>
      </c>
      <c r="L61" s="10" t="n">
        <v>17.6939502084177</v>
      </c>
      <c r="M61" s="10" t="n">
        <v>3.22373546395647</v>
      </c>
      <c r="N61" s="10" t="n">
        <v>4.33936521136578</v>
      </c>
      <c r="O61" s="10" t="n">
        <v>7.05959877814428</v>
      </c>
      <c r="P61" s="10" t="n">
        <v>3.62335871729553</v>
      </c>
      <c r="Q61" s="10" t="n">
        <v>5.29503019791332</v>
      </c>
      <c r="R61" s="10" t="n">
        <v>9.93357867918331</v>
      </c>
      <c r="S61" s="10" t="n">
        <v>2.71042317214205</v>
      </c>
      <c r="T61" s="10" t="n">
        <v>3.51647722200591</v>
      </c>
      <c r="U61" s="10" t="n">
        <v>5.69769162804601</v>
      </c>
      <c r="V61" s="10" t="n">
        <v>1.86892420032239</v>
      </c>
      <c r="W61" s="10" t="n">
        <v>2.87331632665873</v>
      </c>
      <c r="X61" s="10" t="n">
        <v>5.26666383649436</v>
      </c>
    </row>
    <row r="62" customFormat="false" ht="15" hidden="false" customHeight="false" outlineLevel="0" collapsed="false">
      <c r="A62" s="9" t="s">
        <v>2512</v>
      </c>
      <c r="B62" s="9" t="s">
        <v>2513</v>
      </c>
      <c r="C62" s="11" t="s">
        <v>2508</v>
      </c>
      <c r="D62" s="9" t="s">
        <v>2509</v>
      </c>
      <c r="E62" s="9" t="n">
        <v>15</v>
      </c>
      <c r="F62" s="9" t="s">
        <v>2369</v>
      </c>
      <c r="G62" s="9" t="s">
        <v>2330</v>
      </c>
      <c r="H62" s="9" t="s">
        <v>2370</v>
      </c>
      <c r="I62" s="9" t="s">
        <v>66</v>
      </c>
      <c r="J62" s="10" t="n">
        <v>20.2531308122109</v>
      </c>
      <c r="K62" s="10" t="n">
        <v>29.2100282405771</v>
      </c>
      <c r="L62" s="10" t="n">
        <v>50.3604639983862</v>
      </c>
      <c r="M62" s="10" t="n">
        <v>9.53634484684077</v>
      </c>
      <c r="N62" s="10" t="n">
        <v>12.8365629049415</v>
      </c>
      <c r="O62" s="10" t="n">
        <v>20.8834655266952</v>
      </c>
      <c r="P62" s="10" t="n">
        <v>11.13174433393</v>
      </c>
      <c r="Q62" s="10" t="n">
        <v>16.2674819145715</v>
      </c>
      <c r="R62" s="10" t="n">
        <v>30.5181095235811</v>
      </c>
      <c r="S62" s="10" t="n">
        <v>7.89531454817388</v>
      </c>
      <c r="T62" s="10" t="n">
        <v>10.2433059363508</v>
      </c>
      <c r="U62" s="10" t="n">
        <v>16.5970642755273</v>
      </c>
      <c r="V62" s="10" t="n">
        <v>5.63047303591872</v>
      </c>
      <c r="W62" s="10" t="n">
        <v>8.65638643778396</v>
      </c>
      <c r="X62" s="10" t="n">
        <v>15.8667797846025</v>
      </c>
    </row>
    <row r="63" customFormat="false" ht="15" hidden="false" customHeight="false" outlineLevel="0" collapsed="false">
      <c r="A63" s="9" t="s">
        <v>2514</v>
      </c>
      <c r="B63" s="9" t="s">
        <v>2515</v>
      </c>
      <c r="C63" s="11" t="s">
        <v>2516</v>
      </c>
      <c r="D63" s="9" t="s">
        <v>60</v>
      </c>
      <c r="E63" s="9" t="n">
        <v>15</v>
      </c>
      <c r="F63" s="9" t="s">
        <v>2369</v>
      </c>
      <c r="G63" s="9" t="s">
        <v>2330</v>
      </c>
      <c r="H63" s="9" t="s">
        <v>2370</v>
      </c>
      <c r="I63" s="9" t="s">
        <v>66</v>
      </c>
      <c r="J63" s="10" t="n">
        <v>18.6899868774826</v>
      </c>
      <c r="K63" s="10" t="n">
        <v>18.6899868774826</v>
      </c>
      <c r="L63" s="10" t="n">
        <v>18.6899868774826</v>
      </c>
      <c r="M63" s="10" t="n">
        <v>96.6283848132214</v>
      </c>
      <c r="N63" s="10" t="n">
        <v>96.6283848132214</v>
      </c>
      <c r="O63" s="10" t="n">
        <v>96.6283848132214</v>
      </c>
      <c r="P63" s="10" t="n">
        <v>116.841337205439</v>
      </c>
      <c r="Q63" s="10" t="n">
        <v>116.841337205439</v>
      </c>
      <c r="R63" s="10" t="n">
        <v>116.841337205439</v>
      </c>
      <c r="S63" s="10" t="n">
        <v>246.697456312585</v>
      </c>
      <c r="T63" s="10" t="n">
        <v>246.697456312585</v>
      </c>
      <c r="U63" s="10" t="n">
        <v>246.697456312585</v>
      </c>
      <c r="V63" s="10" t="n">
        <v>358.71180915499</v>
      </c>
      <c r="W63" s="10" t="n">
        <v>358.71180915499</v>
      </c>
      <c r="X63" s="10" t="n">
        <v>358.71180915499</v>
      </c>
    </row>
    <row r="64" customFormat="false" ht="15" hidden="false" customHeight="false" outlineLevel="0" collapsed="false">
      <c r="A64" s="9" t="s">
        <v>2517</v>
      </c>
      <c r="B64" s="9" t="s">
        <v>2518</v>
      </c>
      <c r="C64" s="11" t="s">
        <v>2516</v>
      </c>
      <c r="D64" s="9" t="s">
        <v>60</v>
      </c>
      <c r="E64" s="9" t="n">
        <v>15</v>
      </c>
      <c r="F64" s="9" t="s">
        <v>2369</v>
      </c>
      <c r="G64" s="9" t="s">
        <v>2330</v>
      </c>
      <c r="H64" s="9" t="s">
        <v>2370</v>
      </c>
      <c r="I64" s="9" t="s">
        <v>66</v>
      </c>
      <c r="J64" s="10" t="n">
        <v>3.57102907624799</v>
      </c>
      <c r="K64" s="10" t="n">
        <v>3.57102907624799</v>
      </c>
      <c r="L64" s="10" t="n">
        <v>3.57102907624799</v>
      </c>
      <c r="M64" s="10" t="n">
        <v>17.4680230535144</v>
      </c>
      <c r="N64" s="10" t="n">
        <v>17.4680230535144</v>
      </c>
      <c r="O64" s="10" t="n">
        <v>17.4680230535144</v>
      </c>
      <c r="P64" s="10" t="n">
        <v>25.4312759220773</v>
      </c>
      <c r="Q64" s="10" t="n">
        <v>25.4312759220773</v>
      </c>
      <c r="R64" s="10" t="n">
        <v>25.4312759220773</v>
      </c>
      <c r="S64" s="10" t="n">
        <v>37.2582226398973</v>
      </c>
      <c r="T64" s="10" t="n">
        <v>37.2582226398973</v>
      </c>
      <c r="U64" s="10" t="n">
        <v>37.2582226398973</v>
      </c>
      <c r="V64" s="10" t="n">
        <v>50.3527379522069</v>
      </c>
      <c r="W64" s="10" t="n">
        <v>50.3527379522069</v>
      </c>
      <c r="X64" s="10" t="n">
        <v>50.3527379522069</v>
      </c>
    </row>
    <row r="65" customFormat="false" ht="15" hidden="false" customHeight="false" outlineLevel="0" collapsed="false">
      <c r="A65" s="9" t="s">
        <v>2519</v>
      </c>
      <c r="B65" s="9" t="s">
        <v>2520</v>
      </c>
      <c r="C65" s="11" t="s">
        <v>2516</v>
      </c>
      <c r="D65" s="9" t="s">
        <v>60</v>
      </c>
      <c r="E65" s="9" t="n">
        <v>15</v>
      </c>
      <c r="F65" s="9" t="s">
        <v>2369</v>
      </c>
      <c r="G65" s="9" t="s">
        <v>2330</v>
      </c>
      <c r="H65" s="9" t="s">
        <v>2370</v>
      </c>
      <c r="I65" s="9" t="s">
        <v>66</v>
      </c>
      <c r="J65" s="10" t="n">
        <v>20.7225049979976</v>
      </c>
      <c r="K65" s="10" t="n">
        <v>20.7225049979976</v>
      </c>
      <c r="L65" s="10" t="n">
        <v>20.7225049979976</v>
      </c>
      <c r="M65" s="10" t="n">
        <v>100.404653415384</v>
      </c>
      <c r="N65" s="10" t="n">
        <v>100.404653415384</v>
      </c>
      <c r="O65" s="10" t="n">
        <v>100.404653415384</v>
      </c>
      <c r="P65" s="10" t="n">
        <v>146.176727443319</v>
      </c>
      <c r="Q65" s="10" t="n">
        <v>146.176727443319</v>
      </c>
      <c r="R65" s="10" t="n">
        <v>146.176727443319</v>
      </c>
      <c r="S65" s="10" t="n">
        <v>228.808271164193</v>
      </c>
      <c r="T65" s="10" t="n">
        <v>228.808271164193</v>
      </c>
      <c r="U65" s="10" t="n">
        <v>228.808271164193</v>
      </c>
      <c r="V65" s="10" t="n">
        <v>314.529969229019</v>
      </c>
      <c r="W65" s="10" t="n">
        <v>314.529969229019</v>
      </c>
      <c r="X65" s="10" t="n">
        <v>314.529969229019</v>
      </c>
    </row>
    <row r="66" customFormat="false" ht="15" hidden="false" customHeight="false" outlineLevel="0" collapsed="false">
      <c r="A66" s="9" t="s">
        <v>2521</v>
      </c>
      <c r="B66" s="9" t="s">
        <v>2522</v>
      </c>
      <c r="C66" s="11" t="s">
        <v>2523</v>
      </c>
      <c r="D66" s="9" t="s">
        <v>2384</v>
      </c>
      <c r="E66" s="9" t="n">
        <v>15</v>
      </c>
      <c r="F66" s="9" t="s">
        <v>2369</v>
      </c>
      <c r="G66" s="9" t="s">
        <v>2330</v>
      </c>
      <c r="H66" s="9" t="s">
        <v>2370</v>
      </c>
      <c r="I66" s="9" t="s">
        <v>66</v>
      </c>
      <c r="J66" s="10" t="n">
        <v>12.1259494958246</v>
      </c>
      <c r="K66" s="10" t="n">
        <v>17.4882236341092</v>
      </c>
      <c r="L66" s="10" t="n">
        <v>30.1504691923057</v>
      </c>
      <c r="M66" s="10" t="n">
        <v>2.47874275603365</v>
      </c>
      <c r="N66" s="10" t="n">
        <v>3.33624632374847</v>
      </c>
      <c r="O66" s="10" t="n">
        <v>5.42709231808209</v>
      </c>
      <c r="P66" s="10" t="n">
        <v>2.50359127783313</v>
      </c>
      <c r="Q66" s="10" t="n">
        <v>3.65821842869405</v>
      </c>
      <c r="R66" s="10" t="n">
        <v>6.86207401823829</v>
      </c>
      <c r="S66" s="10" t="n">
        <v>1.43636730002922</v>
      </c>
      <c r="T66" s="10" t="n">
        <v>1.86327342843922</v>
      </c>
      <c r="U66" s="10" t="n">
        <v>3.01849843781912</v>
      </c>
      <c r="V66" s="10" t="n">
        <v>1.06974114187471</v>
      </c>
      <c r="W66" s="10" t="n">
        <v>1.64418091652518</v>
      </c>
      <c r="X66" s="10" t="n">
        <v>3.01300288173229</v>
      </c>
    </row>
    <row r="67" customFormat="false" ht="15" hidden="false" customHeight="false" outlineLevel="0" collapsed="false">
      <c r="A67" s="9" t="s">
        <v>2524</v>
      </c>
      <c r="B67" s="9" t="s">
        <v>2525</v>
      </c>
      <c r="C67" s="11" t="s">
        <v>2523</v>
      </c>
      <c r="D67" s="9" t="s">
        <v>2384</v>
      </c>
      <c r="E67" s="9" t="n">
        <v>15</v>
      </c>
      <c r="F67" s="9" t="s">
        <v>2369</v>
      </c>
      <c r="G67" s="9" t="s">
        <v>2330</v>
      </c>
      <c r="H67" s="9" t="s">
        <v>2370</v>
      </c>
      <c r="I67" s="9" t="s">
        <v>66</v>
      </c>
      <c r="J67" s="10" t="n">
        <v>0.14312525381939</v>
      </c>
      <c r="K67" s="10" t="n">
        <v>0.206416687105845</v>
      </c>
      <c r="L67" s="10" t="n">
        <v>0.355870379575896</v>
      </c>
      <c r="M67" s="10" t="n">
        <v>0.0305159047022073</v>
      </c>
      <c r="N67" s="10" t="n">
        <v>0.0410722884251396</v>
      </c>
      <c r="O67" s="10" t="n">
        <v>0.0668118578598896</v>
      </c>
      <c r="P67" s="10" t="n">
        <v>0.026689888040409</v>
      </c>
      <c r="Q67" s="10" t="n">
        <v>0.0389980126855996</v>
      </c>
      <c r="R67" s="10" t="n">
        <v>0.0731505561381752</v>
      </c>
      <c r="S67" s="10" t="n">
        <v>0.0204678080994292</v>
      </c>
      <c r="T67" s="10" t="n">
        <v>0.0265511244968956</v>
      </c>
      <c r="U67" s="10" t="n">
        <v>0.043012821283724</v>
      </c>
      <c r="V67" s="10" t="n">
        <v>0.0159747161030332</v>
      </c>
      <c r="W67" s="10" t="n">
        <v>0.0245532903975434</v>
      </c>
      <c r="X67" s="10" t="n">
        <v>0.0449950171767023</v>
      </c>
    </row>
    <row r="68" customFormat="false" ht="15" hidden="false" customHeight="false" outlineLevel="0" collapsed="false">
      <c r="A68" s="9" t="s">
        <v>2526</v>
      </c>
      <c r="B68" s="9" t="s">
        <v>2527</v>
      </c>
      <c r="C68" s="11" t="s">
        <v>2523</v>
      </c>
      <c r="D68" s="9" t="s">
        <v>2384</v>
      </c>
      <c r="E68" s="9" t="n">
        <v>15</v>
      </c>
      <c r="F68" s="9" t="s">
        <v>2369</v>
      </c>
      <c r="G68" s="9" t="s">
        <v>2330</v>
      </c>
      <c r="H68" s="9" t="s">
        <v>2370</v>
      </c>
      <c r="I68" s="9" t="s">
        <v>66</v>
      </c>
      <c r="J68" s="10" t="n">
        <v>0.652311022264843</v>
      </c>
      <c r="K68" s="10" t="n">
        <v>0.940780187403963</v>
      </c>
      <c r="L68" s="10" t="n">
        <v>1.62195897661968</v>
      </c>
      <c r="M68" s="10" t="n">
        <v>0.139221764502238</v>
      </c>
      <c r="N68" s="10" t="n">
        <v>0.187391181616638</v>
      </c>
      <c r="O68" s="10" t="n">
        <v>0.304842393034249</v>
      </c>
      <c r="P68" s="10" t="n">
        <v>0.124510333313163</v>
      </c>
      <c r="Q68" s="10" t="n">
        <v>0.181940203763427</v>
      </c>
      <c r="R68" s="10" t="n">
        <v>0.341296417855299</v>
      </c>
      <c r="S68" s="10" t="n">
        <v>0.0863304123367692</v>
      </c>
      <c r="T68" s="10" t="n">
        <v>0.111995045760437</v>
      </c>
      <c r="U68" s="10" t="n">
        <v>0.181444567363731</v>
      </c>
      <c r="V68" s="10" t="n">
        <v>0.0658875303105049</v>
      </c>
      <c r="W68" s="10" t="n">
        <v>0.101280089037722</v>
      </c>
      <c r="X68" s="10" t="n">
        <v>0.185616365752151</v>
      </c>
    </row>
    <row r="69" customFormat="false" ht="15" hidden="false" customHeight="false" outlineLevel="0" collapsed="false">
      <c r="A69" s="9" t="s">
        <v>2528</v>
      </c>
      <c r="B69" s="9" t="s">
        <v>2529</v>
      </c>
      <c r="C69" s="11" t="s">
        <v>2530</v>
      </c>
      <c r="D69" s="9" t="s">
        <v>60</v>
      </c>
      <c r="E69" s="9" t="n">
        <v>1</v>
      </c>
      <c r="F69" s="9" t="s">
        <v>2369</v>
      </c>
      <c r="G69" s="9" t="s">
        <v>2330</v>
      </c>
      <c r="H69" s="9" t="s">
        <v>2370</v>
      </c>
      <c r="I69" s="9" t="s">
        <v>66</v>
      </c>
      <c r="J69" s="10" t="n">
        <v>1.15731961755801</v>
      </c>
    </row>
    <row r="70" customFormat="false" ht="15" hidden="false" customHeight="false" outlineLevel="0" collapsed="false">
      <c r="A70" s="9" t="s">
        <v>2531</v>
      </c>
      <c r="B70" s="9" t="s">
        <v>2532</v>
      </c>
      <c r="C70" s="11" t="s">
        <v>2533</v>
      </c>
      <c r="D70" s="9" t="s">
        <v>60</v>
      </c>
      <c r="E70" s="9" t="n">
        <v>1</v>
      </c>
      <c r="F70" s="9" t="s">
        <v>2369</v>
      </c>
      <c r="G70" s="9" t="s">
        <v>2330</v>
      </c>
      <c r="H70" s="9" t="s">
        <v>2370</v>
      </c>
      <c r="I70" s="9" t="s">
        <v>66</v>
      </c>
      <c r="J70" s="10" t="n">
        <v>0.578659808779004</v>
      </c>
    </row>
    <row r="71" customFormat="false" ht="15" hidden="false" customHeight="false" outlineLevel="0" collapsed="false">
      <c r="A71" s="9" t="s">
        <v>2534</v>
      </c>
      <c r="B71" s="9" t="s">
        <v>2535</v>
      </c>
      <c r="C71" s="11" t="s">
        <v>2536</v>
      </c>
      <c r="D71" s="9" t="s">
        <v>60</v>
      </c>
      <c r="E71" s="9" t="n">
        <v>1</v>
      </c>
      <c r="F71" s="9" t="s">
        <v>2369</v>
      </c>
      <c r="G71" s="9" t="s">
        <v>2330</v>
      </c>
      <c r="H71" s="9" t="s">
        <v>2370</v>
      </c>
      <c r="I71" s="9" t="s">
        <v>66</v>
      </c>
      <c r="J71" s="10" t="n">
        <v>8.10123732290606</v>
      </c>
    </row>
    <row r="72" customFormat="false" ht="15" hidden="false" customHeight="false" outlineLevel="0" collapsed="false">
      <c r="A72" s="9" t="s">
        <v>2537</v>
      </c>
      <c r="B72" s="9" t="s">
        <v>2538</v>
      </c>
      <c r="C72" s="11" t="s">
        <v>2539</v>
      </c>
      <c r="D72" s="9" t="s">
        <v>466</v>
      </c>
      <c r="E72" s="9" t="n">
        <v>15</v>
      </c>
      <c r="F72" s="9" t="s">
        <v>2369</v>
      </c>
      <c r="G72" s="9" t="s">
        <v>2330</v>
      </c>
      <c r="H72" s="9" t="s">
        <v>2370</v>
      </c>
      <c r="I72" s="9" t="s">
        <v>66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50.115504</v>
      </c>
      <c r="R72" s="10" t="n">
        <v>67.1365064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2540</v>
      </c>
      <c r="B73" s="9" t="s">
        <v>2541</v>
      </c>
      <c r="C73" s="9" t="s">
        <v>2542</v>
      </c>
      <c r="D73" s="11" t="s">
        <v>731</v>
      </c>
      <c r="E73" s="9" t="n">
        <v>1</v>
      </c>
      <c r="F73" s="11" t="s">
        <v>2543</v>
      </c>
      <c r="G73" s="9" t="s">
        <v>2330</v>
      </c>
      <c r="H73" s="9" t="s">
        <v>2370</v>
      </c>
      <c r="I73" s="9" t="s">
        <v>66</v>
      </c>
      <c r="J73" s="10" t="n">
        <v>0.8</v>
      </c>
    </row>
    <row r="74" customFormat="false" ht="15" hidden="false" customHeight="false" outlineLevel="0" collapsed="false">
      <c r="A74" s="9" t="s">
        <v>2544</v>
      </c>
      <c r="B74" s="9" t="s">
        <v>2545</v>
      </c>
      <c r="C74" s="9" t="s">
        <v>2546</v>
      </c>
      <c r="D74" s="11" t="s">
        <v>731</v>
      </c>
      <c r="E74" s="9" t="n">
        <v>1</v>
      </c>
      <c r="F74" s="11" t="s">
        <v>2543</v>
      </c>
      <c r="G74" s="9" t="s">
        <v>2330</v>
      </c>
      <c r="H74" s="9" t="s">
        <v>2370</v>
      </c>
      <c r="I74" s="9" t="s">
        <v>66</v>
      </c>
      <c r="J74" s="10" t="n">
        <v>0.6</v>
      </c>
    </row>
    <row r="75" customFormat="false" ht="15" hidden="false" customHeight="false" outlineLevel="0" collapsed="false">
      <c r="A75" s="9" t="s">
        <v>2547</v>
      </c>
      <c r="B75" s="9" t="s">
        <v>2548</v>
      </c>
      <c r="C75" s="9" t="s">
        <v>2549</v>
      </c>
      <c r="D75" s="11" t="s">
        <v>731</v>
      </c>
      <c r="E75" s="9" t="n">
        <v>1</v>
      </c>
      <c r="F75" s="11" t="s">
        <v>2543</v>
      </c>
      <c r="G75" s="9" t="s">
        <v>2330</v>
      </c>
      <c r="H75" s="9" t="s">
        <v>2370</v>
      </c>
      <c r="I75" s="9" t="s">
        <v>66</v>
      </c>
      <c r="J75" s="10" t="n">
        <v>1.1</v>
      </c>
    </row>
    <row r="76" customFormat="false" ht="15" hidden="false" customHeight="false" outlineLevel="0" collapsed="false">
      <c r="A76" s="9" t="s">
        <v>2550</v>
      </c>
      <c r="B76" s="9" t="s">
        <v>2551</v>
      </c>
      <c r="C76" s="9" t="s">
        <v>2552</v>
      </c>
      <c r="D76" s="11" t="s">
        <v>731</v>
      </c>
      <c r="E76" s="9" t="n">
        <v>1</v>
      </c>
      <c r="F76" s="11" t="s">
        <v>2543</v>
      </c>
      <c r="G76" s="9" t="s">
        <v>2330</v>
      </c>
      <c r="H76" s="9" t="s">
        <v>2370</v>
      </c>
      <c r="I76" s="9" t="s">
        <v>66</v>
      </c>
      <c r="J76" s="10" t="n">
        <v>0.8</v>
      </c>
    </row>
    <row r="77" customFormat="false" ht="15" hidden="false" customHeight="false" outlineLevel="0" collapsed="false">
      <c r="A77" s="9" t="s">
        <v>2553</v>
      </c>
      <c r="B77" s="9" t="s">
        <v>2554</v>
      </c>
      <c r="C77" s="9" t="s">
        <v>2555</v>
      </c>
      <c r="D77" s="11" t="s">
        <v>731</v>
      </c>
      <c r="E77" s="9" t="n">
        <v>1</v>
      </c>
      <c r="F77" s="11" t="s">
        <v>2543</v>
      </c>
      <c r="G77" s="9" t="s">
        <v>2330</v>
      </c>
      <c r="H77" s="9" t="s">
        <v>2370</v>
      </c>
      <c r="I77" s="9" t="s">
        <v>66</v>
      </c>
      <c r="J77" s="10" t="n">
        <v>0.7</v>
      </c>
    </row>
    <row r="78" customFormat="false" ht="15" hidden="false" customHeight="false" outlineLevel="0" collapsed="false">
      <c r="A78" s="9" t="s">
        <v>2556</v>
      </c>
      <c r="B78" s="9" t="s">
        <v>2557</v>
      </c>
      <c r="C78" s="9" t="s">
        <v>2558</v>
      </c>
      <c r="D78" s="11" t="s">
        <v>731</v>
      </c>
      <c r="E78" s="9" t="n">
        <v>1</v>
      </c>
      <c r="F78" s="11" t="s">
        <v>2543</v>
      </c>
      <c r="G78" s="9" t="s">
        <v>2330</v>
      </c>
      <c r="H78" s="9" t="s">
        <v>2370</v>
      </c>
      <c r="I78" s="9" t="s">
        <v>66</v>
      </c>
      <c r="J78" s="10" t="n">
        <v>1</v>
      </c>
    </row>
    <row r="79" customFormat="false" ht="15" hidden="false" customHeight="false" outlineLevel="0" collapsed="false">
      <c r="A79" s="9" t="s">
        <v>2559</v>
      </c>
      <c r="B79" s="9" t="s">
        <v>2560</v>
      </c>
      <c r="C79" s="9" t="s">
        <v>2561</v>
      </c>
      <c r="D79" s="11" t="s">
        <v>731</v>
      </c>
      <c r="E79" s="9" t="n">
        <v>1</v>
      </c>
      <c r="F79" s="11" t="s">
        <v>2543</v>
      </c>
      <c r="G79" s="9" t="s">
        <v>2330</v>
      </c>
      <c r="H79" s="9" t="s">
        <v>2370</v>
      </c>
      <c r="I79" s="9" t="s">
        <v>66</v>
      </c>
      <c r="J79" s="10" t="n">
        <v>0.5</v>
      </c>
    </row>
    <row r="80" customFormat="false" ht="15" hidden="false" customHeight="false" outlineLevel="0" collapsed="false">
      <c r="A80" s="9" t="s">
        <v>2562</v>
      </c>
      <c r="B80" s="9" t="s">
        <v>2563</v>
      </c>
      <c r="C80" s="9" t="s">
        <v>2564</v>
      </c>
      <c r="D80" s="11" t="s">
        <v>731</v>
      </c>
      <c r="E80" s="9" t="n">
        <v>1</v>
      </c>
      <c r="F80" s="11" t="s">
        <v>2543</v>
      </c>
      <c r="G80" s="9" t="s">
        <v>2330</v>
      </c>
      <c r="H80" s="9" t="s">
        <v>2370</v>
      </c>
      <c r="I80" s="9" t="s">
        <v>66</v>
      </c>
      <c r="J80" s="10" t="n">
        <v>0.3</v>
      </c>
    </row>
    <row r="81" customFormat="false" ht="15" hidden="false" customHeight="false" outlineLevel="0" collapsed="false">
      <c r="A81" s="9" t="s">
        <v>2565</v>
      </c>
      <c r="B81" s="9" t="s">
        <v>2566</v>
      </c>
      <c r="C81" s="9" t="s">
        <v>2567</v>
      </c>
      <c r="D81" s="11" t="s">
        <v>731</v>
      </c>
      <c r="E81" s="9" t="n">
        <v>1</v>
      </c>
      <c r="F81" s="11" t="s">
        <v>2543</v>
      </c>
      <c r="G81" s="9" t="s">
        <v>2330</v>
      </c>
      <c r="H81" s="9" t="s">
        <v>2370</v>
      </c>
      <c r="I81" s="9" t="s">
        <v>66</v>
      </c>
      <c r="J81" s="10" t="n">
        <v>0.8</v>
      </c>
    </row>
    <row r="82" customFormat="false" ht="15" hidden="false" customHeight="false" outlineLevel="0" collapsed="false">
      <c r="A82" s="9" t="s">
        <v>2568</v>
      </c>
      <c r="B82" s="9" t="s">
        <v>2569</v>
      </c>
      <c r="C82" s="9" t="s">
        <v>2570</v>
      </c>
      <c r="D82" s="11" t="s">
        <v>731</v>
      </c>
      <c r="E82" s="9" t="n">
        <v>1</v>
      </c>
      <c r="F82" s="11" t="s">
        <v>2543</v>
      </c>
      <c r="G82" s="9" t="s">
        <v>2330</v>
      </c>
      <c r="H82" s="9" t="s">
        <v>2370</v>
      </c>
      <c r="I82" s="9" t="s">
        <v>66</v>
      </c>
      <c r="J82" s="10" t="n">
        <v>0.7</v>
      </c>
    </row>
    <row r="83" customFormat="false" ht="15" hidden="false" customHeight="false" outlineLevel="0" collapsed="false">
      <c r="A83" s="9" t="s">
        <v>2571</v>
      </c>
      <c r="B83" s="9" t="s">
        <v>2572</v>
      </c>
      <c r="C83" s="9" t="s">
        <v>2573</v>
      </c>
      <c r="D83" s="11" t="s">
        <v>731</v>
      </c>
      <c r="E83" s="9" t="n">
        <v>1</v>
      </c>
      <c r="F83" s="11" t="s">
        <v>2543</v>
      </c>
      <c r="G83" s="9" t="s">
        <v>2330</v>
      </c>
      <c r="H83" s="9" t="s">
        <v>2370</v>
      </c>
      <c r="I83" s="9" t="s">
        <v>66</v>
      </c>
      <c r="J83" s="10" t="n">
        <v>0.6</v>
      </c>
    </row>
    <row r="84" customFormat="false" ht="15" hidden="false" customHeight="false" outlineLevel="0" collapsed="false">
      <c r="A84" s="9" t="s">
        <v>2574</v>
      </c>
      <c r="B84" s="9" t="s">
        <v>2575</v>
      </c>
      <c r="C84" s="9" t="s">
        <v>2576</v>
      </c>
      <c r="D84" s="11" t="s">
        <v>731</v>
      </c>
      <c r="E84" s="9" t="n">
        <v>1</v>
      </c>
      <c r="F84" s="11" t="s">
        <v>2543</v>
      </c>
      <c r="G84" s="9" t="s">
        <v>2330</v>
      </c>
      <c r="H84" s="9" t="s">
        <v>2370</v>
      </c>
      <c r="I84" s="9" t="s">
        <v>66</v>
      </c>
      <c r="J84" s="10" t="n">
        <v>0.9</v>
      </c>
    </row>
    <row r="85" customFormat="false" ht="15" hidden="false" customHeight="false" outlineLevel="0" collapsed="false">
      <c r="A85" s="9" t="s">
        <v>2577</v>
      </c>
      <c r="B85" s="9" t="s">
        <v>2578</v>
      </c>
      <c r="C85" s="9" t="s">
        <v>2579</v>
      </c>
      <c r="D85" s="11" t="s">
        <v>731</v>
      </c>
      <c r="E85" s="9" t="n">
        <v>1</v>
      </c>
      <c r="F85" s="11" t="s">
        <v>2543</v>
      </c>
      <c r="G85" s="9" t="s">
        <v>2330</v>
      </c>
      <c r="H85" s="9" t="s">
        <v>2370</v>
      </c>
      <c r="I85" s="9" t="s">
        <v>66</v>
      </c>
      <c r="J85" s="10" t="n">
        <v>0.7</v>
      </c>
    </row>
    <row r="86" customFormat="false" ht="15" hidden="false" customHeight="false" outlineLevel="0" collapsed="false">
      <c r="A86" s="9" t="s">
        <v>2580</v>
      </c>
      <c r="B86" s="9" t="s">
        <v>2581</v>
      </c>
      <c r="C86" s="9" t="s">
        <v>2582</v>
      </c>
      <c r="D86" s="11" t="s">
        <v>731</v>
      </c>
      <c r="E86" s="9" t="n">
        <v>1</v>
      </c>
      <c r="F86" s="11" t="s">
        <v>2543</v>
      </c>
      <c r="G86" s="9" t="s">
        <v>2330</v>
      </c>
      <c r="H86" s="9" t="s">
        <v>2370</v>
      </c>
      <c r="I86" s="9" t="s">
        <v>66</v>
      </c>
      <c r="J86" s="10" t="n">
        <v>0.5</v>
      </c>
    </row>
    <row r="87" customFormat="false" ht="15" hidden="false" customHeight="false" outlineLevel="0" collapsed="false">
      <c r="A87" s="9" t="s">
        <v>2583</v>
      </c>
      <c r="B87" s="9" t="s">
        <v>2584</v>
      </c>
      <c r="C87" s="9" t="s">
        <v>2585</v>
      </c>
      <c r="D87" s="11" t="s">
        <v>731</v>
      </c>
      <c r="E87" s="9" t="n">
        <v>1</v>
      </c>
      <c r="F87" s="11" t="s">
        <v>2543</v>
      </c>
      <c r="G87" s="9" t="s">
        <v>2330</v>
      </c>
      <c r="H87" s="9" t="s">
        <v>2370</v>
      </c>
      <c r="I87" s="9" t="s">
        <v>66</v>
      </c>
      <c r="J87" s="10" t="n">
        <v>1</v>
      </c>
    </row>
    <row r="88" customFormat="false" ht="15" hidden="false" customHeight="false" outlineLevel="0" collapsed="false">
      <c r="A88" s="9" t="s">
        <v>2586</v>
      </c>
      <c r="B88" s="9" t="s">
        <v>2587</v>
      </c>
      <c r="C88" s="9" t="s">
        <v>2588</v>
      </c>
      <c r="D88" s="11" t="s">
        <v>731</v>
      </c>
      <c r="E88" s="9" t="n">
        <v>1</v>
      </c>
      <c r="F88" s="11" t="s">
        <v>2543</v>
      </c>
      <c r="G88" s="9" t="s">
        <v>2330</v>
      </c>
      <c r="H88" s="9" t="s">
        <v>2370</v>
      </c>
      <c r="I88" s="9" t="s">
        <v>66</v>
      </c>
      <c r="J88" s="10" t="n">
        <v>0.9</v>
      </c>
    </row>
    <row r="89" customFormat="false" ht="15" hidden="false" customHeight="false" outlineLevel="0" collapsed="false">
      <c r="A89" s="9" t="s">
        <v>2589</v>
      </c>
      <c r="B89" s="9" t="s">
        <v>2590</v>
      </c>
      <c r="C89" s="9" t="s">
        <v>2591</v>
      </c>
      <c r="D89" s="11" t="s">
        <v>731</v>
      </c>
      <c r="E89" s="9" t="n">
        <v>1</v>
      </c>
      <c r="F89" s="11" t="s">
        <v>2543</v>
      </c>
      <c r="G89" s="9" t="s">
        <v>2330</v>
      </c>
      <c r="H89" s="9" t="s">
        <v>2370</v>
      </c>
      <c r="I89" s="9" t="s">
        <v>66</v>
      </c>
      <c r="J89" s="10" t="n">
        <v>0.8</v>
      </c>
    </row>
    <row r="90" customFormat="false" ht="15" hidden="false" customHeight="false" outlineLevel="0" collapsed="false">
      <c r="A90" s="9" t="s">
        <v>2592</v>
      </c>
      <c r="B90" s="9" t="s">
        <v>2593</v>
      </c>
      <c r="C90" s="9" t="s">
        <v>2594</v>
      </c>
      <c r="D90" s="11" t="s">
        <v>731</v>
      </c>
      <c r="E90" s="9" t="n">
        <v>1</v>
      </c>
      <c r="F90" s="11" t="s">
        <v>2543</v>
      </c>
      <c r="G90" s="9" t="s">
        <v>2330</v>
      </c>
      <c r="H90" s="9" t="s">
        <v>2370</v>
      </c>
      <c r="I90" s="9" t="s">
        <v>66</v>
      </c>
      <c r="J90" s="1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1" t="s">
        <v>2595</v>
      </c>
    </row>
    <row r="2" customFormat="false" ht="15" hidden="false" customHeight="false" outlineLevel="0" collapsed="false">
      <c r="A2" s="2" t="s">
        <v>2596</v>
      </c>
    </row>
    <row r="3" customFormat="false" ht="15" hidden="false" customHeight="false" outlineLevel="0" collapsed="false">
      <c r="A3" s="12" t="s">
        <v>2597</v>
      </c>
    </row>
    <row r="4" customFormat="false" ht="15" hidden="false" customHeight="false" outlineLevel="0" collapsed="false">
      <c r="A4" s="5" t="s">
        <v>2598</v>
      </c>
      <c r="B4" s="9" t="s">
        <v>2599</v>
      </c>
    </row>
    <row r="5" customFormat="false" ht="15" hidden="false" customHeight="false" outlineLevel="0" collapsed="false">
      <c r="A5" s="3" t="s">
        <v>2600</v>
      </c>
      <c r="B5" s="9" t="s">
        <v>2601</v>
      </c>
    </row>
    <row r="6" customFormat="false" ht="15" hidden="false" customHeight="false" outlineLevel="0" collapsed="false">
      <c r="A6" s="5" t="s">
        <v>2602</v>
      </c>
      <c r="B6" s="9" t="s">
        <v>2603</v>
      </c>
    </row>
    <row r="7" customFormat="false" ht="15" hidden="false" customHeight="false" outlineLevel="0" collapsed="false">
      <c r="A7" s="3" t="s">
        <v>2333</v>
      </c>
      <c r="B7" s="9" t="s">
        <v>66</v>
      </c>
    </row>
    <row r="9" customFormat="false" ht="26.85" hidden="false" customHeight="false" outlineLevel="0" collapsed="false">
      <c r="A9" s="7" t="s">
        <v>2604</v>
      </c>
      <c r="B9" s="8" t="s">
        <v>2345</v>
      </c>
      <c r="C9" s="8" t="s">
        <v>2346</v>
      </c>
      <c r="D9" s="7" t="s">
        <v>61</v>
      </c>
      <c r="E9" s="7" t="s">
        <v>290</v>
      </c>
      <c r="F9" s="7" t="s">
        <v>2605</v>
      </c>
      <c r="G9" s="7" t="s">
        <v>1644</v>
      </c>
      <c r="H9" s="7" t="s">
        <v>2606</v>
      </c>
      <c r="I9" s="7" t="s">
        <v>2607</v>
      </c>
      <c r="J9" s="8" t="s">
        <v>36</v>
      </c>
      <c r="K9" s="7" t="s">
        <v>2608</v>
      </c>
    </row>
    <row r="10" customFormat="false" ht="15" hidden="false" customHeight="false" outlineLevel="0" collapsed="false">
      <c r="A10" s="9" t="s">
        <v>2609</v>
      </c>
      <c r="B10" s="9" t="s">
        <v>2610</v>
      </c>
      <c r="C10" s="11" t="s">
        <v>2611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466</v>
      </c>
      <c r="K10" s="12" t="s">
        <v>2612</v>
      </c>
    </row>
    <row r="11" customFormat="false" ht="15" hidden="false" customHeight="false" outlineLevel="0" collapsed="false">
      <c r="A11" s="9" t="s">
        <v>2613</v>
      </c>
      <c r="B11" s="9" t="s">
        <v>2614</v>
      </c>
      <c r="C11" s="11" t="s">
        <v>2615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466</v>
      </c>
      <c r="K11" s="12" t="s">
        <v>2616</v>
      </c>
    </row>
    <row r="12" customFormat="false" ht="15" hidden="false" customHeight="false" outlineLevel="0" collapsed="false">
      <c r="A12" s="9" t="s">
        <v>2617</v>
      </c>
      <c r="B12" s="9" t="s">
        <v>2618</v>
      </c>
      <c r="C12" s="11" t="s">
        <v>2619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466</v>
      </c>
      <c r="K12" s="12" t="s">
        <v>2620</v>
      </c>
    </row>
    <row r="13" customFormat="false" ht="15" hidden="false" customHeight="false" outlineLevel="0" collapsed="false">
      <c r="A13" s="9" t="s">
        <v>2621</v>
      </c>
      <c r="B13" s="9" t="s">
        <v>2622</v>
      </c>
      <c r="C13" s="11" t="s">
        <v>2623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466</v>
      </c>
      <c r="K13" s="12" t="s">
        <v>2624</v>
      </c>
    </row>
    <row r="14" customFormat="false" ht="15" hidden="false" customHeight="false" outlineLevel="0" collapsed="false">
      <c r="A14" s="9" t="s">
        <v>2625</v>
      </c>
      <c r="B14" s="9" t="s">
        <v>2626</v>
      </c>
      <c r="C14" s="9" t="s">
        <v>2627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466</v>
      </c>
      <c r="K14" s="12" t="s">
        <v>2628</v>
      </c>
    </row>
    <row r="15" customFormat="false" ht="15" hidden="false" customHeight="false" outlineLevel="0" collapsed="false">
      <c r="A15" s="9" t="s">
        <v>2629</v>
      </c>
      <c r="B15" s="9" t="s">
        <v>2630</v>
      </c>
      <c r="C15" s="9" t="s">
        <v>2631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2632</v>
      </c>
      <c r="K15" s="12" t="s">
        <v>2633</v>
      </c>
    </row>
    <row r="16" customFormat="false" ht="15" hidden="false" customHeight="false" outlineLevel="0" collapsed="false">
      <c r="A16" s="9" t="s">
        <v>2634</v>
      </c>
      <c r="B16" s="9" t="s">
        <v>2635</v>
      </c>
      <c r="C16" s="11" t="s">
        <v>2636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1090</v>
      </c>
      <c r="K16" s="12" t="s">
        <v>2637</v>
      </c>
    </row>
    <row r="17" customFormat="false" ht="15" hidden="false" customHeight="false" outlineLevel="0" collapsed="false">
      <c r="A17" s="9" t="s">
        <v>2638</v>
      </c>
      <c r="B17" s="9" t="s">
        <v>2639</v>
      </c>
      <c r="C17" s="11" t="s">
        <v>2640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1090</v>
      </c>
      <c r="K17" s="12" t="s">
        <v>2641</v>
      </c>
    </row>
    <row r="18" customFormat="false" ht="15" hidden="false" customHeight="false" outlineLevel="0" collapsed="false">
      <c r="A18" s="9" t="s">
        <v>2642</v>
      </c>
      <c r="B18" s="9" t="s">
        <v>2643</v>
      </c>
      <c r="C18" s="11" t="s">
        <v>2644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466</v>
      </c>
      <c r="K18" s="12" t="s">
        <v>2645</v>
      </c>
    </row>
    <row r="19" customFormat="false" ht="15" hidden="false" customHeight="false" outlineLevel="0" collapsed="false">
      <c r="A19" s="9" t="s">
        <v>2646</v>
      </c>
      <c r="B19" s="9" t="s">
        <v>2647</v>
      </c>
      <c r="C19" s="11" t="s">
        <v>2648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466</v>
      </c>
      <c r="K19" s="12" t="s">
        <v>2649</v>
      </c>
    </row>
    <row r="20" customFormat="false" ht="15" hidden="false" customHeight="false" outlineLevel="0" collapsed="false">
      <c r="A20" s="9" t="s">
        <v>2650</v>
      </c>
      <c r="B20" s="9" t="s">
        <v>2651</v>
      </c>
      <c r="C20" s="11" t="s">
        <v>2652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2653</v>
      </c>
      <c r="K20" s="12" t="s">
        <v>2654</v>
      </c>
    </row>
    <row r="21" customFormat="false" ht="15" hidden="false" customHeight="false" outlineLevel="0" collapsed="false">
      <c r="A21" s="9" t="s">
        <v>2655</v>
      </c>
      <c r="B21" s="9" t="s">
        <v>2656</v>
      </c>
      <c r="C21" s="11" t="s">
        <v>2657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2653</v>
      </c>
      <c r="K21" s="12" t="s">
        <v>2658</v>
      </c>
    </row>
    <row r="22" customFormat="false" ht="15" hidden="false" customHeight="false" outlineLevel="0" collapsed="false">
      <c r="A22" s="9" t="s">
        <v>2659</v>
      </c>
      <c r="B22" s="9" t="s">
        <v>2660</v>
      </c>
      <c r="C22" s="11" t="s">
        <v>2661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2653</v>
      </c>
      <c r="K22" s="12" t="s">
        <v>2662</v>
      </c>
    </row>
    <row r="23" customFormat="false" ht="15" hidden="false" customHeight="false" outlineLevel="0" collapsed="false">
      <c r="A23" s="9" t="s">
        <v>2663</v>
      </c>
      <c r="B23" s="9" t="s">
        <v>2664</v>
      </c>
      <c r="C23" s="11" t="s">
        <v>2665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731</v>
      </c>
      <c r="K23" s="12" t="s">
        <v>2666</v>
      </c>
    </row>
    <row r="24" customFormat="false" ht="15" hidden="false" customHeight="false" outlineLevel="0" collapsed="false">
      <c r="A24" s="9" t="s">
        <v>2667</v>
      </c>
      <c r="B24" s="9" t="s">
        <v>2668</v>
      </c>
      <c r="C24" s="11" t="s">
        <v>2669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466</v>
      </c>
      <c r="K24" s="12" t="s">
        <v>2670</v>
      </c>
    </row>
    <row r="25" customFormat="false" ht="15" hidden="false" customHeight="false" outlineLevel="0" collapsed="false">
      <c r="A25" s="9" t="s">
        <v>2671</v>
      </c>
      <c r="B25" s="9" t="s">
        <v>2672</v>
      </c>
      <c r="C25" s="11" t="s">
        <v>2673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466</v>
      </c>
      <c r="K25" s="12" t="s">
        <v>2674</v>
      </c>
    </row>
    <row r="26" customFormat="false" ht="15" hidden="false" customHeight="false" outlineLevel="0" collapsed="false">
      <c r="A26" s="9" t="s">
        <v>2675</v>
      </c>
      <c r="B26" s="9" t="s">
        <v>2676</v>
      </c>
      <c r="C26" s="11" t="s">
        <v>2677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466</v>
      </c>
      <c r="K26" s="12" t="s">
        <v>2678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20.1" hidden="false" customHeight="false" outlineLevel="0" collapsed="false">
      <c r="A1" s="1" t="s">
        <v>2679</v>
      </c>
    </row>
    <row r="2" customFormat="false" ht="15" hidden="false" customHeight="false" outlineLevel="0" collapsed="false">
      <c r="A2" s="2" t="s">
        <v>2680</v>
      </c>
    </row>
    <row r="3" customFormat="false" ht="15" hidden="false" customHeight="false" outlineLevel="0" collapsed="false">
      <c r="A3" s="2" t="s">
        <v>2681</v>
      </c>
    </row>
    <row r="4" customFormat="false" ht="66.4" hidden="false" customHeight="false" outlineLevel="0" collapsed="false">
      <c r="A4" s="7" t="s">
        <v>2682</v>
      </c>
      <c r="B4" s="8" t="s">
        <v>2683</v>
      </c>
      <c r="C4" s="8" t="s">
        <v>2445</v>
      </c>
      <c r="D4" s="8" t="s">
        <v>36</v>
      </c>
      <c r="E4" s="8" t="s">
        <v>33</v>
      </c>
      <c r="F4" s="8" t="s">
        <v>34</v>
      </c>
      <c r="G4" s="8" t="s">
        <v>35</v>
      </c>
      <c r="H4" s="8" t="s">
        <v>22</v>
      </c>
      <c r="I4" s="8" t="s">
        <v>2684</v>
      </c>
      <c r="J4" s="8" t="s">
        <v>2685</v>
      </c>
      <c r="K4" s="8" t="s">
        <v>2686</v>
      </c>
      <c r="L4" s="8" t="s">
        <v>53</v>
      </c>
      <c r="M4" s="7" t="s">
        <v>2687</v>
      </c>
      <c r="N4" s="7" t="s">
        <v>30</v>
      </c>
    </row>
    <row r="5" customFormat="false" ht="15" hidden="false" customHeight="false" outlineLevel="0" collapsed="false">
      <c r="A5" s="9" t="s">
        <v>2688</v>
      </c>
      <c r="B5" s="11" t="s">
        <v>2689</v>
      </c>
      <c r="C5" s="11" t="s">
        <v>2690</v>
      </c>
      <c r="D5" s="11" t="s">
        <v>2173</v>
      </c>
      <c r="E5" s="10" t="n">
        <v>2025</v>
      </c>
      <c r="F5" s="10" t="n">
        <v>2025</v>
      </c>
      <c r="G5" s="10" t="n">
        <v>2025</v>
      </c>
      <c r="H5" s="9" t="s">
        <v>2691</v>
      </c>
      <c r="I5" s="11" t="s">
        <v>2692</v>
      </c>
      <c r="J5" s="11" t="s">
        <v>2693</v>
      </c>
      <c r="K5" s="9" t="s">
        <v>2694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2695</v>
      </c>
    </row>
    <row r="6" customFormat="false" ht="15" hidden="false" customHeight="false" outlineLevel="0" collapsed="false">
      <c r="A6" s="9" t="s">
        <v>2696</v>
      </c>
      <c r="B6" s="11" t="s">
        <v>2689</v>
      </c>
      <c r="C6" s="11" t="s">
        <v>2697</v>
      </c>
      <c r="D6" s="11" t="s">
        <v>2173</v>
      </c>
      <c r="E6" s="10" t="n">
        <v>2026</v>
      </c>
      <c r="F6" s="10" t="n">
        <v>2026</v>
      </c>
      <c r="G6" s="10" t="n">
        <v>2026</v>
      </c>
      <c r="H6" s="9" t="s">
        <v>2691</v>
      </c>
      <c r="I6" s="9" t="s">
        <v>2698</v>
      </c>
      <c r="J6" s="11" t="s">
        <v>2693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2699</v>
      </c>
    </row>
    <row r="7" customFormat="false" ht="15" hidden="false" customHeight="false" outlineLevel="0" collapsed="false">
      <c r="A7" s="9" t="s">
        <v>2700</v>
      </c>
      <c r="B7" s="11" t="s">
        <v>2689</v>
      </c>
      <c r="C7" s="11" t="s">
        <v>2701</v>
      </c>
      <c r="D7" s="11" t="s">
        <v>2173</v>
      </c>
      <c r="E7" s="10" t="n">
        <v>2027</v>
      </c>
      <c r="F7" s="10" t="n">
        <v>2027</v>
      </c>
      <c r="G7" s="10" t="n">
        <v>2027</v>
      </c>
      <c r="H7" s="9" t="s">
        <v>2691</v>
      </c>
      <c r="I7" s="11" t="s">
        <v>2702</v>
      </c>
      <c r="J7" s="11" t="s">
        <v>2693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2703</v>
      </c>
    </row>
    <row r="8" customFormat="false" ht="15" hidden="false" customHeight="false" outlineLevel="0" collapsed="false">
      <c r="A8" s="9" t="s">
        <v>2704</v>
      </c>
      <c r="B8" s="11" t="s">
        <v>2689</v>
      </c>
      <c r="C8" s="11" t="s">
        <v>2705</v>
      </c>
      <c r="D8" s="11" t="s">
        <v>2173</v>
      </c>
      <c r="E8" s="10" t="n">
        <v>2028</v>
      </c>
      <c r="F8" s="10" t="n">
        <v>2028</v>
      </c>
      <c r="G8" s="10" t="n">
        <v>2028</v>
      </c>
      <c r="H8" s="9" t="s">
        <v>2691</v>
      </c>
      <c r="I8" s="11" t="s">
        <v>2702</v>
      </c>
      <c r="J8" s="11" t="s">
        <v>2693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2706</v>
      </c>
    </row>
    <row r="9" customFormat="false" ht="15" hidden="false" customHeight="false" outlineLevel="0" collapsed="false">
      <c r="A9" s="9" t="s">
        <v>2707</v>
      </c>
      <c r="B9" s="11" t="s">
        <v>2689</v>
      </c>
      <c r="C9" s="11" t="s">
        <v>2708</v>
      </c>
      <c r="D9" s="11" t="s">
        <v>2173</v>
      </c>
      <c r="E9" s="10" t="n">
        <v>2029</v>
      </c>
      <c r="F9" s="10" t="n">
        <v>2029</v>
      </c>
      <c r="G9" s="10" t="n">
        <v>2029</v>
      </c>
      <c r="H9" s="9" t="s">
        <v>2691</v>
      </c>
      <c r="I9" s="11" t="s">
        <v>2702</v>
      </c>
      <c r="J9" s="11" t="s">
        <v>2693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2709</v>
      </c>
    </row>
    <row r="10" customFormat="false" ht="15" hidden="false" customHeight="false" outlineLevel="0" collapsed="false">
      <c r="A10" s="9" t="s">
        <v>2710</v>
      </c>
      <c r="B10" s="11" t="s">
        <v>2689</v>
      </c>
      <c r="C10" s="11" t="s">
        <v>2711</v>
      </c>
      <c r="D10" s="11" t="s">
        <v>2173</v>
      </c>
      <c r="E10" s="10" t="n">
        <v>2030</v>
      </c>
      <c r="F10" s="10" t="n">
        <v>2030</v>
      </c>
      <c r="G10" s="10" t="n">
        <v>2030</v>
      </c>
      <c r="H10" s="9" t="s">
        <v>2691</v>
      </c>
      <c r="I10" s="11" t="s">
        <v>2702</v>
      </c>
      <c r="J10" s="11" t="s">
        <v>2693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2712</v>
      </c>
    </row>
    <row r="11" customFormat="false" ht="15" hidden="false" customHeight="false" outlineLevel="0" collapsed="false">
      <c r="A11" s="9" t="s">
        <v>2713</v>
      </c>
      <c r="B11" s="11" t="s">
        <v>2714</v>
      </c>
      <c r="C11" s="9" t="s">
        <v>2715</v>
      </c>
      <c r="D11" s="11" t="s">
        <v>2716</v>
      </c>
      <c r="E11" s="10" t="n">
        <v>365</v>
      </c>
      <c r="F11" s="10" t="n">
        <v>365</v>
      </c>
      <c r="G11" s="10" t="n">
        <v>365</v>
      </c>
      <c r="H11" s="9" t="s">
        <v>2691</v>
      </c>
      <c r="I11" s="11" t="s">
        <v>2717</v>
      </c>
      <c r="J11" s="11" t="s">
        <v>2718</v>
      </c>
      <c r="K11" s="11" t="s">
        <v>2719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2720</v>
      </c>
    </row>
    <row r="12" customFormat="false" ht="15" hidden="false" customHeight="false" outlineLevel="0" collapsed="false">
      <c r="A12" s="9" t="s">
        <v>2721</v>
      </c>
      <c r="B12" s="11" t="s">
        <v>2722</v>
      </c>
      <c r="C12" s="9" t="s">
        <v>2715</v>
      </c>
      <c r="D12" s="11" t="s">
        <v>2723</v>
      </c>
      <c r="E12" s="10" t="n">
        <v>12</v>
      </c>
      <c r="F12" s="10" t="n">
        <v>12</v>
      </c>
      <c r="G12" s="10" t="n">
        <v>12</v>
      </c>
      <c r="H12" s="9" t="s">
        <v>2691</v>
      </c>
      <c r="I12" s="11" t="s">
        <v>2717</v>
      </c>
      <c r="J12" s="11" t="s">
        <v>2718</v>
      </c>
      <c r="K12" s="11" t="s">
        <v>2724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2725</v>
      </c>
    </row>
    <row r="13" customFormat="false" ht="15" hidden="false" customHeight="false" outlineLevel="0" collapsed="false">
      <c r="A13" s="9" t="s">
        <v>2726</v>
      </c>
      <c r="B13" s="11" t="s">
        <v>2727</v>
      </c>
      <c r="C13" s="9" t="s">
        <v>2715</v>
      </c>
      <c r="D13" s="11" t="s">
        <v>2723</v>
      </c>
      <c r="E13" s="10" t="n">
        <v>6</v>
      </c>
      <c r="F13" s="10" t="n">
        <v>6</v>
      </c>
      <c r="G13" s="10" t="n">
        <v>6</v>
      </c>
      <c r="H13" s="9" t="s">
        <v>2691</v>
      </c>
      <c r="I13" s="11" t="s">
        <v>2728</v>
      </c>
      <c r="J13" s="11" t="s">
        <v>2718</v>
      </c>
      <c r="K13" s="9" t="s">
        <v>2729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2730</v>
      </c>
    </row>
    <row r="14" customFormat="false" ht="15" hidden="false" customHeight="false" outlineLevel="0" collapsed="false">
      <c r="A14" s="9" t="s">
        <v>2731</v>
      </c>
      <c r="B14" s="11" t="s">
        <v>2732</v>
      </c>
      <c r="C14" s="9" t="s">
        <v>2715</v>
      </c>
      <c r="D14" s="11" t="s">
        <v>2723</v>
      </c>
      <c r="E14" s="10" t="n">
        <v>1</v>
      </c>
      <c r="F14" s="10" t="n">
        <v>1</v>
      </c>
      <c r="G14" s="10" t="n">
        <v>1</v>
      </c>
      <c r="H14" s="9" t="s">
        <v>2691</v>
      </c>
      <c r="I14" s="11" t="s">
        <v>2702</v>
      </c>
      <c r="J14" s="11" t="s">
        <v>2718</v>
      </c>
      <c r="K14" s="9" t="s">
        <v>2733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2734</v>
      </c>
    </row>
    <row r="15" customFormat="false" ht="15" hidden="false" customHeight="false" outlineLevel="0" collapsed="false">
      <c r="A15" s="9" t="s">
        <v>2735</v>
      </c>
      <c r="B15" s="11" t="s">
        <v>2736</v>
      </c>
      <c r="C15" s="9" t="s">
        <v>2715</v>
      </c>
      <c r="D15" s="11" t="s">
        <v>2737</v>
      </c>
      <c r="E15" s="10" t="n">
        <v>1</v>
      </c>
      <c r="F15" s="10" t="n">
        <v>1</v>
      </c>
      <c r="G15" s="10" t="n">
        <v>1</v>
      </c>
      <c r="H15" s="9" t="s">
        <v>2691</v>
      </c>
      <c r="I15" s="11" t="s">
        <v>2702</v>
      </c>
      <c r="J15" s="11" t="s">
        <v>2718</v>
      </c>
      <c r="K15" s="11" t="s">
        <v>2738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2739</v>
      </c>
    </row>
    <row r="16" customFormat="false" ht="15" hidden="false" customHeight="false" outlineLevel="0" collapsed="false">
      <c r="A16" s="9" t="s">
        <v>2740</v>
      </c>
      <c r="B16" s="11" t="s">
        <v>2741</v>
      </c>
      <c r="C16" s="9" t="s">
        <v>2715</v>
      </c>
      <c r="D16" s="9" t="s">
        <v>2742</v>
      </c>
      <c r="E16" s="10" t="n">
        <v>1000</v>
      </c>
      <c r="F16" s="10" t="n">
        <v>1000</v>
      </c>
      <c r="G16" s="10" t="n">
        <v>1000</v>
      </c>
      <c r="H16" s="9" t="s">
        <v>2691</v>
      </c>
      <c r="I16" s="11" t="s">
        <v>2717</v>
      </c>
      <c r="J16" s="11" t="s">
        <v>2718</v>
      </c>
      <c r="K16" s="11" t="s">
        <v>2743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2744</v>
      </c>
    </row>
    <row r="17" customFormat="false" ht="15" hidden="false" customHeight="false" outlineLevel="0" collapsed="false">
      <c r="A17" s="9" t="s">
        <v>2745</v>
      </c>
      <c r="B17" s="11" t="s">
        <v>2746</v>
      </c>
      <c r="C17" s="9" t="s">
        <v>2715</v>
      </c>
      <c r="D17" s="9" t="s">
        <v>2747</v>
      </c>
      <c r="E17" s="10" t="n">
        <v>1000</v>
      </c>
      <c r="F17" s="10" t="n">
        <v>1000</v>
      </c>
      <c r="G17" s="10" t="n">
        <v>1000</v>
      </c>
      <c r="H17" s="9" t="s">
        <v>2691</v>
      </c>
      <c r="I17" s="11" t="s">
        <v>2717</v>
      </c>
      <c r="J17" s="11" t="s">
        <v>2718</v>
      </c>
      <c r="K17" s="11" t="s">
        <v>2748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2749</v>
      </c>
    </row>
    <row r="18" customFormat="false" ht="15" hidden="false" customHeight="false" outlineLevel="0" collapsed="false">
      <c r="A18" s="9" t="s">
        <v>2750</v>
      </c>
      <c r="B18" s="9" t="s">
        <v>2751</v>
      </c>
      <c r="C18" s="9" t="s">
        <v>2715</v>
      </c>
      <c r="D18" s="11" t="s">
        <v>2723</v>
      </c>
      <c r="E18" s="10" t="n">
        <v>36</v>
      </c>
      <c r="F18" s="10" t="n">
        <v>36</v>
      </c>
      <c r="G18" s="10" t="n">
        <v>36</v>
      </c>
      <c r="H18" s="9" t="s">
        <v>2691</v>
      </c>
      <c r="I18" s="9" t="s">
        <v>2752</v>
      </c>
      <c r="J18" s="11" t="s">
        <v>2753</v>
      </c>
      <c r="K18" s="9" t="s">
        <v>2754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2755</v>
      </c>
    </row>
    <row r="19" customFormat="false" ht="15" hidden="false" customHeight="false" outlineLevel="0" collapsed="false">
      <c r="A19" s="9" t="s">
        <v>2756</v>
      </c>
      <c r="B19" s="11" t="s">
        <v>2757</v>
      </c>
      <c r="C19" s="9" t="s">
        <v>2715</v>
      </c>
      <c r="D19" s="11" t="s">
        <v>2173</v>
      </c>
      <c r="E19" s="10" t="n">
        <v>2027</v>
      </c>
      <c r="F19" s="10" t="n">
        <v>2027</v>
      </c>
      <c r="G19" s="10" t="n">
        <v>2027</v>
      </c>
      <c r="H19" s="9" t="s">
        <v>2691</v>
      </c>
      <c r="I19" s="9" t="s">
        <v>2758</v>
      </c>
      <c r="J19" s="11" t="s">
        <v>2693</v>
      </c>
      <c r="K19" s="9" t="s">
        <v>2759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2760</v>
      </c>
    </row>
    <row r="20" customFormat="false" ht="15" hidden="false" customHeight="false" outlineLevel="0" collapsed="false">
      <c r="A20" s="9" t="s">
        <v>2761</v>
      </c>
      <c r="B20" s="11" t="s">
        <v>2762</v>
      </c>
      <c r="C20" s="9" t="s">
        <v>2715</v>
      </c>
      <c r="D20" s="11" t="s">
        <v>731</v>
      </c>
      <c r="E20" s="10" t="n">
        <v>1</v>
      </c>
      <c r="F20" s="10" t="n">
        <v>1</v>
      </c>
      <c r="G20" s="10" t="n">
        <v>1</v>
      </c>
      <c r="H20" s="9" t="s">
        <v>2691</v>
      </c>
      <c r="I20" s="11" t="s">
        <v>2763</v>
      </c>
      <c r="J20" s="11" t="s">
        <v>2764</v>
      </c>
      <c r="K20" s="9" t="s">
        <v>2765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2766</v>
      </c>
    </row>
    <row r="21" customFormat="false" ht="15" hidden="false" customHeight="false" outlineLevel="0" collapsed="false">
      <c r="A21" s="9" t="s">
        <v>2767</v>
      </c>
      <c r="B21" s="11" t="s">
        <v>2768</v>
      </c>
      <c r="C21" s="9" t="s">
        <v>2715</v>
      </c>
      <c r="D21" s="9" t="s">
        <v>60</v>
      </c>
      <c r="E21" s="10" t="n">
        <v>0</v>
      </c>
      <c r="F21" s="10" t="n">
        <v>0</v>
      </c>
      <c r="G21" s="10" t="n">
        <v>0</v>
      </c>
      <c r="H21" s="9" t="s">
        <v>2691</v>
      </c>
      <c r="I21" s="11" t="s">
        <v>2769</v>
      </c>
      <c r="J21" s="11" t="s">
        <v>2770</v>
      </c>
      <c r="K21" s="9" t="s">
        <v>2771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2772</v>
      </c>
    </row>
    <row r="22" customFormat="false" ht="15" hidden="false" customHeight="false" outlineLevel="0" collapsed="false">
      <c r="A22" s="9" t="s">
        <v>2773</v>
      </c>
      <c r="B22" s="9" t="s">
        <v>2774</v>
      </c>
      <c r="C22" s="9" t="s">
        <v>2715</v>
      </c>
      <c r="D22" s="11" t="s">
        <v>253</v>
      </c>
      <c r="E22" s="10" t="n">
        <v>0.25</v>
      </c>
      <c r="F22" s="10" t="n">
        <v>0.25</v>
      </c>
      <c r="G22" s="10" t="n">
        <v>0.25</v>
      </c>
      <c r="H22" s="9" t="s">
        <v>2691</v>
      </c>
      <c r="I22" s="11" t="s">
        <v>2775</v>
      </c>
      <c r="J22" s="11" t="s">
        <v>2776</v>
      </c>
      <c r="K22" s="9" t="s">
        <v>18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2777</v>
      </c>
    </row>
    <row r="23" customFormat="false" ht="15" hidden="false" customHeight="false" outlineLevel="0" collapsed="false">
      <c r="A23" s="9" t="s">
        <v>2778</v>
      </c>
      <c r="B23" s="9" t="s">
        <v>2779</v>
      </c>
      <c r="C23" s="9" t="s">
        <v>2715</v>
      </c>
      <c r="D23" s="11" t="s">
        <v>253</v>
      </c>
      <c r="E23" s="10" t="n">
        <v>0.3</v>
      </c>
      <c r="F23" s="10" t="n">
        <v>0.1</v>
      </c>
      <c r="G23" s="10" t="n">
        <v>0.5</v>
      </c>
      <c r="H23" s="9" t="s">
        <v>2780</v>
      </c>
      <c r="I23" s="11" t="s">
        <v>2781</v>
      </c>
      <c r="J23" s="11" t="s">
        <v>2782</v>
      </c>
      <c r="K23" s="9" t="s">
        <v>2783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2784</v>
      </c>
    </row>
    <row r="24" customFormat="false" ht="15" hidden="false" customHeight="false" outlineLevel="0" collapsed="false">
      <c r="A24" s="9" t="s">
        <v>2785</v>
      </c>
      <c r="B24" s="9" t="s">
        <v>2786</v>
      </c>
      <c r="C24" s="9" t="s">
        <v>2715</v>
      </c>
      <c r="D24" s="11" t="s">
        <v>253</v>
      </c>
      <c r="E24" s="10" t="n">
        <v>0.3</v>
      </c>
      <c r="F24" s="10" t="n">
        <v>0.1</v>
      </c>
      <c r="G24" s="10" t="n">
        <v>0.5</v>
      </c>
      <c r="H24" s="9" t="s">
        <v>2780</v>
      </c>
      <c r="I24" s="11" t="s">
        <v>2787</v>
      </c>
      <c r="J24" s="11" t="s">
        <v>2738</v>
      </c>
      <c r="K24" s="9"/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2788</v>
      </c>
    </row>
    <row r="25" customFormat="false" ht="15" hidden="false" customHeight="false" outlineLevel="0" collapsed="false">
      <c r="A25" s="9" t="s">
        <v>2789</v>
      </c>
      <c r="B25" s="11" t="s">
        <v>2790</v>
      </c>
      <c r="C25" s="9" t="s">
        <v>61</v>
      </c>
      <c r="D25" s="11" t="s">
        <v>253</v>
      </c>
      <c r="E25" s="10" t="n">
        <v>0.85</v>
      </c>
      <c r="F25" s="10" t="n">
        <v>0.75</v>
      </c>
      <c r="G25" s="10" t="n">
        <v>0.95</v>
      </c>
      <c r="H25" s="9" t="s">
        <v>2780</v>
      </c>
      <c r="I25" s="11" t="s">
        <v>2791</v>
      </c>
      <c r="J25" s="9" t="s">
        <v>2792</v>
      </c>
      <c r="K25" s="9" t="s">
        <v>2793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2794</v>
      </c>
    </row>
    <row r="26" customFormat="false" ht="15" hidden="false" customHeight="false" outlineLevel="0" collapsed="false">
      <c r="A26" s="9" t="s">
        <v>2795</v>
      </c>
      <c r="B26" s="11" t="s">
        <v>2796</v>
      </c>
      <c r="C26" s="9" t="s">
        <v>61</v>
      </c>
      <c r="D26" s="11" t="s">
        <v>253</v>
      </c>
      <c r="E26" s="10" t="n">
        <v>0.1</v>
      </c>
      <c r="F26" s="10" t="n">
        <v>0.03</v>
      </c>
      <c r="G26" s="10" t="n">
        <v>0.15</v>
      </c>
      <c r="H26" s="9" t="s">
        <v>2780</v>
      </c>
      <c r="I26" s="11" t="s">
        <v>2797</v>
      </c>
      <c r="J26" s="11" t="s">
        <v>2798</v>
      </c>
      <c r="K26" s="9"/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2799</v>
      </c>
    </row>
    <row r="27" customFormat="false" ht="15" hidden="false" customHeight="false" outlineLevel="0" collapsed="false">
      <c r="A27" s="9" t="s">
        <v>2800</v>
      </c>
      <c r="B27" s="11" t="s">
        <v>2790</v>
      </c>
      <c r="C27" s="9" t="s">
        <v>2801</v>
      </c>
      <c r="D27" s="11" t="s">
        <v>253</v>
      </c>
      <c r="E27" s="10" t="n">
        <v>0.7</v>
      </c>
      <c r="F27" s="10" t="n">
        <v>0.55</v>
      </c>
      <c r="G27" s="10" t="n">
        <v>0.85</v>
      </c>
      <c r="H27" s="9" t="s">
        <v>2780</v>
      </c>
      <c r="I27" s="9" t="s">
        <v>2802</v>
      </c>
      <c r="J27" s="9" t="s">
        <v>2803</v>
      </c>
      <c r="K27" s="9" t="s">
        <v>2804</v>
      </c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2805</v>
      </c>
    </row>
    <row r="28" customFormat="false" ht="15" hidden="false" customHeight="false" outlineLevel="0" collapsed="false">
      <c r="A28" s="9" t="s">
        <v>2806</v>
      </c>
      <c r="B28" s="11" t="s">
        <v>2796</v>
      </c>
      <c r="C28" s="9" t="s">
        <v>2801</v>
      </c>
      <c r="D28" s="11" t="s">
        <v>253</v>
      </c>
      <c r="E28" s="10" t="n">
        <v>0.18</v>
      </c>
      <c r="F28" s="10" t="n">
        <v>0.1</v>
      </c>
      <c r="G28" s="10" t="n">
        <v>0.25</v>
      </c>
      <c r="H28" s="9" t="s">
        <v>2780</v>
      </c>
      <c r="I28" s="11" t="s">
        <v>2738</v>
      </c>
      <c r="J28" s="11" t="s">
        <v>2738</v>
      </c>
      <c r="K28" s="9"/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2807</v>
      </c>
    </row>
    <row r="29" customFormat="false" ht="15" hidden="false" customHeight="false" outlineLevel="0" collapsed="false">
      <c r="A29" s="9" t="s">
        <v>2808</v>
      </c>
      <c r="B29" s="11" t="s">
        <v>2809</v>
      </c>
      <c r="C29" s="9" t="s">
        <v>61</v>
      </c>
      <c r="D29" s="11" t="s">
        <v>253</v>
      </c>
      <c r="E29" s="10" t="n">
        <v>0.5</v>
      </c>
      <c r="F29" s="10" t="n">
        <v>0.3</v>
      </c>
      <c r="G29" s="10" t="n">
        <v>0.7</v>
      </c>
      <c r="H29" s="9" t="s">
        <v>2780</v>
      </c>
      <c r="I29" s="11" t="s">
        <v>2810</v>
      </c>
      <c r="J29" s="9" t="s">
        <v>2811</v>
      </c>
      <c r="K29" s="9" t="s">
        <v>2812</v>
      </c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2813</v>
      </c>
    </row>
    <row r="30" customFormat="false" ht="15" hidden="false" customHeight="false" outlineLevel="0" collapsed="false">
      <c r="A30" s="9" t="s">
        <v>2814</v>
      </c>
      <c r="B30" s="11" t="s">
        <v>2815</v>
      </c>
      <c r="C30" s="9" t="s">
        <v>61</v>
      </c>
      <c r="D30" s="11" t="s">
        <v>253</v>
      </c>
      <c r="E30" s="10" t="n">
        <v>0.15</v>
      </c>
      <c r="F30" s="10" t="n">
        <v>0.05</v>
      </c>
      <c r="G30" s="10" t="n">
        <v>0.3</v>
      </c>
      <c r="H30" s="9" t="s">
        <v>2780</v>
      </c>
      <c r="I30" s="9" t="s">
        <v>2816</v>
      </c>
      <c r="J30" s="11" t="s">
        <v>2738</v>
      </c>
      <c r="K30" s="9"/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2817</v>
      </c>
    </row>
    <row r="31" customFormat="false" ht="15" hidden="false" customHeight="false" outlineLevel="0" collapsed="false">
      <c r="A31" s="9" t="s">
        <v>2818</v>
      </c>
      <c r="B31" s="11" t="s">
        <v>2809</v>
      </c>
      <c r="C31" s="9" t="s">
        <v>2801</v>
      </c>
      <c r="D31" s="11" t="s">
        <v>253</v>
      </c>
      <c r="E31" s="10" t="n">
        <v>0.35</v>
      </c>
      <c r="F31" s="10" t="n">
        <v>0.2</v>
      </c>
      <c r="G31" s="10" t="n">
        <v>0.5</v>
      </c>
      <c r="H31" s="9" t="s">
        <v>2780</v>
      </c>
      <c r="I31" s="9" t="s">
        <v>2819</v>
      </c>
      <c r="J31" s="9" t="s">
        <v>2820</v>
      </c>
      <c r="K31" s="9" t="s">
        <v>2804</v>
      </c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2821</v>
      </c>
    </row>
    <row r="32" customFormat="false" ht="15" hidden="false" customHeight="false" outlineLevel="0" collapsed="false">
      <c r="A32" s="9" t="s">
        <v>2822</v>
      </c>
      <c r="B32" s="11" t="s">
        <v>2815</v>
      </c>
      <c r="C32" s="9" t="s">
        <v>2801</v>
      </c>
      <c r="D32" s="11" t="s">
        <v>253</v>
      </c>
      <c r="E32" s="10" t="n">
        <v>0.2</v>
      </c>
      <c r="F32" s="10" t="n">
        <v>0.1</v>
      </c>
      <c r="G32" s="10" t="n">
        <v>0.35</v>
      </c>
      <c r="H32" s="9" t="s">
        <v>2780</v>
      </c>
      <c r="I32" s="11" t="s">
        <v>2738</v>
      </c>
      <c r="J32" s="11" t="s">
        <v>2738</v>
      </c>
      <c r="K32" s="9"/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2823</v>
      </c>
    </row>
    <row r="33" customFormat="false" ht="15" hidden="false" customHeight="false" outlineLevel="0" collapsed="false">
      <c r="A33" s="9" t="s">
        <v>2824</v>
      </c>
      <c r="B33" s="11" t="s">
        <v>2825</v>
      </c>
      <c r="C33" s="9" t="s">
        <v>61</v>
      </c>
      <c r="D33" s="11" t="s">
        <v>253</v>
      </c>
      <c r="E33" s="10" t="n">
        <v>0.05</v>
      </c>
      <c r="F33" s="10" t="n">
        <v>0.03</v>
      </c>
      <c r="G33" s="10" t="n">
        <v>0.08</v>
      </c>
      <c r="H33" s="9" t="s">
        <v>283</v>
      </c>
      <c r="I33" s="9" t="s">
        <v>2826</v>
      </c>
      <c r="J33" s="11" t="s">
        <v>2827</v>
      </c>
      <c r="K33" s="11" t="s">
        <v>2828</v>
      </c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2829</v>
      </c>
    </row>
    <row r="34" customFormat="false" ht="15" hidden="false" customHeight="false" outlineLevel="0" collapsed="false">
      <c r="A34" s="9" t="s">
        <v>2830</v>
      </c>
      <c r="B34" s="11" t="s">
        <v>2831</v>
      </c>
      <c r="C34" s="9" t="s">
        <v>290</v>
      </c>
      <c r="D34" s="11" t="s">
        <v>2832</v>
      </c>
      <c r="E34" s="10" t="n">
        <v>3</v>
      </c>
      <c r="F34" s="10" t="n">
        <v>1.5</v>
      </c>
      <c r="G34" s="10" t="n">
        <v>5</v>
      </c>
      <c r="H34" s="9" t="s">
        <v>2780</v>
      </c>
      <c r="I34" s="11" t="s">
        <v>2833</v>
      </c>
      <c r="J34" s="11" t="s">
        <v>2834</v>
      </c>
      <c r="K34" s="9" t="s">
        <v>2835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2836</v>
      </c>
    </row>
    <row r="35" customFormat="false" ht="15" hidden="false" customHeight="false" outlineLevel="0" collapsed="false">
      <c r="A35" s="9" t="s">
        <v>2837</v>
      </c>
      <c r="B35" s="11" t="s">
        <v>2831</v>
      </c>
      <c r="C35" s="9" t="s">
        <v>2605</v>
      </c>
      <c r="D35" s="11" t="s">
        <v>2832</v>
      </c>
      <c r="E35" s="10" t="n">
        <v>0.6</v>
      </c>
      <c r="F35" s="10" t="n">
        <v>0.3</v>
      </c>
      <c r="G35" s="10" t="n">
        <v>1</v>
      </c>
      <c r="H35" s="9" t="s">
        <v>2780</v>
      </c>
      <c r="I35" s="11" t="s">
        <v>2838</v>
      </c>
      <c r="J35" s="9" t="s">
        <v>2839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2840</v>
      </c>
    </row>
    <row r="36" customFormat="false" ht="15" hidden="false" customHeight="false" outlineLevel="0" collapsed="false">
      <c r="A36" s="9" t="s">
        <v>2841</v>
      </c>
      <c r="B36" s="11" t="s">
        <v>2831</v>
      </c>
      <c r="C36" s="9" t="s">
        <v>1644</v>
      </c>
      <c r="D36" s="11" t="s">
        <v>2832</v>
      </c>
      <c r="E36" s="10" t="n">
        <v>0.4</v>
      </c>
      <c r="F36" s="10" t="n">
        <v>0.2</v>
      </c>
      <c r="G36" s="10" t="n">
        <v>0.7</v>
      </c>
      <c r="H36" s="9" t="s">
        <v>2780</v>
      </c>
      <c r="I36" s="11" t="s">
        <v>2738</v>
      </c>
      <c r="J36" s="11" t="s">
        <v>2738</v>
      </c>
      <c r="K36" s="9"/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2842</v>
      </c>
    </row>
    <row r="37" customFormat="false" ht="15" hidden="false" customHeight="false" outlineLevel="0" collapsed="false">
      <c r="A37" s="9" t="s">
        <v>2843</v>
      </c>
      <c r="B37" s="11" t="s">
        <v>2831</v>
      </c>
      <c r="C37" s="9" t="s">
        <v>2606</v>
      </c>
      <c r="D37" s="11" t="s">
        <v>2832</v>
      </c>
      <c r="E37" s="10" t="n">
        <v>0.3</v>
      </c>
      <c r="F37" s="10" t="n">
        <v>0.1</v>
      </c>
      <c r="G37" s="10" t="n">
        <v>0.5</v>
      </c>
      <c r="H37" s="9" t="s">
        <v>2780</v>
      </c>
      <c r="I37" s="11" t="s">
        <v>2738</v>
      </c>
      <c r="J37" s="11" t="s">
        <v>2738</v>
      </c>
      <c r="K37" s="9"/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2844</v>
      </c>
    </row>
    <row r="38" customFormat="false" ht="15" hidden="false" customHeight="false" outlineLevel="0" collapsed="false">
      <c r="A38" s="9" t="s">
        <v>2845</v>
      </c>
      <c r="B38" s="11" t="s">
        <v>2831</v>
      </c>
      <c r="C38" s="9" t="s">
        <v>2607</v>
      </c>
      <c r="D38" s="11" t="s">
        <v>2832</v>
      </c>
      <c r="E38" s="10" t="n">
        <v>0.2</v>
      </c>
      <c r="F38" s="10" t="n">
        <v>0.05</v>
      </c>
      <c r="G38" s="10" t="n">
        <v>0.4</v>
      </c>
      <c r="H38" s="9" t="s">
        <v>2780</v>
      </c>
      <c r="I38" s="11" t="s">
        <v>2738</v>
      </c>
      <c r="J38" s="11" t="s">
        <v>2738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2846</v>
      </c>
    </row>
    <row r="39" customFormat="false" ht="15" hidden="false" customHeight="false" outlineLevel="0" collapsed="false">
      <c r="A39" s="9" t="s">
        <v>2847</v>
      </c>
      <c r="B39" s="11" t="s">
        <v>2848</v>
      </c>
      <c r="C39" s="9" t="s">
        <v>290</v>
      </c>
      <c r="D39" s="11" t="s">
        <v>2832</v>
      </c>
      <c r="E39" s="10" t="n">
        <v>1</v>
      </c>
      <c r="F39" s="10" t="n">
        <v>0.5</v>
      </c>
      <c r="G39" s="10" t="n">
        <v>2</v>
      </c>
      <c r="H39" s="9" t="s">
        <v>2780</v>
      </c>
      <c r="I39" s="11" t="s">
        <v>2849</v>
      </c>
      <c r="J39" s="11" t="s">
        <v>2850</v>
      </c>
      <c r="K39" s="11" t="s">
        <v>2851</v>
      </c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2852</v>
      </c>
    </row>
    <row r="40" customFormat="false" ht="15" hidden="false" customHeight="false" outlineLevel="0" collapsed="false">
      <c r="A40" s="9" t="s">
        <v>2853</v>
      </c>
      <c r="B40" s="11" t="s">
        <v>2848</v>
      </c>
      <c r="C40" s="9" t="s">
        <v>2605</v>
      </c>
      <c r="D40" s="11" t="s">
        <v>2832</v>
      </c>
      <c r="E40" s="10" t="n">
        <v>0.5</v>
      </c>
      <c r="F40" s="10" t="n">
        <v>0.2</v>
      </c>
      <c r="G40" s="10" t="n">
        <v>0.8</v>
      </c>
      <c r="H40" s="9" t="s">
        <v>2780</v>
      </c>
      <c r="I40" s="11" t="s">
        <v>2854</v>
      </c>
      <c r="J40" s="9" t="s">
        <v>2855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2856</v>
      </c>
    </row>
    <row r="41" customFormat="false" ht="15" hidden="false" customHeight="false" outlineLevel="0" collapsed="false">
      <c r="A41" s="9" t="s">
        <v>2857</v>
      </c>
      <c r="B41" s="11" t="s">
        <v>2848</v>
      </c>
      <c r="C41" s="9" t="s">
        <v>1644</v>
      </c>
      <c r="D41" s="11" t="s">
        <v>2832</v>
      </c>
      <c r="E41" s="10" t="n">
        <v>0.3</v>
      </c>
      <c r="F41" s="10" t="n">
        <v>0.1</v>
      </c>
      <c r="G41" s="10" t="n">
        <v>0.5</v>
      </c>
      <c r="H41" s="9" t="s">
        <v>2780</v>
      </c>
      <c r="I41" s="11" t="s">
        <v>2738</v>
      </c>
      <c r="J41" s="9" t="s">
        <v>2811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2858</v>
      </c>
    </row>
    <row r="42" customFormat="false" ht="15" hidden="false" customHeight="false" outlineLevel="0" collapsed="false">
      <c r="A42" s="9" t="s">
        <v>2859</v>
      </c>
      <c r="B42" s="11" t="s">
        <v>2848</v>
      </c>
      <c r="C42" s="9" t="s">
        <v>2606</v>
      </c>
      <c r="D42" s="11" t="s">
        <v>2832</v>
      </c>
      <c r="E42" s="10" t="n">
        <v>0.2</v>
      </c>
      <c r="F42" s="10" t="n">
        <v>0.05</v>
      </c>
      <c r="G42" s="10" t="n">
        <v>0.4</v>
      </c>
      <c r="H42" s="9" t="s">
        <v>2780</v>
      </c>
      <c r="I42" s="11" t="s">
        <v>2738</v>
      </c>
      <c r="J42" s="11" t="s">
        <v>2738</v>
      </c>
      <c r="K42" s="9"/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2860</v>
      </c>
    </row>
    <row r="43" customFormat="false" ht="15" hidden="false" customHeight="false" outlineLevel="0" collapsed="false">
      <c r="A43" s="9" t="s">
        <v>2861</v>
      </c>
      <c r="B43" s="11" t="s">
        <v>2848</v>
      </c>
      <c r="C43" s="9" t="s">
        <v>2607</v>
      </c>
      <c r="D43" s="11" t="s">
        <v>2832</v>
      </c>
      <c r="E43" s="10" t="n">
        <v>0.15</v>
      </c>
      <c r="F43" s="10" t="n">
        <v>0.05</v>
      </c>
      <c r="G43" s="10" t="n">
        <v>0.3</v>
      </c>
      <c r="H43" s="9" t="s">
        <v>2780</v>
      </c>
      <c r="I43" s="11" t="s">
        <v>2738</v>
      </c>
      <c r="J43" s="11" t="s">
        <v>2738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2862</v>
      </c>
    </row>
    <row r="44" customFormat="false" ht="15" hidden="false" customHeight="false" outlineLevel="0" collapsed="false">
      <c r="A44" s="9" t="s">
        <v>2863</v>
      </c>
      <c r="B44" s="11" t="s">
        <v>2864</v>
      </c>
      <c r="C44" s="9" t="s">
        <v>290</v>
      </c>
      <c r="D44" s="11" t="s">
        <v>2832</v>
      </c>
      <c r="E44" s="10" t="n">
        <v>3</v>
      </c>
      <c r="F44" s="10" t="n">
        <v>1</v>
      </c>
      <c r="G44" s="10" t="n">
        <v>5</v>
      </c>
      <c r="H44" s="9" t="s">
        <v>2780</v>
      </c>
      <c r="I44" s="9" t="s">
        <v>2865</v>
      </c>
      <c r="J44" s="11" t="s">
        <v>2866</v>
      </c>
      <c r="K44" s="9" t="s">
        <v>2867</v>
      </c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2868</v>
      </c>
    </row>
    <row r="45" customFormat="false" ht="15" hidden="false" customHeight="false" outlineLevel="0" collapsed="false">
      <c r="A45" s="9" t="s">
        <v>2869</v>
      </c>
      <c r="B45" s="11" t="s">
        <v>2864</v>
      </c>
      <c r="C45" s="9" t="s">
        <v>2605</v>
      </c>
      <c r="D45" s="11" t="s">
        <v>2832</v>
      </c>
      <c r="E45" s="10" t="n">
        <v>1</v>
      </c>
      <c r="F45" s="10" t="n">
        <v>0.5</v>
      </c>
      <c r="G45" s="10" t="n">
        <v>1.5</v>
      </c>
      <c r="H45" s="9" t="s">
        <v>2780</v>
      </c>
      <c r="I45" s="11" t="s">
        <v>2838</v>
      </c>
      <c r="J45" s="9" t="s">
        <v>2870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2871</v>
      </c>
    </row>
    <row r="46" customFormat="false" ht="15" hidden="false" customHeight="false" outlineLevel="0" collapsed="false">
      <c r="A46" s="9" t="s">
        <v>2872</v>
      </c>
      <c r="B46" s="11" t="s">
        <v>2864</v>
      </c>
      <c r="C46" s="9" t="s">
        <v>1644</v>
      </c>
      <c r="D46" s="11" t="s">
        <v>2832</v>
      </c>
      <c r="E46" s="10" t="n">
        <v>0.5</v>
      </c>
      <c r="F46" s="10" t="n">
        <v>0.25</v>
      </c>
      <c r="G46" s="10" t="n">
        <v>0.8</v>
      </c>
      <c r="H46" s="9" t="s">
        <v>2780</v>
      </c>
      <c r="I46" s="11" t="s">
        <v>2738</v>
      </c>
      <c r="J46" s="11" t="s">
        <v>2738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2873</v>
      </c>
    </row>
    <row r="47" customFormat="false" ht="15" hidden="false" customHeight="false" outlineLevel="0" collapsed="false">
      <c r="A47" s="9" t="s">
        <v>2874</v>
      </c>
      <c r="B47" s="11" t="s">
        <v>2864</v>
      </c>
      <c r="C47" s="9" t="s">
        <v>2606</v>
      </c>
      <c r="D47" s="11" t="s">
        <v>2832</v>
      </c>
      <c r="E47" s="10" t="n">
        <v>0.35</v>
      </c>
      <c r="F47" s="10" t="n">
        <v>0.15</v>
      </c>
      <c r="G47" s="10" t="n">
        <v>0.5</v>
      </c>
      <c r="H47" s="9" t="s">
        <v>2780</v>
      </c>
      <c r="I47" s="11" t="s">
        <v>2738</v>
      </c>
      <c r="J47" s="11" t="s">
        <v>2738</v>
      </c>
      <c r="K47" s="9"/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2875</v>
      </c>
    </row>
    <row r="48" customFormat="false" ht="15" hidden="false" customHeight="false" outlineLevel="0" collapsed="false">
      <c r="A48" s="9" t="s">
        <v>2876</v>
      </c>
      <c r="B48" s="11" t="s">
        <v>2864</v>
      </c>
      <c r="C48" s="9" t="s">
        <v>2607</v>
      </c>
      <c r="D48" s="11" t="s">
        <v>2832</v>
      </c>
      <c r="E48" s="10" t="n">
        <v>0.25</v>
      </c>
      <c r="F48" s="10" t="n">
        <v>0.1</v>
      </c>
      <c r="G48" s="10" t="n">
        <v>0.4</v>
      </c>
      <c r="H48" s="9" t="s">
        <v>2780</v>
      </c>
      <c r="I48" s="11" t="s">
        <v>2738</v>
      </c>
      <c r="J48" s="11" t="s">
        <v>2738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2877</v>
      </c>
    </row>
    <row r="49" customFormat="false" ht="15" hidden="false" customHeight="false" outlineLevel="0" collapsed="false">
      <c r="A49" s="9" t="s">
        <v>2878</v>
      </c>
      <c r="B49" s="11" t="s">
        <v>2879</v>
      </c>
      <c r="C49" s="9" t="s">
        <v>61</v>
      </c>
      <c r="D49" s="11" t="s">
        <v>2880</v>
      </c>
      <c r="E49" s="10" t="n">
        <v>2</v>
      </c>
      <c r="F49" s="10" t="n">
        <v>1</v>
      </c>
      <c r="G49" s="10" t="n">
        <v>4</v>
      </c>
      <c r="H49" s="9" t="s">
        <v>283</v>
      </c>
      <c r="I49" s="9" t="s">
        <v>2881</v>
      </c>
      <c r="J49" s="9" t="s">
        <v>2882</v>
      </c>
      <c r="K49" s="9" t="s">
        <v>2883</v>
      </c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2884</v>
      </c>
    </row>
    <row r="50" customFormat="false" ht="15" hidden="false" customHeight="false" outlineLevel="0" collapsed="false">
      <c r="A50" s="9" t="s">
        <v>2885</v>
      </c>
      <c r="B50" s="11" t="s">
        <v>2886</v>
      </c>
      <c r="C50" s="9" t="s">
        <v>61</v>
      </c>
      <c r="D50" s="11" t="s">
        <v>2880</v>
      </c>
      <c r="E50" s="10" t="n">
        <v>8</v>
      </c>
      <c r="F50" s="10" t="n">
        <v>4</v>
      </c>
      <c r="G50" s="10" t="n">
        <v>15</v>
      </c>
      <c r="H50" s="9" t="s">
        <v>283</v>
      </c>
      <c r="I50" s="9" t="s">
        <v>2887</v>
      </c>
      <c r="J50" s="9" t="s">
        <v>2882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2888</v>
      </c>
    </row>
    <row r="51" customFormat="false" ht="15" hidden="false" customHeight="false" outlineLevel="0" collapsed="false">
      <c r="A51" s="9" t="s">
        <v>2889</v>
      </c>
      <c r="B51" s="11" t="s">
        <v>2890</v>
      </c>
      <c r="C51" s="9" t="s">
        <v>61</v>
      </c>
      <c r="D51" s="11" t="s">
        <v>2880</v>
      </c>
      <c r="E51" s="10" t="n">
        <v>20</v>
      </c>
      <c r="F51" s="10" t="n">
        <v>10</v>
      </c>
      <c r="G51" s="10" t="n">
        <v>40</v>
      </c>
      <c r="H51" s="9" t="s">
        <v>283</v>
      </c>
      <c r="I51" s="9" t="s">
        <v>2891</v>
      </c>
      <c r="J51" s="9" t="s">
        <v>2882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2892</v>
      </c>
    </row>
    <row r="52" customFormat="false" ht="15" hidden="false" customHeight="false" outlineLevel="0" collapsed="false">
      <c r="A52" s="9" t="s">
        <v>2893</v>
      </c>
      <c r="B52" s="11" t="s">
        <v>2894</v>
      </c>
      <c r="C52" s="9" t="s">
        <v>61</v>
      </c>
      <c r="D52" s="11" t="s">
        <v>2880</v>
      </c>
      <c r="E52" s="10" t="n">
        <v>40</v>
      </c>
      <c r="F52" s="10" t="n">
        <v>20</v>
      </c>
      <c r="G52" s="10" t="n">
        <v>80</v>
      </c>
      <c r="H52" s="9" t="s">
        <v>283</v>
      </c>
      <c r="I52" s="11" t="s">
        <v>2895</v>
      </c>
      <c r="J52" s="9" t="s">
        <v>2882</v>
      </c>
      <c r="K52" s="9"/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2896</v>
      </c>
    </row>
    <row r="53" customFormat="false" ht="15" hidden="false" customHeight="false" outlineLevel="0" collapsed="false">
      <c r="A53" s="9" t="s">
        <v>2897</v>
      </c>
      <c r="B53" s="11" t="s">
        <v>2898</v>
      </c>
      <c r="C53" s="9" t="s">
        <v>61</v>
      </c>
      <c r="D53" s="11" t="s">
        <v>2880</v>
      </c>
      <c r="E53" s="10" t="n">
        <v>6</v>
      </c>
      <c r="F53" s="10" t="n">
        <v>3</v>
      </c>
      <c r="G53" s="10" t="n">
        <v>12</v>
      </c>
      <c r="H53" s="9" t="s">
        <v>283</v>
      </c>
      <c r="I53" s="9" t="s">
        <v>2899</v>
      </c>
      <c r="J53" s="9" t="s">
        <v>2882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2900</v>
      </c>
    </row>
    <row r="54" customFormat="false" ht="15" hidden="false" customHeight="false" outlineLevel="0" collapsed="false">
      <c r="A54" s="9" t="s">
        <v>2901</v>
      </c>
      <c r="B54" s="11" t="s">
        <v>2902</v>
      </c>
      <c r="C54" s="9" t="s">
        <v>61</v>
      </c>
      <c r="D54" s="11" t="s">
        <v>2880</v>
      </c>
      <c r="E54" s="10" t="n">
        <v>15</v>
      </c>
      <c r="F54" s="10" t="n">
        <v>8</v>
      </c>
      <c r="G54" s="10" t="n">
        <v>30</v>
      </c>
      <c r="H54" s="9" t="s">
        <v>2780</v>
      </c>
      <c r="I54" s="9" t="s">
        <v>2903</v>
      </c>
      <c r="J54" s="9" t="s">
        <v>2882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2904</v>
      </c>
    </row>
    <row r="55" customFormat="false" ht="15" hidden="false" customHeight="false" outlineLevel="0" collapsed="false">
      <c r="A55" s="9" t="s">
        <v>2905</v>
      </c>
      <c r="B55" s="11" t="s">
        <v>2906</v>
      </c>
      <c r="C55" s="9" t="s">
        <v>61</v>
      </c>
      <c r="D55" s="11" t="s">
        <v>2880</v>
      </c>
      <c r="E55" s="10" t="n">
        <v>8</v>
      </c>
      <c r="F55" s="10" t="n">
        <v>4</v>
      </c>
      <c r="G55" s="10" t="n">
        <v>15</v>
      </c>
      <c r="H55" s="9" t="s">
        <v>283</v>
      </c>
      <c r="I55" s="9" t="s">
        <v>2907</v>
      </c>
      <c r="J55" s="9" t="s">
        <v>2882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2908</v>
      </c>
    </row>
    <row r="56" customFormat="false" ht="15" hidden="false" customHeight="false" outlineLevel="0" collapsed="false">
      <c r="A56" s="9" t="s">
        <v>2909</v>
      </c>
      <c r="B56" s="11" t="s">
        <v>2910</v>
      </c>
      <c r="C56" s="9" t="s">
        <v>2801</v>
      </c>
      <c r="D56" s="11" t="s">
        <v>2832</v>
      </c>
      <c r="E56" s="10" t="n">
        <v>0.1</v>
      </c>
      <c r="F56" s="10" t="n">
        <v>0.05</v>
      </c>
      <c r="G56" s="10" t="n">
        <v>0.2</v>
      </c>
      <c r="H56" s="9" t="s">
        <v>283</v>
      </c>
      <c r="I56" s="9" t="s">
        <v>2911</v>
      </c>
      <c r="J56" s="11" t="s">
        <v>2912</v>
      </c>
      <c r="K56" s="11" t="s">
        <v>2913</v>
      </c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2914</v>
      </c>
    </row>
    <row r="57" customFormat="false" ht="15" hidden="false" customHeight="false" outlineLevel="0" collapsed="false">
      <c r="A57" s="9" t="s">
        <v>2915</v>
      </c>
      <c r="B57" s="11" t="s">
        <v>2916</v>
      </c>
      <c r="C57" s="9" t="s">
        <v>2917</v>
      </c>
      <c r="D57" s="11" t="s">
        <v>253</v>
      </c>
      <c r="E57" s="10" t="n">
        <v>0.95</v>
      </c>
      <c r="F57" s="10" t="n">
        <v>0.85</v>
      </c>
      <c r="G57" s="10" t="n">
        <v>1</v>
      </c>
      <c r="H57" s="9" t="s">
        <v>2780</v>
      </c>
      <c r="I57" s="11" t="s">
        <v>2918</v>
      </c>
      <c r="J57" s="9" t="s">
        <v>2919</v>
      </c>
      <c r="K57" s="11" t="s">
        <v>2920</v>
      </c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2921</v>
      </c>
    </row>
    <row r="58" customFormat="false" ht="15" hidden="false" customHeight="false" outlineLevel="0" collapsed="false">
      <c r="A58" s="9" t="s">
        <v>2922</v>
      </c>
      <c r="B58" s="11" t="s">
        <v>2923</v>
      </c>
      <c r="C58" s="9" t="s">
        <v>2917</v>
      </c>
      <c r="D58" s="11" t="s">
        <v>253</v>
      </c>
      <c r="E58" s="10" t="n">
        <v>0</v>
      </c>
      <c r="F58" s="10" t="n">
        <v>0</v>
      </c>
      <c r="G58" s="10" t="n">
        <v>0.05</v>
      </c>
      <c r="H58" s="9" t="s">
        <v>2780</v>
      </c>
      <c r="I58" s="11" t="s">
        <v>2918</v>
      </c>
      <c r="J58" s="11" t="s">
        <v>2924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2925</v>
      </c>
    </row>
    <row r="59" customFormat="false" ht="15" hidden="false" customHeight="false" outlineLevel="0" collapsed="false">
      <c r="A59" s="9" t="s">
        <v>2926</v>
      </c>
      <c r="B59" s="11" t="s">
        <v>2916</v>
      </c>
      <c r="C59" s="9" t="s">
        <v>2927</v>
      </c>
      <c r="D59" s="11" t="s">
        <v>253</v>
      </c>
      <c r="E59" s="10" t="n">
        <v>0.65</v>
      </c>
      <c r="F59" s="10" t="n">
        <v>0.5</v>
      </c>
      <c r="G59" s="10" t="n">
        <v>0.8</v>
      </c>
      <c r="H59" s="9" t="s">
        <v>2780</v>
      </c>
      <c r="I59" s="9" t="s">
        <v>2928</v>
      </c>
      <c r="J59" s="9" t="s">
        <v>2820</v>
      </c>
      <c r="K59" s="9"/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2929</v>
      </c>
    </row>
    <row r="60" customFormat="false" ht="15" hidden="false" customHeight="false" outlineLevel="0" collapsed="false">
      <c r="A60" s="9" t="s">
        <v>2930</v>
      </c>
      <c r="B60" s="11" t="s">
        <v>2923</v>
      </c>
      <c r="C60" s="9" t="s">
        <v>2927</v>
      </c>
      <c r="D60" s="11" t="s">
        <v>253</v>
      </c>
      <c r="E60" s="10" t="n">
        <v>0.25</v>
      </c>
      <c r="F60" s="10" t="n">
        <v>0.1</v>
      </c>
      <c r="G60" s="10" t="n">
        <v>0.4</v>
      </c>
      <c r="H60" s="9" t="s">
        <v>2780</v>
      </c>
      <c r="I60" s="11" t="s">
        <v>2738</v>
      </c>
      <c r="J60" s="9" t="s">
        <v>2820</v>
      </c>
      <c r="K60" s="9"/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2931</v>
      </c>
    </row>
    <row r="61" customFormat="false" ht="15" hidden="false" customHeight="false" outlineLevel="0" collapsed="false">
      <c r="A61" s="9" t="s">
        <v>2932</v>
      </c>
      <c r="B61" s="11" t="s">
        <v>2916</v>
      </c>
      <c r="C61" s="9" t="s">
        <v>2933</v>
      </c>
      <c r="D61" s="11" t="s">
        <v>253</v>
      </c>
      <c r="E61" s="10" t="n">
        <v>0.3</v>
      </c>
      <c r="F61" s="10" t="n">
        <v>0.15</v>
      </c>
      <c r="G61" s="10" t="n">
        <v>0.5</v>
      </c>
      <c r="H61" s="9" t="s">
        <v>2780</v>
      </c>
      <c r="I61" s="9" t="s">
        <v>2934</v>
      </c>
      <c r="J61" s="9" t="s">
        <v>2935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2936</v>
      </c>
    </row>
    <row r="62" customFormat="false" ht="15" hidden="false" customHeight="false" outlineLevel="0" collapsed="false">
      <c r="A62" s="9" t="s">
        <v>2937</v>
      </c>
      <c r="B62" s="11" t="s">
        <v>2923</v>
      </c>
      <c r="C62" s="9" t="s">
        <v>2933</v>
      </c>
      <c r="D62" s="11" t="s">
        <v>253</v>
      </c>
      <c r="E62" s="10" t="n">
        <v>0.6</v>
      </c>
      <c r="F62" s="10" t="n">
        <v>0.4</v>
      </c>
      <c r="G62" s="10" t="n">
        <v>0.75</v>
      </c>
      <c r="H62" s="9" t="s">
        <v>2780</v>
      </c>
      <c r="I62" s="11" t="s">
        <v>2738</v>
      </c>
      <c r="J62" s="11" t="s">
        <v>2738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2938</v>
      </c>
    </row>
    <row r="63" customFormat="false" ht="15" hidden="false" customHeight="false" outlineLevel="0" collapsed="false">
      <c r="A63" s="9" t="s">
        <v>2939</v>
      </c>
      <c r="B63" s="11" t="s">
        <v>2916</v>
      </c>
      <c r="C63" s="9" t="s">
        <v>2940</v>
      </c>
      <c r="D63" s="11" t="s">
        <v>253</v>
      </c>
      <c r="E63" s="10" t="n">
        <v>0.2</v>
      </c>
      <c r="F63" s="10" t="n">
        <v>0.1</v>
      </c>
      <c r="G63" s="10" t="n">
        <v>0.35</v>
      </c>
      <c r="H63" s="9" t="s">
        <v>2780</v>
      </c>
      <c r="I63" s="11" t="s">
        <v>2738</v>
      </c>
      <c r="J63" s="11" t="s">
        <v>2738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2941</v>
      </c>
    </row>
    <row r="64" customFormat="false" ht="15" hidden="false" customHeight="false" outlineLevel="0" collapsed="false">
      <c r="A64" s="9" t="s">
        <v>2942</v>
      </c>
      <c r="B64" s="11" t="s">
        <v>2923</v>
      </c>
      <c r="C64" s="9" t="s">
        <v>2940</v>
      </c>
      <c r="D64" s="11" t="s">
        <v>253</v>
      </c>
      <c r="E64" s="10" t="n">
        <v>0.7</v>
      </c>
      <c r="F64" s="10" t="n">
        <v>0.5</v>
      </c>
      <c r="G64" s="10" t="n">
        <v>0.85</v>
      </c>
      <c r="H64" s="9" t="s">
        <v>2780</v>
      </c>
      <c r="I64" s="11" t="s">
        <v>2738</v>
      </c>
      <c r="J64" s="11" t="s">
        <v>2738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2943</v>
      </c>
    </row>
    <row r="65" customFormat="false" ht="15" hidden="false" customHeight="false" outlineLevel="0" collapsed="false">
      <c r="A65" s="9" t="s">
        <v>2944</v>
      </c>
      <c r="B65" s="11" t="s">
        <v>2916</v>
      </c>
      <c r="C65" s="9" t="s">
        <v>2945</v>
      </c>
      <c r="D65" s="11" t="s">
        <v>253</v>
      </c>
      <c r="E65" s="10" t="n">
        <v>0.75</v>
      </c>
      <c r="F65" s="10" t="n">
        <v>0.6</v>
      </c>
      <c r="G65" s="10" t="n">
        <v>0.9</v>
      </c>
      <c r="H65" s="9" t="s">
        <v>2780</v>
      </c>
      <c r="I65" s="11" t="s">
        <v>2946</v>
      </c>
      <c r="J65" s="9" t="s">
        <v>2820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2947</v>
      </c>
    </row>
    <row r="66" customFormat="false" ht="15" hidden="false" customHeight="false" outlineLevel="0" collapsed="false">
      <c r="A66" s="9" t="s">
        <v>2948</v>
      </c>
      <c r="B66" s="11" t="s">
        <v>2923</v>
      </c>
      <c r="C66" s="9" t="s">
        <v>2945</v>
      </c>
      <c r="D66" s="11" t="s">
        <v>253</v>
      </c>
      <c r="E66" s="10" t="n">
        <v>0.15</v>
      </c>
      <c r="F66" s="10" t="n">
        <v>0.05</v>
      </c>
      <c r="G66" s="10" t="n">
        <v>0.3</v>
      </c>
      <c r="H66" s="9" t="s">
        <v>2780</v>
      </c>
      <c r="I66" s="11" t="s">
        <v>2738</v>
      </c>
      <c r="J66" s="11" t="s">
        <v>2738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2949</v>
      </c>
    </row>
    <row r="67" customFormat="false" ht="15" hidden="false" customHeight="false" outlineLevel="0" collapsed="false">
      <c r="A67" s="9" t="s">
        <v>2950</v>
      </c>
      <c r="B67" s="11" t="s">
        <v>2916</v>
      </c>
      <c r="C67" s="9" t="s">
        <v>2951</v>
      </c>
      <c r="D67" s="11" t="s">
        <v>253</v>
      </c>
      <c r="E67" s="10" t="n">
        <v>0.3</v>
      </c>
      <c r="F67" s="10" t="n">
        <v>0.15</v>
      </c>
      <c r="G67" s="10" t="n">
        <v>0.5</v>
      </c>
      <c r="H67" s="9" t="s">
        <v>2780</v>
      </c>
      <c r="I67" s="9" t="s">
        <v>2952</v>
      </c>
      <c r="J67" s="11" t="s">
        <v>2738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2953</v>
      </c>
    </row>
    <row r="68" customFormat="false" ht="15" hidden="false" customHeight="false" outlineLevel="0" collapsed="false">
      <c r="A68" s="9" t="s">
        <v>2954</v>
      </c>
      <c r="B68" s="11" t="s">
        <v>2923</v>
      </c>
      <c r="C68" s="9" t="s">
        <v>2951</v>
      </c>
      <c r="D68" s="11" t="s">
        <v>253</v>
      </c>
      <c r="E68" s="10" t="n">
        <v>0.6</v>
      </c>
      <c r="F68" s="10" t="n">
        <v>0.4</v>
      </c>
      <c r="G68" s="10" t="n">
        <v>0.75</v>
      </c>
      <c r="H68" s="9" t="s">
        <v>2780</v>
      </c>
      <c r="I68" s="11" t="s">
        <v>2738</v>
      </c>
      <c r="J68" s="11" t="s">
        <v>2738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2955</v>
      </c>
    </row>
    <row r="69" customFormat="false" ht="15" hidden="false" customHeight="false" outlineLevel="0" collapsed="false">
      <c r="A69" s="9" t="s">
        <v>2956</v>
      </c>
      <c r="B69" s="11" t="s">
        <v>2916</v>
      </c>
      <c r="C69" s="9" t="s">
        <v>2957</v>
      </c>
      <c r="D69" s="11" t="s">
        <v>253</v>
      </c>
      <c r="E69" s="10" t="n">
        <v>0.55</v>
      </c>
      <c r="F69" s="10" t="n">
        <v>0.4</v>
      </c>
      <c r="G69" s="10" t="n">
        <v>0.7</v>
      </c>
      <c r="H69" s="9" t="s">
        <v>2780</v>
      </c>
      <c r="I69" s="11" t="s">
        <v>2958</v>
      </c>
      <c r="J69" s="9" t="s">
        <v>2820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2959</v>
      </c>
    </row>
    <row r="70" customFormat="false" ht="15" hidden="false" customHeight="false" outlineLevel="0" collapsed="false">
      <c r="A70" s="9" t="s">
        <v>2960</v>
      </c>
      <c r="B70" s="11" t="s">
        <v>2923</v>
      </c>
      <c r="C70" s="9" t="s">
        <v>2957</v>
      </c>
      <c r="D70" s="11" t="s">
        <v>253</v>
      </c>
      <c r="E70" s="10" t="n">
        <v>0.3</v>
      </c>
      <c r="F70" s="10" t="n">
        <v>0.15</v>
      </c>
      <c r="G70" s="10" t="n">
        <v>0.45</v>
      </c>
      <c r="H70" s="9" t="s">
        <v>2780</v>
      </c>
      <c r="I70" s="11" t="s">
        <v>2738</v>
      </c>
      <c r="J70" s="11" t="s">
        <v>2738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2961</v>
      </c>
    </row>
    <row r="71" customFormat="false" ht="15" hidden="false" customHeight="false" outlineLevel="0" collapsed="false">
      <c r="A71" s="9" t="s">
        <v>2962</v>
      </c>
      <c r="B71" s="11" t="s">
        <v>2963</v>
      </c>
      <c r="C71" s="9" t="s">
        <v>61</v>
      </c>
      <c r="D71" s="9" t="s">
        <v>2964</v>
      </c>
      <c r="E71" s="10" t="n">
        <v>4</v>
      </c>
      <c r="F71" s="10" t="n">
        <v>2</v>
      </c>
      <c r="G71" s="10" t="n">
        <v>8</v>
      </c>
      <c r="H71" s="9" t="s">
        <v>283</v>
      </c>
      <c r="I71" s="9" t="s">
        <v>2965</v>
      </c>
      <c r="J71" s="9" t="s">
        <v>2882</v>
      </c>
      <c r="K71" s="9" t="s">
        <v>2966</v>
      </c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2967</v>
      </c>
    </row>
    <row r="72" customFormat="false" ht="15" hidden="false" customHeight="false" outlineLevel="0" collapsed="false">
      <c r="A72" s="9" t="s">
        <v>2968</v>
      </c>
      <c r="B72" s="11" t="s">
        <v>2969</v>
      </c>
      <c r="C72" s="9" t="s">
        <v>61</v>
      </c>
      <c r="D72" s="9" t="s">
        <v>2964</v>
      </c>
      <c r="E72" s="10" t="n">
        <v>200</v>
      </c>
      <c r="F72" s="10" t="n">
        <v>50</v>
      </c>
      <c r="G72" s="10" t="n">
        <v>500</v>
      </c>
      <c r="H72" s="9" t="s">
        <v>2780</v>
      </c>
      <c r="I72" s="11" t="s">
        <v>2970</v>
      </c>
      <c r="J72" s="11" t="s">
        <v>2971</v>
      </c>
      <c r="K72" s="9" t="s">
        <v>2972</v>
      </c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2973</v>
      </c>
    </row>
    <row r="73" customFormat="false" ht="15" hidden="false" customHeight="false" outlineLevel="0" collapsed="false">
      <c r="A73" s="9" t="s">
        <v>2974</v>
      </c>
      <c r="B73" s="11" t="s">
        <v>2975</v>
      </c>
      <c r="C73" s="9" t="s">
        <v>61</v>
      </c>
      <c r="D73" s="9" t="s">
        <v>2964</v>
      </c>
      <c r="E73" s="10" t="n">
        <v>50</v>
      </c>
      <c r="F73" s="10" t="n">
        <v>20</v>
      </c>
      <c r="G73" s="10" t="n">
        <v>150</v>
      </c>
      <c r="H73" s="9" t="s">
        <v>2780</v>
      </c>
      <c r="I73" s="11" t="s">
        <v>2976</v>
      </c>
      <c r="J73" s="9" t="s">
        <v>2977</v>
      </c>
      <c r="K73" s="11" t="s">
        <v>2738</v>
      </c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2978</v>
      </c>
    </row>
    <row r="74" customFormat="false" ht="15" hidden="false" customHeight="false" outlineLevel="0" collapsed="false">
      <c r="A74" s="9" t="s">
        <v>2979</v>
      </c>
      <c r="B74" s="11" t="s">
        <v>2980</v>
      </c>
      <c r="C74" s="9" t="s">
        <v>2801</v>
      </c>
      <c r="D74" s="11" t="s">
        <v>2832</v>
      </c>
      <c r="E74" s="10" t="n">
        <v>0.15</v>
      </c>
      <c r="F74" s="10" t="n">
        <v>0.05</v>
      </c>
      <c r="G74" s="10" t="n">
        <v>0.3</v>
      </c>
      <c r="H74" s="9" t="s">
        <v>283</v>
      </c>
      <c r="I74" s="9" t="s">
        <v>2981</v>
      </c>
      <c r="J74" s="9" t="s">
        <v>2982</v>
      </c>
      <c r="K74" s="9"/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2983</v>
      </c>
    </row>
    <row r="75" customFormat="false" ht="15" hidden="false" customHeight="false" outlineLevel="0" collapsed="false">
      <c r="A75" s="9" t="s">
        <v>2984</v>
      </c>
      <c r="B75" s="11" t="s">
        <v>2985</v>
      </c>
      <c r="C75" s="11" t="s">
        <v>2986</v>
      </c>
      <c r="D75" s="11" t="s">
        <v>253</v>
      </c>
      <c r="E75" s="10" t="n">
        <v>0.3</v>
      </c>
      <c r="F75" s="10" t="n">
        <v>0.15</v>
      </c>
      <c r="G75" s="10" t="n">
        <v>0.5</v>
      </c>
      <c r="H75" s="9" t="s">
        <v>2780</v>
      </c>
      <c r="I75" s="11" t="s">
        <v>2987</v>
      </c>
      <c r="J75" s="9" t="s">
        <v>2935</v>
      </c>
      <c r="K75" s="9" t="s">
        <v>2988</v>
      </c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2989</v>
      </c>
    </row>
    <row r="76" customFormat="false" ht="15" hidden="false" customHeight="false" outlineLevel="0" collapsed="false">
      <c r="A76" s="9" t="s">
        <v>2990</v>
      </c>
      <c r="B76" s="11" t="s">
        <v>2991</v>
      </c>
      <c r="C76" s="11" t="s">
        <v>2986</v>
      </c>
      <c r="D76" s="11" t="s">
        <v>253</v>
      </c>
      <c r="E76" s="10" t="n">
        <v>0.65</v>
      </c>
      <c r="F76" s="10" t="n">
        <v>0.45</v>
      </c>
      <c r="G76" s="10" t="n">
        <v>0.8</v>
      </c>
      <c r="H76" s="9" t="s">
        <v>2780</v>
      </c>
      <c r="I76" s="11" t="s">
        <v>2738</v>
      </c>
      <c r="J76" s="11" t="s">
        <v>2738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2992</v>
      </c>
    </row>
    <row r="77" customFormat="false" ht="15" hidden="false" customHeight="false" outlineLevel="0" collapsed="false">
      <c r="A77" s="9" t="s">
        <v>2993</v>
      </c>
      <c r="B77" s="11" t="s">
        <v>2985</v>
      </c>
      <c r="C77" s="11" t="s">
        <v>2994</v>
      </c>
      <c r="D77" s="11" t="s">
        <v>253</v>
      </c>
      <c r="E77" s="10" t="n">
        <v>0.05</v>
      </c>
      <c r="F77" s="10" t="n">
        <v>0</v>
      </c>
      <c r="G77" s="10" t="n">
        <v>0.15</v>
      </c>
      <c r="H77" s="9" t="s">
        <v>2780</v>
      </c>
      <c r="I77" s="11" t="s">
        <v>2995</v>
      </c>
      <c r="J77" s="11" t="s">
        <v>2738</v>
      </c>
      <c r="K77" s="9"/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2996</v>
      </c>
    </row>
    <row r="78" customFormat="false" ht="15" hidden="false" customHeight="false" outlineLevel="0" collapsed="false">
      <c r="A78" s="9" t="s">
        <v>2997</v>
      </c>
      <c r="B78" s="11" t="s">
        <v>2991</v>
      </c>
      <c r="C78" s="11" t="s">
        <v>2994</v>
      </c>
      <c r="D78" s="11" t="s">
        <v>253</v>
      </c>
      <c r="E78" s="10" t="n">
        <v>0.6</v>
      </c>
      <c r="F78" s="10" t="n">
        <v>0.4</v>
      </c>
      <c r="G78" s="10" t="n">
        <v>0.8</v>
      </c>
      <c r="H78" s="9" t="s">
        <v>2780</v>
      </c>
      <c r="I78" s="11" t="s">
        <v>2738</v>
      </c>
      <c r="J78" s="11" t="s">
        <v>2738</v>
      </c>
      <c r="K78" s="9"/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2998</v>
      </c>
    </row>
    <row r="79" customFormat="false" ht="15" hidden="false" customHeight="false" outlineLevel="0" collapsed="false">
      <c r="A79" s="9" t="s">
        <v>2999</v>
      </c>
      <c r="B79" s="11" t="s">
        <v>2985</v>
      </c>
      <c r="C79" s="11" t="s">
        <v>3000</v>
      </c>
      <c r="D79" s="11" t="s">
        <v>253</v>
      </c>
      <c r="E79" s="10" t="n">
        <v>0.25</v>
      </c>
      <c r="F79" s="10" t="n">
        <v>0.1</v>
      </c>
      <c r="G79" s="10" t="n">
        <v>0.4</v>
      </c>
      <c r="H79" s="9" t="s">
        <v>2780</v>
      </c>
      <c r="I79" s="11" t="s">
        <v>3001</v>
      </c>
      <c r="J79" s="11" t="s">
        <v>2738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3002</v>
      </c>
    </row>
    <row r="80" customFormat="false" ht="15" hidden="false" customHeight="false" outlineLevel="0" collapsed="false">
      <c r="A80" s="9" t="s">
        <v>3003</v>
      </c>
      <c r="B80" s="11" t="s">
        <v>2991</v>
      </c>
      <c r="C80" s="11" t="s">
        <v>3000</v>
      </c>
      <c r="D80" s="11" t="s">
        <v>253</v>
      </c>
      <c r="E80" s="10" t="n">
        <v>0.6</v>
      </c>
      <c r="F80" s="10" t="n">
        <v>0.4</v>
      </c>
      <c r="G80" s="10" t="n">
        <v>0.75</v>
      </c>
      <c r="H80" s="9" t="s">
        <v>2780</v>
      </c>
      <c r="I80" s="11" t="s">
        <v>2738</v>
      </c>
      <c r="J80" s="11" t="s">
        <v>2738</v>
      </c>
      <c r="K80" s="9"/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3004</v>
      </c>
    </row>
    <row r="81" customFormat="false" ht="15" hidden="false" customHeight="false" outlineLevel="0" collapsed="false">
      <c r="A81" s="9" t="s">
        <v>3005</v>
      </c>
      <c r="B81" s="9" t="s">
        <v>3006</v>
      </c>
      <c r="C81" s="9" t="s">
        <v>61</v>
      </c>
      <c r="D81" s="11" t="s">
        <v>253</v>
      </c>
      <c r="E81" s="10" t="n">
        <v>0.2</v>
      </c>
      <c r="F81" s="10" t="n">
        <v>0.1</v>
      </c>
      <c r="G81" s="10" t="n">
        <v>0.35</v>
      </c>
      <c r="H81" s="9" t="s">
        <v>2780</v>
      </c>
      <c r="I81" s="11" t="s">
        <v>3007</v>
      </c>
      <c r="J81" s="9" t="s">
        <v>3008</v>
      </c>
      <c r="K81" s="9" t="s">
        <v>2988</v>
      </c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3009</v>
      </c>
    </row>
    <row r="82" customFormat="false" ht="15" hidden="false" customHeight="false" outlineLevel="0" collapsed="false">
      <c r="A82" s="9" t="s">
        <v>3010</v>
      </c>
      <c r="B82" s="9" t="s">
        <v>3011</v>
      </c>
      <c r="C82" s="9" t="s">
        <v>61</v>
      </c>
      <c r="D82" s="11" t="s">
        <v>253</v>
      </c>
      <c r="E82" s="10" t="n">
        <v>0.65</v>
      </c>
      <c r="F82" s="10" t="n">
        <v>0.5</v>
      </c>
      <c r="G82" s="10" t="n">
        <v>0.8</v>
      </c>
      <c r="H82" s="9" t="s">
        <v>2780</v>
      </c>
      <c r="I82" s="9" t="s">
        <v>3012</v>
      </c>
      <c r="J82" s="9" t="s">
        <v>2820</v>
      </c>
      <c r="K82" s="9"/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3013</v>
      </c>
    </row>
    <row r="83" customFormat="false" ht="15" hidden="false" customHeight="false" outlineLevel="0" collapsed="false">
      <c r="A83" s="9" t="s">
        <v>3014</v>
      </c>
      <c r="B83" s="9" t="s">
        <v>3006</v>
      </c>
      <c r="C83" s="9" t="s">
        <v>2801</v>
      </c>
      <c r="D83" s="11" t="s">
        <v>253</v>
      </c>
      <c r="E83" s="10" t="n">
        <v>0.15</v>
      </c>
      <c r="F83" s="10" t="n">
        <v>0.05</v>
      </c>
      <c r="G83" s="10" t="n">
        <v>0.3</v>
      </c>
      <c r="H83" s="9" t="s">
        <v>2780</v>
      </c>
      <c r="I83" s="11" t="s">
        <v>2738</v>
      </c>
      <c r="J83" s="11" t="s">
        <v>2738</v>
      </c>
      <c r="K83" s="9" t="s">
        <v>2804</v>
      </c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3015</v>
      </c>
    </row>
    <row r="84" customFormat="false" ht="15" hidden="false" customHeight="false" outlineLevel="0" collapsed="false">
      <c r="A84" s="9" t="s">
        <v>3016</v>
      </c>
      <c r="B84" s="9" t="s">
        <v>3011</v>
      </c>
      <c r="C84" s="9" t="s">
        <v>2801</v>
      </c>
      <c r="D84" s="11" t="s">
        <v>253</v>
      </c>
      <c r="E84" s="10" t="n">
        <v>0.5</v>
      </c>
      <c r="F84" s="10" t="n">
        <v>0.35</v>
      </c>
      <c r="G84" s="10" t="n">
        <v>0.65</v>
      </c>
      <c r="H84" s="9" t="s">
        <v>2780</v>
      </c>
      <c r="I84" s="9" t="s">
        <v>3017</v>
      </c>
      <c r="J84" s="9" t="s">
        <v>2820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3018</v>
      </c>
    </row>
    <row r="85" customFormat="false" ht="15" hidden="false" customHeight="false" outlineLevel="0" collapsed="false">
      <c r="A85" s="9" t="s">
        <v>3019</v>
      </c>
      <c r="B85" s="9" t="s">
        <v>3020</v>
      </c>
      <c r="C85" s="9" t="s">
        <v>2715</v>
      </c>
      <c r="D85" s="11" t="s">
        <v>253</v>
      </c>
      <c r="E85" s="10" t="n">
        <v>0.2</v>
      </c>
      <c r="F85" s="10" t="n">
        <v>0.1</v>
      </c>
      <c r="G85" s="10" t="n">
        <v>0.35</v>
      </c>
      <c r="H85" s="9" t="s">
        <v>283</v>
      </c>
      <c r="I85" s="9" t="s">
        <v>3021</v>
      </c>
      <c r="J85" s="11" t="s">
        <v>2912</v>
      </c>
      <c r="K85" s="11" t="s">
        <v>3022</v>
      </c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3023</v>
      </c>
    </row>
    <row r="86" customFormat="false" ht="15" hidden="false" customHeight="false" outlineLevel="0" collapsed="false">
      <c r="A86" s="9" t="s">
        <v>3024</v>
      </c>
      <c r="B86" s="9" t="s">
        <v>3025</v>
      </c>
      <c r="C86" s="9" t="s">
        <v>2715</v>
      </c>
      <c r="D86" s="11" t="s">
        <v>253</v>
      </c>
      <c r="E86" s="10" t="n">
        <v>0.6</v>
      </c>
      <c r="F86" s="10" t="n">
        <v>0.3</v>
      </c>
      <c r="G86" s="10" t="n">
        <v>0.85</v>
      </c>
      <c r="H86" s="9" t="s">
        <v>283</v>
      </c>
      <c r="I86" s="9" t="s">
        <v>3026</v>
      </c>
      <c r="J86" s="9" t="s">
        <v>3027</v>
      </c>
      <c r="K86" s="11" t="s">
        <v>3028</v>
      </c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3029</v>
      </c>
    </row>
    <row r="87" customFormat="false" ht="15" hidden="false" customHeight="false" outlineLevel="0" collapsed="false">
      <c r="A87" s="9" t="s">
        <v>3030</v>
      </c>
      <c r="B87" s="9" t="s">
        <v>3031</v>
      </c>
      <c r="C87" s="9" t="s">
        <v>2715</v>
      </c>
      <c r="D87" s="11" t="s">
        <v>253</v>
      </c>
      <c r="E87" s="10" t="n">
        <v>0.05</v>
      </c>
      <c r="F87" s="10" t="n">
        <v>0</v>
      </c>
      <c r="G87" s="10" t="n">
        <v>0.15</v>
      </c>
      <c r="H87" s="9" t="s">
        <v>2780</v>
      </c>
      <c r="I87" s="11" t="s">
        <v>3032</v>
      </c>
      <c r="J87" s="9" t="s">
        <v>3033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3034</v>
      </c>
    </row>
    <row r="88" customFormat="false" ht="15" hidden="false" customHeight="false" outlineLevel="0" collapsed="false">
      <c r="A88" s="9" t="s">
        <v>3035</v>
      </c>
      <c r="B88" s="9" t="s">
        <v>3036</v>
      </c>
      <c r="C88" s="9" t="s">
        <v>2715</v>
      </c>
      <c r="D88" s="11" t="s">
        <v>253</v>
      </c>
      <c r="E88" s="10" t="n">
        <v>0.05</v>
      </c>
      <c r="F88" s="10" t="n">
        <v>0</v>
      </c>
      <c r="G88" s="10" t="n">
        <v>0.2</v>
      </c>
      <c r="H88" s="9" t="s">
        <v>2780</v>
      </c>
      <c r="I88" s="9" t="s">
        <v>3037</v>
      </c>
      <c r="J88" s="9" t="s">
        <v>3038</v>
      </c>
      <c r="K88" s="9"/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3039</v>
      </c>
    </row>
    <row r="89" customFormat="false" ht="15" hidden="false" customHeight="false" outlineLevel="0" collapsed="false">
      <c r="A89" s="9" t="s">
        <v>3040</v>
      </c>
      <c r="B89" s="9" t="s">
        <v>3041</v>
      </c>
      <c r="C89" s="9" t="s">
        <v>2715</v>
      </c>
      <c r="D89" s="11" t="s">
        <v>253</v>
      </c>
      <c r="E89" s="10" t="n">
        <v>0.1</v>
      </c>
      <c r="F89" s="10" t="n">
        <v>0</v>
      </c>
      <c r="G89" s="10" t="n">
        <v>0.25</v>
      </c>
      <c r="H89" s="9" t="s">
        <v>2780</v>
      </c>
      <c r="I89" s="9" t="s">
        <v>3042</v>
      </c>
      <c r="J89" s="9" t="s">
        <v>3043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3044</v>
      </c>
    </row>
    <row r="90" customFormat="false" ht="15" hidden="false" customHeight="false" outlineLevel="0" collapsed="false">
      <c r="A90" s="9" t="s">
        <v>3045</v>
      </c>
      <c r="B90" s="9" t="s">
        <v>3046</v>
      </c>
      <c r="C90" s="9" t="s">
        <v>61</v>
      </c>
      <c r="D90" s="9" t="s">
        <v>2964</v>
      </c>
      <c r="E90" s="10" t="n">
        <v>50</v>
      </c>
      <c r="F90" s="10" t="n">
        <v>10</v>
      </c>
      <c r="G90" s="10" t="n">
        <v>200</v>
      </c>
      <c r="H90" s="9" t="s">
        <v>2780</v>
      </c>
      <c r="I90" s="11" t="s">
        <v>3047</v>
      </c>
      <c r="J90" s="11" t="s">
        <v>3048</v>
      </c>
      <c r="K90" s="9"/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3049</v>
      </c>
    </row>
    <row r="91" customFormat="false" ht="15" hidden="false" customHeight="false" outlineLevel="0" collapsed="false">
      <c r="A91" s="9" t="s">
        <v>3050</v>
      </c>
      <c r="B91" s="9" t="s">
        <v>3051</v>
      </c>
      <c r="C91" s="9" t="s">
        <v>290</v>
      </c>
      <c r="D91" s="11" t="s">
        <v>2832</v>
      </c>
      <c r="E91" s="10" t="n">
        <v>0.2</v>
      </c>
      <c r="F91" s="10" t="n">
        <v>0.1</v>
      </c>
      <c r="G91" s="10" t="n">
        <v>0.3</v>
      </c>
      <c r="H91" s="9" t="s">
        <v>283</v>
      </c>
      <c r="I91" s="9" t="s">
        <v>3052</v>
      </c>
      <c r="J91" s="11" t="s">
        <v>2912</v>
      </c>
      <c r="K91" s="9" t="s">
        <v>3053</v>
      </c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3054</v>
      </c>
    </row>
    <row r="92" customFormat="false" ht="15" hidden="false" customHeight="false" outlineLevel="0" collapsed="false">
      <c r="A92" s="9" t="s">
        <v>3055</v>
      </c>
      <c r="B92" s="9" t="s">
        <v>3051</v>
      </c>
      <c r="C92" s="9" t="s">
        <v>2605</v>
      </c>
      <c r="D92" s="11" t="s">
        <v>2832</v>
      </c>
      <c r="E92" s="10" t="n">
        <v>0.15</v>
      </c>
      <c r="F92" s="10" t="n">
        <v>0.075</v>
      </c>
      <c r="G92" s="10" t="n">
        <v>0.225</v>
      </c>
      <c r="H92" s="9" t="s">
        <v>283</v>
      </c>
      <c r="I92" s="9" t="s">
        <v>3056</v>
      </c>
      <c r="J92" s="9" t="s">
        <v>3057</v>
      </c>
      <c r="K92" s="9"/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3058</v>
      </c>
    </row>
    <row r="93" customFormat="false" ht="15" hidden="false" customHeight="false" outlineLevel="0" collapsed="false">
      <c r="A93" s="9" t="s">
        <v>3059</v>
      </c>
      <c r="B93" s="9" t="s">
        <v>3051</v>
      </c>
      <c r="C93" s="9" t="s">
        <v>1644</v>
      </c>
      <c r="D93" s="11" t="s">
        <v>2832</v>
      </c>
      <c r="E93" s="10" t="n">
        <v>0.12</v>
      </c>
      <c r="F93" s="10" t="n">
        <v>0.06</v>
      </c>
      <c r="G93" s="10" t="n">
        <v>0.18</v>
      </c>
      <c r="H93" s="9" t="s">
        <v>283</v>
      </c>
      <c r="I93" s="9" t="s">
        <v>3060</v>
      </c>
      <c r="J93" s="9" t="s">
        <v>3057</v>
      </c>
      <c r="K93" s="9"/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3061</v>
      </c>
    </row>
    <row r="94" customFormat="false" ht="15" hidden="false" customHeight="false" outlineLevel="0" collapsed="false">
      <c r="A94" s="9" t="s">
        <v>3062</v>
      </c>
      <c r="B94" s="9" t="s">
        <v>3051</v>
      </c>
      <c r="C94" s="9" t="s">
        <v>2606</v>
      </c>
      <c r="D94" s="11" t="s">
        <v>2832</v>
      </c>
      <c r="E94" s="10" t="n">
        <v>0.1</v>
      </c>
      <c r="F94" s="10" t="n">
        <v>0.05</v>
      </c>
      <c r="G94" s="10" t="n">
        <v>0.15</v>
      </c>
      <c r="H94" s="9" t="s">
        <v>283</v>
      </c>
      <c r="I94" s="9" t="s">
        <v>3063</v>
      </c>
      <c r="J94" s="9" t="s">
        <v>3057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3064</v>
      </c>
    </row>
    <row r="95" customFormat="false" ht="15" hidden="false" customHeight="false" outlineLevel="0" collapsed="false">
      <c r="A95" s="9" t="s">
        <v>3065</v>
      </c>
      <c r="B95" s="9" t="s">
        <v>3051</v>
      </c>
      <c r="C95" s="9" t="s">
        <v>2607</v>
      </c>
      <c r="D95" s="11" t="s">
        <v>2832</v>
      </c>
      <c r="E95" s="10" t="n">
        <v>0.08</v>
      </c>
      <c r="F95" s="10" t="n">
        <v>0.04</v>
      </c>
      <c r="G95" s="10" t="n">
        <v>0.12</v>
      </c>
      <c r="H95" s="9" t="s">
        <v>283</v>
      </c>
      <c r="I95" s="9" t="s">
        <v>3066</v>
      </c>
      <c r="J95" s="9" t="s">
        <v>3057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3067</v>
      </c>
    </row>
    <row r="96" customFormat="false" ht="15" hidden="false" customHeight="false" outlineLevel="0" collapsed="false">
      <c r="A96" s="9" t="s">
        <v>3068</v>
      </c>
      <c r="B96" s="9" t="s">
        <v>3069</v>
      </c>
      <c r="C96" s="9" t="s">
        <v>2605</v>
      </c>
      <c r="D96" s="11" t="s">
        <v>2832</v>
      </c>
      <c r="E96" s="10" t="n">
        <v>0.45</v>
      </c>
      <c r="F96" s="10" t="n">
        <v>0.225</v>
      </c>
      <c r="G96" s="10" t="n">
        <v>0.9</v>
      </c>
      <c r="H96" s="9" t="s">
        <v>283</v>
      </c>
      <c r="I96" s="9" t="s">
        <v>3070</v>
      </c>
      <c r="J96" s="9" t="s">
        <v>2882</v>
      </c>
      <c r="K96" s="9" t="s">
        <v>3071</v>
      </c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3072</v>
      </c>
    </row>
    <row r="97" customFormat="false" ht="15" hidden="false" customHeight="false" outlineLevel="0" collapsed="false">
      <c r="A97" s="9" t="s">
        <v>3073</v>
      </c>
      <c r="B97" s="9" t="s">
        <v>3069</v>
      </c>
      <c r="C97" s="9" t="s">
        <v>1644</v>
      </c>
      <c r="D97" s="11" t="s">
        <v>2832</v>
      </c>
      <c r="E97" s="10" t="n">
        <v>0.35</v>
      </c>
      <c r="F97" s="10" t="n">
        <v>0.175</v>
      </c>
      <c r="G97" s="10" t="n">
        <v>0.7</v>
      </c>
      <c r="H97" s="9" t="s">
        <v>283</v>
      </c>
      <c r="I97" s="9" t="s">
        <v>3074</v>
      </c>
      <c r="J97" s="9" t="s">
        <v>2882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3075</v>
      </c>
    </row>
    <row r="98" customFormat="false" ht="15" hidden="false" customHeight="false" outlineLevel="0" collapsed="false">
      <c r="A98" s="9" t="s">
        <v>3076</v>
      </c>
      <c r="B98" s="9" t="s">
        <v>3069</v>
      </c>
      <c r="C98" s="9" t="s">
        <v>2606</v>
      </c>
      <c r="D98" s="11" t="s">
        <v>2832</v>
      </c>
      <c r="E98" s="10" t="n">
        <v>0.25</v>
      </c>
      <c r="F98" s="10" t="n">
        <v>0.125</v>
      </c>
      <c r="G98" s="10" t="n">
        <v>0.5</v>
      </c>
      <c r="H98" s="9" t="s">
        <v>283</v>
      </c>
      <c r="I98" s="9" t="s">
        <v>3077</v>
      </c>
      <c r="J98" s="9" t="s">
        <v>2882</v>
      </c>
      <c r="K98" s="9"/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3078</v>
      </c>
    </row>
    <row r="99" customFormat="false" ht="15" hidden="false" customHeight="false" outlineLevel="0" collapsed="false">
      <c r="A99" s="9" t="s">
        <v>3079</v>
      </c>
      <c r="B99" s="9" t="s">
        <v>3069</v>
      </c>
      <c r="C99" s="9" t="s">
        <v>2607</v>
      </c>
      <c r="D99" s="11" t="s">
        <v>2832</v>
      </c>
      <c r="E99" s="10" t="n">
        <v>0.2</v>
      </c>
      <c r="F99" s="10" t="n">
        <v>0.1</v>
      </c>
      <c r="G99" s="10" t="n">
        <v>0.4</v>
      </c>
      <c r="H99" s="9" t="s">
        <v>283</v>
      </c>
      <c r="I99" s="9" t="s">
        <v>3080</v>
      </c>
      <c r="J99" s="9" t="s">
        <v>2882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3081</v>
      </c>
    </row>
    <row r="100" customFormat="false" ht="15" hidden="false" customHeight="false" outlineLevel="0" collapsed="false">
      <c r="A100" s="9" t="s">
        <v>3082</v>
      </c>
      <c r="B100" s="11" t="s">
        <v>3083</v>
      </c>
      <c r="C100" s="9" t="s">
        <v>2715</v>
      </c>
      <c r="D100" s="11" t="s">
        <v>3084</v>
      </c>
      <c r="E100" s="10" t="n">
        <v>-0.7</v>
      </c>
      <c r="F100" s="10" t="n">
        <v>-1.05</v>
      </c>
      <c r="G100" s="10" t="n">
        <v>-0.35</v>
      </c>
      <c r="H100" s="9" t="s">
        <v>283</v>
      </c>
      <c r="I100" s="9" t="s">
        <v>3085</v>
      </c>
      <c r="J100" s="11" t="s">
        <v>2912</v>
      </c>
      <c r="K100" s="11" t="s">
        <v>3086</v>
      </c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3087</v>
      </c>
    </row>
    <row r="101" customFormat="false" ht="15" hidden="false" customHeight="false" outlineLevel="0" collapsed="false">
      <c r="A101" s="9" t="s">
        <v>3088</v>
      </c>
      <c r="B101" s="11" t="s">
        <v>3089</v>
      </c>
      <c r="C101" s="9" t="s">
        <v>2715</v>
      </c>
      <c r="D101" s="11" t="s">
        <v>3084</v>
      </c>
      <c r="E101" s="10" t="n">
        <v>-0.3</v>
      </c>
      <c r="F101" s="10" t="n">
        <v>-0.45</v>
      </c>
      <c r="G101" s="10" t="n">
        <v>-0.15</v>
      </c>
      <c r="H101" s="9" t="s">
        <v>283</v>
      </c>
      <c r="I101" s="9" t="s">
        <v>3090</v>
      </c>
      <c r="J101" s="11" t="s">
        <v>2912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3091</v>
      </c>
    </row>
    <row r="102" customFormat="false" ht="15" hidden="false" customHeight="false" outlineLevel="0" collapsed="false">
      <c r="A102" s="9" t="s">
        <v>3092</v>
      </c>
      <c r="B102" s="9" t="s">
        <v>3093</v>
      </c>
      <c r="C102" s="9" t="s">
        <v>1105</v>
      </c>
      <c r="D102" s="11" t="s">
        <v>2832</v>
      </c>
      <c r="E102" s="10" t="n">
        <v>-0.15</v>
      </c>
      <c r="F102" s="10" t="n">
        <v>-0.35</v>
      </c>
      <c r="G102" s="10" t="n">
        <v>0</v>
      </c>
      <c r="H102" s="9" t="s">
        <v>2780</v>
      </c>
      <c r="I102" s="11" t="s">
        <v>3094</v>
      </c>
      <c r="J102" s="11" t="s">
        <v>3095</v>
      </c>
      <c r="K102" s="9" t="s">
        <v>3096</v>
      </c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3097</v>
      </c>
    </row>
    <row r="103" customFormat="false" ht="15" hidden="false" customHeight="false" outlineLevel="0" collapsed="false">
      <c r="A103" s="9" t="s">
        <v>3098</v>
      </c>
      <c r="B103" s="11" t="s">
        <v>3099</v>
      </c>
      <c r="C103" s="9" t="s">
        <v>2801</v>
      </c>
      <c r="D103" s="11" t="s">
        <v>3100</v>
      </c>
      <c r="E103" s="10" t="n">
        <v>0</v>
      </c>
      <c r="F103" s="10" t="n">
        <v>-0.15</v>
      </c>
      <c r="G103" s="10" t="n">
        <v>0.15</v>
      </c>
      <c r="H103" s="9" t="s">
        <v>2780</v>
      </c>
      <c r="I103" s="9" t="s">
        <v>3101</v>
      </c>
      <c r="J103" s="9" t="s">
        <v>3102</v>
      </c>
      <c r="K103" s="11" t="s">
        <v>3103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3104</v>
      </c>
    </row>
    <row r="104" customFormat="false" ht="15" hidden="false" customHeight="false" outlineLevel="0" collapsed="false">
      <c r="A104" s="9" t="s">
        <v>3105</v>
      </c>
      <c r="B104" s="11" t="s">
        <v>3106</v>
      </c>
      <c r="C104" s="9" t="s">
        <v>2801</v>
      </c>
      <c r="D104" s="11" t="s">
        <v>253</v>
      </c>
      <c r="E104" s="10" t="n">
        <v>0.16</v>
      </c>
      <c r="F104" s="10" t="n">
        <v>0.16</v>
      </c>
      <c r="G104" s="10" t="n">
        <v>0.3</v>
      </c>
      <c r="H104" s="9" t="s">
        <v>283</v>
      </c>
      <c r="I104" s="11" t="s">
        <v>3107</v>
      </c>
      <c r="J104" s="11" t="s">
        <v>3108</v>
      </c>
      <c r="K104" s="9" t="s">
        <v>3109</v>
      </c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3110</v>
      </c>
    </row>
    <row r="105" customFormat="false" ht="15" hidden="false" customHeight="false" outlineLevel="0" collapsed="false">
      <c r="A105" s="9" t="s">
        <v>3111</v>
      </c>
      <c r="B105" s="11" t="s">
        <v>3112</v>
      </c>
      <c r="C105" s="9" t="s">
        <v>2801</v>
      </c>
      <c r="D105" s="11" t="s">
        <v>2832</v>
      </c>
      <c r="E105" s="10" t="n">
        <v>0</v>
      </c>
      <c r="F105" s="10" t="n">
        <v>0</v>
      </c>
      <c r="G105" s="10" t="n">
        <v>0.5</v>
      </c>
      <c r="H105" s="9" t="s">
        <v>2780</v>
      </c>
      <c r="I105" s="9" t="s">
        <v>3113</v>
      </c>
      <c r="J105" s="9" t="s">
        <v>3114</v>
      </c>
      <c r="K105" s="11" t="s">
        <v>3115</v>
      </c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20.1" hidden="false" customHeight="false" outlineLevel="0" collapsed="false">
      <c r="A1" s="1" t="s">
        <v>3117</v>
      </c>
    </row>
    <row r="2" customFormat="false" ht="15" hidden="false" customHeight="false" outlineLevel="0" collapsed="false">
      <c r="A2" s="12" t="s">
        <v>3118</v>
      </c>
    </row>
    <row r="3" customFormat="false" ht="15" hidden="false" customHeight="false" outlineLevel="0" collapsed="false">
      <c r="A3" s="2" t="s">
        <v>3119</v>
      </c>
    </row>
    <row r="5" customFormat="false" ht="15" hidden="false" customHeight="false" outlineLevel="0" collapsed="false">
      <c r="A5" s="8" t="s">
        <v>3120</v>
      </c>
      <c r="B5" s="8" t="s">
        <v>32</v>
      </c>
      <c r="C5" s="8" t="s">
        <v>36</v>
      </c>
      <c r="D5" s="7" t="s">
        <v>61</v>
      </c>
      <c r="E5" s="7" t="s">
        <v>290</v>
      </c>
      <c r="F5" s="7" t="s">
        <v>2605</v>
      </c>
      <c r="G5" s="7" t="s">
        <v>1644</v>
      </c>
      <c r="H5" s="7" t="s">
        <v>2606</v>
      </c>
      <c r="I5" s="7" t="s">
        <v>2607</v>
      </c>
      <c r="J5" s="8"/>
      <c r="K5" s="8" t="s">
        <v>2346</v>
      </c>
    </row>
    <row r="6" customFormat="false" ht="15" hidden="false" customHeight="false" outlineLevel="0" collapsed="false">
      <c r="B6" s="3" t="s">
        <v>3121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4" t="s">
        <v>3122</v>
      </c>
    </row>
    <row r="8" customFormat="false" ht="15" hidden="false" customHeight="false" outlineLevel="0" collapsed="false">
      <c r="A8" s="9" t="s">
        <v>3123</v>
      </c>
      <c r="B8" s="11" t="s">
        <v>3124</v>
      </c>
      <c r="C8" s="11" t="s">
        <v>253</v>
      </c>
      <c r="D8" s="15" t="n">
        <f aca="false">INP_021</f>
        <v>0.85</v>
      </c>
      <c r="E8" s="15" t="n">
        <f aca="false">INP_023</f>
        <v>0.7</v>
      </c>
      <c r="F8" s="15" t="n">
        <f aca="false">INP_023</f>
        <v>0.7</v>
      </c>
      <c r="G8" s="15" t="n">
        <f aca="false">INP_023</f>
        <v>0.7</v>
      </c>
      <c r="H8" s="15" t="n">
        <f aca="false">INP_023</f>
        <v>0.7</v>
      </c>
      <c r="I8" s="15" t="n">
        <f aca="false">INP_023</f>
        <v>0.7</v>
      </c>
      <c r="K8" s="12" t="s">
        <v>3125</v>
      </c>
    </row>
    <row r="9" customFormat="false" ht="15" hidden="false" customHeight="false" outlineLevel="0" collapsed="false">
      <c r="A9" s="9" t="s">
        <v>3126</v>
      </c>
      <c r="B9" s="11" t="s">
        <v>3127</v>
      </c>
      <c r="C9" s="11" t="s">
        <v>253</v>
      </c>
      <c r="D9" s="15" t="n">
        <f aca="false">INP_022</f>
        <v>0.1</v>
      </c>
      <c r="E9" s="15" t="n">
        <f aca="false">INP_024</f>
        <v>0.18</v>
      </c>
      <c r="F9" s="15" t="n">
        <f aca="false">INP_024</f>
        <v>0.18</v>
      </c>
      <c r="G9" s="15" t="n">
        <f aca="false">INP_024</f>
        <v>0.18</v>
      </c>
      <c r="H9" s="15" t="n">
        <f aca="false">INP_024</f>
        <v>0.18</v>
      </c>
      <c r="I9" s="15" t="n">
        <f aca="false">INP_024</f>
        <v>0.18</v>
      </c>
      <c r="K9" s="12" t="s">
        <v>3125</v>
      </c>
    </row>
    <row r="10" customFormat="false" ht="15" hidden="false" customHeight="false" outlineLevel="0" collapsed="false">
      <c r="A10" s="9" t="s">
        <v>3128</v>
      </c>
      <c r="B10" s="11" t="s">
        <v>3129</v>
      </c>
      <c r="C10" s="11" t="s">
        <v>253</v>
      </c>
      <c r="D10" s="15" t="n">
        <f aca="false">(1-D8-D9)</f>
        <v>0.05</v>
      </c>
      <c r="E10" s="15" t="n">
        <f aca="false">(1-E8-E9)</f>
        <v>0.12</v>
      </c>
      <c r="F10" s="15" t="n">
        <f aca="false">(1-F8-F9)</f>
        <v>0.12</v>
      </c>
      <c r="G10" s="15" t="n">
        <f aca="false">(1-G8-G9)</f>
        <v>0.12</v>
      </c>
      <c r="H10" s="15" t="n">
        <f aca="false">(1-H8-H9)</f>
        <v>0.12</v>
      </c>
      <c r="I10" s="15" t="n">
        <f aca="false">(1-I8-I9)</f>
        <v>0.12</v>
      </c>
      <c r="K10" s="2" t="s">
        <v>3130</v>
      </c>
    </row>
    <row r="11" customFormat="false" ht="15" hidden="false" customHeight="false" outlineLevel="0" collapsed="false">
      <c r="A11" s="9" t="s">
        <v>3131</v>
      </c>
      <c r="B11" s="11" t="s">
        <v>3132</v>
      </c>
      <c r="C11" s="9" t="s">
        <v>3133</v>
      </c>
      <c r="D11" s="16" t="n">
        <f aca="false">Revenue!D43*INP_012/(Revenue!D40*INP_008)</f>
        <v>1.58686352973644</v>
      </c>
      <c r="E11" s="16" t="n">
        <f aca="false">D11*(1+INP_030)</f>
        <v>6.34745411894577</v>
      </c>
      <c r="F11" s="16" t="n">
        <f aca="false">E11*(1+INP_031)</f>
        <v>10.1559265903132</v>
      </c>
      <c r="G11" s="16" t="n">
        <f aca="false">F11*(1+INP_032)</f>
        <v>14.2182972264385</v>
      </c>
      <c r="H11" s="16" t="n">
        <f aca="false">G11*(1+INP_033)</f>
        <v>18.4837863943701</v>
      </c>
      <c r="I11" s="16" t="n">
        <f aca="false">H11*(1+INP_034)</f>
        <v>22.1805436732441</v>
      </c>
      <c r="K11" s="12" t="s">
        <v>3134</v>
      </c>
    </row>
    <row r="12" customFormat="false" ht="15" hidden="false" customHeight="false" outlineLevel="0" collapsed="false">
      <c r="A12" s="9" t="s">
        <v>3135</v>
      </c>
      <c r="B12" s="9" t="s">
        <v>3136</v>
      </c>
      <c r="C12" s="9" t="s">
        <v>3133</v>
      </c>
      <c r="D12" s="16" t="n">
        <f aca="false">D11*D8</f>
        <v>1.34883400027598</v>
      </c>
      <c r="E12" s="16" t="n">
        <f aca="false">E11*E8</f>
        <v>4.44321788326204</v>
      </c>
      <c r="F12" s="16" t="n">
        <f aca="false">F11*F8</f>
        <v>7.10914861321926</v>
      </c>
      <c r="G12" s="16" t="n">
        <f aca="false">G11*G8</f>
        <v>9.95280805850697</v>
      </c>
      <c r="H12" s="16" t="n">
        <f aca="false">H11*H8</f>
        <v>12.9386504760591</v>
      </c>
      <c r="I12" s="16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3137</v>
      </c>
      <c r="B13" s="9" t="s">
        <v>3138</v>
      </c>
      <c r="C13" s="9" t="s">
        <v>3133</v>
      </c>
      <c r="D13" s="16" t="n">
        <f aca="false">D11*D9</f>
        <v>0.158686352973644</v>
      </c>
      <c r="E13" s="16" t="n">
        <f aca="false">E11*E9</f>
        <v>1.14254174141024</v>
      </c>
      <c r="F13" s="16" t="n">
        <f aca="false">F11*F9</f>
        <v>1.82806678625638</v>
      </c>
      <c r="G13" s="16" t="n">
        <f aca="false">G11*G9</f>
        <v>2.55929350075893</v>
      </c>
      <c r="H13" s="16" t="n">
        <f aca="false">H11*H9</f>
        <v>3.32708155098662</v>
      </c>
      <c r="I13" s="16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3139</v>
      </c>
      <c r="B14" s="9" t="s">
        <v>3140</v>
      </c>
      <c r="C14" s="9" t="s">
        <v>3133</v>
      </c>
      <c r="D14" s="16" t="n">
        <f aca="false">D11*D10</f>
        <v>0.0793431764868222</v>
      </c>
      <c r="E14" s="16" t="n">
        <f aca="false">E11*E10</f>
        <v>0.761694494273493</v>
      </c>
      <c r="F14" s="16" t="n">
        <f aca="false">F11*F10</f>
        <v>1.21871119083759</v>
      </c>
      <c r="G14" s="16" t="n">
        <f aca="false">G11*G10</f>
        <v>1.70619566717262</v>
      </c>
      <c r="H14" s="16" t="n">
        <f aca="false">H11*H10</f>
        <v>2.21805436732441</v>
      </c>
      <c r="I14" s="16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3141</v>
      </c>
      <c r="B15" s="9" t="s">
        <v>3142</v>
      </c>
      <c r="C15" s="9" t="s">
        <v>3133</v>
      </c>
      <c r="D15" s="16" t="n">
        <f aca="false">SRC_ANT_173-D11</f>
        <v>17.3131364702636</v>
      </c>
      <c r="E15" s="16" t="n">
        <f aca="false">D15*(1+INP_035)</f>
        <v>34.6262729405271</v>
      </c>
      <c r="F15" s="16" t="n">
        <f aca="false">E15*(1+INP_036)</f>
        <v>51.9394094107907</v>
      </c>
      <c r="G15" s="16" t="n">
        <f aca="false">F15*(1+INP_037)</f>
        <v>67.5212322340279</v>
      </c>
      <c r="H15" s="16" t="n">
        <f aca="false">G15*(1+INP_038)</f>
        <v>81.0254786808334</v>
      </c>
      <c r="I15" s="16" t="n">
        <f aca="false">H15*(1+INP_039)</f>
        <v>93.1793004829584</v>
      </c>
      <c r="K15" s="12" t="s">
        <v>3143</v>
      </c>
    </row>
    <row r="16" customFormat="false" ht="15" hidden="false" customHeight="false" outlineLevel="0" collapsed="false">
      <c r="A16" s="9" t="s">
        <v>3144</v>
      </c>
      <c r="B16" s="11" t="s">
        <v>3145</v>
      </c>
      <c r="C16" s="11" t="s">
        <v>253</v>
      </c>
      <c r="D16" s="15" t="n">
        <f aca="false">INP_025</f>
        <v>0.5</v>
      </c>
      <c r="E16" s="15" t="n">
        <f aca="false">INP_027</f>
        <v>0.35</v>
      </c>
      <c r="F16" s="15" t="n">
        <f aca="false">INP_027</f>
        <v>0.35</v>
      </c>
      <c r="G16" s="15" t="n">
        <f aca="false">INP_027</f>
        <v>0.35</v>
      </c>
      <c r="H16" s="15" t="n">
        <f aca="false">INP_027</f>
        <v>0.35</v>
      </c>
      <c r="I16" s="15" t="n">
        <f aca="false">INP_027</f>
        <v>0.35</v>
      </c>
      <c r="K16" s="12" t="s">
        <v>3125</v>
      </c>
    </row>
    <row r="17" customFormat="false" ht="15" hidden="false" customHeight="false" outlineLevel="0" collapsed="false">
      <c r="A17" s="9" t="s">
        <v>3146</v>
      </c>
      <c r="B17" s="11" t="s">
        <v>3147</v>
      </c>
      <c r="C17" s="11" t="s">
        <v>253</v>
      </c>
      <c r="D17" s="15" t="n">
        <f aca="false">INP_026</f>
        <v>0.15</v>
      </c>
      <c r="E17" s="15" t="n">
        <f aca="false">INP_028</f>
        <v>0.2</v>
      </c>
      <c r="F17" s="15" t="n">
        <f aca="false">INP_028</f>
        <v>0.2</v>
      </c>
      <c r="G17" s="15" t="n">
        <f aca="false">INP_028</f>
        <v>0.2</v>
      </c>
      <c r="H17" s="15" t="n">
        <f aca="false">INP_028</f>
        <v>0.2</v>
      </c>
      <c r="I17" s="15" t="n">
        <f aca="false">INP_028</f>
        <v>0.2</v>
      </c>
      <c r="K17" s="12" t="s">
        <v>3125</v>
      </c>
    </row>
    <row r="18" customFormat="false" ht="15" hidden="false" customHeight="false" outlineLevel="0" collapsed="false">
      <c r="A18" s="9" t="s">
        <v>3148</v>
      </c>
      <c r="B18" s="11" t="s">
        <v>3149</v>
      </c>
      <c r="C18" s="11" t="s">
        <v>253</v>
      </c>
      <c r="D18" s="15" t="n">
        <f aca="false">(1-D16-D17)</f>
        <v>0.35</v>
      </c>
      <c r="E18" s="15" t="n">
        <f aca="false">(1-E16-E17)</f>
        <v>0.45</v>
      </c>
      <c r="F18" s="15" t="n">
        <f aca="false">(1-F16-F17)</f>
        <v>0.45</v>
      </c>
      <c r="G18" s="15" t="n">
        <f aca="false">(1-G16-G17)</f>
        <v>0.45</v>
      </c>
      <c r="H18" s="15" t="n">
        <f aca="false">(1-H16-H17)</f>
        <v>0.45</v>
      </c>
      <c r="I18" s="15" t="n">
        <f aca="false">(1-I16-I17)</f>
        <v>0.45</v>
      </c>
      <c r="K18" s="2" t="s">
        <v>3150</v>
      </c>
    </row>
    <row r="19" customFormat="false" ht="15" hidden="false" customHeight="false" outlineLevel="0" collapsed="false">
      <c r="A19" s="9" t="s">
        <v>3151</v>
      </c>
      <c r="B19" s="11" t="s">
        <v>3152</v>
      </c>
      <c r="C19" s="9" t="s">
        <v>3133</v>
      </c>
      <c r="D19" s="16" t="n">
        <f aca="false">Revenue!D44*INP_012/(Revenue!D41*INP_008)</f>
        <v>0.163771712158809</v>
      </c>
      <c r="E19" s="16" t="n">
        <f aca="false">D19*(1+INP_040)</f>
        <v>0.655086848635236</v>
      </c>
      <c r="F19" s="16" t="n">
        <f aca="false">E19*(1+INP_041)</f>
        <v>1.31017369727047</v>
      </c>
      <c r="G19" s="16" t="n">
        <f aca="false">F19*(1+INP_042)</f>
        <v>1.96526054590571</v>
      </c>
      <c r="H19" s="16" t="n">
        <f aca="false">G19*(1+INP_043)</f>
        <v>2.65310173697271</v>
      </c>
      <c r="I19" s="16" t="n">
        <f aca="false">H19*(1+INP_044)</f>
        <v>3.31637717121588</v>
      </c>
      <c r="K19" s="12" t="s">
        <v>3153</v>
      </c>
    </row>
    <row r="20" customFormat="false" ht="15" hidden="false" customHeight="false" outlineLevel="0" collapsed="false">
      <c r="A20" s="9" t="s">
        <v>3154</v>
      </c>
      <c r="B20" s="9" t="s">
        <v>3155</v>
      </c>
      <c r="C20" s="9" t="s">
        <v>3133</v>
      </c>
      <c r="D20" s="16" t="n">
        <f aca="false">D19*D16</f>
        <v>0.0818858560794045</v>
      </c>
      <c r="E20" s="16" t="n">
        <f aca="false">E19*E16</f>
        <v>0.229280397022333</v>
      </c>
      <c r="F20" s="16" t="n">
        <f aca="false">F19*F16</f>
        <v>0.458560794044665</v>
      </c>
      <c r="G20" s="16" t="n">
        <f aca="false">G19*G16</f>
        <v>0.687841191066998</v>
      </c>
      <c r="H20" s="16" t="n">
        <f aca="false">H19*H16</f>
        <v>0.928585607940447</v>
      </c>
      <c r="I20" s="16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3156</v>
      </c>
      <c r="B21" s="9" t="s">
        <v>3157</v>
      </c>
      <c r="C21" s="9" t="s">
        <v>3133</v>
      </c>
      <c r="D21" s="16" t="n">
        <f aca="false">D19*D17</f>
        <v>0.0245657568238214</v>
      </c>
      <c r="E21" s="16" t="n">
        <f aca="false">E19*E17</f>
        <v>0.131017369727047</v>
      </c>
      <c r="F21" s="16" t="n">
        <f aca="false">F19*F17</f>
        <v>0.262034739454095</v>
      </c>
      <c r="G21" s="16" t="n">
        <f aca="false">G19*G17</f>
        <v>0.393052109181142</v>
      </c>
      <c r="H21" s="16" t="n">
        <f aca="false">H19*H17</f>
        <v>0.530620347394541</v>
      </c>
      <c r="I21" s="16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3158</v>
      </c>
      <c r="B22" s="9" t="s">
        <v>3159</v>
      </c>
      <c r="C22" s="9" t="s">
        <v>3133</v>
      </c>
      <c r="D22" s="16" t="n">
        <f aca="false">D19*D18</f>
        <v>0.0573200992555832</v>
      </c>
      <c r="E22" s="16" t="n">
        <f aca="false">E19*E18</f>
        <v>0.294789081885856</v>
      </c>
      <c r="F22" s="16" t="n">
        <f aca="false">F19*F18</f>
        <v>0.589578163771713</v>
      </c>
      <c r="G22" s="16" t="n">
        <f aca="false">G19*G18</f>
        <v>0.884367245657569</v>
      </c>
      <c r="H22" s="16" t="n">
        <f aca="false">H19*H18</f>
        <v>1.19389578163772</v>
      </c>
      <c r="I22" s="16" t="n">
        <f aca="false">I19*I18</f>
        <v>1.49236972704715</v>
      </c>
      <c r="K22" s="2"/>
    </row>
    <row r="23" customFormat="false" ht="15" hidden="false" customHeight="false" outlineLevel="0" collapsed="false">
      <c r="A23" s="14" t="s">
        <v>3160</v>
      </c>
    </row>
    <row r="24" customFormat="false" ht="15" hidden="false" customHeight="false" outlineLevel="0" collapsed="false">
      <c r="A24" s="9" t="s">
        <v>3161</v>
      </c>
      <c r="B24" s="9" t="s">
        <v>3162</v>
      </c>
      <c r="C24" s="11" t="s">
        <v>2880</v>
      </c>
      <c r="D24" s="17" t="n">
        <f aca="false">INP_045</f>
        <v>2</v>
      </c>
      <c r="E24" s="17" t="n">
        <f aca="false">D24*(1+INP_052)</f>
        <v>2.2</v>
      </c>
      <c r="F24" s="17" t="n">
        <f aca="false">E24*(1+INP_052)</f>
        <v>2.42</v>
      </c>
      <c r="G24" s="17" t="n">
        <f aca="false">F24*(1+INP_052)</f>
        <v>2.662</v>
      </c>
      <c r="H24" s="17" t="n">
        <f aca="false">G24*(1+INP_052)</f>
        <v>2.9282</v>
      </c>
      <c r="I24" s="17" t="n">
        <f aca="false">H24*(1+INP_052)</f>
        <v>3.22102</v>
      </c>
      <c r="K24" s="12" t="s">
        <v>3163</v>
      </c>
    </row>
    <row r="25" customFormat="false" ht="15" hidden="false" customHeight="false" outlineLevel="0" collapsed="false">
      <c r="A25" s="9" t="s">
        <v>3164</v>
      </c>
      <c r="B25" s="9" t="s">
        <v>3165</v>
      </c>
      <c r="C25" s="11" t="s">
        <v>2880</v>
      </c>
      <c r="D25" s="17" t="n">
        <f aca="false">INP_046</f>
        <v>8</v>
      </c>
      <c r="E25" s="17" t="n">
        <f aca="false">D25*(1+INP_052)</f>
        <v>8.8</v>
      </c>
      <c r="F25" s="17" t="n">
        <f aca="false">E25*(1+INP_052)</f>
        <v>9.68</v>
      </c>
      <c r="G25" s="17" t="n">
        <f aca="false">F25*(1+INP_052)</f>
        <v>10.648</v>
      </c>
      <c r="H25" s="17" t="n">
        <f aca="false">G25*(1+INP_052)</f>
        <v>11.7128</v>
      </c>
      <c r="I25" s="17" t="n">
        <f aca="false">H25*(1+INP_052)</f>
        <v>12.88408</v>
      </c>
      <c r="K25" s="12" t="s">
        <v>3163</v>
      </c>
    </row>
    <row r="26" customFormat="false" ht="15" hidden="false" customHeight="false" outlineLevel="0" collapsed="false">
      <c r="A26" s="9" t="s">
        <v>3166</v>
      </c>
      <c r="B26" s="9" t="s">
        <v>3167</v>
      </c>
      <c r="C26" s="11" t="s">
        <v>2880</v>
      </c>
      <c r="D26" s="17" t="n">
        <f aca="false">INP_047</f>
        <v>20</v>
      </c>
      <c r="E26" s="17" t="n">
        <f aca="false">D26*(1+INP_052)</f>
        <v>22</v>
      </c>
      <c r="F26" s="17" t="n">
        <f aca="false">E26*(1+INP_052)</f>
        <v>24.2</v>
      </c>
      <c r="G26" s="17" t="n">
        <f aca="false">F26*(1+INP_052)</f>
        <v>26.62</v>
      </c>
      <c r="H26" s="17" t="n">
        <f aca="false">G26*(1+INP_052)</f>
        <v>29.282</v>
      </c>
      <c r="I26" s="17" t="n">
        <f aca="false">H26*(1+INP_052)</f>
        <v>32.2102</v>
      </c>
      <c r="K26" s="12" t="s">
        <v>3163</v>
      </c>
    </row>
    <row r="27" customFormat="false" ht="15" hidden="false" customHeight="false" outlineLevel="0" collapsed="false">
      <c r="A27" s="9" t="s">
        <v>3168</v>
      </c>
      <c r="B27" s="9" t="s">
        <v>3169</v>
      </c>
      <c r="C27" s="11" t="s">
        <v>2880</v>
      </c>
      <c r="D27" s="17" t="n">
        <f aca="false">INP_048</f>
        <v>40</v>
      </c>
      <c r="E27" s="17" t="n">
        <f aca="false">D27*(1+INP_052)</f>
        <v>44</v>
      </c>
      <c r="F27" s="17" t="n">
        <f aca="false">E27*(1+INP_052)</f>
        <v>48.4</v>
      </c>
      <c r="G27" s="17" t="n">
        <f aca="false">F27*(1+INP_052)</f>
        <v>53.24</v>
      </c>
      <c r="H27" s="17" t="n">
        <f aca="false">G27*(1+INP_052)</f>
        <v>58.564</v>
      </c>
      <c r="I27" s="17" t="n">
        <f aca="false">H27*(1+INP_052)</f>
        <v>64.4204</v>
      </c>
      <c r="K27" s="12" t="s">
        <v>3163</v>
      </c>
    </row>
    <row r="28" customFormat="false" ht="15" hidden="false" customHeight="false" outlineLevel="0" collapsed="false">
      <c r="A28" s="9" t="s">
        <v>3170</v>
      </c>
      <c r="B28" s="9" t="s">
        <v>3171</v>
      </c>
      <c r="C28" s="11" t="s">
        <v>2880</v>
      </c>
      <c r="D28" s="17" t="n">
        <f aca="false">INP_049</f>
        <v>6</v>
      </c>
      <c r="E28" s="17" t="n">
        <f aca="false">D28*(1+INP_052)</f>
        <v>6.6</v>
      </c>
      <c r="F28" s="17" t="n">
        <f aca="false">E28*(1+INP_052)</f>
        <v>7.26</v>
      </c>
      <c r="G28" s="17" t="n">
        <f aca="false">F28*(1+INP_052)</f>
        <v>7.986</v>
      </c>
      <c r="H28" s="17" t="n">
        <f aca="false">G28*(1+INP_052)</f>
        <v>8.7846</v>
      </c>
      <c r="I28" s="17" t="n">
        <f aca="false">H28*(1+INP_052)</f>
        <v>9.66306</v>
      </c>
      <c r="K28" s="12" t="s">
        <v>3163</v>
      </c>
    </row>
    <row r="29" customFormat="false" ht="15" hidden="false" customHeight="false" outlineLevel="0" collapsed="false">
      <c r="A29" s="9" t="s">
        <v>3172</v>
      </c>
      <c r="B29" s="9" t="s">
        <v>3173</v>
      </c>
      <c r="C29" s="11" t="s">
        <v>2880</v>
      </c>
      <c r="D29" s="17" t="n">
        <f aca="false">INP_050</f>
        <v>15</v>
      </c>
      <c r="E29" s="17" t="n">
        <f aca="false">D29*(1+INP_052)</f>
        <v>16.5</v>
      </c>
      <c r="F29" s="17" t="n">
        <f aca="false">E29*(1+INP_052)</f>
        <v>18.15</v>
      </c>
      <c r="G29" s="17" t="n">
        <f aca="false">F29*(1+INP_052)</f>
        <v>19.965</v>
      </c>
      <c r="H29" s="17" t="n">
        <f aca="false">G29*(1+INP_052)</f>
        <v>21.9615</v>
      </c>
      <c r="I29" s="17" t="n">
        <f aca="false">H29*(1+INP_052)</f>
        <v>24.15765</v>
      </c>
      <c r="K29" s="12" t="s">
        <v>3163</v>
      </c>
    </row>
    <row r="30" customFormat="false" ht="15" hidden="false" customHeight="false" outlineLevel="0" collapsed="false">
      <c r="A30" s="9" t="s">
        <v>3174</v>
      </c>
      <c r="B30" s="9" t="s">
        <v>3175</v>
      </c>
      <c r="C30" s="11" t="s">
        <v>2880</v>
      </c>
      <c r="D30" s="17" t="n">
        <f aca="false">INP_051</f>
        <v>8</v>
      </c>
      <c r="E30" s="17" t="n">
        <f aca="false">D30*(1+INP_052)</f>
        <v>8.8</v>
      </c>
      <c r="F30" s="17" t="n">
        <f aca="false">E30*(1+INP_052)</f>
        <v>9.68</v>
      </c>
      <c r="G30" s="17" t="n">
        <f aca="false">F30*(1+INP_052)</f>
        <v>10.648</v>
      </c>
      <c r="H30" s="17" t="n">
        <f aca="false">G30*(1+INP_052)</f>
        <v>11.7128</v>
      </c>
      <c r="I30" s="17" t="n">
        <f aca="false">H30*(1+INP_052)</f>
        <v>12.88408</v>
      </c>
      <c r="K30" s="12" t="s">
        <v>3163</v>
      </c>
    </row>
    <row r="31" customFormat="false" ht="15" hidden="false" customHeight="false" outlineLevel="0" collapsed="false">
      <c r="A31" s="9" t="s">
        <v>3176</v>
      </c>
      <c r="B31" s="11" t="s">
        <v>2963</v>
      </c>
      <c r="C31" s="9" t="s">
        <v>2964</v>
      </c>
      <c r="D31" s="18" t="n">
        <f aca="false">INP_067</f>
        <v>4</v>
      </c>
      <c r="E31" s="18" t="n">
        <f aca="false">D31*(1+INP_070)</f>
        <v>4.6</v>
      </c>
      <c r="F31" s="18" t="n">
        <f aca="false">E31*(1+INP_070)</f>
        <v>5.29</v>
      </c>
      <c r="G31" s="18" t="n">
        <f aca="false">F31*(1+INP_070)</f>
        <v>6.0835</v>
      </c>
      <c r="H31" s="18" t="n">
        <f aca="false">G31*(1+INP_070)</f>
        <v>6.996025</v>
      </c>
      <c r="I31" s="18" t="n">
        <f aca="false">H31*(1+INP_070)</f>
        <v>8.04542875</v>
      </c>
      <c r="K31" s="12" t="s">
        <v>3163</v>
      </c>
    </row>
    <row r="32" customFormat="false" ht="15" hidden="false" customHeight="false" outlineLevel="0" collapsed="false">
      <c r="A32" s="9" t="s">
        <v>3177</v>
      </c>
      <c r="B32" s="11" t="s">
        <v>2969</v>
      </c>
      <c r="C32" s="9" t="s">
        <v>2964</v>
      </c>
      <c r="D32" s="18" t="n">
        <f aca="false">INP_068</f>
        <v>200</v>
      </c>
      <c r="E32" s="18" t="n">
        <f aca="false">D32*(1+INP_070)</f>
        <v>230</v>
      </c>
      <c r="F32" s="18" t="n">
        <f aca="false">E32*(1+INP_070)</f>
        <v>264.5</v>
      </c>
      <c r="G32" s="18" t="n">
        <f aca="false">F32*(1+INP_070)</f>
        <v>304.175</v>
      </c>
      <c r="H32" s="18" t="n">
        <f aca="false">G32*(1+INP_070)</f>
        <v>349.80125</v>
      </c>
      <c r="I32" s="18" t="n">
        <f aca="false">H32*(1+INP_070)</f>
        <v>402.2714375</v>
      </c>
      <c r="K32" s="12" t="s">
        <v>3163</v>
      </c>
    </row>
    <row r="33" customFormat="false" ht="15" hidden="false" customHeight="false" outlineLevel="0" collapsed="false">
      <c r="A33" s="9" t="s">
        <v>3178</v>
      </c>
      <c r="B33" s="11" t="s">
        <v>2975</v>
      </c>
      <c r="C33" s="9" t="s">
        <v>2964</v>
      </c>
      <c r="D33" s="18" t="n">
        <f aca="false">INP_069</f>
        <v>50</v>
      </c>
      <c r="E33" s="18" t="n">
        <f aca="false">D33*(1+INP_070)</f>
        <v>57.5</v>
      </c>
      <c r="F33" s="18" t="n">
        <f aca="false">E33*(1+INP_070)</f>
        <v>66.125</v>
      </c>
      <c r="G33" s="18" t="n">
        <f aca="false">F33*(1+INP_070)</f>
        <v>76.04375</v>
      </c>
      <c r="H33" s="18" t="n">
        <f aca="false">G33*(1+INP_070)</f>
        <v>87.4503125</v>
      </c>
      <c r="I33" s="18" t="n">
        <f aca="false">H33*(1+INP_070)</f>
        <v>100.567859375</v>
      </c>
      <c r="K33" s="12" t="s">
        <v>3163</v>
      </c>
    </row>
    <row r="34" customFormat="false" ht="15" hidden="false" customHeight="false" outlineLevel="0" collapsed="false">
      <c r="A34" s="9" t="s">
        <v>3179</v>
      </c>
      <c r="B34" s="9" t="s">
        <v>3180</v>
      </c>
      <c r="C34" s="9" t="s">
        <v>2632</v>
      </c>
      <c r="D34" s="19" t="n">
        <f aca="false">D15*D24*(INP_053*D31+INP_054*D32+(1-INP_053-INP_054)*D33)*INP_007/INP_013</f>
        <v>79.6231146267421</v>
      </c>
      <c r="E34" s="19" t="n">
        <f aca="false">E15*E24*(INP_053*E31+INP_054*E32+(1-INP_053-INP_054)*E33)*INP_007/INP_013</f>
        <v>201.446480005658</v>
      </c>
      <c r="F34" s="19" t="n">
        <f aca="false">F15*F24*(INP_053*F31+INP_054*F32+(1-INP_053-INP_054)*F33)*INP_007/INP_013</f>
        <v>382.244695810735</v>
      </c>
      <c r="G34" s="19" t="n">
        <f aca="false">G15*G24*(INP_053*G31+INP_054*G32+(1-INP_053-INP_054)*G33)*INP_007/INP_013</f>
        <v>628.601402260754</v>
      </c>
      <c r="H34" s="19" t="n">
        <f aca="false">H15*H24*(INP_053*H31+INP_054*H32+(1-INP_053-INP_054)*H33)*INP_007/INP_013</f>
        <v>954.216928631825</v>
      </c>
      <c r="I34" s="19" t="n">
        <f aca="false">I15*I24*(INP_053*I31+INP_054*I32+(1-INP_053-INP_054)*I33)*INP_007/INP_013</f>
        <v>1388.14707692715</v>
      </c>
      <c r="K34" s="2" t="s">
        <v>3181</v>
      </c>
    </row>
    <row r="35" customFormat="false" ht="15" hidden="false" customHeight="false" outlineLevel="0" collapsed="false">
      <c r="A35" s="9" t="s">
        <v>3182</v>
      </c>
      <c r="B35" s="9" t="s">
        <v>3183</v>
      </c>
      <c r="C35" s="9" t="s">
        <v>2632</v>
      </c>
      <c r="D35" s="19" t="n">
        <f aca="false">D12*D25*(INP_055*D31+INP_056*D32+(1-INP_055-INP_056)*D33)*INP_007/INP_013</f>
        <v>226.863088174417</v>
      </c>
      <c r="E35" s="19" t="n">
        <f aca="false">E12*E25*(INP_055*E31+INP_056*E32+(1-INP_055-INP_056)*E33)*INP_007/INP_013</f>
        <v>945.351833310336</v>
      </c>
      <c r="F35" s="19" t="n">
        <f aca="false">F12*F25*(INP_055*F31+INP_056*F32+(1-INP_055-INP_056)*F33)*INP_007/INP_013</f>
        <v>1913.39211062012</v>
      </c>
      <c r="G35" s="19" t="n">
        <f aca="false">G12*G25*(INP_055*G31+INP_056*G32+(1-INP_055-INP_056)*G33)*INP_007/INP_013</f>
        <v>3388.61742790823</v>
      </c>
      <c r="H35" s="19" t="n">
        <f aca="false">H12*H25*(INP_055*H31+INP_056*H32+(1-INP_055-INP_056)*H33)*INP_007/INP_013</f>
        <v>5572.58136019509</v>
      </c>
      <c r="I35" s="19" t="n">
        <f aca="false">I12*I25*(INP_055*I31+INP_056*I32+(1-INP_055-INP_056)*I33)*INP_007/INP_013</f>
        <v>8459.17850477614</v>
      </c>
      <c r="K35" s="2" t="s">
        <v>3181</v>
      </c>
    </row>
    <row r="36" customFormat="false" ht="15" hidden="false" customHeight="false" outlineLevel="0" collapsed="false">
      <c r="A36" s="9" t="s">
        <v>3184</v>
      </c>
      <c r="B36" s="9" t="s">
        <v>3185</v>
      </c>
      <c r="C36" s="9" t="s">
        <v>2632</v>
      </c>
      <c r="D36" s="19" t="n">
        <f aca="false">D13*D26*(INP_057*D31+INP_058*D32+(1-INP_057-INP_058)*D33)*INP_007/INP_013</f>
        <v>146.1913895405</v>
      </c>
      <c r="E36" s="19" t="n">
        <f aca="false">E13*E26*(INP_057*E31+INP_058*E32+(1-INP_057-INP_058)*E33)*INP_007/INP_013</f>
        <v>1331.51117593487</v>
      </c>
      <c r="F36" s="19" t="n">
        <f aca="false">F13*F26*(INP_057*F31+INP_058*F32+(1-INP_057-INP_058)*F33)*INP_007/INP_013</f>
        <v>2694.97862009218</v>
      </c>
      <c r="G36" s="19" t="n">
        <f aca="false">G13*G26*(INP_057*G31+INP_058*G32+(1-INP_057-INP_058)*G33)*INP_007/INP_013</f>
        <v>4772.80713618324</v>
      </c>
      <c r="H36" s="19" t="n">
        <f aca="false">H13*H26*(INP_057*H31+INP_058*H32+(1-INP_057-INP_058)*H33)*INP_007/INP_013</f>
        <v>7848.88133545334</v>
      </c>
      <c r="I36" s="19" t="n">
        <f aca="false">I13*I26*(INP_057*I31+INP_058*I32+(1-INP_057-INP_058)*I33)*INP_007/INP_013</f>
        <v>11914.6018672182</v>
      </c>
      <c r="K36" s="2" t="s">
        <v>3181</v>
      </c>
    </row>
    <row r="37" customFormat="false" ht="15" hidden="false" customHeight="false" outlineLevel="0" collapsed="false">
      <c r="A37" s="9" t="s">
        <v>3186</v>
      </c>
      <c r="B37" s="9" t="s">
        <v>3187</v>
      </c>
      <c r="C37" s="9" t="s">
        <v>2632</v>
      </c>
      <c r="D37" s="19" t="n">
        <f aca="false">D14*D27*(INP_059*D31+INP_060*D32+(1-INP_059-INP_060)*D33)*INP_007/INP_013</f>
        <v>168.896232923969</v>
      </c>
      <c r="E37" s="19" t="n">
        <f aca="false">E14*E27*(INP_059*E31+INP_060*E32+(1-INP_059-INP_060)*E33)*INP_007/INP_013</f>
        <v>2051.07585262867</v>
      </c>
      <c r="F37" s="19" t="n">
        <f aca="false">F14*F27*(INP_059*F31+INP_060*F32+(1-INP_059-INP_060)*F33)*INP_007/INP_013</f>
        <v>4151.37752572044</v>
      </c>
      <c r="G37" s="19" t="n">
        <f aca="false">G14*G27*(INP_059*G31+INP_060*G32+(1-INP_059-INP_060)*G33)*INP_007/INP_013</f>
        <v>7352.0895980509</v>
      </c>
      <c r="H37" s="19" t="n">
        <f aca="false">H14*H27*(INP_059*H31+INP_060*H32+(1-INP_059-INP_060)*H33)*INP_007/INP_013</f>
        <v>12090.5113439947</v>
      </c>
      <c r="I37" s="19" t="n">
        <f aca="false">I14*I27*(INP_059*I31+INP_060*I32+(1-INP_059-INP_060)*I33)*INP_007/INP_013</f>
        <v>18353.396220184</v>
      </c>
      <c r="K37" s="2" t="s">
        <v>3181</v>
      </c>
    </row>
    <row r="38" customFormat="false" ht="15" hidden="false" customHeight="false" outlineLevel="0" collapsed="false">
      <c r="A38" s="9" t="s">
        <v>3188</v>
      </c>
      <c r="B38" s="9" t="s">
        <v>3189</v>
      </c>
      <c r="C38" s="9" t="s">
        <v>2632</v>
      </c>
      <c r="D38" s="19" t="n">
        <f aca="false">D20*D28*(INP_061*D31+INP_062*D32+(1-INP_061-INP_062)*D33)*INP_007/INP_013</f>
        <v>6.81454094292805</v>
      </c>
      <c r="E38" s="19" t="n">
        <f aca="false">E20*E28*(INP_061*E31+INP_062*E32+(1-INP_061-INP_062)*E33)*INP_007/INP_013</f>
        <v>24.1371040198511</v>
      </c>
      <c r="F38" s="19" t="n">
        <f aca="false">F20*F28*(INP_061*F31+INP_062*F32+(1-INP_061-INP_062)*F33)*INP_007/INP_013</f>
        <v>61.0668731702234</v>
      </c>
      <c r="G38" s="19" t="n">
        <f aca="false">G20*G28*(INP_061*G31+INP_062*G32+(1-INP_061-INP_062)*G33)*INP_007/INP_013</f>
        <v>115.874391840499</v>
      </c>
      <c r="H38" s="19" t="n">
        <f aca="false">H20*H28*(INP_061*H31+INP_062*H32+(1-INP_061-INP_062)*H33)*INP_007/INP_013</f>
        <v>197.884492665612</v>
      </c>
      <c r="I38" s="19" t="n">
        <f aca="false">I20*I28*(INP_061*I31+INP_062*I32+(1-INP_061-INP_062)*I33)*INP_007/INP_013</f>
        <v>312.904854027499</v>
      </c>
      <c r="K38" s="2" t="s">
        <v>3181</v>
      </c>
    </row>
    <row r="39" customFormat="false" ht="15" hidden="false" customHeight="false" outlineLevel="0" collapsed="false">
      <c r="A39" s="9" t="s">
        <v>3190</v>
      </c>
      <c r="B39" s="9" t="s">
        <v>3191</v>
      </c>
      <c r="C39" s="9" t="s">
        <v>2632</v>
      </c>
      <c r="D39" s="19" t="n">
        <f aca="false">D21*D29*(INP_063*D31+INP_064*D32+(1-INP_063-INP_064)*D33)*INP_007/INP_013</f>
        <v>16.9735868486353</v>
      </c>
      <c r="E39" s="19" t="n">
        <f aca="false">E21*E29*(INP_063*E31+INP_064*E32+(1-INP_063-INP_064)*E33)*INP_007/INP_013</f>
        <v>114.515132605459</v>
      </c>
      <c r="F39" s="19" t="n">
        <f aca="false">F21*F29*(INP_063*F31+INP_064*F32+(1-INP_063-INP_064)*F33)*INP_007/INP_013</f>
        <v>289.723285491812</v>
      </c>
      <c r="G39" s="19" t="n">
        <f aca="false">G21*G29*(INP_063*G31+INP_064*G32+(1-INP_063-INP_064)*G33)*INP_007/INP_013</f>
        <v>549.749934220713</v>
      </c>
      <c r="H39" s="19" t="n">
        <f aca="false">H21*H29*(INP_063*H31+INP_064*H32+(1-INP_063-INP_064)*H33)*INP_007/INP_013</f>
        <v>938.835450165422</v>
      </c>
      <c r="I39" s="19" t="n">
        <f aca="false">I21*I29*(INP_063*I31+INP_064*I32+(1-INP_063-INP_064)*I33)*INP_007/INP_013</f>
        <v>1484.53355557407</v>
      </c>
      <c r="K39" s="2" t="s">
        <v>3181</v>
      </c>
    </row>
    <row r="40" customFormat="false" ht="15" hidden="false" customHeight="false" outlineLevel="0" collapsed="false">
      <c r="A40" s="9" t="s">
        <v>3192</v>
      </c>
      <c r="B40" s="9" t="s">
        <v>3193</v>
      </c>
      <c r="C40" s="9" t="s">
        <v>2632</v>
      </c>
      <c r="D40" s="19" t="n">
        <f aca="false">D22*D30*(INP_065*D31+INP_066*D32+(1-INP_065-INP_066)*D33)*INP_007/INP_013</f>
        <v>11.6660158808933</v>
      </c>
      <c r="E40" s="19" t="n">
        <f aca="false">E22*E30*(INP_065*E31+INP_066*E32+(1-INP_065-INP_066)*E33)*INP_007/INP_013</f>
        <v>75.8957661736973</v>
      </c>
      <c r="F40" s="19" t="n">
        <f aca="false">F22*F30*(INP_065*F31+INP_066*F32+(1-INP_065-INP_066)*F33)*INP_007/INP_013</f>
        <v>192.016288419454</v>
      </c>
      <c r="G40" s="19" t="n">
        <f aca="false">G22*G30*(INP_065*G31+INP_066*G32+(1-INP_065-INP_066)*G33)*INP_007/INP_013</f>
        <v>364.350907275914</v>
      </c>
      <c r="H40" s="19" t="n">
        <f aca="false">H22*H30*(INP_065*H31+INP_066*H32+(1-INP_065-INP_066)*H33)*INP_007/INP_013</f>
        <v>622.220261900443</v>
      </c>
      <c r="I40" s="19" t="n">
        <f aca="false">I22*I30*(INP_065*I31+INP_066*I32+(1-INP_065-INP_066)*I33)*INP_007/INP_013</f>
        <v>983.885789130076</v>
      </c>
      <c r="K40" s="2" t="s">
        <v>3181</v>
      </c>
    </row>
    <row r="41" customFormat="false" ht="15" hidden="false" customHeight="false" outlineLevel="0" collapsed="false">
      <c r="A41" s="9" t="s">
        <v>3194</v>
      </c>
      <c r="B41" s="11" t="s">
        <v>3195</v>
      </c>
      <c r="C41" s="9" t="s">
        <v>2632</v>
      </c>
      <c r="D41" s="19" t="n">
        <f aca="false">D34+D35+D36+D37+D38+D39+D40</f>
        <v>657.027968938084</v>
      </c>
      <c r="E41" s="19" t="n">
        <f aca="false">E34+E35+E36+E37+E38+E39+E40</f>
        <v>4743.93334467854</v>
      </c>
      <c r="F41" s="19" t="n">
        <f aca="false">F34+F35+F36+F37+F38+F39+F40</f>
        <v>9684.79939932496</v>
      </c>
      <c r="G41" s="19" t="n">
        <f aca="false">G34+G35+G36+G37+G38+G39+G40</f>
        <v>17172.0907977402</v>
      </c>
      <c r="H41" s="19" t="n">
        <f aca="false">H34+H35+H36+H37+H38+H39+H40</f>
        <v>28225.1311730064</v>
      </c>
      <c r="I41" s="19" t="n">
        <f aca="false">I34+I35+I36+I37+I38+I39+I40</f>
        <v>42896.6478678371</v>
      </c>
      <c r="K41" s="2"/>
    </row>
    <row r="42" customFormat="false" ht="15" hidden="false" customHeight="false" outlineLevel="0" collapsed="false">
      <c r="A42" s="9" t="s">
        <v>3196</v>
      </c>
      <c r="B42" s="11" t="s">
        <v>3197</v>
      </c>
      <c r="C42" s="9" t="s">
        <v>2632</v>
      </c>
      <c r="D42" s="19" t="n">
        <f aca="false">(D12*D25*INP_055+D13*D26*INP_057+D14*D27*INP_059+D20*D28*INP_061+D21*D29*INP_063+D22*D30*INP_065)*D31*INP_007/INP_013</f>
        <v>13.6247798979025</v>
      </c>
      <c r="E42" s="19" t="n">
        <f aca="false">(E12*E25*INP_055+E13*E26*INP_057+E14*E27*INP_059+E20*E28*INP_061+E21*E29*INP_063+E22*E30*INP_065)*E31*INP_007/INP_013</f>
        <v>71.9772968675722</v>
      </c>
      <c r="F42" s="19" t="n">
        <f aca="false">(F12*F25*INP_055+F13*F26*INP_057+F14*F27*INP_059+F20*F28*INP_061+F21*F29*INP_063+F22*F30*INP_065)*F31*INP_007/INP_013</f>
        <v>148.409396428621</v>
      </c>
      <c r="G42" s="19" t="n">
        <f aca="false">(G12*G25*INP_055+G13*G26*INP_057+G14*G27*INP_059+G20*G28*INP_061+G21*G29*INP_063+G22*G30*INP_065)*G31*INP_007/INP_013</f>
        <v>264.558088412262</v>
      </c>
      <c r="H42" s="19" t="n">
        <f aca="false">(H12*H25*INP_055+H13*H26*INP_057+H14*H27*INP_059+H20*H28*INP_061+H21*H29*INP_063+H22*H30*INP_065)*H31*INP_007/INP_013</f>
        <v>436.70241505511</v>
      </c>
      <c r="I42" s="19" t="n">
        <f aca="false">(I12*I25*INP_055+I13*I26*INP_057+I14*I27*INP_059+I20*I28*INP_061+I21*I29*INP_063+I22*I30*INP_065)*I31*INP_007/INP_013</f>
        <v>665.709235727225</v>
      </c>
      <c r="K42" s="12" t="s">
        <v>3198</v>
      </c>
    </row>
    <row r="43" customFormat="false" ht="15" hidden="false" customHeight="false" outlineLevel="0" collapsed="false">
      <c r="A43" s="9" t="s">
        <v>3199</v>
      </c>
      <c r="B43" s="11" t="s">
        <v>3200</v>
      </c>
      <c r="C43" s="9" t="s">
        <v>2632</v>
      </c>
      <c r="D43" s="19" t="n">
        <f aca="false">(D12*D25*INP_056+D13*D26*INP_058+D14*D27*INP_060+D20*D28*INP_062+D21*D29*INP_064+D22*D30*INP_066)*D32*INP_007/INP_013</f>
        <v>529.678546351515</v>
      </c>
      <c r="E43" s="19" t="n">
        <f aca="false">(E12*E25*INP_056+E13*E26*INP_058+E14*E27*INP_060+E20*E28*INP_062+E21*E29*INP_064+E22*E30*INP_066)*E32*INP_007/INP_013</f>
        <v>4249.47541639313</v>
      </c>
      <c r="F43" s="19" t="n">
        <f aca="false">(F12*F25*INP_056+F13*F26*INP_058+F14*F27*INP_060+F20*F28*INP_062+F21*F29*INP_064+F22*F30*INP_066)*F32*INP_007/INP_013</f>
        <v>8698.73706973652</v>
      </c>
      <c r="G43" s="19" t="n">
        <f aca="false">(G12*G25*INP_056+G13*G26*INP_058+G14*G27*INP_060+G20*G28*INP_062+G21*G29*INP_064+G22*G30*INP_066)*G32*INP_007/INP_013</f>
        <v>15467.3211085536</v>
      </c>
      <c r="H43" s="19" t="n">
        <f aca="false">(H12*H25*INP_056+H13*H26*INP_058+H14*H27*INP_060+H20*H28*INP_062+H21*H29*INP_064+H22*H30*INP_066)*H32*INP_007/INP_013</f>
        <v>25494.6971109665</v>
      </c>
      <c r="I43" s="19" t="n">
        <f aca="false">(I12*I25*INP_056+I13*I26*INP_058+I14*I27*INP_060+I20*I28*INP_062+I21*I29*INP_064+I22*I30*INP_066)*I32*INP_007/INP_013</f>
        <v>38801.1738744589</v>
      </c>
      <c r="K43" s="12" t="s">
        <v>3198</v>
      </c>
    </row>
    <row r="44" customFormat="false" ht="15" hidden="false" customHeight="false" outlineLevel="0" collapsed="false">
      <c r="A44" s="9" t="s">
        <v>3201</v>
      </c>
      <c r="B44" s="11" t="s">
        <v>3202</v>
      </c>
      <c r="C44" s="9" t="s">
        <v>2632</v>
      </c>
      <c r="D44" s="19" t="n">
        <f aca="false">(D12*D25*(1-INP_055-INP_056)+D13*D26*(1-INP_057-INP_058)+D14*D27*(1-INP_059-INP_060)+D20*D28*(1-INP_061-INP_062)+D21*D29*(1-INP_063-INP_064)+D22*D30*(1-INP_065-INP_066))*D33*INP_007/INP_013</f>
        <v>34.1015280619242</v>
      </c>
      <c r="E44" s="19" t="n">
        <f aca="false">(E12*E25*(1-INP_055-INP_056)+E13*E26*(1-INP_057-INP_058)+E14*E27*(1-INP_059-INP_060)+E20*E28*(1-INP_061-INP_062)+E21*E29*(1-INP_063-INP_064)+E22*E30*(1-INP_065-INP_066))*E33*INP_007/INP_013</f>
        <v>221.034151412187</v>
      </c>
      <c r="F44" s="19" t="n">
        <f aca="false">(F12*F25*(1-INP_055-INP_056)+F13*F26*(1-INP_057-INP_058)+F14*F27*(1-INP_059-INP_060)+F20*F28*(1-INP_061-INP_062)+F21*F29*(1-INP_063-INP_064)+F22*F30*(1-INP_065-INP_066))*F33*INP_007/INP_013</f>
        <v>455.408237349085</v>
      </c>
      <c r="G44" s="19" t="n">
        <f aca="false">(G12*G25*(1-INP_055-INP_056)+G13*G26*(1-INP_057-INP_058)+G14*G27*(1-INP_059-INP_060)+G20*G28*(1-INP_061-INP_062)+G21*G29*(1-INP_063-INP_064)+G22*G30*(1-INP_065-INP_066))*G33*INP_007/INP_013</f>
        <v>811.610198513673</v>
      </c>
      <c r="H44" s="19" t="n">
        <f aca="false">(H12*H25*(1-INP_055-INP_056)+H13*H26*(1-INP_057-INP_058)+H14*H27*(1-INP_059-INP_060)+H20*H28*(1-INP_061-INP_062)+H21*H29*(1-INP_063-INP_064)+H22*H30*(1-INP_065-INP_066))*H33*INP_007/INP_013</f>
        <v>1339.51471835305</v>
      </c>
      <c r="I44" s="19" t="n">
        <f aca="false">(I12*I25*(1-INP_055-INP_056)+I13*I26*(1-INP_057-INP_058)+I14*I27*(1-INP_059-INP_060)+I20*I28*(1-INP_061-INP_062)+I21*I29*(1-INP_063-INP_064)+I22*I30*(1-INP_065-INP_066))*I33*INP_007/INP_013</f>
        <v>2041.61768072381</v>
      </c>
      <c r="K44" s="12" t="s">
        <v>3198</v>
      </c>
    </row>
    <row r="45" customFormat="false" ht="15" hidden="false" customHeight="false" outlineLevel="0" collapsed="false">
      <c r="A45" s="9" t="s">
        <v>3203</v>
      </c>
      <c r="B45" s="9" t="s">
        <v>3204</v>
      </c>
      <c r="C45" s="9" t="s">
        <v>2632</v>
      </c>
      <c r="D45" s="19" t="n">
        <f aca="false">D15*D24*INP_053*D31*INP_007/INP_013</f>
        <v>48.0266405685111</v>
      </c>
      <c r="E45" s="19" t="n">
        <f aca="false">E15*E24*INP_053*E31*INP_007/INP_013</f>
        <v>121.507400638333</v>
      </c>
      <c r="F45" s="19" t="n">
        <f aca="false">F15*F24*INP_053*F31*INP_007/INP_013</f>
        <v>230.560292711237</v>
      </c>
      <c r="G45" s="19" t="n">
        <f aca="false">G15*G24*INP_053*G31*INP_007/INP_013</f>
        <v>379.156401363629</v>
      </c>
      <c r="H45" s="19" t="n">
        <f aca="false">H15*H24*INP_053*H31*INP_007/INP_013</f>
        <v>575.559417269989</v>
      </c>
      <c r="I45" s="19" t="n">
        <f aca="false">I15*I24*INP_053*I31*INP_007/INP_013</f>
        <v>837.295062273517</v>
      </c>
      <c r="K45" s="2"/>
    </row>
    <row r="46" customFormat="false" ht="15" hidden="false" customHeight="false" outlineLevel="0" collapsed="false">
      <c r="A46" s="9" t="s">
        <v>3205</v>
      </c>
      <c r="B46" s="9" t="s">
        <v>3206</v>
      </c>
      <c r="C46" s="9" t="s">
        <v>2632</v>
      </c>
      <c r="D46" s="19" t="n">
        <f aca="false">D15*D24*INP_054*D32*INP_007/INP_013</f>
        <v>0</v>
      </c>
      <c r="E46" s="19" t="n">
        <f aca="false">E15*E24*INP_054*E32*INP_007/INP_013</f>
        <v>0</v>
      </c>
      <c r="F46" s="19" t="n">
        <f aca="false">F15*F24*INP_054*F32*INP_007/INP_013</f>
        <v>0</v>
      </c>
      <c r="G46" s="19" t="n">
        <f aca="false">G15*G24*INP_054*G32*INP_007/INP_013</f>
        <v>0</v>
      </c>
      <c r="H46" s="19" t="n">
        <f aca="false">H15*H24*INP_054*H32*INP_007/INP_013</f>
        <v>0</v>
      </c>
      <c r="I46" s="19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3207</v>
      </c>
      <c r="B47" s="9" t="s">
        <v>3208</v>
      </c>
      <c r="C47" s="9" t="s">
        <v>2632</v>
      </c>
      <c r="D47" s="19" t="n">
        <f aca="false">D15*D24*(1-INP_053-INP_054)*D33*INP_007/INP_013</f>
        <v>31.596474058231</v>
      </c>
      <c r="E47" s="19" t="n">
        <f aca="false">E15*E24*(1-INP_053-INP_054)*E33*INP_007/INP_013</f>
        <v>79.9390793673245</v>
      </c>
      <c r="F47" s="19" t="n">
        <f aca="false">F15*F24*(1-INP_053-INP_054)*F33*INP_007/INP_013</f>
        <v>151.684403099498</v>
      </c>
      <c r="G47" s="19" t="n">
        <f aca="false">G15*G24*(1-INP_053-INP_054)*G33*INP_007/INP_013</f>
        <v>249.445000897125</v>
      </c>
      <c r="H47" s="19" t="n">
        <f aca="false">H15*H24*(1-INP_053-INP_054)*H33*INP_007/INP_013</f>
        <v>378.657511361835</v>
      </c>
      <c r="I47" s="19" t="n">
        <f aca="false">I15*I24*(1-INP_053-INP_054)*I33*INP_007/INP_013</f>
        <v>550.85201465363</v>
      </c>
      <c r="K47" s="2"/>
    </row>
    <row r="48" customFormat="false" ht="15" hidden="false" customHeight="false" outlineLevel="0" collapsed="false">
      <c r="A48" s="9" t="s">
        <v>3209</v>
      </c>
      <c r="B48" s="11" t="s">
        <v>3210</v>
      </c>
      <c r="C48" s="9" t="s">
        <v>2632</v>
      </c>
      <c r="D48" s="19" t="n">
        <f aca="false">D42+D45+D43+D46+D44+D47-D41</f>
        <v>0</v>
      </c>
      <c r="E48" s="19" t="n">
        <f aca="false">E42+E45+E43+E46+E44+E47-E41</f>
        <v>0</v>
      </c>
      <c r="F48" s="19" t="n">
        <f aca="false">F42+F45+F43+F46+F44+F47-F41</f>
        <v>0</v>
      </c>
      <c r="G48" s="19" t="n">
        <f aca="false">G42+G45+G43+G46+G44+G47-G41</f>
        <v>0</v>
      </c>
      <c r="H48" s="19" t="n">
        <f aca="false">H42+H45+H43+H46+H44+H47-H41</f>
        <v>0</v>
      </c>
      <c r="I48" s="19" t="n">
        <f aca="false">I42+I45+I43+I46+I44+I47-I41</f>
        <v>0</v>
      </c>
      <c r="K48" s="2"/>
    </row>
    <row r="49" customFormat="false" ht="15" hidden="false" customHeight="false" outlineLevel="0" collapsed="false">
      <c r="A49" s="9" t="s">
        <v>3211</v>
      </c>
      <c r="B49" s="11" t="s">
        <v>3212</v>
      </c>
      <c r="C49" s="11" t="s">
        <v>253</v>
      </c>
      <c r="D49" s="15" t="n">
        <f aca="false">(D43+D46)/D41</f>
        <v>0.806173513751026</v>
      </c>
      <c r="E49" s="15" t="n">
        <f aca="false">(E43+E46)/E41</f>
        <v>0.895770473073769</v>
      </c>
      <c r="F49" s="15" t="n">
        <f aca="false">(F43+F46)/F41</f>
        <v>0.898184537548897</v>
      </c>
      <c r="G49" s="15" t="n">
        <f aca="false">(G43+G46)/G41</f>
        <v>0.900724395807933</v>
      </c>
      <c r="H49" s="15" t="n">
        <f aca="false">(H43+H46)/H41</f>
        <v>0.903262307434331</v>
      </c>
      <c r="I49" s="15" t="n">
        <f aca="false">(I43+I46)/I41</f>
        <v>0.904526945648616</v>
      </c>
      <c r="K49" s="12" t="s">
        <v>3213</v>
      </c>
    </row>
    <row r="50" customFormat="false" ht="15" hidden="false" customHeight="false" outlineLevel="0" collapsed="false">
      <c r="A50" s="14" t="s">
        <v>3214</v>
      </c>
    </row>
    <row r="51" customFormat="false" ht="15" hidden="false" customHeight="false" outlineLevel="0" collapsed="false">
      <c r="A51" s="9" t="s">
        <v>3215</v>
      </c>
      <c r="B51" s="11" t="s">
        <v>3216</v>
      </c>
      <c r="C51" s="11" t="s">
        <v>731</v>
      </c>
      <c r="E51" s="20" t="n">
        <f aca="false">Revenue!E32/Revenue!D32</f>
        <v>0.716439460950102</v>
      </c>
      <c r="F51" s="20" t="n">
        <f aca="false">Revenue!F32/Revenue!E32</f>
        <v>0.680187510212974</v>
      </c>
      <c r="G51" s="20" t="n">
        <f aca="false">Revenue!G32/Revenue!F32</f>
        <v>0.85</v>
      </c>
      <c r="H51" s="20" t="n">
        <f aca="false">Revenue!H32/Revenue!G32</f>
        <v>0.85</v>
      </c>
      <c r="I51" s="20" t="n">
        <f aca="false">Revenue!I32/Revenue!H32</f>
        <v>0.85</v>
      </c>
      <c r="K51" s="2" t="s">
        <v>3217</v>
      </c>
    </row>
    <row r="52" customFormat="false" ht="15" hidden="false" customHeight="false" outlineLevel="0" collapsed="false">
      <c r="A52" s="9" t="s">
        <v>3218</v>
      </c>
      <c r="B52" s="9" t="s">
        <v>3219</v>
      </c>
      <c r="C52" s="9" t="s">
        <v>2964</v>
      </c>
      <c r="D52" s="18" t="n">
        <f aca="false">INP_086</f>
        <v>50</v>
      </c>
      <c r="E52" s="18" t="n">
        <f aca="false">D52*(1+INP_087)*E51^(INP_097*(E$6&gt;=INP_015))</f>
        <v>60</v>
      </c>
      <c r="F52" s="18" t="n">
        <f aca="false">E52*(1+INP_088)*F51^(INP_097*(F$6&gt;=INP_015))</f>
        <v>77.4569683573399</v>
      </c>
      <c r="G52" s="18" t="n">
        <f aca="false">F52*(1+INP_089)*G51^(INP_097*(G$6&gt;=INP_015))</f>
        <v>91.0862535954576</v>
      </c>
      <c r="H52" s="18" t="n">
        <f aca="false">G52*(1+INP_090)*H51^(INP_097*(H$6&gt;=INP_015))</f>
        <v>105.200994950213</v>
      </c>
      <c r="I52" s="18" t="n">
        <f aca="false">H52*(1+INP_091)*I51^(INP_097*(I$6&gt;=INP_015))</f>
        <v>119.293814317234</v>
      </c>
      <c r="K52" s="2" t="s">
        <v>3220</v>
      </c>
    </row>
    <row r="53" customFormat="false" ht="15" hidden="false" customHeight="false" outlineLevel="0" collapsed="false">
      <c r="A53" s="9" t="s">
        <v>3221</v>
      </c>
      <c r="B53" s="9" t="s">
        <v>3222</v>
      </c>
      <c r="C53" s="11" t="s">
        <v>3223</v>
      </c>
      <c r="D53" s="21" t="n">
        <f aca="false">D54/D52</f>
        <v>14.920704873522</v>
      </c>
      <c r="E53" s="21" t="n">
        <f aca="false">E54/E52</f>
        <v>201.782754596716</v>
      </c>
      <c r="F53" s="21" t="n">
        <f aca="false">E53*(1+INP_092)*F51^(INP_096*(F$6&gt;=INP_015))</f>
        <v>383.188080621325</v>
      </c>
      <c r="G53" s="21" t="n">
        <f aca="false">F53*(1+INP_093)*G51^(INP_096*(G$6&gt;=INP_015))</f>
        <v>579.632211246248</v>
      </c>
      <c r="H53" s="21" t="n">
        <f aca="false">G53*(1+INP_094)*H51^(INP_096*(H$6&gt;=INP_015))</f>
        <v>811.83781567683</v>
      </c>
      <c r="I53" s="21" t="n">
        <f aca="false">H53*(1+INP_095)*I51^(INP_096*(I$6&gt;=INP_015))</f>
        <v>1091.58428591128</v>
      </c>
      <c r="K53" s="12" t="s">
        <v>3224</v>
      </c>
    </row>
    <row r="54" customFormat="false" ht="15" hidden="false" customHeight="false" outlineLevel="0" collapsed="false">
      <c r="A54" s="9" t="s">
        <v>3225</v>
      </c>
      <c r="B54" s="9" t="s">
        <v>3226</v>
      </c>
      <c r="C54" s="9" t="s">
        <v>2632</v>
      </c>
      <c r="D54" s="19" t="n">
        <f aca="false">Revenue!D57*INP_012/Revenue!D32</f>
        <v>746.035243676102</v>
      </c>
      <c r="E54" s="19" t="n">
        <f aca="false">Revenue!E57*INP_012/Revenue!E32</f>
        <v>12106.9652758029</v>
      </c>
      <c r="F54" s="19" t="n">
        <f aca="false">F53*F52</f>
        <v>29680.5870355958</v>
      </c>
      <c r="G54" s="19" t="n">
        <f aca="false">G53*G52</f>
        <v>52796.5265856716</v>
      </c>
      <c r="H54" s="19" t="n">
        <f aca="false">H53*H52</f>
        <v>85406.14594741</v>
      </c>
      <c r="I54" s="19" t="n">
        <f aca="false">I53*I52</f>
        <v>130219.25311511</v>
      </c>
      <c r="K54" s="12" t="s">
        <v>3227</v>
      </c>
    </row>
    <row r="55" customFormat="false" ht="15" hidden="false" customHeight="false" outlineLevel="0" collapsed="false">
      <c r="A55" s="9" t="s">
        <v>3228</v>
      </c>
      <c r="B55" s="9" t="s">
        <v>3229</v>
      </c>
      <c r="C55" s="11" t="s">
        <v>2832</v>
      </c>
      <c r="E55" s="15" t="n">
        <f aca="false">(E53-D53)/D53</f>
        <v>12.523674404605</v>
      </c>
      <c r="F55" s="15" t="n">
        <f aca="false">(F53-E53)/E53</f>
        <v>0.899013032046111</v>
      </c>
      <c r="G55" s="15" t="n">
        <f aca="false">(G53-F53)/F53</f>
        <v>0.512657205585298</v>
      </c>
      <c r="H55" s="15" t="n">
        <f aca="false">(H53-G53)/G53</f>
        <v>0.400608523690092</v>
      </c>
      <c r="I55" s="15" t="n">
        <f aca="false">(I53-H53)/H53</f>
        <v>0.344584182742488</v>
      </c>
      <c r="K55" s="12" t="s">
        <v>3230</v>
      </c>
    </row>
    <row r="56" customFormat="false" ht="15" hidden="false" customHeight="false" outlineLevel="0" collapsed="false">
      <c r="A56" s="9" t="s">
        <v>3231</v>
      </c>
      <c r="B56" s="9" t="s">
        <v>3232</v>
      </c>
      <c r="C56" s="9" t="s">
        <v>2632</v>
      </c>
      <c r="D56" s="19" t="n">
        <f aca="false">D54*Revenue!D31</f>
        <v>111.905286551415</v>
      </c>
      <c r="E56" s="19" t="n">
        <f aca="false">E54*Revenue!E31</f>
        <v>4237.43784653103</v>
      </c>
      <c r="F56" s="19" t="n">
        <f aca="false">F54*Revenue!F31</f>
        <v>10388.2054624585</v>
      </c>
      <c r="G56" s="19" t="n">
        <f aca="false">G54*Revenue!G31</f>
        <v>18478.7843049851</v>
      </c>
      <c r="H56" s="19" t="n">
        <f aca="false">H54*Revenue!H31</f>
        <v>29892.1510815935</v>
      </c>
      <c r="I56" s="19" t="n">
        <f aca="false">I54*Revenue!I31</f>
        <v>45576.7385902884</v>
      </c>
      <c r="K56" s="2" t="s">
        <v>3233</v>
      </c>
    </row>
    <row r="57" customFormat="false" ht="15" hidden="false" customHeight="false" outlineLevel="0" collapsed="false">
      <c r="A57" s="9" t="s">
        <v>3234</v>
      </c>
      <c r="B57" s="9" t="s">
        <v>3235</v>
      </c>
      <c r="C57" s="9" t="s">
        <v>2632</v>
      </c>
      <c r="D57" s="19" t="n">
        <f aca="false">D54*Revenue!D29</f>
        <v>484.922908389466</v>
      </c>
      <c r="E57" s="19" t="n">
        <f aca="false">E54*Revenue!E29</f>
        <v>6053.48263790147</v>
      </c>
      <c r="F57" s="19" t="n">
        <f aca="false">F54*Revenue!F29</f>
        <v>14840.2935177979</v>
      </c>
      <c r="G57" s="19" t="n">
        <f aca="false">G54*Revenue!G29</f>
        <v>26398.2632928358</v>
      </c>
      <c r="H57" s="19" t="n">
        <f aca="false">H54*Revenue!H29</f>
        <v>42703.072973705</v>
      </c>
      <c r="I57" s="19" t="n">
        <f aca="false">I54*Revenue!I29</f>
        <v>65109.6265575549</v>
      </c>
      <c r="K57" s="2" t="s">
        <v>3233</v>
      </c>
    </row>
    <row r="58" customFormat="false" ht="15" hidden="false" customHeight="false" outlineLevel="0" collapsed="false">
      <c r="A58" s="9" t="s">
        <v>3236</v>
      </c>
      <c r="B58" s="9" t="s">
        <v>3237</v>
      </c>
      <c r="C58" s="9" t="s">
        <v>2632</v>
      </c>
      <c r="D58" s="19" t="n">
        <f aca="false">D54*Revenue!D30</f>
        <v>149.20704873522</v>
      </c>
      <c r="E58" s="19" t="n">
        <f aca="false">E54*Revenue!E30</f>
        <v>1816.04479137044</v>
      </c>
      <c r="F58" s="19" t="n">
        <f aca="false">F54*Revenue!F30</f>
        <v>4452.08805533937</v>
      </c>
      <c r="G58" s="19" t="n">
        <f aca="false">G54*Revenue!G30</f>
        <v>7919.47898785074</v>
      </c>
      <c r="H58" s="19" t="n">
        <f aca="false">H54*Revenue!H30</f>
        <v>12810.9218921115</v>
      </c>
      <c r="I58" s="19" t="n">
        <f aca="false">I54*Revenue!I30</f>
        <v>19532.8879672665</v>
      </c>
      <c r="K58" s="2" t="s">
        <v>3233</v>
      </c>
    </row>
    <row r="59" customFormat="false" ht="15" hidden="false" customHeight="false" outlineLevel="0" collapsed="false">
      <c r="A59" s="14" t="s">
        <v>3238</v>
      </c>
    </row>
    <row r="60" customFormat="false" ht="15" hidden="false" customHeight="false" outlineLevel="0" collapsed="false">
      <c r="A60" s="9" t="s">
        <v>3239</v>
      </c>
      <c r="B60" s="11" t="s">
        <v>3240</v>
      </c>
      <c r="C60" s="9" t="s">
        <v>2632</v>
      </c>
      <c r="D60" s="19" t="n">
        <f aca="false">D45*(1-INP_071-INP_072)+D46*(1-INP_073-INP_074)+D47*(1-INP_075-INP_076)</f>
        <v>7.14080313716021</v>
      </c>
      <c r="E60" s="19" t="n">
        <f aca="false">E45*(1-INP_071-INP_072)+E46*(1-INP_073-INP_074)+E47*(1-INP_075-INP_076)</f>
        <v>18.0662319370153</v>
      </c>
      <c r="F60" s="19" t="n">
        <f aca="false">F45*(1-INP_071-INP_072)+F46*(1-INP_073-INP_074)+F47*(1-INP_075-INP_076)</f>
        <v>34.2806751004866</v>
      </c>
      <c r="G60" s="19" t="n">
        <f aca="false">G45*(1-INP_071-INP_072)+G46*(1-INP_073-INP_074)+G47*(1-INP_075-INP_076)</f>
        <v>56.3745702027502</v>
      </c>
      <c r="H60" s="19" t="n">
        <f aca="false">H45*(1-INP_071-INP_072)+H46*(1-INP_073-INP_074)+H47*(1-INP_075-INP_076)</f>
        <v>85.5765975677747</v>
      </c>
      <c r="I60" s="19" t="n">
        <f aca="false">I45*(1-INP_071-INP_072)+I46*(1-INP_073-INP_074)+I47*(1-INP_075-INP_076)</f>
        <v>124.49255531172</v>
      </c>
      <c r="K60" s="12" t="s">
        <v>3241</v>
      </c>
    </row>
    <row r="61" customFormat="false" ht="15" hidden="false" customHeight="false" outlineLevel="0" collapsed="false">
      <c r="A61" s="9" t="s">
        <v>3242</v>
      </c>
      <c r="B61" s="11" t="s">
        <v>3243</v>
      </c>
      <c r="C61" s="9" t="s">
        <v>2632</v>
      </c>
      <c r="D61" s="19" t="n">
        <f aca="false">D45*INP_072+D46*INP_074+D47*INP_076</f>
        <v>50.1752008044708</v>
      </c>
      <c r="E61" s="19" t="n">
        <f aca="false">E45*INP_072+E46*INP_074+E47*INP_076</f>
        <v>126.943258035311</v>
      </c>
      <c r="F61" s="19" t="n">
        <f aca="false">F45*INP_072+F46*INP_074+F47*INP_076</f>
        <v>240.874832122003</v>
      </c>
      <c r="G61" s="19" t="n">
        <f aca="false">G45*INP_072+G46*INP_074+G47*INP_076</f>
        <v>396.118661424634</v>
      </c>
      <c r="H61" s="19" t="n">
        <f aca="false">H45*INP_072+H46*INP_074+H47*INP_076</f>
        <v>601.308128042594</v>
      </c>
      <c r="I61" s="19" t="n">
        <f aca="false">I45*INP_072+I46*INP_074+I47*INP_076</f>
        <v>874.752999269964</v>
      </c>
      <c r="K61" s="12" t="s">
        <v>3241</v>
      </c>
    </row>
    <row r="62" customFormat="false" ht="15" hidden="false" customHeight="false" outlineLevel="0" collapsed="false">
      <c r="A62" s="9" t="s">
        <v>3244</v>
      </c>
      <c r="B62" s="11" t="s">
        <v>3245</v>
      </c>
      <c r="C62" s="9" t="s">
        <v>2632</v>
      </c>
      <c r="D62" s="19" t="n">
        <f aca="false">D45*INP_071+D46*INP_073+D47*INP_075</f>
        <v>22.3071106851111</v>
      </c>
      <c r="E62" s="19" t="n">
        <f aca="false">E45*INP_071+E46*INP_073+E47*INP_075</f>
        <v>56.436990033331</v>
      </c>
      <c r="F62" s="19" t="n">
        <f aca="false">F45*INP_071+F46*INP_073+F47*INP_075</f>
        <v>107.089188588246</v>
      </c>
      <c r="G62" s="19" t="n">
        <f aca="false">G45*INP_071+G46*INP_073+G47*INP_075</f>
        <v>176.10817063337</v>
      </c>
      <c r="H62" s="19" t="n">
        <f aca="false">H45*INP_071+H46*INP_073+H47*INP_075</f>
        <v>267.332203021456</v>
      </c>
      <c r="I62" s="19" t="n">
        <f aca="false">I45*INP_071+I46*INP_073+I47*INP_075</f>
        <v>388.901522345463</v>
      </c>
      <c r="K62" s="12" t="s">
        <v>3241</v>
      </c>
    </row>
    <row r="63" customFormat="false" ht="15" hidden="false" customHeight="false" outlineLevel="0" collapsed="false">
      <c r="A63" s="9" t="s">
        <v>3246</v>
      </c>
      <c r="B63" s="11" t="s">
        <v>3247</v>
      </c>
      <c r="C63" s="9" t="s">
        <v>2632</v>
      </c>
      <c r="D63" s="19" t="n">
        <f aca="false">D42*(1-INP_071-INP_072)+D43*(1-INP_073-INP_074)+D44*(1-INP_075-INP_076)+D56</f>
        <v>303.089245978629</v>
      </c>
      <c r="E63" s="19" t="n">
        <f aca="false">E42*(1-INP_071-INP_072)+E43*(1-INP_073-INP_074)+E44*(1-INP_075-INP_076)+E56</f>
        <v>5761.50822982383</v>
      </c>
      <c r="F63" s="19" t="n">
        <f aca="false">F42*(1-INP_071-INP_072)+F43*(1-INP_073-INP_074)+F44*(1-INP_075-INP_076)+F56</f>
        <v>13508.4951422901</v>
      </c>
      <c r="G63" s="19" t="n">
        <f aca="false">G42*(1-INP_071-INP_072)+G43*(1-INP_073-INP_074)+G44*(1-INP_075-INP_076)+G56</f>
        <v>24027.3161271765</v>
      </c>
      <c r="H63" s="19" t="n">
        <f aca="false">H42*(1-INP_071-INP_072)+H43*(1-INP_073-INP_074)+H44*(1-INP_075-INP_076)+H56</f>
        <v>39038.0573989375</v>
      </c>
      <c r="I63" s="19" t="n">
        <f aca="false">I42*(1-INP_071-INP_072)+I43*(1-INP_073-INP_074)+I44*(1-INP_075-INP_076)+I56</f>
        <v>59496.677560244</v>
      </c>
      <c r="K63" s="12" t="s">
        <v>3248</v>
      </c>
    </row>
    <row r="64" customFormat="false" ht="15" hidden="false" customHeight="false" outlineLevel="0" collapsed="false">
      <c r="A64" s="9" t="s">
        <v>3249</v>
      </c>
      <c r="B64" s="11" t="s">
        <v>3250</v>
      </c>
      <c r="C64" s="9" t="s">
        <v>2632</v>
      </c>
      <c r="D64" s="19" t="n">
        <f aca="false">D42*INP_072+D43*INP_074+D44*INP_076+D57</f>
        <v>832.047059971166</v>
      </c>
      <c r="E64" s="19" t="n">
        <f aca="false">E42*INP_072+E43*INP_074+E44*INP_076+E57</f>
        <v>8782.57362154858</v>
      </c>
      <c r="F64" s="19" t="n">
        <f aca="false">F42*INP_072+F43*INP_074+F44*INP_076+F57</f>
        <v>20429.2468097279</v>
      </c>
      <c r="G64" s="19" t="n">
        <f aca="false">G42*INP_072+G43*INP_074+G44*INP_076+G57</f>
        <v>36337.5848345441</v>
      </c>
      <c r="H64" s="19" t="n">
        <f aca="false">H42*INP_072+H43*INP_074+H44*INP_076+H57</f>
        <v>59087.4566410825</v>
      </c>
      <c r="I64" s="19" t="n">
        <f aca="false">I42*INP_072+I43*INP_074+I44*INP_076+I57</f>
        <v>90048.0124938872</v>
      </c>
      <c r="K64" s="12" t="s">
        <v>3248</v>
      </c>
    </row>
    <row r="65" customFormat="false" ht="15" hidden="false" customHeight="false" outlineLevel="0" collapsed="false">
      <c r="A65" s="9" t="s">
        <v>3251</v>
      </c>
      <c r="B65" s="11" t="s">
        <v>3252</v>
      </c>
      <c r="C65" s="9" t="s">
        <v>2632</v>
      </c>
      <c r="D65" s="19" t="n">
        <f aca="false">D42*INP_071+D43*INP_073+D44*INP_075+D58</f>
        <v>188.303792037648</v>
      </c>
      <c r="E65" s="19" t="n">
        <f aca="false">E42*INP_071+E43*INP_073+E44*INP_075+E58</f>
        <v>2105.37028910342</v>
      </c>
      <c r="F65" s="19" t="n">
        <f aca="false">F42*INP_071+F43*INP_073+F44*INP_075+F58</f>
        <v>5045.39978709205</v>
      </c>
      <c r="G65" s="19" t="n">
        <f aca="false">G42*INP_071+G43*INP_073+G44*INP_075+G58</f>
        <v>8975.11501943051</v>
      </c>
      <c r="H65" s="19" t="n">
        <f aca="false">H42*INP_071+H43*INP_073+H44*INP_075+H58</f>
        <v>14551.5461517646</v>
      </c>
      <c r="I65" s="19" t="n">
        <f aca="false">I42*INP_071+I43*INP_073+I44*INP_075+I58</f>
        <v>22183.0638518885</v>
      </c>
      <c r="K65" s="12" t="s">
        <v>3248</v>
      </c>
    </row>
    <row r="66" customFormat="false" ht="15" hidden="false" customHeight="false" outlineLevel="0" collapsed="false">
      <c r="A66" s="9" t="s">
        <v>3253</v>
      </c>
      <c r="B66" s="11" t="s">
        <v>3254</v>
      </c>
      <c r="C66" s="9" t="s">
        <v>2632</v>
      </c>
      <c r="D66" s="19" t="n">
        <f aca="false">D60+D61+D62</f>
        <v>79.6231146267421</v>
      </c>
      <c r="E66" s="19" t="n">
        <f aca="false">E60+E61+E62</f>
        <v>201.446480005658</v>
      </c>
      <c r="F66" s="19" t="n">
        <f aca="false">F60+F61+F62</f>
        <v>382.244695810735</v>
      </c>
      <c r="G66" s="19" t="n">
        <f aca="false">G60+G61+G62</f>
        <v>628.601402260754</v>
      </c>
      <c r="H66" s="19" t="n">
        <f aca="false">H60+H61+H62</f>
        <v>954.216928631825</v>
      </c>
      <c r="I66" s="19" t="n">
        <f aca="false">I60+I61+I62</f>
        <v>1388.14707692715</v>
      </c>
      <c r="K66" s="2"/>
    </row>
    <row r="67" customFormat="false" ht="15" hidden="false" customHeight="false" outlineLevel="0" collapsed="false">
      <c r="A67" s="9" t="s">
        <v>3255</v>
      </c>
      <c r="B67" s="11" t="s">
        <v>3256</v>
      </c>
      <c r="C67" s="9" t="s">
        <v>2632</v>
      </c>
      <c r="D67" s="19" t="n">
        <f aca="false">D63+D64+D65</f>
        <v>1323.44009798744</v>
      </c>
      <c r="E67" s="19" t="n">
        <f aca="false">E63+E64+E65</f>
        <v>16649.4521404758</v>
      </c>
      <c r="F67" s="19" t="n">
        <f aca="false">F63+F64+F65</f>
        <v>38983.14173911</v>
      </c>
      <c r="G67" s="19" t="n">
        <f aca="false">G63+G64+G65</f>
        <v>69340.0159811511</v>
      </c>
      <c r="H67" s="19" t="n">
        <f aca="false">H63+H64+H65</f>
        <v>112677.060191785</v>
      </c>
      <c r="I67" s="19" t="n">
        <f aca="false">I63+I64+I65</f>
        <v>171727.75390602</v>
      </c>
      <c r="K67" s="2"/>
    </row>
    <row r="68" customFormat="false" ht="15" hidden="false" customHeight="false" outlineLevel="0" collapsed="false">
      <c r="A68" s="9" t="s">
        <v>3257</v>
      </c>
      <c r="B68" s="9" t="s">
        <v>2631</v>
      </c>
      <c r="C68" s="9" t="s">
        <v>2632</v>
      </c>
      <c r="D68" s="19" t="n">
        <f aca="false">D66+D67</f>
        <v>1403.06321261419</v>
      </c>
      <c r="E68" s="19" t="n">
        <f aca="false">E66+E67</f>
        <v>16850.8986204815</v>
      </c>
      <c r="F68" s="19" t="n">
        <f aca="false">F66+F67</f>
        <v>39365.3864349208</v>
      </c>
      <c r="G68" s="19" t="n">
        <f aca="false">G66+G67</f>
        <v>69968.6173834118</v>
      </c>
      <c r="H68" s="19" t="n">
        <f aca="false">H66+H67</f>
        <v>113631.277120416</v>
      </c>
      <c r="I68" s="19" t="n">
        <f aca="false">I66+I67</f>
        <v>173115.900982947</v>
      </c>
      <c r="K68" s="2"/>
    </row>
    <row r="69" customFormat="false" ht="15" hidden="false" customHeight="false" outlineLevel="0" collapsed="false">
      <c r="A69" s="9" t="s">
        <v>3258</v>
      </c>
      <c r="B69" s="11" t="s">
        <v>3259</v>
      </c>
      <c r="C69" s="9" t="s">
        <v>2632</v>
      </c>
      <c r="D69" s="19" t="n">
        <f aca="false">D41+D54</f>
        <v>1403.06321261419</v>
      </c>
      <c r="E69" s="19" t="n">
        <f aca="false">E41+E54</f>
        <v>16850.8986204815</v>
      </c>
      <c r="F69" s="19" t="n">
        <f aca="false">F41+F54</f>
        <v>39365.3864349208</v>
      </c>
      <c r="G69" s="19" t="n">
        <f aca="false">G41+G54</f>
        <v>69968.6173834118</v>
      </c>
      <c r="H69" s="19" t="n">
        <f aca="false">H41+H54</f>
        <v>113631.277120416</v>
      </c>
      <c r="I69" s="19" t="n">
        <f aca="false">I41+I54</f>
        <v>173115.900982947</v>
      </c>
      <c r="K69" s="12" t="s">
        <v>3260</v>
      </c>
    </row>
    <row r="70" customFormat="false" ht="15" hidden="false" customHeight="false" outlineLevel="0" collapsed="false">
      <c r="A70" s="9" t="s">
        <v>3261</v>
      </c>
      <c r="B70" s="9" t="s">
        <v>3262</v>
      </c>
      <c r="C70" s="11" t="s">
        <v>253</v>
      </c>
      <c r="D70" s="15" t="n">
        <f aca="false">D54/D68</f>
        <v>0.531718911143062</v>
      </c>
      <c r="E70" s="15" t="n">
        <f aca="false">E54/E68</f>
        <v>0.718475942943926</v>
      </c>
      <c r="F70" s="15" t="n">
        <f aca="false">F54/F68</f>
        <v>0.753976773088816</v>
      </c>
      <c r="G70" s="15" t="n">
        <f aca="false">G54/G68</f>
        <v>0.754574387205036</v>
      </c>
      <c r="H70" s="15" t="n">
        <f aca="false">H54/H68</f>
        <v>0.751607727306489</v>
      </c>
      <c r="I70" s="15" t="n">
        <f aca="false">I54/I68</f>
        <v>0.752208505259937</v>
      </c>
      <c r="K70" s="2"/>
    </row>
    <row r="71" customFormat="false" ht="15" hidden="false" customHeight="false" outlineLevel="0" collapsed="false">
      <c r="A71" s="14" t="s">
        <v>3263</v>
      </c>
    </row>
    <row r="72" customFormat="false" ht="15" hidden="false" customHeight="false" outlineLevel="0" collapsed="false">
      <c r="A72" s="9" t="s">
        <v>3264</v>
      </c>
      <c r="B72" s="9" t="s">
        <v>3265</v>
      </c>
      <c r="C72" s="9" t="s">
        <v>60</v>
      </c>
      <c r="D72" s="16" t="n">
        <f aca="false">SRC_ANT_057</f>
        <v>1</v>
      </c>
      <c r="E72" s="16" t="n">
        <f aca="false">SRC_ANT_058</f>
        <v>2.5</v>
      </c>
      <c r="K72" s="2" t="s">
        <v>3266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20.1" hidden="false" customHeight="false" outlineLevel="0" collapsed="false">
      <c r="A1" s="1" t="s">
        <v>3267</v>
      </c>
    </row>
    <row r="2" customFormat="false" ht="15" hidden="false" customHeight="false" outlineLevel="0" collapsed="false">
      <c r="A2" s="12" t="s">
        <v>3268</v>
      </c>
    </row>
    <row r="3" customFormat="false" ht="15" hidden="false" customHeight="false" outlineLevel="0" collapsed="false">
      <c r="A3" s="2" t="s">
        <v>3269</v>
      </c>
    </row>
    <row r="5" customFormat="false" ht="15" hidden="false" customHeight="false" outlineLevel="0" collapsed="false">
      <c r="A5" s="8" t="s">
        <v>3120</v>
      </c>
      <c r="B5" s="8" t="s">
        <v>32</v>
      </c>
      <c r="C5" s="8" t="s">
        <v>36</v>
      </c>
      <c r="D5" s="7" t="s">
        <v>61</v>
      </c>
      <c r="E5" s="7" t="s">
        <v>290</v>
      </c>
      <c r="F5" s="7" t="s">
        <v>2605</v>
      </c>
      <c r="G5" s="7" t="s">
        <v>1644</v>
      </c>
      <c r="H5" s="7" t="s">
        <v>2606</v>
      </c>
      <c r="I5" s="7" t="s">
        <v>2607</v>
      </c>
      <c r="J5" s="8"/>
      <c r="K5" s="8" t="s">
        <v>2346</v>
      </c>
    </row>
    <row r="6" customFormat="false" ht="15" hidden="false" customHeight="false" outlineLevel="0" collapsed="false">
      <c r="B6" s="3" t="s">
        <v>3121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4" t="s">
        <v>3270</v>
      </c>
    </row>
    <row r="8" customFormat="false" ht="15" hidden="false" customHeight="false" outlineLevel="0" collapsed="false">
      <c r="A8" s="9" t="s">
        <v>3271</v>
      </c>
      <c r="B8" s="11" t="s">
        <v>3272</v>
      </c>
      <c r="C8" s="11" t="s">
        <v>1921</v>
      </c>
      <c r="D8" s="13" t="n">
        <f aca="false">DATE(D$6,INP_010,INP_011)</f>
        <v>45658</v>
      </c>
      <c r="E8" s="13" t="n">
        <f aca="false">DATE(E$6,INP_010,INP_011)</f>
        <v>46023</v>
      </c>
      <c r="F8" s="13" t="n">
        <f aca="false">DATE(F$6,INP_010,INP_011)</f>
        <v>46388</v>
      </c>
      <c r="G8" s="13" t="n">
        <f aca="false">DATE(G$6,INP_010,INP_011)</f>
        <v>46753</v>
      </c>
      <c r="H8" s="13" t="n">
        <f aca="false">DATE(H$6,INP_010,INP_011)</f>
        <v>47119</v>
      </c>
      <c r="I8" s="13" t="n">
        <f aca="false">DATE(I$6,INP_010,INP_011)</f>
        <v>47484</v>
      </c>
      <c r="K8" s="12" t="s">
        <v>3273</v>
      </c>
    </row>
    <row r="9" customFormat="false" ht="15" hidden="false" customHeight="false" outlineLevel="0" collapsed="false">
      <c r="A9" s="9" t="s">
        <v>3274</v>
      </c>
      <c r="B9" s="11" t="s">
        <v>3275</v>
      </c>
      <c r="C9" s="11" t="s">
        <v>1921</v>
      </c>
      <c r="D9" s="13" t="n">
        <f aca="false">DATE((D$6+1),INP_010,INP_011)</f>
        <v>46023</v>
      </c>
      <c r="E9" s="13" t="n">
        <f aca="false">DATE((E$6+1),INP_010,INP_011)</f>
        <v>46388</v>
      </c>
      <c r="F9" s="13" t="n">
        <f aca="false">DATE((F$6+1),INP_010,INP_011)</f>
        <v>46753</v>
      </c>
      <c r="G9" s="13" t="n">
        <f aca="false">DATE((G$6+1),INP_010,INP_011)</f>
        <v>47119</v>
      </c>
      <c r="H9" s="13" t="n">
        <f aca="false">DATE((H$6+1),INP_010,INP_011)</f>
        <v>47484</v>
      </c>
      <c r="I9" s="13" t="n">
        <f aca="false">DATE((I$6+1),INP_010,INP_011)</f>
        <v>47849</v>
      </c>
      <c r="K9" s="2" t="s">
        <v>3276</v>
      </c>
    </row>
    <row r="10" customFormat="false" ht="15" hidden="false" customHeight="false" outlineLevel="0" collapsed="false">
      <c r="A10" s="14" t="s">
        <v>3277</v>
      </c>
    </row>
    <row r="11" customFormat="false" ht="15" hidden="false" customHeight="false" outlineLevel="0" collapsed="false">
      <c r="A11" s="9" t="s">
        <v>3278</v>
      </c>
      <c r="B11" s="11" t="s">
        <v>3279</v>
      </c>
      <c r="C11" s="9" t="s">
        <v>2384</v>
      </c>
      <c r="D11" s="20" t="n">
        <f aca="false">SUMPRODUCT($O$100:$O$108,D$100:D$108)</f>
        <v>13.958904109589</v>
      </c>
      <c r="E11" s="20" t="n">
        <f aca="false">SUMPRODUCT($O$100:$O$108,E$100:E$108)</f>
        <v>4.72328767123288</v>
      </c>
      <c r="F11" s="20" t="n">
        <f aca="false">SUMPRODUCT($O$100:$O$108,F$100:F$108)</f>
        <v>4</v>
      </c>
      <c r="G11" s="20" t="n">
        <f aca="false">SUMPRODUCT($O$100:$O$108,G$100:G$108)</f>
        <v>4</v>
      </c>
      <c r="H11" s="20" t="n">
        <f aca="false">SUMPRODUCT($O$100:$O$108,H$100:H$108)</f>
        <v>4</v>
      </c>
      <c r="I11" s="20" t="n">
        <f aca="false">SUMPRODUCT($O$100:$O$108,I$100:I$108)</f>
        <v>4</v>
      </c>
      <c r="K11" s="12" t="s">
        <v>3280</v>
      </c>
    </row>
    <row r="12" customFormat="false" ht="15" hidden="false" customHeight="false" outlineLevel="0" collapsed="false">
      <c r="A12" s="9" t="s">
        <v>3281</v>
      </c>
      <c r="B12" s="11" t="s">
        <v>3282</v>
      </c>
      <c r="C12" s="9" t="s">
        <v>2384</v>
      </c>
      <c r="D12" s="20" t="n">
        <f aca="false">D11</f>
        <v>13.958904109589</v>
      </c>
      <c r="E12" s="20" t="n">
        <f aca="false">E11</f>
        <v>4.72328767123288</v>
      </c>
      <c r="F12" s="20" t="n">
        <f aca="false">F11*(1+INP_098)</f>
        <v>3.4</v>
      </c>
      <c r="G12" s="20" t="n">
        <f aca="false">F12*(1+INP_098)</f>
        <v>2.89</v>
      </c>
      <c r="H12" s="20" t="n">
        <f aca="false">G12*(1+INP_098)</f>
        <v>2.4565</v>
      </c>
      <c r="I12" s="20" t="n">
        <f aca="false">H12*(1+INP_098)</f>
        <v>2.088025</v>
      </c>
      <c r="K12" s="12" t="s">
        <v>3283</v>
      </c>
    </row>
    <row r="13" customFormat="false" ht="15" hidden="false" customHeight="false" outlineLevel="0" collapsed="false">
      <c r="A13" s="9" t="s">
        <v>3284</v>
      </c>
      <c r="B13" s="11" t="s">
        <v>3285</v>
      </c>
      <c r="C13" s="9" t="s">
        <v>2384</v>
      </c>
      <c r="D13" s="20" t="n">
        <f aca="false">SUMPRODUCT($O$109:$O$117,D$109:D$117)</f>
        <v>69.7945205479452</v>
      </c>
      <c r="E13" s="20" t="n">
        <f aca="false">SUMPRODUCT($O$109:$O$117,E$109:E$117)</f>
        <v>23.6164383561644</v>
      </c>
      <c r="F13" s="20" t="n">
        <f aca="false">SUMPRODUCT($O$109:$O$117,F$109:F$117)</f>
        <v>20</v>
      </c>
      <c r="G13" s="20" t="n">
        <f aca="false">SUMPRODUCT($O$109:$O$117,G$109:G$117)</f>
        <v>20</v>
      </c>
      <c r="H13" s="20" t="n">
        <f aca="false">SUMPRODUCT($O$109:$O$117,H$109:H$117)</f>
        <v>20</v>
      </c>
      <c r="I13" s="20" t="n">
        <f aca="false">SUMPRODUCT($O$109:$O$117,I$109:I$117)</f>
        <v>20</v>
      </c>
      <c r="K13" s="12" t="s">
        <v>3280</v>
      </c>
    </row>
    <row r="14" customFormat="false" ht="15" hidden="false" customHeight="false" outlineLevel="0" collapsed="false">
      <c r="A14" s="9" t="s">
        <v>3286</v>
      </c>
      <c r="B14" s="11" t="s">
        <v>3287</v>
      </c>
      <c r="C14" s="9" t="s">
        <v>2384</v>
      </c>
      <c r="D14" s="20" t="n">
        <f aca="false">D13</f>
        <v>69.7945205479452</v>
      </c>
      <c r="E14" s="20" t="n">
        <f aca="false">E13</f>
        <v>23.6164383561644</v>
      </c>
      <c r="F14" s="20" t="n">
        <f aca="false">F13*(1+INP_098)</f>
        <v>17</v>
      </c>
      <c r="G14" s="20" t="n">
        <f aca="false">F14*(1+INP_098)</f>
        <v>14.45</v>
      </c>
      <c r="H14" s="20" t="n">
        <f aca="false">G14*(1+INP_098)</f>
        <v>12.2825</v>
      </c>
      <c r="I14" s="20" t="n">
        <f aca="false">H14*(1+INP_098)</f>
        <v>10.440125</v>
      </c>
      <c r="K14" s="12" t="s">
        <v>3283</v>
      </c>
    </row>
    <row r="15" customFormat="false" ht="15" hidden="false" customHeight="false" outlineLevel="0" collapsed="false">
      <c r="A15" s="9" t="s">
        <v>3288</v>
      </c>
      <c r="B15" s="11" t="s">
        <v>3289</v>
      </c>
      <c r="C15" s="9" t="s">
        <v>2384</v>
      </c>
      <c r="D15" s="20" t="n">
        <f aca="false">SUMPRODUCT($O$118:$O$124,D$118:D$124)</f>
        <v>3</v>
      </c>
      <c r="E15" s="20" t="n">
        <f aca="false">SUMPRODUCT($O$118:$O$124,E$118:E$124)</f>
        <v>2.49315068493151</v>
      </c>
      <c r="F15" s="20" t="n">
        <f aca="false">SUMPRODUCT($O$118:$O$124,F$118:F$124)</f>
        <v>2</v>
      </c>
      <c r="G15" s="20" t="n">
        <f aca="false">SUMPRODUCT($O$118:$O$124,G$118:G$124)</f>
        <v>2</v>
      </c>
      <c r="H15" s="20" t="n">
        <f aca="false">SUMPRODUCT($O$118:$O$124,H$118:H$124)</f>
        <v>2</v>
      </c>
      <c r="I15" s="20" t="n">
        <f aca="false">SUMPRODUCT($O$118:$O$124,I$118:I$124)</f>
        <v>2</v>
      </c>
      <c r="K15" s="12" t="s">
        <v>3280</v>
      </c>
    </row>
    <row r="16" customFormat="false" ht="15" hidden="false" customHeight="false" outlineLevel="0" collapsed="false">
      <c r="A16" s="9" t="s">
        <v>3290</v>
      </c>
      <c r="B16" s="11" t="s">
        <v>3291</v>
      </c>
      <c r="C16" s="9" t="s">
        <v>2384</v>
      </c>
      <c r="D16" s="20" t="n">
        <f aca="false">D15</f>
        <v>3</v>
      </c>
      <c r="E16" s="20" t="n">
        <f aca="false">E15</f>
        <v>2.49315068493151</v>
      </c>
      <c r="F16" s="20" t="n">
        <f aca="false">F15*(1+INP_098)</f>
        <v>1.7</v>
      </c>
      <c r="G16" s="20" t="n">
        <f aca="false">F16*(1+INP_098)</f>
        <v>1.445</v>
      </c>
      <c r="H16" s="20" t="n">
        <f aca="false">G16*(1+INP_098)</f>
        <v>1.22825</v>
      </c>
      <c r="I16" s="20" t="n">
        <f aca="false">H16*(1+INP_098)</f>
        <v>1.0440125</v>
      </c>
      <c r="K16" s="12" t="s">
        <v>3283</v>
      </c>
    </row>
    <row r="17" customFormat="false" ht="15" hidden="false" customHeight="false" outlineLevel="0" collapsed="false">
      <c r="A17" s="9" t="s">
        <v>3292</v>
      </c>
      <c r="B17" s="11" t="s">
        <v>3293</v>
      </c>
      <c r="C17" s="9" t="s">
        <v>2384</v>
      </c>
      <c r="D17" s="20" t="n">
        <f aca="false">SUMPRODUCT($O$125:$O$131,D$125:D$131)</f>
        <v>15</v>
      </c>
      <c r="E17" s="20" t="n">
        <f aca="false">SUMPRODUCT($O$125:$O$131,E$125:E$131)</f>
        <v>12.4657534246575</v>
      </c>
      <c r="F17" s="20" t="n">
        <f aca="false">SUMPRODUCT($O$125:$O$131,F$125:F$131)</f>
        <v>10</v>
      </c>
      <c r="G17" s="20" t="n">
        <f aca="false">SUMPRODUCT($O$125:$O$131,G$125:G$131)</f>
        <v>10</v>
      </c>
      <c r="H17" s="20" t="n">
        <f aca="false">SUMPRODUCT($O$125:$O$131,H$125:H$131)</f>
        <v>10</v>
      </c>
      <c r="I17" s="20" t="n">
        <f aca="false">SUMPRODUCT($O$125:$O$131,I$125:I$131)</f>
        <v>10</v>
      </c>
      <c r="K17" s="12" t="s">
        <v>3280</v>
      </c>
    </row>
    <row r="18" customFormat="false" ht="15" hidden="false" customHeight="false" outlineLevel="0" collapsed="false">
      <c r="A18" s="9" t="s">
        <v>3294</v>
      </c>
      <c r="B18" s="11" t="s">
        <v>3295</v>
      </c>
      <c r="C18" s="9" t="s">
        <v>2384</v>
      </c>
      <c r="D18" s="20" t="n">
        <f aca="false">D17</f>
        <v>15</v>
      </c>
      <c r="E18" s="20" t="n">
        <f aca="false">E17</f>
        <v>12.4657534246575</v>
      </c>
      <c r="F18" s="20" t="n">
        <f aca="false">F17*(1+INP_098)</f>
        <v>8.5</v>
      </c>
      <c r="G18" s="20" t="n">
        <f aca="false">F18*(1+INP_098)</f>
        <v>7.225</v>
      </c>
      <c r="H18" s="20" t="n">
        <f aca="false">G18*(1+INP_098)</f>
        <v>6.14125</v>
      </c>
      <c r="I18" s="20" t="n">
        <f aca="false">H18*(1+INP_098)</f>
        <v>5.2200625</v>
      </c>
      <c r="K18" s="12" t="s">
        <v>3283</v>
      </c>
    </row>
    <row r="19" customFormat="false" ht="15" hidden="false" customHeight="false" outlineLevel="0" collapsed="false">
      <c r="A19" s="9" t="s">
        <v>3296</v>
      </c>
      <c r="B19" s="11" t="s">
        <v>3297</v>
      </c>
      <c r="C19" s="9" t="s">
        <v>2384</v>
      </c>
      <c r="D19" s="20" t="n">
        <f aca="false">SUMPRODUCT($O$132:$O$134,D$132:D$134)</f>
        <v>0.842739726027397</v>
      </c>
      <c r="E19" s="20" t="n">
        <f aca="false">SUMPRODUCT($O$132:$O$134,E$132:E$134)</f>
        <v>0.787945205479452</v>
      </c>
      <c r="F19" s="20" t="n">
        <f aca="false">SUMPRODUCT($O$132:$O$134,F$132:F$134)</f>
        <v>0.1</v>
      </c>
      <c r="G19" s="20" t="n">
        <f aca="false">SUMPRODUCT($O$132:$O$134,G$132:G$134)</f>
        <v>0.1</v>
      </c>
      <c r="H19" s="20" t="n">
        <f aca="false">SUMPRODUCT($O$132:$O$134,H$132:H$134)</f>
        <v>0.1</v>
      </c>
      <c r="I19" s="20" t="n">
        <f aca="false">SUMPRODUCT($O$132:$O$134,I$132:I$134)</f>
        <v>0.1</v>
      </c>
      <c r="K19" s="12" t="s">
        <v>3280</v>
      </c>
    </row>
    <row r="20" customFormat="false" ht="15" hidden="false" customHeight="false" outlineLevel="0" collapsed="false">
      <c r="A20" s="9" t="s">
        <v>3298</v>
      </c>
      <c r="B20" s="11" t="s">
        <v>3299</v>
      </c>
      <c r="C20" s="9" t="s">
        <v>2384</v>
      </c>
      <c r="D20" s="20" t="n">
        <f aca="false">D19</f>
        <v>0.842739726027397</v>
      </c>
      <c r="E20" s="20" t="n">
        <f aca="false">E19</f>
        <v>0.787945205479452</v>
      </c>
      <c r="F20" s="20" t="n">
        <f aca="false">F19*(1+INP_098)</f>
        <v>0.085</v>
      </c>
      <c r="G20" s="20" t="n">
        <f aca="false">F20*(1+INP_098)</f>
        <v>0.07225</v>
      </c>
      <c r="H20" s="20" t="n">
        <f aca="false">G20*(1+INP_098)</f>
        <v>0.0614125</v>
      </c>
      <c r="I20" s="20" t="n">
        <f aca="false">H20*(1+INP_098)</f>
        <v>0.052200625</v>
      </c>
      <c r="K20" s="12" t="s">
        <v>3283</v>
      </c>
    </row>
    <row r="21" customFormat="false" ht="15" hidden="false" customHeight="false" outlineLevel="0" collapsed="false">
      <c r="A21" s="9" t="s">
        <v>3300</v>
      </c>
      <c r="B21" s="11" t="s">
        <v>3301</v>
      </c>
      <c r="C21" s="9" t="s">
        <v>2384</v>
      </c>
      <c r="D21" s="20" t="n">
        <f aca="false">SUMPRODUCT($O$135:$O$137,D$135:D$137)</f>
        <v>4.21369863013699</v>
      </c>
      <c r="E21" s="20" t="n">
        <f aca="false">SUMPRODUCT($O$135:$O$137,E$135:E$137)</f>
        <v>3.93972602739726</v>
      </c>
      <c r="F21" s="20" t="n">
        <f aca="false">SUMPRODUCT($O$135:$O$137,F$135:F$137)</f>
        <v>0.5</v>
      </c>
      <c r="G21" s="20" t="n">
        <f aca="false">SUMPRODUCT($O$135:$O$137,G$135:G$137)</f>
        <v>0.5</v>
      </c>
      <c r="H21" s="20" t="n">
        <f aca="false">SUMPRODUCT($O$135:$O$137,H$135:H$137)</f>
        <v>0.5</v>
      </c>
      <c r="I21" s="20" t="n">
        <f aca="false">SUMPRODUCT($O$135:$O$137,I$135:I$137)</f>
        <v>0.5</v>
      </c>
      <c r="K21" s="12" t="s">
        <v>3280</v>
      </c>
    </row>
    <row r="22" customFormat="false" ht="15" hidden="false" customHeight="false" outlineLevel="0" collapsed="false">
      <c r="A22" s="9" t="s">
        <v>3302</v>
      </c>
      <c r="B22" s="11" t="s">
        <v>3303</v>
      </c>
      <c r="C22" s="9" t="s">
        <v>2384</v>
      </c>
      <c r="D22" s="20" t="n">
        <f aca="false">D21</f>
        <v>4.21369863013699</v>
      </c>
      <c r="E22" s="20" t="n">
        <f aca="false">E21</f>
        <v>3.93972602739726</v>
      </c>
      <c r="F22" s="20" t="n">
        <f aca="false">F21*(1+INP_098)</f>
        <v>0.425</v>
      </c>
      <c r="G22" s="20" t="n">
        <f aca="false">F22*(1+INP_098)</f>
        <v>0.36125</v>
      </c>
      <c r="H22" s="20" t="n">
        <f aca="false">G22*(1+INP_098)</f>
        <v>0.3070625</v>
      </c>
      <c r="I22" s="20" t="n">
        <f aca="false">H22*(1+INP_098)</f>
        <v>0.261003125</v>
      </c>
      <c r="K22" s="12" t="s">
        <v>3283</v>
      </c>
    </row>
    <row r="23" customFormat="false" ht="15" hidden="false" customHeight="false" outlineLevel="0" collapsed="false">
      <c r="A23" s="14" t="s">
        <v>3304</v>
      </c>
    </row>
    <row r="24" customFormat="false" ht="15" hidden="false" customHeight="false" outlineLevel="0" collapsed="false">
      <c r="A24" s="9" t="s">
        <v>3305</v>
      </c>
      <c r="B24" s="11" t="s">
        <v>3306</v>
      </c>
      <c r="C24" s="11" t="s">
        <v>731</v>
      </c>
      <c r="D24" s="20" t="n">
        <f aca="false">(1-INP_082-INP_083)+INP_082*SRC_ANT_137+INP_083*SRC_ANT_135</f>
        <v>0.4725</v>
      </c>
      <c r="E24" s="20" t="n">
        <f aca="false">(1-INP_082-INP_083)+INP_082*SRC_ANT_137+INP_083*SRC_ANT_135</f>
        <v>0.4725</v>
      </c>
      <c r="F24" s="20" t="n">
        <f aca="false">(1-INP_082-INP_083)+INP_082*SRC_ANT_137+INP_083*SRC_ANT_135</f>
        <v>0.4725</v>
      </c>
      <c r="G24" s="20" t="n">
        <f aca="false">(1-INP_082-INP_083)+INP_082*SRC_ANT_137+INP_083*SRC_ANT_135</f>
        <v>0.4725</v>
      </c>
      <c r="H24" s="20" t="n">
        <f aca="false">(1-INP_082-INP_083)+INP_082*SRC_ANT_137+INP_083*SRC_ANT_135</f>
        <v>0.4725</v>
      </c>
      <c r="I24" s="20" t="n">
        <f aca="false">(1-INP_082-INP_083)+INP_082*SRC_ANT_137+INP_083*SRC_ANT_135</f>
        <v>0.4725</v>
      </c>
      <c r="K24" s="2" t="s">
        <v>3307</v>
      </c>
    </row>
    <row r="25" customFormat="false" ht="15" hidden="false" customHeight="false" outlineLevel="0" collapsed="false">
      <c r="A25" s="9" t="s">
        <v>3308</v>
      </c>
      <c r="B25" s="11" t="s">
        <v>3309</v>
      </c>
      <c r="C25" s="11" t="s">
        <v>731</v>
      </c>
      <c r="D25" s="20" t="n">
        <f aca="false">(1-INP_084*SRC_ANT_138)*(1-INP_085)</f>
        <v>0.8775</v>
      </c>
      <c r="E25" s="20" t="n">
        <f aca="false">(1-INP_084*SRC_ANT_138)*(1-INP_085)</f>
        <v>0.8775</v>
      </c>
      <c r="F25" s="20" t="n">
        <f aca="false">(1-INP_084*SRC_ANT_138)*(1-INP_085)</f>
        <v>0.8775</v>
      </c>
      <c r="G25" s="20" t="n">
        <f aca="false">(1-INP_084*SRC_ANT_138)*(1-INP_085)</f>
        <v>0.8775</v>
      </c>
      <c r="H25" s="20" t="n">
        <f aca="false">(1-INP_084*SRC_ANT_138)*(1-INP_085)</f>
        <v>0.8775</v>
      </c>
      <c r="I25" s="20" t="n">
        <f aca="false">(1-INP_084*SRC_ANT_138)*(1-INP_085)</f>
        <v>0.8775</v>
      </c>
      <c r="K25" s="2" t="s">
        <v>3310</v>
      </c>
    </row>
    <row r="26" customFormat="false" ht="15" hidden="false" customHeight="false" outlineLevel="0" collapsed="false">
      <c r="A26" s="9" t="s">
        <v>3311</v>
      </c>
      <c r="B26" s="11" t="s">
        <v>3312</v>
      </c>
      <c r="C26" s="9" t="s">
        <v>2384</v>
      </c>
      <c r="D26" s="20" t="n">
        <f aca="false">((1-INP_081)*D12*D24+INP_081*D14)*D25</f>
        <v>16.8790370547945</v>
      </c>
      <c r="E26" s="20" t="n">
        <f aca="false">((1-INP_081)*E12*E24+INP_081*E14)*E25</f>
        <v>5.71137583561644</v>
      </c>
      <c r="F26" s="20" t="n">
        <f aca="false">((1-INP_081)*F12*F24+INP_081*F14)*F25</f>
        <v>4.111263</v>
      </c>
      <c r="G26" s="20" t="n">
        <f aca="false">((1-INP_081)*G12*G24+INP_081*G14)*G25</f>
        <v>3.49457355</v>
      </c>
      <c r="H26" s="20" t="n">
        <f aca="false">((1-INP_081)*H12*H24+INP_081*H14)*H25</f>
        <v>2.9703875175</v>
      </c>
      <c r="I26" s="20" t="n">
        <f aca="false">((1-INP_081)*I12*I24+INP_081*I14)*I25</f>
        <v>2.524829389875</v>
      </c>
      <c r="K26" s="2" t="s">
        <v>3313</v>
      </c>
    </row>
    <row r="27" customFormat="false" ht="15" hidden="false" customHeight="false" outlineLevel="0" collapsed="false">
      <c r="A27" s="9" t="s">
        <v>3314</v>
      </c>
      <c r="B27" s="11" t="s">
        <v>3315</v>
      </c>
      <c r="C27" s="9" t="s">
        <v>2384</v>
      </c>
      <c r="D27" s="20" t="n">
        <f aca="false">((1-INP_081)*D16*D24+INP_081*D18)*D25</f>
        <v>3.627585</v>
      </c>
      <c r="E27" s="20" t="n">
        <f aca="false">((1-INP_081)*E16*E24+INP_081*E18)*E25</f>
        <v>3.01470534246575</v>
      </c>
      <c r="F27" s="20" t="n">
        <f aca="false">((1-INP_081)*F16*F24+INP_081*F18)*F25</f>
        <v>2.0556315</v>
      </c>
      <c r="G27" s="20" t="n">
        <f aca="false">((1-INP_081)*G16*G24+INP_081*G18)*G25</f>
        <v>1.747286775</v>
      </c>
      <c r="H27" s="20" t="n">
        <f aca="false">((1-INP_081)*H16*H24+INP_081*H18)*H25</f>
        <v>1.48519375875</v>
      </c>
      <c r="I27" s="20" t="n">
        <f aca="false">((1-INP_081)*I16*I24+INP_081*I18)*I25</f>
        <v>1.2624146949375</v>
      </c>
      <c r="K27" s="2" t="s">
        <v>3313</v>
      </c>
    </row>
    <row r="28" customFormat="false" ht="15" hidden="false" customHeight="false" outlineLevel="0" collapsed="false">
      <c r="A28" s="9" t="s">
        <v>3316</v>
      </c>
      <c r="B28" s="11" t="s">
        <v>3317</v>
      </c>
      <c r="C28" s="9" t="s">
        <v>2384</v>
      </c>
      <c r="D28" s="20" t="n">
        <f aca="false">((1-INP_081)*D20*D24+INP_081*D22)*D25</f>
        <v>1.0190366630137</v>
      </c>
      <c r="E28" s="20" t="n">
        <f aca="false">((1-INP_081)*E20*E24+INP_081*E22)*E25</f>
        <v>0.952779402739726</v>
      </c>
      <c r="F28" s="20" t="n">
        <f aca="false">((1-INP_081)*F20*F24+INP_081*F22)*F25</f>
        <v>0.102781575</v>
      </c>
      <c r="G28" s="20" t="n">
        <f aca="false">((1-INP_081)*G20*G24+INP_081*G22)*G25</f>
        <v>0.08736433875</v>
      </c>
      <c r="H28" s="20" t="n">
        <f aca="false">((1-INP_081)*H20*H24+INP_081*H22)*H25</f>
        <v>0.0742596879375</v>
      </c>
      <c r="I28" s="20" t="n">
        <f aca="false">((1-INP_081)*I20*I24+INP_081*I22)*I25</f>
        <v>0.063120734746875</v>
      </c>
      <c r="K28" s="2" t="s">
        <v>3313</v>
      </c>
    </row>
    <row r="29" customFormat="false" ht="15" hidden="false" customHeight="false" outlineLevel="0" collapsed="false">
      <c r="A29" s="9" t="s">
        <v>3318</v>
      </c>
      <c r="B29" s="9" t="s">
        <v>3319</v>
      </c>
      <c r="C29" s="11" t="s">
        <v>253</v>
      </c>
      <c r="D29" s="15" t="n">
        <f aca="false">INP_078</f>
        <v>0.65</v>
      </c>
      <c r="E29" s="15" t="n">
        <f aca="false">INP_080</f>
        <v>0.5</v>
      </c>
      <c r="F29" s="15" t="n">
        <f aca="false">INP_080</f>
        <v>0.5</v>
      </c>
      <c r="G29" s="15" t="n">
        <f aca="false">INP_080</f>
        <v>0.5</v>
      </c>
      <c r="H29" s="15" t="n">
        <f aca="false">INP_080</f>
        <v>0.5</v>
      </c>
      <c r="I29" s="15" t="n">
        <f aca="false">INP_080</f>
        <v>0.5</v>
      </c>
      <c r="K29" s="12" t="s">
        <v>3125</v>
      </c>
    </row>
    <row r="30" customFormat="false" ht="15" hidden="false" customHeight="false" outlineLevel="0" collapsed="false">
      <c r="A30" s="9" t="s">
        <v>3320</v>
      </c>
      <c r="B30" s="9" t="s">
        <v>3321</v>
      </c>
      <c r="C30" s="11" t="s">
        <v>253</v>
      </c>
      <c r="D30" s="15" t="n">
        <f aca="false">INP_077</f>
        <v>0.2</v>
      </c>
      <c r="E30" s="15" t="n">
        <f aca="false">INP_079</f>
        <v>0.15</v>
      </c>
      <c r="F30" s="15" t="n">
        <f aca="false">INP_079</f>
        <v>0.15</v>
      </c>
      <c r="G30" s="15" t="n">
        <f aca="false">INP_079</f>
        <v>0.15</v>
      </c>
      <c r="H30" s="15" t="n">
        <f aca="false">INP_079</f>
        <v>0.15</v>
      </c>
      <c r="I30" s="15" t="n">
        <f aca="false">INP_079</f>
        <v>0.15</v>
      </c>
      <c r="K30" s="12" t="s">
        <v>3125</v>
      </c>
    </row>
    <row r="31" customFormat="false" ht="15" hidden="false" customHeight="false" outlineLevel="0" collapsed="false">
      <c r="A31" s="9" t="s">
        <v>3322</v>
      </c>
      <c r="B31" s="9" t="s">
        <v>3323</v>
      </c>
      <c r="C31" s="11" t="s">
        <v>253</v>
      </c>
      <c r="D31" s="15" t="n">
        <f aca="false">(1-D29-D30)</f>
        <v>0.15</v>
      </c>
      <c r="E31" s="15" t="n">
        <f aca="false">(1-E29-E30)</f>
        <v>0.35</v>
      </c>
      <c r="F31" s="15" t="n">
        <f aca="false">(1-F29-F30)</f>
        <v>0.35</v>
      </c>
      <c r="G31" s="15" t="n">
        <f aca="false">(1-G29-G30)</f>
        <v>0.35</v>
      </c>
      <c r="H31" s="15" t="n">
        <f aca="false">(1-H29-H30)</f>
        <v>0.35</v>
      </c>
      <c r="I31" s="15" t="n">
        <f aca="false">(1-I29-I30)</f>
        <v>0.35</v>
      </c>
      <c r="K31" s="2" t="s">
        <v>3324</v>
      </c>
    </row>
    <row r="32" customFormat="false" ht="15" hidden="false" customHeight="false" outlineLevel="0" collapsed="false">
      <c r="A32" s="9" t="s">
        <v>3325</v>
      </c>
      <c r="B32" s="9" t="s">
        <v>3326</v>
      </c>
      <c r="C32" s="9" t="s">
        <v>2384</v>
      </c>
      <c r="D32" s="20" t="n">
        <f aca="false">D31*D26+D29*D27+D30*D28</f>
        <v>5.09359314082192</v>
      </c>
      <c r="E32" s="20" t="n">
        <f aca="false">E31*E26+E29*E27+E30*E28</f>
        <v>3.64925112410959</v>
      </c>
      <c r="F32" s="20" t="n">
        <f aca="false">F31*F26+F29*F27+F30*F28</f>
        <v>2.48217503625</v>
      </c>
      <c r="G32" s="20" t="n">
        <f aca="false">G31*G26+G29*G27+G30*G28</f>
        <v>2.1098487808125</v>
      </c>
      <c r="H32" s="20" t="n">
        <f aca="false">H31*H26+H29*H27+H30*H28</f>
        <v>1.79337146369062</v>
      </c>
      <c r="I32" s="20" t="n">
        <f aca="false">I31*I26+I29*I27+I30*I28</f>
        <v>1.52436574413703</v>
      </c>
      <c r="K32" s="12" t="s">
        <v>3327</v>
      </c>
    </row>
    <row r="33" customFormat="false" ht="15" hidden="false" customHeight="false" outlineLevel="0" collapsed="false">
      <c r="A33" s="14" t="s">
        <v>3328</v>
      </c>
    </row>
    <row r="34" customFormat="false" ht="15" hidden="false" customHeight="false" outlineLevel="0" collapsed="false">
      <c r="A34" s="9" t="s">
        <v>3329</v>
      </c>
      <c r="B34" s="9" t="s">
        <v>3330</v>
      </c>
      <c r="C34" s="9" t="s">
        <v>830</v>
      </c>
      <c r="D34" s="17" t="n">
        <f aca="false">SRC_ANT_141*(1-INP_019)+SRC_ANT_142*INP_019</f>
        <v>19.1</v>
      </c>
      <c r="E34" s="17" t="n">
        <f aca="false">SRC_ANT_141*(1-INP_019)+SRC_ANT_142*INP_019</f>
        <v>19.1</v>
      </c>
      <c r="F34" s="17" t="n">
        <f aca="false">SRC_ANT_141*(1-INP_019)+SRC_ANT_142*INP_019</f>
        <v>19.1</v>
      </c>
      <c r="G34" s="17" t="n">
        <f aca="false">SRC_ANT_141*(1-INP_019)+SRC_ANT_142*INP_019</f>
        <v>19.1</v>
      </c>
      <c r="H34" s="17" t="n">
        <f aca="false">SRC_ANT_141*(1-INP_019)+SRC_ANT_142*INP_019</f>
        <v>19.1</v>
      </c>
      <c r="I34" s="17" t="n">
        <f aca="false">SRC_ANT_141*(1-INP_019)+SRC_ANT_142*INP_019</f>
        <v>19.1</v>
      </c>
      <c r="K34" s="2" t="s">
        <v>3331</v>
      </c>
    </row>
    <row r="35" customFormat="false" ht="15" hidden="false" customHeight="false" outlineLevel="0" collapsed="false">
      <c r="A35" s="9" t="s">
        <v>3332</v>
      </c>
      <c r="B35" s="9" t="s">
        <v>3333</v>
      </c>
      <c r="C35" s="9" t="s">
        <v>830</v>
      </c>
      <c r="D35" s="17" t="n">
        <f aca="false">SRC_ANT_143</f>
        <v>100</v>
      </c>
      <c r="E35" s="17" t="n">
        <f aca="false">SRC_ANT_143</f>
        <v>100</v>
      </c>
      <c r="F35" s="17" t="n">
        <f aca="false">SRC_ANT_143</f>
        <v>100</v>
      </c>
      <c r="G35" s="17" t="n">
        <f aca="false">SRC_ANT_143</f>
        <v>100</v>
      </c>
      <c r="H35" s="17" t="n">
        <f aca="false">SRC_ANT_143</f>
        <v>100</v>
      </c>
      <c r="I35" s="17" t="n">
        <f aca="false">SRC_ANT_143</f>
        <v>100</v>
      </c>
      <c r="K35" s="2" t="s">
        <v>3334</v>
      </c>
    </row>
    <row r="36" customFormat="false" ht="15" hidden="false" customHeight="false" outlineLevel="0" collapsed="false">
      <c r="A36" s="9" t="s">
        <v>3335</v>
      </c>
      <c r="B36" s="9" t="s">
        <v>3336</v>
      </c>
      <c r="C36" s="9" t="s">
        <v>830</v>
      </c>
      <c r="D36" s="17" t="n">
        <f aca="false">SRC_ANT_144</f>
        <v>200</v>
      </c>
      <c r="E36" s="17" t="n">
        <f aca="false">SRC_ANT_144</f>
        <v>200</v>
      </c>
      <c r="F36" s="17" t="n">
        <f aca="false">SRC_ANT_144</f>
        <v>200</v>
      </c>
      <c r="G36" s="17" t="n">
        <f aca="false">SRC_ANT_144</f>
        <v>200</v>
      </c>
      <c r="H36" s="17" t="n">
        <f aca="false">SRC_ANT_144</f>
        <v>200</v>
      </c>
      <c r="I36" s="17" t="n">
        <f aca="false">SRC_ANT_144</f>
        <v>200</v>
      </c>
      <c r="K36" s="2" t="s">
        <v>3334</v>
      </c>
    </row>
    <row r="37" customFormat="false" ht="15" hidden="false" customHeight="false" outlineLevel="0" collapsed="false">
      <c r="A37" s="9" t="s">
        <v>3337</v>
      </c>
      <c r="B37" s="9" t="s">
        <v>3338</v>
      </c>
      <c r="C37" s="9" t="s">
        <v>830</v>
      </c>
      <c r="D37" s="17" t="n">
        <f aca="false">SRC_ANT_147*(1-INP_020)+SRC_ANT_146*INP_020</f>
        <v>23.5</v>
      </c>
      <c r="E37" s="17" t="n">
        <f aca="false">SRC_ANT_147*(1-INP_020)+SRC_ANT_146*INP_020</f>
        <v>23.5</v>
      </c>
      <c r="F37" s="17" t="n">
        <f aca="false">SRC_ANT_147*(1-INP_020)+SRC_ANT_146*INP_020</f>
        <v>23.5</v>
      </c>
      <c r="G37" s="17" t="n">
        <f aca="false">SRC_ANT_147*(1-INP_020)+SRC_ANT_146*INP_020</f>
        <v>23.5</v>
      </c>
      <c r="H37" s="17" t="n">
        <f aca="false">SRC_ANT_147*(1-INP_020)+SRC_ANT_146*INP_020</f>
        <v>23.5</v>
      </c>
      <c r="I37" s="17" t="n">
        <f aca="false">SRC_ANT_147*(1-INP_020)+SRC_ANT_146*INP_020</f>
        <v>23.5</v>
      </c>
      <c r="K37" s="2" t="s">
        <v>3339</v>
      </c>
    </row>
    <row r="38" customFormat="false" ht="15" hidden="false" customHeight="false" outlineLevel="0" collapsed="false">
      <c r="A38" s="9" t="s">
        <v>3340</v>
      </c>
      <c r="B38" s="9" t="s">
        <v>3341</v>
      </c>
      <c r="C38" s="9" t="s">
        <v>830</v>
      </c>
      <c r="D38" s="17" t="n">
        <f aca="false">SRC_ANT_149*(1-INP_020)+SRC_ANT_148*INP_020</f>
        <v>117.5</v>
      </c>
      <c r="E38" s="17" t="n">
        <f aca="false">SRC_ANT_149*(1-INP_020)+SRC_ANT_148*INP_020</f>
        <v>117.5</v>
      </c>
      <c r="F38" s="17" t="n">
        <f aca="false">SRC_ANT_149*(1-INP_020)+SRC_ANT_148*INP_020</f>
        <v>117.5</v>
      </c>
      <c r="G38" s="17" t="n">
        <f aca="false">SRC_ANT_149*(1-INP_020)+SRC_ANT_148*INP_020</f>
        <v>117.5</v>
      </c>
      <c r="H38" s="17" t="n">
        <f aca="false">SRC_ANT_149*(1-INP_020)+SRC_ANT_148*INP_020</f>
        <v>117.5</v>
      </c>
      <c r="I38" s="17" t="n">
        <f aca="false">SRC_ANT_149*(1-INP_020)+SRC_ANT_148*INP_020</f>
        <v>117.5</v>
      </c>
      <c r="K38" s="2" t="s">
        <v>2738</v>
      </c>
    </row>
    <row r="39" customFormat="false" ht="15" hidden="false" customHeight="false" outlineLevel="0" collapsed="false">
      <c r="A39" s="9" t="s">
        <v>3342</v>
      </c>
      <c r="B39" s="9" t="s">
        <v>3343</v>
      </c>
      <c r="C39" s="9" t="s">
        <v>830</v>
      </c>
      <c r="D39" s="17" t="n">
        <f aca="false">SRC_ANT_153</f>
        <v>60</v>
      </c>
      <c r="E39" s="17" t="n">
        <f aca="false">SRC_ANT_152</f>
        <v>20</v>
      </c>
      <c r="F39" s="17" t="n">
        <f aca="false">SRC_ANT_152</f>
        <v>20</v>
      </c>
      <c r="G39" s="17" t="n">
        <f aca="false">SRC_ANT_152</f>
        <v>20</v>
      </c>
      <c r="H39" s="17" t="n">
        <f aca="false">SRC_ANT_152</f>
        <v>20</v>
      </c>
      <c r="I39" s="17" t="n">
        <f aca="false">SRC_ANT_152</f>
        <v>20</v>
      </c>
      <c r="K39" s="12" t="s">
        <v>3344</v>
      </c>
    </row>
    <row r="40" customFormat="false" ht="15" hidden="false" customHeight="false" outlineLevel="0" collapsed="false">
      <c r="A40" s="9" t="s">
        <v>3345</v>
      </c>
      <c r="B40" s="11" t="s">
        <v>3346</v>
      </c>
      <c r="C40" s="9" t="s">
        <v>830</v>
      </c>
      <c r="D40" s="17" t="n">
        <f aca="false">Demand!D8*D34+Demand!D9*D35+Demand!D10*D36</f>
        <v>36.235</v>
      </c>
      <c r="E40" s="17" t="n">
        <f aca="false">Demand!E8*E34+Demand!E9*E35+Demand!E10*E36</f>
        <v>55.37</v>
      </c>
      <c r="F40" s="17" t="n">
        <f aca="false">Demand!F8*F34+Demand!F9*F35+Demand!F10*F36</f>
        <v>55.37</v>
      </c>
      <c r="G40" s="17" t="n">
        <f aca="false">Demand!G8*G34+Demand!G9*G35+Demand!G10*G36</f>
        <v>55.37</v>
      </c>
      <c r="H40" s="17" t="n">
        <f aca="false">Demand!H8*H34+Demand!H9*H35+Demand!H10*H36</f>
        <v>55.37</v>
      </c>
      <c r="I40" s="17" t="n">
        <f aca="false">Demand!I8*I34+Demand!I9*I35+Demand!I10*I36</f>
        <v>55.37</v>
      </c>
      <c r="K40" s="12" t="s">
        <v>3347</v>
      </c>
    </row>
    <row r="41" customFormat="false" ht="15" hidden="false" customHeight="false" outlineLevel="0" collapsed="false">
      <c r="A41" s="9" t="s">
        <v>3348</v>
      </c>
      <c r="B41" s="11" t="s">
        <v>3349</v>
      </c>
      <c r="C41" s="9" t="s">
        <v>830</v>
      </c>
      <c r="D41" s="17" t="n">
        <f aca="false">Demand!D16*D37+Demand!D17*D38+Demand!D18*D39</f>
        <v>50.375</v>
      </c>
      <c r="E41" s="17" t="n">
        <f aca="false">Demand!E16*E37+Demand!E17*E38+Demand!E18*E39</f>
        <v>40.725</v>
      </c>
      <c r="F41" s="17" t="n">
        <f aca="false">Demand!F16*F37+Demand!F17*F38+Demand!F18*F39</f>
        <v>40.725</v>
      </c>
      <c r="G41" s="17" t="n">
        <f aca="false">Demand!G16*G37+Demand!G17*G38+Demand!G18*G39</f>
        <v>40.725</v>
      </c>
      <c r="H41" s="17" t="n">
        <f aca="false">Demand!H16*H37+Demand!H17*H38+Demand!H18*H39</f>
        <v>40.725</v>
      </c>
      <c r="I41" s="17" t="n">
        <f aca="false">Demand!I16*I37+Demand!I17*I38+Demand!I18*I39</f>
        <v>40.725</v>
      </c>
      <c r="K41" s="12" t="s">
        <v>3350</v>
      </c>
    </row>
    <row r="42" customFormat="false" ht="15" hidden="false" customHeight="false" outlineLevel="0" collapsed="false">
      <c r="A42" s="14" t="s">
        <v>3351</v>
      </c>
    </row>
    <row r="43" customFormat="false" ht="15" hidden="false" customHeight="false" outlineLevel="0" collapsed="false">
      <c r="A43" s="9" t="s">
        <v>3352</v>
      </c>
      <c r="B43" s="9" t="s">
        <v>3353</v>
      </c>
      <c r="C43" s="9" t="s">
        <v>466</v>
      </c>
      <c r="D43" s="16" t="n">
        <f aca="false">SRC_ANT_063*SRC_ANT_001</f>
        <v>0.69</v>
      </c>
      <c r="K43" s="12" t="s">
        <v>3354</v>
      </c>
    </row>
    <row r="44" customFormat="false" ht="15" hidden="false" customHeight="false" outlineLevel="0" collapsed="false">
      <c r="A44" s="9" t="s">
        <v>3355</v>
      </c>
      <c r="B44" s="9" t="s">
        <v>3356</v>
      </c>
      <c r="C44" s="9" t="s">
        <v>466</v>
      </c>
      <c r="D44" s="16" t="n">
        <f aca="false">SRC_ANT_025-D43</f>
        <v>0.0990000000000001</v>
      </c>
      <c r="K44" s="2" t="s">
        <v>3357</v>
      </c>
    </row>
    <row r="45" customFormat="false" ht="15" hidden="false" customHeight="false" outlineLevel="0" collapsed="false">
      <c r="A45" s="9" t="s">
        <v>3358</v>
      </c>
      <c r="B45" s="11" t="s">
        <v>3359</v>
      </c>
      <c r="C45" s="9" t="s">
        <v>466</v>
      </c>
      <c r="D45" s="16" t="n">
        <f aca="false">SRC_ANT_001</f>
        <v>4.6</v>
      </c>
      <c r="E45" s="16" t="n">
        <f aca="false">SRC_ANT_004+SRC_ANT_005+SRC_ANT_023*INP_009/INP_008</f>
        <v>48.73</v>
      </c>
      <c r="K45" s="12" t="s">
        <v>3360</v>
      </c>
    </row>
    <row r="46" customFormat="false" ht="15" hidden="false" customHeight="false" outlineLevel="0" collapsed="false">
      <c r="A46" s="14" t="s">
        <v>3361</v>
      </c>
    </row>
    <row r="47" customFormat="false" ht="15" hidden="false" customHeight="false" outlineLevel="0" collapsed="false">
      <c r="A47" s="9" t="s">
        <v>3362</v>
      </c>
      <c r="B47" s="9" t="s">
        <v>3363</v>
      </c>
      <c r="C47" s="9" t="s">
        <v>466</v>
      </c>
      <c r="D47" s="16" t="n">
        <f aca="false">Demand!D12*D34*INP_008/INP_012</f>
        <v>0.309152752863254</v>
      </c>
      <c r="E47" s="16" t="n">
        <f aca="false">Demand!E12*E34*INP_008/INP_012</f>
        <v>1.01838553884366</v>
      </c>
      <c r="F47" s="16" t="n">
        <f aca="false">Demand!F12*F34*INP_008/INP_012</f>
        <v>1.62941686214986</v>
      </c>
      <c r="G47" s="16" t="n">
        <f aca="false">Demand!G12*G34*INP_008/INP_012</f>
        <v>2.2811836070098</v>
      </c>
      <c r="H47" s="16" t="n">
        <f aca="false">Demand!H12*H34*INP_008/INP_012</f>
        <v>2.96553868911274</v>
      </c>
      <c r="I47" s="16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3364</v>
      </c>
      <c r="B48" s="9" t="s">
        <v>3365</v>
      </c>
      <c r="C48" s="9" t="s">
        <v>466</v>
      </c>
      <c r="D48" s="16" t="n">
        <f aca="false">Demand!D13*D35*INP_008/INP_012</f>
        <v>0.190423623568373</v>
      </c>
      <c r="E48" s="16" t="n">
        <f aca="false">Demand!E13*E35*INP_008/INP_012</f>
        <v>1.37105008969229</v>
      </c>
      <c r="F48" s="16" t="n">
        <f aca="false">Demand!F13*F35*INP_008/INP_012</f>
        <v>2.19368014350766</v>
      </c>
      <c r="G48" s="16" t="n">
        <f aca="false">Demand!G13*G35*INP_008/INP_012</f>
        <v>3.07115220091072</v>
      </c>
      <c r="H48" s="16" t="n">
        <f aca="false">Demand!H13*H35*INP_008/INP_012</f>
        <v>3.99249786118394</v>
      </c>
      <c r="I48" s="16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3366</v>
      </c>
      <c r="B49" s="9" t="s">
        <v>3367</v>
      </c>
      <c r="C49" s="9" t="s">
        <v>466</v>
      </c>
      <c r="D49" s="16" t="n">
        <f aca="false">Demand!D14*D36*INP_008/INP_012</f>
        <v>0.190423623568373</v>
      </c>
      <c r="E49" s="16" t="n">
        <f aca="false">Demand!E14*E36*INP_008/INP_012</f>
        <v>1.82806678625638</v>
      </c>
      <c r="F49" s="16" t="n">
        <f aca="false">Demand!F14*F36*INP_008/INP_012</f>
        <v>2.92490685801021</v>
      </c>
      <c r="G49" s="16" t="n">
        <f aca="false">Demand!G14*G36*INP_008/INP_012</f>
        <v>4.0948696012143</v>
      </c>
      <c r="H49" s="16" t="n">
        <f aca="false">Demand!H14*H36*INP_008/INP_012</f>
        <v>5.32333048157859</v>
      </c>
      <c r="I49" s="16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3368</v>
      </c>
      <c r="B50" s="9" t="s">
        <v>3369</v>
      </c>
      <c r="C50" s="9" t="s">
        <v>466</v>
      </c>
      <c r="D50" s="16" t="n">
        <f aca="false">Demand!D20*D37*INP_008/INP_012</f>
        <v>0.0230918114143921</v>
      </c>
      <c r="E50" s="16" t="n">
        <f aca="false">Demand!E20*E37*INP_008/INP_012</f>
        <v>0.0646570719602978</v>
      </c>
      <c r="F50" s="16" t="n">
        <f aca="false">Demand!F20*F37*INP_008/INP_012</f>
        <v>0.129314143920596</v>
      </c>
      <c r="G50" s="16" t="n">
        <f aca="false">Demand!G20*G37*INP_008/INP_012</f>
        <v>0.193971215880893</v>
      </c>
      <c r="H50" s="16" t="n">
        <f aca="false">Demand!H20*H37*INP_008/INP_012</f>
        <v>0.261861141439206</v>
      </c>
      <c r="I50" s="16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3370</v>
      </c>
      <c r="B51" s="9" t="s">
        <v>3371</v>
      </c>
      <c r="C51" s="9" t="s">
        <v>466</v>
      </c>
      <c r="D51" s="16" t="n">
        <f aca="false">Demand!D21*D38*INP_008/INP_012</f>
        <v>0.0346377171215881</v>
      </c>
      <c r="E51" s="16" t="n">
        <f aca="false">Demand!E21*E38*INP_008/INP_012</f>
        <v>0.184734491315137</v>
      </c>
      <c r="F51" s="16" t="n">
        <f aca="false">Demand!F21*F38*INP_008/INP_012</f>
        <v>0.369468982630273</v>
      </c>
      <c r="G51" s="16" t="n">
        <f aca="false">Demand!G21*G38*INP_008/INP_012</f>
        <v>0.55420347394541</v>
      </c>
      <c r="H51" s="16" t="n">
        <f aca="false">Demand!H21*H38*INP_008/INP_012</f>
        <v>0.748174689826304</v>
      </c>
      <c r="I51" s="16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3372</v>
      </c>
      <c r="B52" s="9" t="s">
        <v>3373</v>
      </c>
      <c r="C52" s="9" t="s">
        <v>466</v>
      </c>
      <c r="D52" s="16" t="n">
        <f aca="false">Demand!D22*D39*INP_008/INP_012</f>
        <v>0.0412704714640199</v>
      </c>
      <c r="E52" s="16" t="n">
        <f aca="false">Demand!E22*E39*INP_008/INP_012</f>
        <v>0.0707493796526055</v>
      </c>
      <c r="F52" s="16" t="n">
        <f aca="false">Demand!F22*F39*INP_008/INP_012</f>
        <v>0.141498759305211</v>
      </c>
      <c r="G52" s="16" t="n">
        <f aca="false">Demand!G22*G39*INP_008/INP_012</f>
        <v>0.212248138957817</v>
      </c>
      <c r="H52" s="16" t="n">
        <f aca="false">Demand!H22*H39*INP_008/INP_012</f>
        <v>0.286534987593052</v>
      </c>
      <c r="I52" s="16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3374</v>
      </c>
      <c r="B53" s="11" t="s">
        <v>3375</v>
      </c>
      <c r="C53" s="9" t="s">
        <v>466</v>
      </c>
      <c r="D53" s="16" t="n">
        <f aca="false">D47+D48+D49</f>
        <v>0.69</v>
      </c>
      <c r="E53" s="16" t="n">
        <f aca="false">E47+E48+E49</f>
        <v>4.21750241479233</v>
      </c>
      <c r="F53" s="16" t="n">
        <f aca="false">F47+F48+F49</f>
        <v>6.74800386366773</v>
      </c>
      <c r="G53" s="16" t="n">
        <f aca="false">G47+G48+G49</f>
        <v>9.44720540913482</v>
      </c>
      <c r="H53" s="16" t="n">
        <f aca="false">H47+H48+H49</f>
        <v>12.2813670318753</v>
      </c>
      <c r="I53" s="16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3376</v>
      </c>
      <c r="B54" s="11" t="s">
        <v>3377</v>
      </c>
      <c r="C54" s="9" t="s">
        <v>466</v>
      </c>
      <c r="D54" s="16" t="n">
        <f aca="false">D50+D51+D52</f>
        <v>0.0990000000000001</v>
      </c>
      <c r="E54" s="16" t="n">
        <f aca="false">E50+E51+E52</f>
        <v>0.32014094292804</v>
      </c>
      <c r="F54" s="16" t="n">
        <f aca="false">F50+F51+F52</f>
        <v>0.64028188585608</v>
      </c>
      <c r="G54" s="16" t="n">
        <f aca="false">G50+G51+G52</f>
        <v>0.96042282878412</v>
      </c>
      <c r="H54" s="16" t="n">
        <f aca="false">H50+H51+H52</f>
        <v>1.29657081885856</v>
      </c>
      <c r="I54" s="16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3378</v>
      </c>
      <c r="B55" s="11" t="s">
        <v>3379</v>
      </c>
      <c r="C55" s="9" t="s">
        <v>466</v>
      </c>
      <c r="D55" s="16" t="n">
        <f aca="false">D53+D54</f>
        <v>0.789</v>
      </c>
      <c r="E55" s="16" t="n">
        <f aca="false">E53+E54</f>
        <v>4.53764335772037</v>
      </c>
      <c r="F55" s="16" t="n">
        <f aca="false">F53+F54</f>
        <v>7.38828574952381</v>
      </c>
      <c r="G55" s="16" t="n">
        <f aca="false">G53+G54</f>
        <v>10.4076282379189</v>
      </c>
      <c r="H55" s="16" t="n">
        <f aca="false">H53+H54</f>
        <v>13.5779378507338</v>
      </c>
      <c r="I55" s="16" t="n">
        <f aca="false">I53+I54</f>
        <v>16.3583539618235</v>
      </c>
      <c r="K55" s="2"/>
    </row>
    <row r="56" customFormat="false" ht="15" hidden="false" customHeight="false" outlineLevel="0" collapsed="false">
      <c r="A56" s="14" t="s">
        <v>3380</v>
      </c>
    </row>
    <row r="57" customFormat="false" ht="15" hidden="false" customHeight="false" outlineLevel="0" collapsed="false">
      <c r="A57" s="9" t="s">
        <v>3381</v>
      </c>
      <c r="B57" s="9" t="s">
        <v>3382</v>
      </c>
      <c r="C57" s="9" t="s">
        <v>466</v>
      </c>
      <c r="D57" s="16" t="n">
        <f aca="false">SRC_ANT_026</f>
        <v>3.8</v>
      </c>
      <c r="E57" s="16" t="n">
        <f aca="false">E45-E55-E64-E65</f>
        <v>44.1813566422796</v>
      </c>
      <c r="K57" s="12" t="s">
        <v>3383</v>
      </c>
    </row>
    <row r="58" customFormat="false" ht="15" hidden="false" customHeight="false" outlineLevel="0" collapsed="false">
      <c r="A58" s="9" t="s">
        <v>3384</v>
      </c>
      <c r="B58" s="9" t="s">
        <v>2627</v>
      </c>
      <c r="C58" s="9" t="s">
        <v>466</v>
      </c>
      <c r="D58" s="16" t="n">
        <f aca="false">Demand!D54*D32/INP_012</f>
        <v>3.8</v>
      </c>
      <c r="E58" s="16" t="n">
        <f aca="false">Demand!E54*E32/INP_012</f>
        <v>44.1813566422796</v>
      </c>
      <c r="F58" s="16" t="n">
        <f aca="false">Demand!F54*F32/INP_012</f>
        <v>73.6724122010013</v>
      </c>
      <c r="G58" s="16" t="n">
        <f aca="false">Demand!G54*G32/INP_012</f>
        <v>111.392687247914</v>
      </c>
      <c r="H58" s="16" t="n">
        <f aca="false">Demand!H54*H32/INP_012</f>
        <v>153.164944965882</v>
      </c>
      <c r="I58" s="16" t="n">
        <f aca="false">Demand!I54*I32/INP_012</f>
        <v>198.501768675783</v>
      </c>
      <c r="K58" s="2" t="s">
        <v>3385</v>
      </c>
    </row>
    <row r="59" customFormat="false" ht="15" hidden="false" customHeight="false" outlineLevel="0" collapsed="false">
      <c r="A59" s="9" t="s">
        <v>3386</v>
      </c>
      <c r="B59" s="9" t="s">
        <v>3387</v>
      </c>
      <c r="C59" s="9" t="s">
        <v>466</v>
      </c>
      <c r="D59" s="16" t="n">
        <f aca="false">Demand!D56*D26/INP_012</f>
        <v>1.88885347832874</v>
      </c>
      <c r="E59" s="16" t="n">
        <f aca="false">Demand!E56*E26/INP_012</f>
        <v>24.2016001216039</v>
      </c>
      <c r="F59" s="16" t="n">
        <f aca="false">Demand!F56*F26/INP_012</f>
        <v>42.7086447542036</v>
      </c>
      <c r="G59" s="16" t="n">
        <f aca="false">Demand!G56*G26/INP_012</f>
        <v>64.5754708683559</v>
      </c>
      <c r="H59" s="16" t="n">
        <f aca="false">Demand!H56*H26/INP_012</f>
        <v>88.7912724439894</v>
      </c>
      <c r="I59" s="16" t="n">
        <f aca="false">Demand!I56*I26/INP_012</f>
        <v>115.07348908741</v>
      </c>
      <c r="K59" s="2"/>
    </row>
    <row r="60" customFormat="false" ht="15" hidden="false" customHeight="false" outlineLevel="0" collapsed="false">
      <c r="A60" s="9" t="s">
        <v>3388</v>
      </c>
      <c r="B60" s="9" t="s">
        <v>3389</v>
      </c>
      <c r="C60" s="9" t="s">
        <v>466</v>
      </c>
      <c r="D60" s="16" t="n">
        <f aca="false">Demand!D57*D27/INP_012</f>
        <v>1.75909906863</v>
      </c>
      <c r="E60" s="16" t="n">
        <f aca="false">Demand!E57*E27/INP_012</f>
        <v>18.2494664490052</v>
      </c>
      <c r="F60" s="16" t="n">
        <f aca="false">Demand!F57*F27/INP_012</f>
        <v>30.5061748244312</v>
      </c>
      <c r="G60" s="16" t="n">
        <f aca="false">Demand!G57*G27/INP_012</f>
        <v>46.1253363345399</v>
      </c>
      <c r="H60" s="16" t="n">
        <f aca="false">Demand!H57*H27/INP_012</f>
        <v>63.4223374599924</v>
      </c>
      <c r="I60" s="16" t="n">
        <f aca="false">Demand!I57*I27/INP_012</f>
        <v>82.1953493481502</v>
      </c>
      <c r="K60" s="2"/>
    </row>
    <row r="61" customFormat="false" ht="15" hidden="false" customHeight="false" outlineLevel="0" collapsed="false">
      <c r="A61" s="9" t="s">
        <v>3390</v>
      </c>
      <c r="B61" s="9" t="s">
        <v>3391</v>
      </c>
      <c r="C61" s="9" t="s">
        <v>466</v>
      </c>
      <c r="D61" s="16" t="n">
        <f aca="false">Demand!D58*D28/INP_012</f>
        <v>0.152047453041261</v>
      </c>
      <c r="E61" s="16" t="n">
        <f aca="false">Demand!E58*E28/INP_012</f>
        <v>1.73029007167052</v>
      </c>
      <c r="F61" s="16" t="n">
        <f aca="false">Demand!F58*F28/INP_012</f>
        <v>0.457592622366468</v>
      </c>
      <c r="G61" s="16" t="n">
        <f aca="false">Demand!G58*G28/INP_012</f>
        <v>0.691880045018099</v>
      </c>
      <c r="H61" s="16" t="n">
        <f aca="false">Demand!H58*H28/INP_012</f>
        <v>0.951335061899886</v>
      </c>
      <c r="I61" s="16" t="n">
        <f aca="false">Demand!I58*I28/INP_012</f>
        <v>1.23293024022225</v>
      </c>
      <c r="K61" s="2"/>
    </row>
    <row r="62" customFormat="false" ht="15" hidden="false" customHeight="false" outlineLevel="0" collapsed="false">
      <c r="A62" s="9" t="s">
        <v>3392</v>
      </c>
      <c r="B62" s="11" t="s">
        <v>3393</v>
      </c>
      <c r="C62" s="9" t="s">
        <v>466</v>
      </c>
      <c r="D62" s="16" t="n">
        <f aca="false">D59+D60+D61-D58</f>
        <v>0</v>
      </c>
      <c r="E62" s="16" t="n">
        <f aca="false">E59+E60+E61-E58</f>
        <v>0</v>
      </c>
      <c r="F62" s="16" t="n">
        <f aca="false">F59+F60+F61-F58</f>
        <v>0</v>
      </c>
      <c r="G62" s="16" t="n">
        <f aca="false">G59+G60+G61-G58</f>
        <v>0</v>
      </c>
      <c r="H62" s="16" t="n">
        <f aca="false">H59+H60+H61-H58</f>
        <v>0</v>
      </c>
      <c r="I62" s="16" t="n">
        <f aca="false">I59+I60+I61-I58</f>
        <v>0</v>
      </c>
      <c r="K62" s="2"/>
    </row>
    <row r="63" customFormat="false" ht="15" hidden="false" customHeight="false" outlineLevel="0" collapsed="false">
      <c r="A63" s="14" t="s">
        <v>3394</v>
      </c>
    </row>
    <row r="64" customFormat="false" ht="15" hidden="false" customHeight="false" outlineLevel="0" collapsed="false">
      <c r="A64" s="9" t="s">
        <v>3395</v>
      </c>
      <c r="B64" s="11" t="s">
        <v>3396</v>
      </c>
      <c r="C64" s="9" t="s">
        <v>466</v>
      </c>
      <c r="D64" s="16" t="n">
        <f aca="false">SRC_ANT_001-SRC_ANT_025-SRC_ANT_026</f>
        <v>0.0109999999999997</v>
      </c>
      <c r="E64" s="16" t="n">
        <f aca="false">D64*(1+INP_101)</f>
        <v>0.0109999999999997</v>
      </c>
      <c r="F64" s="16" t="n">
        <f aca="false">E64*(1+INP_101)</f>
        <v>0.0109999999999997</v>
      </c>
      <c r="G64" s="16" t="n">
        <f aca="false">F64*(1+INP_101)</f>
        <v>0.0109999999999997</v>
      </c>
      <c r="H64" s="16" t="n">
        <f aca="false">G64*(1+INP_101)</f>
        <v>0.0109999999999997</v>
      </c>
      <c r="I64" s="16" t="n">
        <f aca="false">H64*(1+INP_101)</f>
        <v>0.0109999999999997</v>
      </c>
      <c r="K64" s="12" t="s">
        <v>3397</v>
      </c>
    </row>
    <row r="65" customFormat="false" ht="15" hidden="false" customHeight="false" outlineLevel="0" collapsed="false">
      <c r="A65" s="9" t="s">
        <v>3398</v>
      </c>
      <c r="B65" s="11" t="s">
        <v>3399</v>
      </c>
      <c r="C65" s="9" t="s">
        <v>466</v>
      </c>
      <c r="D65" s="16" t="n">
        <f aca="false">INP_017</f>
        <v>0</v>
      </c>
      <c r="E65" s="16" t="n">
        <f aca="false">INP_017</f>
        <v>0</v>
      </c>
      <c r="F65" s="16" t="n">
        <f aca="false">INP_017</f>
        <v>0</v>
      </c>
      <c r="G65" s="16" t="n">
        <f aca="false">INP_017</f>
        <v>0</v>
      </c>
      <c r="H65" s="16" t="n">
        <f aca="false">INP_017</f>
        <v>0</v>
      </c>
      <c r="I65" s="16" t="n">
        <f aca="false">INP_017</f>
        <v>0</v>
      </c>
      <c r="K65" s="12" t="s">
        <v>3400</v>
      </c>
    </row>
    <row r="66" customFormat="false" ht="15" hidden="false" customHeight="false" outlineLevel="0" collapsed="false">
      <c r="A66" s="14" t="s">
        <v>3401</v>
      </c>
    </row>
    <row r="67" customFormat="false" ht="15" hidden="false" customHeight="false" outlineLevel="0" collapsed="false">
      <c r="A67" s="9" t="s">
        <v>3402</v>
      </c>
      <c r="B67" s="11" t="s">
        <v>3403</v>
      </c>
      <c r="C67" s="9" t="s">
        <v>466</v>
      </c>
      <c r="D67" s="16" t="n">
        <f aca="false">D55+D58+D64+D65</f>
        <v>4.6</v>
      </c>
      <c r="E67" s="16" t="n">
        <f aca="false">E55+E58+E64+E65</f>
        <v>48.73</v>
      </c>
      <c r="F67" s="16" t="n">
        <f aca="false">F55+F58+F64+F65</f>
        <v>81.0716979505251</v>
      </c>
      <c r="G67" s="16" t="n">
        <f aca="false">G55+G58+G64+G65</f>
        <v>121.811315485833</v>
      </c>
      <c r="H67" s="16" t="n">
        <f aca="false">H55+H58+H64+H65</f>
        <v>166.753882816616</v>
      </c>
      <c r="I67" s="16" t="n">
        <f aca="false">I55+I58+I64+I65</f>
        <v>214.871122637606</v>
      </c>
      <c r="K67" s="2"/>
    </row>
    <row r="68" customFormat="false" ht="15" hidden="false" customHeight="false" outlineLevel="0" collapsed="false">
      <c r="A68" s="9" t="s">
        <v>3404</v>
      </c>
      <c r="B68" s="11" t="s">
        <v>3405</v>
      </c>
      <c r="C68" s="11" t="s">
        <v>253</v>
      </c>
      <c r="D68" s="15" t="n">
        <f aca="false">SRC_ANT_001*SRC_ANT_027/SRC_ANT_026</f>
        <v>0.568947368421053</v>
      </c>
      <c r="E68" s="15" t="n">
        <f aca="false">D68+INP_099</f>
        <v>0.568947368421053</v>
      </c>
      <c r="F68" s="15" t="n">
        <f aca="false">D68+INP_099</f>
        <v>0.568947368421053</v>
      </c>
      <c r="G68" s="15" t="n">
        <f aca="false">D68+INP_099</f>
        <v>0.568947368421053</v>
      </c>
      <c r="H68" s="15" t="n">
        <f aca="false">D68+INP_099</f>
        <v>0.568947368421053</v>
      </c>
      <c r="I68" s="15" t="n">
        <f aca="false">D68+INP_099</f>
        <v>0.568947368421053</v>
      </c>
      <c r="K68" s="12" t="s">
        <v>3406</v>
      </c>
    </row>
    <row r="69" customFormat="false" ht="15" hidden="false" customHeight="false" outlineLevel="0" collapsed="false">
      <c r="A69" s="9" t="s">
        <v>3407</v>
      </c>
      <c r="B69" s="11" t="s">
        <v>3408</v>
      </c>
      <c r="C69" s="9" t="s">
        <v>466</v>
      </c>
      <c r="D69" s="16" t="n">
        <f aca="false">D58*D68</f>
        <v>2.162</v>
      </c>
      <c r="E69" s="16" t="n">
        <f aca="false">E58*E68</f>
        <v>25.136866594897</v>
      </c>
      <c r="F69" s="16" t="n">
        <f aca="false">F58*F68</f>
        <v>41.9157250469907</v>
      </c>
      <c r="G69" s="16" t="n">
        <f aca="false">G58*G68</f>
        <v>63.37657627105</v>
      </c>
      <c r="H69" s="16" t="n">
        <f aca="false">H58*H68</f>
        <v>87.1427923726938</v>
      </c>
      <c r="I69" s="16" t="n">
        <f aca="false">I58*I68</f>
        <v>112.937058915011</v>
      </c>
      <c r="K69" s="2"/>
    </row>
    <row r="70" customFormat="false" ht="15" hidden="false" customHeight="false" outlineLevel="0" collapsed="false">
      <c r="A70" s="9" t="s">
        <v>3409</v>
      </c>
      <c r="B70" s="11" t="s">
        <v>3410</v>
      </c>
      <c r="C70" s="11" t="s">
        <v>253</v>
      </c>
      <c r="D70" s="15" t="n">
        <f aca="false">SRC_ANT_031/D69</f>
        <v>0.162349676225717</v>
      </c>
      <c r="E70" s="15" t="n">
        <f aca="false">INP_100</f>
        <v>0.16</v>
      </c>
      <c r="F70" s="15" t="n">
        <f aca="false">INP_100</f>
        <v>0.16</v>
      </c>
      <c r="G70" s="15" t="n">
        <f aca="false">INP_100</f>
        <v>0.16</v>
      </c>
      <c r="H70" s="15" t="n">
        <f aca="false">INP_100</f>
        <v>0.16</v>
      </c>
      <c r="I70" s="15" t="n">
        <f aca="false">INP_100</f>
        <v>0.16</v>
      </c>
      <c r="K70" s="12" t="s">
        <v>3411</v>
      </c>
    </row>
    <row r="71" customFormat="false" ht="15" hidden="false" customHeight="false" outlineLevel="0" collapsed="false">
      <c r="A71" s="9" t="s">
        <v>3412</v>
      </c>
      <c r="B71" s="11" t="s">
        <v>3413</v>
      </c>
      <c r="C71" s="9" t="s">
        <v>466</v>
      </c>
      <c r="D71" s="16" t="n">
        <f aca="false">SRC_ANT_031</f>
        <v>0.351</v>
      </c>
      <c r="E71" s="16" t="n">
        <f aca="false">E69*E70</f>
        <v>4.02189865518352</v>
      </c>
      <c r="F71" s="16" t="n">
        <f aca="false">F69*F70</f>
        <v>6.70651600751852</v>
      </c>
      <c r="G71" s="16" t="n">
        <f aca="false">G69*G70</f>
        <v>10.140252203368</v>
      </c>
      <c r="H71" s="16" t="n">
        <f aca="false">H69*H70</f>
        <v>13.942846779631</v>
      </c>
      <c r="I71" s="16" t="n">
        <f aca="false">I69*I70</f>
        <v>18.0699294264018</v>
      </c>
      <c r="K71" s="12" t="s">
        <v>3414</v>
      </c>
    </row>
    <row r="72" customFormat="false" ht="15" hidden="false" customHeight="false" outlineLevel="0" collapsed="false">
      <c r="A72" s="9" t="s">
        <v>3415</v>
      </c>
      <c r="B72" s="11" t="s">
        <v>3416</v>
      </c>
      <c r="C72" s="9" t="s">
        <v>466</v>
      </c>
      <c r="D72" s="16" t="n">
        <f aca="false">D67-D71</f>
        <v>4.249</v>
      </c>
      <c r="E72" s="16" t="n">
        <f aca="false">E67-E71</f>
        <v>44.7081013448165</v>
      </c>
      <c r="F72" s="16" t="n">
        <f aca="false">F67-F71</f>
        <v>74.3651819430066</v>
      </c>
      <c r="G72" s="16" t="n">
        <f aca="false">G67-G71</f>
        <v>111.671063282465</v>
      </c>
      <c r="H72" s="16" t="n">
        <f aca="false">H67-H71</f>
        <v>152.811036036985</v>
      </c>
      <c r="I72" s="16" t="n">
        <f aca="false">I67-I71</f>
        <v>196.801193211204</v>
      </c>
      <c r="K72" s="2"/>
    </row>
    <row r="73" customFormat="false" ht="15" hidden="false" customHeight="false" outlineLevel="0" collapsed="false">
      <c r="A73" s="9" t="s">
        <v>3417</v>
      </c>
      <c r="B73" s="11" t="s">
        <v>3418</v>
      </c>
      <c r="C73" s="9" t="s">
        <v>466</v>
      </c>
      <c r="D73" s="16" t="n">
        <f aca="false">D53+D65</f>
        <v>0.69</v>
      </c>
      <c r="E73" s="16" t="n">
        <f aca="false">E53+E65</f>
        <v>4.21750241479233</v>
      </c>
      <c r="F73" s="16" t="n">
        <f aca="false">F53+F65</f>
        <v>6.74800386366773</v>
      </c>
      <c r="G73" s="16" t="n">
        <f aca="false">G53+G65</f>
        <v>9.44720540913482</v>
      </c>
      <c r="H73" s="16" t="n">
        <f aca="false">H53+H65</f>
        <v>12.2813670318753</v>
      </c>
      <c r="I73" s="16" t="n">
        <f aca="false">I53+I65</f>
        <v>14.7376404382503</v>
      </c>
      <c r="K73" s="12" t="s">
        <v>3419</v>
      </c>
    </row>
    <row r="74" customFormat="false" ht="15" hidden="false" customHeight="false" outlineLevel="0" collapsed="false">
      <c r="A74" s="9" t="s">
        <v>3420</v>
      </c>
      <c r="B74" s="11" t="s">
        <v>3421</v>
      </c>
      <c r="C74" s="9" t="s">
        <v>466</v>
      </c>
      <c r="D74" s="16" t="n">
        <f aca="false">D54+D58</f>
        <v>3.899</v>
      </c>
      <c r="E74" s="16" t="n">
        <f aca="false">E54+E58</f>
        <v>44.5014975852077</v>
      </c>
      <c r="F74" s="16" t="n">
        <f aca="false">F54+F58</f>
        <v>74.3126940868574</v>
      </c>
      <c r="G74" s="16" t="n">
        <f aca="false">G54+G58</f>
        <v>112.353110076698</v>
      </c>
      <c r="H74" s="16" t="n">
        <f aca="false">H54+H58</f>
        <v>154.46151578474</v>
      </c>
      <c r="I74" s="16" t="n">
        <f aca="false">I54+I58</f>
        <v>200.122482199356</v>
      </c>
      <c r="K74" s="2"/>
    </row>
    <row r="75" customFormat="false" ht="15" hidden="false" customHeight="false" outlineLevel="0" collapsed="false">
      <c r="A75" s="9" t="s">
        <v>3422</v>
      </c>
      <c r="B75" s="11" t="s">
        <v>3423</v>
      </c>
      <c r="C75" s="11" t="s">
        <v>253</v>
      </c>
      <c r="D75" s="15" t="n">
        <f aca="false">D74/(D73+D74)</f>
        <v>0.849640444541294</v>
      </c>
      <c r="E75" s="15" t="n">
        <f aca="false">E74/(E73+E74)</f>
        <v>0.913432081635659</v>
      </c>
      <c r="F75" s="15" t="n">
        <f aca="false">F74/(F73+F74)</f>
        <v>0.916753691563496</v>
      </c>
      <c r="G75" s="15" t="n">
        <f aca="false">G74/(G73+G74)</f>
        <v>0.922436938102729</v>
      </c>
      <c r="H75" s="15" t="n">
        <f aca="false">H74/(H73+H74)</f>
        <v>0.926345479792488</v>
      </c>
      <c r="I75" s="15" t="n">
        <f aca="false">I74/(I73+I74)</f>
        <v>0.931408209874721</v>
      </c>
      <c r="K75" s="2" t="s">
        <v>3424</v>
      </c>
    </row>
    <row r="76" customFormat="false" ht="15" hidden="false" customHeight="false" outlineLevel="0" collapsed="false">
      <c r="A76" s="9" t="s">
        <v>3425</v>
      </c>
      <c r="B76" s="11" t="s">
        <v>3426</v>
      </c>
      <c r="C76" s="9" t="s">
        <v>466</v>
      </c>
      <c r="D76" s="16" t="n">
        <f aca="false">D73+D74+D64-D67</f>
        <v>0</v>
      </c>
      <c r="E76" s="16" t="n">
        <f aca="false">E73+E74+E64-E67</f>
        <v>0</v>
      </c>
      <c r="F76" s="16" t="n">
        <f aca="false">F73+F74+F64-F67</f>
        <v>0</v>
      </c>
      <c r="G76" s="16" t="n">
        <f aca="false">G73+G74+G64-G67</f>
        <v>0</v>
      </c>
      <c r="H76" s="16" t="n">
        <f aca="false">H73+H74+H64-H67</f>
        <v>0</v>
      </c>
      <c r="I76" s="16" t="n">
        <f aca="false">I73+I74+I64-I67</f>
        <v>0</v>
      </c>
      <c r="K76" s="2"/>
    </row>
    <row r="77" customFormat="false" ht="15" hidden="false" customHeight="false" outlineLevel="0" collapsed="false">
      <c r="A77" s="9" t="s">
        <v>3427</v>
      </c>
      <c r="B77" s="11" t="s">
        <v>3428</v>
      </c>
      <c r="C77" s="11" t="s">
        <v>253</v>
      </c>
      <c r="E77" s="15" t="n">
        <f aca="false">(E67-D67)/D67</f>
        <v>9.59347826086957</v>
      </c>
      <c r="F77" s="15" t="n">
        <f aca="false">(F67-E67)/E67</f>
        <v>0.663691728925202</v>
      </c>
      <c r="G77" s="15" t="n">
        <f aca="false">(G67-F67)/F67</f>
        <v>0.50251343644202</v>
      </c>
      <c r="H77" s="15" t="n">
        <f aca="false">(H67-G67)/G67</f>
        <v>0.368952319015138</v>
      </c>
      <c r="I77" s="15" t="n">
        <f aca="false">(I67-H67)/H67</f>
        <v>0.288552440328521</v>
      </c>
      <c r="K77" s="2"/>
    </row>
    <row r="78" customFormat="false" ht="15" hidden="false" customHeight="false" outlineLevel="0" collapsed="false">
      <c r="A78" s="9" t="s">
        <v>3429</v>
      </c>
      <c r="B78" s="11" t="s">
        <v>3430</v>
      </c>
      <c r="C78" s="11" t="s">
        <v>253</v>
      </c>
      <c r="D78" s="15" t="n">
        <f aca="false">D55/D67</f>
        <v>0.171521739130435</v>
      </c>
      <c r="E78" s="15" t="n">
        <f aca="false">E55/E67</f>
        <v>0.0931180660316103</v>
      </c>
      <c r="F78" s="15" t="n">
        <f aca="false">F55/F67</f>
        <v>0.0911327372720452</v>
      </c>
      <c r="G78" s="15" t="n">
        <f aca="false">G55/G67</f>
        <v>0.0854405700850458</v>
      </c>
      <c r="H78" s="15" t="n">
        <f aca="false">H55/H67</f>
        <v>0.0814250176451118</v>
      </c>
      <c r="I78" s="15" t="n">
        <f aca="false">I55/I67</f>
        <v>0.0761310024400669</v>
      </c>
      <c r="K78" s="2" t="s">
        <v>3431</v>
      </c>
    </row>
    <row r="79" customFormat="false" ht="15" hidden="false" customHeight="false" outlineLevel="0" collapsed="false">
      <c r="A79" s="14" t="s">
        <v>3432</v>
      </c>
    </row>
    <row r="80" customFormat="false" ht="15" hidden="false" customHeight="false" outlineLevel="0" collapsed="false">
      <c r="A80" s="9" t="s">
        <v>3433</v>
      </c>
      <c r="B80" s="11" t="s">
        <v>3434</v>
      </c>
      <c r="C80" s="11" t="s">
        <v>731</v>
      </c>
      <c r="D80" s="20" t="n">
        <f aca="false">INP_016</f>
        <v>1</v>
      </c>
      <c r="E80" s="20" t="n">
        <f aca="false">INP_016</f>
        <v>1</v>
      </c>
      <c r="F80" s="20" t="n">
        <f aca="false">INP_016</f>
        <v>1</v>
      </c>
      <c r="G80" s="20" t="n">
        <f aca="false">INP_016</f>
        <v>1</v>
      </c>
      <c r="H80" s="20" t="n">
        <f aca="false">INP_016</f>
        <v>1</v>
      </c>
      <c r="I80" s="20" t="n">
        <f aca="false">INP_016</f>
        <v>1</v>
      </c>
      <c r="K80" s="2"/>
    </row>
    <row r="81" customFormat="false" ht="15" hidden="false" customHeight="false" outlineLevel="0" collapsed="false">
      <c r="A81" s="9" t="s">
        <v>3435</v>
      </c>
      <c r="B81" s="11" t="s">
        <v>3436</v>
      </c>
      <c r="C81" s="9" t="s">
        <v>466</v>
      </c>
      <c r="D81" s="16" t="n">
        <f aca="false">D67*D80</f>
        <v>4.6</v>
      </c>
      <c r="E81" s="16" t="n">
        <f aca="false">E67*E80</f>
        <v>48.73</v>
      </c>
      <c r="F81" s="16" t="n">
        <f aca="false">F67*F80</f>
        <v>81.0716979505251</v>
      </c>
      <c r="G81" s="16" t="n">
        <f aca="false">G67*G80</f>
        <v>121.811315485833</v>
      </c>
      <c r="H81" s="16" t="n">
        <f aca="false">H67*H80</f>
        <v>166.753882816616</v>
      </c>
      <c r="I81" s="16" t="n">
        <f aca="false">I67*I80</f>
        <v>214.871122637606</v>
      </c>
      <c r="K81" s="2"/>
    </row>
    <row r="82" customFormat="false" ht="15" hidden="false" customHeight="false" outlineLevel="0" collapsed="false">
      <c r="A82" s="9" t="s">
        <v>3437</v>
      </c>
      <c r="B82" s="11" t="s">
        <v>3438</v>
      </c>
      <c r="C82" s="9" t="s">
        <v>466</v>
      </c>
      <c r="D82" s="16" t="n">
        <f aca="false">D71*D80</f>
        <v>0.351</v>
      </c>
      <c r="E82" s="16" t="n">
        <f aca="false">E71*E80</f>
        <v>4.02189865518352</v>
      </c>
      <c r="F82" s="16" t="n">
        <f aca="false">F71*F80</f>
        <v>6.70651600751852</v>
      </c>
      <c r="G82" s="16" t="n">
        <f aca="false">G71*G80</f>
        <v>10.140252203368</v>
      </c>
      <c r="H82" s="16" t="n">
        <f aca="false">H71*H80</f>
        <v>13.942846779631</v>
      </c>
      <c r="I82" s="16" t="n">
        <f aca="false">I71*I80</f>
        <v>18.0699294264018</v>
      </c>
      <c r="K82" s="2"/>
    </row>
    <row r="83" customFormat="false" ht="15" hidden="false" customHeight="false" outlineLevel="0" collapsed="false">
      <c r="A83" s="9" t="s">
        <v>3439</v>
      </c>
      <c r="B83" s="11" t="s">
        <v>3440</v>
      </c>
      <c r="C83" s="9" t="s">
        <v>466</v>
      </c>
      <c r="D83" s="16" t="n">
        <f aca="false">D81-D82</f>
        <v>4.249</v>
      </c>
      <c r="E83" s="16" t="n">
        <f aca="false">E81-E82</f>
        <v>44.7081013448165</v>
      </c>
      <c r="F83" s="16" t="n">
        <f aca="false">F81-F82</f>
        <v>74.3651819430066</v>
      </c>
      <c r="G83" s="16" t="n">
        <f aca="false">G81-G82</f>
        <v>111.671063282465</v>
      </c>
      <c r="H83" s="16" t="n">
        <f aca="false">H81-H82</f>
        <v>152.811036036985</v>
      </c>
      <c r="I83" s="16" t="n">
        <f aca="false">I81-I82</f>
        <v>196.801193211204</v>
      </c>
      <c r="K83" s="2"/>
    </row>
    <row r="84" customFormat="false" ht="15" hidden="false" customHeight="false" outlineLevel="0" collapsed="false">
      <c r="A84" s="14" t="s">
        <v>3441</v>
      </c>
    </row>
    <row r="85" customFormat="false" ht="15" hidden="false" customHeight="false" outlineLevel="0" collapsed="false">
      <c r="A85" s="9" t="s">
        <v>3442</v>
      </c>
      <c r="B85" s="9" t="s">
        <v>3443</v>
      </c>
      <c r="C85" s="9" t="s">
        <v>466</v>
      </c>
      <c r="D85" s="16" t="n">
        <f aca="false">D67-SRC_ANT_001</f>
        <v>0</v>
      </c>
      <c r="K85" s="2"/>
    </row>
    <row r="86" customFormat="false" ht="15" hidden="false" customHeight="false" outlineLevel="0" collapsed="false">
      <c r="A86" s="9" t="s">
        <v>3444</v>
      </c>
      <c r="B86" s="9" t="s">
        <v>3445</v>
      </c>
      <c r="C86" s="9" t="s">
        <v>466</v>
      </c>
      <c r="E86" s="16" t="n">
        <f aca="false">E67-E45</f>
        <v>0</v>
      </c>
      <c r="K86" s="2"/>
    </row>
    <row r="87" customFormat="false" ht="15" hidden="false" customHeight="false" outlineLevel="0" collapsed="false">
      <c r="A87" s="9" t="s">
        <v>3446</v>
      </c>
      <c r="B87" s="9" t="s">
        <v>3447</v>
      </c>
      <c r="C87" s="9" t="s">
        <v>466</v>
      </c>
      <c r="D87" s="16" t="n">
        <f aca="false">SRC_ANT_173*INP_029*D40*INP_008/INP_012</f>
        <v>0.4109049</v>
      </c>
      <c r="K87" s="2" t="s">
        <v>3448</v>
      </c>
    </row>
    <row r="88" customFormat="false" ht="15" hidden="false" customHeight="false" outlineLevel="0" collapsed="false">
      <c r="A88" s="9" t="s">
        <v>3449</v>
      </c>
      <c r="B88" s="9" t="s">
        <v>3450</v>
      </c>
      <c r="C88" s="9" t="s">
        <v>466</v>
      </c>
      <c r="D88" s="16" t="n">
        <f aca="false">D87-D43</f>
        <v>-0.2790951</v>
      </c>
      <c r="K88" s="2"/>
    </row>
    <row r="89" customFormat="false" ht="15" hidden="false" customHeight="false" outlineLevel="0" collapsed="false">
      <c r="A89" s="9" t="s">
        <v>3451</v>
      </c>
      <c r="B89" s="9" t="s">
        <v>3452</v>
      </c>
      <c r="C89" s="9" t="s">
        <v>466</v>
      </c>
      <c r="D89" s="16" t="n">
        <f aca="false">(SRC_ANT_017-SRC_ANT_008)/LN(SRC_ANT_017/SRC_ANT_008)</f>
        <v>3.64095690650735</v>
      </c>
      <c r="K89" s="2" t="s">
        <v>3453</v>
      </c>
    </row>
    <row r="90" customFormat="false" ht="15" hidden="false" customHeight="false" outlineLevel="0" collapsed="false">
      <c r="A90" s="9" t="s">
        <v>3454</v>
      </c>
      <c r="B90" s="9" t="s">
        <v>3455</v>
      </c>
      <c r="C90" s="11" t="s">
        <v>253</v>
      </c>
      <c r="D90" s="15" t="n">
        <f aca="false">(D67-D89)/D89</f>
        <v>0.263404131968326</v>
      </c>
      <c r="K90" s="12" t="s">
        <v>3456</v>
      </c>
    </row>
    <row r="91" customFormat="false" ht="15" hidden="false" customHeight="false" outlineLevel="0" collapsed="false">
      <c r="A91" s="9" t="s">
        <v>3457</v>
      </c>
      <c r="B91" s="9" t="s">
        <v>3458</v>
      </c>
      <c r="C91" s="9" t="s">
        <v>466</v>
      </c>
      <c r="E91" s="16" t="n">
        <f aca="false">SRC_ANT_004+SRC_ANT_005+(AVERAGE(SRC_ANT_373_Lo,SRC_ANT_373_Hi)-SRC_ANT_023)/LN(AVERAGE(SRC_ANT_373_Lo,SRC_ANT_373_Hi)/SRC_ANT_023)*INP_009/INP_008</f>
        <v>58.9980959424994</v>
      </c>
      <c r="K91" s="2" t="s">
        <v>3459</v>
      </c>
    </row>
    <row r="92" customFormat="false" ht="15" hidden="false" customHeight="false" outlineLevel="0" collapsed="false">
      <c r="A92" s="9" t="s">
        <v>3460</v>
      </c>
      <c r="B92" s="9" t="s">
        <v>3461</v>
      </c>
      <c r="C92" s="11" t="s">
        <v>253</v>
      </c>
      <c r="E92" s="15" t="n">
        <f aca="false">(E67-E91)/E91</f>
        <v>-0.174041141132875</v>
      </c>
      <c r="K92" s="12" t="s">
        <v>3462</v>
      </c>
    </row>
    <row r="93" customFormat="false" ht="15" hidden="false" customHeight="false" outlineLevel="0" collapsed="false">
      <c r="A93" s="9" t="s">
        <v>3463</v>
      </c>
      <c r="B93" s="9" t="s">
        <v>3464</v>
      </c>
      <c r="C93" s="9" t="s">
        <v>60</v>
      </c>
      <c r="E93" s="16" t="n">
        <f aca="false">(E67-SRC_ANT_004-SRC_ANT_005)*INP_008/INP_009</f>
        <v>65</v>
      </c>
      <c r="K93" s="2" t="s">
        <v>3465</v>
      </c>
    </row>
    <row r="94" customFormat="false" ht="15" hidden="false" customHeight="false" outlineLevel="0" collapsed="false">
      <c r="A94" s="9" t="s">
        <v>3466</v>
      </c>
      <c r="B94" s="11" t="s">
        <v>3467</v>
      </c>
      <c r="C94" s="9" t="s">
        <v>466</v>
      </c>
      <c r="E94" s="16" t="n">
        <f aca="false">SRC_ANT_368</f>
        <v>18</v>
      </c>
      <c r="F94" s="16" t="n">
        <f aca="false">SRC_ANT_369</f>
        <v>55</v>
      </c>
      <c r="H94" s="16" t="n">
        <f aca="false">SRC_ANT_370</f>
        <v>148</v>
      </c>
      <c r="K94" s="12" t="s">
        <v>3468</v>
      </c>
    </row>
    <row r="95" customFormat="false" ht="15" hidden="false" customHeight="false" outlineLevel="0" collapsed="false">
      <c r="A95" s="9" t="s">
        <v>3469</v>
      </c>
      <c r="B95" s="11" t="s">
        <v>3470</v>
      </c>
      <c r="C95" s="9" t="s">
        <v>466</v>
      </c>
      <c r="E95" s="16" t="n">
        <f aca="false">E67-E94</f>
        <v>30.73</v>
      </c>
      <c r="F95" s="16" t="n">
        <f aca="false">F67-F94</f>
        <v>26.0716979505251</v>
      </c>
      <c r="H95" s="16" t="n">
        <f aca="false">H67-H94</f>
        <v>18.7538828166155</v>
      </c>
      <c r="K95" s="2"/>
    </row>
    <row r="96" customFormat="false" ht="15" hidden="false" customHeight="false" outlineLevel="0" collapsed="false">
      <c r="A96" s="9" t="s">
        <v>3471</v>
      </c>
      <c r="B96" s="9" t="s">
        <v>3472</v>
      </c>
      <c r="C96" s="11" t="s">
        <v>253</v>
      </c>
      <c r="E96" s="15" t="n">
        <f aca="false">SRC_ANT_034/E69</f>
        <v>0.254606117108457</v>
      </c>
      <c r="K96" s="12" t="s">
        <v>3473</v>
      </c>
    </row>
    <row r="98" customFormat="false" ht="15" hidden="false" customHeight="false" outlineLevel="0" collapsed="false">
      <c r="A98" s="14" t="s">
        <v>3474</v>
      </c>
    </row>
    <row r="99" customFormat="false" ht="29.85" hidden="false" customHeight="false" outlineLevel="0" collapsed="false">
      <c r="A99" s="8" t="s">
        <v>3120</v>
      </c>
      <c r="B99" s="8" t="s">
        <v>3475</v>
      </c>
      <c r="C99" s="8" t="s">
        <v>36</v>
      </c>
      <c r="D99" s="7" t="s">
        <v>61</v>
      </c>
      <c r="E99" s="7" t="s">
        <v>290</v>
      </c>
      <c r="F99" s="7" t="s">
        <v>2605</v>
      </c>
      <c r="G99" s="7" t="s">
        <v>1644</v>
      </c>
      <c r="H99" s="7" t="s">
        <v>2606</v>
      </c>
      <c r="I99" s="7" t="s">
        <v>2607</v>
      </c>
      <c r="J99" s="8"/>
      <c r="K99" s="8" t="s">
        <v>2346</v>
      </c>
      <c r="L99" s="8"/>
      <c r="M99" s="7" t="s">
        <v>3476</v>
      </c>
      <c r="N99" s="8" t="s">
        <v>3477</v>
      </c>
      <c r="O99" s="7" t="s">
        <v>3478</v>
      </c>
    </row>
    <row r="100" customFormat="false" ht="15" hidden="false" customHeight="false" outlineLevel="0" collapsed="false">
      <c r="A100" s="9" t="s">
        <v>3479</v>
      </c>
      <c r="B100" s="11" t="s">
        <v>3480</v>
      </c>
      <c r="C100" s="11" t="s">
        <v>253</v>
      </c>
      <c r="D100" s="15" t="n">
        <f aca="false">(D$9-MAX(D$8,MIN(D$9,$N100)))/(D$9-D$8)</f>
        <v>1</v>
      </c>
      <c r="E100" s="15" t="n">
        <f aca="false">(E$9-MAX(E$8,MIN(E$9,$N100)))/(E$9-E$8)</f>
        <v>1</v>
      </c>
      <c r="F100" s="15" t="n">
        <f aca="false">(F$9-MAX(F$8,MIN(F$9,$N100)))/(F$9-F$8)</f>
        <v>1</v>
      </c>
      <c r="G100" s="15" t="n">
        <f aca="false">(G$9-MAX(G$8,MIN(G$9,$N100)))/(G$9-G$8)</f>
        <v>1</v>
      </c>
      <c r="H100" s="15" t="n">
        <f aca="false">(H$9-MAX(H$8,MIN(H$9,$N100)))/(H$9-H$8)</f>
        <v>1</v>
      </c>
      <c r="I100" s="15" t="n">
        <f aca="false">(I$9-MAX(I$8,MIN(I$9,$N100)))/(I$9-I$8)</f>
        <v>1</v>
      </c>
      <c r="K100" s="2" t="s">
        <v>3481</v>
      </c>
      <c r="M100" s="20" t="n">
        <f aca="false">SRC_ANT_065</f>
        <v>15</v>
      </c>
      <c r="N100" s="13" t="n">
        <f aca="false">SRC_ANT_065_Date</f>
        <v>45355</v>
      </c>
      <c r="O100" s="20" t="n">
        <f aca="false">M100</f>
        <v>15</v>
      </c>
    </row>
    <row r="101" customFormat="false" ht="15" hidden="false" customHeight="false" outlineLevel="0" collapsed="false">
      <c r="A101" s="9" t="s">
        <v>3482</v>
      </c>
      <c r="B101" s="11" t="s">
        <v>3483</v>
      </c>
      <c r="C101" s="11" t="s">
        <v>253</v>
      </c>
      <c r="D101" s="15" t="n">
        <f aca="false">(D$9-MAX(D$8,MIN(D$9,$N101)))/(D$9-D$8)</f>
        <v>0.613698630136986</v>
      </c>
      <c r="E101" s="15" t="n">
        <f aca="false">(E$9-MAX(E$8,MIN(E$9,$N101)))/(E$9-E$8)</f>
        <v>1</v>
      </c>
      <c r="F101" s="15" t="n">
        <f aca="false">(F$9-MAX(F$8,MIN(F$9,$N101)))/(F$9-F$8)</f>
        <v>1</v>
      </c>
      <c r="G101" s="15" t="n">
        <f aca="false">(G$9-MAX(G$8,MIN(G$9,$N101)))/(G$9-G$8)</f>
        <v>1</v>
      </c>
      <c r="H101" s="15" t="n">
        <f aca="false">(H$9-MAX(H$8,MIN(H$9,$N101)))/(H$9-H$8)</f>
        <v>1</v>
      </c>
      <c r="I101" s="15" t="n">
        <f aca="false">(I$9-MAX(I$8,MIN(I$9,$N101)))/(I$9-I$8)</f>
        <v>1</v>
      </c>
      <c r="K101" s="2"/>
      <c r="M101" s="20" t="n">
        <f aca="false">SRC_ANT_079</f>
        <v>15</v>
      </c>
      <c r="N101" s="13" t="n">
        <f aca="false">SRC_ANT_079_Date</f>
        <v>45799</v>
      </c>
      <c r="O101" s="20" t="n">
        <f aca="false">M101-M100</f>
        <v>0</v>
      </c>
    </row>
    <row r="102" customFormat="false" ht="15" hidden="false" customHeight="false" outlineLevel="0" collapsed="false">
      <c r="A102" s="9" t="s">
        <v>3484</v>
      </c>
      <c r="B102" s="11" t="s">
        <v>3485</v>
      </c>
      <c r="C102" s="11" t="s">
        <v>253</v>
      </c>
      <c r="D102" s="15" t="n">
        <f aca="false">(D$9-MAX(D$8,MIN(D$9,$N102)))/(D$9-D$8)</f>
        <v>0.408219178082192</v>
      </c>
      <c r="E102" s="15" t="n">
        <f aca="false">(E$9-MAX(E$8,MIN(E$9,$N102)))/(E$9-E$8)</f>
        <v>1</v>
      </c>
      <c r="F102" s="15" t="n">
        <f aca="false">(F$9-MAX(F$8,MIN(F$9,$N102)))/(F$9-F$8)</f>
        <v>1</v>
      </c>
      <c r="G102" s="15" t="n">
        <f aca="false">(G$9-MAX(G$8,MIN(G$9,$N102)))/(G$9-G$8)</f>
        <v>1</v>
      </c>
      <c r="H102" s="15" t="n">
        <f aca="false">(H$9-MAX(H$8,MIN(H$9,$N102)))/(H$9-H$8)</f>
        <v>1</v>
      </c>
      <c r="I102" s="15" t="n">
        <f aca="false">(I$9-MAX(I$8,MIN(I$9,$N102)))/(I$9-I$8)</f>
        <v>1</v>
      </c>
      <c r="K102" s="2"/>
      <c r="M102" s="20" t="n">
        <f aca="false">SRC_ANT_083</f>
        <v>15</v>
      </c>
      <c r="N102" s="13" t="n">
        <f aca="false">SRC_ANT_083_Date</f>
        <v>45874</v>
      </c>
      <c r="O102" s="20" t="n">
        <f aca="false">M102-M101</f>
        <v>0</v>
      </c>
    </row>
    <row r="103" customFormat="false" ht="15" hidden="false" customHeight="false" outlineLevel="0" collapsed="false">
      <c r="A103" s="9" t="s">
        <v>3486</v>
      </c>
      <c r="B103" s="11" t="s">
        <v>3487</v>
      </c>
      <c r="C103" s="11" t="s">
        <v>253</v>
      </c>
      <c r="D103" s="15" t="n">
        <f aca="false">(D$9-MAX(D$8,MIN(D$9,$N103)))/(D$9-D$8)</f>
        <v>0.104109589041096</v>
      </c>
      <c r="E103" s="15" t="n">
        <f aca="false">(E$9-MAX(E$8,MIN(E$9,$N103)))/(E$9-E$8)</f>
        <v>1</v>
      </c>
      <c r="F103" s="15" t="n">
        <f aca="false">(F$9-MAX(F$8,MIN(F$9,$N103)))/(F$9-F$8)</f>
        <v>1</v>
      </c>
      <c r="G103" s="15" t="n">
        <f aca="false">(G$9-MAX(G$8,MIN(G$9,$N103)))/(G$9-G$8)</f>
        <v>1</v>
      </c>
      <c r="H103" s="15" t="n">
        <f aca="false">(H$9-MAX(H$8,MIN(H$9,$N103)))/(H$9-H$8)</f>
        <v>1</v>
      </c>
      <c r="I103" s="15" t="n">
        <f aca="false">(I$9-MAX(I$8,MIN(I$9,$N103)))/(I$9-I$8)</f>
        <v>1</v>
      </c>
      <c r="K103" s="2"/>
      <c r="M103" s="20" t="n">
        <f aca="false">SRC_ANT_089</f>
        <v>5</v>
      </c>
      <c r="N103" s="13" t="n">
        <f aca="false">SRC_ANT_089_Date</f>
        <v>45985</v>
      </c>
      <c r="O103" s="20" t="n">
        <f aca="false">M103-M102</f>
        <v>-10</v>
      </c>
    </row>
    <row r="104" customFormat="false" ht="15" hidden="false" customHeight="false" outlineLevel="0" collapsed="false">
      <c r="A104" s="9" t="s">
        <v>3488</v>
      </c>
      <c r="B104" s="11" t="s">
        <v>3489</v>
      </c>
      <c r="C104" s="11" t="s">
        <v>253</v>
      </c>
      <c r="D104" s="15" t="n">
        <f aca="false">(D$9-MAX(D$8,MIN(D$9,$N104)))/(D$9-D$8)</f>
        <v>0</v>
      </c>
      <c r="E104" s="15" t="n">
        <f aca="false">(E$9-MAX(E$8,MIN(E$9,$N104)))/(E$9-E$8)</f>
        <v>0.904109589041096</v>
      </c>
      <c r="F104" s="15" t="n">
        <f aca="false">(F$9-MAX(F$8,MIN(F$9,$N104)))/(F$9-F$8)</f>
        <v>1</v>
      </c>
      <c r="G104" s="15" t="n">
        <f aca="false">(G$9-MAX(G$8,MIN(G$9,$N104)))/(G$9-G$8)</f>
        <v>1</v>
      </c>
      <c r="H104" s="15" t="n">
        <f aca="false">(H$9-MAX(H$8,MIN(H$9,$N104)))/(H$9-H$8)</f>
        <v>1</v>
      </c>
      <c r="I104" s="15" t="n">
        <f aca="false">(I$9-MAX(I$8,MIN(I$9,$N104)))/(I$9-I$8)</f>
        <v>1</v>
      </c>
      <c r="K104" s="2"/>
      <c r="M104" s="20" t="n">
        <f aca="false">SRC_ANT_091</f>
        <v>5</v>
      </c>
      <c r="N104" s="13" t="n">
        <f aca="false">SRC_ANT_091_Date</f>
        <v>46058</v>
      </c>
      <c r="O104" s="20" t="n">
        <f aca="false">M104-M103</f>
        <v>0</v>
      </c>
    </row>
    <row r="105" customFormat="false" ht="15" hidden="false" customHeight="false" outlineLevel="0" collapsed="false">
      <c r="A105" s="9" t="s">
        <v>3490</v>
      </c>
      <c r="B105" s="11" t="s">
        <v>3491</v>
      </c>
      <c r="C105" s="11" t="s">
        <v>253</v>
      </c>
      <c r="D105" s="15" t="n">
        <f aca="false">(D$9-MAX(D$8,MIN(D$9,$N105)))/(D$9-D$8)</f>
        <v>0</v>
      </c>
      <c r="E105" s="15" t="n">
        <f aca="false">(E$9-MAX(E$8,MIN(E$9,$N105)))/(E$9-E$8)</f>
        <v>0.712328767123288</v>
      </c>
      <c r="F105" s="15" t="n">
        <f aca="false">(F$9-MAX(F$8,MIN(F$9,$N105)))/(F$9-F$8)</f>
        <v>1</v>
      </c>
      <c r="G105" s="15" t="n">
        <f aca="false">(G$9-MAX(G$8,MIN(G$9,$N105)))/(G$9-G$8)</f>
        <v>1</v>
      </c>
      <c r="H105" s="15" t="n">
        <f aca="false">(H$9-MAX(H$8,MIN(H$9,$N105)))/(H$9-H$8)</f>
        <v>1</v>
      </c>
      <c r="I105" s="15" t="n">
        <f aca="false">(I$9-MAX(I$8,MIN(I$9,$N105)))/(I$9-I$8)</f>
        <v>1</v>
      </c>
      <c r="K105" s="2"/>
      <c r="M105" s="20" t="n">
        <f aca="false">SRC_ANT_097</f>
        <v>5</v>
      </c>
      <c r="N105" s="13" t="n">
        <f aca="false">SRC_ANT_097_Date</f>
        <v>46128</v>
      </c>
      <c r="O105" s="20" t="n">
        <f aca="false">M105-M104</f>
        <v>0</v>
      </c>
    </row>
    <row r="106" customFormat="false" ht="15" hidden="false" customHeight="false" outlineLevel="0" collapsed="false">
      <c r="A106" s="9" t="s">
        <v>3492</v>
      </c>
      <c r="B106" s="11" t="s">
        <v>3493</v>
      </c>
      <c r="C106" s="11" t="s">
        <v>253</v>
      </c>
      <c r="D106" s="15" t="n">
        <f aca="false">(D$9-MAX(D$8,MIN(D$9,$N106)))/(D$9-D$8)</f>
        <v>0</v>
      </c>
      <c r="E106" s="15" t="n">
        <f aca="false">(E$9-MAX(E$8,MIN(E$9,$N106)))/(E$9-E$8)</f>
        <v>0.597260273972603</v>
      </c>
      <c r="F106" s="15" t="n">
        <f aca="false">(F$9-MAX(F$8,MIN(F$9,$N106)))/(F$9-F$8)</f>
        <v>1</v>
      </c>
      <c r="G106" s="15" t="n">
        <f aca="false">(G$9-MAX(G$8,MIN(G$9,$N106)))/(G$9-G$8)</f>
        <v>1</v>
      </c>
      <c r="H106" s="15" t="n">
        <f aca="false">(H$9-MAX(H$8,MIN(H$9,$N106)))/(H$9-H$8)</f>
        <v>1</v>
      </c>
      <c r="I106" s="15" t="n">
        <f aca="false">(I$9-MAX(I$8,MIN(I$9,$N106)))/(I$9-I$8)</f>
        <v>1</v>
      </c>
      <c r="K106" s="2"/>
      <c r="M106" s="20" t="n">
        <f aca="false">SRC_ANT_099</f>
        <v>5</v>
      </c>
      <c r="N106" s="13" t="n">
        <f aca="false">SRC_ANT_099_Date</f>
        <v>46170</v>
      </c>
      <c r="O106" s="20" t="n">
        <f aca="false">M106-M105</f>
        <v>0</v>
      </c>
    </row>
    <row r="107" customFormat="false" ht="15" hidden="false" customHeight="false" outlineLevel="0" collapsed="false">
      <c r="A107" s="9" t="s">
        <v>3494</v>
      </c>
      <c r="B107" s="11" t="s">
        <v>3495</v>
      </c>
      <c r="C107" s="11" t="s">
        <v>253</v>
      </c>
      <c r="D107" s="15" t="n">
        <f aca="false">(D$9-MAX(D$8,MIN(D$9,$N107)))/(D$9-D$8)</f>
        <v>0</v>
      </c>
      <c r="E107" s="15" t="n">
        <f aca="false">(E$9-MAX(E$8,MIN(E$9,$N107)))/(E$9-E$8)</f>
        <v>0.441095890410959</v>
      </c>
      <c r="F107" s="15" t="n">
        <f aca="false">(F$9-MAX(F$8,MIN(F$9,$N107)))/(F$9-F$8)</f>
        <v>1</v>
      </c>
      <c r="G107" s="15" t="n">
        <f aca="false">(G$9-MAX(G$8,MIN(G$9,$N107)))/(G$9-G$8)</f>
        <v>1</v>
      </c>
      <c r="H107" s="15" t="n">
        <f aca="false">(H$9-MAX(H$8,MIN(H$9,$N107)))/(H$9-H$8)</f>
        <v>1</v>
      </c>
      <c r="I107" s="15" t="n">
        <f aca="false">(I$9-MAX(I$8,MIN(I$9,$N107)))/(I$9-I$8)</f>
        <v>1</v>
      </c>
      <c r="K107" s="2"/>
      <c r="M107" s="20" t="n">
        <f aca="false">SRC_ANT_107</f>
        <v>5</v>
      </c>
      <c r="N107" s="13" t="n">
        <f aca="false">SRC_ANT_107_Date</f>
        <v>46227</v>
      </c>
      <c r="O107" s="20" t="n">
        <f aca="false">M107-M106</f>
        <v>0</v>
      </c>
    </row>
    <row r="108" customFormat="false" ht="15" hidden="false" customHeight="false" outlineLevel="0" collapsed="false">
      <c r="A108" s="9" t="s">
        <v>3496</v>
      </c>
      <c r="B108" s="11" t="s">
        <v>3497</v>
      </c>
      <c r="C108" s="11" t="s">
        <v>253</v>
      </c>
      <c r="D108" s="15" t="n">
        <f aca="false">(D$9-MAX(D$8,MIN(D$9,$N108)))/(D$9-D$8)</f>
        <v>0</v>
      </c>
      <c r="E108" s="15" t="n">
        <f aca="false">(E$9-MAX(E$8,MIN(E$9,$N108)))/(E$9-E$8)</f>
        <v>0.276712328767123</v>
      </c>
      <c r="F108" s="15" t="n">
        <f aca="false">(F$9-MAX(F$8,MIN(F$9,$N108)))/(F$9-F$8)</f>
        <v>1</v>
      </c>
      <c r="G108" s="15" t="n">
        <f aca="false">(G$9-MAX(G$8,MIN(G$9,$N108)))/(G$9-G$8)</f>
        <v>1</v>
      </c>
      <c r="H108" s="15" t="n">
        <f aca="false">(H$9-MAX(H$8,MIN(H$9,$N108)))/(H$9-H$8)</f>
        <v>1</v>
      </c>
      <c r="I108" s="15" t="n">
        <f aca="false">(I$9-MAX(I$8,MIN(I$9,$N108)))/(I$9-I$8)</f>
        <v>1</v>
      </c>
      <c r="K108" s="2"/>
      <c r="M108" s="20" t="n">
        <f aca="false">SRC_ANT_111</f>
        <v>4</v>
      </c>
      <c r="N108" s="13" t="n">
        <f aca="false">SRC_ANT_111_Date</f>
        <v>46287</v>
      </c>
      <c r="O108" s="20" t="n">
        <f aca="false">M108-M107</f>
        <v>-1</v>
      </c>
    </row>
    <row r="109" customFormat="false" ht="15" hidden="false" customHeight="false" outlineLevel="0" collapsed="false">
      <c r="A109" s="9" t="s">
        <v>3498</v>
      </c>
      <c r="B109" s="11" t="s">
        <v>3499</v>
      </c>
      <c r="C109" s="11" t="s">
        <v>253</v>
      </c>
      <c r="D109" s="15" t="n">
        <f aca="false">(D$9-MAX(D$8,MIN(D$9,$N109)))/(D$9-D$8)</f>
        <v>1</v>
      </c>
      <c r="E109" s="15" t="n">
        <f aca="false">(E$9-MAX(E$8,MIN(E$9,$N109)))/(E$9-E$8)</f>
        <v>1</v>
      </c>
      <c r="F109" s="15" t="n">
        <f aca="false">(F$9-MAX(F$8,MIN(F$9,$N109)))/(F$9-F$8)</f>
        <v>1</v>
      </c>
      <c r="G109" s="15" t="n">
        <f aca="false">(G$9-MAX(G$8,MIN(G$9,$N109)))/(G$9-G$8)</f>
        <v>1</v>
      </c>
      <c r="H109" s="15" t="n">
        <f aca="false">(H$9-MAX(H$8,MIN(H$9,$N109)))/(H$9-H$8)</f>
        <v>1</v>
      </c>
      <c r="I109" s="15" t="n">
        <f aca="false">(I$9-MAX(I$8,MIN(I$9,$N109)))/(I$9-I$8)</f>
        <v>1</v>
      </c>
      <c r="K109" s="2" t="s">
        <v>3481</v>
      </c>
      <c r="M109" s="20" t="n">
        <f aca="false">SRC_ANT_066</f>
        <v>75</v>
      </c>
      <c r="N109" s="13" t="n">
        <f aca="false">SRC_ANT_066_Date</f>
        <v>45355</v>
      </c>
      <c r="O109" s="20" t="n">
        <f aca="false">M109</f>
        <v>75</v>
      </c>
    </row>
    <row r="110" customFormat="false" ht="15" hidden="false" customHeight="false" outlineLevel="0" collapsed="false">
      <c r="A110" s="9" t="s">
        <v>3500</v>
      </c>
      <c r="B110" s="11" t="s">
        <v>3501</v>
      </c>
      <c r="C110" s="11" t="s">
        <v>253</v>
      </c>
      <c r="D110" s="15" t="n">
        <f aca="false">(D$9-MAX(D$8,MIN(D$9,$N110)))/(D$9-D$8)</f>
        <v>0.613698630136986</v>
      </c>
      <c r="E110" s="15" t="n">
        <f aca="false">(E$9-MAX(E$8,MIN(E$9,$N110)))/(E$9-E$8)</f>
        <v>1</v>
      </c>
      <c r="F110" s="15" t="n">
        <f aca="false">(F$9-MAX(F$8,MIN(F$9,$N110)))/(F$9-F$8)</f>
        <v>1</v>
      </c>
      <c r="G110" s="15" t="n">
        <f aca="false">(G$9-MAX(G$8,MIN(G$9,$N110)))/(G$9-G$8)</f>
        <v>1</v>
      </c>
      <c r="H110" s="15" t="n">
        <f aca="false">(H$9-MAX(H$8,MIN(H$9,$N110)))/(H$9-H$8)</f>
        <v>1</v>
      </c>
      <c r="I110" s="15" t="n">
        <f aca="false">(I$9-MAX(I$8,MIN(I$9,$N110)))/(I$9-I$8)</f>
        <v>1</v>
      </c>
      <c r="K110" s="2"/>
      <c r="M110" s="20" t="n">
        <f aca="false">SRC_ANT_080</f>
        <v>75</v>
      </c>
      <c r="N110" s="13" t="n">
        <f aca="false">SRC_ANT_080_Date</f>
        <v>45799</v>
      </c>
      <c r="O110" s="20" t="n">
        <f aca="false">M110-M109</f>
        <v>0</v>
      </c>
    </row>
    <row r="111" customFormat="false" ht="15" hidden="false" customHeight="false" outlineLevel="0" collapsed="false">
      <c r="A111" s="9" t="s">
        <v>3502</v>
      </c>
      <c r="B111" s="11" t="s">
        <v>3503</v>
      </c>
      <c r="C111" s="11" t="s">
        <v>253</v>
      </c>
      <c r="D111" s="15" t="n">
        <f aca="false">(D$9-MAX(D$8,MIN(D$9,$N111)))/(D$9-D$8)</f>
        <v>0.408219178082192</v>
      </c>
      <c r="E111" s="15" t="n">
        <f aca="false">(E$9-MAX(E$8,MIN(E$9,$N111)))/(E$9-E$8)</f>
        <v>1</v>
      </c>
      <c r="F111" s="15" t="n">
        <f aca="false">(F$9-MAX(F$8,MIN(F$9,$N111)))/(F$9-F$8)</f>
        <v>1</v>
      </c>
      <c r="G111" s="15" t="n">
        <f aca="false">(G$9-MAX(G$8,MIN(G$9,$N111)))/(G$9-G$8)</f>
        <v>1</v>
      </c>
      <c r="H111" s="15" t="n">
        <f aca="false">(H$9-MAX(H$8,MIN(H$9,$N111)))/(H$9-H$8)</f>
        <v>1</v>
      </c>
      <c r="I111" s="15" t="n">
        <f aca="false">(I$9-MAX(I$8,MIN(I$9,$N111)))/(I$9-I$8)</f>
        <v>1</v>
      </c>
      <c r="K111" s="2"/>
      <c r="M111" s="20" t="n">
        <f aca="false">SRC_ANT_084</f>
        <v>75</v>
      </c>
      <c r="N111" s="13" t="n">
        <f aca="false">SRC_ANT_084_Date</f>
        <v>45874</v>
      </c>
      <c r="O111" s="20" t="n">
        <f aca="false">M111-M110</f>
        <v>0</v>
      </c>
    </row>
    <row r="112" customFormat="false" ht="15" hidden="false" customHeight="false" outlineLevel="0" collapsed="false">
      <c r="A112" s="9" t="s">
        <v>3504</v>
      </c>
      <c r="B112" s="11" t="s">
        <v>3505</v>
      </c>
      <c r="C112" s="11" t="s">
        <v>253</v>
      </c>
      <c r="D112" s="15" t="n">
        <f aca="false">(D$9-MAX(D$8,MIN(D$9,$N112)))/(D$9-D$8)</f>
        <v>0.104109589041096</v>
      </c>
      <c r="E112" s="15" t="n">
        <f aca="false">(E$9-MAX(E$8,MIN(E$9,$N112)))/(E$9-E$8)</f>
        <v>1</v>
      </c>
      <c r="F112" s="15" t="n">
        <f aca="false">(F$9-MAX(F$8,MIN(F$9,$N112)))/(F$9-F$8)</f>
        <v>1</v>
      </c>
      <c r="G112" s="15" t="n">
        <f aca="false">(G$9-MAX(G$8,MIN(G$9,$N112)))/(G$9-G$8)</f>
        <v>1</v>
      </c>
      <c r="H112" s="15" t="n">
        <f aca="false">(H$9-MAX(H$8,MIN(H$9,$N112)))/(H$9-H$8)</f>
        <v>1</v>
      </c>
      <c r="I112" s="15" t="n">
        <f aca="false">(I$9-MAX(I$8,MIN(I$9,$N112)))/(I$9-I$8)</f>
        <v>1</v>
      </c>
      <c r="K112" s="2"/>
      <c r="M112" s="20" t="n">
        <f aca="false">SRC_ANT_090</f>
        <v>25</v>
      </c>
      <c r="N112" s="13" t="n">
        <f aca="false">SRC_ANT_090_Date</f>
        <v>45985</v>
      </c>
      <c r="O112" s="20" t="n">
        <f aca="false">M112-M111</f>
        <v>-50</v>
      </c>
    </row>
    <row r="113" customFormat="false" ht="15" hidden="false" customHeight="false" outlineLevel="0" collapsed="false">
      <c r="A113" s="9" t="s">
        <v>3506</v>
      </c>
      <c r="B113" s="11" t="s">
        <v>3507</v>
      </c>
      <c r="C113" s="11" t="s">
        <v>253</v>
      </c>
      <c r="D113" s="15" t="n">
        <f aca="false">(D$9-MAX(D$8,MIN(D$9,$N113)))/(D$9-D$8)</f>
        <v>0</v>
      </c>
      <c r="E113" s="15" t="n">
        <f aca="false">(E$9-MAX(E$8,MIN(E$9,$N113)))/(E$9-E$8)</f>
        <v>0.904109589041096</v>
      </c>
      <c r="F113" s="15" t="n">
        <f aca="false">(F$9-MAX(F$8,MIN(F$9,$N113)))/(F$9-F$8)</f>
        <v>1</v>
      </c>
      <c r="G113" s="15" t="n">
        <f aca="false">(G$9-MAX(G$8,MIN(G$9,$N113)))/(G$9-G$8)</f>
        <v>1</v>
      </c>
      <c r="H113" s="15" t="n">
        <f aca="false">(H$9-MAX(H$8,MIN(H$9,$N113)))/(H$9-H$8)</f>
        <v>1</v>
      </c>
      <c r="I113" s="15" t="n">
        <f aca="false">(I$9-MAX(I$8,MIN(I$9,$N113)))/(I$9-I$8)</f>
        <v>1</v>
      </c>
      <c r="K113" s="2"/>
      <c r="M113" s="20" t="n">
        <f aca="false">SRC_ANT_092</f>
        <v>25</v>
      </c>
      <c r="N113" s="13" t="n">
        <f aca="false">SRC_ANT_092_Date</f>
        <v>46058</v>
      </c>
      <c r="O113" s="20" t="n">
        <f aca="false">M113-M112</f>
        <v>0</v>
      </c>
    </row>
    <row r="114" customFormat="false" ht="15" hidden="false" customHeight="false" outlineLevel="0" collapsed="false">
      <c r="A114" s="9" t="s">
        <v>3508</v>
      </c>
      <c r="B114" s="11" t="s">
        <v>3509</v>
      </c>
      <c r="C114" s="11" t="s">
        <v>253</v>
      </c>
      <c r="D114" s="15" t="n">
        <f aca="false">(D$9-MAX(D$8,MIN(D$9,$N114)))/(D$9-D$8)</f>
        <v>0</v>
      </c>
      <c r="E114" s="15" t="n">
        <f aca="false">(E$9-MAX(E$8,MIN(E$9,$N114)))/(E$9-E$8)</f>
        <v>0.712328767123288</v>
      </c>
      <c r="F114" s="15" t="n">
        <f aca="false">(F$9-MAX(F$8,MIN(F$9,$N114)))/(F$9-F$8)</f>
        <v>1</v>
      </c>
      <c r="G114" s="15" t="n">
        <f aca="false">(G$9-MAX(G$8,MIN(G$9,$N114)))/(G$9-G$8)</f>
        <v>1</v>
      </c>
      <c r="H114" s="15" t="n">
        <f aca="false">(H$9-MAX(H$8,MIN(H$9,$N114)))/(H$9-H$8)</f>
        <v>1</v>
      </c>
      <c r="I114" s="15" t="n">
        <f aca="false">(I$9-MAX(I$8,MIN(I$9,$N114)))/(I$9-I$8)</f>
        <v>1</v>
      </c>
      <c r="K114" s="2"/>
      <c r="M114" s="20" t="n">
        <f aca="false">SRC_ANT_098</f>
        <v>25</v>
      </c>
      <c r="N114" s="13" t="n">
        <f aca="false">SRC_ANT_098_Date</f>
        <v>46128</v>
      </c>
      <c r="O114" s="20" t="n">
        <f aca="false">M114-M113</f>
        <v>0</v>
      </c>
    </row>
    <row r="115" customFormat="false" ht="15" hidden="false" customHeight="false" outlineLevel="0" collapsed="false">
      <c r="A115" s="9" t="s">
        <v>3510</v>
      </c>
      <c r="B115" s="11" t="s">
        <v>3511</v>
      </c>
      <c r="C115" s="11" t="s">
        <v>253</v>
      </c>
      <c r="D115" s="15" t="n">
        <f aca="false">(D$9-MAX(D$8,MIN(D$9,$N115)))/(D$9-D$8)</f>
        <v>0</v>
      </c>
      <c r="E115" s="15" t="n">
        <f aca="false">(E$9-MAX(E$8,MIN(E$9,$N115)))/(E$9-E$8)</f>
        <v>0.597260273972603</v>
      </c>
      <c r="F115" s="15" t="n">
        <f aca="false">(F$9-MAX(F$8,MIN(F$9,$N115)))/(F$9-F$8)</f>
        <v>1</v>
      </c>
      <c r="G115" s="15" t="n">
        <f aca="false">(G$9-MAX(G$8,MIN(G$9,$N115)))/(G$9-G$8)</f>
        <v>1</v>
      </c>
      <c r="H115" s="15" t="n">
        <f aca="false">(H$9-MAX(H$8,MIN(H$9,$N115)))/(H$9-H$8)</f>
        <v>1</v>
      </c>
      <c r="I115" s="15" t="n">
        <f aca="false">(I$9-MAX(I$8,MIN(I$9,$N115)))/(I$9-I$8)</f>
        <v>1</v>
      </c>
      <c r="K115" s="2"/>
      <c r="M115" s="20" t="n">
        <f aca="false">SRC_ANT_100</f>
        <v>25</v>
      </c>
      <c r="N115" s="13" t="n">
        <f aca="false">SRC_ANT_100_Date</f>
        <v>46170</v>
      </c>
      <c r="O115" s="20" t="n">
        <f aca="false">M115-M114</f>
        <v>0</v>
      </c>
    </row>
    <row r="116" customFormat="false" ht="15" hidden="false" customHeight="false" outlineLevel="0" collapsed="false">
      <c r="A116" s="9" t="s">
        <v>3512</v>
      </c>
      <c r="B116" s="11" t="s">
        <v>3513</v>
      </c>
      <c r="C116" s="11" t="s">
        <v>253</v>
      </c>
      <c r="D116" s="15" t="n">
        <f aca="false">(D$9-MAX(D$8,MIN(D$9,$N116)))/(D$9-D$8)</f>
        <v>0</v>
      </c>
      <c r="E116" s="15" t="n">
        <f aca="false">(E$9-MAX(E$8,MIN(E$9,$N116)))/(E$9-E$8)</f>
        <v>0.441095890410959</v>
      </c>
      <c r="F116" s="15" t="n">
        <f aca="false">(F$9-MAX(F$8,MIN(F$9,$N116)))/(F$9-F$8)</f>
        <v>1</v>
      </c>
      <c r="G116" s="15" t="n">
        <f aca="false">(G$9-MAX(G$8,MIN(G$9,$N116)))/(G$9-G$8)</f>
        <v>1</v>
      </c>
      <c r="H116" s="15" t="n">
        <f aca="false">(H$9-MAX(H$8,MIN(H$9,$N116)))/(H$9-H$8)</f>
        <v>1</v>
      </c>
      <c r="I116" s="15" t="n">
        <f aca="false">(I$9-MAX(I$8,MIN(I$9,$N116)))/(I$9-I$8)</f>
        <v>1</v>
      </c>
      <c r="K116" s="2"/>
      <c r="M116" s="20" t="n">
        <f aca="false">SRC_ANT_108</f>
        <v>25</v>
      </c>
      <c r="N116" s="13" t="n">
        <f aca="false">SRC_ANT_108_Date</f>
        <v>46227</v>
      </c>
      <c r="O116" s="20" t="n">
        <f aca="false">M116-M115</f>
        <v>0</v>
      </c>
    </row>
    <row r="117" customFormat="false" ht="15" hidden="false" customHeight="false" outlineLevel="0" collapsed="false">
      <c r="A117" s="9" t="s">
        <v>3514</v>
      </c>
      <c r="B117" s="11" t="s">
        <v>3515</v>
      </c>
      <c r="C117" s="11" t="s">
        <v>253</v>
      </c>
      <c r="D117" s="15" t="n">
        <f aca="false">(D$9-MAX(D$8,MIN(D$9,$N117)))/(D$9-D$8)</f>
        <v>0</v>
      </c>
      <c r="E117" s="15" t="n">
        <f aca="false">(E$9-MAX(E$8,MIN(E$9,$N117)))/(E$9-E$8)</f>
        <v>0.276712328767123</v>
      </c>
      <c r="F117" s="15" t="n">
        <f aca="false">(F$9-MAX(F$8,MIN(F$9,$N117)))/(F$9-F$8)</f>
        <v>1</v>
      </c>
      <c r="G117" s="15" t="n">
        <f aca="false">(G$9-MAX(G$8,MIN(G$9,$N117)))/(G$9-G$8)</f>
        <v>1</v>
      </c>
      <c r="H117" s="15" t="n">
        <f aca="false">(H$9-MAX(H$8,MIN(H$9,$N117)))/(H$9-H$8)</f>
        <v>1</v>
      </c>
      <c r="I117" s="15" t="n">
        <f aca="false">(I$9-MAX(I$8,MIN(I$9,$N117)))/(I$9-I$8)</f>
        <v>1</v>
      </c>
      <c r="K117" s="2"/>
      <c r="M117" s="20" t="n">
        <f aca="false">SRC_ANT_112</f>
        <v>20</v>
      </c>
      <c r="N117" s="13" t="n">
        <f aca="false">SRC_ANT_112_Date</f>
        <v>46287</v>
      </c>
      <c r="O117" s="20" t="n">
        <f aca="false">M117-M116</f>
        <v>-5</v>
      </c>
    </row>
    <row r="118" customFormat="false" ht="15" hidden="false" customHeight="false" outlineLevel="0" collapsed="false">
      <c r="A118" s="9" t="s">
        <v>3516</v>
      </c>
      <c r="B118" s="11" t="s">
        <v>3517</v>
      </c>
      <c r="C118" s="11" t="s">
        <v>253</v>
      </c>
      <c r="D118" s="15" t="n">
        <f aca="false">(D$9-MAX(D$8,MIN(D$9,$N118)))/(D$9-D$8)</f>
        <v>1</v>
      </c>
      <c r="E118" s="15" t="n">
        <f aca="false">(E$9-MAX(E$8,MIN(E$9,$N118)))/(E$9-E$8)</f>
        <v>1</v>
      </c>
      <c r="F118" s="15" t="n">
        <f aca="false">(F$9-MAX(F$8,MIN(F$9,$N118)))/(F$9-F$8)</f>
        <v>1</v>
      </c>
      <c r="G118" s="15" t="n">
        <f aca="false">(G$9-MAX(G$8,MIN(G$9,$N118)))/(G$9-G$8)</f>
        <v>1</v>
      </c>
      <c r="H118" s="15" t="n">
        <f aca="false">(H$9-MAX(H$8,MIN(H$9,$N118)))/(H$9-H$8)</f>
        <v>1</v>
      </c>
      <c r="I118" s="15" t="n">
        <f aca="false">(I$9-MAX(I$8,MIN(I$9,$N118)))/(I$9-I$8)</f>
        <v>1</v>
      </c>
      <c r="K118" s="2" t="s">
        <v>3481</v>
      </c>
      <c r="M118" s="20" t="n">
        <f aca="false">SRC_ANT_071</f>
        <v>3</v>
      </c>
      <c r="N118" s="13" t="n">
        <f aca="false">SRC_ANT_071_Date</f>
        <v>45463</v>
      </c>
      <c r="O118" s="20" t="n">
        <f aca="false">M118</f>
        <v>3</v>
      </c>
    </row>
    <row r="119" customFormat="false" ht="15" hidden="false" customHeight="false" outlineLevel="0" collapsed="false">
      <c r="A119" s="9" t="s">
        <v>3518</v>
      </c>
      <c r="B119" s="11" t="s">
        <v>3519</v>
      </c>
      <c r="C119" s="11" t="s">
        <v>253</v>
      </c>
      <c r="D119" s="15" t="n">
        <f aca="false">(D$9-MAX(D$8,MIN(D$9,$N119)))/(D$9-D$8)</f>
        <v>0.852054794520548</v>
      </c>
      <c r="E119" s="15" t="n">
        <f aca="false">(E$9-MAX(E$8,MIN(E$9,$N119)))/(E$9-E$8)</f>
        <v>1</v>
      </c>
      <c r="F119" s="15" t="n">
        <f aca="false">(F$9-MAX(F$8,MIN(F$9,$N119)))/(F$9-F$8)</f>
        <v>1</v>
      </c>
      <c r="G119" s="15" t="n">
        <f aca="false">(G$9-MAX(G$8,MIN(G$9,$N119)))/(G$9-G$8)</f>
        <v>1</v>
      </c>
      <c r="H119" s="15" t="n">
        <f aca="false">(H$9-MAX(H$8,MIN(H$9,$N119)))/(H$9-H$8)</f>
        <v>1</v>
      </c>
      <c r="I119" s="15" t="n">
        <f aca="false">(I$9-MAX(I$8,MIN(I$9,$N119)))/(I$9-I$8)</f>
        <v>1</v>
      </c>
      <c r="K119" s="2"/>
      <c r="M119" s="20" t="n">
        <f aca="false">SRC_ANT_077</f>
        <v>3</v>
      </c>
      <c r="N119" s="13" t="n">
        <f aca="false">SRC_ANT_077_Date</f>
        <v>45712</v>
      </c>
      <c r="O119" s="20" t="n">
        <f aca="false">M119-M118</f>
        <v>0</v>
      </c>
    </row>
    <row r="120" customFormat="false" ht="15" hidden="false" customHeight="false" outlineLevel="0" collapsed="false">
      <c r="A120" s="9" t="s">
        <v>3520</v>
      </c>
      <c r="B120" s="11" t="s">
        <v>3521</v>
      </c>
      <c r="C120" s="11" t="s">
        <v>253</v>
      </c>
      <c r="D120" s="15" t="n">
        <f aca="false">(D$9-MAX(D$8,MIN(D$9,$N120)))/(D$9-D$8)</f>
        <v>0.613698630136986</v>
      </c>
      <c r="E120" s="15" t="n">
        <f aca="false">(E$9-MAX(E$8,MIN(E$9,$N120)))/(E$9-E$8)</f>
        <v>1</v>
      </c>
      <c r="F120" s="15" t="n">
        <f aca="false">(F$9-MAX(F$8,MIN(F$9,$N120)))/(F$9-F$8)</f>
        <v>1</v>
      </c>
      <c r="G120" s="15" t="n">
        <f aca="false">(G$9-MAX(G$8,MIN(G$9,$N120)))/(G$9-G$8)</f>
        <v>1</v>
      </c>
      <c r="H120" s="15" t="n">
        <f aca="false">(H$9-MAX(H$8,MIN(H$9,$N120)))/(H$9-H$8)</f>
        <v>1</v>
      </c>
      <c r="I120" s="15" t="n">
        <f aca="false">(I$9-MAX(I$8,MIN(I$9,$N120)))/(I$9-I$8)</f>
        <v>1</v>
      </c>
      <c r="K120" s="2"/>
      <c r="M120" s="20" t="n">
        <f aca="false">SRC_ANT_081</f>
        <v>3</v>
      </c>
      <c r="N120" s="13" t="n">
        <f aca="false">SRC_ANT_081_Date</f>
        <v>45799</v>
      </c>
      <c r="O120" s="20" t="n">
        <f aca="false">M120-M119</f>
        <v>0</v>
      </c>
    </row>
    <row r="121" customFormat="false" ht="15" hidden="false" customHeight="false" outlineLevel="0" collapsed="false">
      <c r="A121" s="9" t="s">
        <v>3522</v>
      </c>
      <c r="B121" s="11" t="s">
        <v>3523</v>
      </c>
      <c r="C121" s="11" t="s">
        <v>253</v>
      </c>
      <c r="D121" s="15" t="n">
        <f aca="false">(D$9-MAX(D$8,MIN(D$9,$N121)))/(D$9-D$8)</f>
        <v>0.257534246575342</v>
      </c>
      <c r="E121" s="15" t="n">
        <f aca="false">(E$9-MAX(E$8,MIN(E$9,$N121)))/(E$9-E$8)</f>
        <v>1</v>
      </c>
      <c r="F121" s="15" t="n">
        <f aca="false">(F$9-MAX(F$8,MIN(F$9,$N121)))/(F$9-F$8)</f>
        <v>1</v>
      </c>
      <c r="G121" s="15" t="n">
        <f aca="false">(G$9-MAX(G$8,MIN(G$9,$N121)))/(G$9-G$8)</f>
        <v>1</v>
      </c>
      <c r="H121" s="15" t="n">
        <f aca="false">(H$9-MAX(H$8,MIN(H$9,$N121)))/(H$9-H$8)</f>
        <v>1</v>
      </c>
      <c r="I121" s="15" t="n">
        <f aca="false">(I$9-MAX(I$8,MIN(I$9,$N121)))/(I$9-I$8)</f>
        <v>1</v>
      </c>
      <c r="K121" s="2"/>
      <c r="M121" s="20" t="n">
        <f aca="false">SRC_ANT_085</f>
        <v>3</v>
      </c>
      <c r="N121" s="13" t="n">
        <f aca="false">SRC_ANT_085_Date</f>
        <v>45929</v>
      </c>
      <c r="O121" s="20" t="n">
        <f aca="false">M121-M120</f>
        <v>0</v>
      </c>
    </row>
    <row r="122" customFormat="false" ht="15" hidden="false" customHeight="false" outlineLevel="0" collapsed="false">
      <c r="A122" s="9" t="s">
        <v>3524</v>
      </c>
      <c r="B122" s="11" t="s">
        <v>3525</v>
      </c>
      <c r="C122" s="11" t="s">
        <v>253</v>
      </c>
      <c r="D122" s="15" t="n">
        <f aca="false">(D$9-MAX(D$8,MIN(D$9,$N122)))/(D$9-D$8)</f>
        <v>0</v>
      </c>
      <c r="E122" s="15" t="n">
        <f aca="false">(E$9-MAX(E$8,MIN(E$9,$N122)))/(E$9-E$8)</f>
        <v>0.871232876712329</v>
      </c>
      <c r="F122" s="15" t="n">
        <f aca="false">(F$9-MAX(F$8,MIN(F$9,$N122)))/(F$9-F$8)</f>
        <v>1</v>
      </c>
      <c r="G122" s="15" t="n">
        <f aca="false">(G$9-MAX(G$8,MIN(G$9,$N122)))/(G$9-G$8)</f>
        <v>1</v>
      </c>
      <c r="H122" s="15" t="n">
        <f aca="false">(H$9-MAX(H$8,MIN(H$9,$N122)))/(H$9-H$8)</f>
        <v>1</v>
      </c>
      <c r="I122" s="15" t="n">
        <f aca="false">(I$9-MAX(I$8,MIN(I$9,$N122)))/(I$9-I$8)</f>
        <v>1</v>
      </c>
      <c r="K122" s="2"/>
      <c r="M122" s="20" t="n">
        <f aca="false">SRC_ANT_093</f>
        <v>3</v>
      </c>
      <c r="N122" s="13" t="n">
        <f aca="false">SRC_ANT_093_Date</f>
        <v>46070</v>
      </c>
      <c r="O122" s="20" t="n">
        <f aca="false">M122-M121</f>
        <v>0</v>
      </c>
    </row>
    <row r="123" customFormat="false" ht="15" hidden="false" customHeight="false" outlineLevel="0" collapsed="false">
      <c r="A123" s="9" t="s">
        <v>3526</v>
      </c>
      <c r="B123" s="11" t="s">
        <v>3527</v>
      </c>
      <c r="C123" s="11" t="s">
        <v>253</v>
      </c>
      <c r="D123" s="15" t="n">
        <f aca="false">(D$9-MAX(D$8,MIN(D$9,$N123)))/(D$9-D$8)</f>
        <v>0</v>
      </c>
      <c r="E123" s="15" t="n">
        <f aca="false">(E$9-MAX(E$8,MIN(E$9,$N123)))/(E$9-E$8)</f>
        <v>0.506849315068493</v>
      </c>
      <c r="F123" s="15" t="n">
        <f aca="false">(F$9-MAX(F$8,MIN(F$9,$N123)))/(F$9-F$8)</f>
        <v>1</v>
      </c>
      <c r="G123" s="15" t="n">
        <f aca="false">(G$9-MAX(G$8,MIN(G$9,$N123)))/(G$9-G$8)</f>
        <v>1</v>
      </c>
      <c r="H123" s="15" t="n">
        <f aca="false">(H$9-MAX(H$8,MIN(H$9,$N123)))/(H$9-H$8)</f>
        <v>1</v>
      </c>
      <c r="I123" s="15" t="n">
        <f aca="false">(I$9-MAX(I$8,MIN(I$9,$N123)))/(I$9-I$8)</f>
        <v>1</v>
      </c>
      <c r="K123" s="2"/>
      <c r="M123" s="20" t="n">
        <f aca="false">SRC_ANT_105</f>
        <v>2</v>
      </c>
      <c r="N123" s="13" t="n">
        <f aca="false">SRC_ANT_105_Date</f>
        <v>46203</v>
      </c>
      <c r="O123" s="20" t="n">
        <f aca="false">M123-M122</f>
        <v>-1</v>
      </c>
    </row>
    <row r="124" customFormat="false" ht="15" hidden="false" customHeight="false" outlineLevel="0" collapsed="false">
      <c r="A124" s="9" t="s">
        <v>3528</v>
      </c>
      <c r="B124" s="11" t="s">
        <v>3529</v>
      </c>
      <c r="C124" s="11" t="s">
        <v>253</v>
      </c>
      <c r="D124" s="15" t="n">
        <f aca="false">(D$9-MAX(D$8,MIN(D$9,$N124)))/(D$9-D$8)</f>
        <v>0</v>
      </c>
      <c r="E124" s="15" t="n">
        <f aca="false">(E$9-MAX(E$8,MIN(E$9,$N124)))/(E$9-E$8)</f>
        <v>0.26027397260274</v>
      </c>
      <c r="F124" s="15" t="n">
        <f aca="false">(F$9-MAX(F$8,MIN(F$9,$N124)))/(F$9-F$8)</f>
        <v>1</v>
      </c>
      <c r="G124" s="15" t="n">
        <f aca="false">(G$9-MAX(G$8,MIN(G$9,$N124)))/(G$9-G$8)</f>
        <v>1</v>
      </c>
      <c r="H124" s="15" t="n">
        <f aca="false">(H$9-MAX(H$8,MIN(H$9,$N124)))/(H$9-H$8)</f>
        <v>1</v>
      </c>
      <c r="I124" s="15" t="n">
        <f aca="false">(I$9-MAX(I$8,MIN(I$9,$N124)))/(I$9-I$8)</f>
        <v>1</v>
      </c>
      <c r="K124" s="2"/>
      <c r="M124" s="20" t="n">
        <f aca="false">SRC_ANT_113</f>
        <v>2</v>
      </c>
      <c r="N124" s="13" t="n">
        <f aca="false">SRC_ANT_113_Date</f>
        <v>46293</v>
      </c>
      <c r="O124" s="20" t="n">
        <f aca="false">M124-M123</f>
        <v>0</v>
      </c>
    </row>
    <row r="125" customFormat="false" ht="15" hidden="false" customHeight="false" outlineLevel="0" collapsed="false">
      <c r="A125" s="9" t="s">
        <v>3530</v>
      </c>
      <c r="B125" s="11" t="s">
        <v>3531</v>
      </c>
      <c r="C125" s="11" t="s">
        <v>253</v>
      </c>
      <c r="D125" s="15" t="n">
        <f aca="false">(D$9-MAX(D$8,MIN(D$9,$N125)))/(D$9-D$8)</f>
        <v>1</v>
      </c>
      <c r="E125" s="15" t="n">
        <f aca="false">(E$9-MAX(E$8,MIN(E$9,$N125)))/(E$9-E$8)</f>
        <v>1</v>
      </c>
      <c r="F125" s="15" t="n">
        <f aca="false">(F$9-MAX(F$8,MIN(F$9,$N125)))/(F$9-F$8)</f>
        <v>1</v>
      </c>
      <c r="G125" s="15" t="n">
        <f aca="false">(G$9-MAX(G$8,MIN(G$9,$N125)))/(G$9-G$8)</f>
        <v>1</v>
      </c>
      <c r="H125" s="15" t="n">
        <f aca="false">(H$9-MAX(H$8,MIN(H$9,$N125)))/(H$9-H$8)</f>
        <v>1</v>
      </c>
      <c r="I125" s="15" t="n">
        <f aca="false">(I$9-MAX(I$8,MIN(I$9,$N125)))/(I$9-I$8)</f>
        <v>1</v>
      </c>
      <c r="K125" s="2" t="s">
        <v>3481</v>
      </c>
      <c r="M125" s="20" t="n">
        <f aca="false">SRC_ANT_072</f>
        <v>15</v>
      </c>
      <c r="N125" s="13" t="n">
        <f aca="false">SRC_ANT_072_Date</f>
        <v>45463</v>
      </c>
      <c r="O125" s="20" t="n">
        <f aca="false">M125</f>
        <v>15</v>
      </c>
    </row>
    <row r="126" customFormat="false" ht="15" hidden="false" customHeight="false" outlineLevel="0" collapsed="false">
      <c r="A126" s="9" t="s">
        <v>3532</v>
      </c>
      <c r="B126" s="11" t="s">
        <v>3533</v>
      </c>
      <c r="C126" s="11" t="s">
        <v>253</v>
      </c>
      <c r="D126" s="15" t="n">
        <f aca="false">(D$9-MAX(D$8,MIN(D$9,$N126)))/(D$9-D$8)</f>
        <v>0.852054794520548</v>
      </c>
      <c r="E126" s="15" t="n">
        <f aca="false">(E$9-MAX(E$8,MIN(E$9,$N126)))/(E$9-E$8)</f>
        <v>1</v>
      </c>
      <c r="F126" s="15" t="n">
        <f aca="false">(F$9-MAX(F$8,MIN(F$9,$N126)))/(F$9-F$8)</f>
        <v>1</v>
      </c>
      <c r="G126" s="15" t="n">
        <f aca="false">(G$9-MAX(G$8,MIN(G$9,$N126)))/(G$9-G$8)</f>
        <v>1</v>
      </c>
      <c r="H126" s="15" t="n">
        <f aca="false">(H$9-MAX(H$8,MIN(H$9,$N126)))/(H$9-H$8)</f>
        <v>1</v>
      </c>
      <c r="I126" s="15" t="n">
        <f aca="false">(I$9-MAX(I$8,MIN(I$9,$N126)))/(I$9-I$8)</f>
        <v>1</v>
      </c>
      <c r="K126" s="2"/>
      <c r="M126" s="20" t="n">
        <f aca="false">SRC_ANT_078</f>
        <v>15</v>
      </c>
      <c r="N126" s="13" t="n">
        <f aca="false">SRC_ANT_078_Date</f>
        <v>45712</v>
      </c>
      <c r="O126" s="20" t="n">
        <f aca="false">M126-M125</f>
        <v>0</v>
      </c>
    </row>
    <row r="127" customFormat="false" ht="15" hidden="false" customHeight="false" outlineLevel="0" collapsed="false">
      <c r="A127" s="9" t="s">
        <v>3534</v>
      </c>
      <c r="B127" s="11" t="s">
        <v>3535</v>
      </c>
      <c r="C127" s="11" t="s">
        <v>253</v>
      </c>
      <c r="D127" s="15" t="n">
        <f aca="false">(D$9-MAX(D$8,MIN(D$9,$N127)))/(D$9-D$8)</f>
        <v>0.613698630136986</v>
      </c>
      <c r="E127" s="15" t="n">
        <f aca="false">(E$9-MAX(E$8,MIN(E$9,$N127)))/(E$9-E$8)</f>
        <v>1</v>
      </c>
      <c r="F127" s="15" t="n">
        <f aca="false">(F$9-MAX(F$8,MIN(F$9,$N127)))/(F$9-F$8)</f>
        <v>1</v>
      </c>
      <c r="G127" s="15" t="n">
        <f aca="false">(G$9-MAX(G$8,MIN(G$9,$N127)))/(G$9-G$8)</f>
        <v>1</v>
      </c>
      <c r="H127" s="15" t="n">
        <f aca="false">(H$9-MAX(H$8,MIN(H$9,$N127)))/(H$9-H$8)</f>
        <v>1</v>
      </c>
      <c r="I127" s="15" t="n">
        <f aca="false">(I$9-MAX(I$8,MIN(I$9,$N127)))/(I$9-I$8)</f>
        <v>1</v>
      </c>
      <c r="K127" s="2"/>
      <c r="M127" s="20" t="n">
        <f aca="false">SRC_ANT_082</f>
        <v>15</v>
      </c>
      <c r="N127" s="13" t="n">
        <f aca="false">SRC_ANT_082_Date</f>
        <v>45799</v>
      </c>
      <c r="O127" s="20" t="n">
        <f aca="false">M127-M126</f>
        <v>0</v>
      </c>
    </row>
    <row r="128" customFormat="false" ht="15" hidden="false" customHeight="false" outlineLevel="0" collapsed="false">
      <c r="A128" s="9" t="s">
        <v>3536</v>
      </c>
      <c r="B128" s="11" t="s">
        <v>3537</v>
      </c>
      <c r="C128" s="11" t="s">
        <v>253</v>
      </c>
      <c r="D128" s="15" t="n">
        <f aca="false">(D$9-MAX(D$8,MIN(D$9,$N128)))/(D$9-D$8)</f>
        <v>0.257534246575342</v>
      </c>
      <c r="E128" s="15" t="n">
        <f aca="false">(E$9-MAX(E$8,MIN(E$9,$N128)))/(E$9-E$8)</f>
        <v>1</v>
      </c>
      <c r="F128" s="15" t="n">
        <f aca="false">(F$9-MAX(F$8,MIN(F$9,$N128)))/(F$9-F$8)</f>
        <v>1</v>
      </c>
      <c r="G128" s="15" t="n">
        <f aca="false">(G$9-MAX(G$8,MIN(G$9,$N128)))/(G$9-G$8)</f>
        <v>1</v>
      </c>
      <c r="H128" s="15" t="n">
        <f aca="false">(H$9-MAX(H$8,MIN(H$9,$N128)))/(H$9-H$8)</f>
        <v>1</v>
      </c>
      <c r="I128" s="15" t="n">
        <f aca="false">(I$9-MAX(I$8,MIN(I$9,$N128)))/(I$9-I$8)</f>
        <v>1</v>
      </c>
      <c r="K128" s="2"/>
      <c r="M128" s="20" t="n">
        <f aca="false">SRC_ANT_086</f>
        <v>15</v>
      </c>
      <c r="N128" s="13" t="n">
        <f aca="false">SRC_ANT_086_Date</f>
        <v>45929</v>
      </c>
      <c r="O128" s="20" t="n">
        <f aca="false">M128-M127</f>
        <v>0</v>
      </c>
    </row>
    <row r="129" customFormat="false" ht="15" hidden="false" customHeight="false" outlineLevel="0" collapsed="false">
      <c r="A129" s="9" t="s">
        <v>3538</v>
      </c>
      <c r="B129" s="11" t="s">
        <v>3539</v>
      </c>
      <c r="C129" s="11" t="s">
        <v>253</v>
      </c>
      <c r="D129" s="15" t="n">
        <f aca="false">(D$9-MAX(D$8,MIN(D$9,$N129)))/(D$9-D$8)</f>
        <v>0</v>
      </c>
      <c r="E129" s="15" t="n">
        <f aca="false">(E$9-MAX(E$8,MIN(E$9,$N129)))/(E$9-E$8)</f>
        <v>0.871232876712329</v>
      </c>
      <c r="F129" s="15" t="n">
        <f aca="false">(F$9-MAX(F$8,MIN(F$9,$N129)))/(F$9-F$8)</f>
        <v>1</v>
      </c>
      <c r="G129" s="15" t="n">
        <f aca="false">(G$9-MAX(G$8,MIN(G$9,$N129)))/(G$9-G$8)</f>
        <v>1</v>
      </c>
      <c r="H129" s="15" t="n">
        <f aca="false">(H$9-MAX(H$8,MIN(H$9,$N129)))/(H$9-H$8)</f>
        <v>1</v>
      </c>
      <c r="I129" s="15" t="n">
        <f aca="false">(I$9-MAX(I$8,MIN(I$9,$N129)))/(I$9-I$8)</f>
        <v>1</v>
      </c>
      <c r="K129" s="2"/>
      <c r="M129" s="20" t="n">
        <f aca="false">SRC_ANT_094</f>
        <v>15</v>
      </c>
      <c r="N129" s="13" t="n">
        <f aca="false">SRC_ANT_094_Date</f>
        <v>46070</v>
      </c>
      <c r="O129" s="20" t="n">
        <f aca="false">M129-M128</f>
        <v>0</v>
      </c>
    </row>
    <row r="130" customFormat="false" ht="15" hidden="false" customHeight="false" outlineLevel="0" collapsed="false">
      <c r="A130" s="9" t="s">
        <v>3540</v>
      </c>
      <c r="B130" s="11" t="s">
        <v>3541</v>
      </c>
      <c r="C130" s="11" t="s">
        <v>253</v>
      </c>
      <c r="D130" s="15" t="n">
        <f aca="false">(D$9-MAX(D$8,MIN(D$9,$N130)))/(D$9-D$8)</f>
        <v>0</v>
      </c>
      <c r="E130" s="15" t="n">
        <f aca="false">(E$9-MAX(E$8,MIN(E$9,$N130)))/(E$9-E$8)</f>
        <v>0.506849315068493</v>
      </c>
      <c r="F130" s="15" t="n">
        <f aca="false">(F$9-MAX(F$8,MIN(F$9,$N130)))/(F$9-F$8)</f>
        <v>1</v>
      </c>
      <c r="G130" s="15" t="n">
        <f aca="false">(G$9-MAX(G$8,MIN(G$9,$N130)))/(G$9-G$8)</f>
        <v>1</v>
      </c>
      <c r="H130" s="15" t="n">
        <f aca="false">(H$9-MAX(H$8,MIN(H$9,$N130)))/(H$9-H$8)</f>
        <v>1</v>
      </c>
      <c r="I130" s="15" t="n">
        <f aca="false">(I$9-MAX(I$8,MIN(I$9,$N130)))/(I$9-I$8)</f>
        <v>1</v>
      </c>
      <c r="K130" s="2"/>
      <c r="M130" s="20" t="n">
        <f aca="false">SRC_ANT_106</f>
        <v>10</v>
      </c>
      <c r="N130" s="13" t="n">
        <f aca="false">SRC_ANT_106_Date</f>
        <v>46203</v>
      </c>
      <c r="O130" s="20" t="n">
        <f aca="false">M130-M129</f>
        <v>-5</v>
      </c>
    </row>
    <row r="131" customFormat="false" ht="15" hidden="false" customHeight="false" outlineLevel="0" collapsed="false">
      <c r="A131" s="9" t="s">
        <v>3542</v>
      </c>
      <c r="B131" s="11" t="s">
        <v>3543</v>
      </c>
      <c r="C131" s="11" t="s">
        <v>253</v>
      </c>
      <c r="D131" s="15" t="n">
        <f aca="false">(D$9-MAX(D$8,MIN(D$9,$N131)))/(D$9-D$8)</f>
        <v>0</v>
      </c>
      <c r="E131" s="15" t="n">
        <f aca="false">(E$9-MAX(E$8,MIN(E$9,$N131)))/(E$9-E$8)</f>
        <v>0.26027397260274</v>
      </c>
      <c r="F131" s="15" t="n">
        <f aca="false">(F$9-MAX(F$8,MIN(F$9,$N131)))/(F$9-F$8)</f>
        <v>1</v>
      </c>
      <c r="G131" s="15" t="n">
        <f aca="false">(G$9-MAX(G$8,MIN(G$9,$N131)))/(G$9-G$8)</f>
        <v>1</v>
      </c>
      <c r="H131" s="15" t="n">
        <f aca="false">(H$9-MAX(H$8,MIN(H$9,$N131)))/(H$9-H$8)</f>
        <v>1</v>
      </c>
      <c r="I131" s="15" t="n">
        <f aca="false">(I$9-MAX(I$8,MIN(I$9,$N131)))/(I$9-I$8)</f>
        <v>1</v>
      </c>
      <c r="K131" s="2"/>
      <c r="M131" s="20" t="n">
        <f aca="false">SRC_ANT_114</f>
        <v>10</v>
      </c>
      <c r="N131" s="13" t="n">
        <f aca="false">SRC_ANT_114_Date</f>
        <v>46293</v>
      </c>
      <c r="O131" s="20" t="n">
        <f aca="false">M131-M130</f>
        <v>0</v>
      </c>
    </row>
    <row r="132" customFormat="false" ht="15" hidden="false" customHeight="false" outlineLevel="0" collapsed="false">
      <c r="A132" s="9" t="s">
        <v>3544</v>
      </c>
      <c r="B132" s="11" t="s">
        <v>3545</v>
      </c>
      <c r="C132" s="11" t="s">
        <v>253</v>
      </c>
      <c r="D132" s="15" t="n">
        <f aca="false">(D$9-MAX(D$8,MIN(D$9,$N132)))/(D$9-D$8)</f>
        <v>1</v>
      </c>
      <c r="E132" s="15" t="n">
        <f aca="false">(E$9-MAX(E$8,MIN(E$9,$N132)))/(E$9-E$8)</f>
        <v>1</v>
      </c>
      <c r="F132" s="15" t="n">
        <f aca="false">(F$9-MAX(F$8,MIN(F$9,$N132)))/(F$9-F$8)</f>
        <v>1</v>
      </c>
      <c r="G132" s="15" t="n">
        <f aca="false">(G$9-MAX(G$8,MIN(G$9,$N132)))/(G$9-G$8)</f>
        <v>1</v>
      </c>
      <c r="H132" s="15" t="n">
        <f aca="false">(H$9-MAX(H$8,MIN(H$9,$N132)))/(H$9-H$8)</f>
        <v>1</v>
      </c>
      <c r="I132" s="15" t="n">
        <f aca="false">(I$9-MAX(I$8,MIN(I$9,$N132)))/(I$9-I$8)</f>
        <v>1</v>
      </c>
      <c r="K132" s="2" t="s">
        <v>3481</v>
      </c>
      <c r="M132" s="20" t="n">
        <f aca="false">SRC_ANT_075</f>
        <v>0.8</v>
      </c>
      <c r="N132" s="13" t="n">
        <f aca="false">SRC_ANT_075_Date</f>
        <v>45629</v>
      </c>
      <c r="O132" s="20" t="n">
        <f aca="false">M132</f>
        <v>0.8</v>
      </c>
    </row>
    <row r="133" customFormat="false" ht="15" hidden="false" customHeight="false" outlineLevel="0" collapsed="false">
      <c r="A133" s="9" t="s">
        <v>3546</v>
      </c>
      <c r="B133" s="11" t="s">
        <v>3547</v>
      </c>
      <c r="C133" s="11" t="s">
        <v>253</v>
      </c>
      <c r="D133" s="15" t="n">
        <f aca="false">(D$9-MAX(D$8,MIN(D$9,$N133)))/(D$9-D$8)</f>
        <v>0.213698630136986</v>
      </c>
      <c r="E133" s="15" t="n">
        <f aca="false">(E$9-MAX(E$8,MIN(E$9,$N133)))/(E$9-E$8)</f>
        <v>1</v>
      </c>
      <c r="F133" s="15" t="n">
        <f aca="false">(F$9-MAX(F$8,MIN(F$9,$N133)))/(F$9-F$8)</f>
        <v>1</v>
      </c>
      <c r="G133" s="15" t="n">
        <f aca="false">(G$9-MAX(G$8,MIN(G$9,$N133)))/(G$9-G$8)</f>
        <v>1</v>
      </c>
      <c r="H133" s="15" t="n">
        <f aca="false">(H$9-MAX(H$8,MIN(H$9,$N133)))/(H$9-H$8)</f>
        <v>1</v>
      </c>
      <c r="I133" s="15" t="n">
        <f aca="false">(I$9-MAX(I$8,MIN(I$9,$N133)))/(I$9-I$8)</f>
        <v>1</v>
      </c>
      <c r="K133" s="2"/>
      <c r="M133" s="20" t="n">
        <f aca="false">SRC_ANT_087</f>
        <v>1</v>
      </c>
      <c r="N133" s="13" t="n">
        <f aca="false">SRC_ANT_087_Date</f>
        <v>45945</v>
      </c>
      <c r="O133" s="20" t="n">
        <f aca="false">M133-M132</f>
        <v>0.2</v>
      </c>
    </row>
    <row r="134" customFormat="false" ht="15" hidden="false" customHeight="false" outlineLevel="0" collapsed="false">
      <c r="A134" s="9" t="s">
        <v>3548</v>
      </c>
      <c r="B134" s="11" t="s">
        <v>3549</v>
      </c>
      <c r="C134" s="11" t="s">
        <v>253</v>
      </c>
      <c r="D134" s="15" t="n">
        <f aca="false">(D$9-MAX(D$8,MIN(D$9,$N134)))/(D$9-D$8)</f>
        <v>0</v>
      </c>
      <c r="E134" s="15" t="n">
        <f aca="false">(E$9-MAX(E$8,MIN(E$9,$N134)))/(E$9-E$8)</f>
        <v>0.235616438356164</v>
      </c>
      <c r="F134" s="15" t="n">
        <f aca="false">(F$9-MAX(F$8,MIN(F$9,$N134)))/(F$9-F$8)</f>
        <v>1</v>
      </c>
      <c r="G134" s="15" t="n">
        <f aca="false">(G$9-MAX(G$8,MIN(G$9,$N134)))/(G$9-G$8)</f>
        <v>1</v>
      </c>
      <c r="H134" s="15" t="n">
        <f aca="false">(H$9-MAX(H$8,MIN(H$9,$N134)))/(H$9-H$8)</f>
        <v>1</v>
      </c>
      <c r="I134" s="15" t="n">
        <f aca="false">(I$9-MAX(I$8,MIN(I$9,$N134)))/(I$9-I$8)</f>
        <v>1</v>
      </c>
      <c r="K134" s="2"/>
      <c r="M134" s="20" t="n">
        <f aca="false">SRC_ANT_115</f>
        <v>0.1</v>
      </c>
      <c r="N134" s="13" t="n">
        <f aca="false">SRC_ANT_115_Date</f>
        <v>46302</v>
      </c>
      <c r="O134" s="20" t="n">
        <f aca="false">M134-M133</f>
        <v>-0.9</v>
      </c>
    </row>
    <row r="135" customFormat="false" ht="15" hidden="false" customHeight="false" outlineLevel="0" collapsed="false">
      <c r="A135" s="9" t="s">
        <v>3550</v>
      </c>
      <c r="B135" s="11" t="s">
        <v>3551</v>
      </c>
      <c r="C135" s="11" t="s">
        <v>253</v>
      </c>
      <c r="D135" s="15" t="n">
        <f aca="false">(D$9-MAX(D$8,MIN(D$9,$N135)))/(D$9-D$8)</f>
        <v>1</v>
      </c>
      <c r="E135" s="15" t="n">
        <f aca="false">(E$9-MAX(E$8,MIN(E$9,$N135)))/(E$9-E$8)</f>
        <v>1</v>
      </c>
      <c r="F135" s="15" t="n">
        <f aca="false">(F$9-MAX(F$8,MIN(F$9,$N135)))/(F$9-F$8)</f>
        <v>1</v>
      </c>
      <c r="G135" s="15" t="n">
        <f aca="false">(G$9-MAX(G$8,MIN(G$9,$N135)))/(G$9-G$8)</f>
        <v>1</v>
      </c>
      <c r="H135" s="15" t="n">
        <f aca="false">(H$9-MAX(H$8,MIN(H$9,$N135)))/(H$9-H$8)</f>
        <v>1</v>
      </c>
      <c r="I135" s="15" t="n">
        <f aca="false">(I$9-MAX(I$8,MIN(I$9,$N135)))/(I$9-I$8)</f>
        <v>1</v>
      </c>
      <c r="K135" s="2" t="s">
        <v>3481</v>
      </c>
      <c r="M135" s="20" t="n">
        <f aca="false">SRC_ANT_076</f>
        <v>4</v>
      </c>
      <c r="N135" s="13" t="n">
        <f aca="false">SRC_ANT_076_Date</f>
        <v>45629</v>
      </c>
      <c r="O135" s="20" t="n">
        <f aca="false">M135</f>
        <v>4</v>
      </c>
    </row>
    <row r="136" customFormat="false" ht="15" hidden="false" customHeight="false" outlineLevel="0" collapsed="false">
      <c r="A136" s="9" t="s">
        <v>3552</v>
      </c>
      <c r="B136" s="11" t="s">
        <v>3553</v>
      </c>
      <c r="C136" s="11" t="s">
        <v>253</v>
      </c>
      <c r="D136" s="15" t="n">
        <f aca="false">(D$9-MAX(D$8,MIN(D$9,$N136)))/(D$9-D$8)</f>
        <v>0.213698630136986</v>
      </c>
      <c r="E136" s="15" t="n">
        <f aca="false">(E$9-MAX(E$8,MIN(E$9,$N136)))/(E$9-E$8)</f>
        <v>1</v>
      </c>
      <c r="F136" s="15" t="n">
        <f aca="false">(F$9-MAX(F$8,MIN(F$9,$N136)))/(F$9-F$8)</f>
        <v>1</v>
      </c>
      <c r="G136" s="15" t="n">
        <f aca="false">(G$9-MAX(G$8,MIN(G$9,$N136)))/(G$9-G$8)</f>
        <v>1</v>
      </c>
      <c r="H136" s="15" t="n">
        <f aca="false">(H$9-MAX(H$8,MIN(H$9,$N136)))/(H$9-H$8)</f>
        <v>1</v>
      </c>
      <c r="I136" s="15" t="n">
        <f aca="false">(I$9-MAX(I$8,MIN(I$9,$N136)))/(I$9-I$8)</f>
        <v>1</v>
      </c>
      <c r="K136" s="2"/>
      <c r="M136" s="20" t="n">
        <f aca="false">SRC_ANT_088</f>
        <v>5</v>
      </c>
      <c r="N136" s="13" t="n">
        <f aca="false">SRC_ANT_088_Date</f>
        <v>45945</v>
      </c>
      <c r="O136" s="20" t="n">
        <f aca="false">M136-M135</f>
        <v>1</v>
      </c>
    </row>
    <row r="137" customFormat="false" ht="15" hidden="false" customHeight="false" outlineLevel="0" collapsed="false">
      <c r="A137" s="9" t="s">
        <v>3554</v>
      </c>
      <c r="B137" s="11" t="s">
        <v>3555</v>
      </c>
      <c r="C137" s="11" t="s">
        <v>253</v>
      </c>
      <c r="D137" s="15" t="n">
        <f aca="false">(D$9-MAX(D$8,MIN(D$9,$N137)))/(D$9-D$8)</f>
        <v>0</v>
      </c>
      <c r="E137" s="15" t="n">
        <f aca="false">(E$9-MAX(E$8,MIN(E$9,$N137)))/(E$9-E$8)</f>
        <v>0.235616438356164</v>
      </c>
      <c r="F137" s="15" t="n">
        <f aca="false">(F$9-MAX(F$8,MIN(F$9,$N137)))/(F$9-F$8)</f>
        <v>1</v>
      </c>
      <c r="G137" s="15" t="n">
        <f aca="false">(G$9-MAX(G$8,MIN(G$9,$N137)))/(G$9-G$8)</f>
        <v>1</v>
      </c>
      <c r="H137" s="15" t="n">
        <f aca="false">(H$9-MAX(H$8,MIN(H$9,$N137)))/(H$9-H$8)</f>
        <v>1</v>
      </c>
      <c r="I137" s="15" t="n">
        <f aca="false">(I$9-MAX(I$8,MIN(I$9,$N137)))/(I$9-I$8)</f>
        <v>1</v>
      </c>
      <c r="K137" s="2"/>
      <c r="M137" s="20" t="n">
        <f aca="false">SRC_ANT_116</f>
        <v>0.5</v>
      </c>
      <c r="N137" s="13" t="n">
        <f aca="false">SRC_ANT_116_Date</f>
        <v>46302</v>
      </c>
      <c r="O137" s="20" t="n">
        <f aca="false">M137-M136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1" t="s">
        <v>3556</v>
      </c>
    </row>
    <row r="2" customFormat="false" ht="15" hidden="false" customHeight="false" outlineLevel="0" collapsed="false">
      <c r="A2" s="12" t="s">
        <v>3557</v>
      </c>
    </row>
    <row r="4" customFormat="false" ht="15" hidden="false" customHeight="false" outlineLevel="0" collapsed="false">
      <c r="A4" s="8" t="s">
        <v>3120</v>
      </c>
      <c r="B4" s="8" t="s">
        <v>3558</v>
      </c>
      <c r="C4" s="8" t="s">
        <v>3559</v>
      </c>
      <c r="D4" s="8" t="s">
        <v>3560</v>
      </c>
      <c r="E4" s="8" t="s">
        <v>3561</v>
      </c>
      <c r="F4" s="8" t="s">
        <v>2346</v>
      </c>
    </row>
    <row r="5" customFormat="false" ht="15" hidden="false" customHeight="false" outlineLevel="0" collapsed="false">
      <c r="A5" s="9" t="s">
        <v>3562</v>
      </c>
      <c r="B5" s="9" t="s">
        <v>3563</v>
      </c>
      <c r="C5" s="9" t="n">
        <f aca="false">SUMPRODUCT(--(LEN(SRC_ANT!$A$5:$A$600)&gt;0))</f>
        <v>379</v>
      </c>
      <c r="D5" s="9" t="n">
        <v>379</v>
      </c>
      <c r="E5" s="9" t="str">
        <f aca="false">IF(C5=D5,"OK","ERR")</f>
        <v>OK</v>
      </c>
      <c r="F5" s="12" t="s">
        <v>3564</v>
      </c>
    </row>
    <row r="6" customFormat="false" ht="15" hidden="false" customHeight="false" outlineLevel="0" collapsed="false">
      <c r="A6" s="9" t="s">
        <v>3565</v>
      </c>
      <c r="B6" s="9" t="s">
        <v>3566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3567</v>
      </c>
    </row>
    <row r="7" customFormat="false" ht="15" hidden="false" customHeight="false" outlineLevel="0" collapsed="false">
      <c r="A7" s="9" t="s">
        <v>3568</v>
      </c>
      <c r="B7" s="9" t="s">
        <v>3569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3570</v>
      </c>
      <c r="B8" s="9" t="s">
        <v>3571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3572</v>
      </c>
    </row>
    <row r="9" customFormat="false" ht="15" hidden="false" customHeight="false" outlineLevel="0" collapsed="false">
      <c r="A9" s="9" t="s">
        <v>3573</v>
      </c>
      <c r="B9" s="9" t="s">
        <v>3574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3575</v>
      </c>
    </row>
    <row r="10" customFormat="false" ht="15" hidden="false" customHeight="false" outlineLevel="0" collapsed="false">
      <c r="A10" s="9" t="s">
        <v>3576</v>
      </c>
      <c r="B10" s="9" t="s">
        <v>3577</v>
      </c>
      <c r="C10" s="9" t="n">
        <f aca="false">SUMPRODUCT(--(LEN(Inputs!$A$5:$A$600)&gt;0))</f>
        <v>101</v>
      </c>
      <c r="D10" s="9" t="n">
        <v>101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3578</v>
      </c>
      <c r="B11" s="9" t="s">
        <v>3579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3580</v>
      </c>
    </row>
    <row r="12" customFormat="false" ht="15" hidden="false" customHeight="false" outlineLevel="0" collapsed="false">
      <c r="A12" s="9" t="s">
        <v>3581</v>
      </c>
      <c r="B12" s="9" t="s">
        <v>3582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3583</v>
      </c>
    </row>
    <row r="13" customFormat="false" ht="15" hidden="false" customHeight="false" outlineLevel="0" collapsed="false">
      <c r="A13" s="9" t="s">
        <v>3584</v>
      </c>
      <c r="B13" s="9" t="s">
        <v>3585</v>
      </c>
      <c r="C13" s="9" t="n">
        <f aca="false">COUNTIF(TK_Link!$F$10:$F$200,"OK")</f>
        <v>63</v>
      </c>
      <c r="D13" s="9" t="n">
        <v>63</v>
      </c>
      <c r="E13" s="9" t="str">
        <f aca="false">IF(C13=D13,"OK","ERR")</f>
        <v>OK</v>
      </c>
      <c r="F13" s="2" t="s">
        <v>3586</v>
      </c>
    </row>
    <row r="14" customFormat="false" ht="15" hidden="false" customHeight="false" outlineLevel="0" collapsed="false">
      <c r="A14" s="9" t="s">
        <v>3587</v>
      </c>
      <c r="B14" s="9" t="s">
        <v>3588</v>
      </c>
      <c r="C14" s="9" t="n">
        <f aca="false">COUNTIF(TK_Link!$F$10:$F$200,"讀表（非具名）")</f>
        <v>18</v>
      </c>
      <c r="D14" s="9" t="n">
        <v>18</v>
      </c>
      <c r="E14" s="9" t="str">
        <f aca="false">IF(C14=D14,"OK","ERR")</f>
        <v>OK</v>
      </c>
      <c r="F14" s="12" t="s">
        <v>3589</v>
      </c>
    </row>
    <row r="15" customFormat="false" ht="15" hidden="false" customHeight="false" outlineLevel="0" collapsed="false">
      <c r="A15" s="9" t="s">
        <v>3590</v>
      </c>
      <c r="B15" s="9" t="s">
        <v>3591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3592</v>
      </c>
      <c r="B16" s="9" t="s">
        <v>3593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3594</v>
      </c>
      <c r="B17" s="9" t="s">
        <v>3595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3596</v>
      </c>
    </row>
    <row r="18" customFormat="false" ht="15" hidden="false" customHeight="false" outlineLevel="0" collapsed="false">
      <c r="A18" s="9" t="s">
        <v>3597</v>
      </c>
      <c r="B18" s="9" t="s">
        <v>3598</v>
      </c>
      <c r="C18" s="9" t="str">
        <f aca="false">TK_Version</f>
        <v>v5.26</v>
      </c>
      <c r="E18" s="9" t="s">
        <v>3599</v>
      </c>
      <c r="F18" s="12" t="s">
        <v>3600</v>
      </c>
    </row>
    <row r="19" customFormat="false" ht="15" hidden="false" customHeight="false" outlineLevel="0" collapsed="false">
      <c r="A19" s="9" t="s">
        <v>3601</v>
      </c>
      <c r="B19" s="9" t="s">
        <v>3602</v>
      </c>
      <c r="C19" s="9" t="str">
        <f aca="false">TK_Commit</f>
        <v>3dd1216688e3872fcb80b28c279d8976a07df29b</v>
      </c>
      <c r="E19" s="9" t="s">
        <v>3599</v>
      </c>
      <c r="F19" s="2"/>
    </row>
    <row r="20" customFormat="false" ht="15" hidden="false" customHeight="false" outlineLevel="0" collapsed="false">
      <c r="A20" s="9" t="s">
        <v>3603</v>
      </c>
      <c r="B20" s="9" t="s">
        <v>3604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3605</v>
      </c>
    </row>
    <row r="21" customFormat="false" ht="15" hidden="false" customHeight="false" outlineLevel="0" collapsed="false">
      <c r="A21" s="9" t="s">
        <v>3606</v>
      </c>
      <c r="B21" s="9" t="s">
        <v>3607</v>
      </c>
      <c r="C21" s="9" t="str">
        <f aca="false">OAI_SHA256</f>
        <v>34fc34a7ea2c18e8f608356ca462d8bd208496ca61780589b559fd2efc6597fe</v>
      </c>
      <c r="E21" s="9" t="s">
        <v>3599</v>
      </c>
      <c r="F21" s="2"/>
    </row>
    <row r="22" customFormat="false" ht="15" hidden="false" customHeight="false" outlineLevel="0" collapsed="false">
      <c r="A22" s="9" t="s">
        <v>3608</v>
      </c>
      <c r="B22" s="9" t="s">
        <v>3609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3610</v>
      </c>
    </row>
    <row r="23" customFormat="false" ht="15" hidden="false" customHeight="false" outlineLevel="0" collapsed="false">
      <c r="A23" s="9" t="s">
        <v>3611</v>
      </c>
      <c r="B23" s="9" t="s">
        <v>3612</v>
      </c>
      <c r="C23" s="16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3613</v>
      </c>
    </row>
    <row r="24" customFormat="false" ht="15" hidden="false" customHeight="false" outlineLevel="0" collapsed="false">
      <c r="A24" s="9" t="s">
        <v>3614</v>
      </c>
      <c r="B24" s="9" t="s">
        <v>3615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3616</v>
      </c>
    </row>
    <row r="25" customFormat="false" ht="15" hidden="false" customHeight="false" outlineLevel="0" collapsed="false">
      <c r="A25" s="9" t="s">
        <v>3617</v>
      </c>
      <c r="B25" s="9" t="s">
        <v>3618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3619</v>
      </c>
    </row>
    <row r="26" customFormat="false" ht="15" hidden="false" customHeight="false" outlineLevel="0" collapsed="false">
      <c r="A26" s="9" t="s">
        <v>3620</v>
      </c>
      <c r="B26" s="9" t="s">
        <v>3621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3622</v>
      </c>
    </row>
    <row r="27" customFormat="false" ht="15" hidden="false" customHeight="false" outlineLevel="0" collapsed="false">
      <c r="A27" s="9" t="s">
        <v>3623</v>
      </c>
      <c r="B27" s="9" t="s">
        <v>3624</v>
      </c>
      <c r="C27" s="16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3625</v>
      </c>
    </row>
    <row r="28" customFormat="false" ht="15" hidden="false" customHeight="false" outlineLevel="0" collapsed="false">
      <c r="A28" s="9" t="s">
        <v>3626</v>
      </c>
      <c r="B28" s="9" t="s">
        <v>3627</v>
      </c>
      <c r="C28" s="15" t="n">
        <f aca="false">REV_RRGap2026</f>
        <v>-0.174041141132875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3628</v>
      </c>
    </row>
    <row r="29" customFormat="false" ht="15" hidden="false" customHeight="false" outlineLevel="0" collapsed="false">
      <c r="A29" s="9" t="s">
        <v>3629</v>
      </c>
      <c r="B29" s="11" t="s">
        <v>3630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3631</v>
      </c>
      <c r="B30" s="9" t="s">
        <v>3632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3633</v>
      </c>
      <c r="B31" s="9" t="s">
        <v>3634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3635</v>
      </c>
    </row>
    <row r="32" customFormat="false" ht="15" hidden="false" customHeight="false" outlineLevel="0" collapsed="false">
      <c r="A32" s="9" t="s">
        <v>3636</v>
      </c>
      <c r="B32" s="11" t="s">
        <v>3637</v>
      </c>
      <c r="C32" s="9" t="n">
        <f aca="false">SUMPRODUCT(--(ABS(Demand!$D$48:$I$48)&gt;0.000000001*Demand!$D$41:$I$41))</f>
        <v>0</v>
      </c>
      <c r="D32" s="9" t="n">
        <v>0</v>
      </c>
      <c r="E32" s="9" t="str">
        <f aca="false">IF(C32=D32,"OK","ERR")</f>
        <v>OK</v>
      </c>
      <c r="F32" s="2"/>
    </row>
    <row r="33" customFormat="false" ht="15" hidden="false" customHeight="false" outlineLevel="0" collapsed="false">
      <c r="A33" s="9" t="s">
        <v>3638</v>
      </c>
      <c r="B33" s="11" t="s">
        <v>3639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3640</v>
      </c>
    </row>
    <row r="34" customFormat="false" ht="15" hidden="false" customHeight="false" outlineLevel="0" collapsed="false">
      <c r="A34" s="9" t="s">
        <v>3641</v>
      </c>
      <c r="B34" s="9" t="s">
        <v>3642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3643</v>
      </c>
    </row>
    <row r="35" customFormat="false" ht="15" hidden="false" customHeight="false" outlineLevel="0" collapsed="false">
      <c r="A35" s="9" t="s">
        <v>3644</v>
      </c>
      <c r="B35" s="9" t="s">
        <v>3645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3646</v>
      </c>
      <c r="B36" s="11" t="s">
        <v>3647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3648</v>
      </c>
    </row>
    <row r="37" customFormat="false" ht="15" hidden="false" customHeight="false" outlineLevel="0" collapsed="false">
      <c r="A37" s="9" t="s">
        <v>3649</v>
      </c>
      <c r="B37" s="11" t="s">
        <v>3650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3651</v>
      </c>
    </row>
    <row r="38" customFormat="false" ht="15" hidden="false" customHeight="false" outlineLevel="0" collapsed="false">
      <c r="A38" s="9" t="s">
        <v>3652</v>
      </c>
      <c r="B38" s="11" t="s">
        <v>3653</v>
      </c>
      <c r="C38" s="9" t="n">
        <f aca="false">(Revenue!$N$101&lt;Revenue!$N$100)+(Revenue!$N$102&lt;Revenue!$N$101)+(Revenue!$N$103&lt;Revenue!$N$102)+(Revenue!$N$104&lt;Revenue!$N$103)+(Revenue!$N$105&lt;Revenue!$N$104)+(Revenue!$N$106&lt;Revenue!$N$105)+(Revenue!$N$107&lt;Revenue!$N$106)+(Revenue!$N$108&lt;Revenue!$N$107)+(Revenue!$N$110&lt;Revenue!$N$109)+(Revenue!$N$111&lt;Revenue!$N$110)+(Revenue!$N$112&lt;Revenue!$N$111)+(Revenue!$N$113&lt;Revenue!$N$112)+(Revenue!$N$114&lt;Revenue!$N$113)+(Revenue!$N$115&lt;Revenue!$N$114)+(Revenue!$N$116&lt;Revenue!$N$115)+(Revenue!$N$117&lt;Revenue!$N$116)+(Revenue!$N$119&lt;Revenue!$N$118)+(Revenue!$N$120&lt;Revenue!$N$119)+(Revenue!$N$121&lt;Revenue!$N$120)+(Revenue!$N$122&lt;Revenue!$N$121)+(Revenue!$N$123&lt;Revenue!$N$122)+(Revenue!$N$124&lt;Revenue!$N$123)+(Revenue!$N$126&lt;Revenue!$N$125)+(Revenue!$N$127&lt;Revenue!$N$126)+(Revenue!$N$128&lt;Revenue!$N$127)+(Revenue!$N$129&lt;Revenue!$N$128)+(Revenue!$N$130&lt;Revenue!$N$129)+(Revenue!$N$131&lt;Revenue!$N$130)+(Revenue!$N$133&lt;Revenue!$N$132)+(Revenue!$N$134&lt;Revenue!$N$133)+(Revenue!$N$136&lt;Revenue!$N$135)+(Revenue!$N$137&lt;Revenue!$N$136)</f>
        <v>0</v>
      </c>
      <c r="D38" s="9" t="n">
        <v>0</v>
      </c>
      <c r="E38" s="9" t="str">
        <f aca="false">IF(C38=D38,"OK","ERR")</f>
        <v>OK</v>
      </c>
      <c r="F38" s="12" t="s">
        <v>3654</v>
      </c>
    </row>
    <row r="39" customFormat="false" ht="15" hidden="false" customHeight="false" outlineLevel="0" collapsed="false">
      <c r="A39" s="9" t="s">
        <v>3655</v>
      </c>
      <c r="B39" s="11" t="s">
        <v>3656</v>
      </c>
      <c r="C39" s="9" t="n">
        <f aca="false">SRC_ANT_001-SRC_ANT_002</f>
        <v>0.00999999999999979</v>
      </c>
      <c r="E39" s="9" t="s">
        <v>3599</v>
      </c>
      <c r="F39" s="2" t="s">
        <v>3657</v>
      </c>
    </row>
    <row r="40" customFormat="false" ht="15" hidden="false" customHeight="false" outlineLevel="0" collapsed="false">
      <c r="A40" s="9" t="s">
        <v>3658</v>
      </c>
      <c r="B40" s="11" t="s">
        <v>3659</v>
      </c>
      <c r="C40" s="16" t="n">
        <f aca="false">REV_GapUncal2025</f>
        <v>-0.2790951</v>
      </c>
      <c r="E40" s="9" t="s">
        <v>3599</v>
      </c>
      <c r="F40" s="2" t="s">
        <v>3660</v>
      </c>
    </row>
    <row r="41" customFormat="false" ht="15" hidden="false" customHeight="false" outlineLevel="0" collapsed="false">
      <c r="A41" s="9" t="s">
        <v>3661</v>
      </c>
      <c r="B41" s="11" t="s">
        <v>3662</v>
      </c>
      <c r="C41" s="15" t="n">
        <f aca="false">Revenue!$D$90</f>
        <v>0.263404131968326</v>
      </c>
      <c r="E41" s="9" t="s">
        <v>3599</v>
      </c>
      <c r="F41" s="12" t="s">
        <v>3663</v>
      </c>
    </row>
    <row r="42" customFormat="false" ht="15" hidden="false" customHeight="false" outlineLevel="0" collapsed="false">
      <c r="A42" s="9" t="s">
        <v>3664</v>
      </c>
      <c r="B42" s="11" t="s">
        <v>3665</v>
      </c>
      <c r="C42" s="15" t="n">
        <f aca="false">Revenue!$D$70</f>
        <v>0.162349676225717</v>
      </c>
      <c r="E42" s="9" t="s">
        <v>3599</v>
      </c>
      <c r="F42" s="12" t="s">
        <v>3666</v>
      </c>
    </row>
    <row r="43" customFormat="false" ht="15" hidden="false" customHeight="false" outlineLevel="0" collapsed="false">
      <c r="A43" s="9" t="s">
        <v>3667</v>
      </c>
      <c r="B43" s="11" t="s">
        <v>3668</v>
      </c>
      <c r="C43" s="15" t="n">
        <f aca="false">Revenue!$E$96</f>
        <v>0.254606117108457</v>
      </c>
      <c r="E43" s="9" t="s">
        <v>3599</v>
      </c>
      <c r="F43" s="12" t="s">
        <v>3669</v>
      </c>
    </row>
    <row r="44" customFormat="false" ht="15" hidden="false" customHeight="false" outlineLevel="0" collapsed="false">
      <c r="A44" s="9" t="s">
        <v>3670</v>
      </c>
      <c r="B44" s="11" t="s">
        <v>3671</v>
      </c>
      <c r="C44" s="15" t="n">
        <f aca="false">Revenue!$E$78</f>
        <v>0.0931180660316103</v>
      </c>
      <c r="E44" s="9" t="s">
        <v>3599</v>
      </c>
      <c r="F44" s="12" t="s">
        <v>3672</v>
      </c>
    </row>
    <row r="45" customFormat="false" ht="15" hidden="false" customHeight="false" outlineLevel="0" collapsed="false">
      <c r="A45" s="9" t="s">
        <v>3673</v>
      </c>
      <c r="B45" s="11" t="s">
        <v>3674</v>
      </c>
      <c r="C45" s="15" t="n">
        <f aca="false">Demand!$E$55</f>
        <v>12.523674404605</v>
      </c>
      <c r="E45" s="9" t="s">
        <v>3599</v>
      </c>
      <c r="F45" s="12" t="s">
        <v>3675</v>
      </c>
    </row>
    <row r="46" customFormat="false" ht="15" hidden="false" customHeight="false" outlineLevel="0" collapsed="false">
      <c r="A46" s="9" t="s">
        <v>3676</v>
      </c>
      <c r="B46" s="11" t="s">
        <v>3677</v>
      </c>
      <c r="C46" s="16" t="n">
        <f aca="false">Revenue!$F$95</f>
        <v>26.0716979505251</v>
      </c>
      <c r="E46" s="9" t="s">
        <v>3599</v>
      </c>
      <c r="F46" s="12" t="s">
        <v>3678</v>
      </c>
    </row>
    <row r="47" customFormat="false" ht="15" hidden="false" customHeight="false" outlineLevel="0" collapsed="false">
      <c r="A47" s="9" t="s">
        <v>3679</v>
      </c>
      <c r="B47" s="11" t="s">
        <v>3680</v>
      </c>
      <c r="C47" s="16" t="n">
        <f aca="false">INDEX(REV_Net,1,6)</f>
        <v>196.801193211204</v>
      </c>
      <c r="E47" s="9" t="s">
        <v>3599</v>
      </c>
      <c r="F47" s="2" t="s">
        <v>3681</v>
      </c>
    </row>
    <row r="48" customFormat="false" ht="15" hidden="false" customHeight="false" outlineLevel="0" collapsed="false">
      <c r="A48" s="9" t="s">
        <v>3682</v>
      </c>
      <c r="B48" s="9" t="s">
        <v>3683</v>
      </c>
      <c r="C48" s="9" t="n">
        <f aca="false">INDEX(REV_Gross,1,1)/INDEX(OAI_REV_Gross,1,1)</f>
        <v>0.35195103289977</v>
      </c>
      <c r="E48" s="9" t="s">
        <v>3599</v>
      </c>
      <c r="F48" s="12" t="s">
        <v>3684</v>
      </c>
    </row>
    <row r="49" customFormat="false" ht="15" hidden="false" customHeight="false" outlineLevel="0" collapsed="false">
      <c r="A49" s="9" t="s">
        <v>3685</v>
      </c>
      <c r="B49" s="9" t="s">
        <v>3686</v>
      </c>
      <c r="C49" s="9" t="n">
        <f aca="false">INDEX(REV_Net,1,6)/INDEX(OAI_REV_Net,1,6)</f>
        <v>1.55717975404921</v>
      </c>
      <c r="E49" s="9" t="s">
        <v>3599</v>
      </c>
      <c r="F49" s="2"/>
    </row>
    <row r="50" customFormat="false" ht="15" hidden="false" customHeight="false" outlineLevel="0" collapsed="false">
      <c r="A50" s="9" t="s">
        <v>3687</v>
      </c>
      <c r="B50" s="9" t="s">
        <v>3688</v>
      </c>
      <c r="C50" s="9" t="n">
        <f aca="false">INDEX(DEM_Tok_Total,1,6)/INDEX(OAI_DEM_Tok_Total,1,6)</f>
        <v>0.996787283391733</v>
      </c>
      <c r="E50" s="9" t="s">
        <v>3599</v>
      </c>
      <c r="F50" s="2" t="s">
        <v>3689</v>
      </c>
    </row>
    <row r="52" customFormat="false" ht="15" hidden="false" customHeight="false" outlineLevel="0" collapsed="false">
      <c r="A52" s="5" t="s">
        <v>3690</v>
      </c>
      <c r="C52" s="9" t="n">
        <f aca="false">COUNTIF($E$5:$E$50,"ERR")</f>
        <v>0</v>
      </c>
    </row>
    <row r="53" customFormat="false" ht="15" hidden="false" customHeight="false" outlineLevel="0" collapsed="false">
      <c r="A53" s="5" t="s">
        <v>3691</v>
      </c>
      <c r="C53" s="9" t="n">
        <f aca="false">COUNTIF($E$5:$E$50,"WARN")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3692</v>
      </c>
      <c r="B1" s="0" t="s">
        <v>3693</v>
      </c>
      <c r="C1" s="0" t="s">
        <v>3694</v>
      </c>
      <c r="D1" s="0" t="s">
        <v>3695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1730</v>
      </c>
      <c r="D2" s="0" t="n">
        <v>4.6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1866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2159</v>
      </c>
    </row>
    <row r="5" customFormat="false" ht="15" hidden="false" customHeight="false" outlineLevel="0" collapsed="false">
      <c r="A5" s="0" t="s">
        <v>6</v>
      </c>
      <c r="B5" s="0" t="s">
        <v>75</v>
      </c>
      <c r="C5" s="0" t="s">
        <v>1730</v>
      </c>
      <c r="D5" s="0" t="n">
        <v>4.59</v>
      </c>
    </row>
    <row r="6" customFormat="false" ht="15" hidden="false" customHeight="false" outlineLevel="0" collapsed="false">
      <c r="A6" s="0" t="s">
        <v>6</v>
      </c>
      <c r="B6" s="0" t="s">
        <v>75</v>
      </c>
      <c r="C6" s="0" t="s">
        <v>1866</v>
      </c>
    </row>
    <row r="7" customFormat="false" ht="15" hidden="false" customHeight="false" outlineLevel="0" collapsed="false">
      <c r="A7" s="0" t="s">
        <v>6</v>
      </c>
      <c r="B7" s="0" t="s">
        <v>75</v>
      </c>
      <c r="C7" s="0" t="s">
        <v>2159</v>
      </c>
    </row>
    <row r="8" customFormat="false" ht="15" hidden="false" customHeight="false" outlineLevel="0" collapsed="false">
      <c r="A8" s="0" t="s">
        <v>6</v>
      </c>
      <c r="B8" s="0" t="s">
        <v>81</v>
      </c>
      <c r="C8" s="0" t="s">
        <v>1730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6</v>
      </c>
      <c r="B9" s="0" t="s">
        <v>81</v>
      </c>
      <c r="C9" s="0" t="s">
        <v>1866</v>
      </c>
    </row>
    <row r="10" customFormat="false" ht="15" hidden="false" customHeight="false" outlineLevel="0" collapsed="false">
      <c r="A10" s="0" t="s">
        <v>6</v>
      </c>
      <c r="B10" s="0" t="s">
        <v>81</v>
      </c>
      <c r="C10" s="0" t="s">
        <v>2159</v>
      </c>
    </row>
    <row r="11" customFormat="false" ht="15" hidden="false" customHeight="false" outlineLevel="0" collapsed="false">
      <c r="A11" s="0" t="s">
        <v>6</v>
      </c>
      <c r="B11" s="0" t="s">
        <v>92</v>
      </c>
      <c r="C11" s="0" t="s">
        <v>1730</v>
      </c>
      <c r="D11" s="0" t="n">
        <v>4.73</v>
      </c>
    </row>
    <row r="12" customFormat="false" ht="15" hidden="false" customHeight="false" outlineLevel="0" collapsed="false">
      <c r="A12" s="0" t="s">
        <v>6</v>
      </c>
      <c r="B12" s="0" t="s">
        <v>92</v>
      </c>
      <c r="C12" s="0" t="s">
        <v>1866</v>
      </c>
    </row>
    <row r="13" customFormat="false" ht="15" hidden="false" customHeight="false" outlineLevel="0" collapsed="false">
      <c r="A13" s="0" t="s">
        <v>6</v>
      </c>
      <c r="B13" s="0" t="s">
        <v>92</v>
      </c>
      <c r="C13" s="0" t="s">
        <v>2159</v>
      </c>
    </row>
    <row r="14" customFormat="false" ht="15" hidden="false" customHeight="false" outlineLevel="0" collapsed="false">
      <c r="A14" s="0" t="s">
        <v>6</v>
      </c>
      <c r="B14" s="0" t="s">
        <v>102</v>
      </c>
      <c r="C14" s="0" t="s">
        <v>1730</v>
      </c>
      <c r="D14" s="0" t="n">
        <v>11.5</v>
      </c>
    </row>
    <row r="15" customFormat="false" ht="15" hidden="false" customHeight="false" outlineLevel="0" collapsed="false">
      <c r="A15" s="0" t="s">
        <v>6</v>
      </c>
      <c r="B15" s="0" t="s">
        <v>102</v>
      </c>
      <c r="C15" s="0" t="s">
        <v>1866</v>
      </c>
    </row>
    <row r="16" customFormat="false" ht="15" hidden="false" customHeight="false" outlineLevel="0" collapsed="false">
      <c r="A16" s="0" t="s">
        <v>6</v>
      </c>
      <c r="B16" s="0" t="s">
        <v>102</v>
      </c>
      <c r="C16" s="0" t="s">
        <v>2159</v>
      </c>
    </row>
    <row r="17" customFormat="false" ht="15" hidden="false" customHeight="false" outlineLevel="0" collapsed="false">
      <c r="A17" s="0" t="s">
        <v>6</v>
      </c>
      <c r="B17" s="0" t="s">
        <v>109</v>
      </c>
      <c r="C17" s="0" t="s">
        <v>1730</v>
      </c>
      <c r="D17" s="0" t="n">
        <v>0.787</v>
      </c>
    </row>
    <row r="18" customFormat="false" ht="15" hidden="false" customHeight="false" outlineLevel="0" collapsed="false">
      <c r="A18" s="0" t="s">
        <v>6</v>
      </c>
      <c r="B18" s="0" t="s">
        <v>109</v>
      </c>
      <c r="C18" s="0" t="s">
        <v>1866</v>
      </c>
    </row>
    <row r="19" customFormat="false" ht="15" hidden="false" customHeight="false" outlineLevel="0" collapsed="false">
      <c r="A19" s="0" t="s">
        <v>6</v>
      </c>
      <c r="B19" s="0" t="s">
        <v>109</v>
      </c>
      <c r="C19" s="0" t="s">
        <v>2159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1730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1866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2159</v>
      </c>
    </row>
    <row r="23" customFormat="false" ht="15" hidden="false" customHeight="false" outlineLevel="0" collapsed="false">
      <c r="A23" s="0" t="s">
        <v>6</v>
      </c>
      <c r="B23" s="0" t="s">
        <v>126</v>
      </c>
      <c r="C23" s="0" t="s">
        <v>1730</v>
      </c>
      <c r="D23" s="0" t="n">
        <v>1</v>
      </c>
    </row>
    <row r="24" customFormat="false" ht="15" hidden="false" customHeight="false" outlineLevel="0" collapsed="false">
      <c r="A24" s="0" t="s">
        <v>6</v>
      </c>
      <c r="B24" s="0" t="s">
        <v>126</v>
      </c>
      <c r="C24" s="0" t="s">
        <v>1866</v>
      </c>
    </row>
    <row r="25" customFormat="false" ht="15" hidden="false" customHeight="false" outlineLevel="0" collapsed="false">
      <c r="A25" s="0" t="s">
        <v>6</v>
      </c>
      <c r="B25" s="0" t="s">
        <v>126</v>
      </c>
      <c r="C25" s="0" t="s">
        <v>2159</v>
      </c>
    </row>
    <row r="26" customFormat="false" ht="15" hidden="false" customHeight="false" outlineLevel="0" collapsed="false">
      <c r="A26" s="0" t="s">
        <v>6</v>
      </c>
      <c r="B26" s="0" t="s">
        <v>138</v>
      </c>
      <c r="C26" s="0" t="s">
        <v>1730</v>
      </c>
      <c r="D26" s="0" t="n">
        <v>1</v>
      </c>
    </row>
    <row r="27" customFormat="false" ht="15" hidden="false" customHeight="false" outlineLevel="0" collapsed="false">
      <c r="A27" s="0" t="s">
        <v>6</v>
      </c>
      <c r="B27" s="0" t="s">
        <v>138</v>
      </c>
      <c r="C27" s="0" t="s">
        <v>1866</v>
      </c>
    </row>
    <row r="28" customFormat="false" ht="15" hidden="false" customHeight="false" outlineLevel="0" collapsed="false">
      <c r="A28" s="0" t="s">
        <v>6</v>
      </c>
      <c r="B28" s="0" t="s">
        <v>138</v>
      </c>
      <c r="C28" s="0" t="s">
        <v>2159</v>
      </c>
    </row>
    <row r="29" customFormat="false" ht="15" hidden="false" customHeight="false" outlineLevel="0" collapsed="false">
      <c r="A29" s="0" t="s">
        <v>6</v>
      </c>
      <c r="B29" s="0" t="s">
        <v>145</v>
      </c>
      <c r="C29" s="0" t="s">
        <v>1730</v>
      </c>
      <c r="D29" s="0" t="n">
        <v>1.4</v>
      </c>
    </row>
    <row r="30" customFormat="false" ht="15" hidden="false" customHeight="false" outlineLevel="0" collapsed="false">
      <c r="A30" s="0" t="s">
        <v>6</v>
      </c>
      <c r="B30" s="0" t="s">
        <v>145</v>
      </c>
      <c r="C30" s="0" t="s">
        <v>1866</v>
      </c>
    </row>
    <row r="31" customFormat="false" ht="15" hidden="false" customHeight="false" outlineLevel="0" collapsed="false">
      <c r="A31" s="0" t="s">
        <v>6</v>
      </c>
      <c r="B31" s="0" t="s">
        <v>145</v>
      </c>
      <c r="C31" s="0" t="s">
        <v>2159</v>
      </c>
    </row>
    <row r="32" customFormat="false" ht="15" hidden="false" customHeight="false" outlineLevel="0" collapsed="false">
      <c r="A32" s="0" t="s">
        <v>6</v>
      </c>
      <c r="B32" s="0" t="s">
        <v>152</v>
      </c>
      <c r="C32" s="0" t="s">
        <v>1730</v>
      </c>
      <c r="D32" s="0" t="n">
        <v>2</v>
      </c>
    </row>
    <row r="33" customFormat="false" ht="15" hidden="false" customHeight="false" outlineLevel="0" collapsed="false">
      <c r="A33" s="0" t="s">
        <v>6</v>
      </c>
      <c r="B33" s="0" t="s">
        <v>152</v>
      </c>
      <c r="C33" s="0" t="s">
        <v>1866</v>
      </c>
    </row>
    <row r="34" customFormat="false" ht="15" hidden="false" customHeight="false" outlineLevel="0" collapsed="false">
      <c r="A34" s="0" t="s">
        <v>6</v>
      </c>
      <c r="B34" s="0" t="s">
        <v>152</v>
      </c>
      <c r="C34" s="0" t="s">
        <v>2159</v>
      </c>
    </row>
    <row r="35" customFormat="false" ht="15" hidden="false" customHeight="false" outlineLevel="0" collapsed="false">
      <c r="A35" s="0" t="s">
        <v>6</v>
      </c>
      <c r="B35" s="0" t="s">
        <v>156</v>
      </c>
      <c r="C35" s="0" t="s">
        <v>1730</v>
      </c>
      <c r="D35" s="0" t="n">
        <v>3</v>
      </c>
    </row>
    <row r="36" customFormat="false" ht="15" hidden="false" customHeight="false" outlineLevel="0" collapsed="false">
      <c r="A36" s="0" t="s">
        <v>6</v>
      </c>
      <c r="B36" s="0" t="s">
        <v>156</v>
      </c>
      <c r="C36" s="0" t="s">
        <v>1866</v>
      </c>
    </row>
    <row r="37" customFormat="false" ht="15" hidden="false" customHeight="false" outlineLevel="0" collapsed="false">
      <c r="A37" s="0" t="s">
        <v>6</v>
      </c>
      <c r="B37" s="0" t="s">
        <v>156</v>
      </c>
      <c r="C37" s="0" t="s">
        <v>2159</v>
      </c>
    </row>
    <row r="38" customFormat="false" ht="15" hidden="false" customHeight="false" outlineLevel="0" collapsed="false">
      <c r="A38" s="0" t="s">
        <v>6</v>
      </c>
      <c r="B38" s="0" t="s">
        <v>161</v>
      </c>
      <c r="C38" s="0" t="s">
        <v>1730</v>
      </c>
      <c r="D38" s="0" t="n">
        <v>4</v>
      </c>
    </row>
    <row r="39" customFormat="false" ht="15" hidden="false" customHeight="false" outlineLevel="0" collapsed="false">
      <c r="A39" s="0" t="s">
        <v>6</v>
      </c>
      <c r="B39" s="0" t="s">
        <v>161</v>
      </c>
      <c r="C39" s="0" t="s">
        <v>1866</v>
      </c>
    </row>
    <row r="40" customFormat="false" ht="15" hidden="false" customHeight="false" outlineLevel="0" collapsed="false">
      <c r="A40" s="0" t="s">
        <v>6</v>
      </c>
      <c r="B40" s="0" t="s">
        <v>161</v>
      </c>
      <c r="C40" s="0" t="s">
        <v>2159</v>
      </c>
    </row>
    <row r="41" customFormat="false" ht="15" hidden="false" customHeight="false" outlineLevel="0" collapsed="false">
      <c r="A41" s="0" t="s">
        <v>6</v>
      </c>
      <c r="B41" s="0" t="s">
        <v>167</v>
      </c>
      <c r="C41" s="0" t="s">
        <v>1730</v>
      </c>
      <c r="D41" s="0" t="n">
        <v>4</v>
      </c>
    </row>
    <row r="42" customFormat="false" ht="15" hidden="false" customHeight="false" outlineLevel="0" collapsed="false">
      <c r="A42" s="0" t="s">
        <v>6</v>
      </c>
      <c r="B42" s="0" t="s">
        <v>167</v>
      </c>
      <c r="C42" s="0" t="s">
        <v>1866</v>
      </c>
    </row>
    <row r="43" customFormat="false" ht="15" hidden="false" customHeight="false" outlineLevel="0" collapsed="false">
      <c r="A43" s="0" t="s">
        <v>6</v>
      </c>
      <c r="B43" s="0" t="s">
        <v>167</v>
      </c>
      <c r="C43" s="0" t="s">
        <v>2159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1730</v>
      </c>
      <c r="D44" s="0" t="n">
        <v>5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1866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2159</v>
      </c>
    </row>
    <row r="47" customFormat="false" ht="15" hidden="false" customHeight="false" outlineLevel="0" collapsed="false">
      <c r="A47" s="0" t="s">
        <v>6</v>
      </c>
      <c r="B47" s="0" t="s">
        <v>178</v>
      </c>
      <c r="C47" s="0" t="s">
        <v>1730</v>
      </c>
      <c r="D47" s="0" t="n">
        <v>7</v>
      </c>
    </row>
    <row r="48" customFormat="false" ht="15" hidden="false" customHeight="false" outlineLevel="0" collapsed="false">
      <c r="A48" s="0" t="s">
        <v>6</v>
      </c>
      <c r="B48" s="0" t="s">
        <v>178</v>
      </c>
      <c r="C48" s="0" t="s">
        <v>1866</v>
      </c>
    </row>
    <row r="49" customFormat="false" ht="15" hidden="false" customHeight="false" outlineLevel="0" collapsed="false">
      <c r="A49" s="0" t="s">
        <v>6</v>
      </c>
      <c r="B49" s="0" t="s">
        <v>178</v>
      </c>
      <c r="C49" s="0" t="s">
        <v>2159</v>
      </c>
      <c r="D49" s="0" t="n">
        <v>7</v>
      </c>
    </row>
    <row r="50" customFormat="false" ht="15" hidden="false" customHeight="false" outlineLevel="0" collapsed="false">
      <c r="A50" s="0" t="s">
        <v>6</v>
      </c>
      <c r="B50" s="0" t="s">
        <v>186</v>
      </c>
      <c r="C50" s="0" t="s">
        <v>1730</v>
      </c>
      <c r="D50" s="0" t="n">
        <v>9</v>
      </c>
    </row>
    <row r="51" customFormat="false" ht="15" hidden="false" customHeight="false" outlineLevel="0" collapsed="false">
      <c r="A51" s="0" t="s">
        <v>6</v>
      </c>
      <c r="B51" s="0" t="s">
        <v>186</v>
      </c>
      <c r="C51" s="0" t="s">
        <v>1866</v>
      </c>
    </row>
    <row r="52" customFormat="false" ht="15" hidden="false" customHeight="false" outlineLevel="0" collapsed="false">
      <c r="A52" s="0" t="s">
        <v>6</v>
      </c>
      <c r="B52" s="0" t="s">
        <v>186</v>
      </c>
      <c r="C52" s="0" t="s">
        <v>2159</v>
      </c>
    </row>
    <row r="53" customFormat="false" ht="15" hidden="false" customHeight="false" outlineLevel="0" collapsed="false">
      <c r="A53" s="0" t="s">
        <v>6</v>
      </c>
      <c r="B53" s="0" t="s">
        <v>194</v>
      </c>
      <c r="C53" s="0" t="s">
        <v>1730</v>
      </c>
      <c r="D53" s="0" t="n">
        <v>9</v>
      </c>
    </row>
    <row r="54" customFormat="false" ht="15" hidden="false" customHeight="false" outlineLevel="0" collapsed="false">
      <c r="A54" s="0" t="s">
        <v>6</v>
      </c>
      <c r="B54" s="0" t="s">
        <v>194</v>
      </c>
      <c r="C54" s="0" t="s">
        <v>1866</v>
      </c>
    </row>
    <row r="55" customFormat="false" ht="15" hidden="false" customHeight="false" outlineLevel="0" collapsed="false">
      <c r="A55" s="0" t="s">
        <v>6</v>
      </c>
      <c r="B55" s="0" t="s">
        <v>194</v>
      </c>
      <c r="C55" s="0" t="s">
        <v>2159</v>
      </c>
    </row>
    <row r="56" customFormat="false" ht="15" hidden="false" customHeight="false" outlineLevel="0" collapsed="false">
      <c r="A56" s="0" t="s">
        <v>6</v>
      </c>
      <c r="B56" s="0" t="s">
        <v>197</v>
      </c>
      <c r="C56" s="0" t="s">
        <v>1730</v>
      </c>
      <c r="D56" s="0" t="n">
        <v>14</v>
      </c>
    </row>
    <row r="57" customFormat="false" ht="15" hidden="false" customHeight="false" outlineLevel="0" collapsed="false">
      <c r="A57" s="0" t="s">
        <v>6</v>
      </c>
      <c r="B57" s="0" t="s">
        <v>197</v>
      </c>
      <c r="C57" s="0" t="s">
        <v>1866</v>
      </c>
    </row>
    <row r="58" customFormat="false" ht="15" hidden="false" customHeight="false" outlineLevel="0" collapsed="false">
      <c r="A58" s="0" t="s">
        <v>6</v>
      </c>
      <c r="B58" s="0" t="s">
        <v>197</v>
      </c>
      <c r="C58" s="0" t="s">
        <v>2159</v>
      </c>
    </row>
    <row r="59" customFormat="false" ht="15" hidden="false" customHeight="false" outlineLevel="0" collapsed="false">
      <c r="A59" s="0" t="s">
        <v>6</v>
      </c>
      <c r="B59" s="0" t="s">
        <v>204</v>
      </c>
      <c r="C59" s="0" t="s">
        <v>1730</v>
      </c>
      <c r="D59" s="0" t="n">
        <v>19</v>
      </c>
    </row>
    <row r="60" customFormat="false" ht="15" hidden="false" customHeight="false" outlineLevel="0" collapsed="false">
      <c r="A60" s="0" t="s">
        <v>6</v>
      </c>
      <c r="B60" s="0" t="s">
        <v>204</v>
      </c>
      <c r="C60" s="0" t="s">
        <v>1866</v>
      </c>
    </row>
    <row r="61" customFormat="false" ht="15" hidden="false" customHeight="false" outlineLevel="0" collapsed="false">
      <c r="A61" s="0" t="s">
        <v>6</v>
      </c>
      <c r="B61" s="0" t="s">
        <v>204</v>
      </c>
      <c r="C61" s="0" t="s">
        <v>2159</v>
      </c>
    </row>
    <row r="62" customFormat="false" ht="15" hidden="false" customHeight="false" outlineLevel="0" collapsed="false">
      <c r="A62" s="0" t="s">
        <v>6</v>
      </c>
      <c r="B62" s="0" t="s">
        <v>211</v>
      </c>
      <c r="C62" s="0" t="s">
        <v>1730</v>
      </c>
      <c r="D62" s="0" t="n">
        <v>30</v>
      </c>
    </row>
    <row r="63" customFormat="false" ht="15" hidden="false" customHeight="false" outlineLevel="0" collapsed="false">
      <c r="A63" s="0" t="s">
        <v>6</v>
      </c>
      <c r="B63" s="0" t="s">
        <v>211</v>
      </c>
      <c r="C63" s="0" t="s">
        <v>1866</v>
      </c>
    </row>
    <row r="64" customFormat="false" ht="15" hidden="false" customHeight="false" outlineLevel="0" collapsed="false">
      <c r="A64" s="0" t="s">
        <v>6</v>
      </c>
      <c r="B64" s="0" t="s">
        <v>211</v>
      </c>
      <c r="C64" s="0" t="s">
        <v>2159</v>
      </c>
    </row>
    <row r="65" customFormat="false" ht="15" hidden="false" customHeight="false" outlineLevel="0" collapsed="false">
      <c r="A65" s="0" t="s">
        <v>6</v>
      </c>
      <c r="B65" s="0" t="s">
        <v>215</v>
      </c>
      <c r="C65" s="0" t="s">
        <v>1730</v>
      </c>
      <c r="D65" s="0" t="n">
        <v>47</v>
      </c>
    </row>
    <row r="66" customFormat="false" ht="15" hidden="false" customHeight="false" outlineLevel="0" collapsed="false">
      <c r="A66" s="0" t="s">
        <v>6</v>
      </c>
      <c r="B66" s="0" t="s">
        <v>215</v>
      </c>
      <c r="C66" s="0" t="s">
        <v>1866</v>
      </c>
    </row>
    <row r="67" customFormat="false" ht="15" hidden="false" customHeight="false" outlineLevel="0" collapsed="false">
      <c r="A67" s="0" t="s">
        <v>6</v>
      </c>
      <c r="B67" s="0" t="s">
        <v>215</v>
      </c>
      <c r="C67" s="0" t="s">
        <v>2159</v>
      </c>
    </row>
    <row r="68" customFormat="false" ht="15" hidden="false" customHeight="false" outlineLevel="0" collapsed="false">
      <c r="A68" s="0" t="s">
        <v>6</v>
      </c>
      <c r="B68" s="0" t="s">
        <v>222</v>
      </c>
      <c r="C68" s="0" t="s">
        <v>1730</v>
      </c>
      <c r="D68" s="0" t="n">
        <v>65</v>
      </c>
    </row>
    <row r="69" customFormat="false" ht="15" hidden="false" customHeight="false" outlineLevel="0" collapsed="false">
      <c r="A69" s="0" t="s">
        <v>6</v>
      </c>
      <c r="B69" s="0" t="s">
        <v>222</v>
      </c>
      <c r="C69" s="0" t="s">
        <v>1866</v>
      </c>
    </row>
    <row r="70" customFormat="false" ht="15" hidden="false" customHeight="false" outlineLevel="0" collapsed="false">
      <c r="A70" s="0" t="s">
        <v>6</v>
      </c>
      <c r="B70" s="0" t="s">
        <v>222</v>
      </c>
      <c r="C70" s="0" t="s">
        <v>2159</v>
      </c>
    </row>
    <row r="71" customFormat="false" ht="15" hidden="false" customHeight="false" outlineLevel="0" collapsed="false">
      <c r="A71" s="0" t="s">
        <v>6</v>
      </c>
      <c r="B71" s="0" t="s">
        <v>229</v>
      </c>
      <c r="C71" s="0" t="s">
        <v>1730</v>
      </c>
      <c r="D71" s="0" t="n">
        <v>65</v>
      </c>
    </row>
    <row r="72" customFormat="false" ht="15" hidden="false" customHeight="false" outlineLevel="0" collapsed="false">
      <c r="A72" s="0" t="s">
        <v>6</v>
      </c>
      <c r="B72" s="0" t="s">
        <v>229</v>
      </c>
      <c r="C72" s="0" t="s">
        <v>1866</v>
      </c>
    </row>
    <row r="73" customFormat="false" ht="15" hidden="false" customHeight="false" outlineLevel="0" collapsed="false">
      <c r="A73" s="0" t="s">
        <v>6</v>
      </c>
      <c r="B73" s="0" t="s">
        <v>229</v>
      </c>
      <c r="C73" s="0" t="s">
        <v>2159</v>
      </c>
    </row>
    <row r="74" customFormat="false" ht="15" hidden="false" customHeight="false" outlineLevel="0" collapsed="false">
      <c r="A74" s="0" t="s">
        <v>6</v>
      </c>
      <c r="B74" s="0" t="s">
        <v>237</v>
      </c>
      <c r="C74" s="0" t="s">
        <v>1730</v>
      </c>
      <c r="D74" s="0" t="n">
        <v>0.789</v>
      </c>
    </row>
    <row r="75" customFormat="false" ht="15" hidden="false" customHeight="false" outlineLevel="0" collapsed="false">
      <c r="A75" s="0" t="s">
        <v>6</v>
      </c>
      <c r="B75" s="0" t="s">
        <v>237</v>
      </c>
      <c r="C75" s="0" t="s">
        <v>1866</v>
      </c>
    </row>
    <row r="76" customFormat="false" ht="15" hidden="false" customHeight="false" outlineLevel="0" collapsed="false">
      <c r="A76" s="0" t="s">
        <v>6</v>
      </c>
      <c r="B76" s="0" t="s">
        <v>237</v>
      </c>
      <c r="C76" s="0" t="s">
        <v>2159</v>
      </c>
    </row>
    <row r="77" customFormat="false" ht="15" hidden="false" customHeight="false" outlineLevel="0" collapsed="false">
      <c r="A77" s="0" t="s">
        <v>6</v>
      </c>
      <c r="B77" s="0" t="s">
        <v>245</v>
      </c>
      <c r="C77" s="0" t="s">
        <v>1730</v>
      </c>
      <c r="D77" s="0" t="n">
        <v>3.8</v>
      </c>
    </row>
    <row r="78" customFormat="false" ht="15" hidden="false" customHeight="false" outlineLevel="0" collapsed="false">
      <c r="A78" s="0" t="s">
        <v>6</v>
      </c>
      <c r="B78" s="0" t="s">
        <v>245</v>
      </c>
      <c r="C78" s="0" t="s">
        <v>1866</v>
      </c>
    </row>
    <row r="79" customFormat="false" ht="15" hidden="false" customHeight="false" outlineLevel="0" collapsed="false">
      <c r="A79" s="0" t="s">
        <v>6</v>
      </c>
      <c r="B79" s="0" t="s">
        <v>245</v>
      </c>
      <c r="C79" s="0" t="s">
        <v>2159</v>
      </c>
    </row>
    <row r="80" customFormat="false" ht="15" hidden="false" customHeight="false" outlineLevel="0" collapsed="false">
      <c r="A80" s="0" t="s">
        <v>6</v>
      </c>
      <c r="B80" s="0" t="s">
        <v>250</v>
      </c>
      <c r="C80" s="0" t="s">
        <v>1730</v>
      </c>
      <c r="D80" s="0" t="n">
        <v>0.47</v>
      </c>
    </row>
    <row r="81" customFormat="false" ht="15" hidden="false" customHeight="false" outlineLevel="0" collapsed="false">
      <c r="A81" s="0" t="s">
        <v>6</v>
      </c>
      <c r="B81" s="0" t="s">
        <v>250</v>
      </c>
      <c r="C81" s="0" t="s">
        <v>1866</v>
      </c>
    </row>
    <row r="82" customFormat="false" ht="15" hidden="false" customHeight="false" outlineLevel="0" collapsed="false">
      <c r="A82" s="0" t="s">
        <v>6</v>
      </c>
      <c r="B82" s="0" t="s">
        <v>250</v>
      </c>
      <c r="C82" s="0" t="s">
        <v>2159</v>
      </c>
    </row>
    <row r="83" customFormat="false" ht="15" hidden="false" customHeight="false" outlineLevel="0" collapsed="false">
      <c r="A83" s="0" t="s">
        <v>6</v>
      </c>
      <c r="B83" s="0" t="s">
        <v>255</v>
      </c>
      <c r="C83" s="0" t="s">
        <v>1730</v>
      </c>
      <c r="D83" s="0" t="n">
        <v>0.32</v>
      </c>
    </row>
    <row r="84" customFormat="false" ht="15" hidden="false" customHeight="false" outlineLevel="0" collapsed="false">
      <c r="A84" s="0" t="s">
        <v>6</v>
      </c>
      <c r="B84" s="0" t="s">
        <v>255</v>
      </c>
      <c r="C84" s="0" t="s">
        <v>1866</v>
      </c>
    </row>
    <row r="85" customFormat="false" ht="15" hidden="false" customHeight="false" outlineLevel="0" collapsed="false">
      <c r="A85" s="0" t="s">
        <v>6</v>
      </c>
      <c r="B85" s="0" t="s">
        <v>255</v>
      </c>
      <c r="C85" s="0" t="s">
        <v>2159</v>
      </c>
    </row>
    <row r="86" customFormat="false" ht="15" hidden="false" customHeight="false" outlineLevel="0" collapsed="false">
      <c r="A86" s="0" t="s">
        <v>6</v>
      </c>
      <c r="B86" s="0" t="s">
        <v>258</v>
      </c>
      <c r="C86" s="0" t="s">
        <v>1730</v>
      </c>
      <c r="D86" s="0" t="n">
        <v>0.11</v>
      </c>
    </row>
    <row r="87" customFormat="false" ht="15" hidden="false" customHeight="false" outlineLevel="0" collapsed="false">
      <c r="A87" s="0" t="s">
        <v>6</v>
      </c>
      <c r="B87" s="0" t="s">
        <v>258</v>
      </c>
      <c r="C87" s="0" t="s">
        <v>1866</v>
      </c>
    </row>
    <row r="88" customFormat="false" ht="15" hidden="false" customHeight="false" outlineLevel="0" collapsed="false">
      <c r="A88" s="0" t="s">
        <v>6</v>
      </c>
      <c r="B88" s="0" t="s">
        <v>258</v>
      </c>
      <c r="C88" s="0" t="s">
        <v>2159</v>
      </c>
    </row>
    <row r="89" customFormat="false" ht="15" hidden="false" customHeight="false" outlineLevel="0" collapsed="false">
      <c r="A89" s="0" t="s">
        <v>6</v>
      </c>
      <c r="B89" s="0" t="s">
        <v>262</v>
      </c>
      <c r="C89" s="0" t="s">
        <v>1730</v>
      </c>
    </row>
    <row r="90" customFormat="false" ht="15" hidden="false" customHeight="false" outlineLevel="0" collapsed="false">
      <c r="A90" s="0" t="s">
        <v>6</v>
      </c>
      <c r="B90" s="0" t="s">
        <v>262</v>
      </c>
      <c r="C90" s="0" t="s">
        <v>1866</v>
      </c>
    </row>
    <row r="91" customFormat="false" ht="15" hidden="false" customHeight="false" outlineLevel="0" collapsed="false">
      <c r="A91" s="0" t="s">
        <v>6</v>
      </c>
      <c r="B91" s="0" t="s">
        <v>262</v>
      </c>
      <c r="C91" s="0" t="s">
        <v>2159</v>
      </c>
    </row>
    <row r="92" customFormat="false" ht="15" hidden="false" customHeight="false" outlineLevel="0" collapsed="false">
      <c r="A92" s="0" t="s">
        <v>6</v>
      </c>
      <c r="B92" s="0" t="s">
        <v>267</v>
      </c>
      <c r="C92" s="0" t="s">
        <v>1730</v>
      </c>
      <c r="D92" s="0" t="n">
        <v>0.351</v>
      </c>
    </row>
    <row r="93" customFormat="false" ht="15" hidden="false" customHeight="false" outlineLevel="0" collapsed="false">
      <c r="A93" s="0" t="s">
        <v>6</v>
      </c>
      <c r="B93" s="0" t="s">
        <v>267</v>
      </c>
      <c r="C93" s="0" t="s">
        <v>1866</v>
      </c>
    </row>
    <row r="94" customFormat="false" ht="15" hidden="false" customHeight="false" outlineLevel="0" collapsed="false">
      <c r="A94" s="0" t="s">
        <v>6</v>
      </c>
      <c r="B94" s="0" t="s">
        <v>267</v>
      </c>
      <c r="C94" s="0" t="s">
        <v>2159</v>
      </c>
    </row>
    <row r="95" customFormat="false" ht="15" hidden="false" customHeight="false" outlineLevel="0" collapsed="false">
      <c r="A95" s="0" t="s">
        <v>6</v>
      </c>
      <c r="B95" s="0" t="s">
        <v>273</v>
      </c>
      <c r="C95" s="0" t="s">
        <v>1730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6</v>
      </c>
      <c r="B96" s="0" t="s">
        <v>273</v>
      </c>
      <c r="C96" s="0" t="s">
        <v>1866</v>
      </c>
    </row>
    <row r="97" customFormat="false" ht="15" hidden="false" customHeight="false" outlineLevel="0" collapsed="false">
      <c r="A97" s="0" t="s">
        <v>6</v>
      </c>
      <c r="B97" s="0" t="s">
        <v>273</v>
      </c>
      <c r="C97" s="0" t="s">
        <v>2159</v>
      </c>
    </row>
    <row r="98" customFormat="false" ht="15" hidden="false" customHeight="false" outlineLevel="0" collapsed="false">
      <c r="A98" s="0" t="s">
        <v>6</v>
      </c>
      <c r="B98" s="0" t="s">
        <v>277</v>
      </c>
      <c r="C98" s="0" t="s">
        <v>1730</v>
      </c>
      <c r="D98" s="0" t="n">
        <v>1.9</v>
      </c>
    </row>
    <row r="99" customFormat="false" ht="15" hidden="false" customHeight="false" outlineLevel="0" collapsed="false">
      <c r="A99" s="0" t="s">
        <v>6</v>
      </c>
      <c r="B99" s="0" t="s">
        <v>277</v>
      </c>
      <c r="C99" s="0" t="s">
        <v>1866</v>
      </c>
    </row>
    <row r="100" customFormat="false" ht="15" hidden="false" customHeight="false" outlineLevel="0" collapsed="false">
      <c r="A100" s="0" t="s">
        <v>6</v>
      </c>
      <c r="B100" s="0" t="s">
        <v>277</v>
      </c>
      <c r="C100" s="0" t="s">
        <v>2159</v>
      </c>
    </row>
    <row r="101" customFormat="false" ht="15" hidden="false" customHeight="false" outlineLevel="0" collapsed="false">
      <c r="A101" s="0" t="s">
        <v>6</v>
      </c>
      <c r="B101" s="0" t="s">
        <v>287</v>
      </c>
      <c r="C101" s="0" t="s">
        <v>1730</v>
      </c>
      <c r="D101" s="0" t="n">
        <v>6.4</v>
      </c>
    </row>
    <row r="102" customFormat="false" ht="15" hidden="false" customHeight="false" outlineLevel="0" collapsed="false">
      <c r="A102" s="0" t="s">
        <v>6</v>
      </c>
      <c r="B102" s="0" t="s">
        <v>287</v>
      </c>
      <c r="C102" s="0" t="s">
        <v>1866</v>
      </c>
    </row>
    <row r="103" customFormat="false" ht="15" hidden="false" customHeight="false" outlineLevel="0" collapsed="false">
      <c r="A103" s="0" t="s">
        <v>6</v>
      </c>
      <c r="B103" s="0" t="s">
        <v>287</v>
      </c>
      <c r="C103" s="0" t="s">
        <v>2159</v>
      </c>
      <c r="D103" s="0" t="n">
        <v>6.4</v>
      </c>
    </row>
    <row r="104" customFormat="false" ht="15" hidden="false" customHeight="false" outlineLevel="0" collapsed="false">
      <c r="A104" s="0" t="s">
        <v>6</v>
      </c>
      <c r="B104" s="0" t="s">
        <v>293</v>
      </c>
      <c r="C104" s="0" t="s">
        <v>1730</v>
      </c>
      <c r="D104" s="0" t="n">
        <v>22</v>
      </c>
    </row>
    <row r="105" customFormat="false" ht="15" hidden="false" customHeight="false" outlineLevel="0" collapsed="false">
      <c r="A105" s="0" t="s">
        <v>6</v>
      </c>
      <c r="B105" s="0" t="s">
        <v>293</v>
      </c>
      <c r="C105" s="0" t="s">
        <v>1866</v>
      </c>
    </row>
    <row r="106" customFormat="false" ht="15" hidden="false" customHeight="false" outlineLevel="0" collapsed="false">
      <c r="A106" s="0" t="s">
        <v>6</v>
      </c>
      <c r="B106" s="0" t="s">
        <v>293</v>
      </c>
      <c r="C106" s="0" t="s">
        <v>2159</v>
      </c>
    </row>
    <row r="107" customFormat="false" ht="15" hidden="false" customHeight="false" outlineLevel="0" collapsed="false">
      <c r="A107" s="0" t="s">
        <v>6</v>
      </c>
      <c r="B107" s="0" t="s">
        <v>302</v>
      </c>
      <c r="C107" s="0" t="s">
        <v>1730</v>
      </c>
      <c r="D107" s="0" t="n">
        <v>0.8</v>
      </c>
    </row>
    <row r="108" customFormat="false" ht="15" hidden="false" customHeight="false" outlineLevel="0" collapsed="false">
      <c r="A108" s="0" t="s">
        <v>6</v>
      </c>
      <c r="B108" s="0" t="s">
        <v>302</v>
      </c>
      <c r="C108" s="0" t="s">
        <v>1866</v>
      </c>
    </row>
    <row r="109" customFormat="false" ht="15" hidden="false" customHeight="false" outlineLevel="0" collapsed="false">
      <c r="A109" s="0" t="s">
        <v>6</v>
      </c>
      <c r="B109" s="0" t="s">
        <v>302</v>
      </c>
      <c r="C109" s="0" t="s">
        <v>2159</v>
      </c>
    </row>
    <row r="110" customFormat="false" ht="15" hidden="false" customHeight="false" outlineLevel="0" collapsed="false">
      <c r="A110" s="0" t="s">
        <v>6</v>
      </c>
      <c r="B110" s="0" t="s">
        <v>307</v>
      </c>
      <c r="C110" s="0" t="s">
        <v>1730</v>
      </c>
      <c r="D110" s="0" t="n">
        <v>0.65</v>
      </c>
    </row>
    <row r="111" customFormat="false" ht="15" hidden="false" customHeight="false" outlineLevel="0" collapsed="false">
      <c r="A111" s="0" t="s">
        <v>6</v>
      </c>
      <c r="B111" s="0" t="s">
        <v>307</v>
      </c>
      <c r="C111" s="0" t="s">
        <v>1866</v>
      </c>
      <c r="D111" s="0" t="n">
        <v>0.6</v>
      </c>
    </row>
    <row r="112" customFormat="false" ht="15" hidden="false" customHeight="false" outlineLevel="0" collapsed="false">
      <c r="A112" s="0" t="s">
        <v>6</v>
      </c>
      <c r="B112" s="0" t="s">
        <v>307</v>
      </c>
      <c r="C112" s="0" t="s">
        <v>2159</v>
      </c>
      <c r="D112" s="0" t="n">
        <v>0.67</v>
      </c>
    </row>
    <row r="113" customFormat="false" ht="15" hidden="false" customHeight="false" outlineLevel="0" collapsed="false">
      <c r="A113" s="0" t="s">
        <v>6</v>
      </c>
      <c r="B113" s="0" t="s">
        <v>312</v>
      </c>
      <c r="C113" s="0" t="s">
        <v>1730</v>
      </c>
      <c r="D113" s="0" t="n">
        <v>0.24</v>
      </c>
    </row>
    <row r="114" customFormat="false" ht="15" hidden="false" customHeight="false" outlineLevel="0" collapsed="false">
      <c r="A114" s="0" t="s">
        <v>6</v>
      </c>
      <c r="B114" s="0" t="s">
        <v>312</v>
      </c>
      <c r="C114" s="0" t="s">
        <v>1866</v>
      </c>
    </row>
    <row r="115" customFormat="false" ht="15" hidden="false" customHeight="false" outlineLevel="0" collapsed="false">
      <c r="A115" s="0" t="s">
        <v>6</v>
      </c>
      <c r="B115" s="0" t="s">
        <v>312</v>
      </c>
      <c r="C115" s="0" t="s">
        <v>2159</v>
      </c>
    </row>
    <row r="116" customFormat="false" ht="15" hidden="false" customHeight="false" outlineLevel="0" collapsed="false">
      <c r="A116" s="0" t="s">
        <v>6</v>
      </c>
      <c r="B116" s="0" t="s">
        <v>316</v>
      </c>
      <c r="C116" s="0" t="s">
        <v>1730</v>
      </c>
      <c r="D116" s="0" t="n">
        <v>0.24</v>
      </c>
    </row>
    <row r="117" customFormat="false" ht="15" hidden="false" customHeight="false" outlineLevel="0" collapsed="false">
      <c r="A117" s="0" t="s">
        <v>6</v>
      </c>
      <c r="B117" s="0" t="s">
        <v>316</v>
      </c>
      <c r="C117" s="0" t="s">
        <v>1866</v>
      </c>
    </row>
    <row r="118" customFormat="false" ht="15" hidden="false" customHeight="false" outlineLevel="0" collapsed="false">
      <c r="A118" s="0" t="s">
        <v>6</v>
      </c>
      <c r="B118" s="0" t="s">
        <v>316</v>
      </c>
      <c r="C118" s="0" t="s">
        <v>2159</v>
      </c>
    </row>
    <row r="119" customFormat="false" ht="15" hidden="false" customHeight="false" outlineLevel="0" collapsed="false">
      <c r="A119" s="0" t="s">
        <v>6</v>
      </c>
      <c r="B119" s="0" t="s">
        <v>323</v>
      </c>
      <c r="C119" s="0" t="s">
        <v>1730</v>
      </c>
      <c r="D119" s="0" t="n">
        <v>1.2</v>
      </c>
    </row>
    <row r="120" customFormat="false" ht="15" hidden="false" customHeight="false" outlineLevel="0" collapsed="false">
      <c r="A120" s="0" t="s">
        <v>6</v>
      </c>
      <c r="B120" s="0" t="s">
        <v>323</v>
      </c>
      <c r="C120" s="0" t="s">
        <v>1866</v>
      </c>
    </row>
    <row r="121" customFormat="false" ht="15" hidden="false" customHeight="false" outlineLevel="0" collapsed="false">
      <c r="A121" s="0" t="s">
        <v>6</v>
      </c>
      <c r="B121" s="0" t="s">
        <v>323</v>
      </c>
      <c r="C121" s="0" t="s">
        <v>2159</v>
      </c>
    </row>
    <row r="122" customFormat="false" ht="15" hidden="false" customHeight="false" outlineLevel="0" collapsed="false">
      <c r="A122" s="0" t="s">
        <v>6</v>
      </c>
      <c r="B122" s="0" t="s">
        <v>331</v>
      </c>
      <c r="C122" s="0" t="s">
        <v>1730</v>
      </c>
      <c r="D122" s="0" t="n">
        <v>0.5</v>
      </c>
    </row>
    <row r="123" customFormat="false" ht="15" hidden="false" customHeight="false" outlineLevel="0" collapsed="false">
      <c r="A123" s="0" t="s">
        <v>6</v>
      </c>
      <c r="B123" s="0" t="s">
        <v>331</v>
      </c>
      <c r="C123" s="0" t="s">
        <v>1866</v>
      </c>
    </row>
    <row r="124" customFormat="false" ht="15" hidden="false" customHeight="false" outlineLevel="0" collapsed="false">
      <c r="A124" s="0" t="s">
        <v>6</v>
      </c>
      <c r="B124" s="0" t="s">
        <v>331</v>
      </c>
      <c r="C124" s="0" t="s">
        <v>2159</v>
      </c>
      <c r="D124" s="0" t="n">
        <v>0.5</v>
      </c>
    </row>
    <row r="125" customFormat="false" ht="15" hidden="false" customHeight="false" outlineLevel="0" collapsed="false">
      <c r="A125" s="0" t="s">
        <v>6</v>
      </c>
      <c r="B125" s="0" t="s">
        <v>338</v>
      </c>
      <c r="C125" s="0" t="s">
        <v>1730</v>
      </c>
      <c r="D125" s="0" t="n">
        <v>0.5</v>
      </c>
    </row>
    <row r="126" customFormat="false" ht="15" hidden="false" customHeight="false" outlineLevel="0" collapsed="false">
      <c r="A126" s="0" t="s">
        <v>6</v>
      </c>
      <c r="B126" s="0" t="s">
        <v>338</v>
      </c>
      <c r="C126" s="0" t="s">
        <v>1866</v>
      </c>
    </row>
    <row r="127" customFormat="false" ht="15" hidden="false" customHeight="false" outlineLevel="0" collapsed="false">
      <c r="A127" s="0" t="s">
        <v>6</v>
      </c>
      <c r="B127" s="0" t="s">
        <v>338</v>
      </c>
      <c r="C127" s="0" t="s">
        <v>2159</v>
      </c>
    </row>
    <row r="128" customFormat="false" ht="15" hidden="false" customHeight="false" outlineLevel="0" collapsed="false">
      <c r="A128" s="0" t="s">
        <v>6</v>
      </c>
      <c r="B128" s="0" t="s">
        <v>344</v>
      </c>
      <c r="C128" s="0" t="s">
        <v>1730</v>
      </c>
      <c r="D128" s="0" t="n">
        <v>0.4</v>
      </c>
    </row>
    <row r="129" customFormat="false" ht="15" hidden="false" customHeight="false" outlineLevel="0" collapsed="false">
      <c r="A129" s="0" t="s">
        <v>6</v>
      </c>
      <c r="B129" s="0" t="s">
        <v>344</v>
      </c>
      <c r="C129" s="0" t="s">
        <v>1866</v>
      </c>
    </row>
    <row r="130" customFormat="false" ht="15" hidden="false" customHeight="false" outlineLevel="0" collapsed="false">
      <c r="A130" s="0" t="s">
        <v>6</v>
      </c>
      <c r="B130" s="0" t="s">
        <v>344</v>
      </c>
      <c r="C130" s="0" t="s">
        <v>2159</v>
      </c>
    </row>
    <row r="131" customFormat="false" ht="15" hidden="false" customHeight="false" outlineLevel="0" collapsed="false">
      <c r="A131" s="0" t="s">
        <v>6</v>
      </c>
      <c r="B131" s="0" t="s">
        <v>351</v>
      </c>
      <c r="C131" s="0" t="s">
        <v>1730</v>
      </c>
      <c r="D131" s="0" t="n">
        <v>0.38</v>
      </c>
    </row>
    <row r="132" customFormat="false" ht="15" hidden="false" customHeight="false" outlineLevel="0" collapsed="false">
      <c r="A132" s="0" t="s">
        <v>6</v>
      </c>
      <c r="B132" s="0" t="s">
        <v>351</v>
      </c>
      <c r="C132" s="0" t="s">
        <v>1866</v>
      </c>
    </row>
    <row r="133" customFormat="false" ht="15" hidden="false" customHeight="false" outlineLevel="0" collapsed="false">
      <c r="A133" s="0" t="s">
        <v>6</v>
      </c>
      <c r="B133" s="0" t="s">
        <v>351</v>
      </c>
      <c r="C133" s="0" t="s">
        <v>2159</v>
      </c>
    </row>
    <row r="134" customFormat="false" ht="15" hidden="false" customHeight="false" outlineLevel="0" collapsed="false">
      <c r="A134" s="0" t="s">
        <v>6</v>
      </c>
      <c r="B134" s="0" t="s">
        <v>358</v>
      </c>
      <c r="C134" s="0" t="s">
        <v>1730</v>
      </c>
      <c r="D134" s="0" t="n">
        <v>0.23</v>
      </c>
    </row>
    <row r="135" customFormat="false" ht="15" hidden="false" customHeight="false" outlineLevel="0" collapsed="false">
      <c r="A135" s="0" t="s">
        <v>6</v>
      </c>
      <c r="B135" s="0" t="s">
        <v>358</v>
      </c>
      <c r="C135" s="0" t="s">
        <v>1866</v>
      </c>
    </row>
    <row r="136" customFormat="false" ht="15" hidden="false" customHeight="false" outlineLevel="0" collapsed="false">
      <c r="A136" s="0" t="s">
        <v>6</v>
      </c>
      <c r="B136" s="0" t="s">
        <v>358</v>
      </c>
      <c r="C136" s="0" t="s">
        <v>2159</v>
      </c>
    </row>
    <row r="137" customFormat="false" ht="15" hidden="false" customHeight="false" outlineLevel="0" collapsed="false">
      <c r="A137" s="0" t="s">
        <v>6</v>
      </c>
      <c r="B137" s="0" t="s">
        <v>362</v>
      </c>
      <c r="C137" s="0" t="s">
        <v>1730</v>
      </c>
      <c r="D137" s="0" t="n">
        <v>4.1</v>
      </c>
    </row>
    <row r="138" customFormat="false" ht="15" hidden="false" customHeight="false" outlineLevel="0" collapsed="false">
      <c r="A138" s="0" t="s">
        <v>6</v>
      </c>
      <c r="B138" s="0" t="s">
        <v>362</v>
      </c>
      <c r="C138" s="0" t="s">
        <v>1866</v>
      </c>
    </row>
    <row r="139" customFormat="false" ht="15" hidden="false" customHeight="false" outlineLevel="0" collapsed="false">
      <c r="A139" s="0" t="s">
        <v>6</v>
      </c>
      <c r="B139" s="0" t="s">
        <v>362</v>
      </c>
      <c r="C139" s="0" t="s">
        <v>2159</v>
      </c>
    </row>
    <row r="140" customFormat="false" ht="15" hidden="false" customHeight="false" outlineLevel="0" collapsed="false">
      <c r="A140" s="0" t="s">
        <v>6</v>
      </c>
      <c r="B140" s="0" t="s">
        <v>366</v>
      </c>
      <c r="C140" s="0" t="s">
        <v>1730</v>
      </c>
      <c r="D140" s="0" t="n">
        <v>4.5</v>
      </c>
    </row>
    <row r="141" customFormat="false" ht="15" hidden="false" customHeight="false" outlineLevel="0" collapsed="false">
      <c r="A141" s="0" t="s">
        <v>6</v>
      </c>
      <c r="B141" s="0" t="s">
        <v>366</v>
      </c>
      <c r="C141" s="0" t="s">
        <v>1866</v>
      </c>
    </row>
    <row r="142" customFormat="false" ht="15" hidden="false" customHeight="false" outlineLevel="0" collapsed="false">
      <c r="A142" s="0" t="s">
        <v>6</v>
      </c>
      <c r="B142" s="0" t="s">
        <v>366</v>
      </c>
      <c r="C142" s="0" t="s">
        <v>2159</v>
      </c>
    </row>
    <row r="143" customFormat="false" ht="15" hidden="false" customHeight="false" outlineLevel="0" collapsed="false">
      <c r="A143" s="0" t="s">
        <v>6</v>
      </c>
      <c r="B143" s="0" t="s">
        <v>370</v>
      </c>
      <c r="C143" s="0" t="s">
        <v>1730</v>
      </c>
      <c r="D143" s="0" t="n">
        <v>10</v>
      </c>
    </row>
    <row r="144" customFormat="false" ht="15" hidden="false" customHeight="false" outlineLevel="0" collapsed="false">
      <c r="A144" s="0" t="s">
        <v>6</v>
      </c>
      <c r="B144" s="0" t="s">
        <v>370</v>
      </c>
      <c r="C144" s="0" t="s">
        <v>1866</v>
      </c>
    </row>
    <row r="145" customFormat="false" ht="15" hidden="false" customHeight="false" outlineLevel="0" collapsed="false">
      <c r="A145" s="0" t="s">
        <v>6</v>
      </c>
      <c r="B145" s="0" t="s">
        <v>370</v>
      </c>
      <c r="C145" s="0" t="s">
        <v>2159</v>
      </c>
    </row>
    <row r="146" customFormat="false" ht="15" hidden="false" customHeight="false" outlineLevel="0" collapsed="false">
      <c r="A146" s="0" t="s">
        <v>6</v>
      </c>
      <c r="B146" s="0" t="s">
        <v>377</v>
      </c>
      <c r="C146" s="0" t="s">
        <v>1730</v>
      </c>
      <c r="D146" s="0" t="n">
        <v>0.8</v>
      </c>
    </row>
    <row r="147" customFormat="false" ht="15" hidden="false" customHeight="false" outlineLevel="0" collapsed="false">
      <c r="A147" s="0" t="s">
        <v>6</v>
      </c>
      <c r="B147" s="0" t="s">
        <v>377</v>
      </c>
      <c r="C147" s="0" t="s">
        <v>1866</v>
      </c>
      <c r="D147" s="0" t="n">
        <v>0.8</v>
      </c>
    </row>
    <row r="148" customFormat="false" ht="15" hidden="false" customHeight="false" outlineLevel="0" collapsed="false">
      <c r="A148" s="0" t="s">
        <v>6</v>
      </c>
      <c r="B148" s="0" t="s">
        <v>377</v>
      </c>
      <c r="C148" s="0" t="s">
        <v>2159</v>
      </c>
    </row>
    <row r="149" customFormat="false" ht="15" hidden="false" customHeight="false" outlineLevel="0" collapsed="false">
      <c r="A149" s="0" t="s">
        <v>6</v>
      </c>
      <c r="B149" s="0" t="s">
        <v>385</v>
      </c>
      <c r="C149" s="0" t="s">
        <v>1730</v>
      </c>
      <c r="D149" s="0" t="n">
        <v>0.44</v>
      </c>
    </row>
    <row r="150" customFormat="false" ht="15" hidden="false" customHeight="false" outlineLevel="0" collapsed="false">
      <c r="A150" s="0" t="s">
        <v>6</v>
      </c>
      <c r="B150" s="0" t="s">
        <v>385</v>
      </c>
      <c r="C150" s="0" t="s">
        <v>1866</v>
      </c>
      <c r="D150" s="0" t="n">
        <v>0.4</v>
      </c>
    </row>
    <row r="151" customFormat="false" ht="15" hidden="false" customHeight="false" outlineLevel="0" collapsed="false">
      <c r="A151" s="0" t="s">
        <v>6</v>
      </c>
      <c r="B151" s="0" t="s">
        <v>385</v>
      </c>
      <c r="C151" s="0" t="s">
        <v>2159</v>
      </c>
      <c r="D151" s="0" t="n">
        <v>0.5</v>
      </c>
    </row>
    <row r="152" customFormat="false" ht="15" hidden="false" customHeight="false" outlineLevel="0" collapsed="false">
      <c r="A152" s="0" t="s">
        <v>6</v>
      </c>
      <c r="B152" s="0" t="s">
        <v>392</v>
      </c>
      <c r="C152" s="0" t="s">
        <v>1730</v>
      </c>
      <c r="D152" s="0" t="n">
        <v>0.71</v>
      </c>
    </row>
    <row r="153" customFormat="false" ht="15" hidden="false" customHeight="false" outlineLevel="0" collapsed="false">
      <c r="A153" s="0" t="s">
        <v>6</v>
      </c>
      <c r="B153" s="0" t="s">
        <v>392</v>
      </c>
      <c r="C153" s="0" t="s">
        <v>1866</v>
      </c>
    </row>
    <row r="154" customFormat="false" ht="15" hidden="false" customHeight="false" outlineLevel="0" collapsed="false">
      <c r="A154" s="0" t="s">
        <v>6</v>
      </c>
      <c r="B154" s="0" t="s">
        <v>392</v>
      </c>
      <c r="C154" s="0" t="s">
        <v>2159</v>
      </c>
    </row>
    <row r="155" customFormat="false" ht="15" hidden="false" customHeight="false" outlineLevel="0" collapsed="false">
      <c r="A155" s="0" t="s">
        <v>6</v>
      </c>
      <c r="B155" s="0" t="s">
        <v>401</v>
      </c>
      <c r="C155" s="0" t="s">
        <v>1730</v>
      </c>
      <c r="D155" s="0" t="n">
        <v>0.56</v>
      </c>
    </row>
    <row r="156" customFormat="false" ht="15" hidden="false" customHeight="false" outlineLevel="0" collapsed="false">
      <c r="A156" s="0" t="s">
        <v>6</v>
      </c>
      <c r="B156" s="0" t="s">
        <v>401</v>
      </c>
      <c r="C156" s="0" t="s">
        <v>1866</v>
      </c>
    </row>
    <row r="157" customFormat="false" ht="15" hidden="false" customHeight="false" outlineLevel="0" collapsed="false">
      <c r="A157" s="0" t="s">
        <v>6</v>
      </c>
      <c r="B157" s="0" t="s">
        <v>401</v>
      </c>
      <c r="C157" s="0" t="s">
        <v>2159</v>
      </c>
    </row>
    <row r="158" customFormat="false" ht="15" hidden="false" customHeight="false" outlineLevel="0" collapsed="false">
      <c r="A158" s="0" t="s">
        <v>6</v>
      </c>
      <c r="B158" s="0" t="s">
        <v>407</v>
      </c>
      <c r="C158" s="0" t="s">
        <v>1730</v>
      </c>
      <c r="D158" s="0" t="n">
        <v>4.8</v>
      </c>
    </row>
    <row r="159" customFormat="false" ht="15" hidden="false" customHeight="false" outlineLevel="0" collapsed="false">
      <c r="A159" s="0" t="s">
        <v>6</v>
      </c>
      <c r="B159" s="0" t="s">
        <v>407</v>
      </c>
      <c r="C159" s="0" t="s">
        <v>1866</v>
      </c>
    </row>
    <row r="160" customFormat="false" ht="15" hidden="false" customHeight="false" outlineLevel="0" collapsed="false">
      <c r="A160" s="0" t="s">
        <v>6</v>
      </c>
      <c r="B160" s="0" t="s">
        <v>407</v>
      </c>
      <c r="C160" s="0" t="s">
        <v>2159</v>
      </c>
    </row>
    <row r="161" customFormat="false" ht="15" hidden="false" customHeight="false" outlineLevel="0" collapsed="false">
      <c r="A161" s="0" t="s">
        <v>6</v>
      </c>
      <c r="B161" s="0" t="s">
        <v>410</v>
      </c>
      <c r="C161" s="0" t="s">
        <v>1730</v>
      </c>
      <c r="D161" s="0" t="n">
        <v>10.9</v>
      </c>
    </row>
    <row r="162" customFormat="false" ht="15" hidden="false" customHeight="false" outlineLevel="0" collapsed="false">
      <c r="A162" s="0" t="s">
        <v>6</v>
      </c>
      <c r="B162" s="0" t="s">
        <v>410</v>
      </c>
      <c r="C162" s="0" t="s">
        <v>1866</v>
      </c>
    </row>
    <row r="163" customFormat="false" ht="15" hidden="false" customHeight="false" outlineLevel="0" collapsed="false">
      <c r="A163" s="0" t="s">
        <v>6</v>
      </c>
      <c r="B163" s="0" t="s">
        <v>410</v>
      </c>
      <c r="C163" s="0" t="s">
        <v>2159</v>
      </c>
    </row>
    <row r="164" customFormat="false" ht="15" hidden="false" customHeight="false" outlineLevel="0" collapsed="false">
      <c r="A164" s="0" t="s">
        <v>6</v>
      </c>
      <c r="B164" s="0" t="s">
        <v>414</v>
      </c>
      <c r="C164" s="0" t="s">
        <v>1730</v>
      </c>
      <c r="D164" s="0" t="n">
        <v>0.5</v>
      </c>
    </row>
    <row r="165" customFormat="false" ht="15" hidden="false" customHeight="false" outlineLevel="0" collapsed="false">
      <c r="A165" s="0" t="s">
        <v>6</v>
      </c>
      <c r="B165" s="0" t="s">
        <v>414</v>
      </c>
      <c r="C165" s="0" t="s">
        <v>1866</v>
      </c>
    </row>
    <row r="166" customFormat="false" ht="15" hidden="false" customHeight="false" outlineLevel="0" collapsed="false">
      <c r="A166" s="0" t="s">
        <v>6</v>
      </c>
      <c r="B166" s="0" t="s">
        <v>414</v>
      </c>
      <c r="C166" s="0" t="s">
        <v>2159</v>
      </c>
    </row>
    <row r="167" customFormat="false" ht="15" hidden="false" customHeight="false" outlineLevel="0" collapsed="false">
      <c r="A167" s="0" t="s">
        <v>6</v>
      </c>
      <c r="B167" s="0" t="s">
        <v>420</v>
      </c>
      <c r="C167" s="0" t="s">
        <v>1730</v>
      </c>
      <c r="D167" s="0" t="n">
        <v>1</v>
      </c>
    </row>
    <row r="168" customFormat="false" ht="15" hidden="false" customHeight="false" outlineLevel="0" collapsed="false">
      <c r="A168" s="0" t="s">
        <v>6</v>
      </c>
      <c r="B168" s="0" t="s">
        <v>420</v>
      </c>
      <c r="C168" s="0" t="s">
        <v>1866</v>
      </c>
    </row>
    <row r="169" customFormat="false" ht="15" hidden="false" customHeight="false" outlineLevel="0" collapsed="false">
      <c r="A169" s="0" t="s">
        <v>6</v>
      </c>
      <c r="B169" s="0" t="s">
        <v>420</v>
      </c>
      <c r="C169" s="0" t="s">
        <v>2159</v>
      </c>
      <c r="D169" s="0" t="n">
        <v>1</v>
      </c>
    </row>
    <row r="170" customFormat="false" ht="15" hidden="false" customHeight="false" outlineLevel="0" collapsed="false">
      <c r="A170" s="0" t="s">
        <v>6</v>
      </c>
      <c r="B170" s="0" t="s">
        <v>423</v>
      </c>
      <c r="C170" s="0" t="s">
        <v>1730</v>
      </c>
      <c r="D170" s="0" t="n">
        <v>1</v>
      </c>
    </row>
    <row r="171" customFormat="false" ht="15" hidden="false" customHeight="false" outlineLevel="0" collapsed="false">
      <c r="A171" s="0" t="s">
        <v>6</v>
      </c>
      <c r="B171" s="0" t="s">
        <v>423</v>
      </c>
      <c r="C171" s="0" t="s">
        <v>1866</v>
      </c>
    </row>
    <row r="172" customFormat="false" ht="15" hidden="false" customHeight="false" outlineLevel="0" collapsed="false">
      <c r="A172" s="0" t="s">
        <v>6</v>
      </c>
      <c r="B172" s="0" t="s">
        <v>423</v>
      </c>
      <c r="C172" s="0" t="s">
        <v>2159</v>
      </c>
    </row>
    <row r="173" customFormat="false" ht="15" hidden="false" customHeight="false" outlineLevel="0" collapsed="false">
      <c r="A173" s="0" t="s">
        <v>6</v>
      </c>
      <c r="B173" s="0" t="s">
        <v>430</v>
      </c>
      <c r="C173" s="0" t="s">
        <v>1730</v>
      </c>
      <c r="D173" s="0" t="n">
        <v>2.5</v>
      </c>
    </row>
    <row r="174" customFormat="false" ht="15" hidden="false" customHeight="false" outlineLevel="0" collapsed="false">
      <c r="A174" s="0" t="s">
        <v>6</v>
      </c>
      <c r="B174" s="0" t="s">
        <v>430</v>
      </c>
      <c r="C174" s="0" t="s">
        <v>1866</v>
      </c>
    </row>
    <row r="175" customFormat="false" ht="15" hidden="false" customHeight="false" outlineLevel="0" collapsed="false">
      <c r="A175" s="0" t="s">
        <v>6</v>
      </c>
      <c r="B175" s="0" t="s">
        <v>430</v>
      </c>
      <c r="C175" s="0" t="s">
        <v>2159</v>
      </c>
    </row>
    <row r="176" customFormat="false" ht="15" hidden="false" customHeight="false" outlineLevel="0" collapsed="false">
      <c r="A176" s="0" t="s">
        <v>6</v>
      </c>
      <c r="B176" s="0" t="s">
        <v>434</v>
      </c>
      <c r="C176" s="0" t="s">
        <v>1730</v>
      </c>
      <c r="D176" s="0" t="n">
        <v>0.5</v>
      </c>
    </row>
    <row r="177" customFormat="false" ht="15" hidden="false" customHeight="false" outlineLevel="0" collapsed="false">
      <c r="A177" s="0" t="s">
        <v>6</v>
      </c>
      <c r="B177" s="0" t="s">
        <v>434</v>
      </c>
      <c r="C177" s="0" t="s">
        <v>1866</v>
      </c>
      <c r="D177" s="0" t="n">
        <v>0.5</v>
      </c>
    </row>
    <row r="178" customFormat="false" ht="15" hidden="false" customHeight="false" outlineLevel="0" collapsed="false">
      <c r="A178" s="0" t="s">
        <v>6</v>
      </c>
      <c r="B178" s="0" t="s">
        <v>434</v>
      </c>
      <c r="C178" s="0" t="s">
        <v>2159</v>
      </c>
    </row>
    <row r="179" customFormat="false" ht="15" hidden="false" customHeight="false" outlineLevel="0" collapsed="false">
      <c r="A179" s="0" t="s">
        <v>6</v>
      </c>
      <c r="B179" s="0" t="s">
        <v>438</v>
      </c>
      <c r="C179" s="0" t="s">
        <v>1730</v>
      </c>
      <c r="D179" s="0" t="n">
        <v>8</v>
      </c>
    </row>
    <row r="180" customFormat="false" ht="15" hidden="false" customHeight="false" outlineLevel="0" collapsed="false">
      <c r="A180" s="0" t="s">
        <v>6</v>
      </c>
      <c r="B180" s="0" t="s">
        <v>438</v>
      </c>
      <c r="C180" s="0" t="s">
        <v>1866</v>
      </c>
      <c r="D180" s="0" t="n">
        <v>5</v>
      </c>
    </row>
    <row r="181" customFormat="false" ht="15" hidden="false" customHeight="false" outlineLevel="0" collapsed="false">
      <c r="A181" s="0" t="s">
        <v>6</v>
      </c>
      <c r="B181" s="0" t="s">
        <v>438</v>
      </c>
      <c r="C181" s="0" t="s">
        <v>2159</v>
      </c>
      <c r="D181" s="0" t="n">
        <v>10</v>
      </c>
    </row>
    <row r="182" customFormat="false" ht="15" hidden="false" customHeight="false" outlineLevel="0" collapsed="false">
      <c r="A182" s="0" t="s">
        <v>6</v>
      </c>
      <c r="B182" s="0" t="s">
        <v>444</v>
      </c>
      <c r="C182" s="0" t="s">
        <v>1730</v>
      </c>
      <c r="D182" s="0" t="n">
        <v>0.725</v>
      </c>
    </row>
    <row r="183" customFormat="false" ht="15" hidden="false" customHeight="false" outlineLevel="0" collapsed="false">
      <c r="A183" s="0" t="s">
        <v>6</v>
      </c>
      <c r="B183" s="0" t="s">
        <v>444</v>
      </c>
      <c r="C183" s="0" t="s">
        <v>1866</v>
      </c>
      <c r="D183" s="0" t="n">
        <v>0.7</v>
      </c>
    </row>
    <row r="184" customFormat="false" ht="15" hidden="false" customHeight="false" outlineLevel="0" collapsed="false">
      <c r="A184" s="0" t="s">
        <v>6</v>
      </c>
      <c r="B184" s="0" t="s">
        <v>444</v>
      </c>
      <c r="C184" s="0" t="s">
        <v>2159</v>
      </c>
      <c r="D184" s="0" t="n">
        <v>0.75</v>
      </c>
    </row>
    <row r="185" customFormat="false" ht="15" hidden="false" customHeight="false" outlineLevel="0" collapsed="false">
      <c r="A185" s="0" t="s">
        <v>6</v>
      </c>
      <c r="B185" s="0" t="s">
        <v>451</v>
      </c>
      <c r="C185" s="0" t="s">
        <v>1730</v>
      </c>
      <c r="D185" s="0" t="n">
        <v>0.125</v>
      </c>
    </row>
    <row r="186" customFormat="false" ht="15" hidden="false" customHeight="false" outlineLevel="0" collapsed="false">
      <c r="A186" s="0" t="s">
        <v>6</v>
      </c>
      <c r="B186" s="0" t="s">
        <v>451</v>
      </c>
      <c r="C186" s="0" t="s">
        <v>1866</v>
      </c>
      <c r="D186" s="0" t="n">
        <v>0.1</v>
      </c>
    </row>
    <row r="187" customFormat="false" ht="15" hidden="false" customHeight="false" outlineLevel="0" collapsed="false">
      <c r="A187" s="0" t="s">
        <v>6</v>
      </c>
      <c r="B187" s="0" t="s">
        <v>451</v>
      </c>
      <c r="C187" s="0" t="s">
        <v>2159</v>
      </c>
      <c r="D187" s="0" t="n">
        <v>0.15</v>
      </c>
    </row>
    <row r="188" customFormat="false" ht="15" hidden="false" customHeight="false" outlineLevel="0" collapsed="false">
      <c r="A188" s="0" t="s">
        <v>6</v>
      </c>
      <c r="B188" s="0" t="s">
        <v>456</v>
      </c>
      <c r="C188" s="0" t="s">
        <v>1730</v>
      </c>
      <c r="D188" s="0" t="n">
        <v>0.15</v>
      </c>
    </row>
    <row r="189" customFormat="false" ht="15" hidden="false" customHeight="false" outlineLevel="0" collapsed="false">
      <c r="A189" s="0" t="s">
        <v>6</v>
      </c>
      <c r="B189" s="0" t="s">
        <v>456</v>
      </c>
      <c r="C189" s="0" t="s">
        <v>1866</v>
      </c>
      <c r="D189" s="0" t="n">
        <v>0.1</v>
      </c>
    </row>
    <row r="190" customFormat="false" ht="15" hidden="false" customHeight="false" outlineLevel="0" collapsed="false">
      <c r="A190" s="0" t="s">
        <v>6</v>
      </c>
      <c r="B190" s="0" t="s">
        <v>456</v>
      </c>
      <c r="C190" s="0" t="s">
        <v>2159</v>
      </c>
      <c r="D190" s="0" t="n">
        <v>0.2</v>
      </c>
    </row>
    <row r="191" customFormat="false" ht="15" hidden="false" customHeight="false" outlineLevel="0" collapsed="false">
      <c r="A191" s="0" t="s">
        <v>6</v>
      </c>
      <c r="B191" s="0" t="s">
        <v>463</v>
      </c>
      <c r="C191" s="0" t="s">
        <v>1730</v>
      </c>
      <c r="D191" s="0" t="n">
        <v>0.909</v>
      </c>
    </row>
    <row r="192" customFormat="false" ht="15" hidden="false" customHeight="false" outlineLevel="0" collapsed="false">
      <c r="A192" s="0" t="s">
        <v>6</v>
      </c>
      <c r="B192" s="0" t="s">
        <v>463</v>
      </c>
      <c r="C192" s="0" t="s">
        <v>1866</v>
      </c>
    </row>
    <row r="193" customFormat="false" ht="15" hidden="false" customHeight="false" outlineLevel="0" collapsed="false">
      <c r="A193" s="0" t="s">
        <v>6</v>
      </c>
      <c r="B193" s="0" t="s">
        <v>463</v>
      </c>
      <c r="C193" s="0" t="s">
        <v>2159</v>
      </c>
    </row>
    <row r="194" customFormat="false" ht="15" hidden="false" customHeight="false" outlineLevel="0" collapsed="false">
      <c r="A194" s="0" t="s">
        <v>6</v>
      </c>
      <c r="B194" s="0" t="s">
        <v>469</v>
      </c>
      <c r="C194" s="0" t="s">
        <v>1730</v>
      </c>
      <c r="D194" s="0" t="n">
        <v>15</v>
      </c>
    </row>
    <row r="195" customFormat="false" ht="15" hidden="false" customHeight="false" outlineLevel="0" collapsed="false">
      <c r="A195" s="0" t="s">
        <v>6</v>
      </c>
      <c r="B195" s="0" t="s">
        <v>469</v>
      </c>
      <c r="C195" s="0" t="s">
        <v>1866</v>
      </c>
    </row>
    <row r="196" customFormat="false" ht="15" hidden="false" customHeight="false" outlineLevel="0" collapsed="false">
      <c r="A196" s="0" t="s">
        <v>6</v>
      </c>
      <c r="B196" s="0" t="s">
        <v>469</v>
      </c>
      <c r="C196" s="0" t="s">
        <v>2159</v>
      </c>
    </row>
    <row r="197" customFormat="false" ht="15" hidden="false" customHeight="false" outlineLevel="0" collapsed="false">
      <c r="A197" s="0" t="s">
        <v>6</v>
      </c>
      <c r="B197" s="0" t="s">
        <v>479</v>
      </c>
      <c r="C197" s="0" t="s">
        <v>1730</v>
      </c>
      <c r="D197" s="0" t="n">
        <v>75</v>
      </c>
    </row>
    <row r="198" customFormat="false" ht="15" hidden="false" customHeight="false" outlineLevel="0" collapsed="false">
      <c r="A198" s="0" t="s">
        <v>6</v>
      </c>
      <c r="B198" s="0" t="s">
        <v>479</v>
      </c>
      <c r="C198" s="0" t="s">
        <v>1866</v>
      </c>
    </row>
    <row r="199" customFormat="false" ht="15" hidden="false" customHeight="false" outlineLevel="0" collapsed="false">
      <c r="A199" s="0" t="s">
        <v>6</v>
      </c>
      <c r="B199" s="0" t="s">
        <v>479</v>
      </c>
      <c r="C199" s="0" t="s">
        <v>2159</v>
      </c>
    </row>
    <row r="200" customFormat="false" ht="15" hidden="false" customHeight="false" outlineLevel="0" collapsed="false">
      <c r="A200" s="0" t="s">
        <v>6</v>
      </c>
      <c r="B200" s="0" t="s">
        <v>482</v>
      </c>
      <c r="C200" s="0" t="s">
        <v>1730</v>
      </c>
      <c r="D200" s="0" t="n">
        <v>3</v>
      </c>
    </row>
    <row r="201" customFormat="false" ht="15" hidden="false" customHeight="false" outlineLevel="0" collapsed="false">
      <c r="A201" s="0" t="s">
        <v>6</v>
      </c>
      <c r="B201" s="0" t="s">
        <v>482</v>
      </c>
      <c r="C201" s="0" t="s">
        <v>1866</v>
      </c>
    </row>
    <row r="202" customFormat="false" ht="15" hidden="false" customHeight="false" outlineLevel="0" collapsed="false">
      <c r="A202" s="0" t="s">
        <v>6</v>
      </c>
      <c r="B202" s="0" t="s">
        <v>482</v>
      </c>
      <c r="C202" s="0" t="s">
        <v>2159</v>
      </c>
    </row>
    <row r="203" customFormat="false" ht="15" hidden="false" customHeight="false" outlineLevel="0" collapsed="false">
      <c r="A203" s="0" t="s">
        <v>6</v>
      </c>
      <c r="B203" s="0" t="s">
        <v>486</v>
      </c>
      <c r="C203" s="0" t="s">
        <v>1730</v>
      </c>
      <c r="D203" s="0" t="n">
        <v>15</v>
      </c>
    </row>
    <row r="204" customFormat="false" ht="15" hidden="false" customHeight="false" outlineLevel="0" collapsed="false">
      <c r="A204" s="0" t="s">
        <v>6</v>
      </c>
      <c r="B204" s="0" t="s">
        <v>486</v>
      </c>
      <c r="C204" s="0" t="s">
        <v>1866</v>
      </c>
    </row>
    <row r="205" customFormat="false" ht="15" hidden="false" customHeight="false" outlineLevel="0" collapsed="false">
      <c r="A205" s="0" t="s">
        <v>6</v>
      </c>
      <c r="B205" s="0" t="s">
        <v>486</v>
      </c>
      <c r="C205" s="0" t="s">
        <v>2159</v>
      </c>
    </row>
    <row r="206" customFormat="false" ht="15" hidden="false" customHeight="false" outlineLevel="0" collapsed="false">
      <c r="A206" s="0" t="s">
        <v>6</v>
      </c>
      <c r="B206" s="0" t="s">
        <v>489</v>
      </c>
      <c r="C206" s="0" t="s">
        <v>1730</v>
      </c>
      <c r="D206" s="0" t="n">
        <v>0.25</v>
      </c>
    </row>
    <row r="207" customFormat="false" ht="15" hidden="false" customHeight="false" outlineLevel="0" collapsed="false">
      <c r="A207" s="0" t="s">
        <v>6</v>
      </c>
      <c r="B207" s="0" t="s">
        <v>489</v>
      </c>
      <c r="C207" s="0" t="s">
        <v>1866</v>
      </c>
    </row>
    <row r="208" customFormat="false" ht="15" hidden="false" customHeight="false" outlineLevel="0" collapsed="false">
      <c r="A208" s="0" t="s">
        <v>6</v>
      </c>
      <c r="B208" s="0" t="s">
        <v>489</v>
      </c>
      <c r="C208" s="0" t="s">
        <v>2159</v>
      </c>
    </row>
    <row r="209" customFormat="false" ht="15" hidden="false" customHeight="false" outlineLevel="0" collapsed="false">
      <c r="A209" s="0" t="s">
        <v>6</v>
      </c>
      <c r="B209" s="0" t="s">
        <v>493</v>
      </c>
      <c r="C209" s="0" t="s">
        <v>1730</v>
      </c>
      <c r="D209" s="0" t="n">
        <v>1.25</v>
      </c>
    </row>
    <row r="210" customFormat="false" ht="15" hidden="false" customHeight="false" outlineLevel="0" collapsed="false">
      <c r="A210" s="0" t="s">
        <v>6</v>
      </c>
      <c r="B210" s="0" t="s">
        <v>493</v>
      </c>
      <c r="C210" s="0" t="s">
        <v>1866</v>
      </c>
    </row>
    <row r="211" customFormat="false" ht="15" hidden="false" customHeight="false" outlineLevel="0" collapsed="false">
      <c r="A211" s="0" t="s">
        <v>6</v>
      </c>
      <c r="B211" s="0" t="s">
        <v>493</v>
      </c>
      <c r="C211" s="0" t="s">
        <v>2159</v>
      </c>
    </row>
    <row r="212" customFormat="false" ht="15" hidden="false" customHeight="false" outlineLevel="0" collapsed="false">
      <c r="A212" s="0" t="s">
        <v>6</v>
      </c>
      <c r="B212" s="0" t="s">
        <v>496</v>
      </c>
      <c r="C212" s="0" t="s">
        <v>1730</v>
      </c>
      <c r="D212" s="0" t="n">
        <v>3</v>
      </c>
    </row>
    <row r="213" customFormat="false" ht="15" hidden="false" customHeight="false" outlineLevel="0" collapsed="false">
      <c r="A213" s="0" t="s">
        <v>6</v>
      </c>
      <c r="B213" s="0" t="s">
        <v>496</v>
      </c>
      <c r="C213" s="0" t="s">
        <v>1866</v>
      </c>
    </row>
    <row r="214" customFormat="false" ht="15" hidden="false" customHeight="false" outlineLevel="0" collapsed="false">
      <c r="A214" s="0" t="s">
        <v>6</v>
      </c>
      <c r="B214" s="0" t="s">
        <v>496</v>
      </c>
      <c r="C214" s="0" t="s">
        <v>2159</v>
      </c>
    </row>
    <row r="215" customFormat="false" ht="15" hidden="false" customHeight="false" outlineLevel="0" collapsed="false">
      <c r="A215" s="0" t="s">
        <v>6</v>
      </c>
      <c r="B215" s="0" t="s">
        <v>504</v>
      </c>
      <c r="C215" s="0" t="s">
        <v>1730</v>
      </c>
      <c r="D215" s="0" t="n">
        <v>15</v>
      </c>
    </row>
    <row r="216" customFormat="false" ht="15" hidden="false" customHeight="false" outlineLevel="0" collapsed="false">
      <c r="A216" s="0" t="s">
        <v>6</v>
      </c>
      <c r="B216" s="0" t="s">
        <v>504</v>
      </c>
      <c r="C216" s="0" t="s">
        <v>1866</v>
      </c>
    </row>
    <row r="217" customFormat="false" ht="15" hidden="false" customHeight="false" outlineLevel="0" collapsed="false">
      <c r="A217" s="0" t="s">
        <v>6</v>
      </c>
      <c r="B217" s="0" t="s">
        <v>504</v>
      </c>
      <c r="C217" s="0" t="s">
        <v>2159</v>
      </c>
    </row>
    <row r="218" customFormat="false" ht="15" hidden="false" customHeight="false" outlineLevel="0" collapsed="false">
      <c r="A218" s="0" t="s">
        <v>6</v>
      </c>
      <c r="B218" s="0" t="s">
        <v>507</v>
      </c>
      <c r="C218" s="0" t="s">
        <v>1730</v>
      </c>
      <c r="D218" s="0" t="n">
        <v>1</v>
      </c>
    </row>
    <row r="219" customFormat="false" ht="15" hidden="false" customHeight="false" outlineLevel="0" collapsed="false">
      <c r="A219" s="0" t="s">
        <v>6</v>
      </c>
      <c r="B219" s="0" t="s">
        <v>507</v>
      </c>
      <c r="C219" s="0" t="s">
        <v>1866</v>
      </c>
    </row>
    <row r="220" customFormat="false" ht="15" hidden="false" customHeight="false" outlineLevel="0" collapsed="false">
      <c r="A220" s="0" t="s">
        <v>6</v>
      </c>
      <c r="B220" s="0" t="s">
        <v>507</v>
      </c>
      <c r="C220" s="0" t="s">
        <v>2159</v>
      </c>
    </row>
    <row r="221" customFormat="false" ht="15" hidden="false" customHeight="false" outlineLevel="0" collapsed="false">
      <c r="A221" s="0" t="s">
        <v>6</v>
      </c>
      <c r="B221" s="0" t="s">
        <v>515</v>
      </c>
      <c r="C221" s="0" t="s">
        <v>1730</v>
      </c>
      <c r="D221" s="0" t="n">
        <v>5</v>
      </c>
    </row>
    <row r="222" customFormat="false" ht="15" hidden="false" customHeight="false" outlineLevel="0" collapsed="false">
      <c r="A222" s="0" t="s">
        <v>6</v>
      </c>
      <c r="B222" s="0" t="s">
        <v>515</v>
      </c>
      <c r="C222" s="0" t="s">
        <v>1866</v>
      </c>
    </row>
    <row r="223" customFormat="false" ht="15" hidden="false" customHeight="false" outlineLevel="0" collapsed="false">
      <c r="A223" s="0" t="s">
        <v>6</v>
      </c>
      <c r="B223" s="0" t="s">
        <v>515</v>
      </c>
      <c r="C223" s="0" t="s">
        <v>2159</v>
      </c>
    </row>
    <row r="224" customFormat="false" ht="15" hidden="false" customHeight="false" outlineLevel="0" collapsed="false">
      <c r="A224" s="0" t="s">
        <v>6</v>
      </c>
      <c r="B224" s="0" t="s">
        <v>518</v>
      </c>
      <c r="C224" s="0" t="s">
        <v>1730</v>
      </c>
      <c r="D224" s="0" t="n">
        <v>0.8</v>
      </c>
    </row>
    <row r="225" customFormat="false" ht="15" hidden="false" customHeight="false" outlineLevel="0" collapsed="false">
      <c r="A225" s="0" t="s">
        <v>6</v>
      </c>
      <c r="B225" s="0" t="s">
        <v>518</v>
      </c>
      <c r="C225" s="0" t="s">
        <v>1866</v>
      </c>
    </row>
    <row r="226" customFormat="false" ht="15" hidden="false" customHeight="false" outlineLevel="0" collapsed="false">
      <c r="A226" s="0" t="s">
        <v>6</v>
      </c>
      <c r="B226" s="0" t="s">
        <v>518</v>
      </c>
      <c r="C226" s="0" t="s">
        <v>2159</v>
      </c>
    </row>
    <row r="227" customFormat="false" ht="15" hidden="false" customHeight="false" outlineLevel="0" collapsed="false">
      <c r="A227" s="0" t="s">
        <v>6</v>
      </c>
      <c r="B227" s="0" t="s">
        <v>525</v>
      </c>
      <c r="C227" s="0" t="s">
        <v>1730</v>
      </c>
      <c r="D227" s="0" t="n">
        <v>4</v>
      </c>
    </row>
    <row r="228" customFormat="false" ht="15" hidden="false" customHeight="false" outlineLevel="0" collapsed="false">
      <c r="A228" s="0" t="s">
        <v>6</v>
      </c>
      <c r="B228" s="0" t="s">
        <v>525</v>
      </c>
      <c r="C228" s="0" t="s">
        <v>1866</v>
      </c>
    </row>
    <row r="229" customFormat="false" ht="15" hidden="false" customHeight="false" outlineLevel="0" collapsed="false">
      <c r="A229" s="0" t="s">
        <v>6</v>
      </c>
      <c r="B229" s="0" t="s">
        <v>525</v>
      </c>
      <c r="C229" s="0" t="s">
        <v>2159</v>
      </c>
    </row>
    <row r="230" customFormat="false" ht="15" hidden="false" customHeight="false" outlineLevel="0" collapsed="false">
      <c r="A230" s="0" t="s">
        <v>6</v>
      </c>
      <c r="B230" s="0" t="s">
        <v>528</v>
      </c>
      <c r="C230" s="0" t="s">
        <v>1730</v>
      </c>
      <c r="D230" s="0" t="n">
        <v>3</v>
      </c>
    </row>
    <row r="231" customFormat="false" ht="15" hidden="false" customHeight="false" outlineLevel="0" collapsed="false">
      <c r="A231" s="0" t="s">
        <v>6</v>
      </c>
      <c r="B231" s="0" t="s">
        <v>528</v>
      </c>
      <c r="C231" s="0" t="s">
        <v>1866</v>
      </c>
    </row>
    <row r="232" customFormat="false" ht="15" hidden="false" customHeight="false" outlineLevel="0" collapsed="false">
      <c r="A232" s="0" t="s">
        <v>6</v>
      </c>
      <c r="B232" s="0" t="s">
        <v>528</v>
      </c>
      <c r="C232" s="0" t="s">
        <v>2159</v>
      </c>
    </row>
    <row r="233" customFormat="false" ht="15" hidden="false" customHeight="false" outlineLevel="0" collapsed="false">
      <c r="A233" s="0" t="s">
        <v>6</v>
      </c>
      <c r="B233" s="0" t="s">
        <v>535</v>
      </c>
      <c r="C233" s="0" t="s">
        <v>1730</v>
      </c>
      <c r="D233" s="0" t="n">
        <v>15</v>
      </c>
    </row>
    <row r="234" customFormat="false" ht="15" hidden="false" customHeight="false" outlineLevel="0" collapsed="false">
      <c r="A234" s="0" t="s">
        <v>6</v>
      </c>
      <c r="B234" s="0" t="s">
        <v>535</v>
      </c>
      <c r="C234" s="0" t="s">
        <v>1866</v>
      </c>
    </row>
    <row r="235" customFormat="false" ht="15" hidden="false" customHeight="false" outlineLevel="0" collapsed="false">
      <c r="A235" s="0" t="s">
        <v>6</v>
      </c>
      <c r="B235" s="0" t="s">
        <v>535</v>
      </c>
      <c r="C235" s="0" t="s">
        <v>2159</v>
      </c>
    </row>
    <row r="236" customFormat="false" ht="15" hidden="false" customHeight="false" outlineLevel="0" collapsed="false">
      <c r="A236" s="0" t="s">
        <v>6</v>
      </c>
      <c r="B236" s="0" t="s">
        <v>538</v>
      </c>
      <c r="C236" s="0" t="s">
        <v>1730</v>
      </c>
      <c r="D236" s="0" t="n">
        <v>15</v>
      </c>
    </row>
    <row r="237" customFormat="false" ht="15" hidden="false" customHeight="false" outlineLevel="0" collapsed="false">
      <c r="A237" s="0" t="s">
        <v>6</v>
      </c>
      <c r="B237" s="0" t="s">
        <v>538</v>
      </c>
      <c r="C237" s="0" t="s">
        <v>1866</v>
      </c>
    </row>
    <row r="238" customFormat="false" ht="15" hidden="false" customHeight="false" outlineLevel="0" collapsed="false">
      <c r="A238" s="0" t="s">
        <v>6</v>
      </c>
      <c r="B238" s="0" t="s">
        <v>538</v>
      </c>
      <c r="C238" s="0" t="s">
        <v>2159</v>
      </c>
    </row>
    <row r="239" customFormat="false" ht="15" hidden="false" customHeight="false" outlineLevel="0" collapsed="false">
      <c r="A239" s="0" t="s">
        <v>6</v>
      </c>
      <c r="B239" s="0" t="s">
        <v>545</v>
      </c>
      <c r="C239" s="0" t="s">
        <v>1730</v>
      </c>
      <c r="D239" s="0" t="n">
        <v>75</v>
      </c>
    </row>
    <row r="240" customFormat="false" ht="15" hidden="false" customHeight="false" outlineLevel="0" collapsed="false">
      <c r="A240" s="0" t="s">
        <v>6</v>
      </c>
      <c r="B240" s="0" t="s">
        <v>545</v>
      </c>
      <c r="C240" s="0" t="s">
        <v>1866</v>
      </c>
    </row>
    <row r="241" customFormat="false" ht="15" hidden="false" customHeight="false" outlineLevel="0" collapsed="false">
      <c r="A241" s="0" t="s">
        <v>6</v>
      </c>
      <c r="B241" s="0" t="s">
        <v>545</v>
      </c>
      <c r="C241" s="0" t="s">
        <v>2159</v>
      </c>
    </row>
    <row r="242" customFormat="false" ht="15" hidden="false" customHeight="false" outlineLevel="0" collapsed="false">
      <c r="A242" s="0" t="s">
        <v>6</v>
      </c>
      <c r="B242" s="0" t="s">
        <v>548</v>
      </c>
      <c r="C242" s="0" t="s">
        <v>1730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548</v>
      </c>
      <c r="C243" s="0" t="s">
        <v>1866</v>
      </c>
    </row>
    <row r="244" customFormat="false" ht="15" hidden="false" customHeight="false" outlineLevel="0" collapsed="false">
      <c r="A244" s="0" t="s">
        <v>6</v>
      </c>
      <c r="B244" s="0" t="s">
        <v>548</v>
      </c>
      <c r="C244" s="0" t="s">
        <v>2159</v>
      </c>
    </row>
    <row r="245" customFormat="false" ht="15" hidden="false" customHeight="false" outlineLevel="0" collapsed="false">
      <c r="A245" s="0" t="s">
        <v>6</v>
      </c>
      <c r="B245" s="0" t="s">
        <v>552</v>
      </c>
      <c r="C245" s="0" t="s">
        <v>1730</v>
      </c>
      <c r="D245" s="0" t="n">
        <v>15</v>
      </c>
    </row>
    <row r="246" customFormat="false" ht="15" hidden="false" customHeight="false" outlineLevel="0" collapsed="false">
      <c r="A246" s="0" t="s">
        <v>6</v>
      </c>
      <c r="B246" s="0" t="s">
        <v>552</v>
      </c>
      <c r="C246" s="0" t="s">
        <v>1866</v>
      </c>
    </row>
    <row r="247" customFormat="false" ht="15" hidden="false" customHeight="false" outlineLevel="0" collapsed="false">
      <c r="A247" s="0" t="s">
        <v>6</v>
      </c>
      <c r="B247" s="0" t="s">
        <v>552</v>
      </c>
      <c r="C247" s="0" t="s">
        <v>2159</v>
      </c>
    </row>
    <row r="248" customFormat="false" ht="15" hidden="false" customHeight="false" outlineLevel="0" collapsed="false">
      <c r="A248" s="0" t="s">
        <v>6</v>
      </c>
      <c r="B248" s="0" t="s">
        <v>555</v>
      </c>
      <c r="C248" s="0" t="s">
        <v>1730</v>
      </c>
      <c r="D248" s="0" t="n">
        <v>15</v>
      </c>
    </row>
    <row r="249" customFormat="false" ht="15" hidden="false" customHeight="false" outlineLevel="0" collapsed="false">
      <c r="A249" s="0" t="s">
        <v>6</v>
      </c>
      <c r="B249" s="0" t="s">
        <v>555</v>
      </c>
      <c r="C249" s="0" t="s">
        <v>1866</v>
      </c>
    </row>
    <row r="250" customFormat="false" ht="15" hidden="false" customHeight="false" outlineLevel="0" collapsed="false">
      <c r="A250" s="0" t="s">
        <v>6</v>
      </c>
      <c r="B250" s="0" t="s">
        <v>555</v>
      </c>
      <c r="C250" s="0" t="s">
        <v>2159</v>
      </c>
    </row>
    <row r="251" customFormat="false" ht="15" hidden="false" customHeight="false" outlineLevel="0" collapsed="false">
      <c r="A251" s="0" t="s">
        <v>6</v>
      </c>
      <c r="B251" s="0" t="s">
        <v>562</v>
      </c>
      <c r="C251" s="0" t="s">
        <v>1730</v>
      </c>
      <c r="D251" s="0" t="n">
        <v>75</v>
      </c>
    </row>
    <row r="252" customFormat="false" ht="15" hidden="false" customHeight="false" outlineLevel="0" collapsed="false">
      <c r="A252" s="0" t="s">
        <v>6</v>
      </c>
      <c r="B252" s="0" t="s">
        <v>562</v>
      </c>
      <c r="C252" s="0" t="s">
        <v>1866</v>
      </c>
    </row>
    <row r="253" customFormat="false" ht="15" hidden="false" customHeight="false" outlineLevel="0" collapsed="false">
      <c r="A253" s="0" t="s">
        <v>6</v>
      </c>
      <c r="B253" s="0" t="s">
        <v>562</v>
      </c>
      <c r="C253" s="0" t="s">
        <v>2159</v>
      </c>
    </row>
    <row r="254" customFormat="false" ht="15" hidden="false" customHeight="false" outlineLevel="0" collapsed="false">
      <c r="A254" s="0" t="s">
        <v>6</v>
      </c>
      <c r="B254" s="0" t="s">
        <v>565</v>
      </c>
      <c r="C254" s="0" t="s">
        <v>1730</v>
      </c>
      <c r="D254" s="0" t="n">
        <v>3</v>
      </c>
    </row>
    <row r="255" customFormat="false" ht="15" hidden="false" customHeight="false" outlineLevel="0" collapsed="false">
      <c r="A255" s="0" t="s">
        <v>6</v>
      </c>
      <c r="B255" s="0" t="s">
        <v>565</v>
      </c>
      <c r="C255" s="0" t="s">
        <v>1866</v>
      </c>
    </row>
    <row r="256" customFormat="false" ht="15" hidden="false" customHeight="false" outlineLevel="0" collapsed="false">
      <c r="A256" s="0" t="s">
        <v>6</v>
      </c>
      <c r="B256" s="0" t="s">
        <v>565</v>
      </c>
      <c r="C256" s="0" t="s">
        <v>2159</v>
      </c>
    </row>
    <row r="257" customFormat="false" ht="15" hidden="false" customHeight="false" outlineLevel="0" collapsed="false">
      <c r="A257" s="0" t="s">
        <v>6</v>
      </c>
      <c r="B257" s="0" t="s">
        <v>572</v>
      </c>
      <c r="C257" s="0" t="s">
        <v>1730</v>
      </c>
      <c r="D257" s="0" t="n">
        <v>15</v>
      </c>
    </row>
    <row r="258" customFormat="false" ht="15" hidden="false" customHeight="false" outlineLevel="0" collapsed="false">
      <c r="A258" s="0" t="s">
        <v>6</v>
      </c>
      <c r="B258" s="0" t="s">
        <v>572</v>
      </c>
      <c r="C258" s="0" t="s">
        <v>1866</v>
      </c>
    </row>
    <row r="259" customFormat="false" ht="15" hidden="false" customHeight="false" outlineLevel="0" collapsed="false">
      <c r="A259" s="0" t="s">
        <v>6</v>
      </c>
      <c r="B259" s="0" t="s">
        <v>572</v>
      </c>
      <c r="C259" s="0" t="s">
        <v>2159</v>
      </c>
    </row>
    <row r="260" customFormat="false" ht="15" hidden="false" customHeight="false" outlineLevel="0" collapsed="false">
      <c r="A260" s="0" t="s">
        <v>6</v>
      </c>
      <c r="B260" s="0" t="s">
        <v>575</v>
      </c>
      <c r="C260" s="0" t="s">
        <v>1730</v>
      </c>
      <c r="D260" s="0" t="n">
        <v>1</v>
      </c>
    </row>
    <row r="261" customFormat="false" ht="15" hidden="false" customHeight="false" outlineLevel="0" collapsed="false">
      <c r="A261" s="0" t="s">
        <v>6</v>
      </c>
      <c r="B261" s="0" t="s">
        <v>575</v>
      </c>
      <c r="C261" s="0" t="s">
        <v>1866</v>
      </c>
    </row>
    <row r="262" customFormat="false" ht="15" hidden="false" customHeight="false" outlineLevel="0" collapsed="false">
      <c r="A262" s="0" t="s">
        <v>6</v>
      </c>
      <c r="B262" s="0" t="s">
        <v>575</v>
      </c>
      <c r="C262" s="0" t="s">
        <v>2159</v>
      </c>
    </row>
    <row r="263" customFormat="false" ht="15" hidden="false" customHeight="false" outlineLevel="0" collapsed="false">
      <c r="A263" s="0" t="s">
        <v>6</v>
      </c>
      <c r="B263" s="0" t="s">
        <v>581</v>
      </c>
      <c r="C263" s="0" t="s">
        <v>1730</v>
      </c>
      <c r="D263" s="0" t="n">
        <v>5</v>
      </c>
    </row>
    <row r="264" customFormat="false" ht="15" hidden="false" customHeight="false" outlineLevel="0" collapsed="false">
      <c r="A264" s="0" t="s">
        <v>6</v>
      </c>
      <c r="B264" s="0" t="s">
        <v>581</v>
      </c>
      <c r="C264" s="0" t="s">
        <v>1866</v>
      </c>
    </row>
    <row r="265" customFormat="false" ht="15" hidden="false" customHeight="false" outlineLevel="0" collapsed="false">
      <c r="A265" s="0" t="s">
        <v>6</v>
      </c>
      <c r="B265" s="0" t="s">
        <v>581</v>
      </c>
      <c r="C265" s="0" t="s">
        <v>2159</v>
      </c>
    </row>
    <row r="266" customFormat="false" ht="15" hidden="false" customHeight="false" outlineLevel="0" collapsed="false">
      <c r="A266" s="0" t="s">
        <v>6</v>
      </c>
      <c r="B266" s="0" t="s">
        <v>584</v>
      </c>
      <c r="C266" s="0" t="s">
        <v>1730</v>
      </c>
      <c r="D266" s="0" t="n">
        <v>5</v>
      </c>
    </row>
    <row r="267" customFormat="false" ht="15" hidden="false" customHeight="false" outlineLevel="0" collapsed="false">
      <c r="A267" s="0" t="s">
        <v>6</v>
      </c>
      <c r="B267" s="0" t="s">
        <v>584</v>
      </c>
      <c r="C267" s="0" t="s">
        <v>1866</v>
      </c>
    </row>
    <row r="268" customFormat="false" ht="15" hidden="false" customHeight="false" outlineLevel="0" collapsed="false">
      <c r="A268" s="0" t="s">
        <v>6</v>
      </c>
      <c r="B268" s="0" t="s">
        <v>584</v>
      </c>
      <c r="C268" s="0" t="s">
        <v>2159</v>
      </c>
    </row>
    <row r="269" customFormat="false" ht="15" hidden="false" customHeight="false" outlineLevel="0" collapsed="false">
      <c r="A269" s="0" t="s">
        <v>6</v>
      </c>
      <c r="B269" s="0" t="s">
        <v>591</v>
      </c>
      <c r="C269" s="0" t="s">
        <v>1730</v>
      </c>
      <c r="D269" s="0" t="n">
        <v>25</v>
      </c>
    </row>
    <row r="270" customFormat="false" ht="15" hidden="false" customHeight="false" outlineLevel="0" collapsed="false">
      <c r="A270" s="0" t="s">
        <v>6</v>
      </c>
      <c r="B270" s="0" t="s">
        <v>591</v>
      </c>
      <c r="C270" s="0" t="s">
        <v>1866</v>
      </c>
    </row>
    <row r="271" customFormat="false" ht="15" hidden="false" customHeight="false" outlineLevel="0" collapsed="false">
      <c r="A271" s="0" t="s">
        <v>6</v>
      </c>
      <c r="B271" s="0" t="s">
        <v>591</v>
      </c>
      <c r="C271" s="0" t="s">
        <v>2159</v>
      </c>
    </row>
    <row r="272" customFormat="false" ht="15" hidden="false" customHeight="false" outlineLevel="0" collapsed="false">
      <c r="A272" s="0" t="s">
        <v>6</v>
      </c>
      <c r="B272" s="0" t="s">
        <v>594</v>
      </c>
      <c r="C272" s="0" t="s">
        <v>1730</v>
      </c>
      <c r="D272" s="0" t="n">
        <v>5</v>
      </c>
    </row>
    <row r="273" customFormat="false" ht="15" hidden="false" customHeight="false" outlineLevel="0" collapsed="false">
      <c r="A273" s="0" t="s">
        <v>6</v>
      </c>
      <c r="B273" s="0" t="s">
        <v>594</v>
      </c>
      <c r="C273" s="0" t="s">
        <v>1866</v>
      </c>
    </row>
    <row r="274" customFormat="false" ht="15" hidden="false" customHeight="false" outlineLevel="0" collapsed="false">
      <c r="A274" s="0" t="s">
        <v>6</v>
      </c>
      <c r="B274" s="0" t="s">
        <v>594</v>
      </c>
      <c r="C274" s="0" t="s">
        <v>2159</v>
      </c>
    </row>
    <row r="275" customFormat="false" ht="15" hidden="false" customHeight="false" outlineLevel="0" collapsed="false">
      <c r="A275" s="0" t="s">
        <v>6</v>
      </c>
      <c r="B275" s="0" t="s">
        <v>601</v>
      </c>
      <c r="C275" s="0" t="s">
        <v>1730</v>
      </c>
      <c r="D275" s="0" t="n">
        <v>25</v>
      </c>
    </row>
    <row r="276" customFormat="false" ht="15" hidden="false" customHeight="false" outlineLevel="0" collapsed="false">
      <c r="A276" s="0" t="s">
        <v>6</v>
      </c>
      <c r="B276" s="0" t="s">
        <v>601</v>
      </c>
      <c r="C276" s="0" t="s">
        <v>1866</v>
      </c>
    </row>
    <row r="277" customFormat="false" ht="15" hidden="false" customHeight="false" outlineLevel="0" collapsed="false">
      <c r="A277" s="0" t="s">
        <v>6</v>
      </c>
      <c r="B277" s="0" t="s">
        <v>601</v>
      </c>
      <c r="C277" s="0" t="s">
        <v>2159</v>
      </c>
    </row>
    <row r="278" customFormat="false" ht="15" hidden="false" customHeight="false" outlineLevel="0" collapsed="false">
      <c r="A278" s="0" t="s">
        <v>6</v>
      </c>
      <c r="B278" s="0" t="s">
        <v>604</v>
      </c>
      <c r="C278" s="0" t="s">
        <v>1730</v>
      </c>
      <c r="D278" s="0" t="n">
        <v>3</v>
      </c>
    </row>
    <row r="279" customFormat="false" ht="15" hidden="false" customHeight="false" outlineLevel="0" collapsed="false">
      <c r="A279" s="0" t="s">
        <v>6</v>
      </c>
      <c r="B279" s="0" t="s">
        <v>604</v>
      </c>
      <c r="C279" s="0" t="s">
        <v>1866</v>
      </c>
    </row>
    <row r="280" customFormat="false" ht="15" hidden="false" customHeight="false" outlineLevel="0" collapsed="false">
      <c r="A280" s="0" t="s">
        <v>6</v>
      </c>
      <c r="B280" s="0" t="s">
        <v>604</v>
      </c>
      <c r="C280" s="0" t="s">
        <v>2159</v>
      </c>
    </row>
    <row r="281" customFormat="false" ht="15" hidden="false" customHeight="false" outlineLevel="0" collapsed="false">
      <c r="A281" s="0" t="s">
        <v>6</v>
      </c>
      <c r="B281" s="0" t="s">
        <v>611</v>
      </c>
      <c r="C281" s="0" t="s">
        <v>1730</v>
      </c>
      <c r="D281" s="0" t="n">
        <v>15</v>
      </c>
    </row>
    <row r="282" customFormat="false" ht="15" hidden="false" customHeight="false" outlineLevel="0" collapsed="false">
      <c r="A282" s="0" t="s">
        <v>6</v>
      </c>
      <c r="B282" s="0" t="s">
        <v>611</v>
      </c>
      <c r="C282" s="0" t="s">
        <v>1866</v>
      </c>
    </row>
    <row r="283" customFormat="false" ht="15" hidden="false" customHeight="false" outlineLevel="0" collapsed="false">
      <c r="A283" s="0" t="s">
        <v>6</v>
      </c>
      <c r="B283" s="0" t="s">
        <v>611</v>
      </c>
      <c r="C283" s="0" t="s">
        <v>2159</v>
      </c>
    </row>
    <row r="284" customFormat="false" ht="15" hidden="false" customHeight="false" outlineLevel="0" collapsed="false">
      <c r="A284" s="0" t="s">
        <v>6</v>
      </c>
      <c r="B284" s="0" t="s">
        <v>614</v>
      </c>
      <c r="C284" s="0" t="s">
        <v>1730</v>
      </c>
      <c r="D284" s="0" t="n">
        <v>25</v>
      </c>
    </row>
    <row r="285" customFormat="false" ht="15" hidden="false" customHeight="false" outlineLevel="0" collapsed="false">
      <c r="A285" s="0" t="s">
        <v>6</v>
      </c>
      <c r="B285" s="0" t="s">
        <v>614</v>
      </c>
      <c r="C285" s="0" t="s">
        <v>1866</v>
      </c>
    </row>
    <row r="286" customFormat="false" ht="15" hidden="false" customHeight="false" outlineLevel="0" collapsed="false">
      <c r="A286" s="0" t="s">
        <v>6</v>
      </c>
      <c r="B286" s="0" t="s">
        <v>614</v>
      </c>
      <c r="C286" s="0" t="s">
        <v>2159</v>
      </c>
    </row>
    <row r="287" customFormat="false" ht="15" hidden="false" customHeight="false" outlineLevel="0" collapsed="false">
      <c r="A287" s="0" t="s">
        <v>6</v>
      </c>
      <c r="B287" s="0" t="s">
        <v>621</v>
      </c>
      <c r="C287" s="0" t="s">
        <v>1730</v>
      </c>
      <c r="D287" s="0" t="n">
        <v>125</v>
      </c>
    </row>
    <row r="288" customFormat="false" ht="15" hidden="false" customHeight="false" outlineLevel="0" collapsed="false">
      <c r="A288" s="0" t="s">
        <v>6</v>
      </c>
      <c r="B288" s="0" t="s">
        <v>621</v>
      </c>
      <c r="C288" s="0" t="s">
        <v>1866</v>
      </c>
    </row>
    <row r="289" customFormat="false" ht="15" hidden="false" customHeight="false" outlineLevel="0" collapsed="false">
      <c r="A289" s="0" t="s">
        <v>6</v>
      </c>
      <c r="B289" s="0" t="s">
        <v>621</v>
      </c>
      <c r="C289" s="0" t="s">
        <v>2159</v>
      </c>
    </row>
    <row r="290" customFormat="false" ht="15" hidden="false" customHeight="false" outlineLevel="0" collapsed="false">
      <c r="A290" s="0" t="s">
        <v>6</v>
      </c>
      <c r="B290" s="0" t="s">
        <v>624</v>
      </c>
      <c r="C290" s="0" t="s">
        <v>1730</v>
      </c>
      <c r="D290" s="0" t="n">
        <v>5</v>
      </c>
    </row>
    <row r="291" customFormat="false" ht="15" hidden="false" customHeight="false" outlineLevel="0" collapsed="false">
      <c r="A291" s="0" t="s">
        <v>6</v>
      </c>
      <c r="B291" s="0" t="s">
        <v>624</v>
      </c>
      <c r="C291" s="0" t="s">
        <v>1866</v>
      </c>
    </row>
    <row r="292" customFormat="false" ht="15" hidden="false" customHeight="false" outlineLevel="0" collapsed="false">
      <c r="A292" s="0" t="s">
        <v>6</v>
      </c>
      <c r="B292" s="0" t="s">
        <v>624</v>
      </c>
      <c r="C292" s="0" t="s">
        <v>2159</v>
      </c>
    </row>
    <row r="293" customFormat="false" ht="15" hidden="false" customHeight="false" outlineLevel="0" collapsed="false">
      <c r="A293" s="0" t="s">
        <v>6</v>
      </c>
      <c r="B293" s="0" t="s">
        <v>631</v>
      </c>
      <c r="C293" s="0" t="s">
        <v>1730</v>
      </c>
      <c r="D293" s="0" t="n">
        <v>25</v>
      </c>
    </row>
    <row r="294" customFormat="false" ht="15" hidden="false" customHeight="false" outlineLevel="0" collapsed="false">
      <c r="A294" s="0" t="s">
        <v>6</v>
      </c>
      <c r="B294" s="0" t="s">
        <v>631</v>
      </c>
      <c r="C294" s="0" t="s">
        <v>1866</v>
      </c>
    </row>
    <row r="295" customFormat="false" ht="15" hidden="false" customHeight="false" outlineLevel="0" collapsed="false">
      <c r="A295" s="0" t="s">
        <v>6</v>
      </c>
      <c r="B295" s="0" t="s">
        <v>631</v>
      </c>
      <c r="C295" s="0" t="s">
        <v>2159</v>
      </c>
    </row>
    <row r="296" customFormat="false" ht="15" hidden="false" customHeight="false" outlineLevel="0" collapsed="false">
      <c r="A296" s="0" t="s">
        <v>6</v>
      </c>
      <c r="B296" s="0" t="s">
        <v>634</v>
      </c>
      <c r="C296" s="0" t="s">
        <v>1730</v>
      </c>
      <c r="D296" s="0" t="n">
        <v>5</v>
      </c>
    </row>
    <row r="297" customFormat="false" ht="15" hidden="false" customHeight="false" outlineLevel="0" collapsed="false">
      <c r="A297" s="0" t="s">
        <v>6</v>
      </c>
      <c r="B297" s="0" t="s">
        <v>634</v>
      </c>
      <c r="C297" s="0" t="s">
        <v>1866</v>
      </c>
    </row>
    <row r="298" customFormat="false" ht="15" hidden="false" customHeight="false" outlineLevel="0" collapsed="false">
      <c r="A298" s="0" t="s">
        <v>6</v>
      </c>
      <c r="B298" s="0" t="s">
        <v>634</v>
      </c>
      <c r="C298" s="0" t="s">
        <v>2159</v>
      </c>
    </row>
    <row r="299" customFormat="false" ht="15" hidden="false" customHeight="false" outlineLevel="0" collapsed="false">
      <c r="A299" s="0" t="s">
        <v>6</v>
      </c>
      <c r="B299" s="0" t="s">
        <v>640</v>
      </c>
      <c r="C299" s="0" t="s">
        <v>1730</v>
      </c>
      <c r="D299" s="0" t="n">
        <v>25</v>
      </c>
    </row>
    <row r="300" customFormat="false" ht="15" hidden="false" customHeight="false" outlineLevel="0" collapsed="false">
      <c r="A300" s="0" t="s">
        <v>6</v>
      </c>
      <c r="B300" s="0" t="s">
        <v>640</v>
      </c>
      <c r="C300" s="0" t="s">
        <v>1866</v>
      </c>
    </row>
    <row r="301" customFormat="false" ht="15" hidden="false" customHeight="false" outlineLevel="0" collapsed="false">
      <c r="A301" s="0" t="s">
        <v>6</v>
      </c>
      <c r="B301" s="0" t="s">
        <v>640</v>
      </c>
      <c r="C301" s="0" t="s">
        <v>2159</v>
      </c>
    </row>
    <row r="302" customFormat="false" ht="15" hidden="false" customHeight="false" outlineLevel="0" collapsed="false">
      <c r="A302" s="0" t="s">
        <v>6</v>
      </c>
      <c r="B302" s="0" t="s">
        <v>643</v>
      </c>
      <c r="C302" s="0" t="s">
        <v>1730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643</v>
      </c>
      <c r="C303" s="0" t="s">
        <v>1866</v>
      </c>
    </row>
    <row r="304" customFormat="false" ht="15" hidden="false" customHeight="false" outlineLevel="0" collapsed="false">
      <c r="A304" s="0" t="s">
        <v>6</v>
      </c>
      <c r="B304" s="0" t="s">
        <v>643</v>
      </c>
      <c r="C304" s="0" t="s">
        <v>2159</v>
      </c>
    </row>
    <row r="305" customFormat="false" ht="15" hidden="false" customHeight="false" outlineLevel="0" collapsed="false">
      <c r="A305" s="0" t="s">
        <v>6</v>
      </c>
      <c r="B305" s="0" t="s">
        <v>650</v>
      </c>
      <c r="C305" s="0" t="s">
        <v>1730</v>
      </c>
      <c r="D305" s="0" t="n">
        <v>50</v>
      </c>
    </row>
    <row r="306" customFormat="false" ht="15" hidden="false" customHeight="false" outlineLevel="0" collapsed="false">
      <c r="A306" s="0" t="s">
        <v>6</v>
      </c>
      <c r="B306" s="0" t="s">
        <v>650</v>
      </c>
      <c r="C306" s="0" t="s">
        <v>1866</v>
      </c>
    </row>
    <row r="307" customFormat="false" ht="15" hidden="false" customHeight="false" outlineLevel="0" collapsed="false">
      <c r="A307" s="0" t="s">
        <v>6</v>
      </c>
      <c r="B307" s="0" t="s">
        <v>650</v>
      </c>
      <c r="C307" s="0" t="s">
        <v>2159</v>
      </c>
    </row>
    <row r="308" customFormat="false" ht="15" hidden="false" customHeight="false" outlineLevel="0" collapsed="false">
      <c r="A308" s="0" t="s">
        <v>6</v>
      </c>
      <c r="B308" s="0" t="s">
        <v>653</v>
      </c>
      <c r="C308" s="0" t="s">
        <v>1730</v>
      </c>
      <c r="D308" s="0" t="n">
        <v>10</v>
      </c>
    </row>
    <row r="309" customFormat="false" ht="15" hidden="false" customHeight="false" outlineLevel="0" collapsed="false">
      <c r="A309" s="0" t="s">
        <v>6</v>
      </c>
      <c r="B309" s="0" t="s">
        <v>653</v>
      </c>
      <c r="C309" s="0" t="s">
        <v>1866</v>
      </c>
    </row>
    <row r="310" customFormat="false" ht="15" hidden="false" customHeight="false" outlineLevel="0" collapsed="false">
      <c r="A310" s="0" t="s">
        <v>6</v>
      </c>
      <c r="B310" s="0" t="s">
        <v>653</v>
      </c>
      <c r="C310" s="0" t="s">
        <v>2159</v>
      </c>
    </row>
    <row r="311" customFormat="false" ht="15" hidden="false" customHeight="false" outlineLevel="0" collapsed="false">
      <c r="A311" s="0" t="s">
        <v>6</v>
      </c>
      <c r="B311" s="0" t="s">
        <v>657</v>
      </c>
      <c r="C311" s="0" t="s">
        <v>1730</v>
      </c>
      <c r="D311" s="0" t="n">
        <v>50</v>
      </c>
    </row>
    <row r="312" customFormat="false" ht="15" hidden="false" customHeight="false" outlineLevel="0" collapsed="false">
      <c r="A312" s="0" t="s">
        <v>6</v>
      </c>
      <c r="B312" s="0" t="s">
        <v>657</v>
      </c>
      <c r="C312" s="0" t="s">
        <v>1866</v>
      </c>
    </row>
    <row r="313" customFormat="false" ht="15" hidden="false" customHeight="false" outlineLevel="0" collapsed="false">
      <c r="A313" s="0" t="s">
        <v>6</v>
      </c>
      <c r="B313" s="0" t="s">
        <v>657</v>
      </c>
      <c r="C313" s="0" t="s">
        <v>2159</v>
      </c>
    </row>
    <row r="314" customFormat="false" ht="15" hidden="false" customHeight="false" outlineLevel="0" collapsed="false">
      <c r="A314" s="0" t="s">
        <v>6</v>
      </c>
      <c r="B314" s="0" t="s">
        <v>660</v>
      </c>
      <c r="C314" s="0" t="s">
        <v>1730</v>
      </c>
      <c r="D314" s="0" t="n">
        <v>2</v>
      </c>
    </row>
    <row r="315" customFormat="false" ht="15" hidden="false" customHeight="false" outlineLevel="0" collapsed="false">
      <c r="A315" s="0" t="s">
        <v>6</v>
      </c>
      <c r="B315" s="0" t="s">
        <v>660</v>
      </c>
      <c r="C315" s="0" t="s">
        <v>1866</v>
      </c>
    </row>
    <row r="316" customFormat="false" ht="15" hidden="false" customHeight="false" outlineLevel="0" collapsed="false">
      <c r="A316" s="0" t="s">
        <v>6</v>
      </c>
      <c r="B316" s="0" t="s">
        <v>660</v>
      </c>
      <c r="C316" s="0" t="s">
        <v>2159</v>
      </c>
    </row>
    <row r="317" customFormat="false" ht="15" hidden="false" customHeight="false" outlineLevel="0" collapsed="false">
      <c r="A317" s="0" t="s">
        <v>6</v>
      </c>
      <c r="B317" s="0" t="s">
        <v>667</v>
      </c>
      <c r="C317" s="0" t="s">
        <v>1730</v>
      </c>
      <c r="D317" s="0" t="n">
        <v>10</v>
      </c>
    </row>
    <row r="318" customFormat="false" ht="15" hidden="false" customHeight="false" outlineLevel="0" collapsed="false">
      <c r="A318" s="0" t="s">
        <v>6</v>
      </c>
      <c r="B318" s="0" t="s">
        <v>667</v>
      </c>
      <c r="C318" s="0" t="s">
        <v>1866</v>
      </c>
    </row>
    <row r="319" customFormat="false" ht="15" hidden="false" customHeight="false" outlineLevel="0" collapsed="false">
      <c r="A319" s="0" t="s">
        <v>6</v>
      </c>
      <c r="B319" s="0" t="s">
        <v>667</v>
      </c>
      <c r="C319" s="0" t="s">
        <v>2159</v>
      </c>
    </row>
    <row r="320" customFormat="false" ht="15" hidden="false" customHeight="false" outlineLevel="0" collapsed="false">
      <c r="A320" s="0" t="s">
        <v>6</v>
      </c>
      <c r="B320" s="0" t="s">
        <v>670</v>
      </c>
      <c r="C320" s="0" t="s">
        <v>1730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670</v>
      </c>
      <c r="C321" s="0" t="s">
        <v>1866</v>
      </c>
    </row>
    <row r="322" customFormat="false" ht="15" hidden="false" customHeight="false" outlineLevel="0" collapsed="false">
      <c r="A322" s="0" t="s">
        <v>6</v>
      </c>
      <c r="B322" s="0" t="s">
        <v>670</v>
      </c>
      <c r="C322" s="0" t="s">
        <v>2159</v>
      </c>
    </row>
    <row r="323" customFormat="false" ht="15" hidden="false" customHeight="false" outlineLevel="0" collapsed="false">
      <c r="A323" s="0" t="s">
        <v>6</v>
      </c>
      <c r="B323" s="0" t="s">
        <v>677</v>
      </c>
      <c r="C323" s="0" t="s">
        <v>1730</v>
      </c>
      <c r="D323" s="0" t="n">
        <v>25</v>
      </c>
    </row>
    <row r="324" customFormat="false" ht="15" hidden="false" customHeight="false" outlineLevel="0" collapsed="false">
      <c r="A324" s="0" t="s">
        <v>6</v>
      </c>
      <c r="B324" s="0" t="s">
        <v>677</v>
      </c>
      <c r="C324" s="0" t="s">
        <v>1866</v>
      </c>
    </row>
    <row r="325" customFormat="false" ht="15" hidden="false" customHeight="false" outlineLevel="0" collapsed="false">
      <c r="A325" s="0" t="s">
        <v>6</v>
      </c>
      <c r="B325" s="0" t="s">
        <v>677</v>
      </c>
      <c r="C325" s="0" t="s">
        <v>2159</v>
      </c>
    </row>
    <row r="326" customFormat="false" ht="15" hidden="false" customHeight="false" outlineLevel="0" collapsed="false">
      <c r="A326" s="0" t="s">
        <v>6</v>
      </c>
      <c r="B326" s="0" t="s">
        <v>680</v>
      </c>
      <c r="C326" s="0" t="s">
        <v>1730</v>
      </c>
      <c r="D326" s="0" t="n">
        <v>10</v>
      </c>
    </row>
    <row r="327" customFormat="false" ht="15" hidden="false" customHeight="false" outlineLevel="0" collapsed="false">
      <c r="A327" s="0" t="s">
        <v>6</v>
      </c>
      <c r="B327" s="0" t="s">
        <v>680</v>
      </c>
      <c r="C327" s="0" t="s">
        <v>1866</v>
      </c>
    </row>
    <row r="328" customFormat="false" ht="15" hidden="false" customHeight="false" outlineLevel="0" collapsed="false">
      <c r="A328" s="0" t="s">
        <v>6</v>
      </c>
      <c r="B328" s="0" t="s">
        <v>680</v>
      </c>
      <c r="C328" s="0" t="s">
        <v>2159</v>
      </c>
    </row>
    <row r="329" customFormat="false" ht="15" hidden="false" customHeight="false" outlineLevel="0" collapsed="false">
      <c r="A329" s="0" t="s">
        <v>6</v>
      </c>
      <c r="B329" s="0" t="s">
        <v>687</v>
      </c>
      <c r="C329" s="0" t="s">
        <v>1730</v>
      </c>
      <c r="D329" s="0" t="n">
        <v>50</v>
      </c>
    </row>
    <row r="330" customFormat="false" ht="15" hidden="false" customHeight="false" outlineLevel="0" collapsed="false">
      <c r="A330" s="0" t="s">
        <v>6</v>
      </c>
      <c r="B330" s="0" t="s">
        <v>687</v>
      </c>
      <c r="C330" s="0" t="s">
        <v>1866</v>
      </c>
    </row>
    <row r="331" customFormat="false" ht="15" hidden="false" customHeight="false" outlineLevel="0" collapsed="false">
      <c r="A331" s="0" t="s">
        <v>6</v>
      </c>
      <c r="B331" s="0" t="s">
        <v>687</v>
      </c>
      <c r="C331" s="0" t="s">
        <v>2159</v>
      </c>
    </row>
    <row r="332" customFormat="false" ht="15" hidden="false" customHeight="false" outlineLevel="0" collapsed="false">
      <c r="A332" s="0" t="s">
        <v>6</v>
      </c>
      <c r="B332" s="0" t="s">
        <v>690</v>
      </c>
      <c r="C332" s="0" t="s">
        <v>1730</v>
      </c>
      <c r="D332" s="0" t="n">
        <v>4</v>
      </c>
    </row>
    <row r="333" customFormat="false" ht="15" hidden="false" customHeight="false" outlineLevel="0" collapsed="false">
      <c r="A333" s="0" t="s">
        <v>6</v>
      </c>
      <c r="B333" s="0" t="s">
        <v>690</v>
      </c>
      <c r="C333" s="0" t="s">
        <v>1866</v>
      </c>
    </row>
    <row r="334" customFormat="false" ht="15" hidden="false" customHeight="false" outlineLevel="0" collapsed="false">
      <c r="A334" s="0" t="s">
        <v>6</v>
      </c>
      <c r="B334" s="0" t="s">
        <v>690</v>
      </c>
      <c r="C334" s="0" t="s">
        <v>2159</v>
      </c>
    </row>
    <row r="335" customFormat="false" ht="15" hidden="false" customHeight="false" outlineLevel="0" collapsed="false">
      <c r="A335" s="0" t="s">
        <v>6</v>
      </c>
      <c r="B335" s="0" t="s">
        <v>697</v>
      </c>
      <c r="C335" s="0" t="s">
        <v>1730</v>
      </c>
      <c r="D335" s="0" t="n">
        <v>20</v>
      </c>
    </row>
    <row r="336" customFormat="false" ht="15" hidden="false" customHeight="false" outlineLevel="0" collapsed="false">
      <c r="A336" s="0" t="s">
        <v>6</v>
      </c>
      <c r="B336" s="0" t="s">
        <v>697</v>
      </c>
      <c r="C336" s="0" t="s">
        <v>1866</v>
      </c>
    </row>
    <row r="337" customFormat="false" ht="15" hidden="false" customHeight="false" outlineLevel="0" collapsed="false">
      <c r="A337" s="0" t="s">
        <v>6</v>
      </c>
      <c r="B337" s="0" t="s">
        <v>697</v>
      </c>
      <c r="C337" s="0" t="s">
        <v>2159</v>
      </c>
    </row>
    <row r="338" customFormat="false" ht="15" hidden="false" customHeight="false" outlineLevel="0" collapsed="false">
      <c r="A338" s="0" t="s">
        <v>6</v>
      </c>
      <c r="B338" s="0" t="s">
        <v>700</v>
      </c>
      <c r="C338" s="0" t="s">
        <v>1730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700</v>
      </c>
      <c r="C339" s="0" t="s">
        <v>1866</v>
      </c>
    </row>
    <row r="340" customFormat="false" ht="15" hidden="false" customHeight="false" outlineLevel="0" collapsed="false">
      <c r="A340" s="0" t="s">
        <v>6</v>
      </c>
      <c r="B340" s="0" t="s">
        <v>700</v>
      </c>
      <c r="C340" s="0" t="s">
        <v>2159</v>
      </c>
    </row>
    <row r="341" customFormat="false" ht="15" hidden="false" customHeight="false" outlineLevel="0" collapsed="false">
      <c r="A341" s="0" t="s">
        <v>6</v>
      </c>
      <c r="B341" s="0" t="s">
        <v>707</v>
      </c>
      <c r="C341" s="0" t="s">
        <v>1730</v>
      </c>
      <c r="D341" s="0" t="n">
        <v>10</v>
      </c>
    </row>
    <row r="342" customFormat="false" ht="15" hidden="false" customHeight="false" outlineLevel="0" collapsed="false">
      <c r="A342" s="0" t="s">
        <v>6</v>
      </c>
      <c r="B342" s="0" t="s">
        <v>707</v>
      </c>
      <c r="C342" s="0" t="s">
        <v>1866</v>
      </c>
    </row>
    <row r="343" customFormat="false" ht="15" hidden="false" customHeight="false" outlineLevel="0" collapsed="false">
      <c r="A343" s="0" t="s">
        <v>6</v>
      </c>
      <c r="B343" s="0" t="s">
        <v>707</v>
      </c>
      <c r="C343" s="0" t="s">
        <v>2159</v>
      </c>
    </row>
    <row r="344" customFormat="false" ht="15" hidden="false" customHeight="false" outlineLevel="0" collapsed="false">
      <c r="A344" s="0" t="s">
        <v>6</v>
      </c>
      <c r="B344" s="0" t="s">
        <v>710</v>
      </c>
      <c r="C344" s="0" t="s">
        <v>1730</v>
      </c>
      <c r="D344" s="0" t="n">
        <v>0.1</v>
      </c>
    </row>
    <row r="345" customFormat="false" ht="15" hidden="false" customHeight="false" outlineLevel="0" collapsed="false">
      <c r="A345" s="0" t="s">
        <v>6</v>
      </c>
      <c r="B345" s="0" t="s">
        <v>710</v>
      </c>
      <c r="C345" s="0" t="s">
        <v>1866</v>
      </c>
    </row>
    <row r="346" customFormat="false" ht="15" hidden="false" customHeight="false" outlineLevel="0" collapsed="false">
      <c r="A346" s="0" t="s">
        <v>6</v>
      </c>
      <c r="B346" s="0" t="s">
        <v>710</v>
      </c>
      <c r="C346" s="0" t="s">
        <v>2159</v>
      </c>
    </row>
    <row r="347" customFormat="false" ht="15" hidden="false" customHeight="false" outlineLevel="0" collapsed="false">
      <c r="A347" s="0" t="s">
        <v>6</v>
      </c>
      <c r="B347" s="0" t="s">
        <v>717</v>
      </c>
      <c r="C347" s="0" t="s">
        <v>1730</v>
      </c>
      <c r="D347" s="0" t="n">
        <v>0.5</v>
      </c>
    </row>
    <row r="348" customFormat="false" ht="15" hidden="false" customHeight="false" outlineLevel="0" collapsed="false">
      <c r="A348" s="0" t="s">
        <v>6</v>
      </c>
      <c r="B348" s="0" t="s">
        <v>717</v>
      </c>
      <c r="C348" s="0" t="s">
        <v>1866</v>
      </c>
    </row>
    <row r="349" customFormat="false" ht="15" hidden="false" customHeight="false" outlineLevel="0" collapsed="false">
      <c r="A349" s="0" t="s">
        <v>6</v>
      </c>
      <c r="B349" s="0" t="s">
        <v>717</v>
      </c>
      <c r="C349" s="0" t="s">
        <v>2159</v>
      </c>
    </row>
    <row r="350" customFormat="false" ht="15" hidden="false" customHeight="false" outlineLevel="0" collapsed="false">
      <c r="A350" s="0" t="s">
        <v>6</v>
      </c>
      <c r="B350" s="0" t="s">
        <v>720</v>
      </c>
      <c r="C350" s="0" t="s">
        <v>1730</v>
      </c>
      <c r="D350" s="0" t="n">
        <v>10</v>
      </c>
    </row>
    <row r="351" customFormat="false" ht="15" hidden="false" customHeight="false" outlineLevel="0" collapsed="false">
      <c r="A351" s="0" t="s">
        <v>6</v>
      </c>
      <c r="B351" s="0" t="s">
        <v>720</v>
      </c>
      <c r="C351" s="0" t="s">
        <v>1866</v>
      </c>
    </row>
    <row r="352" customFormat="false" ht="15" hidden="false" customHeight="false" outlineLevel="0" collapsed="false">
      <c r="A352" s="0" t="s">
        <v>6</v>
      </c>
      <c r="B352" s="0" t="s">
        <v>720</v>
      </c>
      <c r="C352" s="0" t="s">
        <v>2159</v>
      </c>
    </row>
    <row r="353" customFormat="false" ht="15" hidden="false" customHeight="false" outlineLevel="0" collapsed="false">
      <c r="A353" s="0" t="s">
        <v>6</v>
      </c>
      <c r="B353" s="0" t="s">
        <v>724</v>
      </c>
      <c r="C353" s="0" t="s">
        <v>1730</v>
      </c>
      <c r="D353" s="0" t="n">
        <v>37.5</v>
      </c>
    </row>
    <row r="354" customFormat="false" ht="15" hidden="false" customHeight="false" outlineLevel="0" collapsed="false">
      <c r="A354" s="0" t="s">
        <v>6</v>
      </c>
      <c r="B354" s="0" t="s">
        <v>724</v>
      </c>
      <c r="C354" s="0" t="s">
        <v>1866</v>
      </c>
    </row>
    <row r="355" customFormat="false" ht="15" hidden="false" customHeight="false" outlineLevel="0" collapsed="false">
      <c r="A355" s="0" t="s">
        <v>6</v>
      </c>
      <c r="B355" s="0" t="s">
        <v>724</v>
      </c>
      <c r="C355" s="0" t="s">
        <v>2159</v>
      </c>
    </row>
    <row r="356" customFormat="false" ht="15" hidden="false" customHeight="false" outlineLevel="0" collapsed="false">
      <c r="A356" s="0" t="s">
        <v>6</v>
      </c>
      <c r="B356" s="0" t="s">
        <v>728</v>
      </c>
      <c r="C356" s="0" t="s">
        <v>1730</v>
      </c>
      <c r="D356" s="0" t="n">
        <v>1.1</v>
      </c>
    </row>
    <row r="357" customFormat="false" ht="15" hidden="false" customHeight="false" outlineLevel="0" collapsed="false">
      <c r="A357" s="0" t="s">
        <v>6</v>
      </c>
      <c r="B357" s="0" t="s">
        <v>728</v>
      </c>
      <c r="C357" s="0" t="s">
        <v>1866</v>
      </c>
    </row>
    <row r="358" customFormat="false" ht="15" hidden="false" customHeight="false" outlineLevel="0" collapsed="false">
      <c r="A358" s="0" t="s">
        <v>6</v>
      </c>
      <c r="B358" s="0" t="s">
        <v>728</v>
      </c>
      <c r="C358" s="0" t="s">
        <v>2159</v>
      </c>
    </row>
    <row r="359" customFormat="false" ht="15" hidden="false" customHeight="false" outlineLevel="0" collapsed="false">
      <c r="A359" s="0" t="s">
        <v>6</v>
      </c>
      <c r="B359" s="0" t="s">
        <v>733</v>
      </c>
      <c r="C359" s="0" t="s">
        <v>1730</v>
      </c>
      <c r="D359" s="0" t="n">
        <v>10</v>
      </c>
    </row>
    <row r="360" customFormat="false" ht="15" hidden="false" customHeight="false" outlineLevel="0" collapsed="false">
      <c r="A360" s="0" t="s">
        <v>6</v>
      </c>
      <c r="B360" s="0" t="s">
        <v>733</v>
      </c>
      <c r="C360" s="0" t="s">
        <v>1866</v>
      </c>
    </row>
    <row r="361" customFormat="false" ht="15" hidden="false" customHeight="false" outlineLevel="0" collapsed="false">
      <c r="A361" s="0" t="s">
        <v>6</v>
      </c>
      <c r="B361" s="0" t="s">
        <v>733</v>
      </c>
      <c r="C361" s="0" t="s">
        <v>2159</v>
      </c>
    </row>
    <row r="362" customFormat="false" ht="15" hidden="false" customHeight="false" outlineLevel="0" collapsed="false">
      <c r="A362" s="0" t="s">
        <v>6</v>
      </c>
      <c r="B362" s="0" t="s">
        <v>737</v>
      </c>
      <c r="C362" s="0" t="s">
        <v>1730</v>
      </c>
      <c r="D362" s="0" t="n">
        <v>50</v>
      </c>
    </row>
    <row r="363" customFormat="false" ht="15" hidden="false" customHeight="false" outlineLevel="0" collapsed="false">
      <c r="A363" s="0" t="s">
        <v>6</v>
      </c>
      <c r="B363" s="0" t="s">
        <v>737</v>
      </c>
      <c r="C363" s="0" t="s">
        <v>1866</v>
      </c>
    </row>
    <row r="364" customFormat="false" ht="15" hidden="false" customHeight="false" outlineLevel="0" collapsed="false">
      <c r="A364" s="0" t="s">
        <v>6</v>
      </c>
      <c r="B364" s="0" t="s">
        <v>737</v>
      </c>
      <c r="C364" s="0" t="s">
        <v>2159</v>
      </c>
    </row>
    <row r="365" customFormat="false" ht="15" hidden="false" customHeight="false" outlineLevel="0" collapsed="false">
      <c r="A365" s="0" t="s">
        <v>6</v>
      </c>
      <c r="B365" s="0" t="s">
        <v>741</v>
      </c>
      <c r="C365" s="0" t="s">
        <v>1730</v>
      </c>
      <c r="D365" s="0" t="n">
        <v>2</v>
      </c>
    </row>
    <row r="366" customFormat="false" ht="15" hidden="false" customHeight="false" outlineLevel="0" collapsed="false">
      <c r="A366" s="0" t="s">
        <v>6</v>
      </c>
      <c r="B366" s="0" t="s">
        <v>741</v>
      </c>
      <c r="C366" s="0" t="s">
        <v>1866</v>
      </c>
    </row>
    <row r="367" customFormat="false" ht="15" hidden="false" customHeight="false" outlineLevel="0" collapsed="false">
      <c r="A367" s="0" t="s">
        <v>6</v>
      </c>
      <c r="B367" s="0" t="s">
        <v>741</v>
      </c>
      <c r="C367" s="0" t="s">
        <v>2159</v>
      </c>
    </row>
    <row r="368" customFormat="false" ht="15" hidden="false" customHeight="false" outlineLevel="0" collapsed="false">
      <c r="A368" s="0" t="s">
        <v>6</v>
      </c>
      <c r="B368" s="0" t="s">
        <v>745</v>
      </c>
      <c r="C368" s="0" t="s">
        <v>1730</v>
      </c>
      <c r="D368" s="0" t="n">
        <v>8</v>
      </c>
    </row>
    <row r="369" customFormat="false" ht="15" hidden="false" customHeight="false" outlineLevel="0" collapsed="false">
      <c r="A369" s="0" t="s">
        <v>6</v>
      </c>
      <c r="B369" s="0" t="s">
        <v>745</v>
      </c>
      <c r="C369" s="0" t="s">
        <v>1866</v>
      </c>
    </row>
    <row r="370" customFormat="false" ht="15" hidden="false" customHeight="false" outlineLevel="0" collapsed="false">
      <c r="A370" s="0" t="s">
        <v>6</v>
      </c>
      <c r="B370" s="0" t="s">
        <v>745</v>
      </c>
      <c r="C370" s="0" t="s">
        <v>2159</v>
      </c>
    </row>
    <row r="371" customFormat="false" ht="15" hidden="false" customHeight="false" outlineLevel="0" collapsed="false">
      <c r="A371" s="0" t="s">
        <v>6</v>
      </c>
      <c r="B371" s="0" t="s">
        <v>749</v>
      </c>
      <c r="C371" s="0" t="s">
        <v>1730</v>
      </c>
      <c r="D371" s="0" t="n">
        <v>40</v>
      </c>
    </row>
    <row r="372" customFormat="false" ht="15" hidden="false" customHeight="false" outlineLevel="0" collapsed="false">
      <c r="A372" s="0" t="s">
        <v>6</v>
      </c>
      <c r="B372" s="0" t="s">
        <v>749</v>
      </c>
      <c r="C372" s="0" t="s">
        <v>1866</v>
      </c>
    </row>
    <row r="373" customFormat="false" ht="15" hidden="false" customHeight="false" outlineLevel="0" collapsed="false">
      <c r="A373" s="0" t="s">
        <v>6</v>
      </c>
      <c r="B373" s="0" t="s">
        <v>749</v>
      </c>
      <c r="C373" s="0" t="s">
        <v>2159</v>
      </c>
    </row>
    <row r="374" customFormat="false" ht="15" hidden="false" customHeight="false" outlineLevel="0" collapsed="false">
      <c r="A374" s="0" t="s">
        <v>6</v>
      </c>
      <c r="B374" s="0" t="s">
        <v>753</v>
      </c>
      <c r="C374" s="0" t="s">
        <v>1730</v>
      </c>
      <c r="D374" s="0" t="n">
        <v>0.2</v>
      </c>
    </row>
    <row r="375" customFormat="false" ht="15" hidden="false" customHeight="false" outlineLevel="0" collapsed="false">
      <c r="A375" s="0" t="s">
        <v>6</v>
      </c>
      <c r="B375" s="0" t="s">
        <v>753</v>
      </c>
      <c r="C375" s="0" t="s">
        <v>1866</v>
      </c>
    </row>
    <row r="376" customFormat="false" ht="15" hidden="false" customHeight="false" outlineLevel="0" collapsed="false">
      <c r="A376" s="0" t="s">
        <v>6</v>
      </c>
      <c r="B376" s="0" t="s">
        <v>753</v>
      </c>
      <c r="C376" s="0" t="s">
        <v>2159</v>
      </c>
    </row>
    <row r="377" customFormat="false" ht="15" hidden="false" customHeight="false" outlineLevel="0" collapsed="false">
      <c r="A377" s="0" t="s">
        <v>6</v>
      </c>
      <c r="B377" s="0" t="s">
        <v>757</v>
      </c>
      <c r="C377" s="0" t="s">
        <v>1730</v>
      </c>
      <c r="D377" s="0" t="n">
        <v>0.25</v>
      </c>
    </row>
    <row r="378" customFormat="false" ht="15" hidden="false" customHeight="false" outlineLevel="0" collapsed="false">
      <c r="A378" s="0" t="s">
        <v>6</v>
      </c>
      <c r="B378" s="0" t="s">
        <v>757</v>
      </c>
      <c r="C378" s="0" t="s">
        <v>1866</v>
      </c>
    </row>
    <row r="379" customFormat="false" ht="15" hidden="false" customHeight="false" outlineLevel="0" collapsed="false">
      <c r="A379" s="0" t="s">
        <v>6</v>
      </c>
      <c r="B379" s="0" t="s">
        <v>757</v>
      </c>
      <c r="C379" s="0" t="s">
        <v>2159</v>
      </c>
    </row>
    <row r="380" customFormat="false" ht="15" hidden="false" customHeight="false" outlineLevel="0" collapsed="false">
      <c r="A380" s="0" t="s">
        <v>6</v>
      </c>
      <c r="B380" s="0" t="s">
        <v>761</v>
      </c>
      <c r="C380" s="0" t="s">
        <v>1730</v>
      </c>
      <c r="D380" s="0" t="n">
        <v>0.2</v>
      </c>
    </row>
    <row r="381" customFormat="false" ht="15" hidden="false" customHeight="false" outlineLevel="0" collapsed="false">
      <c r="A381" s="0" t="s">
        <v>6</v>
      </c>
      <c r="B381" s="0" t="s">
        <v>761</v>
      </c>
      <c r="C381" s="0" t="s">
        <v>1866</v>
      </c>
    </row>
    <row r="382" customFormat="false" ht="15" hidden="false" customHeight="false" outlineLevel="0" collapsed="false">
      <c r="A382" s="0" t="s">
        <v>6</v>
      </c>
      <c r="B382" s="0" t="s">
        <v>761</v>
      </c>
      <c r="C382" s="0" t="s">
        <v>2159</v>
      </c>
    </row>
    <row r="383" customFormat="false" ht="15" hidden="false" customHeight="false" outlineLevel="0" collapsed="false">
      <c r="A383" s="0" t="s">
        <v>6</v>
      </c>
      <c r="B383" s="0" t="s">
        <v>765</v>
      </c>
      <c r="C383" s="0" t="s">
        <v>1730</v>
      </c>
      <c r="D383" s="0" t="n">
        <v>0.1</v>
      </c>
    </row>
    <row r="384" customFormat="false" ht="15" hidden="false" customHeight="false" outlineLevel="0" collapsed="false">
      <c r="A384" s="0" t="s">
        <v>6</v>
      </c>
      <c r="B384" s="0" t="s">
        <v>765</v>
      </c>
      <c r="C384" s="0" t="s">
        <v>1866</v>
      </c>
    </row>
    <row r="385" customFormat="false" ht="15" hidden="false" customHeight="false" outlineLevel="0" collapsed="false">
      <c r="A385" s="0" t="s">
        <v>6</v>
      </c>
      <c r="B385" s="0" t="s">
        <v>765</v>
      </c>
      <c r="C385" s="0" t="s">
        <v>2159</v>
      </c>
    </row>
    <row r="386" customFormat="false" ht="15" hidden="false" customHeight="false" outlineLevel="0" collapsed="false">
      <c r="A386" s="0" t="s">
        <v>6</v>
      </c>
      <c r="B386" s="0" t="s">
        <v>769</v>
      </c>
      <c r="C386" s="0" t="s">
        <v>1730</v>
      </c>
      <c r="D386" s="0" t="n">
        <v>2.5</v>
      </c>
    </row>
    <row r="387" customFormat="false" ht="15" hidden="false" customHeight="false" outlineLevel="0" collapsed="false">
      <c r="A387" s="0" t="s">
        <v>6</v>
      </c>
      <c r="B387" s="0" t="s">
        <v>769</v>
      </c>
      <c r="C387" s="0" t="s">
        <v>1866</v>
      </c>
    </row>
    <row r="388" customFormat="false" ht="15" hidden="false" customHeight="false" outlineLevel="0" collapsed="false">
      <c r="A388" s="0" t="s">
        <v>6</v>
      </c>
      <c r="B388" s="0" t="s">
        <v>769</v>
      </c>
      <c r="C388" s="0" t="s">
        <v>2159</v>
      </c>
    </row>
    <row r="389" customFormat="false" ht="15" hidden="false" customHeight="false" outlineLevel="0" collapsed="false">
      <c r="A389" s="0" t="s">
        <v>6</v>
      </c>
      <c r="B389" s="0" t="s">
        <v>774</v>
      </c>
      <c r="C389" s="0" t="s">
        <v>1730</v>
      </c>
      <c r="D389" s="0" t="n">
        <v>0.5</v>
      </c>
    </row>
    <row r="390" customFormat="false" ht="15" hidden="false" customHeight="false" outlineLevel="0" collapsed="false">
      <c r="A390" s="0" t="s">
        <v>6</v>
      </c>
      <c r="B390" s="0" t="s">
        <v>774</v>
      </c>
      <c r="C390" s="0" t="s">
        <v>1866</v>
      </c>
    </row>
    <row r="391" customFormat="false" ht="15" hidden="false" customHeight="false" outlineLevel="0" collapsed="false">
      <c r="A391" s="0" t="s">
        <v>6</v>
      </c>
      <c r="B391" s="0" t="s">
        <v>774</v>
      </c>
      <c r="C391" s="0" t="s">
        <v>2159</v>
      </c>
    </row>
    <row r="392" customFormat="false" ht="15" hidden="false" customHeight="false" outlineLevel="0" collapsed="false">
      <c r="A392" s="0" t="s">
        <v>6</v>
      </c>
      <c r="B392" s="0" t="s">
        <v>778</v>
      </c>
      <c r="C392" s="0" t="s">
        <v>1730</v>
      </c>
      <c r="D392" s="0" t="n">
        <v>2.5</v>
      </c>
    </row>
    <row r="393" customFormat="false" ht="15" hidden="false" customHeight="false" outlineLevel="0" collapsed="false">
      <c r="A393" s="0" t="s">
        <v>6</v>
      </c>
      <c r="B393" s="0" t="s">
        <v>778</v>
      </c>
      <c r="C393" s="0" t="s">
        <v>1866</v>
      </c>
    </row>
    <row r="394" customFormat="false" ht="15" hidden="false" customHeight="false" outlineLevel="0" collapsed="false">
      <c r="A394" s="0" t="s">
        <v>6</v>
      </c>
      <c r="B394" s="0" t="s">
        <v>778</v>
      </c>
      <c r="C394" s="0" t="s">
        <v>2159</v>
      </c>
    </row>
    <row r="395" customFormat="false" ht="15" hidden="false" customHeight="false" outlineLevel="0" collapsed="false">
      <c r="A395" s="0" t="s">
        <v>6</v>
      </c>
      <c r="B395" s="0" t="s">
        <v>782</v>
      </c>
      <c r="C395" s="0" t="s">
        <v>1730</v>
      </c>
      <c r="D395" s="0" t="n">
        <v>0.01</v>
      </c>
    </row>
    <row r="396" customFormat="false" ht="15" hidden="false" customHeight="false" outlineLevel="0" collapsed="false">
      <c r="A396" s="0" t="s">
        <v>6</v>
      </c>
      <c r="B396" s="0" t="s">
        <v>782</v>
      </c>
      <c r="C396" s="0" t="s">
        <v>1866</v>
      </c>
    </row>
    <row r="397" customFormat="false" ht="15" hidden="false" customHeight="false" outlineLevel="0" collapsed="false">
      <c r="A397" s="0" t="s">
        <v>6</v>
      </c>
      <c r="B397" s="0" t="s">
        <v>782</v>
      </c>
      <c r="C397" s="0" t="s">
        <v>2159</v>
      </c>
    </row>
    <row r="398" customFormat="false" ht="15" hidden="false" customHeight="false" outlineLevel="0" collapsed="false">
      <c r="A398" s="0" t="s">
        <v>6</v>
      </c>
      <c r="B398" s="0" t="s">
        <v>786</v>
      </c>
      <c r="C398" s="0" t="s">
        <v>1730</v>
      </c>
      <c r="D398" s="0" t="n">
        <v>1.25</v>
      </c>
    </row>
    <row r="399" customFormat="false" ht="15" hidden="false" customHeight="false" outlineLevel="0" collapsed="false">
      <c r="A399" s="0" t="s">
        <v>6</v>
      </c>
      <c r="B399" s="0" t="s">
        <v>786</v>
      </c>
      <c r="C399" s="0" t="s">
        <v>1866</v>
      </c>
    </row>
    <row r="400" customFormat="false" ht="15" hidden="false" customHeight="false" outlineLevel="0" collapsed="false">
      <c r="A400" s="0" t="s">
        <v>6</v>
      </c>
      <c r="B400" s="0" t="s">
        <v>786</v>
      </c>
      <c r="C400" s="0" t="s">
        <v>2159</v>
      </c>
    </row>
    <row r="401" customFormat="false" ht="15" hidden="false" customHeight="false" outlineLevel="0" collapsed="false">
      <c r="A401" s="0" t="s">
        <v>6</v>
      </c>
      <c r="B401" s="0" t="s">
        <v>790</v>
      </c>
      <c r="C401" s="0" t="s">
        <v>1730</v>
      </c>
      <c r="D401" s="0" t="n">
        <v>0.1</v>
      </c>
    </row>
    <row r="402" customFormat="false" ht="15" hidden="false" customHeight="false" outlineLevel="0" collapsed="false">
      <c r="A402" s="0" t="s">
        <v>6</v>
      </c>
      <c r="B402" s="0" t="s">
        <v>790</v>
      </c>
      <c r="C402" s="0" t="s">
        <v>1866</v>
      </c>
    </row>
    <row r="403" customFormat="false" ht="15" hidden="false" customHeight="false" outlineLevel="0" collapsed="false">
      <c r="A403" s="0" t="s">
        <v>6</v>
      </c>
      <c r="B403" s="0" t="s">
        <v>790</v>
      </c>
      <c r="C403" s="0" t="s">
        <v>2159</v>
      </c>
    </row>
    <row r="404" customFormat="false" ht="15" hidden="false" customHeight="false" outlineLevel="0" collapsed="false">
      <c r="A404" s="0" t="s">
        <v>6</v>
      </c>
      <c r="B404" s="0" t="s">
        <v>794</v>
      </c>
      <c r="C404" s="0" t="s">
        <v>1730</v>
      </c>
      <c r="D404" s="0" t="n">
        <v>1.25</v>
      </c>
    </row>
    <row r="405" customFormat="false" ht="15" hidden="false" customHeight="false" outlineLevel="0" collapsed="false">
      <c r="A405" s="0" t="s">
        <v>6</v>
      </c>
      <c r="B405" s="0" t="s">
        <v>794</v>
      </c>
      <c r="C405" s="0" t="s">
        <v>1866</v>
      </c>
    </row>
    <row r="406" customFormat="false" ht="15" hidden="false" customHeight="false" outlineLevel="0" collapsed="false">
      <c r="A406" s="0" t="s">
        <v>6</v>
      </c>
      <c r="B406" s="0" t="s">
        <v>794</v>
      </c>
      <c r="C406" s="0" t="s">
        <v>2159</v>
      </c>
    </row>
    <row r="407" customFormat="false" ht="15" hidden="false" customHeight="false" outlineLevel="0" collapsed="false">
      <c r="A407" s="0" t="s">
        <v>6</v>
      </c>
      <c r="B407" s="0" t="s">
        <v>802</v>
      </c>
      <c r="C407" s="0" t="s">
        <v>1730</v>
      </c>
      <c r="D407" s="0" t="n">
        <v>2</v>
      </c>
    </row>
    <row r="408" customFormat="false" ht="15" hidden="false" customHeight="false" outlineLevel="0" collapsed="false">
      <c r="A408" s="0" t="s">
        <v>6</v>
      </c>
      <c r="B408" s="0" t="s">
        <v>802</v>
      </c>
      <c r="C408" s="0" t="s">
        <v>1866</v>
      </c>
    </row>
    <row r="409" customFormat="false" ht="15" hidden="false" customHeight="false" outlineLevel="0" collapsed="false">
      <c r="A409" s="0" t="s">
        <v>6</v>
      </c>
      <c r="B409" s="0" t="s">
        <v>802</v>
      </c>
      <c r="C409" s="0" t="s">
        <v>2159</v>
      </c>
    </row>
    <row r="410" customFormat="false" ht="15" hidden="false" customHeight="false" outlineLevel="0" collapsed="false">
      <c r="A410" s="0" t="s">
        <v>6</v>
      </c>
      <c r="B410" s="0" t="s">
        <v>807</v>
      </c>
      <c r="C410" s="0" t="s">
        <v>1730</v>
      </c>
      <c r="D410" s="0" t="n">
        <v>0.1</v>
      </c>
    </row>
    <row r="411" customFormat="false" ht="15" hidden="false" customHeight="false" outlineLevel="0" collapsed="false">
      <c r="A411" s="0" t="s">
        <v>6</v>
      </c>
      <c r="B411" s="0" t="s">
        <v>807</v>
      </c>
      <c r="C411" s="0" t="s">
        <v>1866</v>
      </c>
    </row>
    <row r="412" customFormat="false" ht="15" hidden="false" customHeight="false" outlineLevel="0" collapsed="false">
      <c r="A412" s="0" t="s">
        <v>6</v>
      </c>
      <c r="B412" s="0" t="s">
        <v>807</v>
      </c>
      <c r="C412" s="0" t="s">
        <v>2159</v>
      </c>
    </row>
    <row r="413" customFormat="false" ht="15" hidden="false" customHeight="false" outlineLevel="0" collapsed="false">
      <c r="A413" s="0" t="s">
        <v>6</v>
      </c>
      <c r="B413" s="0" t="s">
        <v>811</v>
      </c>
      <c r="C413" s="0" t="s">
        <v>1730</v>
      </c>
      <c r="D413" s="0" t="n">
        <v>0.5</v>
      </c>
    </row>
    <row r="414" customFormat="false" ht="15" hidden="false" customHeight="false" outlineLevel="0" collapsed="false">
      <c r="A414" s="0" t="s">
        <v>6</v>
      </c>
      <c r="B414" s="0" t="s">
        <v>811</v>
      </c>
      <c r="C414" s="0" t="s">
        <v>1866</v>
      </c>
    </row>
    <row r="415" customFormat="false" ht="15" hidden="false" customHeight="false" outlineLevel="0" collapsed="false">
      <c r="A415" s="0" t="s">
        <v>6</v>
      </c>
      <c r="B415" s="0" t="s">
        <v>811</v>
      </c>
      <c r="C415" s="0" t="s">
        <v>2159</v>
      </c>
    </row>
    <row r="416" customFormat="false" ht="15" hidden="false" customHeight="false" outlineLevel="0" collapsed="false">
      <c r="A416" s="0" t="s">
        <v>6</v>
      </c>
      <c r="B416" s="0" t="s">
        <v>816</v>
      </c>
      <c r="C416" s="0" t="s">
        <v>1730</v>
      </c>
      <c r="D416" s="0" t="n">
        <v>0.5</v>
      </c>
    </row>
    <row r="417" customFormat="false" ht="15" hidden="false" customHeight="false" outlineLevel="0" collapsed="false">
      <c r="A417" s="0" t="s">
        <v>6</v>
      </c>
      <c r="B417" s="0" t="s">
        <v>816</v>
      </c>
      <c r="C417" s="0" t="s">
        <v>1866</v>
      </c>
    </row>
    <row r="418" customFormat="false" ht="15" hidden="false" customHeight="false" outlineLevel="0" collapsed="false">
      <c r="A418" s="0" t="s">
        <v>6</v>
      </c>
      <c r="B418" s="0" t="s">
        <v>816</v>
      </c>
      <c r="C418" s="0" t="s">
        <v>2159</v>
      </c>
    </row>
    <row r="419" customFormat="false" ht="15" hidden="false" customHeight="false" outlineLevel="0" collapsed="false">
      <c r="A419" s="0" t="s">
        <v>6</v>
      </c>
      <c r="B419" s="0" t="s">
        <v>822</v>
      </c>
      <c r="C419" s="0" t="s">
        <v>1730</v>
      </c>
      <c r="D419" s="0" t="n">
        <v>0</v>
      </c>
    </row>
    <row r="420" customFormat="false" ht="15" hidden="false" customHeight="false" outlineLevel="0" collapsed="false">
      <c r="A420" s="0" t="s">
        <v>6</v>
      </c>
      <c r="B420" s="0" t="s">
        <v>822</v>
      </c>
      <c r="C420" s="0" t="s">
        <v>1866</v>
      </c>
    </row>
    <row r="421" customFormat="false" ht="15" hidden="false" customHeight="false" outlineLevel="0" collapsed="false">
      <c r="A421" s="0" t="s">
        <v>6</v>
      </c>
      <c r="B421" s="0" t="s">
        <v>822</v>
      </c>
      <c r="C421" s="0" t="s">
        <v>2159</v>
      </c>
    </row>
    <row r="422" customFormat="false" ht="15" hidden="false" customHeight="false" outlineLevel="0" collapsed="false">
      <c r="A422" s="0" t="s">
        <v>6</v>
      </c>
      <c r="B422" s="0" t="s">
        <v>827</v>
      </c>
      <c r="C422" s="0" t="s">
        <v>1730</v>
      </c>
      <c r="D422" s="0" t="n">
        <v>20</v>
      </c>
    </row>
    <row r="423" customFormat="false" ht="15" hidden="false" customHeight="false" outlineLevel="0" collapsed="false">
      <c r="A423" s="0" t="s">
        <v>6</v>
      </c>
      <c r="B423" s="0" t="s">
        <v>827</v>
      </c>
      <c r="C423" s="0" t="s">
        <v>1866</v>
      </c>
    </row>
    <row r="424" customFormat="false" ht="15" hidden="false" customHeight="false" outlineLevel="0" collapsed="false">
      <c r="A424" s="0" t="s">
        <v>6</v>
      </c>
      <c r="B424" s="0" t="s">
        <v>827</v>
      </c>
      <c r="C424" s="0" t="s">
        <v>2159</v>
      </c>
    </row>
    <row r="425" customFormat="false" ht="15" hidden="false" customHeight="false" outlineLevel="0" collapsed="false">
      <c r="A425" s="0" t="s">
        <v>6</v>
      </c>
      <c r="B425" s="0" t="s">
        <v>836</v>
      </c>
      <c r="C425" s="0" t="s">
        <v>1730</v>
      </c>
      <c r="D425" s="0" t="n">
        <v>17</v>
      </c>
    </row>
    <row r="426" customFormat="false" ht="15" hidden="false" customHeight="false" outlineLevel="0" collapsed="false">
      <c r="A426" s="0" t="s">
        <v>6</v>
      </c>
      <c r="B426" s="0" t="s">
        <v>836</v>
      </c>
      <c r="C426" s="0" t="s">
        <v>1866</v>
      </c>
    </row>
    <row r="427" customFormat="false" ht="15" hidden="false" customHeight="false" outlineLevel="0" collapsed="false">
      <c r="A427" s="0" t="s">
        <v>6</v>
      </c>
      <c r="B427" s="0" t="s">
        <v>836</v>
      </c>
      <c r="C427" s="0" t="s">
        <v>2159</v>
      </c>
    </row>
    <row r="428" customFormat="false" ht="15" hidden="false" customHeight="false" outlineLevel="0" collapsed="false">
      <c r="A428" s="0" t="s">
        <v>6</v>
      </c>
      <c r="B428" s="0" t="s">
        <v>841</v>
      </c>
      <c r="C428" s="0" t="s">
        <v>1730</v>
      </c>
      <c r="D428" s="0" t="n">
        <v>100</v>
      </c>
    </row>
    <row r="429" customFormat="false" ht="15" hidden="false" customHeight="false" outlineLevel="0" collapsed="false">
      <c r="A429" s="0" t="s">
        <v>6</v>
      </c>
      <c r="B429" s="0" t="s">
        <v>841</v>
      </c>
      <c r="C429" s="0" t="s">
        <v>1866</v>
      </c>
    </row>
    <row r="430" customFormat="false" ht="15" hidden="false" customHeight="false" outlineLevel="0" collapsed="false">
      <c r="A430" s="0" t="s">
        <v>6</v>
      </c>
      <c r="B430" s="0" t="s">
        <v>841</v>
      </c>
      <c r="C430" s="0" t="s">
        <v>2159</v>
      </c>
    </row>
    <row r="431" customFormat="false" ht="15" hidden="false" customHeight="false" outlineLevel="0" collapsed="false">
      <c r="A431" s="0" t="s">
        <v>6</v>
      </c>
      <c r="B431" s="0" t="s">
        <v>845</v>
      </c>
      <c r="C431" s="0" t="s">
        <v>1730</v>
      </c>
      <c r="D431" s="0" t="n">
        <v>200</v>
      </c>
    </row>
    <row r="432" customFormat="false" ht="15" hidden="false" customHeight="false" outlineLevel="0" collapsed="false">
      <c r="A432" s="0" t="s">
        <v>6</v>
      </c>
      <c r="B432" s="0" t="s">
        <v>845</v>
      </c>
      <c r="C432" s="0" t="s">
        <v>1866</v>
      </c>
    </row>
    <row r="433" customFormat="false" ht="15" hidden="false" customHeight="false" outlineLevel="0" collapsed="false">
      <c r="A433" s="0" t="s">
        <v>6</v>
      </c>
      <c r="B433" s="0" t="s">
        <v>845</v>
      </c>
      <c r="C433" s="0" t="s">
        <v>2159</v>
      </c>
    </row>
    <row r="434" customFormat="false" ht="15" hidden="false" customHeight="false" outlineLevel="0" collapsed="false">
      <c r="A434" s="0" t="s">
        <v>6</v>
      </c>
      <c r="B434" s="0" t="s">
        <v>849</v>
      </c>
      <c r="C434" s="0" t="s">
        <v>1730</v>
      </c>
      <c r="D434" s="0" t="n">
        <v>100</v>
      </c>
    </row>
    <row r="435" customFormat="false" ht="15" hidden="false" customHeight="false" outlineLevel="0" collapsed="false">
      <c r="A435" s="0" t="s">
        <v>6</v>
      </c>
      <c r="B435" s="0" t="s">
        <v>849</v>
      </c>
      <c r="C435" s="0" t="s">
        <v>1866</v>
      </c>
    </row>
    <row r="436" customFormat="false" ht="15" hidden="false" customHeight="false" outlineLevel="0" collapsed="false">
      <c r="A436" s="0" t="s">
        <v>6</v>
      </c>
      <c r="B436" s="0" t="s">
        <v>849</v>
      </c>
      <c r="C436" s="0" t="s">
        <v>2159</v>
      </c>
    </row>
    <row r="437" customFormat="false" ht="15" hidden="false" customHeight="false" outlineLevel="0" collapsed="false">
      <c r="A437" s="0" t="s">
        <v>6</v>
      </c>
      <c r="B437" s="0" t="s">
        <v>857</v>
      </c>
      <c r="C437" s="0" t="s">
        <v>1730</v>
      </c>
      <c r="D437" s="0" t="n">
        <v>20</v>
      </c>
    </row>
    <row r="438" customFormat="false" ht="15" hidden="false" customHeight="false" outlineLevel="0" collapsed="false">
      <c r="A438" s="0" t="s">
        <v>6</v>
      </c>
      <c r="B438" s="0" t="s">
        <v>857</v>
      </c>
      <c r="C438" s="0" t="s">
        <v>1866</v>
      </c>
    </row>
    <row r="439" customFormat="false" ht="15" hidden="false" customHeight="false" outlineLevel="0" collapsed="false">
      <c r="A439" s="0" t="s">
        <v>6</v>
      </c>
      <c r="B439" s="0" t="s">
        <v>857</v>
      </c>
      <c r="C439" s="0" t="s">
        <v>2159</v>
      </c>
    </row>
    <row r="440" customFormat="false" ht="15" hidden="false" customHeight="false" outlineLevel="0" collapsed="false">
      <c r="A440" s="0" t="s">
        <v>6</v>
      </c>
      <c r="B440" s="0" t="s">
        <v>866</v>
      </c>
      <c r="C440" s="0" t="s">
        <v>1730</v>
      </c>
      <c r="D440" s="0" t="n">
        <v>25</v>
      </c>
    </row>
    <row r="441" customFormat="false" ht="15" hidden="false" customHeight="false" outlineLevel="0" collapsed="false">
      <c r="A441" s="0" t="s">
        <v>6</v>
      </c>
      <c r="B441" s="0" t="s">
        <v>866</v>
      </c>
      <c r="C441" s="0" t="s">
        <v>1866</v>
      </c>
    </row>
    <row r="442" customFormat="false" ht="15" hidden="false" customHeight="false" outlineLevel="0" collapsed="false">
      <c r="A442" s="0" t="s">
        <v>6</v>
      </c>
      <c r="B442" s="0" t="s">
        <v>866</v>
      </c>
      <c r="C442" s="0" t="s">
        <v>2159</v>
      </c>
    </row>
    <row r="443" customFormat="false" ht="15" hidden="false" customHeight="false" outlineLevel="0" collapsed="false">
      <c r="A443" s="0" t="s">
        <v>6</v>
      </c>
      <c r="B443" s="0" t="s">
        <v>871</v>
      </c>
      <c r="C443" s="0" t="s">
        <v>1730</v>
      </c>
      <c r="D443" s="0" t="n">
        <v>100</v>
      </c>
    </row>
    <row r="444" customFormat="false" ht="15" hidden="false" customHeight="false" outlineLevel="0" collapsed="false">
      <c r="A444" s="0" t="s">
        <v>6</v>
      </c>
      <c r="B444" s="0" t="s">
        <v>871</v>
      </c>
      <c r="C444" s="0" t="s">
        <v>1866</v>
      </c>
    </row>
    <row r="445" customFormat="false" ht="15" hidden="false" customHeight="false" outlineLevel="0" collapsed="false">
      <c r="A445" s="0" t="s">
        <v>6</v>
      </c>
      <c r="B445" s="0" t="s">
        <v>871</v>
      </c>
      <c r="C445" s="0" t="s">
        <v>2159</v>
      </c>
    </row>
    <row r="446" customFormat="false" ht="15" hidden="false" customHeight="false" outlineLevel="0" collapsed="false">
      <c r="A446" s="0" t="s">
        <v>6</v>
      </c>
      <c r="B446" s="0" t="s">
        <v>875</v>
      </c>
      <c r="C446" s="0" t="s">
        <v>1730</v>
      </c>
      <c r="D446" s="0" t="n">
        <v>125</v>
      </c>
    </row>
    <row r="447" customFormat="false" ht="15" hidden="false" customHeight="false" outlineLevel="0" collapsed="false">
      <c r="A447" s="0" t="s">
        <v>6</v>
      </c>
      <c r="B447" s="0" t="s">
        <v>875</v>
      </c>
      <c r="C447" s="0" t="s">
        <v>1866</v>
      </c>
    </row>
    <row r="448" customFormat="false" ht="15" hidden="false" customHeight="false" outlineLevel="0" collapsed="false">
      <c r="A448" s="0" t="s">
        <v>6</v>
      </c>
      <c r="B448" s="0" t="s">
        <v>875</v>
      </c>
      <c r="C448" s="0" t="s">
        <v>2159</v>
      </c>
    </row>
    <row r="449" customFormat="false" ht="15" hidden="false" customHeight="false" outlineLevel="0" collapsed="false">
      <c r="A449" s="0" t="s">
        <v>6</v>
      </c>
      <c r="B449" s="0" t="s">
        <v>879</v>
      </c>
      <c r="C449" s="0" t="s">
        <v>1730</v>
      </c>
      <c r="D449" s="0" t="n">
        <v>25</v>
      </c>
    </row>
    <row r="450" customFormat="false" ht="15" hidden="false" customHeight="false" outlineLevel="0" collapsed="false">
      <c r="A450" s="0" t="s">
        <v>6</v>
      </c>
      <c r="B450" s="0" t="s">
        <v>879</v>
      </c>
      <c r="C450" s="0" t="s">
        <v>1866</v>
      </c>
    </row>
    <row r="451" customFormat="false" ht="15" hidden="false" customHeight="false" outlineLevel="0" collapsed="false">
      <c r="A451" s="0" t="s">
        <v>6</v>
      </c>
      <c r="B451" s="0" t="s">
        <v>879</v>
      </c>
      <c r="C451" s="0" t="s">
        <v>2159</v>
      </c>
    </row>
    <row r="452" customFormat="false" ht="15" hidden="false" customHeight="false" outlineLevel="0" collapsed="false">
      <c r="A452" s="0" t="s">
        <v>6</v>
      </c>
      <c r="B452" s="0" t="s">
        <v>883</v>
      </c>
      <c r="C452" s="0" t="s">
        <v>1730</v>
      </c>
      <c r="D452" s="0" t="n">
        <v>2</v>
      </c>
    </row>
    <row r="453" customFormat="false" ht="15" hidden="false" customHeight="false" outlineLevel="0" collapsed="false">
      <c r="A453" s="0" t="s">
        <v>6</v>
      </c>
      <c r="B453" s="0" t="s">
        <v>883</v>
      </c>
      <c r="C453" s="0" t="s">
        <v>1866</v>
      </c>
    </row>
    <row r="454" customFormat="false" ht="15" hidden="false" customHeight="false" outlineLevel="0" collapsed="false">
      <c r="A454" s="0" t="s">
        <v>6</v>
      </c>
      <c r="B454" s="0" t="s">
        <v>883</v>
      </c>
      <c r="C454" s="0" t="s">
        <v>2159</v>
      </c>
    </row>
    <row r="455" customFormat="false" ht="15" hidden="false" customHeight="false" outlineLevel="0" collapsed="false">
      <c r="A455" s="0" t="s">
        <v>6</v>
      </c>
      <c r="B455" s="0" t="s">
        <v>890</v>
      </c>
      <c r="C455" s="0" t="s">
        <v>1730</v>
      </c>
      <c r="D455" s="0" t="n">
        <v>20</v>
      </c>
    </row>
    <row r="456" customFormat="false" ht="15" hidden="false" customHeight="false" outlineLevel="0" collapsed="false">
      <c r="A456" s="0" t="s">
        <v>6</v>
      </c>
      <c r="B456" s="0" t="s">
        <v>890</v>
      </c>
      <c r="C456" s="0" t="s">
        <v>1866</v>
      </c>
    </row>
    <row r="457" customFormat="false" ht="15" hidden="false" customHeight="false" outlineLevel="0" collapsed="false">
      <c r="A457" s="0" t="s">
        <v>6</v>
      </c>
      <c r="B457" s="0" t="s">
        <v>890</v>
      </c>
      <c r="C457" s="0" t="s">
        <v>2159</v>
      </c>
    </row>
    <row r="458" customFormat="false" ht="15" hidden="false" customHeight="false" outlineLevel="0" collapsed="false">
      <c r="A458" s="0" t="s">
        <v>6</v>
      </c>
      <c r="B458" s="0" t="s">
        <v>897</v>
      </c>
      <c r="C458" s="0" t="s">
        <v>1730</v>
      </c>
      <c r="D458" s="0" t="n">
        <v>60</v>
      </c>
    </row>
    <row r="459" customFormat="false" ht="15" hidden="false" customHeight="false" outlineLevel="0" collapsed="false">
      <c r="A459" s="0" t="s">
        <v>6</v>
      </c>
      <c r="B459" s="0" t="s">
        <v>897</v>
      </c>
      <c r="C459" s="0" t="s">
        <v>1866</v>
      </c>
      <c r="D459" s="0" t="n">
        <v>40</v>
      </c>
    </row>
    <row r="460" customFormat="false" ht="15" hidden="false" customHeight="false" outlineLevel="0" collapsed="false">
      <c r="A460" s="0" t="s">
        <v>6</v>
      </c>
      <c r="B460" s="0" t="s">
        <v>897</v>
      </c>
      <c r="C460" s="0" t="s">
        <v>2159</v>
      </c>
      <c r="D460" s="0" t="n">
        <v>60</v>
      </c>
    </row>
    <row r="461" customFormat="false" ht="15" hidden="false" customHeight="false" outlineLevel="0" collapsed="false">
      <c r="A461" s="0" t="s">
        <v>6</v>
      </c>
      <c r="B461" s="0" t="s">
        <v>904</v>
      </c>
      <c r="C461" s="0" t="s">
        <v>1730</v>
      </c>
    </row>
    <row r="462" customFormat="false" ht="15" hidden="false" customHeight="false" outlineLevel="0" collapsed="false">
      <c r="A462" s="0" t="s">
        <v>6</v>
      </c>
      <c r="B462" s="0" t="s">
        <v>904</v>
      </c>
      <c r="C462" s="0" t="s">
        <v>1866</v>
      </c>
    </row>
    <row r="463" customFormat="false" ht="15" hidden="false" customHeight="false" outlineLevel="0" collapsed="false">
      <c r="A463" s="0" t="s">
        <v>6</v>
      </c>
      <c r="B463" s="0" t="s">
        <v>904</v>
      </c>
      <c r="C463" s="0" t="s">
        <v>2159</v>
      </c>
    </row>
    <row r="464" customFormat="false" ht="15" hidden="false" customHeight="false" outlineLevel="0" collapsed="false">
      <c r="A464" s="0" t="s">
        <v>6</v>
      </c>
      <c r="B464" s="0" t="s">
        <v>912</v>
      </c>
      <c r="C464" s="0" t="s">
        <v>1730</v>
      </c>
      <c r="D464" s="0" t="n">
        <v>2</v>
      </c>
    </row>
    <row r="465" customFormat="false" ht="15" hidden="false" customHeight="false" outlineLevel="0" collapsed="false">
      <c r="A465" s="0" t="s">
        <v>6</v>
      </c>
      <c r="B465" s="0" t="s">
        <v>912</v>
      </c>
      <c r="C465" s="0" t="s">
        <v>1866</v>
      </c>
    </row>
    <row r="466" customFormat="false" ht="15" hidden="false" customHeight="false" outlineLevel="0" collapsed="false">
      <c r="A466" s="0" t="s">
        <v>6</v>
      </c>
      <c r="B466" s="0" t="s">
        <v>912</v>
      </c>
      <c r="C466" s="0" t="s">
        <v>2159</v>
      </c>
    </row>
    <row r="467" customFormat="false" ht="15" hidden="false" customHeight="false" outlineLevel="0" collapsed="false">
      <c r="A467" s="0" t="s">
        <v>6</v>
      </c>
      <c r="B467" s="0" t="s">
        <v>917</v>
      </c>
      <c r="C467" s="0" t="s">
        <v>1730</v>
      </c>
    </row>
    <row r="468" customFormat="false" ht="15" hidden="false" customHeight="false" outlineLevel="0" collapsed="false">
      <c r="A468" s="0" t="s">
        <v>6</v>
      </c>
      <c r="B468" s="0" t="s">
        <v>917</v>
      </c>
      <c r="C468" s="0" t="s">
        <v>1866</v>
      </c>
    </row>
    <row r="469" customFormat="false" ht="15" hidden="false" customHeight="false" outlineLevel="0" collapsed="false">
      <c r="A469" s="0" t="s">
        <v>6</v>
      </c>
      <c r="B469" s="0" t="s">
        <v>917</v>
      </c>
      <c r="C469" s="0" t="s">
        <v>2159</v>
      </c>
    </row>
    <row r="470" customFormat="false" ht="15" hidden="false" customHeight="false" outlineLevel="0" collapsed="false">
      <c r="A470" s="0" t="s">
        <v>6</v>
      </c>
      <c r="B470" s="0" t="s">
        <v>921</v>
      </c>
      <c r="C470" s="0" t="s">
        <v>1730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6</v>
      </c>
      <c r="B471" s="0" t="s">
        <v>921</v>
      </c>
      <c r="C471" s="0" t="s">
        <v>1866</v>
      </c>
    </row>
    <row r="472" customFormat="false" ht="15" hidden="false" customHeight="false" outlineLevel="0" collapsed="false">
      <c r="A472" s="0" t="s">
        <v>6</v>
      </c>
      <c r="B472" s="0" t="s">
        <v>921</v>
      </c>
      <c r="C472" s="0" t="s">
        <v>2159</v>
      </c>
    </row>
    <row r="473" customFormat="false" ht="15" hidden="false" customHeight="false" outlineLevel="0" collapsed="false">
      <c r="A473" s="0" t="s">
        <v>6</v>
      </c>
      <c r="B473" s="0" t="s">
        <v>926</v>
      </c>
      <c r="C473" s="0" t="s">
        <v>1730</v>
      </c>
      <c r="D473" s="0" t="n">
        <v>-0.2</v>
      </c>
    </row>
    <row r="474" customFormat="false" ht="15" hidden="false" customHeight="false" outlineLevel="0" collapsed="false">
      <c r="A474" s="0" t="s">
        <v>6</v>
      </c>
      <c r="B474" s="0" t="s">
        <v>926</v>
      </c>
      <c r="C474" s="0" t="s">
        <v>1866</v>
      </c>
    </row>
    <row r="475" customFormat="false" ht="15" hidden="false" customHeight="false" outlineLevel="0" collapsed="false">
      <c r="A475" s="0" t="s">
        <v>6</v>
      </c>
      <c r="B475" s="0" t="s">
        <v>926</v>
      </c>
      <c r="C475" s="0" t="s">
        <v>2159</v>
      </c>
    </row>
    <row r="476" customFormat="false" ht="15" hidden="false" customHeight="false" outlineLevel="0" collapsed="false">
      <c r="A476" s="0" t="s">
        <v>6</v>
      </c>
      <c r="B476" s="0" t="s">
        <v>930</v>
      </c>
      <c r="C476" s="0" t="s">
        <v>1730</v>
      </c>
      <c r="D476" s="0" t="n">
        <v>-0.9</v>
      </c>
    </row>
    <row r="477" customFormat="false" ht="15" hidden="false" customHeight="false" outlineLevel="0" collapsed="false">
      <c r="A477" s="0" t="s">
        <v>6</v>
      </c>
      <c r="B477" s="0" t="s">
        <v>930</v>
      </c>
      <c r="C477" s="0" t="s">
        <v>1866</v>
      </c>
    </row>
    <row r="478" customFormat="false" ht="15" hidden="false" customHeight="false" outlineLevel="0" collapsed="false">
      <c r="A478" s="0" t="s">
        <v>6</v>
      </c>
      <c r="B478" s="0" t="s">
        <v>930</v>
      </c>
      <c r="C478" s="0" t="s">
        <v>2159</v>
      </c>
    </row>
    <row r="479" customFormat="false" ht="15" hidden="false" customHeight="false" outlineLevel="0" collapsed="false">
      <c r="A479" s="0" t="s">
        <v>6</v>
      </c>
      <c r="B479" s="0" t="s">
        <v>934</v>
      </c>
      <c r="C479" s="0" t="s">
        <v>1730</v>
      </c>
      <c r="D479" s="0" t="n">
        <v>-0.333</v>
      </c>
    </row>
    <row r="480" customFormat="false" ht="15" hidden="false" customHeight="false" outlineLevel="0" collapsed="false">
      <c r="A480" s="0" t="s">
        <v>6</v>
      </c>
      <c r="B480" s="0" t="s">
        <v>934</v>
      </c>
      <c r="C480" s="0" t="s">
        <v>1866</v>
      </c>
    </row>
    <row r="481" customFormat="false" ht="15" hidden="false" customHeight="false" outlineLevel="0" collapsed="false">
      <c r="A481" s="0" t="s">
        <v>6</v>
      </c>
      <c r="B481" s="0" t="s">
        <v>934</v>
      </c>
      <c r="C481" s="0" t="s">
        <v>2159</v>
      </c>
    </row>
    <row r="482" customFormat="false" ht="15" hidden="false" customHeight="false" outlineLevel="0" collapsed="false">
      <c r="A482" s="0" t="s">
        <v>6</v>
      </c>
      <c r="B482" s="0" t="s">
        <v>940</v>
      </c>
      <c r="C482" s="0" t="s">
        <v>1730</v>
      </c>
      <c r="D482" s="0" t="n">
        <v>300000</v>
      </c>
    </row>
    <row r="483" customFormat="false" ht="15" hidden="false" customHeight="false" outlineLevel="0" collapsed="false">
      <c r="A483" s="0" t="s">
        <v>6</v>
      </c>
      <c r="B483" s="0" t="s">
        <v>940</v>
      </c>
      <c r="C483" s="0" t="s">
        <v>1866</v>
      </c>
    </row>
    <row r="484" customFormat="false" ht="15" hidden="false" customHeight="false" outlineLevel="0" collapsed="false">
      <c r="A484" s="0" t="s">
        <v>6</v>
      </c>
      <c r="B484" s="0" t="s">
        <v>940</v>
      </c>
      <c r="C484" s="0" t="s">
        <v>2159</v>
      </c>
    </row>
    <row r="485" customFormat="false" ht="15" hidden="false" customHeight="false" outlineLevel="0" collapsed="false">
      <c r="A485" s="0" t="s">
        <v>6</v>
      </c>
      <c r="B485" s="0" t="s">
        <v>946</v>
      </c>
      <c r="C485" s="0" t="s">
        <v>1730</v>
      </c>
      <c r="D485" s="0" t="n">
        <v>300000</v>
      </c>
    </row>
    <row r="486" customFormat="false" ht="15" hidden="false" customHeight="false" outlineLevel="0" collapsed="false">
      <c r="A486" s="0" t="s">
        <v>6</v>
      </c>
      <c r="B486" s="0" t="s">
        <v>946</v>
      </c>
      <c r="C486" s="0" t="s">
        <v>1866</v>
      </c>
    </row>
    <row r="487" customFormat="false" ht="15" hidden="false" customHeight="false" outlineLevel="0" collapsed="false">
      <c r="A487" s="0" t="s">
        <v>6</v>
      </c>
      <c r="B487" s="0" t="s">
        <v>946</v>
      </c>
      <c r="C487" s="0" t="s">
        <v>2159</v>
      </c>
    </row>
    <row r="488" customFormat="false" ht="15" hidden="false" customHeight="false" outlineLevel="0" collapsed="false">
      <c r="A488" s="0" t="s">
        <v>6</v>
      </c>
      <c r="B488" s="0" t="s">
        <v>950</v>
      </c>
      <c r="C488" s="0" t="s">
        <v>1730</v>
      </c>
      <c r="D488" s="0" t="n">
        <v>7</v>
      </c>
    </row>
    <row r="489" customFormat="false" ht="15" hidden="false" customHeight="false" outlineLevel="0" collapsed="false">
      <c r="A489" s="0" t="s">
        <v>6</v>
      </c>
      <c r="B489" s="0" t="s">
        <v>950</v>
      </c>
      <c r="C489" s="0" t="s">
        <v>1866</v>
      </c>
    </row>
    <row r="490" customFormat="false" ht="15" hidden="false" customHeight="false" outlineLevel="0" collapsed="false">
      <c r="A490" s="0" t="s">
        <v>6</v>
      </c>
      <c r="B490" s="0" t="s">
        <v>950</v>
      </c>
      <c r="C490" s="0" t="s">
        <v>2159</v>
      </c>
    </row>
    <row r="491" customFormat="false" ht="15" hidden="false" customHeight="false" outlineLevel="0" collapsed="false">
      <c r="A491" s="0" t="s">
        <v>6</v>
      </c>
      <c r="B491" s="0" t="s">
        <v>955</v>
      </c>
      <c r="C491" s="0" t="s">
        <v>1730</v>
      </c>
      <c r="D491" s="0" t="n">
        <v>7</v>
      </c>
    </row>
    <row r="492" customFormat="false" ht="15" hidden="false" customHeight="false" outlineLevel="0" collapsed="false">
      <c r="A492" s="0" t="s">
        <v>6</v>
      </c>
      <c r="B492" s="0" t="s">
        <v>955</v>
      </c>
      <c r="C492" s="0" t="s">
        <v>1866</v>
      </c>
    </row>
    <row r="493" customFormat="false" ht="15" hidden="false" customHeight="false" outlineLevel="0" collapsed="false">
      <c r="A493" s="0" t="s">
        <v>6</v>
      </c>
      <c r="B493" s="0" t="s">
        <v>955</v>
      </c>
      <c r="C493" s="0" t="s">
        <v>2159</v>
      </c>
    </row>
    <row r="494" customFormat="false" ht="15" hidden="false" customHeight="false" outlineLevel="0" collapsed="false">
      <c r="A494" s="0" t="s">
        <v>6</v>
      </c>
      <c r="B494" s="0" t="s">
        <v>958</v>
      </c>
      <c r="C494" s="0" t="s">
        <v>1730</v>
      </c>
      <c r="D494" s="0" t="n">
        <v>500</v>
      </c>
    </row>
    <row r="495" customFormat="false" ht="15" hidden="false" customHeight="false" outlineLevel="0" collapsed="false">
      <c r="A495" s="0" t="s">
        <v>6</v>
      </c>
      <c r="B495" s="0" t="s">
        <v>958</v>
      </c>
      <c r="C495" s="0" t="s">
        <v>1866</v>
      </c>
    </row>
    <row r="496" customFormat="false" ht="15" hidden="false" customHeight="false" outlineLevel="0" collapsed="false">
      <c r="A496" s="0" t="s">
        <v>6</v>
      </c>
      <c r="B496" s="0" t="s">
        <v>958</v>
      </c>
      <c r="C496" s="0" t="s">
        <v>2159</v>
      </c>
    </row>
    <row r="497" customFormat="false" ht="15" hidden="false" customHeight="false" outlineLevel="0" collapsed="false">
      <c r="A497" s="0" t="s">
        <v>6</v>
      </c>
      <c r="B497" s="0" t="s">
        <v>962</v>
      </c>
      <c r="C497" s="0" t="s">
        <v>1730</v>
      </c>
      <c r="D497" s="0" t="n">
        <v>12</v>
      </c>
    </row>
    <row r="498" customFormat="false" ht="15" hidden="false" customHeight="false" outlineLevel="0" collapsed="false">
      <c r="A498" s="0" t="s">
        <v>6</v>
      </c>
      <c r="B498" s="0" t="s">
        <v>962</v>
      </c>
      <c r="C498" s="0" t="s">
        <v>1866</v>
      </c>
    </row>
    <row r="499" customFormat="false" ht="15" hidden="false" customHeight="false" outlineLevel="0" collapsed="false">
      <c r="A499" s="0" t="s">
        <v>6</v>
      </c>
      <c r="B499" s="0" t="s">
        <v>962</v>
      </c>
      <c r="C499" s="0" t="s">
        <v>2159</v>
      </c>
    </row>
    <row r="500" customFormat="false" ht="15" hidden="false" customHeight="false" outlineLevel="0" collapsed="false">
      <c r="A500" s="0" t="s">
        <v>6</v>
      </c>
      <c r="B500" s="0" t="s">
        <v>966</v>
      </c>
      <c r="C500" s="0" t="s">
        <v>1730</v>
      </c>
      <c r="D500" s="0" t="n">
        <v>1000</v>
      </c>
    </row>
    <row r="501" customFormat="false" ht="15" hidden="false" customHeight="false" outlineLevel="0" collapsed="false">
      <c r="A501" s="0" t="s">
        <v>6</v>
      </c>
      <c r="B501" s="0" t="s">
        <v>966</v>
      </c>
      <c r="C501" s="0" t="s">
        <v>1866</v>
      </c>
    </row>
    <row r="502" customFormat="false" ht="15" hidden="false" customHeight="false" outlineLevel="0" collapsed="false">
      <c r="A502" s="0" t="s">
        <v>6</v>
      </c>
      <c r="B502" s="0" t="s">
        <v>966</v>
      </c>
      <c r="C502" s="0" t="s">
        <v>2159</v>
      </c>
    </row>
    <row r="503" customFormat="false" ht="15" hidden="false" customHeight="false" outlineLevel="0" collapsed="false">
      <c r="A503" s="0" t="s">
        <v>6</v>
      </c>
      <c r="B503" s="0" t="s">
        <v>969</v>
      </c>
      <c r="C503" s="0" t="s">
        <v>1730</v>
      </c>
      <c r="D503" s="0" t="n">
        <v>100000</v>
      </c>
    </row>
    <row r="504" customFormat="false" ht="15" hidden="false" customHeight="false" outlineLevel="0" collapsed="false">
      <c r="A504" s="0" t="s">
        <v>6</v>
      </c>
      <c r="B504" s="0" t="s">
        <v>969</v>
      </c>
      <c r="C504" s="0" t="s">
        <v>1866</v>
      </c>
    </row>
    <row r="505" customFormat="false" ht="15" hidden="false" customHeight="false" outlineLevel="0" collapsed="false">
      <c r="A505" s="0" t="s">
        <v>6</v>
      </c>
      <c r="B505" s="0" t="s">
        <v>969</v>
      </c>
      <c r="C505" s="0" t="s">
        <v>2159</v>
      </c>
    </row>
    <row r="506" customFormat="false" ht="15" hidden="false" customHeight="false" outlineLevel="0" collapsed="false">
      <c r="A506" s="0" t="s">
        <v>6</v>
      </c>
      <c r="B506" s="0" t="s">
        <v>976</v>
      </c>
      <c r="C506" s="0" t="s">
        <v>1730</v>
      </c>
      <c r="D506" s="0" t="n">
        <v>2</v>
      </c>
    </row>
    <row r="507" customFormat="false" ht="15" hidden="false" customHeight="false" outlineLevel="0" collapsed="false">
      <c r="A507" s="0" t="s">
        <v>6</v>
      </c>
      <c r="B507" s="0" t="s">
        <v>976</v>
      </c>
      <c r="C507" s="0" t="s">
        <v>1866</v>
      </c>
      <c r="D507" s="0" t="n">
        <v>2</v>
      </c>
    </row>
    <row r="508" customFormat="false" ht="15" hidden="false" customHeight="false" outlineLevel="0" collapsed="false">
      <c r="A508" s="0" t="s">
        <v>6</v>
      </c>
      <c r="B508" s="0" t="s">
        <v>976</v>
      </c>
      <c r="C508" s="0" t="s">
        <v>2159</v>
      </c>
    </row>
    <row r="509" customFormat="false" ht="15" hidden="false" customHeight="false" outlineLevel="0" collapsed="false">
      <c r="A509" s="0" t="s">
        <v>6</v>
      </c>
      <c r="B509" s="0" t="s">
        <v>984</v>
      </c>
      <c r="C509" s="0" t="s">
        <v>1730</v>
      </c>
    </row>
    <row r="510" customFormat="false" ht="15" hidden="false" customHeight="false" outlineLevel="0" collapsed="false">
      <c r="A510" s="0" t="s">
        <v>6</v>
      </c>
      <c r="B510" s="0" t="s">
        <v>984</v>
      </c>
      <c r="C510" s="0" t="s">
        <v>1866</v>
      </c>
      <c r="D510" s="0" t="n">
        <v>18</v>
      </c>
    </row>
    <row r="511" customFormat="false" ht="15" hidden="false" customHeight="false" outlineLevel="0" collapsed="false">
      <c r="A511" s="0" t="s">
        <v>6</v>
      </c>
      <c r="B511" s="0" t="s">
        <v>984</v>
      </c>
      <c r="C511" s="0" t="s">
        <v>2159</v>
      </c>
      <c r="D511" s="0" t="n">
        <v>30</v>
      </c>
    </row>
    <row r="512" customFormat="false" ht="15" hidden="false" customHeight="false" outlineLevel="0" collapsed="false">
      <c r="A512" s="0" t="s">
        <v>6</v>
      </c>
      <c r="B512" s="0" t="s">
        <v>990</v>
      </c>
      <c r="C512" s="0" t="s">
        <v>1730</v>
      </c>
      <c r="D512" s="0" t="n">
        <v>56</v>
      </c>
    </row>
    <row r="513" customFormat="false" ht="15" hidden="false" customHeight="false" outlineLevel="0" collapsed="false">
      <c r="A513" s="0" t="s">
        <v>6</v>
      </c>
      <c r="B513" s="0" t="s">
        <v>990</v>
      </c>
      <c r="C513" s="0" t="s">
        <v>1866</v>
      </c>
      <c r="D513" s="0" t="n">
        <v>45</v>
      </c>
    </row>
    <row r="514" customFormat="false" ht="15" hidden="false" customHeight="false" outlineLevel="0" collapsed="false">
      <c r="A514" s="0" t="s">
        <v>6</v>
      </c>
      <c r="B514" s="0" t="s">
        <v>990</v>
      </c>
      <c r="C514" s="0" t="s">
        <v>2159</v>
      </c>
      <c r="D514" s="0" t="n">
        <v>67</v>
      </c>
    </row>
    <row r="515" customFormat="false" ht="15" hidden="false" customHeight="false" outlineLevel="0" collapsed="false">
      <c r="A515" s="0" t="s">
        <v>6</v>
      </c>
      <c r="B515" s="0" t="s">
        <v>997</v>
      </c>
      <c r="C515" s="0" t="s">
        <v>1730</v>
      </c>
      <c r="D515" s="0" t="n">
        <v>952.5</v>
      </c>
    </row>
    <row r="516" customFormat="false" ht="15" hidden="false" customHeight="false" outlineLevel="0" collapsed="false">
      <c r="A516" s="0" t="s">
        <v>6</v>
      </c>
      <c r="B516" s="0" t="s">
        <v>997</v>
      </c>
      <c r="C516" s="0" t="s">
        <v>1866</v>
      </c>
      <c r="D516" s="0" t="n">
        <v>850</v>
      </c>
    </row>
    <row r="517" customFormat="false" ht="15" hidden="false" customHeight="false" outlineLevel="0" collapsed="false">
      <c r="A517" s="0" t="s">
        <v>6</v>
      </c>
      <c r="B517" s="0" t="s">
        <v>997</v>
      </c>
      <c r="C517" s="0" t="s">
        <v>2159</v>
      </c>
      <c r="D517" s="0" t="n">
        <v>1050</v>
      </c>
    </row>
    <row r="518" customFormat="false" ht="15" hidden="false" customHeight="false" outlineLevel="0" collapsed="false">
      <c r="A518" s="0" t="s">
        <v>6</v>
      </c>
      <c r="B518" s="0" t="s">
        <v>1004</v>
      </c>
      <c r="C518" s="0" t="s">
        <v>1730</v>
      </c>
      <c r="D518" s="0" t="n">
        <v>18.9</v>
      </c>
    </row>
    <row r="519" customFormat="false" ht="15" hidden="false" customHeight="false" outlineLevel="0" collapsed="false">
      <c r="A519" s="0" t="s">
        <v>6</v>
      </c>
      <c r="B519" s="0" t="s">
        <v>1004</v>
      </c>
      <c r="C519" s="0" t="s">
        <v>1866</v>
      </c>
      <c r="D519" s="0" t="n">
        <v>15</v>
      </c>
    </row>
    <row r="520" customFormat="false" ht="15" hidden="false" customHeight="false" outlineLevel="0" collapsed="false">
      <c r="A520" s="0" t="s">
        <v>6</v>
      </c>
      <c r="B520" s="0" t="s">
        <v>1004</v>
      </c>
      <c r="C520" s="0" t="s">
        <v>2159</v>
      </c>
      <c r="D520" s="0" t="n">
        <v>25</v>
      </c>
    </row>
    <row r="521" customFormat="false" ht="15" hidden="false" customHeight="false" outlineLevel="0" collapsed="false">
      <c r="A521" s="0" t="s">
        <v>6</v>
      </c>
      <c r="B521" s="0" t="s">
        <v>1009</v>
      </c>
      <c r="C521" s="0" t="s">
        <v>1730</v>
      </c>
      <c r="D521" s="0" t="n">
        <v>470000</v>
      </c>
    </row>
    <row r="522" customFormat="false" ht="15" hidden="false" customHeight="false" outlineLevel="0" collapsed="false">
      <c r="A522" s="0" t="s">
        <v>6</v>
      </c>
      <c r="B522" s="0" t="s">
        <v>1009</v>
      </c>
      <c r="C522" s="0" t="s">
        <v>1866</v>
      </c>
    </row>
    <row r="523" customFormat="false" ht="15" hidden="false" customHeight="false" outlineLevel="0" collapsed="false">
      <c r="A523" s="0" t="s">
        <v>6</v>
      </c>
      <c r="B523" s="0" t="s">
        <v>1009</v>
      </c>
      <c r="C523" s="0" t="s">
        <v>2159</v>
      </c>
    </row>
    <row r="524" customFormat="false" ht="15" hidden="false" customHeight="false" outlineLevel="0" collapsed="false">
      <c r="A524" s="0" t="s">
        <v>6</v>
      </c>
      <c r="B524" s="0" t="s">
        <v>1018</v>
      </c>
      <c r="C524" s="0" t="s">
        <v>1730</v>
      </c>
      <c r="D524" s="0" t="n">
        <v>350000</v>
      </c>
    </row>
    <row r="525" customFormat="false" ht="15" hidden="false" customHeight="false" outlineLevel="0" collapsed="false">
      <c r="A525" s="0" t="s">
        <v>6</v>
      </c>
      <c r="B525" s="0" t="s">
        <v>1018</v>
      </c>
      <c r="C525" s="0" t="s">
        <v>1866</v>
      </c>
    </row>
    <row r="526" customFormat="false" ht="15" hidden="false" customHeight="false" outlineLevel="0" collapsed="false">
      <c r="A526" s="0" t="s">
        <v>6</v>
      </c>
      <c r="B526" s="0" t="s">
        <v>1018</v>
      </c>
      <c r="C526" s="0" t="s">
        <v>2159</v>
      </c>
      <c r="D526" s="0" t="n">
        <v>350000</v>
      </c>
    </row>
    <row r="527" customFormat="false" ht="15" hidden="false" customHeight="false" outlineLevel="0" collapsed="false">
      <c r="A527" s="0" t="s">
        <v>6</v>
      </c>
      <c r="B527" s="0" t="s">
        <v>1026</v>
      </c>
      <c r="C527" s="0" t="s">
        <v>1730</v>
      </c>
      <c r="D527" s="0" t="n">
        <v>30000</v>
      </c>
    </row>
    <row r="528" customFormat="false" ht="15" hidden="false" customHeight="false" outlineLevel="0" collapsed="false">
      <c r="A528" s="0" t="s">
        <v>6</v>
      </c>
      <c r="B528" s="0" t="s">
        <v>1026</v>
      </c>
      <c r="C528" s="0" t="s">
        <v>1866</v>
      </c>
    </row>
    <row r="529" customFormat="false" ht="15" hidden="false" customHeight="false" outlineLevel="0" collapsed="false">
      <c r="A529" s="0" t="s">
        <v>6</v>
      </c>
      <c r="B529" s="0" t="s">
        <v>1026</v>
      </c>
      <c r="C529" s="0" t="s">
        <v>2159</v>
      </c>
    </row>
    <row r="530" customFormat="false" ht="15" hidden="false" customHeight="false" outlineLevel="0" collapsed="false">
      <c r="A530" s="0" t="s">
        <v>6</v>
      </c>
      <c r="B530" s="0" t="s">
        <v>1034</v>
      </c>
      <c r="C530" s="0" t="s">
        <v>1730</v>
      </c>
      <c r="D530" s="0" t="n">
        <v>30000</v>
      </c>
    </row>
    <row r="531" customFormat="false" ht="15" hidden="false" customHeight="false" outlineLevel="0" collapsed="false">
      <c r="A531" s="0" t="s">
        <v>6</v>
      </c>
      <c r="B531" s="0" t="s">
        <v>1034</v>
      </c>
      <c r="C531" s="0" t="s">
        <v>1866</v>
      </c>
    </row>
    <row r="532" customFormat="false" ht="15" hidden="false" customHeight="false" outlineLevel="0" collapsed="false">
      <c r="A532" s="0" t="s">
        <v>6</v>
      </c>
      <c r="B532" s="0" t="s">
        <v>1034</v>
      </c>
      <c r="C532" s="0" t="s">
        <v>2159</v>
      </c>
    </row>
    <row r="533" customFormat="false" ht="15" hidden="false" customHeight="false" outlineLevel="0" collapsed="false">
      <c r="A533" s="0" t="s">
        <v>6</v>
      </c>
      <c r="B533" s="0" t="s">
        <v>1042</v>
      </c>
      <c r="C533" s="0" t="s">
        <v>1730</v>
      </c>
      <c r="D533" s="0" t="n">
        <v>50000</v>
      </c>
    </row>
    <row r="534" customFormat="false" ht="15" hidden="false" customHeight="false" outlineLevel="0" collapsed="false">
      <c r="A534" s="0" t="s">
        <v>6</v>
      </c>
      <c r="B534" s="0" t="s">
        <v>1042</v>
      </c>
      <c r="C534" s="0" t="s">
        <v>1866</v>
      </c>
    </row>
    <row r="535" customFormat="false" ht="15" hidden="false" customHeight="false" outlineLevel="0" collapsed="false">
      <c r="A535" s="0" t="s">
        <v>6</v>
      </c>
      <c r="B535" s="0" t="s">
        <v>1042</v>
      </c>
      <c r="C535" s="0" t="s">
        <v>2159</v>
      </c>
    </row>
    <row r="536" customFormat="false" ht="15" hidden="false" customHeight="false" outlineLevel="0" collapsed="false">
      <c r="A536" s="0" t="s">
        <v>6</v>
      </c>
      <c r="B536" s="0" t="s">
        <v>1050</v>
      </c>
      <c r="C536" s="0" t="s">
        <v>1730</v>
      </c>
      <c r="D536" s="0" t="n">
        <v>57000</v>
      </c>
    </row>
    <row r="537" customFormat="false" ht="15" hidden="false" customHeight="false" outlineLevel="0" collapsed="false">
      <c r="A537" s="0" t="s">
        <v>6</v>
      </c>
      <c r="B537" s="0" t="s">
        <v>1050</v>
      </c>
      <c r="C537" s="0" t="s">
        <v>1866</v>
      </c>
    </row>
    <row r="538" customFormat="false" ht="15" hidden="false" customHeight="false" outlineLevel="0" collapsed="false">
      <c r="A538" s="0" t="s">
        <v>6</v>
      </c>
      <c r="B538" s="0" t="s">
        <v>1050</v>
      </c>
      <c r="C538" s="0" t="s">
        <v>2159</v>
      </c>
    </row>
    <row r="539" customFormat="false" ht="15" hidden="false" customHeight="false" outlineLevel="0" collapsed="false">
      <c r="A539" s="0" t="s">
        <v>6</v>
      </c>
      <c r="B539" s="0" t="s">
        <v>1057</v>
      </c>
      <c r="C539" s="0" t="s">
        <v>1730</v>
      </c>
      <c r="D539" s="0" t="n">
        <v>16000</v>
      </c>
    </row>
    <row r="540" customFormat="false" ht="15" hidden="false" customHeight="false" outlineLevel="0" collapsed="false">
      <c r="A540" s="0" t="s">
        <v>6</v>
      </c>
      <c r="B540" s="0" t="s">
        <v>1057</v>
      </c>
      <c r="C540" s="0" t="s">
        <v>1866</v>
      </c>
    </row>
    <row r="541" customFormat="false" ht="15" hidden="false" customHeight="false" outlineLevel="0" collapsed="false">
      <c r="A541" s="0" t="s">
        <v>6</v>
      </c>
      <c r="B541" s="0" t="s">
        <v>1057</v>
      </c>
      <c r="C541" s="0" t="s">
        <v>2159</v>
      </c>
    </row>
    <row r="542" customFormat="false" ht="15" hidden="false" customHeight="false" outlineLevel="0" collapsed="false">
      <c r="A542" s="0" t="s">
        <v>6</v>
      </c>
      <c r="B542" s="0" t="s">
        <v>1065</v>
      </c>
      <c r="C542" s="0" t="s">
        <v>1730</v>
      </c>
      <c r="D542" s="0" t="n">
        <v>0.025</v>
      </c>
    </row>
    <row r="543" customFormat="false" ht="15" hidden="false" customHeight="false" outlineLevel="0" collapsed="false">
      <c r="A543" s="0" t="s">
        <v>6</v>
      </c>
      <c r="B543" s="0" t="s">
        <v>1065</v>
      </c>
      <c r="C543" s="0" t="s">
        <v>1866</v>
      </c>
      <c r="D543" s="0" t="n">
        <v>0.02</v>
      </c>
    </row>
    <row r="544" customFormat="false" ht="15" hidden="false" customHeight="false" outlineLevel="0" collapsed="false">
      <c r="A544" s="0" t="s">
        <v>6</v>
      </c>
      <c r="B544" s="0" t="s">
        <v>1065</v>
      </c>
      <c r="C544" s="0" t="s">
        <v>2159</v>
      </c>
      <c r="D544" s="0" t="n">
        <v>0.04</v>
      </c>
    </row>
    <row r="545" customFormat="false" ht="15" hidden="false" customHeight="false" outlineLevel="0" collapsed="false">
      <c r="A545" s="0" t="s">
        <v>6</v>
      </c>
      <c r="B545" s="0" t="s">
        <v>1072</v>
      </c>
      <c r="C545" s="0" t="s">
        <v>1730</v>
      </c>
      <c r="D545" s="0" t="n">
        <v>0.32</v>
      </c>
    </row>
    <row r="546" customFormat="false" ht="15" hidden="false" customHeight="false" outlineLevel="0" collapsed="false">
      <c r="A546" s="0" t="s">
        <v>6</v>
      </c>
      <c r="B546" s="0" t="s">
        <v>1072</v>
      </c>
      <c r="C546" s="0" t="s">
        <v>1866</v>
      </c>
      <c r="D546" s="0" t="n">
        <v>0.25</v>
      </c>
    </row>
    <row r="547" customFormat="false" ht="15" hidden="false" customHeight="false" outlineLevel="0" collapsed="false">
      <c r="A547" s="0" t="s">
        <v>6</v>
      </c>
      <c r="B547" s="0" t="s">
        <v>1072</v>
      </c>
      <c r="C547" s="0" t="s">
        <v>2159</v>
      </c>
      <c r="D547" s="0" t="n">
        <v>0.4</v>
      </c>
    </row>
    <row r="548" customFormat="false" ht="15" hidden="false" customHeight="false" outlineLevel="0" collapsed="false">
      <c r="A548" s="0" t="s">
        <v>6</v>
      </c>
      <c r="B548" s="0" t="s">
        <v>1077</v>
      </c>
      <c r="C548" s="0" t="s">
        <v>1730</v>
      </c>
      <c r="D548" s="0" t="n">
        <v>1000000</v>
      </c>
    </row>
    <row r="549" customFormat="false" ht="15" hidden="false" customHeight="false" outlineLevel="0" collapsed="false">
      <c r="A549" s="0" t="s">
        <v>6</v>
      </c>
      <c r="B549" s="0" t="s">
        <v>1077</v>
      </c>
      <c r="C549" s="0" t="s">
        <v>1866</v>
      </c>
    </row>
    <row r="550" customFormat="false" ht="15" hidden="false" customHeight="false" outlineLevel="0" collapsed="false">
      <c r="A550" s="0" t="s">
        <v>6</v>
      </c>
      <c r="B550" s="0" t="s">
        <v>1077</v>
      </c>
      <c r="C550" s="0" t="s">
        <v>2159</v>
      </c>
    </row>
    <row r="551" customFormat="false" ht="15" hidden="false" customHeight="false" outlineLevel="0" collapsed="false">
      <c r="A551" s="0" t="s">
        <v>6</v>
      </c>
      <c r="B551" s="0" t="s">
        <v>1087</v>
      </c>
      <c r="C551" s="0" t="s">
        <v>1730</v>
      </c>
    </row>
    <row r="552" customFormat="false" ht="15" hidden="false" customHeight="false" outlineLevel="0" collapsed="false">
      <c r="A552" s="0" t="s">
        <v>6</v>
      </c>
      <c r="B552" s="0" t="s">
        <v>1087</v>
      </c>
      <c r="C552" s="0" t="s">
        <v>1866</v>
      </c>
      <c r="D552" s="0" t="n">
        <v>1</v>
      </c>
    </row>
    <row r="553" customFormat="false" ht="15" hidden="false" customHeight="false" outlineLevel="0" collapsed="false">
      <c r="A553" s="0" t="s">
        <v>6</v>
      </c>
      <c r="B553" s="0" t="s">
        <v>1087</v>
      </c>
      <c r="C553" s="0" t="s">
        <v>2159</v>
      </c>
    </row>
    <row r="554" customFormat="false" ht="15" hidden="false" customHeight="false" outlineLevel="0" collapsed="false">
      <c r="A554" s="0" t="s">
        <v>6</v>
      </c>
      <c r="B554" s="0" t="s">
        <v>1092</v>
      </c>
      <c r="C554" s="0" t="s">
        <v>1730</v>
      </c>
    </row>
    <row r="555" customFormat="false" ht="15" hidden="false" customHeight="false" outlineLevel="0" collapsed="false">
      <c r="A555" s="0" t="s">
        <v>6</v>
      </c>
      <c r="B555" s="0" t="s">
        <v>1092</v>
      </c>
      <c r="C555" s="0" t="s">
        <v>1866</v>
      </c>
      <c r="D555" s="0" t="n">
        <v>10</v>
      </c>
    </row>
    <row r="556" customFormat="false" ht="15" hidden="false" customHeight="false" outlineLevel="0" collapsed="false">
      <c r="A556" s="0" t="s">
        <v>6</v>
      </c>
      <c r="B556" s="0" t="s">
        <v>1092</v>
      </c>
      <c r="C556" s="0" t="s">
        <v>2159</v>
      </c>
    </row>
    <row r="557" customFormat="false" ht="15" hidden="false" customHeight="false" outlineLevel="0" collapsed="false">
      <c r="A557" s="0" t="s">
        <v>6</v>
      </c>
      <c r="B557" s="0" t="s">
        <v>1097</v>
      </c>
      <c r="C557" s="0" t="s">
        <v>1730</v>
      </c>
    </row>
    <row r="558" customFormat="false" ht="15" hidden="false" customHeight="false" outlineLevel="0" collapsed="false">
      <c r="A558" s="0" t="s">
        <v>6</v>
      </c>
      <c r="B558" s="0" t="s">
        <v>1097</v>
      </c>
      <c r="C558" s="0" t="s">
        <v>1866</v>
      </c>
    </row>
    <row r="559" customFormat="false" ht="15" hidden="false" customHeight="false" outlineLevel="0" collapsed="false">
      <c r="A559" s="0" t="s">
        <v>6</v>
      </c>
      <c r="B559" s="0" t="s">
        <v>1097</v>
      </c>
      <c r="C559" s="0" t="s">
        <v>2159</v>
      </c>
    </row>
    <row r="560" customFormat="false" ht="15" hidden="false" customHeight="false" outlineLevel="0" collapsed="false">
      <c r="A560" s="0" t="s">
        <v>6</v>
      </c>
      <c r="B560" s="0" t="s">
        <v>1102</v>
      </c>
      <c r="C560" s="0" t="s">
        <v>1730</v>
      </c>
    </row>
    <row r="561" customFormat="false" ht="15" hidden="false" customHeight="false" outlineLevel="0" collapsed="false">
      <c r="A561" s="0" t="s">
        <v>6</v>
      </c>
      <c r="B561" s="0" t="s">
        <v>1102</v>
      </c>
      <c r="C561" s="0" t="s">
        <v>1866</v>
      </c>
      <c r="D561" s="0" t="n">
        <v>2</v>
      </c>
    </row>
    <row r="562" customFormat="false" ht="15" hidden="false" customHeight="false" outlineLevel="0" collapsed="false">
      <c r="A562" s="0" t="s">
        <v>6</v>
      </c>
      <c r="B562" s="0" t="s">
        <v>1102</v>
      </c>
      <c r="C562" s="0" t="s">
        <v>2159</v>
      </c>
    </row>
    <row r="563" customFormat="false" ht="15" hidden="false" customHeight="false" outlineLevel="0" collapsed="false">
      <c r="A563" s="0" t="s">
        <v>6</v>
      </c>
      <c r="B563" s="0" t="s">
        <v>1108</v>
      </c>
      <c r="C563" s="0" t="s">
        <v>1730</v>
      </c>
      <c r="D563" s="0" t="n">
        <v>3.5</v>
      </c>
    </row>
    <row r="564" customFormat="false" ht="15" hidden="false" customHeight="false" outlineLevel="0" collapsed="false">
      <c r="A564" s="0" t="s">
        <v>6</v>
      </c>
      <c r="B564" s="0" t="s">
        <v>1108</v>
      </c>
      <c r="C564" s="0" t="s">
        <v>1866</v>
      </c>
    </row>
    <row r="565" customFormat="false" ht="15" hidden="false" customHeight="false" outlineLevel="0" collapsed="false">
      <c r="A565" s="0" t="s">
        <v>6</v>
      </c>
      <c r="B565" s="0" t="s">
        <v>1108</v>
      </c>
      <c r="C565" s="0" t="s">
        <v>2159</v>
      </c>
    </row>
    <row r="566" customFormat="false" ht="15" hidden="false" customHeight="false" outlineLevel="0" collapsed="false">
      <c r="A566" s="0" t="s">
        <v>6</v>
      </c>
      <c r="B566" s="0" t="s">
        <v>1118</v>
      </c>
      <c r="C566" s="0" t="s">
        <v>1730</v>
      </c>
      <c r="D566" s="0" t="n">
        <v>5</v>
      </c>
    </row>
    <row r="567" customFormat="false" ht="15" hidden="false" customHeight="false" outlineLevel="0" collapsed="false">
      <c r="A567" s="0" t="s">
        <v>6</v>
      </c>
      <c r="B567" s="0" t="s">
        <v>1118</v>
      </c>
      <c r="C567" s="0" t="s">
        <v>1866</v>
      </c>
    </row>
    <row r="568" customFormat="false" ht="15" hidden="false" customHeight="false" outlineLevel="0" collapsed="false">
      <c r="A568" s="0" t="s">
        <v>6</v>
      </c>
      <c r="B568" s="0" t="s">
        <v>1118</v>
      </c>
      <c r="C568" s="0" t="s">
        <v>2159</v>
      </c>
    </row>
    <row r="569" customFormat="false" ht="15" hidden="false" customHeight="false" outlineLevel="0" collapsed="false">
      <c r="A569" s="0" t="s">
        <v>6</v>
      </c>
      <c r="B569" s="0" t="s">
        <v>1124</v>
      </c>
      <c r="C569" s="0" t="s">
        <v>1730</v>
      </c>
    </row>
    <row r="570" customFormat="false" ht="15" hidden="false" customHeight="false" outlineLevel="0" collapsed="false">
      <c r="A570" s="0" t="s">
        <v>6</v>
      </c>
      <c r="B570" s="0" t="s">
        <v>1124</v>
      </c>
      <c r="C570" s="0" t="s">
        <v>1866</v>
      </c>
    </row>
    <row r="571" customFormat="false" ht="15" hidden="false" customHeight="false" outlineLevel="0" collapsed="false">
      <c r="A571" s="0" t="s">
        <v>6</v>
      </c>
      <c r="B571" s="0" t="s">
        <v>1124</v>
      </c>
      <c r="C571" s="0" t="s">
        <v>2159</v>
      </c>
    </row>
    <row r="572" customFormat="false" ht="15" hidden="false" customHeight="false" outlineLevel="0" collapsed="false">
      <c r="A572" s="0" t="s">
        <v>6</v>
      </c>
      <c r="B572" s="0" t="s">
        <v>1130</v>
      </c>
      <c r="C572" s="0" t="s">
        <v>1730</v>
      </c>
      <c r="D572" s="0" t="n">
        <v>2031</v>
      </c>
    </row>
    <row r="573" customFormat="false" ht="15" hidden="false" customHeight="false" outlineLevel="0" collapsed="false">
      <c r="A573" s="0" t="s">
        <v>6</v>
      </c>
      <c r="B573" s="0" t="s">
        <v>1130</v>
      </c>
      <c r="C573" s="0" t="s">
        <v>1866</v>
      </c>
    </row>
    <row r="574" customFormat="false" ht="15" hidden="false" customHeight="false" outlineLevel="0" collapsed="false">
      <c r="A574" s="0" t="s">
        <v>6</v>
      </c>
      <c r="B574" s="0" t="s">
        <v>1130</v>
      </c>
      <c r="C574" s="0" t="s">
        <v>2159</v>
      </c>
    </row>
    <row r="575" customFormat="false" ht="15" hidden="false" customHeight="false" outlineLevel="0" collapsed="false">
      <c r="A575" s="0" t="s">
        <v>6</v>
      </c>
      <c r="B575" s="0" t="s">
        <v>1138</v>
      </c>
      <c r="C575" s="0" t="s">
        <v>1730</v>
      </c>
      <c r="D575" s="0" t="n">
        <v>1</v>
      </c>
    </row>
    <row r="576" customFormat="false" ht="15" hidden="false" customHeight="false" outlineLevel="0" collapsed="false">
      <c r="A576" s="0" t="s">
        <v>6</v>
      </c>
      <c r="B576" s="0" t="s">
        <v>1138</v>
      </c>
      <c r="C576" s="0" t="s">
        <v>1866</v>
      </c>
    </row>
    <row r="577" customFormat="false" ht="15" hidden="false" customHeight="false" outlineLevel="0" collapsed="false">
      <c r="A577" s="0" t="s">
        <v>6</v>
      </c>
      <c r="B577" s="0" t="s">
        <v>1138</v>
      </c>
      <c r="C577" s="0" t="s">
        <v>2159</v>
      </c>
    </row>
    <row r="578" customFormat="false" ht="15" hidden="false" customHeight="false" outlineLevel="0" collapsed="false">
      <c r="A578" s="0" t="s">
        <v>6</v>
      </c>
      <c r="B578" s="0" t="s">
        <v>1144</v>
      </c>
      <c r="C578" s="0" t="s">
        <v>1730</v>
      </c>
    </row>
    <row r="579" customFormat="false" ht="15" hidden="false" customHeight="false" outlineLevel="0" collapsed="false">
      <c r="A579" s="0" t="s">
        <v>6</v>
      </c>
      <c r="B579" s="0" t="s">
        <v>1144</v>
      </c>
      <c r="C579" s="0" t="s">
        <v>1866</v>
      </c>
      <c r="D579" s="0" t="n">
        <v>21</v>
      </c>
    </row>
    <row r="580" customFormat="false" ht="15" hidden="false" customHeight="false" outlineLevel="0" collapsed="false">
      <c r="A580" s="0" t="s">
        <v>6</v>
      </c>
      <c r="B580" s="0" t="s">
        <v>1144</v>
      </c>
      <c r="C580" s="0" t="s">
        <v>2159</v>
      </c>
      <c r="D580" s="0" t="n">
        <v>42</v>
      </c>
    </row>
    <row r="581" customFormat="false" ht="15" hidden="false" customHeight="false" outlineLevel="0" collapsed="false">
      <c r="A581" s="0" t="s">
        <v>6</v>
      </c>
      <c r="B581" s="0" t="s">
        <v>1151</v>
      </c>
      <c r="C581" s="0" t="s">
        <v>1730</v>
      </c>
      <c r="D581" s="0" t="n">
        <v>200</v>
      </c>
    </row>
    <row r="582" customFormat="false" ht="15" hidden="false" customHeight="false" outlineLevel="0" collapsed="false">
      <c r="A582" s="0" t="s">
        <v>6</v>
      </c>
      <c r="B582" s="0" t="s">
        <v>1151</v>
      </c>
      <c r="C582" s="0" t="s">
        <v>1866</v>
      </c>
    </row>
    <row r="583" customFormat="false" ht="15" hidden="false" customHeight="false" outlineLevel="0" collapsed="false">
      <c r="A583" s="0" t="s">
        <v>6</v>
      </c>
      <c r="B583" s="0" t="s">
        <v>1151</v>
      </c>
      <c r="C583" s="0" t="s">
        <v>2159</v>
      </c>
    </row>
    <row r="584" customFormat="false" ht="15" hidden="false" customHeight="false" outlineLevel="0" collapsed="false">
      <c r="A584" s="0" t="s">
        <v>6</v>
      </c>
      <c r="B584" s="0" t="s">
        <v>1160</v>
      </c>
      <c r="C584" s="0" t="s">
        <v>1730</v>
      </c>
      <c r="D584" s="0" t="n">
        <v>10</v>
      </c>
    </row>
    <row r="585" customFormat="false" ht="15" hidden="false" customHeight="false" outlineLevel="0" collapsed="false">
      <c r="A585" s="0" t="s">
        <v>6</v>
      </c>
      <c r="B585" s="0" t="s">
        <v>1160</v>
      </c>
      <c r="C585" s="0" t="s">
        <v>1866</v>
      </c>
    </row>
    <row r="586" customFormat="false" ht="15" hidden="false" customHeight="false" outlineLevel="0" collapsed="false">
      <c r="A586" s="0" t="s">
        <v>6</v>
      </c>
      <c r="B586" s="0" t="s">
        <v>1160</v>
      </c>
      <c r="C586" s="0" t="s">
        <v>2159</v>
      </c>
    </row>
    <row r="587" customFormat="false" ht="15" hidden="false" customHeight="false" outlineLevel="0" collapsed="false">
      <c r="A587" s="0" t="s">
        <v>6</v>
      </c>
      <c r="B587" s="0" t="s">
        <v>1170</v>
      </c>
      <c r="C587" s="0" t="s">
        <v>1730</v>
      </c>
      <c r="D587" s="0" t="n">
        <v>11</v>
      </c>
    </row>
    <row r="588" customFormat="false" ht="15" hidden="false" customHeight="false" outlineLevel="0" collapsed="false">
      <c r="A588" s="0" t="s">
        <v>6</v>
      </c>
      <c r="B588" s="0" t="s">
        <v>1170</v>
      </c>
      <c r="C588" s="0" t="s">
        <v>1866</v>
      </c>
    </row>
    <row r="589" customFormat="false" ht="15" hidden="false" customHeight="false" outlineLevel="0" collapsed="false">
      <c r="A589" s="0" t="s">
        <v>6</v>
      </c>
      <c r="B589" s="0" t="s">
        <v>1170</v>
      </c>
      <c r="C589" s="0" t="s">
        <v>2159</v>
      </c>
    </row>
    <row r="590" customFormat="false" ht="15" hidden="false" customHeight="false" outlineLevel="0" collapsed="false">
      <c r="A590" s="0" t="s">
        <v>6</v>
      </c>
      <c r="B590" s="0" t="s">
        <v>1176</v>
      </c>
      <c r="C590" s="0" t="s">
        <v>1730</v>
      </c>
      <c r="D590" s="0" t="n">
        <v>500000</v>
      </c>
    </row>
    <row r="591" customFormat="false" ht="15" hidden="false" customHeight="false" outlineLevel="0" collapsed="false">
      <c r="A591" s="0" t="s">
        <v>6</v>
      </c>
      <c r="B591" s="0" t="s">
        <v>1176</v>
      </c>
      <c r="C591" s="0" t="s">
        <v>1866</v>
      </c>
    </row>
    <row r="592" customFormat="false" ht="15" hidden="false" customHeight="false" outlineLevel="0" collapsed="false">
      <c r="A592" s="0" t="s">
        <v>6</v>
      </c>
      <c r="B592" s="0" t="s">
        <v>1176</v>
      </c>
      <c r="C592" s="0" t="s">
        <v>2159</v>
      </c>
    </row>
    <row r="593" customFormat="false" ht="15" hidden="false" customHeight="false" outlineLevel="0" collapsed="false">
      <c r="A593" s="0" t="s">
        <v>6</v>
      </c>
      <c r="B593" s="0" t="s">
        <v>1185</v>
      </c>
      <c r="C593" s="0" t="s">
        <v>1730</v>
      </c>
    </row>
    <row r="594" customFormat="false" ht="15" hidden="false" customHeight="false" outlineLevel="0" collapsed="false">
      <c r="A594" s="0" t="s">
        <v>6</v>
      </c>
      <c r="B594" s="0" t="s">
        <v>1185</v>
      </c>
      <c r="C594" s="0" t="s">
        <v>1866</v>
      </c>
      <c r="D594" s="0" t="n">
        <v>1000000</v>
      </c>
    </row>
    <row r="595" customFormat="false" ht="15" hidden="false" customHeight="false" outlineLevel="0" collapsed="false">
      <c r="A595" s="0" t="s">
        <v>6</v>
      </c>
      <c r="B595" s="0" t="s">
        <v>1185</v>
      </c>
      <c r="C595" s="0" t="s">
        <v>2159</v>
      </c>
    </row>
    <row r="596" customFormat="false" ht="15" hidden="false" customHeight="false" outlineLevel="0" collapsed="false">
      <c r="A596" s="0" t="s">
        <v>6</v>
      </c>
      <c r="B596" s="0" t="s">
        <v>1191</v>
      </c>
      <c r="C596" s="0" t="s">
        <v>1730</v>
      </c>
      <c r="D596" s="0" t="n">
        <v>2.2</v>
      </c>
    </row>
    <row r="597" customFormat="false" ht="15" hidden="false" customHeight="false" outlineLevel="0" collapsed="false">
      <c r="A597" s="0" t="s">
        <v>6</v>
      </c>
      <c r="B597" s="0" t="s">
        <v>1191</v>
      </c>
      <c r="C597" s="0" t="s">
        <v>1866</v>
      </c>
    </row>
    <row r="598" customFormat="false" ht="15" hidden="false" customHeight="false" outlineLevel="0" collapsed="false">
      <c r="A598" s="0" t="s">
        <v>6</v>
      </c>
      <c r="B598" s="0" t="s">
        <v>1191</v>
      </c>
      <c r="C598" s="0" t="s">
        <v>2159</v>
      </c>
    </row>
    <row r="599" customFormat="false" ht="15" hidden="false" customHeight="false" outlineLevel="0" collapsed="false">
      <c r="A599" s="0" t="s">
        <v>6</v>
      </c>
      <c r="B599" s="0" t="s">
        <v>1197</v>
      </c>
      <c r="C599" s="0" t="s">
        <v>1730</v>
      </c>
      <c r="D599" s="0" t="n">
        <v>11</v>
      </c>
    </row>
    <row r="600" customFormat="false" ht="15" hidden="false" customHeight="false" outlineLevel="0" collapsed="false">
      <c r="A600" s="0" t="s">
        <v>6</v>
      </c>
      <c r="B600" s="0" t="s">
        <v>1197</v>
      </c>
      <c r="C600" s="0" t="s">
        <v>1866</v>
      </c>
    </row>
    <row r="601" customFormat="false" ht="15" hidden="false" customHeight="false" outlineLevel="0" collapsed="false">
      <c r="A601" s="0" t="s">
        <v>6</v>
      </c>
      <c r="B601" s="0" t="s">
        <v>1197</v>
      </c>
      <c r="C601" s="0" t="s">
        <v>2159</v>
      </c>
    </row>
    <row r="602" customFormat="false" ht="15" hidden="false" customHeight="false" outlineLevel="0" collapsed="false">
      <c r="A602" s="0" t="s">
        <v>6</v>
      </c>
      <c r="B602" s="0" t="s">
        <v>1202</v>
      </c>
      <c r="C602" s="0" t="s">
        <v>1730</v>
      </c>
      <c r="D602" s="0" t="n">
        <v>910</v>
      </c>
    </row>
    <row r="603" customFormat="false" ht="15" hidden="false" customHeight="false" outlineLevel="0" collapsed="false">
      <c r="A603" s="0" t="s">
        <v>6</v>
      </c>
      <c r="B603" s="0" t="s">
        <v>1202</v>
      </c>
      <c r="C603" s="0" t="s">
        <v>1866</v>
      </c>
    </row>
    <row r="604" customFormat="false" ht="15" hidden="false" customHeight="false" outlineLevel="0" collapsed="false">
      <c r="A604" s="0" t="s">
        <v>6</v>
      </c>
      <c r="B604" s="0" t="s">
        <v>1202</v>
      </c>
      <c r="C604" s="0" t="s">
        <v>2159</v>
      </c>
      <c r="D604" s="0" t="n">
        <v>1037</v>
      </c>
    </row>
    <row r="605" customFormat="false" ht="15" hidden="false" customHeight="false" outlineLevel="0" collapsed="false">
      <c r="A605" s="0" t="s">
        <v>6</v>
      </c>
      <c r="B605" s="0" t="s">
        <v>1210</v>
      </c>
      <c r="C605" s="0" t="s">
        <v>1730</v>
      </c>
      <c r="D605" s="0" t="n">
        <v>1925</v>
      </c>
    </row>
    <row r="606" customFormat="false" ht="15" hidden="false" customHeight="false" outlineLevel="0" collapsed="false">
      <c r="A606" s="0" t="s">
        <v>6</v>
      </c>
      <c r="B606" s="0" t="s">
        <v>1210</v>
      </c>
      <c r="C606" s="0" t="s">
        <v>1866</v>
      </c>
    </row>
    <row r="607" customFormat="false" ht="15" hidden="false" customHeight="false" outlineLevel="0" collapsed="false">
      <c r="A607" s="0" t="s">
        <v>6</v>
      </c>
      <c r="B607" s="0" t="s">
        <v>1210</v>
      </c>
      <c r="C607" s="0" t="s">
        <v>2159</v>
      </c>
    </row>
    <row r="608" customFormat="false" ht="15" hidden="false" customHeight="false" outlineLevel="0" collapsed="false">
      <c r="A608" s="0" t="s">
        <v>6</v>
      </c>
      <c r="B608" s="0" t="s">
        <v>1216</v>
      </c>
      <c r="C608" s="0" t="s">
        <v>1730</v>
      </c>
    </row>
    <row r="609" customFormat="false" ht="15" hidden="false" customHeight="false" outlineLevel="0" collapsed="false">
      <c r="A609" s="0" t="s">
        <v>6</v>
      </c>
      <c r="B609" s="0" t="s">
        <v>1216</v>
      </c>
      <c r="C609" s="0" t="s">
        <v>1866</v>
      </c>
    </row>
    <row r="610" customFormat="false" ht="15" hidden="false" customHeight="false" outlineLevel="0" collapsed="false">
      <c r="A610" s="0" t="s">
        <v>6</v>
      </c>
      <c r="B610" s="0" t="s">
        <v>1216</v>
      </c>
      <c r="C610" s="0" t="s">
        <v>2159</v>
      </c>
      <c r="D610" s="0" t="n">
        <v>5</v>
      </c>
    </row>
    <row r="611" customFormat="false" ht="15" hidden="false" customHeight="false" outlineLevel="0" collapsed="false">
      <c r="A611" s="0" t="s">
        <v>6</v>
      </c>
      <c r="B611" s="0" t="s">
        <v>1222</v>
      </c>
      <c r="C611" s="0" t="s">
        <v>1730</v>
      </c>
    </row>
    <row r="612" customFormat="false" ht="15" hidden="false" customHeight="false" outlineLevel="0" collapsed="false">
      <c r="A612" s="0" t="s">
        <v>6</v>
      </c>
      <c r="B612" s="0" t="s">
        <v>1222</v>
      </c>
      <c r="C612" s="0" t="s">
        <v>1866</v>
      </c>
      <c r="D612" s="0" t="n">
        <v>100</v>
      </c>
    </row>
    <row r="613" customFormat="false" ht="15" hidden="false" customHeight="false" outlineLevel="0" collapsed="false">
      <c r="A613" s="0" t="s">
        <v>6</v>
      </c>
      <c r="B613" s="0" t="s">
        <v>1222</v>
      </c>
      <c r="C613" s="0" t="s">
        <v>2159</v>
      </c>
    </row>
    <row r="614" customFormat="false" ht="15" hidden="false" customHeight="false" outlineLevel="0" collapsed="false">
      <c r="A614" s="0" t="s">
        <v>6</v>
      </c>
      <c r="B614" s="0" t="s">
        <v>1227</v>
      </c>
      <c r="C614" s="0" t="s">
        <v>1730</v>
      </c>
      <c r="D614" s="0" t="n">
        <v>1</v>
      </c>
    </row>
    <row r="615" customFormat="false" ht="15" hidden="false" customHeight="false" outlineLevel="0" collapsed="false">
      <c r="A615" s="0" t="s">
        <v>6</v>
      </c>
      <c r="B615" s="0" t="s">
        <v>1227</v>
      </c>
      <c r="C615" s="0" t="s">
        <v>1866</v>
      </c>
    </row>
    <row r="616" customFormat="false" ht="15" hidden="false" customHeight="false" outlineLevel="0" collapsed="false">
      <c r="A616" s="0" t="s">
        <v>6</v>
      </c>
      <c r="B616" s="0" t="s">
        <v>1227</v>
      </c>
      <c r="C616" s="0" t="s">
        <v>2159</v>
      </c>
    </row>
    <row r="617" customFormat="false" ht="15" hidden="false" customHeight="false" outlineLevel="0" collapsed="false">
      <c r="A617" s="0" t="s">
        <v>6</v>
      </c>
      <c r="B617" s="0" t="s">
        <v>1233</v>
      </c>
      <c r="C617" s="0" t="s">
        <v>1730</v>
      </c>
    </row>
    <row r="618" customFormat="false" ht="15" hidden="false" customHeight="false" outlineLevel="0" collapsed="false">
      <c r="A618" s="0" t="s">
        <v>6</v>
      </c>
      <c r="B618" s="0" t="s">
        <v>1233</v>
      </c>
      <c r="C618" s="0" t="s">
        <v>1866</v>
      </c>
      <c r="D618" s="0" t="n">
        <v>1000000</v>
      </c>
    </row>
    <row r="619" customFormat="false" ht="15" hidden="false" customHeight="false" outlineLevel="0" collapsed="false">
      <c r="A619" s="0" t="s">
        <v>6</v>
      </c>
      <c r="B619" s="0" t="s">
        <v>1233</v>
      </c>
      <c r="C619" s="0" t="s">
        <v>2159</v>
      </c>
    </row>
    <row r="620" customFormat="false" ht="15" hidden="false" customHeight="false" outlineLevel="0" collapsed="false">
      <c r="A620" s="0" t="s">
        <v>6</v>
      </c>
      <c r="B620" s="0" t="s">
        <v>1237</v>
      </c>
      <c r="C620" s="0" t="s">
        <v>1730</v>
      </c>
    </row>
    <row r="621" customFormat="false" ht="15" hidden="false" customHeight="false" outlineLevel="0" collapsed="false">
      <c r="A621" s="0" t="s">
        <v>6</v>
      </c>
      <c r="B621" s="0" t="s">
        <v>1237</v>
      </c>
      <c r="C621" s="0" t="s">
        <v>1866</v>
      </c>
    </row>
    <row r="622" customFormat="false" ht="15" hidden="false" customHeight="false" outlineLevel="0" collapsed="false">
      <c r="A622" s="0" t="s">
        <v>6</v>
      </c>
      <c r="B622" s="0" t="s">
        <v>1237</v>
      </c>
      <c r="C622" s="0" t="s">
        <v>2159</v>
      </c>
    </row>
    <row r="623" customFormat="false" ht="15" hidden="false" customHeight="false" outlineLevel="0" collapsed="false">
      <c r="A623" s="0" t="s">
        <v>6</v>
      </c>
      <c r="B623" s="0" t="s">
        <v>1241</v>
      </c>
      <c r="C623" s="0" t="s">
        <v>1730</v>
      </c>
      <c r="D623" s="0" t="n">
        <v>5</v>
      </c>
    </row>
    <row r="624" customFormat="false" ht="15" hidden="false" customHeight="false" outlineLevel="0" collapsed="false">
      <c r="A624" s="0" t="s">
        <v>6</v>
      </c>
      <c r="B624" s="0" t="s">
        <v>1241</v>
      </c>
      <c r="C624" s="0" t="s">
        <v>1866</v>
      </c>
    </row>
    <row r="625" customFormat="false" ht="15" hidden="false" customHeight="false" outlineLevel="0" collapsed="false">
      <c r="A625" s="0" t="s">
        <v>6</v>
      </c>
      <c r="B625" s="0" t="s">
        <v>1241</v>
      </c>
      <c r="C625" s="0" t="s">
        <v>2159</v>
      </c>
    </row>
    <row r="626" customFormat="false" ht="15" hidden="false" customHeight="false" outlineLevel="0" collapsed="false">
      <c r="A626" s="0" t="s">
        <v>6</v>
      </c>
      <c r="B626" s="0" t="s">
        <v>1250</v>
      </c>
      <c r="C626" s="0" t="s">
        <v>1730</v>
      </c>
      <c r="D626" s="0" t="n">
        <v>30</v>
      </c>
    </row>
    <row r="627" customFormat="false" ht="15" hidden="false" customHeight="false" outlineLevel="0" collapsed="false">
      <c r="A627" s="0" t="s">
        <v>6</v>
      </c>
      <c r="B627" s="0" t="s">
        <v>1250</v>
      </c>
      <c r="C627" s="0" t="s">
        <v>1866</v>
      </c>
    </row>
    <row r="628" customFormat="false" ht="15" hidden="false" customHeight="false" outlineLevel="0" collapsed="false">
      <c r="A628" s="0" t="s">
        <v>6</v>
      </c>
      <c r="B628" s="0" t="s">
        <v>1250</v>
      </c>
      <c r="C628" s="0" t="s">
        <v>2159</v>
      </c>
    </row>
    <row r="629" customFormat="false" ht="15" hidden="false" customHeight="false" outlineLevel="0" collapsed="false">
      <c r="A629" s="0" t="s">
        <v>6</v>
      </c>
      <c r="B629" s="0" t="s">
        <v>1260</v>
      </c>
      <c r="C629" s="0" t="s">
        <v>1730</v>
      </c>
    </row>
    <row r="630" customFormat="false" ht="15" hidden="false" customHeight="false" outlineLevel="0" collapsed="false">
      <c r="A630" s="0" t="s">
        <v>6</v>
      </c>
      <c r="B630" s="0" t="s">
        <v>1260</v>
      </c>
      <c r="C630" s="0" t="s">
        <v>1866</v>
      </c>
    </row>
    <row r="631" customFormat="false" ht="15" hidden="false" customHeight="false" outlineLevel="0" collapsed="false">
      <c r="A631" s="0" t="s">
        <v>6</v>
      </c>
      <c r="B631" s="0" t="s">
        <v>1260</v>
      </c>
      <c r="C631" s="0" t="s">
        <v>2159</v>
      </c>
      <c r="D631" s="0" t="n">
        <v>1</v>
      </c>
    </row>
    <row r="632" customFormat="false" ht="15" hidden="false" customHeight="false" outlineLevel="0" collapsed="false">
      <c r="A632" s="0" t="s">
        <v>6</v>
      </c>
      <c r="B632" s="0" t="s">
        <v>1266</v>
      </c>
      <c r="C632" s="0" t="s">
        <v>1730</v>
      </c>
      <c r="D632" s="0" t="n">
        <v>31.4</v>
      </c>
    </row>
    <row r="633" customFormat="false" ht="15" hidden="false" customHeight="false" outlineLevel="0" collapsed="false">
      <c r="A633" s="0" t="s">
        <v>6</v>
      </c>
      <c r="B633" s="0" t="s">
        <v>1266</v>
      </c>
      <c r="C633" s="0" t="s">
        <v>1866</v>
      </c>
    </row>
    <row r="634" customFormat="false" ht="15" hidden="false" customHeight="false" outlineLevel="0" collapsed="false">
      <c r="A634" s="0" t="s">
        <v>6</v>
      </c>
      <c r="B634" s="0" t="s">
        <v>1266</v>
      </c>
      <c r="C634" s="0" t="s">
        <v>2159</v>
      </c>
    </row>
    <row r="635" customFormat="false" ht="15" hidden="false" customHeight="false" outlineLevel="0" collapsed="false">
      <c r="A635" s="0" t="s">
        <v>6</v>
      </c>
      <c r="B635" s="0" t="s">
        <v>1275</v>
      </c>
      <c r="C635" s="0" t="s">
        <v>1730</v>
      </c>
      <c r="D635" s="0" t="n">
        <v>50</v>
      </c>
    </row>
    <row r="636" customFormat="false" ht="15" hidden="false" customHeight="false" outlineLevel="0" collapsed="false">
      <c r="A636" s="0" t="s">
        <v>6</v>
      </c>
      <c r="B636" s="0" t="s">
        <v>1275</v>
      </c>
      <c r="C636" s="0" t="s">
        <v>1866</v>
      </c>
    </row>
    <row r="637" customFormat="false" ht="15" hidden="false" customHeight="false" outlineLevel="0" collapsed="false">
      <c r="A637" s="0" t="s">
        <v>6</v>
      </c>
      <c r="B637" s="0" t="s">
        <v>1275</v>
      </c>
      <c r="C637" s="0" t="s">
        <v>2159</v>
      </c>
    </row>
    <row r="638" customFormat="false" ht="15" hidden="false" customHeight="false" outlineLevel="0" collapsed="false">
      <c r="A638" s="0" t="s">
        <v>6</v>
      </c>
      <c r="B638" s="0" t="s">
        <v>1284</v>
      </c>
      <c r="C638" s="0" t="s">
        <v>1730</v>
      </c>
    </row>
    <row r="639" customFormat="false" ht="15" hidden="false" customHeight="false" outlineLevel="0" collapsed="false">
      <c r="A639" s="0" t="s">
        <v>6</v>
      </c>
      <c r="B639" s="0" t="s">
        <v>1284</v>
      </c>
      <c r="C639" s="0" t="s">
        <v>1866</v>
      </c>
      <c r="D639" s="0" t="n">
        <v>168</v>
      </c>
    </row>
    <row r="640" customFormat="false" ht="15" hidden="false" customHeight="false" outlineLevel="0" collapsed="false">
      <c r="A640" s="0" t="s">
        <v>6</v>
      </c>
      <c r="B640" s="0" t="s">
        <v>1284</v>
      </c>
      <c r="C640" s="0" t="s">
        <v>2159</v>
      </c>
      <c r="D640" s="0" t="n">
        <v>360</v>
      </c>
    </row>
    <row r="641" customFormat="false" ht="15" hidden="false" customHeight="false" outlineLevel="0" collapsed="false">
      <c r="A641" s="0" t="s">
        <v>6</v>
      </c>
      <c r="B641" s="0" t="s">
        <v>1291</v>
      </c>
      <c r="C641" s="0" t="s">
        <v>1730</v>
      </c>
      <c r="D641" s="0" t="n">
        <v>245</v>
      </c>
    </row>
    <row r="642" customFormat="false" ht="15" hidden="false" customHeight="false" outlineLevel="0" collapsed="false">
      <c r="A642" s="0" t="s">
        <v>6</v>
      </c>
      <c r="B642" s="0" t="s">
        <v>1291</v>
      </c>
      <c r="C642" s="0" t="s">
        <v>1866</v>
      </c>
    </row>
    <row r="643" customFormat="false" ht="15" hidden="false" customHeight="false" outlineLevel="0" collapsed="false">
      <c r="A643" s="0" t="s">
        <v>6</v>
      </c>
      <c r="B643" s="0" t="s">
        <v>1291</v>
      </c>
      <c r="C643" s="0" t="s">
        <v>2159</v>
      </c>
    </row>
    <row r="644" customFormat="false" ht="15" hidden="false" customHeight="false" outlineLevel="0" collapsed="false">
      <c r="A644" s="0" t="s">
        <v>6</v>
      </c>
      <c r="B644" s="0" t="s">
        <v>1300</v>
      </c>
      <c r="C644" s="0" t="s">
        <v>1730</v>
      </c>
      <c r="D644" s="0" t="n">
        <v>7</v>
      </c>
    </row>
    <row r="645" customFormat="false" ht="15" hidden="false" customHeight="false" outlineLevel="0" collapsed="false">
      <c r="A645" s="0" t="s">
        <v>6</v>
      </c>
      <c r="B645" s="0" t="s">
        <v>1300</v>
      </c>
      <c r="C645" s="0" t="s">
        <v>1866</v>
      </c>
    </row>
    <row r="646" customFormat="false" ht="15" hidden="false" customHeight="false" outlineLevel="0" collapsed="false">
      <c r="A646" s="0" t="s">
        <v>6</v>
      </c>
      <c r="B646" s="0" t="s">
        <v>1300</v>
      </c>
      <c r="C646" s="0" t="s">
        <v>2159</v>
      </c>
      <c r="D646" s="0" t="n">
        <v>17.7</v>
      </c>
    </row>
    <row r="647" customFormat="false" ht="15" hidden="false" customHeight="false" outlineLevel="0" collapsed="false">
      <c r="A647" s="0" t="s">
        <v>6</v>
      </c>
      <c r="B647" s="0" t="s">
        <v>1307</v>
      </c>
      <c r="C647" s="0" t="s">
        <v>1730</v>
      </c>
    </row>
    <row r="648" customFormat="false" ht="15" hidden="false" customHeight="false" outlineLevel="0" collapsed="false">
      <c r="A648" s="0" t="s">
        <v>6</v>
      </c>
      <c r="B648" s="0" t="s">
        <v>1307</v>
      </c>
      <c r="C648" s="0" t="s">
        <v>1866</v>
      </c>
      <c r="D648" s="0" t="n">
        <v>0.245</v>
      </c>
    </row>
    <row r="649" customFormat="false" ht="15" hidden="false" customHeight="false" outlineLevel="0" collapsed="false">
      <c r="A649" s="0" t="s">
        <v>6</v>
      </c>
      <c r="B649" s="0" t="s">
        <v>1307</v>
      </c>
      <c r="C649" s="0" t="s">
        <v>2159</v>
      </c>
      <c r="D649" s="0" t="n">
        <v>2.295</v>
      </c>
    </row>
    <row r="650" customFormat="false" ht="15" hidden="false" customHeight="false" outlineLevel="0" collapsed="false">
      <c r="A650" s="0" t="s">
        <v>6</v>
      </c>
      <c r="B650" s="0" t="s">
        <v>1312</v>
      </c>
      <c r="C650" s="0" t="s">
        <v>1730</v>
      </c>
      <c r="D650" s="0" t="n">
        <v>401</v>
      </c>
    </row>
    <row r="651" customFormat="false" ht="15" hidden="false" customHeight="false" outlineLevel="0" collapsed="false">
      <c r="A651" s="0" t="s">
        <v>6</v>
      </c>
      <c r="B651" s="0" t="s">
        <v>1312</v>
      </c>
      <c r="C651" s="0" t="s">
        <v>1866</v>
      </c>
    </row>
    <row r="652" customFormat="false" ht="15" hidden="false" customHeight="false" outlineLevel="0" collapsed="false">
      <c r="A652" s="0" t="s">
        <v>6</v>
      </c>
      <c r="B652" s="0" t="s">
        <v>1312</v>
      </c>
      <c r="C652" s="0" t="s">
        <v>2159</v>
      </c>
    </row>
    <row r="653" customFormat="false" ht="15" hidden="false" customHeight="false" outlineLevel="0" collapsed="false">
      <c r="A653" s="0" t="s">
        <v>6</v>
      </c>
      <c r="B653" s="0" t="s">
        <v>1321</v>
      </c>
      <c r="C653" s="0" t="s">
        <v>1730</v>
      </c>
      <c r="D653" s="0" t="n">
        <v>19</v>
      </c>
    </row>
    <row r="654" customFormat="false" ht="15" hidden="false" customHeight="false" outlineLevel="0" collapsed="false">
      <c r="A654" s="0" t="s">
        <v>6</v>
      </c>
      <c r="B654" s="0" t="s">
        <v>1321</v>
      </c>
      <c r="C654" s="0" t="s">
        <v>1866</v>
      </c>
    </row>
    <row r="655" customFormat="false" ht="15" hidden="false" customHeight="false" outlineLevel="0" collapsed="false">
      <c r="A655" s="0" t="s">
        <v>6</v>
      </c>
      <c r="B655" s="0" t="s">
        <v>1321</v>
      </c>
      <c r="C655" s="0" t="s">
        <v>2159</v>
      </c>
    </row>
    <row r="656" customFormat="false" ht="15" hidden="false" customHeight="false" outlineLevel="0" collapsed="false">
      <c r="A656" s="0" t="s">
        <v>6</v>
      </c>
      <c r="B656" s="0" t="s">
        <v>1327</v>
      </c>
      <c r="C656" s="0" t="s">
        <v>1730</v>
      </c>
      <c r="D656" s="0" t="n">
        <v>191</v>
      </c>
    </row>
    <row r="657" customFormat="false" ht="15" hidden="false" customHeight="false" outlineLevel="0" collapsed="false">
      <c r="A657" s="0" t="s">
        <v>6</v>
      </c>
      <c r="B657" s="0" t="s">
        <v>1327</v>
      </c>
      <c r="C657" s="0" t="s">
        <v>1866</v>
      </c>
      <c r="D657" s="0" t="n">
        <v>96</v>
      </c>
    </row>
    <row r="658" customFormat="false" ht="15" hidden="false" customHeight="false" outlineLevel="0" collapsed="false">
      <c r="A658" s="0" t="s">
        <v>6</v>
      </c>
      <c r="B658" s="0" t="s">
        <v>1327</v>
      </c>
      <c r="C658" s="0" t="s">
        <v>2159</v>
      </c>
    </row>
    <row r="659" customFormat="false" ht="15" hidden="false" customHeight="false" outlineLevel="0" collapsed="false">
      <c r="A659" s="0" t="s">
        <v>6</v>
      </c>
      <c r="B659" s="0" t="s">
        <v>1336</v>
      </c>
      <c r="C659" s="0" t="s">
        <v>1730</v>
      </c>
      <c r="D659" s="0" t="n">
        <v>9.1</v>
      </c>
    </row>
    <row r="660" customFormat="false" ht="15" hidden="false" customHeight="false" outlineLevel="0" collapsed="false">
      <c r="A660" s="0" t="s">
        <v>6</v>
      </c>
      <c r="B660" s="0" t="s">
        <v>1336</v>
      </c>
      <c r="C660" s="0" t="s">
        <v>1866</v>
      </c>
    </row>
    <row r="661" customFormat="false" ht="15" hidden="false" customHeight="false" outlineLevel="0" collapsed="false">
      <c r="A661" s="0" t="s">
        <v>6</v>
      </c>
      <c r="B661" s="0" t="s">
        <v>1336</v>
      </c>
      <c r="C661" s="0" t="s">
        <v>2159</v>
      </c>
      <c r="D661" s="0" t="n">
        <v>16.5</v>
      </c>
    </row>
    <row r="662" customFormat="false" ht="15" hidden="false" customHeight="false" outlineLevel="0" collapsed="false">
      <c r="A662" s="0" t="s">
        <v>6</v>
      </c>
      <c r="B662" s="0" t="s">
        <v>1342</v>
      </c>
      <c r="C662" s="0" t="s">
        <v>1730</v>
      </c>
      <c r="D662" s="0" t="n">
        <v>45</v>
      </c>
    </row>
    <row r="663" customFormat="false" ht="15" hidden="false" customHeight="false" outlineLevel="0" collapsed="false">
      <c r="A663" s="0" t="s">
        <v>6</v>
      </c>
      <c r="B663" s="0" t="s">
        <v>1342</v>
      </c>
      <c r="C663" s="0" t="s">
        <v>1866</v>
      </c>
    </row>
    <row r="664" customFormat="false" ht="15" hidden="false" customHeight="false" outlineLevel="0" collapsed="false">
      <c r="A664" s="0" t="s">
        <v>6</v>
      </c>
      <c r="B664" s="0" t="s">
        <v>1342</v>
      </c>
      <c r="C664" s="0" t="s">
        <v>2159</v>
      </c>
    </row>
    <row r="665" customFormat="false" ht="15" hidden="false" customHeight="false" outlineLevel="0" collapsed="false">
      <c r="A665" s="0" t="s">
        <v>6</v>
      </c>
      <c r="B665" s="0" t="s">
        <v>1352</v>
      </c>
      <c r="C665" s="0" t="s">
        <v>1730</v>
      </c>
      <c r="D665" s="0" t="n">
        <v>460</v>
      </c>
    </row>
    <row r="666" customFormat="false" ht="15" hidden="false" customHeight="false" outlineLevel="0" collapsed="false">
      <c r="A666" s="0" t="s">
        <v>6</v>
      </c>
      <c r="B666" s="0" t="s">
        <v>1352</v>
      </c>
      <c r="C666" s="0" t="s">
        <v>1866</v>
      </c>
    </row>
    <row r="667" customFormat="false" ht="15" hidden="false" customHeight="false" outlineLevel="0" collapsed="false">
      <c r="A667" s="0" t="s">
        <v>6</v>
      </c>
      <c r="B667" s="0" t="s">
        <v>1352</v>
      </c>
      <c r="C667" s="0" t="s">
        <v>2159</v>
      </c>
    </row>
    <row r="668" customFormat="false" ht="15" hidden="false" customHeight="false" outlineLevel="0" collapsed="false">
      <c r="A668" s="0" t="s">
        <v>6</v>
      </c>
      <c r="B668" s="0" t="s">
        <v>1358</v>
      </c>
      <c r="C668" s="0" t="s">
        <v>1730</v>
      </c>
      <c r="D668" s="0" t="n">
        <v>35</v>
      </c>
    </row>
    <row r="669" customFormat="false" ht="15" hidden="false" customHeight="false" outlineLevel="0" collapsed="false">
      <c r="A669" s="0" t="s">
        <v>6</v>
      </c>
      <c r="B669" s="0" t="s">
        <v>1358</v>
      </c>
      <c r="C669" s="0" t="s">
        <v>1866</v>
      </c>
    </row>
    <row r="670" customFormat="false" ht="15" hidden="false" customHeight="false" outlineLevel="0" collapsed="false">
      <c r="A670" s="0" t="s">
        <v>6</v>
      </c>
      <c r="B670" s="0" t="s">
        <v>1358</v>
      </c>
      <c r="C670" s="0" t="s">
        <v>2159</v>
      </c>
    </row>
    <row r="671" customFormat="false" ht="15" hidden="false" customHeight="false" outlineLevel="0" collapsed="false">
      <c r="A671" s="0" t="s">
        <v>6</v>
      </c>
      <c r="B671" s="0" t="s">
        <v>1367</v>
      </c>
      <c r="C671" s="0" t="s">
        <v>1730</v>
      </c>
      <c r="D671" s="0" t="n">
        <v>350</v>
      </c>
    </row>
    <row r="672" customFormat="false" ht="15" hidden="false" customHeight="false" outlineLevel="0" collapsed="false">
      <c r="A672" s="0" t="s">
        <v>6</v>
      </c>
      <c r="B672" s="0" t="s">
        <v>1367</v>
      </c>
      <c r="C672" s="0" t="s">
        <v>1866</v>
      </c>
    </row>
    <row r="673" customFormat="false" ht="15" hidden="false" customHeight="false" outlineLevel="0" collapsed="false">
      <c r="A673" s="0" t="s">
        <v>6</v>
      </c>
      <c r="B673" s="0" t="s">
        <v>1367</v>
      </c>
      <c r="C673" s="0" t="s">
        <v>2159</v>
      </c>
    </row>
    <row r="674" customFormat="false" ht="15" hidden="false" customHeight="false" outlineLevel="0" collapsed="false">
      <c r="A674" s="0" t="s">
        <v>6</v>
      </c>
      <c r="B674" s="0" t="s">
        <v>1374</v>
      </c>
      <c r="C674" s="0" t="s">
        <v>1730</v>
      </c>
    </row>
    <row r="675" customFormat="false" ht="15" hidden="false" customHeight="false" outlineLevel="0" collapsed="false">
      <c r="A675" s="0" t="s">
        <v>6</v>
      </c>
      <c r="B675" s="0" t="s">
        <v>1374</v>
      </c>
      <c r="C675" s="0" t="s">
        <v>1866</v>
      </c>
      <c r="D675" s="0" t="n">
        <v>300</v>
      </c>
    </row>
    <row r="676" customFormat="false" ht="15" hidden="false" customHeight="false" outlineLevel="0" collapsed="false">
      <c r="A676" s="0" t="s">
        <v>6</v>
      </c>
      <c r="B676" s="0" t="s">
        <v>1374</v>
      </c>
      <c r="C676" s="0" t="s">
        <v>2159</v>
      </c>
    </row>
    <row r="677" customFormat="false" ht="15" hidden="false" customHeight="false" outlineLevel="0" collapsed="false">
      <c r="A677" s="0" t="s">
        <v>6</v>
      </c>
      <c r="B677" s="0" t="s">
        <v>1380</v>
      </c>
      <c r="C677" s="0" t="s">
        <v>1730</v>
      </c>
    </row>
    <row r="678" customFormat="false" ht="15" hidden="false" customHeight="false" outlineLevel="0" collapsed="false">
      <c r="A678" s="0" t="s">
        <v>6</v>
      </c>
      <c r="B678" s="0" t="s">
        <v>1380</v>
      </c>
      <c r="C678" s="0" t="s">
        <v>1866</v>
      </c>
      <c r="D678" s="0" t="n">
        <v>220000</v>
      </c>
    </row>
    <row r="679" customFormat="false" ht="15" hidden="false" customHeight="false" outlineLevel="0" collapsed="false">
      <c r="A679" s="0" t="s">
        <v>6</v>
      </c>
      <c r="B679" s="0" t="s">
        <v>1380</v>
      </c>
      <c r="C679" s="0" t="s">
        <v>2159</v>
      </c>
    </row>
    <row r="680" customFormat="false" ht="15" hidden="false" customHeight="false" outlineLevel="0" collapsed="false">
      <c r="A680" s="0" t="s">
        <v>6</v>
      </c>
      <c r="B680" s="0" t="s">
        <v>1385</v>
      </c>
      <c r="C680" s="0" t="s">
        <v>1730</v>
      </c>
      <c r="D680" s="0" t="n">
        <v>1.25</v>
      </c>
    </row>
    <row r="681" customFormat="false" ht="15" hidden="false" customHeight="false" outlineLevel="0" collapsed="false">
      <c r="A681" s="0" t="s">
        <v>6</v>
      </c>
      <c r="B681" s="0" t="s">
        <v>1385</v>
      </c>
      <c r="C681" s="0" t="s">
        <v>1866</v>
      </c>
    </row>
    <row r="682" customFormat="false" ht="15" hidden="false" customHeight="false" outlineLevel="0" collapsed="false">
      <c r="A682" s="0" t="s">
        <v>6</v>
      </c>
      <c r="B682" s="0" t="s">
        <v>1385</v>
      </c>
      <c r="C682" s="0" t="s">
        <v>2159</v>
      </c>
    </row>
    <row r="683" customFormat="false" ht="15" hidden="false" customHeight="false" outlineLevel="0" collapsed="false">
      <c r="A683" s="0" t="s">
        <v>6</v>
      </c>
      <c r="B683" s="0" t="s">
        <v>1393</v>
      </c>
      <c r="C683" s="0" t="s">
        <v>1730</v>
      </c>
      <c r="D683" s="0" t="n">
        <v>180</v>
      </c>
    </row>
    <row r="684" customFormat="false" ht="15" hidden="false" customHeight="false" outlineLevel="0" collapsed="false">
      <c r="A684" s="0" t="s">
        <v>6</v>
      </c>
      <c r="B684" s="0" t="s">
        <v>1393</v>
      </c>
      <c r="C684" s="0" t="s">
        <v>1866</v>
      </c>
    </row>
    <row r="685" customFormat="false" ht="15" hidden="false" customHeight="false" outlineLevel="0" collapsed="false">
      <c r="A685" s="0" t="s">
        <v>6</v>
      </c>
      <c r="B685" s="0" t="s">
        <v>1393</v>
      </c>
      <c r="C685" s="0" t="s">
        <v>2159</v>
      </c>
    </row>
    <row r="686" customFormat="false" ht="15" hidden="false" customHeight="false" outlineLevel="0" collapsed="false">
      <c r="A686" s="0" t="s">
        <v>6</v>
      </c>
      <c r="B686" s="0" t="s">
        <v>1403</v>
      </c>
      <c r="C686" s="0" t="s">
        <v>1730</v>
      </c>
    </row>
    <row r="687" customFormat="false" ht="15" hidden="false" customHeight="false" outlineLevel="0" collapsed="false">
      <c r="A687" s="0" t="s">
        <v>6</v>
      </c>
      <c r="B687" s="0" t="s">
        <v>1403</v>
      </c>
      <c r="C687" s="0" t="s">
        <v>1866</v>
      </c>
    </row>
    <row r="688" customFormat="false" ht="15" hidden="false" customHeight="false" outlineLevel="0" collapsed="false">
      <c r="A688" s="0" t="s">
        <v>6</v>
      </c>
      <c r="B688" s="0" t="s">
        <v>1403</v>
      </c>
      <c r="C688" s="0" t="s">
        <v>2159</v>
      </c>
      <c r="D688" s="0" t="n">
        <v>84.5</v>
      </c>
    </row>
    <row r="689" customFormat="false" ht="15" hidden="false" customHeight="false" outlineLevel="0" collapsed="false">
      <c r="A689" s="0" t="s">
        <v>6</v>
      </c>
      <c r="B689" s="0" t="s">
        <v>1412</v>
      </c>
      <c r="C689" s="0" t="s">
        <v>1730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6</v>
      </c>
      <c r="B690" s="0" t="s">
        <v>1412</v>
      </c>
      <c r="C690" s="0" t="s">
        <v>1866</v>
      </c>
    </row>
    <row r="691" customFormat="false" ht="15" hidden="false" customHeight="false" outlineLevel="0" collapsed="false">
      <c r="A691" s="0" t="s">
        <v>6</v>
      </c>
      <c r="B691" s="0" t="s">
        <v>1412</v>
      </c>
      <c r="C691" s="0" t="s">
        <v>2159</v>
      </c>
    </row>
    <row r="692" customFormat="false" ht="15" hidden="false" customHeight="false" outlineLevel="0" collapsed="false">
      <c r="A692" s="0" t="s">
        <v>6</v>
      </c>
      <c r="B692" s="0" t="s">
        <v>1418</v>
      </c>
      <c r="C692" s="0" t="s">
        <v>1730</v>
      </c>
    </row>
    <row r="693" customFormat="false" ht="15" hidden="false" customHeight="false" outlineLevel="0" collapsed="false">
      <c r="A693" s="0" t="s">
        <v>6</v>
      </c>
      <c r="B693" s="0" t="s">
        <v>1418</v>
      </c>
      <c r="C693" s="0" t="s">
        <v>1866</v>
      </c>
    </row>
    <row r="694" customFormat="false" ht="15" hidden="false" customHeight="false" outlineLevel="0" collapsed="false">
      <c r="A694" s="0" t="s">
        <v>6</v>
      </c>
      <c r="B694" s="0" t="s">
        <v>1418</v>
      </c>
      <c r="C694" s="0" t="s">
        <v>2159</v>
      </c>
      <c r="D694" s="0" t="n">
        <v>2</v>
      </c>
    </row>
    <row r="695" customFormat="false" ht="15" hidden="false" customHeight="false" outlineLevel="0" collapsed="false">
      <c r="A695" s="0" t="s">
        <v>6</v>
      </c>
      <c r="B695" s="0" t="s">
        <v>1427</v>
      </c>
      <c r="C695" s="0" t="s">
        <v>1730</v>
      </c>
    </row>
    <row r="696" customFormat="false" ht="15" hidden="false" customHeight="false" outlineLevel="0" collapsed="false">
      <c r="A696" s="0" t="s">
        <v>6</v>
      </c>
      <c r="B696" s="0" t="s">
        <v>1427</v>
      </c>
      <c r="C696" s="0" t="s">
        <v>1866</v>
      </c>
      <c r="D696" s="0" t="n">
        <v>20</v>
      </c>
    </row>
    <row r="697" customFormat="false" ht="15" hidden="false" customHeight="false" outlineLevel="0" collapsed="false">
      <c r="A697" s="0" t="s">
        <v>6</v>
      </c>
      <c r="B697" s="0" t="s">
        <v>1427</v>
      </c>
      <c r="C697" s="0" t="s">
        <v>2159</v>
      </c>
    </row>
    <row r="698" customFormat="false" ht="15" hidden="false" customHeight="false" outlineLevel="0" collapsed="false">
      <c r="A698" s="0" t="s">
        <v>6</v>
      </c>
      <c r="B698" s="0" t="s">
        <v>1433</v>
      </c>
      <c r="C698" s="0" t="s">
        <v>1730</v>
      </c>
    </row>
    <row r="699" customFormat="false" ht="15" hidden="false" customHeight="false" outlineLevel="0" collapsed="false">
      <c r="A699" s="0" t="s">
        <v>6</v>
      </c>
      <c r="B699" s="0" t="s">
        <v>1433</v>
      </c>
      <c r="C699" s="0" t="s">
        <v>1866</v>
      </c>
    </row>
    <row r="700" customFormat="false" ht="15" hidden="false" customHeight="false" outlineLevel="0" collapsed="false">
      <c r="A700" s="0" t="s">
        <v>6</v>
      </c>
      <c r="B700" s="0" t="s">
        <v>1433</v>
      </c>
      <c r="C700" s="0" t="s">
        <v>2159</v>
      </c>
    </row>
    <row r="701" customFormat="false" ht="15" hidden="false" customHeight="false" outlineLevel="0" collapsed="false">
      <c r="A701" s="0" t="s">
        <v>6</v>
      </c>
      <c r="B701" s="0" t="s">
        <v>1442</v>
      </c>
      <c r="C701" s="0" t="s">
        <v>1730</v>
      </c>
      <c r="D701" s="0" t="n">
        <v>1.8</v>
      </c>
    </row>
    <row r="702" customFormat="false" ht="15" hidden="false" customHeight="false" outlineLevel="0" collapsed="false">
      <c r="A702" s="0" t="s">
        <v>6</v>
      </c>
      <c r="B702" s="0" t="s">
        <v>1442</v>
      </c>
      <c r="C702" s="0" t="s">
        <v>1866</v>
      </c>
    </row>
    <row r="703" customFormat="false" ht="15" hidden="false" customHeight="false" outlineLevel="0" collapsed="false">
      <c r="A703" s="0" t="s">
        <v>6</v>
      </c>
      <c r="B703" s="0" t="s">
        <v>1442</v>
      </c>
      <c r="C703" s="0" t="s">
        <v>2159</v>
      </c>
    </row>
    <row r="704" customFormat="false" ht="15" hidden="false" customHeight="false" outlineLevel="0" collapsed="false">
      <c r="A704" s="0" t="s">
        <v>6</v>
      </c>
      <c r="B704" s="0" t="s">
        <v>1452</v>
      </c>
      <c r="C704" s="0" t="s">
        <v>1730</v>
      </c>
    </row>
    <row r="705" customFormat="false" ht="15" hidden="false" customHeight="false" outlineLevel="0" collapsed="false">
      <c r="A705" s="0" t="s">
        <v>6</v>
      </c>
      <c r="B705" s="0" t="s">
        <v>1452</v>
      </c>
      <c r="C705" s="0" t="s">
        <v>1866</v>
      </c>
    </row>
    <row r="706" customFormat="false" ht="15" hidden="false" customHeight="false" outlineLevel="0" collapsed="false">
      <c r="A706" s="0" t="s">
        <v>6</v>
      </c>
      <c r="B706" s="0" t="s">
        <v>1452</v>
      </c>
      <c r="C706" s="0" t="s">
        <v>2159</v>
      </c>
    </row>
    <row r="707" customFormat="false" ht="15" hidden="false" customHeight="false" outlineLevel="0" collapsed="false">
      <c r="A707" s="0" t="s">
        <v>6</v>
      </c>
      <c r="B707" s="0" t="s">
        <v>1460</v>
      </c>
      <c r="C707" s="0" t="s">
        <v>1730</v>
      </c>
      <c r="D707" s="0" t="n">
        <v>10</v>
      </c>
    </row>
    <row r="708" customFormat="false" ht="15" hidden="false" customHeight="false" outlineLevel="0" collapsed="false">
      <c r="A708" s="0" t="s">
        <v>6</v>
      </c>
      <c r="B708" s="0" t="s">
        <v>1460</v>
      </c>
      <c r="C708" s="0" t="s">
        <v>1866</v>
      </c>
    </row>
    <row r="709" customFormat="false" ht="15" hidden="false" customHeight="false" outlineLevel="0" collapsed="false">
      <c r="A709" s="0" t="s">
        <v>6</v>
      </c>
      <c r="B709" s="0" t="s">
        <v>1460</v>
      </c>
      <c r="C709" s="0" t="s">
        <v>2159</v>
      </c>
    </row>
    <row r="710" customFormat="false" ht="15" hidden="false" customHeight="false" outlineLevel="0" collapsed="false">
      <c r="A710" s="0" t="s">
        <v>6</v>
      </c>
      <c r="B710" s="0" t="s">
        <v>1468</v>
      </c>
      <c r="C710" s="0" t="s">
        <v>1730</v>
      </c>
      <c r="D710" s="0" t="n">
        <v>133</v>
      </c>
    </row>
    <row r="711" customFormat="false" ht="15" hidden="false" customHeight="false" outlineLevel="0" collapsed="false">
      <c r="A711" s="0" t="s">
        <v>6</v>
      </c>
      <c r="B711" s="0" t="s">
        <v>1468</v>
      </c>
      <c r="C711" s="0" t="s">
        <v>1866</v>
      </c>
    </row>
    <row r="712" customFormat="false" ht="15" hidden="false" customHeight="false" outlineLevel="0" collapsed="false">
      <c r="A712" s="0" t="s">
        <v>6</v>
      </c>
      <c r="B712" s="0" t="s">
        <v>1468</v>
      </c>
      <c r="C712" s="0" t="s">
        <v>2159</v>
      </c>
    </row>
    <row r="713" customFormat="false" ht="15" hidden="false" customHeight="false" outlineLevel="0" collapsed="false">
      <c r="A713" s="0" t="s">
        <v>6</v>
      </c>
      <c r="B713" s="0" t="s">
        <v>1476</v>
      </c>
      <c r="C713" s="0" t="s">
        <v>1730</v>
      </c>
      <c r="D713" s="0" t="n">
        <v>500</v>
      </c>
    </row>
    <row r="714" customFormat="false" ht="15" hidden="false" customHeight="false" outlineLevel="0" collapsed="false">
      <c r="A714" s="0" t="s">
        <v>6</v>
      </c>
      <c r="B714" s="0" t="s">
        <v>1476</v>
      </c>
      <c r="C714" s="0" t="s">
        <v>1866</v>
      </c>
    </row>
    <row r="715" customFormat="false" ht="15" hidden="false" customHeight="false" outlineLevel="0" collapsed="false">
      <c r="A715" s="0" t="s">
        <v>6</v>
      </c>
      <c r="B715" s="0" t="s">
        <v>1476</v>
      </c>
      <c r="C715" s="0" t="s">
        <v>2159</v>
      </c>
      <c r="D715" s="0" t="n">
        <v>7700</v>
      </c>
    </row>
    <row r="716" customFormat="false" ht="15" hidden="false" customHeight="false" outlineLevel="0" collapsed="false">
      <c r="A716" s="0" t="s">
        <v>6</v>
      </c>
      <c r="B716" s="0" t="s">
        <v>1486</v>
      </c>
      <c r="C716" s="0" t="s">
        <v>1730</v>
      </c>
      <c r="D716" s="0" t="n">
        <v>15</v>
      </c>
    </row>
    <row r="717" customFormat="false" ht="15" hidden="false" customHeight="false" outlineLevel="0" collapsed="false">
      <c r="A717" s="0" t="s">
        <v>6</v>
      </c>
      <c r="B717" s="0" t="s">
        <v>1486</v>
      </c>
      <c r="C717" s="0" t="s">
        <v>1866</v>
      </c>
    </row>
    <row r="718" customFormat="false" ht="15" hidden="false" customHeight="false" outlineLevel="0" collapsed="false">
      <c r="A718" s="0" t="s">
        <v>6</v>
      </c>
      <c r="B718" s="0" t="s">
        <v>1486</v>
      </c>
      <c r="C718" s="0" t="s">
        <v>2159</v>
      </c>
    </row>
    <row r="719" customFormat="false" ht="15" hidden="false" customHeight="false" outlineLevel="0" collapsed="false">
      <c r="A719" s="0" t="s">
        <v>6</v>
      </c>
      <c r="B719" s="0" t="s">
        <v>1493</v>
      </c>
      <c r="C719" s="0" t="s">
        <v>1730</v>
      </c>
      <c r="D719" s="0" t="n">
        <v>207</v>
      </c>
    </row>
    <row r="720" customFormat="false" ht="15" hidden="false" customHeight="false" outlineLevel="0" collapsed="false">
      <c r="A720" s="0" t="s">
        <v>6</v>
      </c>
      <c r="B720" s="0" t="s">
        <v>1493</v>
      </c>
      <c r="C720" s="0" t="s">
        <v>1866</v>
      </c>
      <c r="D720" s="0" t="n">
        <v>168</v>
      </c>
    </row>
    <row r="721" customFormat="false" ht="15" hidden="false" customHeight="false" outlineLevel="0" collapsed="false">
      <c r="A721" s="0" t="s">
        <v>6</v>
      </c>
      <c r="B721" s="0" t="s">
        <v>1493</v>
      </c>
      <c r="C721" s="0" t="s">
        <v>2159</v>
      </c>
    </row>
    <row r="722" customFormat="false" ht="15" hidden="false" customHeight="false" outlineLevel="0" collapsed="false">
      <c r="A722" s="0" t="s">
        <v>6</v>
      </c>
      <c r="B722" s="0" t="s">
        <v>1500</v>
      </c>
      <c r="C722" s="0" t="s">
        <v>1730</v>
      </c>
    </row>
    <row r="723" customFormat="false" ht="15" hidden="false" customHeight="false" outlineLevel="0" collapsed="false">
      <c r="A723" s="0" t="s">
        <v>6</v>
      </c>
      <c r="B723" s="0" t="s">
        <v>1500</v>
      </c>
      <c r="C723" s="0" t="s">
        <v>1866</v>
      </c>
    </row>
    <row r="724" customFormat="false" ht="15" hidden="false" customHeight="false" outlineLevel="0" collapsed="false">
      <c r="A724" s="0" t="s">
        <v>6</v>
      </c>
      <c r="B724" s="0" t="s">
        <v>1500</v>
      </c>
      <c r="C724" s="0" t="s">
        <v>2159</v>
      </c>
      <c r="D724" s="0" t="n">
        <v>517</v>
      </c>
    </row>
    <row r="725" customFormat="false" ht="15" hidden="false" customHeight="false" outlineLevel="0" collapsed="false">
      <c r="A725" s="0" t="s">
        <v>6</v>
      </c>
      <c r="B725" s="0" t="s">
        <v>1510</v>
      </c>
      <c r="C725" s="0" t="s">
        <v>1730</v>
      </c>
    </row>
    <row r="726" customFormat="false" ht="15" hidden="false" customHeight="false" outlineLevel="0" collapsed="false">
      <c r="A726" s="0" t="s">
        <v>6</v>
      </c>
      <c r="B726" s="0" t="s">
        <v>1510</v>
      </c>
      <c r="C726" s="0" t="s">
        <v>1866</v>
      </c>
      <c r="D726" s="0" t="n">
        <v>14.8</v>
      </c>
    </row>
    <row r="727" customFormat="false" ht="15" hidden="false" customHeight="false" outlineLevel="0" collapsed="false">
      <c r="A727" s="0" t="s">
        <v>6</v>
      </c>
      <c r="B727" s="0" t="s">
        <v>1510</v>
      </c>
      <c r="C727" s="0" t="s">
        <v>2159</v>
      </c>
    </row>
    <row r="728" customFormat="false" ht="15" hidden="false" customHeight="false" outlineLevel="0" collapsed="false">
      <c r="A728" s="0" t="s">
        <v>6</v>
      </c>
      <c r="B728" s="0" t="s">
        <v>1517</v>
      </c>
      <c r="C728" s="0" t="s">
        <v>1730</v>
      </c>
    </row>
    <row r="729" customFormat="false" ht="15" hidden="false" customHeight="false" outlineLevel="0" collapsed="false">
      <c r="A729" s="0" t="s">
        <v>6</v>
      </c>
      <c r="B729" s="0" t="s">
        <v>1517</v>
      </c>
      <c r="C729" s="0" t="s">
        <v>1866</v>
      </c>
      <c r="D729" s="0" t="n">
        <v>16</v>
      </c>
    </row>
    <row r="730" customFormat="false" ht="15" hidden="false" customHeight="false" outlineLevel="0" collapsed="false">
      <c r="A730" s="0" t="s">
        <v>6</v>
      </c>
      <c r="B730" s="0" t="s">
        <v>1517</v>
      </c>
      <c r="C730" s="0" t="s">
        <v>2159</v>
      </c>
      <c r="D730" s="0" t="n">
        <v>17</v>
      </c>
    </row>
    <row r="731" customFormat="false" ht="15" hidden="false" customHeight="false" outlineLevel="0" collapsed="false">
      <c r="A731" s="0" t="s">
        <v>6</v>
      </c>
      <c r="B731" s="0" t="s">
        <v>1524</v>
      </c>
      <c r="C731" s="0" t="s">
        <v>1730</v>
      </c>
      <c r="D731" s="0" t="n">
        <v>180</v>
      </c>
    </row>
    <row r="732" customFormat="false" ht="15" hidden="false" customHeight="false" outlineLevel="0" collapsed="false">
      <c r="A732" s="0" t="s">
        <v>6</v>
      </c>
      <c r="B732" s="0" t="s">
        <v>1524</v>
      </c>
      <c r="C732" s="0" t="s">
        <v>1866</v>
      </c>
    </row>
    <row r="733" customFormat="false" ht="15" hidden="false" customHeight="false" outlineLevel="0" collapsed="false">
      <c r="A733" s="0" t="s">
        <v>6</v>
      </c>
      <c r="B733" s="0" t="s">
        <v>1524</v>
      </c>
      <c r="C733" s="0" t="s">
        <v>2159</v>
      </c>
    </row>
    <row r="734" customFormat="false" ht="15" hidden="false" customHeight="false" outlineLevel="0" collapsed="false">
      <c r="A734" s="0" t="s">
        <v>6</v>
      </c>
      <c r="B734" s="0" t="s">
        <v>1532</v>
      </c>
      <c r="C734" s="0" t="s">
        <v>1730</v>
      </c>
      <c r="D734" s="0" t="n">
        <v>518</v>
      </c>
    </row>
    <row r="735" customFormat="false" ht="15" hidden="false" customHeight="false" outlineLevel="0" collapsed="false">
      <c r="A735" s="0" t="s">
        <v>6</v>
      </c>
      <c r="B735" s="0" t="s">
        <v>1532</v>
      </c>
      <c r="C735" s="0" t="s">
        <v>1866</v>
      </c>
    </row>
    <row r="736" customFormat="false" ht="15" hidden="false" customHeight="false" outlineLevel="0" collapsed="false">
      <c r="A736" s="0" t="s">
        <v>6</v>
      </c>
      <c r="B736" s="0" t="s">
        <v>1532</v>
      </c>
      <c r="C736" s="0" t="s">
        <v>2159</v>
      </c>
    </row>
    <row r="737" customFormat="false" ht="15" hidden="false" customHeight="false" outlineLevel="0" collapsed="false">
      <c r="A737" s="0" t="s">
        <v>6</v>
      </c>
      <c r="B737" s="0" t="s">
        <v>1539</v>
      </c>
      <c r="C737" s="0" t="s">
        <v>1730</v>
      </c>
      <c r="D737" s="0" t="n">
        <v>0.8</v>
      </c>
    </row>
    <row r="738" customFormat="false" ht="15" hidden="false" customHeight="false" outlineLevel="0" collapsed="false">
      <c r="A738" s="0" t="s">
        <v>6</v>
      </c>
      <c r="B738" s="0" t="s">
        <v>1539</v>
      </c>
      <c r="C738" s="0" t="s">
        <v>1866</v>
      </c>
    </row>
    <row r="739" customFormat="false" ht="15" hidden="false" customHeight="false" outlineLevel="0" collapsed="false">
      <c r="A739" s="0" t="s">
        <v>6</v>
      </c>
      <c r="B739" s="0" t="s">
        <v>1539</v>
      </c>
      <c r="C739" s="0" t="s">
        <v>2159</v>
      </c>
    </row>
    <row r="740" customFormat="false" ht="15" hidden="false" customHeight="false" outlineLevel="0" collapsed="false">
      <c r="A740" s="0" t="s">
        <v>6</v>
      </c>
      <c r="B740" s="0" t="s">
        <v>1544</v>
      </c>
      <c r="C740" s="0" t="s">
        <v>1730</v>
      </c>
    </row>
    <row r="741" customFormat="false" ht="15" hidden="false" customHeight="false" outlineLevel="0" collapsed="false">
      <c r="A741" s="0" t="s">
        <v>6</v>
      </c>
      <c r="B741" s="0" t="s">
        <v>1544</v>
      </c>
      <c r="C741" s="0" t="s">
        <v>1866</v>
      </c>
      <c r="D741" s="0" t="n">
        <v>111.1</v>
      </c>
    </row>
    <row r="742" customFormat="false" ht="15" hidden="false" customHeight="false" outlineLevel="0" collapsed="false">
      <c r="A742" s="0" t="s">
        <v>6</v>
      </c>
      <c r="B742" s="0" t="s">
        <v>1544</v>
      </c>
      <c r="C742" s="0" t="s">
        <v>2159</v>
      </c>
    </row>
    <row r="743" customFormat="false" ht="15" hidden="false" customHeight="false" outlineLevel="0" collapsed="false">
      <c r="A743" s="0" t="s">
        <v>6</v>
      </c>
      <c r="B743" s="0" t="s">
        <v>1551</v>
      </c>
      <c r="C743" s="0" t="s">
        <v>1730</v>
      </c>
      <c r="D743" s="0" t="n">
        <v>110</v>
      </c>
    </row>
    <row r="744" customFormat="false" ht="15" hidden="false" customHeight="false" outlineLevel="0" collapsed="false">
      <c r="A744" s="0" t="s">
        <v>6</v>
      </c>
      <c r="B744" s="0" t="s">
        <v>1551</v>
      </c>
      <c r="C744" s="0" t="s">
        <v>1866</v>
      </c>
    </row>
    <row r="745" customFormat="false" ht="15" hidden="false" customHeight="false" outlineLevel="0" collapsed="false">
      <c r="A745" s="0" t="s">
        <v>6</v>
      </c>
      <c r="B745" s="0" t="s">
        <v>1551</v>
      </c>
      <c r="C745" s="0" t="s">
        <v>2159</v>
      </c>
    </row>
    <row r="746" customFormat="false" ht="15" hidden="false" customHeight="false" outlineLevel="0" collapsed="false">
      <c r="A746" s="0" t="s">
        <v>6</v>
      </c>
      <c r="B746" s="0" t="s">
        <v>1556</v>
      </c>
      <c r="C746" s="0" t="s">
        <v>1730</v>
      </c>
      <c r="D746" s="0" t="n">
        <v>161.2</v>
      </c>
    </row>
    <row r="747" customFormat="false" ht="15" hidden="false" customHeight="false" outlineLevel="0" collapsed="false">
      <c r="A747" s="0" t="s">
        <v>6</v>
      </c>
      <c r="B747" s="0" t="s">
        <v>1556</v>
      </c>
      <c r="C747" s="0" t="s">
        <v>1866</v>
      </c>
    </row>
    <row r="748" customFormat="false" ht="15" hidden="false" customHeight="false" outlineLevel="0" collapsed="false">
      <c r="A748" s="0" t="s">
        <v>6</v>
      </c>
      <c r="B748" s="0" t="s">
        <v>1556</v>
      </c>
      <c r="C748" s="0" t="s">
        <v>2159</v>
      </c>
    </row>
    <row r="749" customFormat="false" ht="15" hidden="false" customHeight="false" outlineLevel="0" collapsed="false">
      <c r="A749" s="0" t="s">
        <v>6</v>
      </c>
      <c r="B749" s="0" t="s">
        <v>1561</v>
      </c>
      <c r="C749" s="0" t="s">
        <v>1730</v>
      </c>
      <c r="D749" s="0" t="n">
        <v>125.2</v>
      </c>
    </row>
    <row r="750" customFormat="false" ht="15" hidden="false" customHeight="false" outlineLevel="0" collapsed="false">
      <c r="A750" s="0" t="s">
        <v>6</v>
      </c>
      <c r="B750" s="0" t="s">
        <v>1561</v>
      </c>
      <c r="C750" s="0" t="s">
        <v>1866</v>
      </c>
    </row>
    <row r="751" customFormat="false" ht="15" hidden="false" customHeight="false" outlineLevel="0" collapsed="false">
      <c r="A751" s="0" t="s">
        <v>6</v>
      </c>
      <c r="B751" s="0" t="s">
        <v>1561</v>
      </c>
      <c r="C751" s="0" t="s">
        <v>2159</v>
      </c>
    </row>
    <row r="752" customFormat="false" ht="15" hidden="false" customHeight="false" outlineLevel="0" collapsed="false">
      <c r="A752" s="0" t="s">
        <v>6</v>
      </c>
      <c r="B752" s="0" t="s">
        <v>1568</v>
      </c>
      <c r="C752" s="0" t="s">
        <v>1730</v>
      </c>
    </row>
    <row r="753" customFormat="false" ht="15" hidden="false" customHeight="false" outlineLevel="0" collapsed="false">
      <c r="A753" s="0" t="s">
        <v>6</v>
      </c>
      <c r="B753" s="0" t="s">
        <v>1568</v>
      </c>
      <c r="C753" s="0" t="s">
        <v>1866</v>
      </c>
    </row>
    <row r="754" customFormat="false" ht="15" hidden="false" customHeight="false" outlineLevel="0" collapsed="false">
      <c r="A754" s="0" t="s">
        <v>6</v>
      </c>
      <c r="B754" s="0" t="s">
        <v>1568</v>
      </c>
      <c r="C754" s="0" t="s">
        <v>2159</v>
      </c>
      <c r="D754" s="0" t="n">
        <v>42</v>
      </c>
    </row>
    <row r="755" customFormat="false" ht="15" hidden="false" customHeight="false" outlineLevel="0" collapsed="false">
      <c r="A755" s="0" t="s">
        <v>6</v>
      </c>
      <c r="B755" s="0" t="s">
        <v>1575</v>
      </c>
      <c r="C755" s="0" t="s">
        <v>1730</v>
      </c>
      <c r="D755" s="0" t="n">
        <v>7.33</v>
      </c>
    </row>
    <row r="756" customFormat="false" ht="15" hidden="false" customHeight="false" outlineLevel="0" collapsed="false">
      <c r="A756" s="0" t="s">
        <v>6</v>
      </c>
      <c r="B756" s="0" t="s">
        <v>1575</v>
      </c>
      <c r="C756" s="0" t="s">
        <v>1866</v>
      </c>
    </row>
    <row r="757" customFormat="false" ht="15" hidden="false" customHeight="false" outlineLevel="0" collapsed="false">
      <c r="A757" s="0" t="s">
        <v>6</v>
      </c>
      <c r="B757" s="0" t="s">
        <v>1575</v>
      </c>
      <c r="C757" s="0" t="s">
        <v>2159</v>
      </c>
    </row>
    <row r="758" customFormat="false" ht="15" hidden="false" customHeight="false" outlineLevel="0" collapsed="false">
      <c r="A758" s="0" t="s">
        <v>6</v>
      </c>
      <c r="B758" s="0" t="s">
        <v>1582</v>
      </c>
      <c r="C758" s="0" t="s">
        <v>1730</v>
      </c>
      <c r="D758" s="0" t="n">
        <v>4.1</v>
      </c>
    </row>
    <row r="759" customFormat="false" ht="15" hidden="false" customHeight="false" outlineLevel="0" collapsed="false">
      <c r="A759" s="0" t="s">
        <v>6</v>
      </c>
      <c r="B759" s="0" t="s">
        <v>1582</v>
      </c>
      <c r="C759" s="0" t="s">
        <v>1866</v>
      </c>
    </row>
    <row r="760" customFormat="false" ht="15" hidden="false" customHeight="false" outlineLevel="0" collapsed="false">
      <c r="A760" s="0" t="s">
        <v>6</v>
      </c>
      <c r="B760" s="0" t="s">
        <v>1582</v>
      </c>
      <c r="C760" s="0" t="s">
        <v>2159</v>
      </c>
    </row>
    <row r="761" customFormat="false" ht="15" hidden="false" customHeight="false" outlineLevel="0" collapsed="false">
      <c r="A761" s="0" t="s">
        <v>6</v>
      </c>
      <c r="B761" s="0" t="s">
        <v>1589</v>
      </c>
      <c r="C761" s="0" t="s">
        <v>1730</v>
      </c>
      <c r="D761" s="0" t="n">
        <v>0.23</v>
      </c>
    </row>
    <row r="762" customFormat="false" ht="15" hidden="false" customHeight="false" outlineLevel="0" collapsed="false">
      <c r="A762" s="0" t="s">
        <v>6</v>
      </c>
      <c r="B762" s="0" t="s">
        <v>1589</v>
      </c>
      <c r="C762" s="0" t="s">
        <v>1866</v>
      </c>
    </row>
    <row r="763" customFormat="false" ht="15" hidden="false" customHeight="false" outlineLevel="0" collapsed="false">
      <c r="A763" s="0" t="s">
        <v>6</v>
      </c>
      <c r="B763" s="0" t="s">
        <v>1589</v>
      </c>
      <c r="C763" s="0" t="s">
        <v>2159</v>
      </c>
    </row>
    <row r="764" customFormat="false" ht="15" hidden="false" customHeight="false" outlineLevel="0" collapsed="false">
      <c r="A764" s="0" t="s">
        <v>6</v>
      </c>
      <c r="B764" s="0" t="s">
        <v>1593</v>
      </c>
      <c r="C764" s="0" t="s">
        <v>1730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6</v>
      </c>
      <c r="B765" s="0" t="s">
        <v>1593</v>
      </c>
      <c r="C765" s="0" t="s">
        <v>1866</v>
      </c>
    </row>
    <row r="766" customFormat="false" ht="15" hidden="false" customHeight="false" outlineLevel="0" collapsed="false">
      <c r="A766" s="0" t="s">
        <v>6</v>
      </c>
      <c r="B766" s="0" t="s">
        <v>1593</v>
      </c>
      <c r="C766" s="0" t="s">
        <v>2159</v>
      </c>
    </row>
    <row r="767" customFormat="false" ht="15" hidden="false" customHeight="false" outlineLevel="0" collapsed="false">
      <c r="A767" s="0" t="s">
        <v>6</v>
      </c>
      <c r="B767" s="0" t="s">
        <v>1598</v>
      </c>
      <c r="C767" s="0" t="s">
        <v>1730</v>
      </c>
      <c r="D767" s="0" t="n">
        <v>1.359</v>
      </c>
    </row>
    <row r="768" customFormat="false" ht="15" hidden="false" customHeight="false" outlineLevel="0" collapsed="false">
      <c r="A768" s="0" t="s">
        <v>6</v>
      </c>
      <c r="B768" s="0" t="s">
        <v>1598</v>
      </c>
      <c r="C768" s="0" t="s">
        <v>1866</v>
      </c>
    </row>
    <row r="769" customFormat="false" ht="15" hidden="false" customHeight="false" outlineLevel="0" collapsed="false">
      <c r="A769" s="0" t="s">
        <v>6</v>
      </c>
      <c r="B769" s="0" t="s">
        <v>1598</v>
      </c>
      <c r="C769" s="0" t="s">
        <v>2159</v>
      </c>
    </row>
    <row r="770" customFormat="false" ht="15" hidden="false" customHeight="false" outlineLevel="0" collapsed="false">
      <c r="A770" s="0" t="s">
        <v>6</v>
      </c>
      <c r="B770" s="0" t="s">
        <v>1606</v>
      </c>
      <c r="C770" s="0" t="s">
        <v>1730</v>
      </c>
      <c r="D770" s="0" t="n">
        <v>2.66</v>
      </c>
    </row>
    <row r="771" customFormat="false" ht="15" hidden="false" customHeight="false" outlineLevel="0" collapsed="false">
      <c r="A771" s="0" t="s">
        <v>6</v>
      </c>
      <c r="B771" s="0" t="s">
        <v>1606</v>
      </c>
      <c r="C771" s="0" t="s">
        <v>1866</v>
      </c>
    </row>
    <row r="772" customFormat="false" ht="15" hidden="false" customHeight="false" outlineLevel="0" collapsed="false">
      <c r="A772" s="0" t="s">
        <v>6</v>
      </c>
      <c r="B772" s="0" t="s">
        <v>1606</v>
      </c>
      <c r="C772" s="0" t="s">
        <v>2159</v>
      </c>
    </row>
    <row r="773" customFormat="false" ht="15" hidden="false" customHeight="false" outlineLevel="0" collapsed="false">
      <c r="A773" s="0" t="s">
        <v>6</v>
      </c>
      <c r="B773" s="0" t="s">
        <v>1612</v>
      </c>
      <c r="C773" s="0" t="s">
        <v>1730</v>
      </c>
      <c r="D773" s="0" t="n">
        <v>12</v>
      </c>
    </row>
    <row r="774" customFormat="false" ht="15" hidden="false" customHeight="false" outlineLevel="0" collapsed="false">
      <c r="A774" s="0" t="s">
        <v>6</v>
      </c>
      <c r="B774" s="0" t="s">
        <v>1612</v>
      </c>
      <c r="C774" s="0" t="s">
        <v>1866</v>
      </c>
    </row>
    <row r="775" customFormat="false" ht="15" hidden="false" customHeight="false" outlineLevel="0" collapsed="false">
      <c r="A775" s="0" t="s">
        <v>6</v>
      </c>
      <c r="B775" s="0" t="s">
        <v>1612</v>
      </c>
      <c r="C775" s="0" t="s">
        <v>2159</v>
      </c>
    </row>
    <row r="776" customFormat="false" ht="15" hidden="false" customHeight="false" outlineLevel="0" collapsed="false">
      <c r="A776" s="0" t="s">
        <v>6</v>
      </c>
      <c r="B776" s="0" t="s">
        <v>1620</v>
      </c>
      <c r="C776" s="0" t="s">
        <v>1730</v>
      </c>
      <c r="D776" s="0" t="n">
        <v>7</v>
      </c>
    </row>
    <row r="777" customFormat="false" ht="15" hidden="false" customHeight="false" outlineLevel="0" collapsed="false">
      <c r="A777" s="0" t="s">
        <v>6</v>
      </c>
      <c r="B777" s="0" t="s">
        <v>1620</v>
      </c>
      <c r="C777" s="0" t="s">
        <v>1866</v>
      </c>
    </row>
    <row r="778" customFormat="false" ht="15" hidden="false" customHeight="false" outlineLevel="0" collapsed="false">
      <c r="A778" s="0" t="s">
        <v>6</v>
      </c>
      <c r="B778" s="0" t="s">
        <v>1620</v>
      </c>
      <c r="C778" s="0" t="s">
        <v>2159</v>
      </c>
    </row>
    <row r="779" customFormat="false" ht="15" hidden="false" customHeight="false" outlineLevel="0" collapsed="false">
      <c r="A779" s="0" t="s">
        <v>6</v>
      </c>
      <c r="B779" s="0" t="s">
        <v>1625</v>
      </c>
      <c r="C779" s="0" t="s">
        <v>1730</v>
      </c>
    </row>
    <row r="780" customFormat="false" ht="15" hidden="false" customHeight="false" outlineLevel="0" collapsed="false">
      <c r="A780" s="0" t="s">
        <v>6</v>
      </c>
      <c r="B780" s="0" t="s">
        <v>1625</v>
      </c>
      <c r="C780" s="0" t="s">
        <v>1866</v>
      </c>
      <c r="D780" s="0" t="n">
        <v>100</v>
      </c>
    </row>
    <row r="781" customFormat="false" ht="15" hidden="false" customHeight="false" outlineLevel="0" collapsed="false">
      <c r="A781" s="0" t="s">
        <v>6</v>
      </c>
      <c r="B781" s="0" t="s">
        <v>1625</v>
      </c>
      <c r="C781" s="0" t="s">
        <v>2159</v>
      </c>
    </row>
    <row r="782" customFormat="false" ht="15" hidden="false" customHeight="false" outlineLevel="0" collapsed="false">
      <c r="A782" s="0" t="s">
        <v>6</v>
      </c>
      <c r="B782" s="0" t="s">
        <v>1633</v>
      </c>
      <c r="C782" s="0" t="s">
        <v>1730</v>
      </c>
    </row>
    <row r="783" customFormat="false" ht="15" hidden="false" customHeight="false" outlineLevel="0" collapsed="false">
      <c r="A783" s="0" t="s">
        <v>6</v>
      </c>
      <c r="B783" s="0" t="s">
        <v>1633</v>
      </c>
      <c r="C783" s="0" t="s">
        <v>1866</v>
      </c>
    </row>
    <row r="784" customFormat="false" ht="15" hidden="false" customHeight="false" outlineLevel="0" collapsed="false">
      <c r="A784" s="0" t="s">
        <v>6</v>
      </c>
      <c r="B784" s="0" t="s">
        <v>1633</v>
      </c>
      <c r="C784" s="0" t="s">
        <v>2159</v>
      </c>
      <c r="D784" s="0" t="n">
        <v>100</v>
      </c>
    </row>
    <row r="785" customFormat="false" ht="15" hidden="false" customHeight="false" outlineLevel="0" collapsed="false">
      <c r="A785" s="0" t="s">
        <v>6</v>
      </c>
      <c r="B785" s="0" t="s">
        <v>1641</v>
      </c>
      <c r="C785" s="0" t="s">
        <v>1730</v>
      </c>
      <c r="D785" s="0" t="n">
        <v>30</v>
      </c>
    </row>
    <row r="786" customFormat="false" ht="15" hidden="false" customHeight="false" outlineLevel="0" collapsed="false">
      <c r="A786" s="0" t="s">
        <v>6</v>
      </c>
      <c r="B786" s="0" t="s">
        <v>1641</v>
      </c>
      <c r="C786" s="0" t="s">
        <v>1866</v>
      </c>
    </row>
    <row r="787" customFormat="false" ht="15" hidden="false" customHeight="false" outlineLevel="0" collapsed="false">
      <c r="A787" s="0" t="s">
        <v>6</v>
      </c>
      <c r="B787" s="0" t="s">
        <v>1641</v>
      </c>
      <c r="C787" s="0" t="s">
        <v>2159</v>
      </c>
    </row>
    <row r="788" customFormat="false" ht="15" hidden="false" customHeight="false" outlineLevel="0" collapsed="false">
      <c r="A788" s="0" t="s">
        <v>6</v>
      </c>
      <c r="B788" s="0" t="s">
        <v>1649</v>
      </c>
      <c r="C788" s="0" t="s">
        <v>1730</v>
      </c>
    </row>
    <row r="789" customFormat="false" ht="15" hidden="false" customHeight="false" outlineLevel="0" collapsed="false">
      <c r="A789" s="0" t="s">
        <v>6</v>
      </c>
      <c r="B789" s="0" t="s">
        <v>1649</v>
      </c>
      <c r="C789" s="0" t="s">
        <v>1866</v>
      </c>
      <c r="D789" s="0" t="n">
        <v>80</v>
      </c>
    </row>
    <row r="790" customFormat="false" ht="15" hidden="false" customHeight="false" outlineLevel="0" collapsed="false">
      <c r="A790" s="0" t="s">
        <v>6</v>
      </c>
      <c r="B790" s="0" t="s">
        <v>1649</v>
      </c>
      <c r="C790" s="0" t="s">
        <v>2159</v>
      </c>
    </row>
    <row r="791" customFormat="false" ht="15" hidden="false" customHeight="false" outlineLevel="0" collapsed="false">
      <c r="A791" s="0" t="s">
        <v>6</v>
      </c>
      <c r="B791" s="0" t="s">
        <v>1655</v>
      </c>
      <c r="C791" s="0" t="s">
        <v>1730</v>
      </c>
    </row>
    <row r="792" customFormat="false" ht="15" hidden="false" customHeight="false" outlineLevel="0" collapsed="false">
      <c r="A792" s="0" t="s">
        <v>6</v>
      </c>
      <c r="B792" s="0" t="s">
        <v>1655</v>
      </c>
      <c r="C792" s="0" t="s">
        <v>1866</v>
      </c>
    </row>
    <row r="793" customFormat="false" ht="15" hidden="false" customHeight="false" outlineLevel="0" collapsed="false">
      <c r="A793" s="0" t="s">
        <v>6</v>
      </c>
      <c r="B793" s="0" t="s">
        <v>1655</v>
      </c>
      <c r="C793" s="0" t="s">
        <v>2159</v>
      </c>
    </row>
    <row r="794" customFormat="false" ht="15" hidden="false" customHeight="false" outlineLevel="0" collapsed="false">
      <c r="A794" s="0" t="s">
        <v>6</v>
      </c>
      <c r="B794" s="0" t="s">
        <v>1664</v>
      </c>
      <c r="C794" s="0" t="s">
        <v>1730</v>
      </c>
      <c r="D794" s="0" t="n">
        <v>5</v>
      </c>
    </row>
    <row r="795" customFormat="false" ht="15" hidden="false" customHeight="false" outlineLevel="0" collapsed="false">
      <c r="A795" s="0" t="s">
        <v>6</v>
      </c>
      <c r="B795" s="0" t="s">
        <v>1664</v>
      </c>
      <c r="C795" s="0" t="s">
        <v>1866</v>
      </c>
      <c r="D795" s="0" t="n">
        <v>1.4</v>
      </c>
    </row>
    <row r="796" customFormat="false" ht="15" hidden="false" customHeight="false" outlineLevel="0" collapsed="false">
      <c r="A796" s="0" t="s">
        <v>6</v>
      </c>
      <c r="B796" s="0" t="s">
        <v>1664</v>
      </c>
      <c r="C796" s="0" t="s">
        <v>2159</v>
      </c>
      <c r="D796" s="0" t="n">
        <v>15</v>
      </c>
    </row>
    <row r="797" customFormat="false" ht="15" hidden="false" customHeight="false" outlineLevel="0" collapsed="false">
      <c r="A797" s="0" t="s">
        <v>6</v>
      </c>
      <c r="B797" s="0" t="s">
        <v>1673</v>
      </c>
      <c r="C797" s="0" t="s">
        <v>1730</v>
      </c>
      <c r="D797" s="0" t="n">
        <v>10</v>
      </c>
    </row>
    <row r="798" customFormat="false" ht="15" hidden="false" customHeight="false" outlineLevel="0" collapsed="false">
      <c r="A798" s="0" t="s">
        <v>6</v>
      </c>
      <c r="B798" s="0" t="s">
        <v>1673</v>
      </c>
      <c r="C798" s="0" t="s">
        <v>1866</v>
      </c>
      <c r="D798" s="0" t="n">
        <v>9.5</v>
      </c>
    </row>
    <row r="799" customFormat="false" ht="15" hidden="false" customHeight="false" outlineLevel="0" collapsed="false">
      <c r="A799" s="0" t="s">
        <v>6</v>
      </c>
      <c r="B799" s="0" t="s">
        <v>1673</v>
      </c>
      <c r="C799" s="0" t="s">
        <v>2159</v>
      </c>
    </row>
    <row r="800" customFormat="false" ht="15" hidden="false" customHeight="false" outlineLevel="0" collapsed="false">
      <c r="A800" s="0" t="s">
        <v>6</v>
      </c>
      <c r="B800" s="0" t="s">
        <v>1683</v>
      </c>
      <c r="C800" s="0" t="s">
        <v>1730</v>
      </c>
      <c r="D800" s="0" t="n">
        <v>5</v>
      </c>
    </row>
    <row r="801" customFormat="false" ht="15" hidden="false" customHeight="false" outlineLevel="0" collapsed="false">
      <c r="A801" s="0" t="s">
        <v>6</v>
      </c>
      <c r="B801" s="0" t="s">
        <v>1683</v>
      </c>
      <c r="C801" s="0" t="s">
        <v>1866</v>
      </c>
    </row>
    <row r="802" customFormat="false" ht="15" hidden="false" customHeight="false" outlineLevel="0" collapsed="false">
      <c r="A802" s="0" t="s">
        <v>6</v>
      </c>
      <c r="B802" s="0" t="s">
        <v>1683</v>
      </c>
      <c r="C802" s="0" t="s">
        <v>2159</v>
      </c>
    </row>
    <row r="803" customFormat="false" ht="15" hidden="false" customHeight="false" outlineLevel="0" collapsed="false">
      <c r="A803" s="0" t="s">
        <v>6</v>
      </c>
      <c r="B803" s="0" t="s">
        <v>1691</v>
      </c>
      <c r="C803" s="0" t="s">
        <v>1730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6</v>
      </c>
      <c r="B804" s="0" t="s">
        <v>1691</v>
      </c>
      <c r="C804" s="0" t="s">
        <v>1866</v>
      </c>
    </row>
    <row r="805" customFormat="false" ht="15" hidden="false" customHeight="false" outlineLevel="0" collapsed="false">
      <c r="A805" s="0" t="s">
        <v>6</v>
      </c>
      <c r="B805" s="0" t="s">
        <v>1691</v>
      </c>
      <c r="C805" s="0" t="s">
        <v>2159</v>
      </c>
    </row>
    <row r="806" customFormat="false" ht="15" hidden="false" customHeight="false" outlineLevel="0" collapsed="false">
      <c r="A806" s="0" t="s">
        <v>6</v>
      </c>
      <c r="B806" s="0" t="s">
        <v>1696</v>
      </c>
      <c r="C806" s="0" t="s">
        <v>1730</v>
      </c>
      <c r="D806" s="0" t="n">
        <v>1.4</v>
      </c>
    </row>
    <row r="807" customFormat="false" ht="15" hidden="false" customHeight="false" outlineLevel="0" collapsed="false">
      <c r="A807" s="0" t="s">
        <v>6</v>
      </c>
      <c r="B807" s="0" t="s">
        <v>1696</v>
      </c>
      <c r="C807" s="0" t="s">
        <v>1866</v>
      </c>
    </row>
    <row r="808" customFormat="false" ht="15" hidden="false" customHeight="false" outlineLevel="0" collapsed="false">
      <c r="A808" s="0" t="s">
        <v>6</v>
      </c>
      <c r="B808" s="0" t="s">
        <v>1696</v>
      </c>
      <c r="C808" s="0" t="s">
        <v>2159</v>
      </c>
    </row>
    <row r="809" customFormat="false" ht="15" hidden="false" customHeight="false" outlineLevel="0" collapsed="false">
      <c r="A809" s="0" t="s">
        <v>6</v>
      </c>
      <c r="B809" s="0" t="s">
        <v>1703</v>
      </c>
      <c r="C809" s="0" t="s">
        <v>1730</v>
      </c>
      <c r="D809" s="0" t="n">
        <v>11</v>
      </c>
    </row>
    <row r="810" customFormat="false" ht="15" hidden="false" customHeight="false" outlineLevel="0" collapsed="false">
      <c r="A810" s="0" t="s">
        <v>6</v>
      </c>
      <c r="B810" s="0" t="s">
        <v>1703</v>
      </c>
      <c r="C810" s="0" t="s">
        <v>1866</v>
      </c>
    </row>
    <row r="811" customFormat="false" ht="15" hidden="false" customHeight="false" outlineLevel="0" collapsed="false">
      <c r="A811" s="0" t="s">
        <v>6</v>
      </c>
      <c r="B811" s="0" t="s">
        <v>1703</v>
      </c>
      <c r="C811" s="0" t="s">
        <v>2159</v>
      </c>
    </row>
    <row r="812" customFormat="false" ht="15" hidden="false" customHeight="false" outlineLevel="0" collapsed="false">
      <c r="A812" s="0" t="s">
        <v>6</v>
      </c>
      <c r="B812" s="0" t="s">
        <v>1710</v>
      </c>
      <c r="C812" s="0" t="s">
        <v>1730</v>
      </c>
      <c r="D812" s="0" t="n">
        <v>80</v>
      </c>
    </row>
    <row r="813" customFormat="false" ht="15" hidden="false" customHeight="false" outlineLevel="0" collapsed="false">
      <c r="A813" s="0" t="s">
        <v>6</v>
      </c>
      <c r="B813" s="0" t="s">
        <v>1710</v>
      </c>
      <c r="C813" s="0" t="s">
        <v>1866</v>
      </c>
    </row>
    <row r="814" customFormat="false" ht="15" hidden="false" customHeight="false" outlineLevel="0" collapsed="false">
      <c r="A814" s="0" t="s">
        <v>6</v>
      </c>
      <c r="B814" s="0" t="s">
        <v>1710</v>
      </c>
      <c r="C814" s="0" t="s">
        <v>2159</v>
      </c>
    </row>
    <row r="815" customFormat="false" ht="15" hidden="false" customHeight="false" outlineLevel="0" collapsed="false">
      <c r="A815" s="0" t="s">
        <v>6</v>
      </c>
      <c r="B815" s="0" t="s">
        <v>1716</v>
      </c>
      <c r="C815" s="0" t="s">
        <v>1730</v>
      </c>
    </row>
    <row r="816" customFormat="false" ht="15" hidden="false" customHeight="false" outlineLevel="0" collapsed="false">
      <c r="A816" s="0" t="s">
        <v>6</v>
      </c>
      <c r="B816" s="0" t="s">
        <v>1716</v>
      </c>
      <c r="C816" s="0" t="s">
        <v>1866</v>
      </c>
      <c r="D816" s="0" t="n">
        <v>30</v>
      </c>
    </row>
    <row r="817" customFormat="false" ht="15" hidden="false" customHeight="false" outlineLevel="0" collapsed="false">
      <c r="A817" s="0" t="s">
        <v>6</v>
      </c>
      <c r="B817" s="0" t="s">
        <v>1716</v>
      </c>
      <c r="C817" s="0" t="s">
        <v>2159</v>
      </c>
    </row>
    <row r="818" customFormat="false" ht="15" hidden="false" customHeight="false" outlineLevel="0" collapsed="false">
      <c r="A818" s="0" t="s">
        <v>6</v>
      </c>
      <c r="B818" s="0" t="s">
        <v>1721</v>
      </c>
      <c r="C818" s="0" t="s">
        <v>1730</v>
      </c>
      <c r="D818" s="0" t="n">
        <v>200</v>
      </c>
    </row>
    <row r="819" customFormat="false" ht="15" hidden="false" customHeight="false" outlineLevel="0" collapsed="false">
      <c r="A819" s="0" t="s">
        <v>6</v>
      </c>
      <c r="B819" s="0" t="s">
        <v>1721</v>
      </c>
      <c r="C819" s="0" t="s">
        <v>1866</v>
      </c>
    </row>
    <row r="820" customFormat="false" ht="15" hidden="false" customHeight="false" outlineLevel="0" collapsed="false">
      <c r="A820" s="0" t="s">
        <v>6</v>
      </c>
      <c r="B820" s="0" t="s">
        <v>1721</v>
      </c>
      <c r="C820" s="0" t="s">
        <v>2159</v>
      </c>
    </row>
    <row r="821" customFormat="false" ht="15" hidden="false" customHeight="false" outlineLevel="0" collapsed="false">
      <c r="A821" s="0" t="s">
        <v>6</v>
      </c>
      <c r="B821" s="0" t="s">
        <v>1728</v>
      </c>
      <c r="C821" s="0" t="s">
        <v>1730</v>
      </c>
      <c r="D821" s="0" t="n">
        <v>12.65</v>
      </c>
    </row>
    <row r="822" customFormat="false" ht="15" hidden="false" customHeight="false" outlineLevel="0" collapsed="false">
      <c r="A822" s="0" t="s">
        <v>6</v>
      </c>
      <c r="B822" s="0" t="s">
        <v>1728</v>
      </c>
      <c r="C822" s="0" t="s">
        <v>1866</v>
      </c>
    </row>
    <row r="823" customFormat="false" ht="15" hidden="false" customHeight="false" outlineLevel="0" collapsed="false">
      <c r="A823" s="0" t="s">
        <v>6</v>
      </c>
      <c r="B823" s="0" t="s">
        <v>1728</v>
      </c>
      <c r="C823" s="0" t="s">
        <v>2159</v>
      </c>
    </row>
    <row r="824" customFormat="false" ht="15" hidden="false" customHeight="false" outlineLevel="0" collapsed="false">
      <c r="A824" s="0" t="s">
        <v>6</v>
      </c>
      <c r="B824" s="0" t="s">
        <v>1737</v>
      </c>
      <c r="C824" s="0" t="s">
        <v>1730</v>
      </c>
      <c r="D824" s="0" t="n">
        <v>13</v>
      </c>
    </row>
    <row r="825" customFormat="false" ht="15" hidden="false" customHeight="false" outlineLevel="0" collapsed="false">
      <c r="A825" s="0" t="s">
        <v>6</v>
      </c>
      <c r="B825" s="0" t="s">
        <v>1737</v>
      </c>
      <c r="C825" s="0" t="s">
        <v>1866</v>
      </c>
    </row>
    <row r="826" customFormat="false" ht="15" hidden="false" customHeight="false" outlineLevel="0" collapsed="false">
      <c r="A826" s="0" t="s">
        <v>6</v>
      </c>
      <c r="B826" s="0" t="s">
        <v>1737</v>
      </c>
      <c r="C826" s="0" t="s">
        <v>2159</v>
      </c>
    </row>
    <row r="827" customFormat="false" ht="15" hidden="false" customHeight="false" outlineLevel="0" collapsed="false">
      <c r="A827" s="0" t="s">
        <v>6</v>
      </c>
      <c r="B827" s="0" t="s">
        <v>1743</v>
      </c>
      <c r="C827" s="0" t="s">
        <v>1730</v>
      </c>
      <c r="D827" s="0" t="n">
        <v>7.33</v>
      </c>
    </row>
    <row r="828" customFormat="false" ht="15" hidden="false" customHeight="false" outlineLevel="0" collapsed="false">
      <c r="A828" s="0" t="s">
        <v>6</v>
      </c>
      <c r="B828" s="0" t="s">
        <v>1743</v>
      </c>
      <c r="C828" s="0" t="s">
        <v>1866</v>
      </c>
    </row>
    <row r="829" customFormat="false" ht="15" hidden="false" customHeight="false" outlineLevel="0" collapsed="false">
      <c r="A829" s="0" t="s">
        <v>6</v>
      </c>
      <c r="B829" s="0" t="s">
        <v>1743</v>
      </c>
      <c r="C829" s="0" t="s">
        <v>2159</v>
      </c>
    </row>
    <row r="830" customFormat="false" ht="15" hidden="false" customHeight="false" outlineLevel="0" collapsed="false">
      <c r="A830" s="0" t="s">
        <v>6</v>
      </c>
      <c r="B830" s="0" t="s">
        <v>1747</v>
      </c>
      <c r="C830" s="0" t="s">
        <v>1730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6</v>
      </c>
      <c r="B831" s="0" t="s">
        <v>1747</v>
      </c>
      <c r="C831" s="0" t="s">
        <v>1866</v>
      </c>
    </row>
    <row r="832" customFormat="false" ht="15" hidden="false" customHeight="false" outlineLevel="0" collapsed="false">
      <c r="A832" s="0" t="s">
        <v>6</v>
      </c>
      <c r="B832" s="0" t="s">
        <v>1747</v>
      </c>
      <c r="C832" s="0" t="s">
        <v>2159</v>
      </c>
    </row>
    <row r="833" customFormat="false" ht="15" hidden="false" customHeight="false" outlineLevel="0" collapsed="false">
      <c r="A833" s="0" t="s">
        <v>6</v>
      </c>
      <c r="B833" s="0" t="s">
        <v>1752</v>
      </c>
      <c r="C833" s="0" t="s">
        <v>1730</v>
      </c>
      <c r="D833" s="0" t="n">
        <v>8.06</v>
      </c>
    </row>
    <row r="834" customFormat="false" ht="15" hidden="false" customHeight="false" outlineLevel="0" collapsed="false">
      <c r="A834" s="0" t="s">
        <v>6</v>
      </c>
      <c r="B834" s="0" t="s">
        <v>1752</v>
      </c>
      <c r="C834" s="0" t="s">
        <v>1866</v>
      </c>
    </row>
    <row r="835" customFormat="false" ht="15" hidden="false" customHeight="false" outlineLevel="0" collapsed="false">
      <c r="A835" s="0" t="s">
        <v>6</v>
      </c>
      <c r="B835" s="0" t="s">
        <v>1752</v>
      </c>
      <c r="C835" s="0" t="s">
        <v>2159</v>
      </c>
    </row>
    <row r="836" customFormat="false" ht="15" hidden="false" customHeight="false" outlineLevel="0" collapsed="false">
      <c r="A836" s="0" t="s">
        <v>6</v>
      </c>
      <c r="B836" s="0" t="s">
        <v>1756</v>
      </c>
      <c r="C836" s="0" t="s">
        <v>1730</v>
      </c>
      <c r="D836" s="0" t="n">
        <v>2.98</v>
      </c>
    </row>
    <row r="837" customFormat="false" ht="15" hidden="false" customHeight="false" outlineLevel="0" collapsed="false">
      <c r="A837" s="0" t="s">
        <v>6</v>
      </c>
      <c r="B837" s="0" t="s">
        <v>1756</v>
      </c>
      <c r="C837" s="0" t="s">
        <v>1866</v>
      </c>
    </row>
    <row r="838" customFormat="false" ht="15" hidden="false" customHeight="false" outlineLevel="0" collapsed="false">
      <c r="A838" s="0" t="s">
        <v>6</v>
      </c>
      <c r="B838" s="0" t="s">
        <v>1756</v>
      </c>
      <c r="C838" s="0" t="s">
        <v>2159</v>
      </c>
    </row>
    <row r="839" customFormat="false" ht="15" hidden="false" customHeight="false" outlineLevel="0" collapsed="false">
      <c r="A839" s="0" t="s">
        <v>6</v>
      </c>
      <c r="B839" s="0" t="s">
        <v>1761</v>
      </c>
      <c r="C839" s="0" t="s">
        <v>1730</v>
      </c>
      <c r="D839" s="0" t="n">
        <v>42</v>
      </c>
    </row>
    <row r="840" customFormat="false" ht="15" hidden="false" customHeight="false" outlineLevel="0" collapsed="false">
      <c r="A840" s="0" t="s">
        <v>6</v>
      </c>
      <c r="B840" s="0" t="s">
        <v>1761</v>
      </c>
      <c r="C840" s="0" t="s">
        <v>1866</v>
      </c>
    </row>
    <row r="841" customFormat="false" ht="15" hidden="false" customHeight="false" outlineLevel="0" collapsed="false">
      <c r="A841" s="0" t="s">
        <v>6</v>
      </c>
      <c r="B841" s="0" t="s">
        <v>1761</v>
      </c>
      <c r="C841" s="0" t="s">
        <v>2159</v>
      </c>
    </row>
    <row r="842" customFormat="false" ht="15" hidden="false" customHeight="false" outlineLevel="0" collapsed="false">
      <c r="A842" s="0" t="s">
        <v>6</v>
      </c>
      <c r="B842" s="0" t="s">
        <v>1765</v>
      </c>
      <c r="C842" s="0" t="s">
        <v>1730</v>
      </c>
      <c r="D842" s="0" t="n">
        <v>34</v>
      </c>
    </row>
    <row r="843" customFormat="false" ht="15" hidden="false" customHeight="false" outlineLevel="0" collapsed="false">
      <c r="A843" s="0" t="s">
        <v>6</v>
      </c>
      <c r="B843" s="0" t="s">
        <v>1765</v>
      </c>
      <c r="C843" s="0" t="s">
        <v>1866</v>
      </c>
    </row>
    <row r="844" customFormat="false" ht="15" hidden="false" customHeight="false" outlineLevel="0" collapsed="false">
      <c r="A844" s="0" t="s">
        <v>6</v>
      </c>
      <c r="B844" s="0" t="s">
        <v>1765</v>
      </c>
      <c r="C844" s="0" t="s">
        <v>2159</v>
      </c>
    </row>
    <row r="845" customFormat="false" ht="15" hidden="false" customHeight="false" outlineLevel="0" collapsed="false">
      <c r="A845" s="0" t="s">
        <v>6</v>
      </c>
      <c r="B845" s="0" t="s">
        <v>1769</v>
      </c>
      <c r="C845" s="0" t="s">
        <v>1730</v>
      </c>
      <c r="D845" s="0" t="n">
        <v>0.71</v>
      </c>
    </row>
    <row r="846" customFormat="false" ht="15" hidden="false" customHeight="false" outlineLevel="0" collapsed="false">
      <c r="A846" s="0" t="s">
        <v>6</v>
      </c>
      <c r="B846" s="0" t="s">
        <v>1769</v>
      </c>
      <c r="C846" s="0" t="s">
        <v>1866</v>
      </c>
    </row>
    <row r="847" customFormat="false" ht="15" hidden="false" customHeight="false" outlineLevel="0" collapsed="false">
      <c r="A847" s="0" t="s">
        <v>6</v>
      </c>
      <c r="B847" s="0" t="s">
        <v>1769</v>
      </c>
      <c r="C847" s="0" t="s">
        <v>2159</v>
      </c>
    </row>
    <row r="848" customFormat="false" ht="15" hidden="false" customHeight="false" outlineLevel="0" collapsed="false">
      <c r="A848" s="0" t="s">
        <v>6</v>
      </c>
      <c r="B848" s="0" t="s">
        <v>1777</v>
      </c>
      <c r="C848" s="0" t="s">
        <v>1730</v>
      </c>
      <c r="D848" s="0" t="n">
        <v>718</v>
      </c>
    </row>
    <row r="849" customFormat="false" ht="15" hidden="false" customHeight="false" outlineLevel="0" collapsed="false">
      <c r="A849" s="0" t="s">
        <v>6</v>
      </c>
      <c r="B849" s="0" t="s">
        <v>1777</v>
      </c>
      <c r="C849" s="0" t="s">
        <v>1866</v>
      </c>
    </row>
    <row r="850" customFormat="false" ht="15" hidden="false" customHeight="false" outlineLevel="0" collapsed="false">
      <c r="A850" s="0" t="s">
        <v>6</v>
      </c>
      <c r="B850" s="0" t="s">
        <v>1777</v>
      </c>
      <c r="C850" s="0" t="s">
        <v>2159</v>
      </c>
    </row>
    <row r="851" customFormat="false" ht="15" hidden="false" customHeight="false" outlineLevel="0" collapsed="false">
      <c r="A851" s="0" t="s">
        <v>6</v>
      </c>
      <c r="B851" s="0" t="s">
        <v>1784</v>
      </c>
      <c r="C851" s="0" t="s">
        <v>1730</v>
      </c>
      <c r="D851" s="0" t="n">
        <v>1324</v>
      </c>
    </row>
    <row r="852" customFormat="false" ht="15" hidden="false" customHeight="false" outlineLevel="0" collapsed="false">
      <c r="A852" s="0" t="s">
        <v>6</v>
      </c>
      <c r="B852" s="0" t="s">
        <v>1784</v>
      </c>
      <c r="C852" s="0" t="s">
        <v>1866</v>
      </c>
    </row>
    <row r="853" customFormat="false" ht="15" hidden="false" customHeight="false" outlineLevel="0" collapsed="false">
      <c r="A853" s="0" t="s">
        <v>6</v>
      </c>
      <c r="B853" s="0" t="s">
        <v>1784</v>
      </c>
      <c r="C853" s="0" t="s">
        <v>2159</v>
      </c>
    </row>
    <row r="854" customFormat="false" ht="15" hidden="false" customHeight="false" outlineLevel="0" collapsed="false">
      <c r="A854" s="0" t="s">
        <v>6</v>
      </c>
      <c r="B854" s="0" t="s">
        <v>1789</v>
      </c>
      <c r="C854" s="0" t="s">
        <v>1730</v>
      </c>
      <c r="D854" s="0" t="n">
        <v>3089</v>
      </c>
    </row>
    <row r="855" customFormat="false" ht="15" hidden="false" customHeight="false" outlineLevel="0" collapsed="false">
      <c r="A855" s="0" t="s">
        <v>6</v>
      </c>
      <c r="B855" s="0" t="s">
        <v>1789</v>
      </c>
      <c r="C855" s="0" t="s">
        <v>1866</v>
      </c>
    </row>
    <row r="856" customFormat="false" ht="15" hidden="false" customHeight="false" outlineLevel="0" collapsed="false">
      <c r="A856" s="0" t="s">
        <v>6</v>
      </c>
      <c r="B856" s="0" t="s">
        <v>1789</v>
      </c>
      <c r="C856" s="0" t="s">
        <v>2159</v>
      </c>
    </row>
    <row r="857" customFormat="false" ht="15" hidden="false" customHeight="false" outlineLevel="0" collapsed="false">
      <c r="A857" s="0" t="s">
        <v>6</v>
      </c>
      <c r="B857" s="0" t="s">
        <v>1793</v>
      </c>
      <c r="C857" s="0" t="s">
        <v>1730</v>
      </c>
      <c r="D857" s="0" t="n">
        <v>3950</v>
      </c>
    </row>
    <row r="858" customFormat="false" ht="15" hidden="false" customHeight="false" outlineLevel="0" collapsed="false">
      <c r="A858" s="0" t="s">
        <v>6</v>
      </c>
      <c r="B858" s="0" t="s">
        <v>1793</v>
      </c>
      <c r="C858" s="0" t="s">
        <v>1866</v>
      </c>
    </row>
    <row r="859" customFormat="false" ht="15" hidden="false" customHeight="false" outlineLevel="0" collapsed="false">
      <c r="A859" s="0" t="s">
        <v>6</v>
      </c>
      <c r="B859" s="0" t="s">
        <v>1793</v>
      </c>
      <c r="C859" s="0" t="s">
        <v>2159</v>
      </c>
    </row>
    <row r="860" customFormat="false" ht="15" hidden="false" customHeight="false" outlineLevel="0" collapsed="false">
      <c r="A860" s="0" t="s">
        <v>6</v>
      </c>
      <c r="B860" s="0" t="s">
        <v>1796</v>
      </c>
      <c r="C860" s="0" t="s">
        <v>1730</v>
      </c>
    </row>
    <row r="861" customFormat="false" ht="15" hidden="false" customHeight="false" outlineLevel="0" collapsed="false">
      <c r="A861" s="0" t="s">
        <v>6</v>
      </c>
      <c r="B861" s="0" t="s">
        <v>1796</v>
      </c>
      <c r="C861" s="0" t="s">
        <v>1866</v>
      </c>
      <c r="D861" s="0" t="n">
        <v>2500</v>
      </c>
    </row>
    <row r="862" customFormat="false" ht="15" hidden="false" customHeight="false" outlineLevel="0" collapsed="false">
      <c r="A862" s="0" t="s">
        <v>6</v>
      </c>
      <c r="B862" s="0" t="s">
        <v>1796</v>
      </c>
      <c r="C862" s="0" t="s">
        <v>2159</v>
      </c>
      <c r="D862" s="0" t="n">
        <v>5000</v>
      </c>
    </row>
    <row r="863" customFormat="false" ht="15" hidden="false" customHeight="false" outlineLevel="0" collapsed="false">
      <c r="A863" s="0" t="s">
        <v>6</v>
      </c>
      <c r="B863" s="0" t="s">
        <v>1803</v>
      </c>
      <c r="C863" s="0" t="s">
        <v>1730</v>
      </c>
      <c r="D863" s="0" t="n">
        <v>2.5</v>
      </c>
    </row>
    <row r="864" customFormat="false" ht="15" hidden="false" customHeight="false" outlineLevel="0" collapsed="false">
      <c r="A864" s="0" t="s">
        <v>6</v>
      </c>
      <c r="B864" s="0" t="s">
        <v>1803</v>
      </c>
      <c r="C864" s="0" t="s">
        <v>1866</v>
      </c>
    </row>
    <row r="865" customFormat="false" ht="15" hidden="false" customHeight="false" outlineLevel="0" collapsed="false">
      <c r="A865" s="0" t="s">
        <v>6</v>
      </c>
      <c r="B865" s="0" t="s">
        <v>1803</v>
      </c>
      <c r="C865" s="0" t="s">
        <v>2159</v>
      </c>
    </row>
    <row r="866" customFormat="false" ht="15" hidden="false" customHeight="false" outlineLevel="0" collapsed="false">
      <c r="A866" s="0" t="s">
        <v>6</v>
      </c>
      <c r="B866" s="0" t="s">
        <v>1809</v>
      </c>
      <c r="C866" s="0" t="s">
        <v>1730</v>
      </c>
      <c r="D866" s="0" t="n">
        <v>8</v>
      </c>
    </row>
    <row r="867" customFormat="false" ht="15" hidden="false" customHeight="false" outlineLevel="0" collapsed="false">
      <c r="A867" s="0" t="s">
        <v>6</v>
      </c>
      <c r="B867" s="0" t="s">
        <v>1809</v>
      </c>
      <c r="C867" s="0" t="s">
        <v>1866</v>
      </c>
    </row>
    <row r="868" customFormat="false" ht="15" hidden="false" customHeight="false" outlineLevel="0" collapsed="false">
      <c r="A868" s="0" t="s">
        <v>6</v>
      </c>
      <c r="B868" s="0" t="s">
        <v>1809</v>
      </c>
      <c r="C868" s="0" t="s">
        <v>2159</v>
      </c>
    </row>
    <row r="869" customFormat="false" ht="15" hidden="false" customHeight="false" outlineLevel="0" collapsed="false">
      <c r="A869" s="0" t="s">
        <v>6</v>
      </c>
      <c r="B869" s="0" t="s">
        <v>1814</v>
      </c>
      <c r="C869" s="0" t="s">
        <v>1730</v>
      </c>
      <c r="D869" s="0" t="n">
        <v>5.6</v>
      </c>
    </row>
    <row r="870" customFormat="false" ht="15" hidden="false" customHeight="false" outlineLevel="0" collapsed="false">
      <c r="A870" s="0" t="s">
        <v>6</v>
      </c>
      <c r="B870" s="0" t="s">
        <v>1814</v>
      </c>
      <c r="C870" s="0" t="s">
        <v>1866</v>
      </c>
    </row>
    <row r="871" customFormat="false" ht="15" hidden="false" customHeight="false" outlineLevel="0" collapsed="false">
      <c r="A871" s="0" t="s">
        <v>6</v>
      </c>
      <c r="B871" s="0" t="s">
        <v>1814</v>
      </c>
      <c r="C871" s="0" t="s">
        <v>2159</v>
      </c>
    </row>
    <row r="872" customFormat="false" ht="15" hidden="false" customHeight="false" outlineLevel="0" collapsed="false">
      <c r="A872" s="0" t="s">
        <v>6</v>
      </c>
      <c r="B872" s="0" t="s">
        <v>1821</v>
      </c>
      <c r="C872" s="0" t="s">
        <v>1730</v>
      </c>
      <c r="D872" s="0" t="n">
        <v>-0.94</v>
      </c>
    </row>
    <row r="873" customFormat="false" ht="15" hidden="false" customHeight="false" outlineLevel="0" collapsed="false">
      <c r="A873" s="0" t="s">
        <v>6</v>
      </c>
      <c r="B873" s="0" t="s">
        <v>1821</v>
      </c>
      <c r="C873" s="0" t="s">
        <v>1866</v>
      </c>
    </row>
    <row r="874" customFormat="false" ht="15" hidden="false" customHeight="false" outlineLevel="0" collapsed="false">
      <c r="A874" s="0" t="s">
        <v>6</v>
      </c>
      <c r="B874" s="0" t="s">
        <v>1821</v>
      </c>
      <c r="C874" s="0" t="s">
        <v>2159</v>
      </c>
    </row>
    <row r="875" customFormat="false" ht="15" hidden="false" customHeight="false" outlineLevel="0" collapsed="false">
      <c r="A875" s="0" t="s">
        <v>6</v>
      </c>
      <c r="B875" s="0" t="s">
        <v>1827</v>
      </c>
      <c r="C875" s="0" t="s">
        <v>1730</v>
      </c>
      <c r="D875" s="0" t="n">
        <v>0.4</v>
      </c>
    </row>
    <row r="876" customFormat="false" ht="15" hidden="false" customHeight="false" outlineLevel="0" collapsed="false">
      <c r="A876" s="0" t="s">
        <v>6</v>
      </c>
      <c r="B876" s="0" t="s">
        <v>1827</v>
      </c>
      <c r="C876" s="0" t="s">
        <v>1866</v>
      </c>
    </row>
    <row r="877" customFormat="false" ht="15" hidden="false" customHeight="false" outlineLevel="0" collapsed="false">
      <c r="A877" s="0" t="s">
        <v>6</v>
      </c>
      <c r="B877" s="0" t="s">
        <v>1827</v>
      </c>
      <c r="C877" s="0" t="s">
        <v>2159</v>
      </c>
    </row>
    <row r="878" customFormat="false" ht="15" hidden="false" customHeight="false" outlineLevel="0" collapsed="false">
      <c r="A878" s="0" t="s">
        <v>6</v>
      </c>
      <c r="B878" s="0" t="s">
        <v>1832</v>
      </c>
      <c r="C878" s="0" t="s">
        <v>1730</v>
      </c>
      <c r="D878" s="0" t="n">
        <v>0.8</v>
      </c>
    </row>
    <row r="879" customFormat="false" ht="15" hidden="false" customHeight="false" outlineLevel="0" collapsed="false">
      <c r="A879" s="0" t="s">
        <v>6</v>
      </c>
      <c r="B879" s="0" t="s">
        <v>1832</v>
      </c>
      <c r="C879" s="0" t="s">
        <v>1866</v>
      </c>
      <c r="D879" s="0" t="n">
        <v>0.8</v>
      </c>
    </row>
    <row r="880" customFormat="false" ht="15" hidden="false" customHeight="false" outlineLevel="0" collapsed="false">
      <c r="A880" s="0" t="s">
        <v>6</v>
      </c>
      <c r="B880" s="0" t="s">
        <v>1832</v>
      </c>
      <c r="C880" s="0" t="s">
        <v>2159</v>
      </c>
    </row>
    <row r="881" customFormat="false" ht="15" hidden="false" customHeight="false" outlineLevel="0" collapsed="false">
      <c r="A881" s="0" t="s">
        <v>6</v>
      </c>
      <c r="B881" s="0" t="s">
        <v>1839</v>
      </c>
      <c r="C881" s="0" t="s">
        <v>1730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6</v>
      </c>
      <c r="B882" s="0" t="s">
        <v>1839</v>
      </c>
      <c r="C882" s="0" t="s">
        <v>1866</v>
      </c>
    </row>
    <row r="883" customFormat="false" ht="15" hidden="false" customHeight="false" outlineLevel="0" collapsed="false">
      <c r="A883" s="0" t="s">
        <v>6</v>
      </c>
      <c r="B883" s="0" t="s">
        <v>1839</v>
      </c>
      <c r="C883" s="0" t="s">
        <v>2159</v>
      </c>
    </row>
    <row r="884" customFormat="false" ht="15" hidden="false" customHeight="false" outlineLevel="0" collapsed="false">
      <c r="A884" s="0" t="s">
        <v>6</v>
      </c>
      <c r="B884" s="0" t="s">
        <v>1845</v>
      </c>
      <c r="C884" s="0" t="s">
        <v>1730</v>
      </c>
      <c r="D884" s="0" t="n">
        <v>3500</v>
      </c>
    </row>
    <row r="885" customFormat="false" ht="15" hidden="false" customHeight="false" outlineLevel="0" collapsed="false">
      <c r="A885" s="0" t="s">
        <v>6</v>
      </c>
      <c r="B885" s="0" t="s">
        <v>1845</v>
      </c>
      <c r="C885" s="0" t="s">
        <v>1866</v>
      </c>
    </row>
    <row r="886" customFormat="false" ht="15" hidden="false" customHeight="false" outlineLevel="0" collapsed="false">
      <c r="A886" s="0" t="s">
        <v>6</v>
      </c>
      <c r="B886" s="0" t="s">
        <v>1845</v>
      </c>
      <c r="C886" s="0" t="s">
        <v>2159</v>
      </c>
    </row>
    <row r="887" customFormat="false" ht="15" hidden="false" customHeight="false" outlineLevel="0" collapsed="false">
      <c r="A887" s="0" t="s">
        <v>6</v>
      </c>
      <c r="B887" s="0" t="s">
        <v>1852</v>
      </c>
      <c r="C887" s="0" t="s">
        <v>1730</v>
      </c>
      <c r="D887" s="0" t="n">
        <v>0.125</v>
      </c>
    </row>
    <row r="888" customFormat="false" ht="15" hidden="false" customHeight="false" outlineLevel="0" collapsed="false">
      <c r="A888" s="0" t="s">
        <v>6</v>
      </c>
      <c r="B888" s="0" t="s">
        <v>1852</v>
      </c>
      <c r="C888" s="0" t="s">
        <v>1866</v>
      </c>
    </row>
    <row r="889" customFormat="false" ht="15" hidden="false" customHeight="false" outlineLevel="0" collapsed="false">
      <c r="A889" s="0" t="s">
        <v>6</v>
      </c>
      <c r="B889" s="0" t="s">
        <v>1852</v>
      </c>
      <c r="C889" s="0" t="s">
        <v>2159</v>
      </c>
    </row>
    <row r="890" customFormat="false" ht="15" hidden="false" customHeight="false" outlineLevel="0" collapsed="false">
      <c r="A890" s="0" t="s">
        <v>6</v>
      </c>
      <c r="B890" s="0" t="s">
        <v>1859</v>
      </c>
      <c r="C890" s="0" t="s">
        <v>1730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6</v>
      </c>
      <c r="B891" s="0" t="s">
        <v>1859</v>
      </c>
      <c r="C891" s="0" t="s">
        <v>1866</v>
      </c>
    </row>
    <row r="892" customFormat="false" ht="15" hidden="false" customHeight="false" outlineLevel="0" collapsed="false">
      <c r="A892" s="0" t="s">
        <v>6</v>
      </c>
      <c r="B892" s="0" t="s">
        <v>1859</v>
      </c>
      <c r="C892" s="0" t="s">
        <v>2159</v>
      </c>
    </row>
    <row r="893" customFormat="false" ht="15" hidden="false" customHeight="false" outlineLevel="0" collapsed="false">
      <c r="A893" s="0" t="s">
        <v>6</v>
      </c>
      <c r="B893" s="0" t="s">
        <v>1864</v>
      </c>
      <c r="C893" s="0" t="s">
        <v>1730</v>
      </c>
      <c r="D893" s="0" t="n">
        <v>65</v>
      </c>
    </row>
    <row r="894" customFormat="false" ht="15" hidden="false" customHeight="false" outlineLevel="0" collapsed="false">
      <c r="A894" s="0" t="s">
        <v>6</v>
      </c>
      <c r="B894" s="0" t="s">
        <v>1864</v>
      </c>
      <c r="C894" s="0" t="s">
        <v>1866</v>
      </c>
    </row>
    <row r="895" customFormat="false" ht="15" hidden="false" customHeight="false" outlineLevel="0" collapsed="false">
      <c r="A895" s="0" t="s">
        <v>6</v>
      </c>
      <c r="B895" s="0" t="s">
        <v>1864</v>
      </c>
      <c r="C895" s="0" t="s">
        <v>2159</v>
      </c>
    </row>
    <row r="896" customFormat="false" ht="15" hidden="false" customHeight="false" outlineLevel="0" collapsed="false">
      <c r="A896" s="0" t="s">
        <v>6</v>
      </c>
      <c r="B896" s="0" t="s">
        <v>1869</v>
      </c>
      <c r="C896" s="0" t="s">
        <v>1730</v>
      </c>
      <c r="D896" s="0" t="n">
        <v>965</v>
      </c>
    </row>
    <row r="897" customFormat="false" ht="15" hidden="false" customHeight="false" outlineLevel="0" collapsed="false">
      <c r="A897" s="0" t="s">
        <v>6</v>
      </c>
      <c r="B897" s="0" t="s">
        <v>1869</v>
      </c>
      <c r="C897" s="0" t="s">
        <v>1866</v>
      </c>
    </row>
    <row r="898" customFormat="false" ht="15" hidden="false" customHeight="false" outlineLevel="0" collapsed="false">
      <c r="A898" s="0" t="s">
        <v>6</v>
      </c>
      <c r="B898" s="0" t="s">
        <v>1869</v>
      </c>
      <c r="C898" s="0" t="s">
        <v>2159</v>
      </c>
    </row>
    <row r="899" customFormat="false" ht="15" hidden="false" customHeight="false" outlineLevel="0" collapsed="false">
      <c r="A899" s="0" t="s">
        <v>6</v>
      </c>
      <c r="B899" s="0" t="s">
        <v>1876</v>
      </c>
      <c r="C899" s="0" t="s">
        <v>1730</v>
      </c>
      <c r="D899" s="0" t="n">
        <v>15</v>
      </c>
    </row>
    <row r="900" customFormat="false" ht="15" hidden="false" customHeight="false" outlineLevel="0" collapsed="false">
      <c r="A900" s="0" t="s">
        <v>6</v>
      </c>
      <c r="B900" s="0" t="s">
        <v>1876</v>
      </c>
      <c r="C900" s="0" t="s">
        <v>1866</v>
      </c>
    </row>
    <row r="901" customFormat="false" ht="15" hidden="false" customHeight="false" outlineLevel="0" collapsed="false">
      <c r="A901" s="0" t="s">
        <v>6</v>
      </c>
      <c r="B901" s="0" t="s">
        <v>1876</v>
      </c>
      <c r="C901" s="0" t="s">
        <v>2159</v>
      </c>
    </row>
    <row r="902" customFormat="false" ht="15" hidden="false" customHeight="false" outlineLevel="0" collapsed="false">
      <c r="A902" s="0" t="s">
        <v>6</v>
      </c>
      <c r="B902" s="0" t="s">
        <v>1880</v>
      </c>
      <c r="C902" s="0" t="s">
        <v>1730</v>
      </c>
    </row>
    <row r="903" customFormat="false" ht="15" hidden="false" customHeight="false" outlineLevel="0" collapsed="false">
      <c r="A903" s="0" t="s">
        <v>6</v>
      </c>
      <c r="B903" s="0" t="s">
        <v>1880</v>
      </c>
      <c r="C903" s="0" t="s">
        <v>1866</v>
      </c>
    </row>
    <row r="904" customFormat="false" ht="15" hidden="false" customHeight="false" outlineLevel="0" collapsed="false">
      <c r="A904" s="0" t="s">
        <v>6</v>
      </c>
      <c r="B904" s="0" t="s">
        <v>1880</v>
      </c>
      <c r="C904" s="0" t="s">
        <v>2159</v>
      </c>
    </row>
    <row r="905" customFormat="false" ht="15" hidden="false" customHeight="false" outlineLevel="0" collapsed="false">
      <c r="A905" s="0" t="s">
        <v>6</v>
      </c>
      <c r="B905" s="0" t="s">
        <v>1885</v>
      </c>
      <c r="C905" s="0" t="s">
        <v>1730</v>
      </c>
      <c r="D905" s="0" t="n">
        <v>30</v>
      </c>
    </row>
    <row r="906" customFormat="false" ht="15" hidden="false" customHeight="false" outlineLevel="0" collapsed="false">
      <c r="A906" s="0" t="s">
        <v>6</v>
      </c>
      <c r="B906" s="0" t="s">
        <v>1885</v>
      </c>
      <c r="C906" s="0" t="s">
        <v>1866</v>
      </c>
    </row>
    <row r="907" customFormat="false" ht="15" hidden="false" customHeight="false" outlineLevel="0" collapsed="false">
      <c r="A907" s="0" t="s">
        <v>6</v>
      </c>
      <c r="B907" s="0" t="s">
        <v>1885</v>
      </c>
      <c r="C907" s="0" t="s">
        <v>2159</v>
      </c>
    </row>
    <row r="908" customFormat="false" ht="15" hidden="false" customHeight="false" outlineLevel="0" collapsed="false">
      <c r="A908" s="0" t="s">
        <v>6</v>
      </c>
      <c r="B908" s="0" t="s">
        <v>1892</v>
      </c>
      <c r="C908" s="0" t="s">
        <v>1730</v>
      </c>
      <c r="D908" s="0" t="n">
        <v>380</v>
      </c>
    </row>
    <row r="909" customFormat="false" ht="15" hidden="false" customHeight="false" outlineLevel="0" collapsed="false">
      <c r="A909" s="0" t="s">
        <v>6</v>
      </c>
      <c r="B909" s="0" t="s">
        <v>1892</v>
      </c>
      <c r="C909" s="0" t="s">
        <v>1866</v>
      </c>
    </row>
    <row r="910" customFormat="false" ht="15" hidden="false" customHeight="false" outlineLevel="0" collapsed="false">
      <c r="A910" s="0" t="s">
        <v>6</v>
      </c>
      <c r="B910" s="0" t="s">
        <v>1892</v>
      </c>
      <c r="C910" s="0" t="s">
        <v>2159</v>
      </c>
    </row>
    <row r="911" customFormat="false" ht="15" hidden="false" customHeight="false" outlineLevel="0" collapsed="false">
      <c r="A911" s="0" t="s">
        <v>6</v>
      </c>
      <c r="B911" s="0" t="s">
        <v>1896</v>
      </c>
      <c r="C911" s="0" t="s">
        <v>1730</v>
      </c>
      <c r="D911" s="0" t="n">
        <v>125</v>
      </c>
    </row>
    <row r="912" customFormat="false" ht="15" hidden="false" customHeight="false" outlineLevel="0" collapsed="false">
      <c r="A912" s="0" t="s">
        <v>6</v>
      </c>
      <c r="B912" s="0" t="s">
        <v>1896</v>
      </c>
      <c r="C912" s="0" t="s">
        <v>1866</v>
      </c>
      <c r="D912" s="0" t="n">
        <v>125</v>
      </c>
    </row>
    <row r="913" customFormat="false" ht="15" hidden="false" customHeight="false" outlineLevel="0" collapsed="false">
      <c r="A913" s="0" t="s">
        <v>6</v>
      </c>
      <c r="B913" s="0" t="s">
        <v>1896</v>
      </c>
      <c r="C913" s="0" t="s">
        <v>2159</v>
      </c>
    </row>
    <row r="914" customFormat="false" ht="15" hidden="false" customHeight="false" outlineLevel="0" collapsed="false">
      <c r="A914" s="0" t="s">
        <v>6</v>
      </c>
      <c r="B914" s="0" t="s">
        <v>1902</v>
      </c>
      <c r="C914" s="0" t="s">
        <v>1730</v>
      </c>
      <c r="D914" s="0" t="n">
        <v>20.28</v>
      </c>
    </row>
    <row r="915" customFormat="false" ht="15" hidden="false" customHeight="false" outlineLevel="0" collapsed="false">
      <c r="A915" s="0" t="s">
        <v>6</v>
      </c>
      <c r="B915" s="0" t="s">
        <v>1902</v>
      </c>
      <c r="C915" s="0" t="s">
        <v>1866</v>
      </c>
    </row>
    <row r="916" customFormat="false" ht="15" hidden="false" customHeight="false" outlineLevel="0" collapsed="false">
      <c r="A916" s="0" t="s">
        <v>6</v>
      </c>
      <c r="B916" s="0" t="s">
        <v>1902</v>
      </c>
      <c r="C916" s="0" t="s">
        <v>2159</v>
      </c>
    </row>
    <row r="917" customFormat="false" ht="15" hidden="false" customHeight="false" outlineLevel="0" collapsed="false">
      <c r="A917" s="0" t="s">
        <v>6</v>
      </c>
      <c r="B917" s="0" t="s">
        <v>1907</v>
      </c>
      <c r="C917" s="0" t="s">
        <v>1730</v>
      </c>
      <c r="D917" s="0" t="n">
        <v>15</v>
      </c>
    </row>
    <row r="918" customFormat="false" ht="15" hidden="false" customHeight="false" outlineLevel="0" collapsed="false">
      <c r="A918" s="0" t="s">
        <v>6</v>
      </c>
      <c r="B918" s="0" t="s">
        <v>1907</v>
      </c>
      <c r="C918" s="0" t="s">
        <v>1866</v>
      </c>
    </row>
    <row r="919" customFormat="false" ht="15" hidden="false" customHeight="false" outlineLevel="0" collapsed="false">
      <c r="A919" s="0" t="s">
        <v>6</v>
      </c>
      <c r="B919" s="0" t="s">
        <v>1907</v>
      </c>
      <c r="C919" s="0" t="s">
        <v>2159</v>
      </c>
    </row>
    <row r="920" customFormat="false" ht="15" hidden="false" customHeight="false" outlineLevel="0" collapsed="false">
      <c r="A920" s="0" t="s">
        <v>6</v>
      </c>
      <c r="B920" s="0" t="s">
        <v>1913</v>
      </c>
      <c r="C920" s="0" t="s">
        <v>1730</v>
      </c>
      <c r="D920" s="0" t="n">
        <v>71</v>
      </c>
    </row>
    <row r="921" customFormat="false" ht="15" hidden="false" customHeight="false" outlineLevel="0" collapsed="false">
      <c r="A921" s="0" t="s">
        <v>6</v>
      </c>
      <c r="B921" s="0" t="s">
        <v>1913</v>
      </c>
      <c r="C921" s="0" t="s">
        <v>1866</v>
      </c>
      <c r="D921" s="0" t="n">
        <v>71</v>
      </c>
    </row>
    <row r="922" customFormat="false" ht="15" hidden="false" customHeight="false" outlineLevel="0" collapsed="false">
      <c r="A922" s="0" t="s">
        <v>6</v>
      </c>
      <c r="B922" s="0" t="s">
        <v>1913</v>
      </c>
      <c r="C922" s="0" t="s">
        <v>2159</v>
      </c>
    </row>
    <row r="923" customFormat="false" ht="15" hidden="false" customHeight="false" outlineLevel="0" collapsed="false">
      <c r="A923" s="0" t="s">
        <v>6</v>
      </c>
      <c r="B923" s="0" t="s">
        <v>1918</v>
      </c>
      <c r="C923" s="0" t="s">
        <v>1730</v>
      </c>
    </row>
    <row r="924" customFormat="false" ht="15" hidden="false" customHeight="false" outlineLevel="0" collapsed="false">
      <c r="A924" s="0" t="s">
        <v>6</v>
      </c>
      <c r="B924" s="0" t="s">
        <v>1918</v>
      </c>
      <c r="C924" s="0" t="s">
        <v>1866</v>
      </c>
    </row>
    <row r="925" customFormat="false" ht="15" hidden="false" customHeight="false" outlineLevel="0" collapsed="false">
      <c r="A925" s="0" t="s">
        <v>6</v>
      </c>
      <c r="B925" s="0" t="s">
        <v>1918</v>
      </c>
      <c r="C925" s="0" t="s">
        <v>2159</v>
      </c>
    </row>
    <row r="926" customFormat="false" ht="15" hidden="false" customHeight="false" outlineLevel="0" collapsed="false">
      <c r="A926" s="0" t="s">
        <v>6</v>
      </c>
      <c r="B926" s="0" t="s">
        <v>1925</v>
      </c>
      <c r="C926" s="0" t="s">
        <v>1730</v>
      </c>
    </row>
    <row r="927" customFormat="false" ht="15" hidden="false" customHeight="false" outlineLevel="0" collapsed="false">
      <c r="A927" s="0" t="s">
        <v>6</v>
      </c>
      <c r="B927" s="0" t="s">
        <v>1925</v>
      </c>
      <c r="C927" s="0" t="s">
        <v>1866</v>
      </c>
    </row>
    <row r="928" customFormat="false" ht="15" hidden="false" customHeight="false" outlineLevel="0" collapsed="false">
      <c r="A928" s="0" t="s">
        <v>6</v>
      </c>
      <c r="B928" s="0" t="s">
        <v>1925</v>
      </c>
      <c r="C928" s="0" t="s">
        <v>2159</v>
      </c>
    </row>
    <row r="929" customFormat="false" ht="15" hidden="false" customHeight="false" outlineLevel="0" collapsed="false">
      <c r="A929" s="0" t="s">
        <v>6</v>
      </c>
      <c r="B929" s="0" t="s">
        <v>1932</v>
      </c>
      <c r="C929" s="0" t="s">
        <v>1730</v>
      </c>
      <c r="D929" s="0" t="n">
        <v>2000</v>
      </c>
    </row>
    <row r="930" customFormat="false" ht="15" hidden="false" customHeight="false" outlineLevel="0" collapsed="false">
      <c r="A930" s="0" t="s">
        <v>6</v>
      </c>
      <c r="B930" s="0" t="s">
        <v>1932</v>
      </c>
      <c r="C930" s="0" t="s">
        <v>1866</v>
      </c>
      <c r="D930" s="0" t="n">
        <v>2000</v>
      </c>
    </row>
    <row r="931" customFormat="false" ht="15" hidden="false" customHeight="false" outlineLevel="0" collapsed="false">
      <c r="A931" s="0" t="s">
        <v>6</v>
      </c>
      <c r="B931" s="0" t="s">
        <v>1932</v>
      </c>
      <c r="C931" s="0" t="s">
        <v>2159</v>
      </c>
    </row>
    <row r="932" customFormat="false" ht="15" hidden="false" customHeight="false" outlineLevel="0" collapsed="false">
      <c r="A932" s="0" t="s">
        <v>6</v>
      </c>
      <c r="B932" s="0" t="s">
        <v>1939</v>
      </c>
      <c r="C932" s="0" t="s">
        <v>1730</v>
      </c>
      <c r="D932" s="0" t="n">
        <v>50.1</v>
      </c>
    </row>
    <row r="933" customFormat="false" ht="15" hidden="false" customHeight="false" outlineLevel="0" collapsed="false">
      <c r="A933" s="0" t="s">
        <v>6</v>
      </c>
      <c r="B933" s="0" t="s">
        <v>1939</v>
      </c>
      <c r="C933" s="0" t="s">
        <v>1866</v>
      </c>
    </row>
    <row r="934" customFormat="false" ht="15" hidden="false" customHeight="false" outlineLevel="0" collapsed="false">
      <c r="A934" s="0" t="s">
        <v>6</v>
      </c>
      <c r="B934" s="0" t="s">
        <v>1939</v>
      </c>
      <c r="C934" s="0" t="s">
        <v>2159</v>
      </c>
    </row>
    <row r="935" customFormat="false" ht="15" hidden="false" customHeight="false" outlineLevel="0" collapsed="false">
      <c r="A935" s="0" t="s">
        <v>6</v>
      </c>
      <c r="B935" s="0" t="s">
        <v>1944</v>
      </c>
      <c r="C935" s="0" t="s">
        <v>1730</v>
      </c>
      <c r="D935" s="0" t="n">
        <v>13</v>
      </c>
    </row>
    <row r="936" customFormat="false" ht="15" hidden="false" customHeight="false" outlineLevel="0" collapsed="false">
      <c r="A936" s="0" t="s">
        <v>6</v>
      </c>
      <c r="B936" s="0" t="s">
        <v>1944</v>
      </c>
      <c r="C936" s="0" t="s">
        <v>1866</v>
      </c>
    </row>
    <row r="937" customFormat="false" ht="15" hidden="false" customHeight="false" outlineLevel="0" collapsed="false">
      <c r="A937" s="0" t="s">
        <v>6</v>
      </c>
      <c r="B937" s="0" t="s">
        <v>1944</v>
      </c>
      <c r="C937" s="0" t="s">
        <v>2159</v>
      </c>
    </row>
    <row r="938" customFormat="false" ht="15" hidden="false" customHeight="false" outlineLevel="0" collapsed="false">
      <c r="A938" s="0" t="s">
        <v>6</v>
      </c>
      <c r="B938" s="0" t="s">
        <v>1948</v>
      </c>
      <c r="C938" s="0" t="s">
        <v>1730</v>
      </c>
      <c r="D938" s="0" t="n">
        <v>183</v>
      </c>
    </row>
    <row r="939" customFormat="false" ht="15" hidden="false" customHeight="false" outlineLevel="0" collapsed="false">
      <c r="A939" s="0" t="s">
        <v>6</v>
      </c>
      <c r="B939" s="0" t="s">
        <v>1948</v>
      </c>
      <c r="C939" s="0" t="s">
        <v>1866</v>
      </c>
    </row>
    <row r="940" customFormat="false" ht="15" hidden="false" customHeight="false" outlineLevel="0" collapsed="false">
      <c r="A940" s="0" t="s">
        <v>6</v>
      </c>
      <c r="B940" s="0" t="s">
        <v>1948</v>
      </c>
      <c r="C940" s="0" t="s">
        <v>2159</v>
      </c>
    </row>
    <row r="941" customFormat="false" ht="15" hidden="false" customHeight="false" outlineLevel="0" collapsed="false">
      <c r="A941" s="0" t="s">
        <v>6</v>
      </c>
      <c r="B941" s="0" t="s">
        <v>1952</v>
      </c>
      <c r="C941" s="0" t="s">
        <v>1730</v>
      </c>
      <c r="D941" s="0" t="n">
        <v>3.5</v>
      </c>
    </row>
    <row r="942" customFormat="false" ht="15" hidden="false" customHeight="false" outlineLevel="0" collapsed="false">
      <c r="A942" s="0" t="s">
        <v>6</v>
      </c>
      <c r="B942" s="0" t="s">
        <v>1952</v>
      </c>
      <c r="C942" s="0" t="s">
        <v>1866</v>
      </c>
    </row>
    <row r="943" customFormat="false" ht="15" hidden="false" customHeight="false" outlineLevel="0" collapsed="false">
      <c r="A943" s="0" t="s">
        <v>6</v>
      </c>
      <c r="B943" s="0" t="s">
        <v>1952</v>
      </c>
      <c r="C943" s="0" t="s">
        <v>2159</v>
      </c>
    </row>
    <row r="944" customFormat="false" ht="15" hidden="false" customHeight="false" outlineLevel="0" collapsed="false">
      <c r="A944" s="0" t="s">
        <v>6</v>
      </c>
      <c r="B944" s="0" t="s">
        <v>1959</v>
      </c>
      <c r="C944" s="0" t="s">
        <v>1730</v>
      </c>
      <c r="D944" s="0" t="n">
        <v>61.5</v>
      </c>
    </row>
    <row r="945" customFormat="false" ht="15" hidden="false" customHeight="false" outlineLevel="0" collapsed="false">
      <c r="A945" s="0" t="s">
        <v>6</v>
      </c>
      <c r="B945" s="0" t="s">
        <v>1959</v>
      </c>
      <c r="C945" s="0" t="s">
        <v>1866</v>
      </c>
    </row>
    <row r="946" customFormat="false" ht="15" hidden="false" customHeight="false" outlineLevel="0" collapsed="false">
      <c r="A946" s="0" t="s">
        <v>6</v>
      </c>
      <c r="B946" s="0" t="s">
        <v>1959</v>
      </c>
      <c r="C946" s="0" t="s">
        <v>2159</v>
      </c>
    </row>
    <row r="947" customFormat="false" ht="15" hidden="false" customHeight="false" outlineLevel="0" collapsed="false">
      <c r="A947" s="0" t="s">
        <v>6</v>
      </c>
      <c r="B947" s="0" t="s">
        <v>1964</v>
      </c>
      <c r="C947" s="0" t="s">
        <v>1730</v>
      </c>
    </row>
    <row r="948" customFormat="false" ht="15" hidden="false" customHeight="false" outlineLevel="0" collapsed="false">
      <c r="A948" s="0" t="s">
        <v>6</v>
      </c>
      <c r="B948" s="0" t="s">
        <v>1964</v>
      </c>
      <c r="C948" s="0" t="s">
        <v>1866</v>
      </c>
    </row>
    <row r="949" customFormat="false" ht="15" hidden="false" customHeight="false" outlineLevel="0" collapsed="false">
      <c r="A949" s="0" t="s">
        <v>6</v>
      </c>
      <c r="B949" s="0" t="s">
        <v>1964</v>
      </c>
      <c r="C949" s="0" t="s">
        <v>2159</v>
      </c>
    </row>
    <row r="950" customFormat="false" ht="15" hidden="false" customHeight="false" outlineLevel="0" collapsed="false">
      <c r="A950" s="0" t="s">
        <v>6</v>
      </c>
      <c r="B950" s="0" t="s">
        <v>1968</v>
      </c>
      <c r="C950" s="0" t="s">
        <v>1730</v>
      </c>
      <c r="D950" s="0" t="n">
        <v>8</v>
      </c>
    </row>
    <row r="951" customFormat="false" ht="15" hidden="false" customHeight="false" outlineLevel="0" collapsed="false">
      <c r="A951" s="0" t="s">
        <v>6</v>
      </c>
      <c r="B951" s="0" t="s">
        <v>1968</v>
      </c>
      <c r="C951" s="0" t="s">
        <v>1866</v>
      </c>
    </row>
    <row r="952" customFormat="false" ht="15" hidden="false" customHeight="false" outlineLevel="0" collapsed="false">
      <c r="A952" s="0" t="s">
        <v>6</v>
      </c>
      <c r="B952" s="0" t="s">
        <v>1968</v>
      </c>
      <c r="C952" s="0" t="s">
        <v>2159</v>
      </c>
    </row>
    <row r="953" customFormat="false" ht="15" hidden="false" customHeight="false" outlineLevel="0" collapsed="false">
      <c r="A953" s="0" t="s">
        <v>6</v>
      </c>
      <c r="B953" s="0" t="s">
        <v>1975</v>
      </c>
      <c r="C953" s="0" t="s">
        <v>1730</v>
      </c>
      <c r="D953" s="0" t="n">
        <v>4</v>
      </c>
    </row>
    <row r="954" customFormat="false" ht="15" hidden="false" customHeight="false" outlineLevel="0" collapsed="false">
      <c r="A954" s="0" t="s">
        <v>6</v>
      </c>
      <c r="B954" s="0" t="s">
        <v>1975</v>
      </c>
      <c r="C954" s="0" t="s">
        <v>1866</v>
      </c>
    </row>
    <row r="955" customFormat="false" ht="15" hidden="false" customHeight="false" outlineLevel="0" collapsed="false">
      <c r="A955" s="0" t="s">
        <v>6</v>
      </c>
      <c r="B955" s="0" t="s">
        <v>1975</v>
      </c>
      <c r="C955" s="0" t="s">
        <v>2159</v>
      </c>
    </row>
    <row r="956" customFormat="false" ht="15" hidden="false" customHeight="false" outlineLevel="0" collapsed="false">
      <c r="A956" s="0" t="s">
        <v>6</v>
      </c>
      <c r="B956" s="0" t="s">
        <v>1982</v>
      </c>
      <c r="C956" s="0" t="s">
        <v>1730</v>
      </c>
      <c r="D956" s="0" t="n">
        <v>5</v>
      </c>
    </row>
    <row r="957" customFormat="false" ht="15" hidden="false" customHeight="false" outlineLevel="0" collapsed="false">
      <c r="A957" s="0" t="s">
        <v>6</v>
      </c>
      <c r="B957" s="0" t="s">
        <v>1982</v>
      </c>
      <c r="C957" s="0" t="s">
        <v>1866</v>
      </c>
    </row>
    <row r="958" customFormat="false" ht="15" hidden="false" customHeight="false" outlineLevel="0" collapsed="false">
      <c r="A958" s="0" t="s">
        <v>6</v>
      </c>
      <c r="B958" s="0" t="s">
        <v>1982</v>
      </c>
      <c r="C958" s="0" t="s">
        <v>2159</v>
      </c>
    </row>
    <row r="959" customFormat="false" ht="15" hidden="false" customHeight="false" outlineLevel="0" collapsed="false">
      <c r="A959" s="0" t="s">
        <v>6</v>
      </c>
      <c r="B959" s="0" t="s">
        <v>1989</v>
      </c>
      <c r="C959" s="0" t="s">
        <v>1730</v>
      </c>
      <c r="D959" s="0" t="n">
        <v>5</v>
      </c>
    </row>
    <row r="960" customFormat="false" ht="15" hidden="false" customHeight="false" outlineLevel="0" collapsed="false">
      <c r="A960" s="0" t="s">
        <v>6</v>
      </c>
      <c r="B960" s="0" t="s">
        <v>1989</v>
      </c>
      <c r="C960" s="0" t="s">
        <v>1866</v>
      </c>
    </row>
    <row r="961" customFormat="false" ht="15" hidden="false" customHeight="false" outlineLevel="0" collapsed="false">
      <c r="A961" s="0" t="s">
        <v>6</v>
      </c>
      <c r="B961" s="0" t="s">
        <v>1989</v>
      </c>
      <c r="C961" s="0" t="s">
        <v>2159</v>
      </c>
    </row>
    <row r="962" customFormat="false" ht="15" hidden="false" customHeight="false" outlineLevel="0" collapsed="false">
      <c r="A962" s="0" t="s">
        <v>6</v>
      </c>
      <c r="B962" s="0" t="s">
        <v>1993</v>
      </c>
      <c r="C962" s="0" t="s">
        <v>1730</v>
      </c>
      <c r="D962" s="0" t="n">
        <v>20</v>
      </c>
    </row>
    <row r="963" customFormat="false" ht="15" hidden="false" customHeight="false" outlineLevel="0" collapsed="false">
      <c r="A963" s="0" t="s">
        <v>6</v>
      </c>
      <c r="B963" s="0" t="s">
        <v>1993</v>
      </c>
      <c r="C963" s="0" t="s">
        <v>1866</v>
      </c>
    </row>
    <row r="964" customFormat="false" ht="15" hidden="false" customHeight="false" outlineLevel="0" collapsed="false">
      <c r="A964" s="0" t="s">
        <v>6</v>
      </c>
      <c r="B964" s="0" t="s">
        <v>1993</v>
      </c>
      <c r="C964" s="0" t="s">
        <v>2159</v>
      </c>
    </row>
    <row r="965" customFormat="false" ht="15" hidden="false" customHeight="false" outlineLevel="0" collapsed="false">
      <c r="A965" s="0" t="s">
        <v>6</v>
      </c>
      <c r="B965" s="0" t="s">
        <v>1998</v>
      </c>
      <c r="C965" s="0" t="s">
        <v>1730</v>
      </c>
      <c r="D965" s="0" t="n">
        <v>15</v>
      </c>
    </row>
    <row r="966" customFormat="false" ht="15" hidden="false" customHeight="false" outlineLevel="0" collapsed="false">
      <c r="A966" s="0" t="s">
        <v>6</v>
      </c>
      <c r="B966" s="0" t="s">
        <v>1998</v>
      </c>
      <c r="C966" s="0" t="s">
        <v>1866</v>
      </c>
    </row>
    <row r="967" customFormat="false" ht="15" hidden="false" customHeight="false" outlineLevel="0" collapsed="false">
      <c r="A967" s="0" t="s">
        <v>6</v>
      </c>
      <c r="B967" s="0" t="s">
        <v>1998</v>
      </c>
      <c r="C967" s="0" t="s">
        <v>2159</v>
      </c>
    </row>
    <row r="968" customFormat="false" ht="15" hidden="false" customHeight="false" outlineLevel="0" collapsed="false">
      <c r="A968" s="0" t="s">
        <v>6</v>
      </c>
      <c r="B968" s="0" t="s">
        <v>2002</v>
      </c>
      <c r="C968" s="0" t="s">
        <v>1730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6</v>
      </c>
      <c r="B969" s="0" t="s">
        <v>2002</v>
      </c>
      <c r="C969" s="0" t="s">
        <v>1866</v>
      </c>
    </row>
    <row r="970" customFormat="false" ht="15" hidden="false" customHeight="false" outlineLevel="0" collapsed="false">
      <c r="A970" s="0" t="s">
        <v>6</v>
      </c>
      <c r="B970" s="0" t="s">
        <v>2002</v>
      </c>
      <c r="C970" s="0" t="s">
        <v>2159</v>
      </c>
    </row>
    <row r="971" customFormat="false" ht="15" hidden="false" customHeight="false" outlineLevel="0" collapsed="false">
      <c r="A971" s="0" t="s">
        <v>6</v>
      </c>
      <c r="B971" s="0" t="s">
        <v>2007</v>
      </c>
      <c r="C971" s="0" t="s">
        <v>1730</v>
      </c>
      <c r="D971" s="0" t="n">
        <v>25</v>
      </c>
    </row>
    <row r="972" customFormat="false" ht="15" hidden="false" customHeight="false" outlineLevel="0" collapsed="false">
      <c r="A972" s="0" t="s">
        <v>6</v>
      </c>
      <c r="B972" s="0" t="s">
        <v>2007</v>
      </c>
      <c r="C972" s="0" t="s">
        <v>1866</v>
      </c>
      <c r="D972" s="0" t="n">
        <v>5</v>
      </c>
    </row>
    <row r="973" customFormat="false" ht="15" hidden="false" customHeight="false" outlineLevel="0" collapsed="false">
      <c r="A973" s="0" t="s">
        <v>6</v>
      </c>
      <c r="B973" s="0" t="s">
        <v>2007</v>
      </c>
      <c r="C973" s="0" t="s">
        <v>2159</v>
      </c>
      <c r="D973" s="0" t="n">
        <v>25</v>
      </c>
    </row>
    <row r="974" customFormat="false" ht="15" hidden="false" customHeight="false" outlineLevel="0" collapsed="false">
      <c r="A974" s="0" t="s">
        <v>6</v>
      </c>
      <c r="B974" s="0" t="s">
        <v>2014</v>
      </c>
      <c r="C974" s="0" t="s">
        <v>1730</v>
      </c>
      <c r="D974" s="0" t="n">
        <v>92.5</v>
      </c>
    </row>
    <row r="975" customFormat="false" ht="15" hidden="false" customHeight="false" outlineLevel="0" collapsed="false">
      <c r="A975" s="0" t="s">
        <v>6</v>
      </c>
      <c r="B975" s="0" t="s">
        <v>2014</v>
      </c>
      <c r="C975" s="0" t="s">
        <v>1866</v>
      </c>
    </row>
    <row r="976" customFormat="false" ht="15" hidden="false" customHeight="false" outlineLevel="0" collapsed="false">
      <c r="A976" s="0" t="s">
        <v>6</v>
      </c>
      <c r="B976" s="0" t="s">
        <v>2014</v>
      </c>
      <c r="C976" s="0" t="s">
        <v>2159</v>
      </c>
    </row>
    <row r="977" customFormat="false" ht="15" hidden="false" customHeight="false" outlineLevel="0" collapsed="false">
      <c r="A977" s="0" t="s">
        <v>6</v>
      </c>
      <c r="B977" s="0" t="s">
        <v>2018</v>
      </c>
      <c r="C977" s="0" t="s">
        <v>1730</v>
      </c>
      <c r="D977" s="0" t="n">
        <v>97.9</v>
      </c>
    </row>
    <row r="978" customFormat="false" ht="15" hidden="false" customHeight="false" outlineLevel="0" collapsed="false">
      <c r="A978" s="0" t="s">
        <v>6</v>
      </c>
      <c r="B978" s="0" t="s">
        <v>2018</v>
      </c>
      <c r="C978" s="0" t="s">
        <v>1866</v>
      </c>
    </row>
    <row r="979" customFormat="false" ht="15" hidden="false" customHeight="false" outlineLevel="0" collapsed="false">
      <c r="A979" s="0" t="s">
        <v>6</v>
      </c>
      <c r="B979" s="0" t="s">
        <v>2018</v>
      </c>
      <c r="C979" s="0" t="s">
        <v>2159</v>
      </c>
    </row>
    <row r="980" customFormat="false" ht="15" hidden="false" customHeight="false" outlineLevel="0" collapsed="false">
      <c r="A980" s="0" t="s">
        <v>6</v>
      </c>
      <c r="B980" s="0" t="s">
        <v>2022</v>
      </c>
      <c r="C980" s="0" t="s">
        <v>1730</v>
      </c>
      <c r="D980" s="0" t="n">
        <v>3</v>
      </c>
    </row>
    <row r="981" customFormat="false" ht="15" hidden="false" customHeight="false" outlineLevel="0" collapsed="false">
      <c r="A981" s="0" t="s">
        <v>6</v>
      </c>
      <c r="B981" s="0" t="s">
        <v>2022</v>
      </c>
      <c r="C981" s="0" t="s">
        <v>1866</v>
      </c>
      <c r="D981" s="0" t="n">
        <v>3</v>
      </c>
    </row>
    <row r="982" customFormat="false" ht="15" hidden="false" customHeight="false" outlineLevel="0" collapsed="false">
      <c r="A982" s="0" t="s">
        <v>6</v>
      </c>
      <c r="B982" s="0" t="s">
        <v>2022</v>
      </c>
      <c r="C982" s="0" t="s">
        <v>2159</v>
      </c>
    </row>
    <row r="983" customFormat="false" ht="15" hidden="false" customHeight="false" outlineLevel="0" collapsed="false">
      <c r="A983" s="0" t="s">
        <v>6</v>
      </c>
      <c r="B983" s="0" t="s">
        <v>2030</v>
      </c>
      <c r="C983" s="0" t="s">
        <v>1730</v>
      </c>
      <c r="D983" s="0" t="n">
        <v>10</v>
      </c>
    </row>
    <row r="984" customFormat="false" ht="15" hidden="false" customHeight="false" outlineLevel="0" collapsed="false">
      <c r="A984" s="0" t="s">
        <v>6</v>
      </c>
      <c r="B984" s="0" t="s">
        <v>2030</v>
      </c>
      <c r="C984" s="0" t="s">
        <v>1866</v>
      </c>
    </row>
    <row r="985" customFormat="false" ht="15" hidden="false" customHeight="false" outlineLevel="0" collapsed="false">
      <c r="A985" s="0" t="s">
        <v>6</v>
      </c>
      <c r="B985" s="0" t="s">
        <v>2030</v>
      </c>
      <c r="C985" s="0" t="s">
        <v>2159</v>
      </c>
    </row>
    <row r="986" customFormat="false" ht="15" hidden="false" customHeight="false" outlineLevel="0" collapsed="false">
      <c r="A986" s="0" t="s">
        <v>6</v>
      </c>
      <c r="B986" s="0" t="s">
        <v>2038</v>
      </c>
      <c r="C986" s="0" t="s">
        <v>1730</v>
      </c>
      <c r="D986" s="0" t="n">
        <v>30</v>
      </c>
    </row>
    <row r="987" customFormat="false" ht="15" hidden="false" customHeight="false" outlineLevel="0" collapsed="false">
      <c r="A987" s="0" t="s">
        <v>6</v>
      </c>
      <c r="B987" s="0" t="s">
        <v>2038</v>
      </c>
      <c r="C987" s="0" t="s">
        <v>1866</v>
      </c>
      <c r="D987" s="0" t="n">
        <v>0</v>
      </c>
    </row>
    <row r="988" customFormat="false" ht="15" hidden="false" customHeight="false" outlineLevel="0" collapsed="false">
      <c r="A988" s="0" t="s">
        <v>6</v>
      </c>
      <c r="B988" s="0" t="s">
        <v>2038</v>
      </c>
      <c r="C988" s="0" t="s">
        <v>2159</v>
      </c>
      <c r="D988" s="0" t="n">
        <v>30</v>
      </c>
    </row>
    <row r="989" customFormat="false" ht="15" hidden="false" customHeight="false" outlineLevel="0" collapsed="false">
      <c r="A989" s="0" t="s">
        <v>6</v>
      </c>
      <c r="B989" s="0" t="s">
        <v>2043</v>
      </c>
      <c r="C989" s="0" t="s">
        <v>1730</v>
      </c>
      <c r="D989" s="0" t="n">
        <v>15</v>
      </c>
    </row>
    <row r="990" customFormat="false" ht="15" hidden="false" customHeight="false" outlineLevel="0" collapsed="false">
      <c r="A990" s="0" t="s">
        <v>6</v>
      </c>
      <c r="B990" s="0" t="s">
        <v>2043</v>
      </c>
      <c r="C990" s="0" t="s">
        <v>1866</v>
      </c>
    </row>
    <row r="991" customFormat="false" ht="15" hidden="false" customHeight="false" outlineLevel="0" collapsed="false">
      <c r="A991" s="0" t="s">
        <v>6</v>
      </c>
      <c r="B991" s="0" t="s">
        <v>2043</v>
      </c>
      <c r="C991" s="0" t="s">
        <v>2159</v>
      </c>
      <c r="D991" s="0" t="n">
        <v>15</v>
      </c>
    </row>
    <row r="992" customFormat="false" ht="15" hidden="false" customHeight="false" outlineLevel="0" collapsed="false">
      <c r="A992" s="0" t="s">
        <v>6</v>
      </c>
      <c r="B992" s="0" t="s">
        <v>2049</v>
      </c>
      <c r="C992" s="0" t="s">
        <v>1730</v>
      </c>
      <c r="D992" s="0" t="n">
        <v>5</v>
      </c>
    </row>
    <row r="993" customFormat="false" ht="15" hidden="false" customHeight="false" outlineLevel="0" collapsed="false">
      <c r="A993" s="0" t="s">
        <v>6</v>
      </c>
      <c r="B993" s="0" t="s">
        <v>2049</v>
      </c>
      <c r="C993" s="0" t="s">
        <v>1866</v>
      </c>
    </row>
    <row r="994" customFormat="false" ht="15" hidden="false" customHeight="false" outlineLevel="0" collapsed="false">
      <c r="A994" s="0" t="s">
        <v>6</v>
      </c>
      <c r="B994" s="0" t="s">
        <v>2049</v>
      </c>
      <c r="C994" s="0" t="s">
        <v>2159</v>
      </c>
    </row>
    <row r="995" customFormat="false" ht="15" hidden="false" customHeight="false" outlineLevel="0" collapsed="false">
      <c r="A995" s="0" t="s">
        <v>6</v>
      </c>
      <c r="B995" s="0" t="s">
        <v>2058</v>
      </c>
      <c r="C995" s="0" t="s">
        <v>1730</v>
      </c>
      <c r="D995" s="0" t="n">
        <v>5</v>
      </c>
    </row>
    <row r="996" customFormat="false" ht="15" hidden="false" customHeight="false" outlineLevel="0" collapsed="false">
      <c r="A996" s="0" t="s">
        <v>6</v>
      </c>
      <c r="B996" s="0" t="s">
        <v>2058</v>
      </c>
      <c r="C996" s="0" t="s">
        <v>1866</v>
      </c>
    </row>
    <row r="997" customFormat="false" ht="15" hidden="false" customHeight="false" outlineLevel="0" collapsed="false">
      <c r="A997" s="0" t="s">
        <v>6</v>
      </c>
      <c r="B997" s="0" t="s">
        <v>2058</v>
      </c>
      <c r="C997" s="0" t="s">
        <v>2159</v>
      </c>
      <c r="D997" s="0" t="n">
        <v>5</v>
      </c>
    </row>
    <row r="998" customFormat="false" ht="15" hidden="false" customHeight="false" outlineLevel="0" collapsed="false">
      <c r="A998" s="0" t="s">
        <v>6</v>
      </c>
      <c r="B998" s="0" t="s">
        <v>2062</v>
      </c>
      <c r="C998" s="0" t="s">
        <v>1730</v>
      </c>
      <c r="D998" s="0" t="n">
        <v>10</v>
      </c>
    </row>
    <row r="999" customFormat="false" ht="15" hidden="false" customHeight="false" outlineLevel="0" collapsed="false">
      <c r="A999" s="0" t="s">
        <v>6</v>
      </c>
      <c r="B999" s="0" t="s">
        <v>2062</v>
      </c>
      <c r="C999" s="0" t="s">
        <v>1866</v>
      </c>
    </row>
    <row r="1000" customFormat="false" ht="15" hidden="false" customHeight="false" outlineLevel="0" collapsed="false">
      <c r="A1000" s="0" t="s">
        <v>6</v>
      </c>
      <c r="B1000" s="0" t="s">
        <v>2062</v>
      </c>
      <c r="C1000" s="0" t="s">
        <v>2159</v>
      </c>
      <c r="D1000" s="0" t="n">
        <v>10</v>
      </c>
    </row>
    <row r="1001" customFormat="false" ht="15" hidden="false" customHeight="false" outlineLevel="0" collapsed="false">
      <c r="A1001" s="0" t="s">
        <v>6</v>
      </c>
      <c r="B1001" s="0" t="s">
        <v>2070</v>
      </c>
      <c r="C1001" s="0" t="s">
        <v>1730</v>
      </c>
      <c r="D1001" s="0" t="n">
        <v>56.09</v>
      </c>
    </row>
    <row r="1002" customFormat="false" ht="15" hidden="false" customHeight="false" outlineLevel="0" collapsed="false">
      <c r="A1002" s="0" t="s">
        <v>6</v>
      </c>
      <c r="B1002" s="0" t="s">
        <v>2070</v>
      </c>
      <c r="C1002" s="0" t="s">
        <v>1866</v>
      </c>
    </row>
    <row r="1003" customFormat="false" ht="15" hidden="false" customHeight="false" outlineLevel="0" collapsed="false">
      <c r="A1003" s="0" t="s">
        <v>6</v>
      </c>
      <c r="B1003" s="0" t="s">
        <v>2070</v>
      </c>
      <c r="C1003" s="0" t="s">
        <v>2159</v>
      </c>
    </row>
    <row r="1004" customFormat="false" ht="15" hidden="false" customHeight="false" outlineLevel="0" collapsed="false">
      <c r="A1004" s="0" t="s">
        <v>6</v>
      </c>
      <c r="B1004" s="0" t="s">
        <v>2079</v>
      </c>
      <c r="C1004" s="0" t="s">
        <v>1730</v>
      </c>
    </row>
    <row r="1005" customFormat="false" ht="15" hidden="false" customHeight="false" outlineLevel="0" collapsed="false">
      <c r="A1005" s="0" t="s">
        <v>6</v>
      </c>
      <c r="B1005" s="0" t="s">
        <v>2079</v>
      </c>
      <c r="C1005" s="0" t="s">
        <v>1866</v>
      </c>
      <c r="D1005" s="0" t="n">
        <v>5</v>
      </c>
    </row>
    <row r="1006" customFormat="false" ht="15" hidden="false" customHeight="false" outlineLevel="0" collapsed="false">
      <c r="A1006" s="0" t="s">
        <v>6</v>
      </c>
      <c r="B1006" s="0" t="s">
        <v>2079</v>
      </c>
      <c r="C1006" s="0" t="s">
        <v>2159</v>
      </c>
      <c r="D1006" s="0" t="n">
        <v>6</v>
      </c>
    </row>
    <row r="1007" customFormat="false" ht="15" hidden="false" customHeight="false" outlineLevel="0" collapsed="false">
      <c r="A1007" s="0" t="s">
        <v>6</v>
      </c>
      <c r="B1007" s="0" t="s">
        <v>2086</v>
      </c>
      <c r="C1007" s="0" t="s">
        <v>1730</v>
      </c>
    </row>
    <row r="1008" customFormat="false" ht="15" hidden="false" customHeight="false" outlineLevel="0" collapsed="false">
      <c r="A1008" s="0" t="s">
        <v>6</v>
      </c>
      <c r="B1008" s="0" t="s">
        <v>2086</v>
      </c>
      <c r="C1008" s="0" t="s">
        <v>1866</v>
      </c>
    </row>
    <row r="1009" customFormat="false" ht="15" hidden="false" customHeight="false" outlineLevel="0" collapsed="false">
      <c r="A1009" s="0" t="s">
        <v>6</v>
      </c>
      <c r="B1009" s="0" t="s">
        <v>2086</v>
      </c>
      <c r="C1009" s="0" t="s">
        <v>2159</v>
      </c>
      <c r="D1009" s="0" t="n">
        <v>6</v>
      </c>
    </row>
    <row r="1010" customFormat="false" ht="15" hidden="false" customHeight="false" outlineLevel="0" collapsed="false">
      <c r="A1010" s="0" t="s">
        <v>6</v>
      </c>
      <c r="B1010" s="0" t="s">
        <v>2094</v>
      </c>
      <c r="C1010" s="0" t="s">
        <v>1730</v>
      </c>
      <c r="D1010" s="0" t="n">
        <v>0.45</v>
      </c>
    </row>
    <row r="1011" customFormat="false" ht="15" hidden="false" customHeight="false" outlineLevel="0" collapsed="false">
      <c r="A1011" s="0" t="s">
        <v>6</v>
      </c>
      <c r="B1011" s="0" t="s">
        <v>2094</v>
      </c>
      <c r="C1011" s="0" t="s">
        <v>1866</v>
      </c>
    </row>
    <row r="1012" customFormat="false" ht="15" hidden="false" customHeight="false" outlineLevel="0" collapsed="false">
      <c r="A1012" s="0" t="s">
        <v>6</v>
      </c>
      <c r="B1012" s="0" t="s">
        <v>2094</v>
      </c>
      <c r="C1012" s="0" t="s">
        <v>2159</v>
      </c>
    </row>
    <row r="1013" customFormat="false" ht="15" hidden="false" customHeight="false" outlineLevel="0" collapsed="false">
      <c r="A1013" s="0" t="s">
        <v>6</v>
      </c>
      <c r="B1013" s="0" t="s">
        <v>2101</v>
      </c>
      <c r="C1013" s="0" t="s">
        <v>1730</v>
      </c>
      <c r="D1013" s="0" t="n">
        <v>0.75</v>
      </c>
    </row>
    <row r="1014" customFormat="false" ht="15" hidden="false" customHeight="false" outlineLevel="0" collapsed="false">
      <c r="A1014" s="0" t="s">
        <v>6</v>
      </c>
      <c r="B1014" s="0" t="s">
        <v>2101</v>
      </c>
      <c r="C1014" s="0" t="s">
        <v>1866</v>
      </c>
    </row>
    <row r="1015" customFormat="false" ht="15" hidden="false" customHeight="false" outlineLevel="0" collapsed="false">
      <c r="A1015" s="0" t="s">
        <v>6</v>
      </c>
      <c r="B1015" s="0" t="s">
        <v>2101</v>
      </c>
      <c r="C1015" s="0" t="s">
        <v>2159</v>
      </c>
    </row>
    <row r="1016" customFormat="false" ht="15" hidden="false" customHeight="false" outlineLevel="0" collapsed="false">
      <c r="A1016" s="0" t="s">
        <v>6</v>
      </c>
      <c r="B1016" s="0" t="s">
        <v>2109</v>
      </c>
      <c r="C1016" s="0" t="s">
        <v>1730</v>
      </c>
      <c r="D1016" s="0" t="n">
        <v>1000</v>
      </c>
    </row>
    <row r="1017" customFormat="false" ht="15" hidden="false" customHeight="false" outlineLevel="0" collapsed="false">
      <c r="A1017" s="0" t="s">
        <v>6</v>
      </c>
      <c r="B1017" s="0" t="s">
        <v>2109</v>
      </c>
      <c r="C1017" s="0" t="s">
        <v>1866</v>
      </c>
      <c r="D1017" s="0" t="n">
        <v>960</v>
      </c>
    </row>
    <row r="1018" customFormat="false" ht="15" hidden="false" customHeight="false" outlineLevel="0" collapsed="false">
      <c r="A1018" s="0" t="s">
        <v>6</v>
      </c>
      <c r="B1018" s="0" t="s">
        <v>2109</v>
      </c>
      <c r="C1018" s="0" t="s">
        <v>2159</v>
      </c>
      <c r="D1018" s="0" t="n">
        <v>1150</v>
      </c>
    </row>
    <row r="1019" customFormat="false" ht="15" hidden="false" customHeight="false" outlineLevel="0" collapsed="false">
      <c r="A1019" s="0" t="s">
        <v>6</v>
      </c>
      <c r="B1019" s="0" t="s">
        <v>2116</v>
      </c>
      <c r="C1019" s="0" t="s">
        <v>1730</v>
      </c>
    </row>
    <row r="1020" customFormat="false" ht="15" hidden="false" customHeight="false" outlineLevel="0" collapsed="false">
      <c r="A1020" s="0" t="s">
        <v>6</v>
      </c>
      <c r="B1020" s="0" t="s">
        <v>2116</v>
      </c>
      <c r="C1020" s="0" t="s">
        <v>1866</v>
      </c>
    </row>
    <row r="1021" customFormat="false" ht="15" hidden="false" customHeight="false" outlineLevel="0" collapsed="false">
      <c r="A1021" s="0" t="s">
        <v>6</v>
      </c>
      <c r="B1021" s="0" t="s">
        <v>2116</v>
      </c>
      <c r="C1021" s="0" t="s">
        <v>2159</v>
      </c>
    </row>
    <row r="1022" customFormat="false" ht="15" hidden="false" customHeight="false" outlineLevel="0" collapsed="false">
      <c r="A1022" s="0" t="s">
        <v>6</v>
      </c>
      <c r="B1022" s="0" t="s">
        <v>2125</v>
      </c>
      <c r="C1022" s="0" t="s">
        <v>1730</v>
      </c>
      <c r="D1022" s="0" t="n">
        <v>100</v>
      </c>
    </row>
    <row r="1023" customFormat="false" ht="15" hidden="false" customHeight="false" outlineLevel="0" collapsed="false">
      <c r="A1023" s="0" t="s">
        <v>6</v>
      </c>
      <c r="B1023" s="0" t="s">
        <v>2125</v>
      </c>
      <c r="C1023" s="0" t="s">
        <v>1866</v>
      </c>
    </row>
    <row r="1024" customFormat="false" ht="15" hidden="false" customHeight="false" outlineLevel="0" collapsed="false">
      <c r="A1024" s="0" t="s">
        <v>6</v>
      </c>
      <c r="B1024" s="0" t="s">
        <v>2125</v>
      </c>
      <c r="C1024" s="0" t="s">
        <v>2159</v>
      </c>
      <c r="D1024" s="0" t="n">
        <v>100</v>
      </c>
    </row>
    <row r="1025" customFormat="false" ht="15" hidden="false" customHeight="false" outlineLevel="0" collapsed="false">
      <c r="A1025" s="0" t="s">
        <v>6</v>
      </c>
      <c r="B1025" s="0" t="s">
        <v>2130</v>
      </c>
      <c r="C1025" s="0" t="s">
        <v>1730</v>
      </c>
    </row>
    <row r="1026" customFormat="false" ht="15" hidden="false" customHeight="false" outlineLevel="0" collapsed="false">
      <c r="A1026" s="0" t="s">
        <v>6</v>
      </c>
      <c r="B1026" s="0" t="s">
        <v>2130</v>
      </c>
      <c r="C1026" s="0" t="s">
        <v>1866</v>
      </c>
      <c r="D1026" s="0" t="n">
        <v>1800</v>
      </c>
    </row>
    <row r="1027" customFormat="false" ht="15" hidden="false" customHeight="false" outlineLevel="0" collapsed="false">
      <c r="A1027" s="0" t="s">
        <v>6</v>
      </c>
      <c r="B1027" s="0" t="s">
        <v>2130</v>
      </c>
      <c r="C1027" s="0" t="s">
        <v>2159</v>
      </c>
      <c r="D1027" s="0" t="n">
        <v>2000</v>
      </c>
    </row>
    <row r="1028" customFormat="false" ht="15" hidden="false" customHeight="false" outlineLevel="0" collapsed="false">
      <c r="A1028" s="0" t="s">
        <v>6</v>
      </c>
      <c r="B1028" s="0" t="s">
        <v>2135</v>
      </c>
      <c r="C1028" s="0" t="s">
        <v>1730</v>
      </c>
    </row>
    <row r="1029" customFormat="false" ht="15" hidden="false" customHeight="false" outlineLevel="0" collapsed="false">
      <c r="A1029" s="0" t="s">
        <v>6</v>
      </c>
      <c r="B1029" s="0" t="s">
        <v>2135</v>
      </c>
      <c r="C1029" s="0" t="s">
        <v>1866</v>
      </c>
    </row>
    <row r="1030" customFormat="false" ht="15" hidden="false" customHeight="false" outlineLevel="0" collapsed="false">
      <c r="A1030" s="0" t="s">
        <v>6</v>
      </c>
      <c r="B1030" s="0" t="s">
        <v>2135</v>
      </c>
      <c r="C1030" s="0" t="s">
        <v>2159</v>
      </c>
    </row>
    <row r="1031" customFormat="false" ht="15" hidden="false" customHeight="false" outlineLevel="0" collapsed="false">
      <c r="A1031" s="0" t="s">
        <v>6</v>
      </c>
      <c r="B1031" s="0" t="s">
        <v>2142</v>
      </c>
      <c r="C1031" s="0" t="s">
        <v>1730</v>
      </c>
      <c r="D1031" s="0" t="n">
        <v>15</v>
      </c>
    </row>
    <row r="1032" customFormat="false" ht="15" hidden="false" customHeight="false" outlineLevel="0" collapsed="false">
      <c r="A1032" s="0" t="s">
        <v>6</v>
      </c>
      <c r="B1032" s="0" t="s">
        <v>2142</v>
      </c>
      <c r="C1032" s="0" t="s">
        <v>1866</v>
      </c>
      <c r="D1032" s="0" t="n">
        <v>10</v>
      </c>
    </row>
    <row r="1033" customFormat="false" ht="15" hidden="false" customHeight="false" outlineLevel="0" collapsed="false">
      <c r="A1033" s="0" t="s">
        <v>6</v>
      </c>
      <c r="B1033" s="0" t="s">
        <v>2142</v>
      </c>
      <c r="C1033" s="0" t="s">
        <v>2159</v>
      </c>
      <c r="D1033" s="0" t="n">
        <v>15</v>
      </c>
    </row>
    <row r="1034" customFormat="false" ht="15" hidden="false" customHeight="false" outlineLevel="0" collapsed="false">
      <c r="A1034" s="0" t="s">
        <v>6</v>
      </c>
      <c r="B1034" s="0" t="s">
        <v>2150</v>
      </c>
      <c r="C1034" s="0" t="s">
        <v>1730</v>
      </c>
      <c r="D1034" s="0" t="n">
        <v>0.19</v>
      </c>
    </row>
    <row r="1035" customFormat="false" ht="15" hidden="false" customHeight="false" outlineLevel="0" collapsed="false">
      <c r="A1035" s="0" t="s">
        <v>6</v>
      </c>
      <c r="B1035" s="0" t="s">
        <v>2150</v>
      </c>
      <c r="C1035" s="0" t="s">
        <v>1866</v>
      </c>
    </row>
    <row r="1036" customFormat="false" ht="15" hidden="false" customHeight="false" outlineLevel="0" collapsed="false">
      <c r="A1036" s="0" t="s">
        <v>6</v>
      </c>
      <c r="B1036" s="0" t="s">
        <v>2150</v>
      </c>
      <c r="C1036" s="0" t="s">
        <v>2159</v>
      </c>
    </row>
    <row r="1037" customFormat="false" ht="15" hidden="false" customHeight="false" outlineLevel="0" collapsed="false">
      <c r="A1037" s="0" t="s">
        <v>6</v>
      </c>
      <c r="B1037" s="0" t="s">
        <v>2157</v>
      </c>
      <c r="C1037" s="0" t="s">
        <v>1730</v>
      </c>
      <c r="D1037" s="0" t="n">
        <v>0.56</v>
      </c>
    </row>
    <row r="1038" customFormat="false" ht="15" hidden="false" customHeight="false" outlineLevel="0" collapsed="false">
      <c r="A1038" s="0" t="s">
        <v>6</v>
      </c>
      <c r="B1038" s="0" t="s">
        <v>2157</v>
      </c>
      <c r="C1038" s="0" t="s">
        <v>1866</v>
      </c>
    </row>
    <row r="1039" customFormat="false" ht="15" hidden="false" customHeight="false" outlineLevel="0" collapsed="false">
      <c r="A1039" s="0" t="s">
        <v>6</v>
      </c>
      <c r="B1039" s="0" t="s">
        <v>2157</v>
      </c>
      <c r="C1039" s="0" t="s">
        <v>2159</v>
      </c>
    </row>
    <row r="1040" customFormat="false" ht="15" hidden="false" customHeight="false" outlineLevel="0" collapsed="false">
      <c r="A1040" s="0" t="s">
        <v>6</v>
      </c>
      <c r="B1040" s="0" t="s">
        <v>2162</v>
      </c>
      <c r="C1040" s="0" t="s">
        <v>1730</v>
      </c>
      <c r="D1040" s="0" t="n">
        <v>10.9</v>
      </c>
    </row>
    <row r="1041" customFormat="false" ht="15" hidden="false" customHeight="false" outlineLevel="0" collapsed="false">
      <c r="A1041" s="0" t="s">
        <v>6</v>
      </c>
      <c r="B1041" s="0" t="s">
        <v>2162</v>
      </c>
      <c r="C1041" s="0" t="s">
        <v>1866</v>
      </c>
    </row>
    <row r="1042" customFormat="false" ht="15" hidden="false" customHeight="false" outlineLevel="0" collapsed="false">
      <c r="A1042" s="0" t="s">
        <v>6</v>
      </c>
      <c r="B1042" s="0" t="s">
        <v>2162</v>
      </c>
      <c r="C1042" s="0" t="s">
        <v>2159</v>
      </c>
    </row>
    <row r="1043" customFormat="false" ht="15" hidden="false" customHeight="false" outlineLevel="0" collapsed="false">
      <c r="A1043" s="0" t="s">
        <v>6</v>
      </c>
      <c r="B1043" s="0" t="s">
        <v>2166</v>
      </c>
      <c r="C1043" s="0" t="s">
        <v>1730</v>
      </c>
      <c r="D1043" s="0" t="n">
        <v>0.559</v>
      </c>
    </row>
    <row r="1044" customFormat="false" ht="15" hidden="false" customHeight="false" outlineLevel="0" collapsed="false">
      <c r="A1044" s="0" t="s">
        <v>6</v>
      </c>
      <c r="B1044" s="0" t="s">
        <v>2166</v>
      </c>
      <c r="C1044" s="0" t="s">
        <v>1866</v>
      </c>
    </row>
    <row r="1045" customFormat="false" ht="15" hidden="false" customHeight="false" outlineLevel="0" collapsed="false">
      <c r="A1045" s="0" t="s">
        <v>6</v>
      </c>
      <c r="B1045" s="0" t="s">
        <v>2166</v>
      </c>
      <c r="C1045" s="0" t="s">
        <v>2159</v>
      </c>
    </row>
    <row r="1046" customFormat="false" ht="15" hidden="false" customHeight="false" outlineLevel="0" collapsed="false">
      <c r="A1046" s="0" t="s">
        <v>6</v>
      </c>
      <c r="B1046" s="0" t="s">
        <v>2170</v>
      </c>
      <c r="C1046" s="0" t="s">
        <v>1730</v>
      </c>
      <c r="D1046" s="0" t="n">
        <v>2028</v>
      </c>
    </row>
    <row r="1047" customFormat="false" ht="15" hidden="false" customHeight="false" outlineLevel="0" collapsed="false">
      <c r="A1047" s="0" t="s">
        <v>6</v>
      </c>
      <c r="B1047" s="0" t="s">
        <v>2170</v>
      </c>
      <c r="C1047" s="0" t="s">
        <v>1866</v>
      </c>
    </row>
    <row r="1048" customFormat="false" ht="15" hidden="false" customHeight="false" outlineLevel="0" collapsed="false">
      <c r="A1048" s="0" t="s">
        <v>6</v>
      </c>
      <c r="B1048" s="0" t="s">
        <v>2170</v>
      </c>
      <c r="C1048" s="0" t="s">
        <v>2159</v>
      </c>
    </row>
    <row r="1049" customFormat="false" ht="15" hidden="false" customHeight="false" outlineLevel="0" collapsed="false">
      <c r="A1049" s="0" t="s">
        <v>6</v>
      </c>
      <c r="B1049" s="0" t="s">
        <v>2177</v>
      </c>
      <c r="C1049" s="0" t="s">
        <v>1730</v>
      </c>
      <c r="D1049" s="0" t="n">
        <v>11.5</v>
      </c>
    </row>
    <row r="1050" customFormat="false" ht="15" hidden="false" customHeight="false" outlineLevel="0" collapsed="false">
      <c r="A1050" s="0" t="s">
        <v>6</v>
      </c>
      <c r="B1050" s="0" t="s">
        <v>2177</v>
      </c>
      <c r="C1050" s="0" t="s">
        <v>1866</v>
      </c>
      <c r="D1050" s="0" t="n">
        <v>11.5</v>
      </c>
    </row>
    <row r="1051" customFormat="false" ht="15" hidden="false" customHeight="false" outlineLevel="0" collapsed="false">
      <c r="A1051" s="0" t="s">
        <v>6</v>
      </c>
      <c r="B1051" s="0" t="s">
        <v>2177</v>
      </c>
      <c r="C1051" s="0" t="s">
        <v>2159</v>
      </c>
    </row>
    <row r="1052" customFormat="false" ht="15" hidden="false" customHeight="false" outlineLevel="0" collapsed="false">
      <c r="A1052" s="0" t="s">
        <v>6</v>
      </c>
      <c r="B1052" s="0" t="s">
        <v>2183</v>
      </c>
      <c r="C1052" s="0" t="s">
        <v>1730</v>
      </c>
    </row>
    <row r="1053" customFormat="false" ht="15" hidden="false" customHeight="false" outlineLevel="0" collapsed="false">
      <c r="A1053" s="0" t="s">
        <v>6</v>
      </c>
      <c r="B1053" s="0" t="s">
        <v>2183</v>
      </c>
      <c r="C1053" s="0" t="s">
        <v>1866</v>
      </c>
    </row>
    <row r="1054" customFormat="false" ht="15" hidden="false" customHeight="false" outlineLevel="0" collapsed="false">
      <c r="A1054" s="0" t="s">
        <v>6</v>
      </c>
      <c r="B1054" s="0" t="s">
        <v>2183</v>
      </c>
      <c r="C1054" s="0" t="s">
        <v>2159</v>
      </c>
    </row>
    <row r="1055" customFormat="false" ht="15" hidden="false" customHeight="false" outlineLevel="0" collapsed="false">
      <c r="A1055" s="0" t="s">
        <v>6</v>
      </c>
      <c r="B1055" s="0" t="s">
        <v>2188</v>
      </c>
      <c r="C1055" s="0" t="s">
        <v>1730</v>
      </c>
      <c r="D1055" s="0" t="n">
        <v>3</v>
      </c>
    </row>
    <row r="1056" customFormat="false" ht="15" hidden="false" customHeight="false" outlineLevel="0" collapsed="false">
      <c r="A1056" s="0" t="s">
        <v>6</v>
      </c>
      <c r="B1056" s="0" t="s">
        <v>2188</v>
      </c>
      <c r="C1056" s="0" t="s">
        <v>1866</v>
      </c>
    </row>
    <row r="1057" customFormat="false" ht="15" hidden="false" customHeight="false" outlineLevel="0" collapsed="false">
      <c r="A1057" s="0" t="s">
        <v>6</v>
      </c>
      <c r="B1057" s="0" t="s">
        <v>2188</v>
      </c>
      <c r="C1057" s="0" t="s">
        <v>2159</v>
      </c>
    </row>
    <row r="1058" customFormat="false" ht="15" hidden="false" customHeight="false" outlineLevel="0" collapsed="false">
      <c r="A1058" s="0" t="s">
        <v>6</v>
      </c>
      <c r="B1058" s="0" t="s">
        <v>2193</v>
      </c>
      <c r="C1058" s="0" t="s">
        <v>1730</v>
      </c>
      <c r="D1058" s="0" t="n">
        <v>0.33</v>
      </c>
    </row>
    <row r="1059" customFormat="false" ht="15" hidden="false" customHeight="false" outlineLevel="0" collapsed="false">
      <c r="A1059" s="0" t="s">
        <v>6</v>
      </c>
      <c r="B1059" s="0" t="s">
        <v>2193</v>
      </c>
      <c r="C1059" s="0" t="s">
        <v>1866</v>
      </c>
    </row>
    <row r="1060" customFormat="false" ht="15" hidden="false" customHeight="false" outlineLevel="0" collapsed="false">
      <c r="A1060" s="0" t="s">
        <v>6</v>
      </c>
      <c r="B1060" s="0" t="s">
        <v>2193</v>
      </c>
      <c r="C1060" s="0" t="s">
        <v>2159</v>
      </c>
    </row>
    <row r="1061" customFormat="false" ht="15" hidden="false" customHeight="false" outlineLevel="0" collapsed="false">
      <c r="A1061" s="0" t="s">
        <v>6</v>
      </c>
      <c r="B1061" s="0" t="s">
        <v>2201</v>
      </c>
      <c r="C1061" s="0" t="s">
        <v>1730</v>
      </c>
      <c r="D1061" s="0" t="n">
        <v>0.09</v>
      </c>
    </row>
    <row r="1062" customFormat="false" ht="15" hidden="false" customHeight="false" outlineLevel="0" collapsed="false">
      <c r="A1062" s="0" t="s">
        <v>6</v>
      </c>
      <c r="B1062" s="0" t="s">
        <v>2201</v>
      </c>
      <c r="C1062" s="0" t="s">
        <v>1866</v>
      </c>
    </row>
    <row r="1063" customFormat="false" ht="15" hidden="false" customHeight="false" outlineLevel="0" collapsed="false">
      <c r="A1063" s="0" t="s">
        <v>6</v>
      </c>
      <c r="B1063" s="0" t="s">
        <v>2201</v>
      </c>
      <c r="C1063" s="0" t="s">
        <v>2159</v>
      </c>
    </row>
    <row r="1064" customFormat="false" ht="15" hidden="false" customHeight="false" outlineLevel="0" collapsed="false">
      <c r="A1064" s="0" t="s">
        <v>6</v>
      </c>
      <c r="B1064" s="0" t="s">
        <v>2206</v>
      </c>
      <c r="C1064" s="0" t="s">
        <v>1730</v>
      </c>
      <c r="D1064" s="0" t="n">
        <v>12</v>
      </c>
    </row>
    <row r="1065" customFormat="false" ht="15" hidden="false" customHeight="false" outlineLevel="0" collapsed="false">
      <c r="A1065" s="0" t="s">
        <v>6</v>
      </c>
      <c r="B1065" s="0" t="s">
        <v>2206</v>
      </c>
      <c r="C1065" s="0" t="s">
        <v>1866</v>
      </c>
    </row>
    <row r="1066" customFormat="false" ht="15" hidden="false" customHeight="false" outlineLevel="0" collapsed="false">
      <c r="A1066" s="0" t="s">
        <v>6</v>
      </c>
      <c r="B1066" s="0" t="s">
        <v>2206</v>
      </c>
      <c r="C1066" s="0" t="s">
        <v>2159</v>
      </c>
    </row>
    <row r="1067" customFormat="false" ht="15" hidden="false" customHeight="false" outlineLevel="0" collapsed="false">
      <c r="A1067" s="0" t="s">
        <v>6</v>
      </c>
      <c r="B1067" s="0" t="s">
        <v>2211</v>
      </c>
      <c r="C1067" s="0" t="s">
        <v>1730</v>
      </c>
      <c r="D1067" s="0" t="n">
        <v>7</v>
      </c>
    </row>
    <row r="1068" customFormat="false" ht="15" hidden="false" customHeight="false" outlineLevel="0" collapsed="false">
      <c r="A1068" s="0" t="s">
        <v>6</v>
      </c>
      <c r="B1068" s="0" t="s">
        <v>2211</v>
      </c>
      <c r="C1068" s="0" t="s">
        <v>1866</v>
      </c>
    </row>
    <row r="1069" customFormat="false" ht="15" hidden="false" customHeight="false" outlineLevel="0" collapsed="false">
      <c r="A1069" s="0" t="s">
        <v>6</v>
      </c>
      <c r="B1069" s="0" t="s">
        <v>2211</v>
      </c>
      <c r="C1069" s="0" t="s">
        <v>2159</v>
      </c>
    </row>
    <row r="1070" customFormat="false" ht="15" hidden="false" customHeight="false" outlineLevel="0" collapsed="false">
      <c r="A1070" s="0" t="s">
        <v>6</v>
      </c>
      <c r="B1070" s="0" t="s">
        <v>2216</v>
      </c>
      <c r="C1070" s="0" t="s">
        <v>1730</v>
      </c>
      <c r="D1070" s="0" t="n">
        <v>30</v>
      </c>
    </row>
    <row r="1071" customFormat="false" ht="15" hidden="false" customHeight="false" outlineLevel="0" collapsed="false">
      <c r="A1071" s="0" t="s">
        <v>6</v>
      </c>
      <c r="B1071" s="0" t="s">
        <v>2216</v>
      </c>
      <c r="C1071" s="0" t="s">
        <v>1866</v>
      </c>
    </row>
    <row r="1072" customFormat="false" ht="15" hidden="false" customHeight="false" outlineLevel="0" collapsed="false">
      <c r="A1072" s="0" t="s">
        <v>6</v>
      </c>
      <c r="B1072" s="0" t="s">
        <v>2216</v>
      </c>
      <c r="C1072" s="0" t="s">
        <v>2159</v>
      </c>
    </row>
    <row r="1073" customFormat="false" ht="15" hidden="false" customHeight="false" outlineLevel="0" collapsed="false">
      <c r="A1073" s="0" t="s">
        <v>6</v>
      </c>
      <c r="B1073" s="0" t="s">
        <v>2222</v>
      </c>
      <c r="C1073" s="0" t="s">
        <v>1730</v>
      </c>
      <c r="D1073" s="0" t="n">
        <v>2.2</v>
      </c>
    </row>
    <row r="1074" customFormat="false" ht="15" hidden="false" customHeight="false" outlineLevel="0" collapsed="false">
      <c r="A1074" s="0" t="s">
        <v>6</v>
      </c>
      <c r="B1074" s="0" t="s">
        <v>2222</v>
      </c>
      <c r="C1074" s="0" t="s">
        <v>1866</v>
      </c>
    </row>
    <row r="1075" customFormat="false" ht="15" hidden="false" customHeight="false" outlineLevel="0" collapsed="false">
      <c r="A1075" s="0" t="s">
        <v>6</v>
      </c>
      <c r="B1075" s="0" t="s">
        <v>2222</v>
      </c>
      <c r="C1075" s="0" t="s">
        <v>2159</v>
      </c>
    </row>
    <row r="1076" customFormat="false" ht="15" hidden="false" customHeight="false" outlineLevel="0" collapsed="false">
      <c r="A1076" s="0" t="s">
        <v>6</v>
      </c>
      <c r="B1076" s="0" t="s">
        <v>2226</v>
      </c>
      <c r="C1076" s="0" t="s">
        <v>1730</v>
      </c>
      <c r="D1076" s="0" t="n">
        <v>12</v>
      </c>
    </row>
    <row r="1077" customFormat="false" ht="15" hidden="false" customHeight="false" outlineLevel="0" collapsed="false">
      <c r="A1077" s="0" t="s">
        <v>6</v>
      </c>
      <c r="B1077" s="0" t="s">
        <v>2226</v>
      </c>
      <c r="C1077" s="0" t="s">
        <v>1866</v>
      </c>
    </row>
    <row r="1078" customFormat="false" ht="15" hidden="false" customHeight="false" outlineLevel="0" collapsed="false">
      <c r="A1078" s="0" t="s">
        <v>6</v>
      </c>
      <c r="B1078" s="0" t="s">
        <v>2226</v>
      </c>
      <c r="C1078" s="0" t="s">
        <v>2159</v>
      </c>
    </row>
    <row r="1079" customFormat="false" ht="15" hidden="false" customHeight="false" outlineLevel="0" collapsed="false">
      <c r="A1079" s="0" t="s">
        <v>6</v>
      </c>
      <c r="B1079" s="0" t="s">
        <v>2230</v>
      </c>
      <c r="C1079" s="0" t="s">
        <v>1730</v>
      </c>
      <c r="D1079" s="0" t="n">
        <v>34.5</v>
      </c>
    </row>
    <row r="1080" customFormat="false" ht="15" hidden="false" customHeight="false" outlineLevel="0" collapsed="false">
      <c r="A1080" s="0" t="s">
        <v>6</v>
      </c>
      <c r="B1080" s="0" t="s">
        <v>2230</v>
      </c>
      <c r="C1080" s="0" t="s">
        <v>1866</v>
      </c>
    </row>
    <row r="1081" customFormat="false" ht="15" hidden="false" customHeight="false" outlineLevel="0" collapsed="false">
      <c r="A1081" s="0" t="s">
        <v>6</v>
      </c>
      <c r="B1081" s="0" t="s">
        <v>2230</v>
      </c>
      <c r="C1081" s="0" t="s">
        <v>2159</v>
      </c>
    </row>
    <row r="1082" customFormat="false" ht="15" hidden="false" customHeight="false" outlineLevel="0" collapsed="false">
      <c r="A1082" s="0" t="s">
        <v>6</v>
      </c>
      <c r="B1082" s="0" t="s">
        <v>2234</v>
      </c>
      <c r="C1082" s="0" t="s">
        <v>1730</v>
      </c>
      <c r="D1082" s="0" t="n">
        <v>2027</v>
      </c>
    </row>
    <row r="1083" customFormat="false" ht="15" hidden="false" customHeight="false" outlineLevel="0" collapsed="false">
      <c r="A1083" s="0" t="s">
        <v>6</v>
      </c>
      <c r="B1083" s="0" t="s">
        <v>2234</v>
      </c>
      <c r="C1083" s="0" t="s">
        <v>1866</v>
      </c>
    </row>
    <row r="1084" customFormat="false" ht="15" hidden="false" customHeight="false" outlineLevel="0" collapsed="false">
      <c r="A1084" s="0" t="s">
        <v>6</v>
      </c>
      <c r="B1084" s="0" t="s">
        <v>2234</v>
      </c>
      <c r="C1084" s="0" t="s">
        <v>2159</v>
      </c>
    </row>
    <row r="1085" customFormat="false" ht="15" hidden="false" customHeight="false" outlineLevel="0" collapsed="false">
      <c r="A1085" s="0" t="s">
        <v>6</v>
      </c>
      <c r="B1085" s="0" t="s">
        <v>2238</v>
      </c>
      <c r="C1085" s="0" t="s">
        <v>1730</v>
      </c>
      <c r="D1085" s="0" t="n">
        <v>70</v>
      </c>
    </row>
    <row r="1086" customFormat="false" ht="15" hidden="false" customHeight="false" outlineLevel="0" collapsed="false">
      <c r="A1086" s="0" t="s">
        <v>6</v>
      </c>
      <c r="B1086" s="0" t="s">
        <v>2238</v>
      </c>
      <c r="C1086" s="0" t="s">
        <v>1866</v>
      </c>
    </row>
    <row r="1087" customFormat="false" ht="15" hidden="false" customHeight="false" outlineLevel="0" collapsed="false">
      <c r="A1087" s="0" t="s">
        <v>6</v>
      </c>
      <c r="B1087" s="0" t="s">
        <v>2238</v>
      </c>
      <c r="C1087" s="0" t="s">
        <v>2159</v>
      </c>
      <c r="D1087" s="0" t="n">
        <v>70</v>
      </c>
    </row>
    <row r="1088" customFormat="false" ht="15" hidden="false" customHeight="false" outlineLevel="0" collapsed="false">
      <c r="A1088" s="0" t="s">
        <v>6</v>
      </c>
      <c r="B1088" s="0" t="s">
        <v>2242</v>
      </c>
      <c r="C1088" s="0" t="s">
        <v>1730</v>
      </c>
    </row>
    <row r="1089" customFormat="false" ht="15" hidden="false" customHeight="false" outlineLevel="0" collapsed="false">
      <c r="A1089" s="0" t="s">
        <v>6</v>
      </c>
      <c r="B1089" s="0" t="s">
        <v>2242</v>
      </c>
      <c r="C1089" s="0" t="s">
        <v>1866</v>
      </c>
      <c r="D1089" s="0" t="n">
        <v>15.2</v>
      </c>
    </row>
    <row r="1090" customFormat="false" ht="15" hidden="false" customHeight="false" outlineLevel="0" collapsed="false">
      <c r="A1090" s="0" t="s">
        <v>6</v>
      </c>
      <c r="B1090" s="0" t="s">
        <v>2242</v>
      </c>
      <c r="C1090" s="0" t="s">
        <v>2159</v>
      </c>
      <c r="D1090" s="0" t="n">
        <v>38.9</v>
      </c>
    </row>
    <row r="1091" customFormat="false" ht="15" hidden="false" customHeight="false" outlineLevel="0" collapsed="false">
      <c r="A1091" s="0" t="s">
        <v>6</v>
      </c>
      <c r="B1091" s="0" t="s">
        <v>2249</v>
      </c>
      <c r="C1091" s="0" t="s">
        <v>1730</v>
      </c>
    </row>
    <row r="1092" customFormat="false" ht="15" hidden="false" customHeight="false" outlineLevel="0" collapsed="false">
      <c r="A1092" s="0" t="s">
        <v>6</v>
      </c>
      <c r="B1092" s="0" t="s">
        <v>2249</v>
      </c>
      <c r="C1092" s="0" t="s">
        <v>1866</v>
      </c>
      <c r="D1092" s="0" t="n">
        <v>20</v>
      </c>
    </row>
    <row r="1093" customFormat="false" ht="15" hidden="false" customHeight="false" outlineLevel="0" collapsed="false">
      <c r="A1093" s="0" t="s">
        <v>6</v>
      </c>
      <c r="B1093" s="0" t="s">
        <v>2249</v>
      </c>
      <c r="C1093" s="0" t="s">
        <v>2159</v>
      </c>
      <c r="D1093" s="0" t="n">
        <v>26</v>
      </c>
    </row>
    <row r="1094" customFormat="false" ht="15" hidden="false" customHeight="false" outlineLevel="0" collapsed="false">
      <c r="A1094" s="0" t="s">
        <v>6</v>
      </c>
      <c r="B1094" s="0" t="s">
        <v>2253</v>
      </c>
      <c r="C1094" s="0" t="s">
        <v>1730</v>
      </c>
      <c r="D1094" s="0" t="n">
        <v>17</v>
      </c>
    </row>
    <row r="1095" customFormat="false" ht="15" hidden="false" customHeight="false" outlineLevel="0" collapsed="false">
      <c r="A1095" s="0" t="s">
        <v>6</v>
      </c>
      <c r="B1095" s="0" t="s">
        <v>2253</v>
      </c>
      <c r="C1095" s="0" t="s">
        <v>1866</v>
      </c>
    </row>
    <row r="1096" customFormat="false" ht="15" hidden="false" customHeight="false" outlineLevel="0" collapsed="false">
      <c r="A1096" s="0" t="s">
        <v>6</v>
      </c>
      <c r="B1096" s="0" t="s">
        <v>2253</v>
      </c>
      <c r="C1096" s="0" t="s">
        <v>2159</v>
      </c>
    </row>
    <row r="1097" customFormat="false" ht="15" hidden="false" customHeight="false" outlineLevel="0" collapsed="false">
      <c r="A1097" s="0" t="s">
        <v>6</v>
      </c>
      <c r="B1097" s="0" t="s">
        <v>2257</v>
      </c>
      <c r="C1097" s="0" t="s">
        <v>1730</v>
      </c>
      <c r="D1097" s="0" t="n">
        <v>2028</v>
      </c>
    </row>
    <row r="1098" customFormat="false" ht="15" hidden="false" customHeight="false" outlineLevel="0" collapsed="false">
      <c r="A1098" s="0" t="s">
        <v>6</v>
      </c>
      <c r="B1098" s="0" t="s">
        <v>2257</v>
      </c>
      <c r="C1098" s="0" t="s">
        <v>1866</v>
      </c>
    </row>
    <row r="1099" customFormat="false" ht="15" hidden="false" customHeight="false" outlineLevel="0" collapsed="false">
      <c r="A1099" s="0" t="s">
        <v>6</v>
      </c>
      <c r="B1099" s="0" t="s">
        <v>2257</v>
      </c>
      <c r="C1099" s="0" t="s">
        <v>2159</v>
      </c>
    </row>
    <row r="1100" customFormat="false" ht="15" hidden="false" customHeight="false" outlineLevel="0" collapsed="false">
      <c r="A1100" s="0" t="s">
        <v>6</v>
      </c>
      <c r="B1100" s="0" t="s">
        <v>2261</v>
      </c>
      <c r="C1100" s="0" t="s">
        <v>1730</v>
      </c>
      <c r="D1100" s="0" t="n">
        <v>2028</v>
      </c>
    </row>
    <row r="1101" customFormat="false" ht="15" hidden="false" customHeight="false" outlineLevel="0" collapsed="false">
      <c r="A1101" s="0" t="s">
        <v>6</v>
      </c>
      <c r="B1101" s="0" t="s">
        <v>2261</v>
      </c>
      <c r="C1101" s="0" t="s">
        <v>1866</v>
      </c>
    </row>
    <row r="1102" customFormat="false" ht="15" hidden="false" customHeight="false" outlineLevel="0" collapsed="false">
      <c r="A1102" s="0" t="s">
        <v>6</v>
      </c>
      <c r="B1102" s="0" t="s">
        <v>2261</v>
      </c>
      <c r="C1102" s="0" t="s">
        <v>2159</v>
      </c>
    </row>
    <row r="1103" customFormat="false" ht="15" hidden="false" customHeight="false" outlineLevel="0" collapsed="false">
      <c r="A1103" s="0" t="s">
        <v>6</v>
      </c>
      <c r="B1103" s="0" t="s">
        <v>2265</v>
      </c>
      <c r="C1103" s="0" t="s">
        <v>1730</v>
      </c>
      <c r="D1103" s="0" t="n">
        <v>18</v>
      </c>
    </row>
    <row r="1104" customFormat="false" ht="15" hidden="false" customHeight="false" outlineLevel="0" collapsed="false">
      <c r="A1104" s="0" t="s">
        <v>6</v>
      </c>
      <c r="B1104" s="0" t="s">
        <v>2265</v>
      </c>
      <c r="C1104" s="0" t="s">
        <v>1866</v>
      </c>
    </row>
    <row r="1105" customFormat="false" ht="15" hidden="false" customHeight="false" outlineLevel="0" collapsed="false">
      <c r="A1105" s="0" t="s">
        <v>6</v>
      </c>
      <c r="B1105" s="0" t="s">
        <v>2265</v>
      </c>
      <c r="C1105" s="0" t="s">
        <v>2159</v>
      </c>
      <c r="D1105" s="0" t="n">
        <v>18</v>
      </c>
    </row>
    <row r="1106" customFormat="false" ht="15" hidden="false" customHeight="false" outlineLevel="0" collapsed="false">
      <c r="A1106" s="0" t="s">
        <v>6</v>
      </c>
      <c r="B1106" s="0" t="s">
        <v>2271</v>
      </c>
      <c r="C1106" s="0" t="s">
        <v>1730</v>
      </c>
      <c r="D1106" s="0" t="n">
        <v>55</v>
      </c>
    </row>
    <row r="1107" customFormat="false" ht="15" hidden="false" customHeight="false" outlineLevel="0" collapsed="false">
      <c r="A1107" s="0" t="s">
        <v>6</v>
      </c>
      <c r="B1107" s="0" t="s">
        <v>2271</v>
      </c>
      <c r="C1107" s="0" t="s">
        <v>1866</v>
      </c>
    </row>
    <row r="1108" customFormat="false" ht="15" hidden="false" customHeight="false" outlineLevel="0" collapsed="false">
      <c r="A1108" s="0" t="s">
        <v>6</v>
      </c>
      <c r="B1108" s="0" t="s">
        <v>2271</v>
      </c>
      <c r="C1108" s="0" t="s">
        <v>2159</v>
      </c>
    </row>
    <row r="1109" customFormat="false" ht="15" hidden="false" customHeight="false" outlineLevel="0" collapsed="false">
      <c r="A1109" s="0" t="s">
        <v>6</v>
      </c>
      <c r="B1109" s="0" t="s">
        <v>2276</v>
      </c>
      <c r="C1109" s="0" t="s">
        <v>1730</v>
      </c>
      <c r="D1109" s="0" t="n">
        <v>148</v>
      </c>
    </row>
    <row r="1110" customFormat="false" ht="15" hidden="false" customHeight="false" outlineLevel="0" collapsed="false">
      <c r="A1110" s="0" t="s">
        <v>6</v>
      </c>
      <c r="B1110" s="0" t="s">
        <v>2276</v>
      </c>
      <c r="C1110" s="0" t="s">
        <v>1866</v>
      </c>
    </row>
    <row r="1111" customFormat="false" ht="15" hidden="false" customHeight="false" outlineLevel="0" collapsed="false">
      <c r="A1111" s="0" t="s">
        <v>6</v>
      </c>
      <c r="B1111" s="0" t="s">
        <v>2276</v>
      </c>
      <c r="C1111" s="0" t="s">
        <v>2159</v>
      </c>
      <c r="D1111" s="0" t="n">
        <v>148</v>
      </c>
    </row>
    <row r="1112" customFormat="false" ht="15" hidden="false" customHeight="false" outlineLevel="0" collapsed="false">
      <c r="A1112" s="0" t="s">
        <v>6</v>
      </c>
      <c r="B1112" s="0" t="s">
        <v>2281</v>
      </c>
      <c r="C1112" s="0" t="s">
        <v>1730</v>
      </c>
      <c r="D1112" s="0" t="n">
        <v>2028</v>
      </c>
    </row>
    <row r="1113" customFormat="false" ht="15" hidden="false" customHeight="false" outlineLevel="0" collapsed="false">
      <c r="A1113" s="0" t="s">
        <v>6</v>
      </c>
      <c r="B1113" s="0" t="s">
        <v>2281</v>
      </c>
      <c r="C1113" s="0" t="s">
        <v>1866</v>
      </c>
    </row>
    <row r="1114" customFormat="false" ht="15" hidden="false" customHeight="false" outlineLevel="0" collapsed="false">
      <c r="A1114" s="0" t="s">
        <v>6</v>
      </c>
      <c r="B1114" s="0" t="s">
        <v>2281</v>
      </c>
      <c r="C1114" s="0" t="s">
        <v>2159</v>
      </c>
    </row>
    <row r="1115" customFormat="false" ht="15" hidden="false" customHeight="false" outlineLevel="0" collapsed="false">
      <c r="A1115" s="0" t="s">
        <v>6</v>
      </c>
      <c r="B1115" s="0" t="s">
        <v>2285</v>
      </c>
      <c r="C1115" s="0" t="s">
        <v>1730</v>
      </c>
      <c r="D1115" s="0" t="n">
        <v>2028</v>
      </c>
    </row>
    <row r="1116" customFormat="false" ht="15" hidden="false" customHeight="false" outlineLevel="0" collapsed="false">
      <c r="A1116" s="0" t="s">
        <v>6</v>
      </c>
      <c r="B1116" s="0" t="s">
        <v>2285</v>
      </c>
      <c r="C1116" s="0" t="s">
        <v>1866</v>
      </c>
    </row>
    <row r="1117" customFormat="false" ht="15" hidden="false" customHeight="false" outlineLevel="0" collapsed="false">
      <c r="A1117" s="0" t="s">
        <v>6</v>
      </c>
      <c r="B1117" s="0" t="s">
        <v>2285</v>
      </c>
      <c r="C1117" s="0" t="s">
        <v>2159</v>
      </c>
    </row>
    <row r="1118" customFormat="false" ht="15" hidden="false" customHeight="false" outlineLevel="0" collapsed="false">
      <c r="A1118" s="0" t="s">
        <v>6</v>
      </c>
      <c r="B1118" s="0" t="s">
        <v>2291</v>
      </c>
      <c r="C1118" s="0" t="s">
        <v>1730</v>
      </c>
    </row>
    <row r="1119" customFormat="false" ht="15" hidden="false" customHeight="false" outlineLevel="0" collapsed="false">
      <c r="A1119" s="0" t="s">
        <v>6</v>
      </c>
      <c r="B1119" s="0" t="s">
        <v>2291</v>
      </c>
      <c r="C1119" s="0" t="s">
        <v>1866</v>
      </c>
      <c r="D1119" s="0" t="n">
        <v>100</v>
      </c>
    </row>
    <row r="1120" customFormat="false" ht="15" hidden="false" customHeight="false" outlineLevel="0" collapsed="false">
      <c r="A1120" s="0" t="s">
        <v>6</v>
      </c>
      <c r="B1120" s="0" t="s">
        <v>2291</v>
      </c>
      <c r="C1120" s="0" t="s">
        <v>2159</v>
      </c>
      <c r="D1120" s="0" t="n">
        <v>120</v>
      </c>
    </row>
    <row r="1121" customFormat="false" ht="15" hidden="false" customHeight="false" outlineLevel="0" collapsed="false">
      <c r="A1121" s="0" t="s">
        <v>6</v>
      </c>
      <c r="B1121" s="0" t="s">
        <v>2297</v>
      </c>
      <c r="C1121" s="0" t="s">
        <v>1730</v>
      </c>
      <c r="D1121" s="0" t="n">
        <v>30000</v>
      </c>
    </row>
    <row r="1122" customFormat="false" ht="15" hidden="false" customHeight="false" outlineLevel="0" collapsed="false">
      <c r="A1122" s="0" t="s">
        <v>6</v>
      </c>
      <c r="B1122" s="0" t="s">
        <v>2297</v>
      </c>
      <c r="C1122" s="0" t="s">
        <v>1866</v>
      </c>
      <c r="D1122" s="0" t="n">
        <v>30000</v>
      </c>
    </row>
    <row r="1123" customFormat="false" ht="15" hidden="false" customHeight="false" outlineLevel="0" collapsed="false">
      <c r="A1123" s="0" t="s">
        <v>6</v>
      </c>
      <c r="B1123" s="0" t="s">
        <v>2297</v>
      </c>
      <c r="C1123" s="0" t="s">
        <v>2159</v>
      </c>
    </row>
    <row r="1124" customFormat="false" ht="15" hidden="false" customHeight="false" outlineLevel="0" collapsed="false">
      <c r="A1124" s="0" t="s">
        <v>6</v>
      </c>
      <c r="B1124" s="0" t="s">
        <v>2304</v>
      </c>
      <c r="C1124" s="0" t="s">
        <v>1730</v>
      </c>
      <c r="D1124" s="0" t="n">
        <v>0.5</v>
      </c>
    </row>
    <row r="1125" customFormat="false" ht="15" hidden="false" customHeight="false" outlineLevel="0" collapsed="false">
      <c r="A1125" s="0" t="s">
        <v>6</v>
      </c>
      <c r="B1125" s="0" t="s">
        <v>2304</v>
      </c>
      <c r="C1125" s="0" t="s">
        <v>1866</v>
      </c>
    </row>
    <row r="1126" customFormat="false" ht="15" hidden="false" customHeight="false" outlineLevel="0" collapsed="false">
      <c r="A1126" s="0" t="s">
        <v>6</v>
      </c>
      <c r="B1126" s="0" t="s">
        <v>2304</v>
      </c>
      <c r="C1126" s="0" t="s">
        <v>2159</v>
      </c>
    </row>
    <row r="1127" customFormat="false" ht="15" hidden="false" customHeight="false" outlineLevel="0" collapsed="false">
      <c r="A1127" s="0" t="s">
        <v>6</v>
      </c>
      <c r="B1127" s="0" t="s">
        <v>2308</v>
      </c>
      <c r="C1127" s="0" t="s">
        <v>1730</v>
      </c>
      <c r="D1127" s="0" t="n">
        <v>0.77</v>
      </c>
    </row>
    <row r="1128" customFormat="false" ht="15" hidden="false" customHeight="false" outlineLevel="0" collapsed="false">
      <c r="A1128" s="0" t="s">
        <v>6</v>
      </c>
      <c r="B1128" s="0" t="s">
        <v>2308</v>
      </c>
      <c r="C1128" s="0" t="s">
        <v>1866</v>
      </c>
    </row>
    <row r="1129" customFormat="false" ht="15" hidden="false" customHeight="false" outlineLevel="0" collapsed="false">
      <c r="A1129" s="0" t="s">
        <v>6</v>
      </c>
      <c r="B1129" s="0" t="s">
        <v>2308</v>
      </c>
      <c r="C1129" s="0" t="s">
        <v>2159</v>
      </c>
    </row>
    <row r="1130" customFormat="false" ht="15" hidden="false" customHeight="false" outlineLevel="0" collapsed="false">
      <c r="A1130" s="0" t="s">
        <v>6</v>
      </c>
      <c r="B1130" s="0" t="s">
        <v>2312</v>
      </c>
      <c r="C1130" s="0" t="s">
        <v>1730</v>
      </c>
      <c r="D1130" s="0" t="n">
        <v>10.88</v>
      </c>
    </row>
    <row r="1131" customFormat="false" ht="15" hidden="false" customHeight="false" outlineLevel="0" collapsed="false">
      <c r="A1131" s="0" t="s">
        <v>6</v>
      </c>
      <c r="B1131" s="0" t="s">
        <v>2312</v>
      </c>
      <c r="C1131" s="0" t="s">
        <v>1866</v>
      </c>
    </row>
    <row r="1132" customFormat="false" ht="15" hidden="false" customHeight="false" outlineLevel="0" collapsed="false">
      <c r="A1132" s="0" t="s">
        <v>6</v>
      </c>
      <c r="B1132" s="0" t="s">
        <v>2312</v>
      </c>
      <c r="C1132" s="0" t="s">
        <v>2159</v>
      </c>
    </row>
    <row r="1133" customFormat="false" ht="15" hidden="false" customHeight="false" outlineLevel="0" collapsed="false">
      <c r="A1133" s="0" t="s">
        <v>6</v>
      </c>
      <c r="B1133" s="0" t="s">
        <v>2317</v>
      </c>
      <c r="C1133" s="0" t="s">
        <v>1730</v>
      </c>
      <c r="D1133" s="0" t="n">
        <v>0.1</v>
      </c>
    </row>
    <row r="1134" customFormat="false" ht="15" hidden="false" customHeight="false" outlineLevel="0" collapsed="false">
      <c r="A1134" s="0" t="s">
        <v>6</v>
      </c>
      <c r="B1134" s="0" t="s">
        <v>2317</v>
      </c>
      <c r="C1134" s="0" t="s">
        <v>1866</v>
      </c>
    </row>
    <row r="1135" customFormat="false" ht="15" hidden="false" customHeight="false" outlineLevel="0" collapsed="false">
      <c r="A1135" s="0" t="s">
        <v>6</v>
      </c>
      <c r="B1135" s="0" t="s">
        <v>2317</v>
      </c>
      <c r="C1135" s="0" t="s">
        <v>2159</v>
      </c>
    </row>
    <row r="1136" customFormat="false" ht="15" hidden="false" customHeight="false" outlineLevel="0" collapsed="false">
      <c r="A1136" s="0" t="s">
        <v>6</v>
      </c>
      <c r="B1136" s="0" t="s">
        <v>2321</v>
      </c>
      <c r="C1136" s="0" t="s">
        <v>1730</v>
      </c>
      <c r="D1136" s="0" t="n">
        <v>2</v>
      </c>
    </row>
    <row r="1137" customFormat="false" ht="15" hidden="false" customHeight="false" outlineLevel="0" collapsed="false">
      <c r="A1137" s="0" t="s">
        <v>6</v>
      </c>
      <c r="B1137" s="0" t="s">
        <v>2321</v>
      </c>
      <c r="C1137" s="0" t="s">
        <v>1866</v>
      </c>
    </row>
    <row r="1138" customFormat="false" ht="15" hidden="false" customHeight="false" outlineLevel="0" collapsed="false">
      <c r="A1138" s="0" t="s">
        <v>6</v>
      </c>
      <c r="B1138" s="0" t="s">
        <v>2321</v>
      </c>
      <c r="C1138" s="0" t="s">
        <v>2159</v>
      </c>
    </row>
    <row r="1139" customFormat="false" ht="15" hidden="false" customHeight="false" outlineLevel="0" collapsed="false">
      <c r="A1139" s="0" t="s">
        <v>12</v>
      </c>
      <c r="B1139" s="0" t="s">
        <v>2688</v>
      </c>
      <c r="C1139" s="0" t="s">
        <v>1730</v>
      </c>
      <c r="D1139" s="0" t="n">
        <v>2025</v>
      </c>
    </row>
    <row r="1140" customFormat="false" ht="15" hidden="false" customHeight="false" outlineLevel="0" collapsed="false">
      <c r="A1140" s="0" t="s">
        <v>12</v>
      </c>
      <c r="B1140" s="0" t="s">
        <v>2688</v>
      </c>
      <c r="C1140" s="0" t="s">
        <v>1866</v>
      </c>
      <c r="D1140" s="0" t="n">
        <v>2025</v>
      </c>
    </row>
    <row r="1141" customFormat="false" ht="15" hidden="false" customHeight="false" outlineLevel="0" collapsed="false">
      <c r="A1141" s="0" t="s">
        <v>12</v>
      </c>
      <c r="B1141" s="0" t="s">
        <v>2688</v>
      </c>
      <c r="C1141" s="0" t="s">
        <v>2159</v>
      </c>
      <c r="D1141" s="0" t="n">
        <v>2025</v>
      </c>
    </row>
    <row r="1142" customFormat="false" ht="15" hidden="false" customHeight="false" outlineLevel="0" collapsed="false">
      <c r="A1142" s="0" t="s">
        <v>12</v>
      </c>
      <c r="B1142" s="0" t="s">
        <v>2696</v>
      </c>
      <c r="C1142" s="0" t="s">
        <v>1730</v>
      </c>
      <c r="D1142" s="0" t="n">
        <v>2026</v>
      </c>
    </row>
    <row r="1143" customFormat="false" ht="15" hidden="false" customHeight="false" outlineLevel="0" collapsed="false">
      <c r="A1143" s="0" t="s">
        <v>12</v>
      </c>
      <c r="B1143" s="0" t="s">
        <v>2696</v>
      </c>
      <c r="C1143" s="0" t="s">
        <v>1866</v>
      </c>
      <c r="D1143" s="0" t="n">
        <v>2026</v>
      </c>
    </row>
    <row r="1144" customFormat="false" ht="15" hidden="false" customHeight="false" outlineLevel="0" collapsed="false">
      <c r="A1144" s="0" t="s">
        <v>12</v>
      </c>
      <c r="B1144" s="0" t="s">
        <v>2696</v>
      </c>
      <c r="C1144" s="0" t="s">
        <v>2159</v>
      </c>
      <c r="D1144" s="0" t="n">
        <v>2026</v>
      </c>
    </row>
    <row r="1145" customFormat="false" ht="15" hidden="false" customHeight="false" outlineLevel="0" collapsed="false">
      <c r="A1145" s="0" t="s">
        <v>12</v>
      </c>
      <c r="B1145" s="0" t="s">
        <v>2700</v>
      </c>
      <c r="C1145" s="0" t="s">
        <v>1730</v>
      </c>
      <c r="D1145" s="0" t="n">
        <v>2027</v>
      </c>
    </row>
    <row r="1146" customFormat="false" ht="15" hidden="false" customHeight="false" outlineLevel="0" collapsed="false">
      <c r="A1146" s="0" t="s">
        <v>12</v>
      </c>
      <c r="B1146" s="0" t="s">
        <v>2700</v>
      </c>
      <c r="C1146" s="0" t="s">
        <v>1866</v>
      </c>
      <c r="D1146" s="0" t="n">
        <v>2027</v>
      </c>
    </row>
    <row r="1147" customFormat="false" ht="15" hidden="false" customHeight="false" outlineLevel="0" collapsed="false">
      <c r="A1147" s="0" t="s">
        <v>12</v>
      </c>
      <c r="B1147" s="0" t="s">
        <v>2700</v>
      </c>
      <c r="C1147" s="0" t="s">
        <v>2159</v>
      </c>
      <c r="D1147" s="0" t="n">
        <v>2027</v>
      </c>
    </row>
    <row r="1148" customFormat="false" ht="15" hidden="false" customHeight="false" outlineLevel="0" collapsed="false">
      <c r="A1148" s="0" t="s">
        <v>12</v>
      </c>
      <c r="B1148" s="0" t="s">
        <v>2704</v>
      </c>
      <c r="C1148" s="0" t="s">
        <v>1730</v>
      </c>
      <c r="D1148" s="0" t="n">
        <v>2028</v>
      </c>
    </row>
    <row r="1149" customFormat="false" ht="15" hidden="false" customHeight="false" outlineLevel="0" collapsed="false">
      <c r="A1149" s="0" t="s">
        <v>12</v>
      </c>
      <c r="B1149" s="0" t="s">
        <v>2704</v>
      </c>
      <c r="C1149" s="0" t="s">
        <v>1866</v>
      </c>
      <c r="D1149" s="0" t="n">
        <v>2028</v>
      </c>
    </row>
    <row r="1150" customFormat="false" ht="15" hidden="false" customHeight="false" outlineLevel="0" collapsed="false">
      <c r="A1150" s="0" t="s">
        <v>12</v>
      </c>
      <c r="B1150" s="0" t="s">
        <v>2704</v>
      </c>
      <c r="C1150" s="0" t="s">
        <v>2159</v>
      </c>
      <c r="D1150" s="0" t="n">
        <v>2028</v>
      </c>
    </row>
    <row r="1151" customFormat="false" ht="15" hidden="false" customHeight="false" outlineLevel="0" collapsed="false">
      <c r="A1151" s="0" t="s">
        <v>12</v>
      </c>
      <c r="B1151" s="0" t="s">
        <v>2707</v>
      </c>
      <c r="C1151" s="0" t="s">
        <v>1730</v>
      </c>
      <c r="D1151" s="0" t="n">
        <v>2029</v>
      </c>
    </row>
    <row r="1152" customFormat="false" ht="15" hidden="false" customHeight="false" outlineLevel="0" collapsed="false">
      <c r="A1152" s="0" t="s">
        <v>12</v>
      </c>
      <c r="B1152" s="0" t="s">
        <v>2707</v>
      </c>
      <c r="C1152" s="0" t="s">
        <v>1866</v>
      </c>
      <c r="D1152" s="0" t="n">
        <v>2029</v>
      </c>
    </row>
    <row r="1153" customFormat="false" ht="15" hidden="false" customHeight="false" outlineLevel="0" collapsed="false">
      <c r="A1153" s="0" t="s">
        <v>12</v>
      </c>
      <c r="B1153" s="0" t="s">
        <v>2707</v>
      </c>
      <c r="C1153" s="0" t="s">
        <v>2159</v>
      </c>
      <c r="D1153" s="0" t="n">
        <v>2029</v>
      </c>
    </row>
    <row r="1154" customFormat="false" ht="15" hidden="false" customHeight="false" outlineLevel="0" collapsed="false">
      <c r="A1154" s="0" t="s">
        <v>12</v>
      </c>
      <c r="B1154" s="0" t="s">
        <v>2710</v>
      </c>
      <c r="C1154" s="0" t="s">
        <v>1730</v>
      </c>
      <c r="D1154" s="0" t="n">
        <v>2030</v>
      </c>
    </row>
    <row r="1155" customFormat="false" ht="15" hidden="false" customHeight="false" outlineLevel="0" collapsed="false">
      <c r="A1155" s="0" t="s">
        <v>12</v>
      </c>
      <c r="B1155" s="0" t="s">
        <v>2710</v>
      </c>
      <c r="C1155" s="0" t="s">
        <v>1866</v>
      </c>
      <c r="D1155" s="0" t="n">
        <v>2030</v>
      </c>
    </row>
    <row r="1156" customFormat="false" ht="15" hidden="false" customHeight="false" outlineLevel="0" collapsed="false">
      <c r="A1156" s="0" t="s">
        <v>12</v>
      </c>
      <c r="B1156" s="0" t="s">
        <v>2710</v>
      </c>
      <c r="C1156" s="0" t="s">
        <v>2159</v>
      </c>
      <c r="D1156" s="0" t="n">
        <v>2030</v>
      </c>
    </row>
    <row r="1157" customFormat="false" ht="15" hidden="false" customHeight="false" outlineLevel="0" collapsed="false">
      <c r="A1157" s="0" t="s">
        <v>12</v>
      </c>
      <c r="B1157" s="0" t="s">
        <v>2713</v>
      </c>
      <c r="C1157" s="0" t="s">
        <v>1730</v>
      </c>
      <c r="D1157" s="0" t="n">
        <v>365</v>
      </c>
    </row>
    <row r="1158" customFormat="false" ht="15" hidden="false" customHeight="false" outlineLevel="0" collapsed="false">
      <c r="A1158" s="0" t="s">
        <v>12</v>
      </c>
      <c r="B1158" s="0" t="s">
        <v>2713</v>
      </c>
      <c r="C1158" s="0" t="s">
        <v>1866</v>
      </c>
      <c r="D1158" s="0" t="n">
        <v>365</v>
      </c>
    </row>
    <row r="1159" customFormat="false" ht="15" hidden="false" customHeight="false" outlineLevel="0" collapsed="false">
      <c r="A1159" s="0" t="s">
        <v>12</v>
      </c>
      <c r="B1159" s="0" t="s">
        <v>2713</v>
      </c>
      <c r="C1159" s="0" t="s">
        <v>2159</v>
      </c>
      <c r="D1159" s="0" t="n">
        <v>365</v>
      </c>
    </row>
    <row r="1160" customFormat="false" ht="15" hidden="false" customHeight="false" outlineLevel="0" collapsed="false">
      <c r="A1160" s="0" t="s">
        <v>12</v>
      </c>
      <c r="B1160" s="0" t="s">
        <v>2721</v>
      </c>
      <c r="C1160" s="0" t="s">
        <v>1730</v>
      </c>
      <c r="D1160" s="0" t="n">
        <v>12</v>
      </c>
    </row>
    <row r="1161" customFormat="false" ht="15" hidden="false" customHeight="false" outlineLevel="0" collapsed="false">
      <c r="A1161" s="0" t="s">
        <v>12</v>
      </c>
      <c r="B1161" s="0" t="s">
        <v>2721</v>
      </c>
      <c r="C1161" s="0" t="s">
        <v>1866</v>
      </c>
      <c r="D1161" s="0" t="n">
        <v>12</v>
      </c>
    </row>
    <row r="1162" customFormat="false" ht="15" hidden="false" customHeight="false" outlineLevel="0" collapsed="false">
      <c r="A1162" s="0" t="s">
        <v>12</v>
      </c>
      <c r="B1162" s="0" t="s">
        <v>2721</v>
      </c>
      <c r="C1162" s="0" t="s">
        <v>2159</v>
      </c>
      <c r="D1162" s="0" t="n">
        <v>12</v>
      </c>
    </row>
    <row r="1163" customFormat="false" ht="15" hidden="false" customHeight="false" outlineLevel="0" collapsed="false">
      <c r="A1163" s="0" t="s">
        <v>12</v>
      </c>
      <c r="B1163" s="0" t="s">
        <v>2726</v>
      </c>
      <c r="C1163" s="0" t="s">
        <v>1730</v>
      </c>
      <c r="D1163" s="0" t="n">
        <v>6</v>
      </c>
    </row>
    <row r="1164" customFormat="false" ht="15" hidden="false" customHeight="false" outlineLevel="0" collapsed="false">
      <c r="A1164" s="0" t="s">
        <v>12</v>
      </c>
      <c r="B1164" s="0" t="s">
        <v>2726</v>
      </c>
      <c r="C1164" s="0" t="s">
        <v>1866</v>
      </c>
      <c r="D1164" s="0" t="n">
        <v>6</v>
      </c>
    </row>
    <row r="1165" customFormat="false" ht="15" hidden="false" customHeight="false" outlineLevel="0" collapsed="false">
      <c r="A1165" s="0" t="s">
        <v>12</v>
      </c>
      <c r="B1165" s="0" t="s">
        <v>2726</v>
      </c>
      <c r="C1165" s="0" t="s">
        <v>2159</v>
      </c>
      <c r="D1165" s="0" t="n">
        <v>6</v>
      </c>
    </row>
    <row r="1166" customFormat="false" ht="15" hidden="false" customHeight="false" outlineLevel="0" collapsed="false">
      <c r="A1166" s="0" t="s">
        <v>12</v>
      </c>
      <c r="B1166" s="0" t="s">
        <v>2731</v>
      </c>
      <c r="C1166" s="0" t="s">
        <v>1730</v>
      </c>
      <c r="D1166" s="0" t="n">
        <v>1</v>
      </c>
    </row>
    <row r="1167" customFormat="false" ht="15" hidden="false" customHeight="false" outlineLevel="0" collapsed="false">
      <c r="A1167" s="0" t="s">
        <v>12</v>
      </c>
      <c r="B1167" s="0" t="s">
        <v>2731</v>
      </c>
      <c r="C1167" s="0" t="s">
        <v>1866</v>
      </c>
      <c r="D1167" s="0" t="n">
        <v>1</v>
      </c>
    </row>
    <row r="1168" customFormat="false" ht="15" hidden="false" customHeight="false" outlineLevel="0" collapsed="false">
      <c r="A1168" s="0" t="s">
        <v>12</v>
      </c>
      <c r="B1168" s="0" t="s">
        <v>2731</v>
      </c>
      <c r="C1168" s="0" t="s">
        <v>2159</v>
      </c>
      <c r="D1168" s="0" t="n">
        <v>1</v>
      </c>
    </row>
    <row r="1169" customFormat="false" ht="15" hidden="false" customHeight="false" outlineLevel="0" collapsed="false">
      <c r="A1169" s="0" t="s">
        <v>12</v>
      </c>
      <c r="B1169" s="0" t="s">
        <v>2735</v>
      </c>
      <c r="C1169" s="0" t="s">
        <v>1730</v>
      </c>
      <c r="D1169" s="0" t="n">
        <v>1</v>
      </c>
    </row>
    <row r="1170" customFormat="false" ht="15" hidden="false" customHeight="false" outlineLevel="0" collapsed="false">
      <c r="A1170" s="0" t="s">
        <v>12</v>
      </c>
      <c r="B1170" s="0" t="s">
        <v>2735</v>
      </c>
      <c r="C1170" s="0" t="s">
        <v>1866</v>
      </c>
      <c r="D1170" s="0" t="n">
        <v>1</v>
      </c>
    </row>
    <row r="1171" customFormat="false" ht="15" hidden="false" customHeight="false" outlineLevel="0" collapsed="false">
      <c r="A1171" s="0" t="s">
        <v>12</v>
      </c>
      <c r="B1171" s="0" t="s">
        <v>2735</v>
      </c>
      <c r="C1171" s="0" t="s">
        <v>2159</v>
      </c>
      <c r="D1171" s="0" t="n">
        <v>1</v>
      </c>
    </row>
    <row r="1172" customFormat="false" ht="15" hidden="false" customHeight="false" outlineLevel="0" collapsed="false">
      <c r="A1172" s="0" t="s">
        <v>12</v>
      </c>
      <c r="B1172" s="0" t="s">
        <v>2740</v>
      </c>
      <c r="C1172" s="0" t="s">
        <v>1730</v>
      </c>
      <c r="D1172" s="0" t="n">
        <v>1000</v>
      </c>
    </row>
    <row r="1173" customFormat="false" ht="15" hidden="false" customHeight="false" outlineLevel="0" collapsed="false">
      <c r="A1173" s="0" t="s">
        <v>12</v>
      </c>
      <c r="B1173" s="0" t="s">
        <v>2740</v>
      </c>
      <c r="C1173" s="0" t="s">
        <v>1866</v>
      </c>
      <c r="D1173" s="0" t="n">
        <v>1000</v>
      </c>
    </row>
    <row r="1174" customFormat="false" ht="15" hidden="false" customHeight="false" outlineLevel="0" collapsed="false">
      <c r="A1174" s="0" t="s">
        <v>12</v>
      </c>
      <c r="B1174" s="0" t="s">
        <v>2740</v>
      </c>
      <c r="C1174" s="0" t="s">
        <v>2159</v>
      </c>
      <c r="D1174" s="0" t="n">
        <v>1000</v>
      </c>
    </row>
    <row r="1175" customFormat="false" ht="15" hidden="false" customHeight="false" outlineLevel="0" collapsed="false">
      <c r="A1175" s="0" t="s">
        <v>12</v>
      </c>
      <c r="B1175" s="0" t="s">
        <v>2745</v>
      </c>
      <c r="C1175" s="0" t="s">
        <v>1730</v>
      </c>
      <c r="D1175" s="0" t="n">
        <v>1000</v>
      </c>
    </row>
    <row r="1176" customFormat="false" ht="15" hidden="false" customHeight="false" outlineLevel="0" collapsed="false">
      <c r="A1176" s="0" t="s">
        <v>12</v>
      </c>
      <c r="B1176" s="0" t="s">
        <v>2745</v>
      </c>
      <c r="C1176" s="0" t="s">
        <v>1866</v>
      </c>
      <c r="D1176" s="0" t="n">
        <v>1000</v>
      </c>
    </row>
    <row r="1177" customFormat="false" ht="15" hidden="false" customHeight="false" outlineLevel="0" collapsed="false">
      <c r="A1177" s="0" t="s">
        <v>12</v>
      </c>
      <c r="B1177" s="0" t="s">
        <v>2745</v>
      </c>
      <c r="C1177" s="0" t="s">
        <v>2159</v>
      </c>
      <c r="D1177" s="0" t="n">
        <v>1000</v>
      </c>
    </row>
    <row r="1178" customFormat="false" ht="15" hidden="false" customHeight="false" outlineLevel="0" collapsed="false">
      <c r="A1178" s="0" t="s">
        <v>12</v>
      </c>
      <c r="B1178" s="0" t="s">
        <v>2750</v>
      </c>
      <c r="C1178" s="0" t="s">
        <v>1730</v>
      </c>
      <c r="D1178" s="0" t="n">
        <v>36</v>
      </c>
    </row>
    <row r="1179" customFormat="false" ht="15" hidden="false" customHeight="false" outlineLevel="0" collapsed="false">
      <c r="A1179" s="0" t="s">
        <v>12</v>
      </c>
      <c r="B1179" s="0" t="s">
        <v>2750</v>
      </c>
      <c r="C1179" s="0" t="s">
        <v>1866</v>
      </c>
      <c r="D1179" s="0" t="n">
        <v>36</v>
      </c>
    </row>
    <row r="1180" customFormat="false" ht="15" hidden="false" customHeight="false" outlineLevel="0" collapsed="false">
      <c r="A1180" s="0" t="s">
        <v>12</v>
      </c>
      <c r="B1180" s="0" t="s">
        <v>2750</v>
      </c>
      <c r="C1180" s="0" t="s">
        <v>2159</v>
      </c>
      <c r="D1180" s="0" t="n">
        <v>36</v>
      </c>
    </row>
    <row r="1181" customFormat="false" ht="15" hidden="false" customHeight="false" outlineLevel="0" collapsed="false">
      <c r="A1181" s="0" t="s">
        <v>12</v>
      </c>
      <c r="B1181" s="0" t="s">
        <v>2756</v>
      </c>
      <c r="C1181" s="0" t="s">
        <v>1730</v>
      </c>
      <c r="D1181" s="0" t="n">
        <v>2027</v>
      </c>
    </row>
    <row r="1182" customFormat="false" ht="15" hidden="false" customHeight="false" outlineLevel="0" collapsed="false">
      <c r="A1182" s="0" t="s">
        <v>12</v>
      </c>
      <c r="B1182" s="0" t="s">
        <v>2756</v>
      </c>
      <c r="C1182" s="0" t="s">
        <v>1866</v>
      </c>
      <c r="D1182" s="0" t="n">
        <v>2027</v>
      </c>
    </row>
    <row r="1183" customFormat="false" ht="15" hidden="false" customHeight="false" outlineLevel="0" collapsed="false">
      <c r="A1183" s="0" t="s">
        <v>12</v>
      </c>
      <c r="B1183" s="0" t="s">
        <v>2756</v>
      </c>
      <c r="C1183" s="0" t="s">
        <v>2159</v>
      </c>
      <c r="D1183" s="0" t="n">
        <v>2027</v>
      </c>
    </row>
    <row r="1184" customFormat="false" ht="15" hidden="false" customHeight="false" outlineLevel="0" collapsed="false">
      <c r="A1184" s="0" t="s">
        <v>12</v>
      </c>
      <c r="B1184" s="0" t="s">
        <v>2761</v>
      </c>
      <c r="C1184" s="0" t="s">
        <v>1730</v>
      </c>
      <c r="D1184" s="0" t="n">
        <v>1</v>
      </c>
    </row>
    <row r="1185" customFormat="false" ht="15" hidden="false" customHeight="false" outlineLevel="0" collapsed="false">
      <c r="A1185" s="0" t="s">
        <v>12</v>
      </c>
      <c r="B1185" s="0" t="s">
        <v>2761</v>
      </c>
      <c r="C1185" s="0" t="s">
        <v>1866</v>
      </c>
      <c r="D1185" s="0" t="n">
        <v>1</v>
      </c>
    </row>
    <row r="1186" customFormat="false" ht="15" hidden="false" customHeight="false" outlineLevel="0" collapsed="false">
      <c r="A1186" s="0" t="s">
        <v>12</v>
      </c>
      <c r="B1186" s="0" t="s">
        <v>2761</v>
      </c>
      <c r="C1186" s="0" t="s">
        <v>2159</v>
      </c>
      <c r="D1186" s="0" t="n">
        <v>1</v>
      </c>
    </row>
    <row r="1187" customFormat="false" ht="15" hidden="false" customHeight="false" outlineLevel="0" collapsed="false">
      <c r="A1187" s="0" t="s">
        <v>12</v>
      </c>
      <c r="B1187" s="0" t="s">
        <v>2767</v>
      </c>
      <c r="C1187" s="0" t="s">
        <v>1730</v>
      </c>
      <c r="D1187" s="0" t="n">
        <v>0</v>
      </c>
    </row>
    <row r="1188" customFormat="false" ht="15" hidden="false" customHeight="false" outlineLevel="0" collapsed="false">
      <c r="A1188" s="0" t="s">
        <v>12</v>
      </c>
      <c r="B1188" s="0" t="s">
        <v>2767</v>
      </c>
      <c r="C1188" s="0" t="s">
        <v>1866</v>
      </c>
      <c r="D1188" s="0" t="n">
        <v>0</v>
      </c>
    </row>
    <row r="1189" customFormat="false" ht="15" hidden="false" customHeight="false" outlineLevel="0" collapsed="false">
      <c r="A1189" s="0" t="s">
        <v>12</v>
      </c>
      <c r="B1189" s="0" t="s">
        <v>2767</v>
      </c>
      <c r="C1189" s="0" t="s">
        <v>2159</v>
      </c>
      <c r="D1189" s="0" t="n">
        <v>0</v>
      </c>
    </row>
    <row r="1190" customFormat="false" ht="15" hidden="false" customHeight="false" outlineLevel="0" collapsed="false">
      <c r="A1190" s="0" t="s">
        <v>12</v>
      </c>
      <c r="B1190" s="0" t="s">
        <v>2773</v>
      </c>
      <c r="C1190" s="0" t="s">
        <v>1730</v>
      </c>
      <c r="D1190" s="0" t="n">
        <v>0.25</v>
      </c>
    </row>
    <row r="1191" customFormat="false" ht="15" hidden="false" customHeight="false" outlineLevel="0" collapsed="false">
      <c r="A1191" s="0" t="s">
        <v>12</v>
      </c>
      <c r="B1191" s="0" t="s">
        <v>2773</v>
      </c>
      <c r="C1191" s="0" t="s">
        <v>1866</v>
      </c>
      <c r="D1191" s="0" t="n">
        <v>0.25</v>
      </c>
    </row>
    <row r="1192" customFormat="false" ht="15" hidden="false" customHeight="false" outlineLevel="0" collapsed="false">
      <c r="A1192" s="0" t="s">
        <v>12</v>
      </c>
      <c r="B1192" s="0" t="s">
        <v>2773</v>
      </c>
      <c r="C1192" s="0" t="s">
        <v>2159</v>
      </c>
      <c r="D1192" s="0" t="n">
        <v>0.25</v>
      </c>
    </row>
    <row r="1193" customFormat="false" ht="15" hidden="false" customHeight="false" outlineLevel="0" collapsed="false">
      <c r="A1193" s="0" t="s">
        <v>12</v>
      </c>
      <c r="B1193" s="0" t="s">
        <v>2778</v>
      </c>
      <c r="C1193" s="0" t="s">
        <v>1730</v>
      </c>
      <c r="D1193" s="0" t="n">
        <v>0.3</v>
      </c>
    </row>
    <row r="1194" customFormat="false" ht="15" hidden="false" customHeight="false" outlineLevel="0" collapsed="false">
      <c r="A1194" s="0" t="s">
        <v>12</v>
      </c>
      <c r="B1194" s="0" t="s">
        <v>2778</v>
      </c>
      <c r="C1194" s="0" t="s">
        <v>1866</v>
      </c>
      <c r="D1194" s="0" t="n">
        <v>0.1</v>
      </c>
    </row>
    <row r="1195" customFormat="false" ht="15" hidden="false" customHeight="false" outlineLevel="0" collapsed="false">
      <c r="A1195" s="0" t="s">
        <v>12</v>
      </c>
      <c r="B1195" s="0" t="s">
        <v>2778</v>
      </c>
      <c r="C1195" s="0" t="s">
        <v>2159</v>
      </c>
      <c r="D1195" s="0" t="n">
        <v>0.5</v>
      </c>
    </row>
    <row r="1196" customFormat="false" ht="15" hidden="false" customHeight="false" outlineLevel="0" collapsed="false">
      <c r="A1196" s="0" t="s">
        <v>12</v>
      </c>
      <c r="B1196" s="0" t="s">
        <v>2785</v>
      </c>
      <c r="C1196" s="0" t="s">
        <v>1730</v>
      </c>
      <c r="D1196" s="0" t="n">
        <v>0.3</v>
      </c>
    </row>
    <row r="1197" customFormat="false" ht="15" hidden="false" customHeight="false" outlineLevel="0" collapsed="false">
      <c r="A1197" s="0" t="s">
        <v>12</v>
      </c>
      <c r="B1197" s="0" t="s">
        <v>2785</v>
      </c>
      <c r="C1197" s="0" t="s">
        <v>1866</v>
      </c>
      <c r="D1197" s="0" t="n">
        <v>0.1</v>
      </c>
    </row>
    <row r="1198" customFormat="false" ht="15" hidden="false" customHeight="false" outlineLevel="0" collapsed="false">
      <c r="A1198" s="0" t="s">
        <v>12</v>
      </c>
      <c r="B1198" s="0" t="s">
        <v>2785</v>
      </c>
      <c r="C1198" s="0" t="s">
        <v>2159</v>
      </c>
      <c r="D1198" s="0" t="n">
        <v>0.5</v>
      </c>
    </row>
    <row r="1199" customFormat="false" ht="15" hidden="false" customHeight="false" outlineLevel="0" collapsed="false">
      <c r="A1199" s="0" t="s">
        <v>12</v>
      </c>
      <c r="B1199" s="0" t="s">
        <v>2789</v>
      </c>
      <c r="C1199" s="0" t="s">
        <v>1730</v>
      </c>
      <c r="D1199" s="0" t="n">
        <v>0.85</v>
      </c>
    </row>
    <row r="1200" customFormat="false" ht="15" hidden="false" customHeight="false" outlineLevel="0" collapsed="false">
      <c r="A1200" s="0" t="s">
        <v>12</v>
      </c>
      <c r="B1200" s="0" t="s">
        <v>2789</v>
      </c>
      <c r="C1200" s="0" t="s">
        <v>1866</v>
      </c>
      <c r="D1200" s="0" t="n">
        <v>0.75</v>
      </c>
    </row>
    <row r="1201" customFormat="false" ht="15" hidden="false" customHeight="false" outlineLevel="0" collapsed="false">
      <c r="A1201" s="0" t="s">
        <v>12</v>
      </c>
      <c r="B1201" s="0" t="s">
        <v>2789</v>
      </c>
      <c r="C1201" s="0" t="s">
        <v>2159</v>
      </c>
      <c r="D1201" s="0" t="n">
        <v>0.95</v>
      </c>
    </row>
    <row r="1202" customFormat="false" ht="15" hidden="false" customHeight="false" outlineLevel="0" collapsed="false">
      <c r="A1202" s="0" t="s">
        <v>12</v>
      </c>
      <c r="B1202" s="0" t="s">
        <v>2795</v>
      </c>
      <c r="C1202" s="0" t="s">
        <v>1730</v>
      </c>
      <c r="D1202" s="0" t="n">
        <v>0.1</v>
      </c>
    </row>
    <row r="1203" customFormat="false" ht="15" hidden="false" customHeight="false" outlineLevel="0" collapsed="false">
      <c r="A1203" s="0" t="s">
        <v>12</v>
      </c>
      <c r="B1203" s="0" t="s">
        <v>2795</v>
      </c>
      <c r="C1203" s="0" t="s">
        <v>1866</v>
      </c>
      <c r="D1203" s="0" t="n">
        <v>0.03</v>
      </c>
    </row>
    <row r="1204" customFormat="false" ht="15" hidden="false" customHeight="false" outlineLevel="0" collapsed="false">
      <c r="A1204" s="0" t="s">
        <v>12</v>
      </c>
      <c r="B1204" s="0" t="s">
        <v>2795</v>
      </c>
      <c r="C1204" s="0" t="s">
        <v>2159</v>
      </c>
      <c r="D1204" s="0" t="n">
        <v>0.15</v>
      </c>
    </row>
    <row r="1205" customFormat="false" ht="15" hidden="false" customHeight="false" outlineLevel="0" collapsed="false">
      <c r="A1205" s="0" t="s">
        <v>12</v>
      </c>
      <c r="B1205" s="0" t="s">
        <v>2800</v>
      </c>
      <c r="C1205" s="0" t="s">
        <v>1730</v>
      </c>
      <c r="D1205" s="0" t="n">
        <v>0.7</v>
      </c>
    </row>
    <row r="1206" customFormat="false" ht="15" hidden="false" customHeight="false" outlineLevel="0" collapsed="false">
      <c r="A1206" s="0" t="s">
        <v>12</v>
      </c>
      <c r="B1206" s="0" t="s">
        <v>2800</v>
      </c>
      <c r="C1206" s="0" t="s">
        <v>1866</v>
      </c>
      <c r="D1206" s="0" t="n">
        <v>0.55</v>
      </c>
    </row>
    <row r="1207" customFormat="false" ht="15" hidden="false" customHeight="false" outlineLevel="0" collapsed="false">
      <c r="A1207" s="0" t="s">
        <v>12</v>
      </c>
      <c r="B1207" s="0" t="s">
        <v>2800</v>
      </c>
      <c r="C1207" s="0" t="s">
        <v>2159</v>
      </c>
      <c r="D1207" s="0" t="n">
        <v>0.85</v>
      </c>
    </row>
    <row r="1208" customFormat="false" ht="15" hidden="false" customHeight="false" outlineLevel="0" collapsed="false">
      <c r="A1208" s="0" t="s">
        <v>12</v>
      </c>
      <c r="B1208" s="0" t="s">
        <v>2806</v>
      </c>
      <c r="C1208" s="0" t="s">
        <v>1730</v>
      </c>
      <c r="D1208" s="0" t="n">
        <v>0.18</v>
      </c>
    </row>
    <row r="1209" customFormat="false" ht="15" hidden="false" customHeight="false" outlineLevel="0" collapsed="false">
      <c r="A1209" s="0" t="s">
        <v>12</v>
      </c>
      <c r="B1209" s="0" t="s">
        <v>2806</v>
      </c>
      <c r="C1209" s="0" t="s">
        <v>1866</v>
      </c>
      <c r="D1209" s="0" t="n">
        <v>0.1</v>
      </c>
    </row>
    <row r="1210" customFormat="false" ht="15" hidden="false" customHeight="false" outlineLevel="0" collapsed="false">
      <c r="A1210" s="0" t="s">
        <v>12</v>
      </c>
      <c r="B1210" s="0" t="s">
        <v>2806</v>
      </c>
      <c r="C1210" s="0" t="s">
        <v>2159</v>
      </c>
      <c r="D1210" s="0" t="n">
        <v>0.25</v>
      </c>
    </row>
    <row r="1211" customFormat="false" ht="15" hidden="false" customHeight="false" outlineLevel="0" collapsed="false">
      <c r="A1211" s="0" t="s">
        <v>12</v>
      </c>
      <c r="B1211" s="0" t="s">
        <v>2808</v>
      </c>
      <c r="C1211" s="0" t="s">
        <v>1730</v>
      </c>
      <c r="D1211" s="0" t="n">
        <v>0.5</v>
      </c>
    </row>
    <row r="1212" customFormat="false" ht="15" hidden="false" customHeight="false" outlineLevel="0" collapsed="false">
      <c r="A1212" s="0" t="s">
        <v>12</v>
      </c>
      <c r="B1212" s="0" t="s">
        <v>2808</v>
      </c>
      <c r="C1212" s="0" t="s">
        <v>1866</v>
      </c>
      <c r="D1212" s="0" t="n">
        <v>0.3</v>
      </c>
    </row>
    <row r="1213" customFormat="false" ht="15" hidden="false" customHeight="false" outlineLevel="0" collapsed="false">
      <c r="A1213" s="0" t="s">
        <v>12</v>
      </c>
      <c r="B1213" s="0" t="s">
        <v>2808</v>
      </c>
      <c r="C1213" s="0" t="s">
        <v>2159</v>
      </c>
      <c r="D1213" s="0" t="n">
        <v>0.7</v>
      </c>
    </row>
    <row r="1214" customFormat="false" ht="15" hidden="false" customHeight="false" outlineLevel="0" collapsed="false">
      <c r="A1214" s="0" t="s">
        <v>12</v>
      </c>
      <c r="B1214" s="0" t="s">
        <v>2814</v>
      </c>
      <c r="C1214" s="0" t="s">
        <v>1730</v>
      </c>
      <c r="D1214" s="0" t="n">
        <v>0.15</v>
      </c>
    </row>
    <row r="1215" customFormat="false" ht="15" hidden="false" customHeight="false" outlineLevel="0" collapsed="false">
      <c r="A1215" s="0" t="s">
        <v>12</v>
      </c>
      <c r="B1215" s="0" t="s">
        <v>2814</v>
      </c>
      <c r="C1215" s="0" t="s">
        <v>1866</v>
      </c>
      <c r="D1215" s="0" t="n">
        <v>0.05</v>
      </c>
    </row>
    <row r="1216" customFormat="false" ht="15" hidden="false" customHeight="false" outlineLevel="0" collapsed="false">
      <c r="A1216" s="0" t="s">
        <v>12</v>
      </c>
      <c r="B1216" s="0" t="s">
        <v>2814</v>
      </c>
      <c r="C1216" s="0" t="s">
        <v>2159</v>
      </c>
      <c r="D1216" s="0" t="n">
        <v>0.3</v>
      </c>
    </row>
    <row r="1217" customFormat="false" ht="15" hidden="false" customHeight="false" outlineLevel="0" collapsed="false">
      <c r="A1217" s="0" t="s">
        <v>12</v>
      </c>
      <c r="B1217" s="0" t="s">
        <v>2818</v>
      </c>
      <c r="C1217" s="0" t="s">
        <v>1730</v>
      </c>
      <c r="D1217" s="0" t="n">
        <v>0.35</v>
      </c>
    </row>
    <row r="1218" customFormat="false" ht="15" hidden="false" customHeight="false" outlineLevel="0" collapsed="false">
      <c r="A1218" s="0" t="s">
        <v>12</v>
      </c>
      <c r="B1218" s="0" t="s">
        <v>2818</v>
      </c>
      <c r="C1218" s="0" t="s">
        <v>1866</v>
      </c>
      <c r="D1218" s="0" t="n">
        <v>0.2</v>
      </c>
    </row>
    <row r="1219" customFormat="false" ht="15" hidden="false" customHeight="false" outlineLevel="0" collapsed="false">
      <c r="A1219" s="0" t="s">
        <v>12</v>
      </c>
      <c r="B1219" s="0" t="s">
        <v>2818</v>
      </c>
      <c r="C1219" s="0" t="s">
        <v>2159</v>
      </c>
      <c r="D1219" s="0" t="n">
        <v>0.5</v>
      </c>
    </row>
    <row r="1220" customFormat="false" ht="15" hidden="false" customHeight="false" outlineLevel="0" collapsed="false">
      <c r="A1220" s="0" t="s">
        <v>12</v>
      </c>
      <c r="B1220" s="0" t="s">
        <v>2822</v>
      </c>
      <c r="C1220" s="0" t="s">
        <v>1730</v>
      </c>
      <c r="D1220" s="0" t="n">
        <v>0.2</v>
      </c>
    </row>
    <row r="1221" customFormat="false" ht="15" hidden="false" customHeight="false" outlineLevel="0" collapsed="false">
      <c r="A1221" s="0" t="s">
        <v>12</v>
      </c>
      <c r="B1221" s="0" t="s">
        <v>2822</v>
      </c>
      <c r="C1221" s="0" t="s">
        <v>1866</v>
      </c>
      <c r="D1221" s="0" t="n">
        <v>0.1</v>
      </c>
    </row>
    <row r="1222" customFormat="false" ht="15" hidden="false" customHeight="false" outlineLevel="0" collapsed="false">
      <c r="A1222" s="0" t="s">
        <v>12</v>
      </c>
      <c r="B1222" s="0" t="s">
        <v>2822</v>
      </c>
      <c r="C1222" s="0" t="s">
        <v>2159</v>
      </c>
      <c r="D1222" s="0" t="n">
        <v>0.35</v>
      </c>
    </row>
    <row r="1223" customFormat="false" ht="15" hidden="false" customHeight="false" outlineLevel="0" collapsed="false">
      <c r="A1223" s="0" t="s">
        <v>12</v>
      </c>
      <c r="B1223" s="0" t="s">
        <v>2824</v>
      </c>
      <c r="C1223" s="0" t="s">
        <v>1730</v>
      </c>
      <c r="D1223" s="0" t="n">
        <v>0.05</v>
      </c>
    </row>
    <row r="1224" customFormat="false" ht="15" hidden="false" customHeight="false" outlineLevel="0" collapsed="false">
      <c r="A1224" s="0" t="s">
        <v>12</v>
      </c>
      <c r="B1224" s="0" t="s">
        <v>2824</v>
      </c>
      <c r="C1224" s="0" t="s">
        <v>1866</v>
      </c>
      <c r="D1224" s="0" t="n">
        <v>0.03</v>
      </c>
    </row>
    <row r="1225" customFormat="false" ht="15" hidden="false" customHeight="false" outlineLevel="0" collapsed="false">
      <c r="A1225" s="0" t="s">
        <v>12</v>
      </c>
      <c r="B1225" s="0" t="s">
        <v>2824</v>
      </c>
      <c r="C1225" s="0" t="s">
        <v>2159</v>
      </c>
      <c r="D1225" s="0" t="n">
        <v>0.08</v>
      </c>
    </row>
    <row r="1226" customFormat="false" ht="15" hidden="false" customHeight="false" outlineLevel="0" collapsed="false">
      <c r="A1226" s="0" t="s">
        <v>12</v>
      </c>
      <c r="B1226" s="0" t="s">
        <v>2830</v>
      </c>
      <c r="C1226" s="0" t="s">
        <v>1730</v>
      </c>
      <c r="D1226" s="0" t="n">
        <v>3</v>
      </c>
    </row>
    <row r="1227" customFormat="false" ht="15" hidden="false" customHeight="false" outlineLevel="0" collapsed="false">
      <c r="A1227" s="0" t="s">
        <v>12</v>
      </c>
      <c r="B1227" s="0" t="s">
        <v>2830</v>
      </c>
      <c r="C1227" s="0" t="s">
        <v>1866</v>
      </c>
      <c r="D1227" s="0" t="n">
        <v>1.5</v>
      </c>
    </row>
    <row r="1228" customFormat="false" ht="15" hidden="false" customHeight="false" outlineLevel="0" collapsed="false">
      <c r="A1228" s="0" t="s">
        <v>12</v>
      </c>
      <c r="B1228" s="0" t="s">
        <v>2830</v>
      </c>
      <c r="C1228" s="0" t="s">
        <v>2159</v>
      </c>
      <c r="D1228" s="0" t="n">
        <v>5</v>
      </c>
    </row>
    <row r="1229" customFormat="false" ht="15" hidden="false" customHeight="false" outlineLevel="0" collapsed="false">
      <c r="A1229" s="0" t="s">
        <v>12</v>
      </c>
      <c r="B1229" s="0" t="s">
        <v>2837</v>
      </c>
      <c r="C1229" s="0" t="s">
        <v>1730</v>
      </c>
      <c r="D1229" s="0" t="n">
        <v>0.6</v>
      </c>
    </row>
    <row r="1230" customFormat="false" ht="15" hidden="false" customHeight="false" outlineLevel="0" collapsed="false">
      <c r="A1230" s="0" t="s">
        <v>12</v>
      </c>
      <c r="B1230" s="0" t="s">
        <v>2837</v>
      </c>
      <c r="C1230" s="0" t="s">
        <v>1866</v>
      </c>
      <c r="D1230" s="0" t="n">
        <v>0.3</v>
      </c>
    </row>
    <row r="1231" customFormat="false" ht="15" hidden="false" customHeight="false" outlineLevel="0" collapsed="false">
      <c r="A1231" s="0" t="s">
        <v>12</v>
      </c>
      <c r="B1231" s="0" t="s">
        <v>2837</v>
      </c>
      <c r="C1231" s="0" t="s">
        <v>2159</v>
      </c>
      <c r="D1231" s="0" t="n">
        <v>1</v>
      </c>
    </row>
    <row r="1232" customFormat="false" ht="15" hidden="false" customHeight="false" outlineLevel="0" collapsed="false">
      <c r="A1232" s="0" t="s">
        <v>12</v>
      </c>
      <c r="B1232" s="0" t="s">
        <v>2841</v>
      </c>
      <c r="C1232" s="0" t="s">
        <v>1730</v>
      </c>
      <c r="D1232" s="0" t="n">
        <v>0.4</v>
      </c>
    </row>
    <row r="1233" customFormat="false" ht="15" hidden="false" customHeight="false" outlineLevel="0" collapsed="false">
      <c r="A1233" s="0" t="s">
        <v>12</v>
      </c>
      <c r="B1233" s="0" t="s">
        <v>2841</v>
      </c>
      <c r="C1233" s="0" t="s">
        <v>1866</v>
      </c>
      <c r="D1233" s="0" t="n">
        <v>0.2</v>
      </c>
    </row>
    <row r="1234" customFormat="false" ht="15" hidden="false" customHeight="false" outlineLevel="0" collapsed="false">
      <c r="A1234" s="0" t="s">
        <v>12</v>
      </c>
      <c r="B1234" s="0" t="s">
        <v>2841</v>
      </c>
      <c r="C1234" s="0" t="s">
        <v>2159</v>
      </c>
      <c r="D1234" s="0" t="n">
        <v>0.7</v>
      </c>
    </row>
    <row r="1235" customFormat="false" ht="15" hidden="false" customHeight="false" outlineLevel="0" collapsed="false">
      <c r="A1235" s="0" t="s">
        <v>12</v>
      </c>
      <c r="B1235" s="0" t="s">
        <v>2843</v>
      </c>
      <c r="C1235" s="0" t="s">
        <v>1730</v>
      </c>
      <c r="D1235" s="0" t="n">
        <v>0.3</v>
      </c>
    </row>
    <row r="1236" customFormat="false" ht="15" hidden="false" customHeight="false" outlineLevel="0" collapsed="false">
      <c r="A1236" s="0" t="s">
        <v>12</v>
      </c>
      <c r="B1236" s="0" t="s">
        <v>2843</v>
      </c>
      <c r="C1236" s="0" t="s">
        <v>1866</v>
      </c>
      <c r="D1236" s="0" t="n">
        <v>0.1</v>
      </c>
    </row>
    <row r="1237" customFormat="false" ht="15" hidden="false" customHeight="false" outlineLevel="0" collapsed="false">
      <c r="A1237" s="0" t="s">
        <v>12</v>
      </c>
      <c r="B1237" s="0" t="s">
        <v>2843</v>
      </c>
      <c r="C1237" s="0" t="s">
        <v>2159</v>
      </c>
      <c r="D1237" s="0" t="n">
        <v>0.5</v>
      </c>
    </row>
    <row r="1238" customFormat="false" ht="15" hidden="false" customHeight="false" outlineLevel="0" collapsed="false">
      <c r="A1238" s="0" t="s">
        <v>12</v>
      </c>
      <c r="B1238" s="0" t="s">
        <v>2845</v>
      </c>
      <c r="C1238" s="0" t="s">
        <v>1730</v>
      </c>
      <c r="D1238" s="0" t="n">
        <v>0.2</v>
      </c>
    </row>
    <row r="1239" customFormat="false" ht="15" hidden="false" customHeight="false" outlineLevel="0" collapsed="false">
      <c r="A1239" s="0" t="s">
        <v>12</v>
      </c>
      <c r="B1239" s="0" t="s">
        <v>2845</v>
      </c>
      <c r="C1239" s="0" t="s">
        <v>1866</v>
      </c>
      <c r="D1239" s="0" t="n">
        <v>0.05</v>
      </c>
    </row>
    <row r="1240" customFormat="false" ht="15" hidden="false" customHeight="false" outlineLevel="0" collapsed="false">
      <c r="A1240" s="0" t="s">
        <v>12</v>
      </c>
      <c r="B1240" s="0" t="s">
        <v>2845</v>
      </c>
      <c r="C1240" s="0" t="s">
        <v>2159</v>
      </c>
      <c r="D1240" s="0" t="n">
        <v>0.4</v>
      </c>
    </row>
    <row r="1241" customFormat="false" ht="15" hidden="false" customHeight="false" outlineLevel="0" collapsed="false">
      <c r="A1241" s="0" t="s">
        <v>12</v>
      </c>
      <c r="B1241" s="0" t="s">
        <v>2847</v>
      </c>
      <c r="C1241" s="0" t="s">
        <v>1730</v>
      </c>
      <c r="D1241" s="0" t="n">
        <v>1</v>
      </c>
    </row>
    <row r="1242" customFormat="false" ht="15" hidden="false" customHeight="false" outlineLevel="0" collapsed="false">
      <c r="A1242" s="0" t="s">
        <v>12</v>
      </c>
      <c r="B1242" s="0" t="s">
        <v>2847</v>
      </c>
      <c r="C1242" s="0" t="s">
        <v>1866</v>
      </c>
      <c r="D1242" s="0" t="n">
        <v>0.5</v>
      </c>
    </row>
    <row r="1243" customFormat="false" ht="15" hidden="false" customHeight="false" outlineLevel="0" collapsed="false">
      <c r="A1243" s="0" t="s">
        <v>12</v>
      </c>
      <c r="B1243" s="0" t="s">
        <v>2847</v>
      </c>
      <c r="C1243" s="0" t="s">
        <v>2159</v>
      </c>
      <c r="D1243" s="0" t="n">
        <v>2</v>
      </c>
    </row>
    <row r="1244" customFormat="false" ht="15" hidden="false" customHeight="false" outlineLevel="0" collapsed="false">
      <c r="A1244" s="0" t="s">
        <v>12</v>
      </c>
      <c r="B1244" s="0" t="s">
        <v>2853</v>
      </c>
      <c r="C1244" s="0" t="s">
        <v>1730</v>
      </c>
      <c r="D1244" s="0" t="n">
        <v>0.5</v>
      </c>
    </row>
    <row r="1245" customFormat="false" ht="15" hidden="false" customHeight="false" outlineLevel="0" collapsed="false">
      <c r="A1245" s="0" t="s">
        <v>12</v>
      </c>
      <c r="B1245" s="0" t="s">
        <v>2853</v>
      </c>
      <c r="C1245" s="0" t="s">
        <v>1866</v>
      </c>
      <c r="D1245" s="0" t="n">
        <v>0.2</v>
      </c>
    </row>
    <row r="1246" customFormat="false" ht="15" hidden="false" customHeight="false" outlineLevel="0" collapsed="false">
      <c r="A1246" s="0" t="s">
        <v>12</v>
      </c>
      <c r="B1246" s="0" t="s">
        <v>2853</v>
      </c>
      <c r="C1246" s="0" t="s">
        <v>2159</v>
      </c>
      <c r="D1246" s="0" t="n">
        <v>0.8</v>
      </c>
    </row>
    <row r="1247" customFormat="false" ht="15" hidden="false" customHeight="false" outlineLevel="0" collapsed="false">
      <c r="A1247" s="0" t="s">
        <v>12</v>
      </c>
      <c r="B1247" s="0" t="s">
        <v>2857</v>
      </c>
      <c r="C1247" s="0" t="s">
        <v>1730</v>
      </c>
      <c r="D1247" s="0" t="n">
        <v>0.3</v>
      </c>
    </row>
    <row r="1248" customFormat="false" ht="15" hidden="false" customHeight="false" outlineLevel="0" collapsed="false">
      <c r="A1248" s="0" t="s">
        <v>12</v>
      </c>
      <c r="B1248" s="0" t="s">
        <v>2857</v>
      </c>
      <c r="C1248" s="0" t="s">
        <v>1866</v>
      </c>
      <c r="D1248" s="0" t="n">
        <v>0.1</v>
      </c>
    </row>
    <row r="1249" customFormat="false" ht="15" hidden="false" customHeight="false" outlineLevel="0" collapsed="false">
      <c r="A1249" s="0" t="s">
        <v>12</v>
      </c>
      <c r="B1249" s="0" t="s">
        <v>2857</v>
      </c>
      <c r="C1249" s="0" t="s">
        <v>2159</v>
      </c>
      <c r="D1249" s="0" t="n">
        <v>0.5</v>
      </c>
    </row>
    <row r="1250" customFormat="false" ht="15" hidden="false" customHeight="false" outlineLevel="0" collapsed="false">
      <c r="A1250" s="0" t="s">
        <v>12</v>
      </c>
      <c r="B1250" s="0" t="s">
        <v>2859</v>
      </c>
      <c r="C1250" s="0" t="s">
        <v>1730</v>
      </c>
      <c r="D1250" s="0" t="n">
        <v>0.2</v>
      </c>
    </row>
    <row r="1251" customFormat="false" ht="15" hidden="false" customHeight="false" outlineLevel="0" collapsed="false">
      <c r="A1251" s="0" t="s">
        <v>12</v>
      </c>
      <c r="B1251" s="0" t="s">
        <v>2859</v>
      </c>
      <c r="C1251" s="0" t="s">
        <v>1866</v>
      </c>
      <c r="D1251" s="0" t="n">
        <v>0.05</v>
      </c>
    </row>
    <row r="1252" customFormat="false" ht="15" hidden="false" customHeight="false" outlineLevel="0" collapsed="false">
      <c r="A1252" s="0" t="s">
        <v>12</v>
      </c>
      <c r="B1252" s="0" t="s">
        <v>2859</v>
      </c>
      <c r="C1252" s="0" t="s">
        <v>2159</v>
      </c>
      <c r="D1252" s="0" t="n">
        <v>0.4</v>
      </c>
    </row>
    <row r="1253" customFormat="false" ht="15" hidden="false" customHeight="false" outlineLevel="0" collapsed="false">
      <c r="A1253" s="0" t="s">
        <v>12</v>
      </c>
      <c r="B1253" s="0" t="s">
        <v>2861</v>
      </c>
      <c r="C1253" s="0" t="s">
        <v>1730</v>
      </c>
      <c r="D1253" s="0" t="n">
        <v>0.15</v>
      </c>
    </row>
    <row r="1254" customFormat="false" ht="15" hidden="false" customHeight="false" outlineLevel="0" collapsed="false">
      <c r="A1254" s="0" t="s">
        <v>12</v>
      </c>
      <c r="B1254" s="0" t="s">
        <v>2861</v>
      </c>
      <c r="C1254" s="0" t="s">
        <v>1866</v>
      </c>
      <c r="D1254" s="0" t="n">
        <v>0.05</v>
      </c>
    </row>
    <row r="1255" customFormat="false" ht="15" hidden="false" customHeight="false" outlineLevel="0" collapsed="false">
      <c r="A1255" s="0" t="s">
        <v>12</v>
      </c>
      <c r="B1255" s="0" t="s">
        <v>2861</v>
      </c>
      <c r="C1255" s="0" t="s">
        <v>2159</v>
      </c>
      <c r="D1255" s="0" t="n">
        <v>0.3</v>
      </c>
    </row>
    <row r="1256" customFormat="false" ht="15" hidden="false" customHeight="false" outlineLevel="0" collapsed="false">
      <c r="A1256" s="0" t="s">
        <v>12</v>
      </c>
      <c r="B1256" s="0" t="s">
        <v>2863</v>
      </c>
      <c r="C1256" s="0" t="s">
        <v>1730</v>
      </c>
      <c r="D1256" s="0" t="n">
        <v>3</v>
      </c>
    </row>
    <row r="1257" customFormat="false" ht="15" hidden="false" customHeight="false" outlineLevel="0" collapsed="false">
      <c r="A1257" s="0" t="s">
        <v>12</v>
      </c>
      <c r="B1257" s="0" t="s">
        <v>2863</v>
      </c>
      <c r="C1257" s="0" t="s">
        <v>1866</v>
      </c>
      <c r="D1257" s="0" t="n">
        <v>1</v>
      </c>
    </row>
    <row r="1258" customFormat="false" ht="15" hidden="false" customHeight="false" outlineLevel="0" collapsed="false">
      <c r="A1258" s="0" t="s">
        <v>12</v>
      </c>
      <c r="B1258" s="0" t="s">
        <v>2863</v>
      </c>
      <c r="C1258" s="0" t="s">
        <v>2159</v>
      </c>
      <c r="D1258" s="0" t="n">
        <v>5</v>
      </c>
    </row>
    <row r="1259" customFormat="false" ht="15" hidden="false" customHeight="false" outlineLevel="0" collapsed="false">
      <c r="A1259" s="0" t="s">
        <v>12</v>
      </c>
      <c r="B1259" s="0" t="s">
        <v>2869</v>
      </c>
      <c r="C1259" s="0" t="s">
        <v>1730</v>
      </c>
      <c r="D1259" s="0" t="n">
        <v>1</v>
      </c>
    </row>
    <row r="1260" customFormat="false" ht="15" hidden="false" customHeight="false" outlineLevel="0" collapsed="false">
      <c r="A1260" s="0" t="s">
        <v>12</v>
      </c>
      <c r="B1260" s="0" t="s">
        <v>2869</v>
      </c>
      <c r="C1260" s="0" t="s">
        <v>1866</v>
      </c>
      <c r="D1260" s="0" t="n">
        <v>0.5</v>
      </c>
    </row>
    <row r="1261" customFormat="false" ht="15" hidden="false" customHeight="false" outlineLevel="0" collapsed="false">
      <c r="A1261" s="0" t="s">
        <v>12</v>
      </c>
      <c r="B1261" s="0" t="s">
        <v>2869</v>
      </c>
      <c r="C1261" s="0" t="s">
        <v>2159</v>
      </c>
      <c r="D1261" s="0" t="n">
        <v>1.5</v>
      </c>
    </row>
    <row r="1262" customFormat="false" ht="15" hidden="false" customHeight="false" outlineLevel="0" collapsed="false">
      <c r="A1262" s="0" t="s">
        <v>12</v>
      </c>
      <c r="B1262" s="0" t="s">
        <v>2872</v>
      </c>
      <c r="C1262" s="0" t="s">
        <v>1730</v>
      </c>
      <c r="D1262" s="0" t="n">
        <v>0.5</v>
      </c>
    </row>
    <row r="1263" customFormat="false" ht="15" hidden="false" customHeight="false" outlineLevel="0" collapsed="false">
      <c r="A1263" s="0" t="s">
        <v>12</v>
      </c>
      <c r="B1263" s="0" t="s">
        <v>2872</v>
      </c>
      <c r="C1263" s="0" t="s">
        <v>1866</v>
      </c>
      <c r="D1263" s="0" t="n">
        <v>0.25</v>
      </c>
    </row>
    <row r="1264" customFormat="false" ht="15" hidden="false" customHeight="false" outlineLevel="0" collapsed="false">
      <c r="A1264" s="0" t="s">
        <v>12</v>
      </c>
      <c r="B1264" s="0" t="s">
        <v>2872</v>
      </c>
      <c r="C1264" s="0" t="s">
        <v>2159</v>
      </c>
      <c r="D1264" s="0" t="n">
        <v>0.8</v>
      </c>
    </row>
    <row r="1265" customFormat="false" ht="15" hidden="false" customHeight="false" outlineLevel="0" collapsed="false">
      <c r="A1265" s="0" t="s">
        <v>12</v>
      </c>
      <c r="B1265" s="0" t="s">
        <v>2874</v>
      </c>
      <c r="C1265" s="0" t="s">
        <v>1730</v>
      </c>
      <c r="D1265" s="0" t="n">
        <v>0.35</v>
      </c>
    </row>
    <row r="1266" customFormat="false" ht="15" hidden="false" customHeight="false" outlineLevel="0" collapsed="false">
      <c r="A1266" s="0" t="s">
        <v>12</v>
      </c>
      <c r="B1266" s="0" t="s">
        <v>2874</v>
      </c>
      <c r="C1266" s="0" t="s">
        <v>1866</v>
      </c>
      <c r="D1266" s="0" t="n">
        <v>0.15</v>
      </c>
    </row>
    <row r="1267" customFormat="false" ht="15" hidden="false" customHeight="false" outlineLevel="0" collapsed="false">
      <c r="A1267" s="0" t="s">
        <v>12</v>
      </c>
      <c r="B1267" s="0" t="s">
        <v>2874</v>
      </c>
      <c r="C1267" s="0" t="s">
        <v>2159</v>
      </c>
      <c r="D1267" s="0" t="n">
        <v>0.5</v>
      </c>
    </row>
    <row r="1268" customFormat="false" ht="15" hidden="false" customHeight="false" outlineLevel="0" collapsed="false">
      <c r="A1268" s="0" t="s">
        <v>12</v>
      </c>
      <c r="B1268" s="0" t="s">
        <v>2876</v>
      </c>
      <c r="C1268" s="0" t="s">
        <v>1730</v>
      </c>
      <c r="D1268" s="0" t="n">
        <v>0.25</v>
      </c>
    </row>
    <row r="1269" customFormat="false" ht="15" hidden="false" customHeight="false" outlineLevel="0" collapsed="false">
      <c r="A1269" s="0" t="s">
        <v>12</v>
      </c>
      <c r="B1269" s="0" t="s">
        <v>2876</v>
      </c>
      <c r="C1269" s="0" t="s">
        <v>1866</v>
      </c>
      <c r="D1269" s="0" t="n">
        <v>0.1</v>
      </c>
    </row>
    <row r="1270" customFormat="false" ht="15" hidden="false" customHeight="false" outlineLevel="0" collapsed="false">
      <c r="A1270" s="0" t="s">
        <v>12</v>
      </c>
      <c r="B1270" s="0" t="s">
        <v>2876</v>
      </c>
      <c r="C1270" s="0" t="s">
        <v>2159</v>
      </c>
      <c r="D1270" s="0" t="n">
        <v>0.4</v>
      </c>
    </row>
    <row r="1271" customFormat="false" ht="15" hidden="false" customHeight="false" outlineLevel="0" collapsed="false">
      <c r="A1271" s="0" t="s">
        <v>12</v>
      </c>
      <c r="B1271" s="0" t="s">
        <v>2878</v>
      </c>
      <c r="C1271" s="0" t="s">
        <v>1730</v>
      </c>
      <c r="D1271" s="0" t="n">
        <v>2</v>
      </c>
    </row>
    <row r="1272" customFormat="false" ht="15" hidden="false" customHeight="false" outlineLevel="0" collapsed="false">
      <c r="A1272" s="0" t="s">
        <v>12</v>
      </c>
      <c r="B1272" s="0" t="s">
        <v>2878</v>
      </c>
      <c r="C1272" s="0" t="s">
        <v>1866</v>
      </c>
      <c r="D1272" s="0" t="n">
        <v>1</v>
      </c>
    </row>
    <row r="1273" customFormat="false" ht="15" hidden="false" customHeight="false" outlineLevel="0" collapsed="false">
      <c r="A1273" s="0" t="s">
        <v>12</v>
      </c>
      <c r="B1273" s="0" t="s">
        <v>2878</v>
      </c>
      <c r="C1273" s="0" t="s">
        <v>2159</v>
      </c>
      <c r="D1273" s="0" t="n">
        <v>4</v>
      </c>
    </row>
    <row r="1274" customFormat="false" ht="15" hidden="false" customHeight="false" outlineLevel="0" collapsed="false">
      <c r="A1274" s="0" t="s">
        <v>12</v>
      </c>
      <c r="B1274" s="0" t="s">
        <v>2885</v>
      </c>
      <c r="C1274" s="0" t="s">
        <v>1730</v>
      </c>
      <c r="D1274" s="0" t="n">
        <v>8</v>
      </c>
    </row>
    <row r="1275" customFormat="false" ht="15" hidden="false" customHeight="false" outlineLevel="0" collapsed="false">
      <c r="A1275" s="0" t="s">
        <v>12</v>
      </c>
      <c r="B1275" s="0" t="s">
        <v>2885</v>
      </c>
      <c r="C1275" s="0" t="s">
        <v>1866</v>
      </c>
      <c r="D1275" s="0" t="n">
        <v>4</v>
      </c>
    </row>
    <row r="1276" customFormat="false" ht="15" hidden="false" customHeight="false" outlineLevel="0" collapsed="false">
      <c r="A1276" s="0" t="s">
        <v>12</v>
      </c>
      <c r="B1276" s="0" t="s">
        <v>2885</v>
      </c>
      <c r="C1276" s="0" t="s">
        <v>2159</v>
      </c>
      <c r="D1276" s="0" t="n">
        <v>15</v>
      </c>
    </row>
    <row r="1277" customFormat="false" ht="15" hidden="false" customHeight="false" outlineLevel="0" collapsed="false">
      <c r="A1277" s="0" t="s">
        <v>12</v>
      </c>
      <c r="B1277" s="0" t="s">
        <v>2889</v>
      </c>
      <c r="C1277" s="0" t="s">
        <v>1730</v>
      </c>
      <c r="D1277" s="0" t="n">
        <v>20</v>
      </c>
    </row>
    <row r="1278" customFormat="false" ht="15" hidden="false" customHeight="false" outlineLevel="0" collapsed="false">
      <c r="A1278" s="0" t="s">
        <v>12</v>
      </c>
      <c r="B1278" s="0" t="s">
        <v>2889</v>
      </c>
      <c r="C1278" s="0" t="s">
        <v>1866</v>
      </c>
      <c r="D1278" s="0" t="n">
        <v>10</v>
      </c>
    </row>
    <row r="1279" customFormat="false" ht="15" hidden="false" customHeight="false" outlineLevel="0" collapsed="false">
      <c r="A1279" s="0" t="s">
        <v>12</v>
      </c>
      <c r="B1279" s="0" t="s">
        <v>2889</v>
      </c>
      <c r="C1279" s="0" t="s">
        <v>2159</v>
      </c>
      <c r="D1279" s="0" t="n">
        <v>40</v>
      </c>
    </row>
    <row r="1280" customFormat="false" ht="15" hidden="false" customHeight="false" outlineLevel="0" collapsed="false">
      <c r="A1280" s="0" t="s">
        <v>12</v>
      </c>
      <c r="B1280" s="0" t="s">
        <v>2893</v>
      </c>
      <c r="C1280" s="0" t="s">
        <v>1730</v>
      </c>
      <c r="D1280" s="0" t="n">
        <v>40</v>
      </c>
    </row>
    <row r="1281" customFormat="false" ht="15" hidden="false" customHeight="false" outlineLevel="0" collapsed="false">
      <c r="A1281" s="0" t="s">
        <v>12</v>
      </c>
      <c r="B1281" s="0" t="s">
        <v>2893</v>
      </c>
      <c r="C1281" s="0" t="s">
        <v>1866</v>
      </c>
      <c r="D1281" s="0" t="n">
        <v>20</v>
      </c>
    </row>
    <row r="1282" customFormat="false" ht="15" hidden="false" customHeight="false" outlineLevel="0" collapsed="false">
      <c r="A1282" s="0" t="s">
        <v>12</v>
      </c>
      <c r="B1282" s="0" t="s">
        <v>2893</v>
      </c>
      <c r="C1282" s="0" t="s">
        <v>2159</v>
      </c>
      <c r="D1282" s="0" t="n">
        <v>80</v>
      </c>
    </row>
    <row r="1283" customFormat="false" ht="15" hidden="false" customHeight="false" outlineLevel="0" collapsed="false">
      <c r="A1283" s="0" t="s">
        <v>12</v>
      </c>
      <c r="B1283" s="0" t="s">
        <v>2897</v>
      </c>
      <c r="C1283" s="0" t="s">
        <v>1730</v>
      </c>
      <c r="D1283" s="0" t="n">
        <v>6</v>
      </c>
    </row>
    <row r="1284" customFormat="false" ht="15" hidden="false" customHeight="false" outlineLevel="0" collapsed="false">
      <c r="A1284" s="0" t="s">
        <v>12</v>
      </c>
      <c r="B1284" s="0" t="s">
        <v>2897</v>
      </c>
      <c r="C1284" s="0" t="s">
        <v>1866</v>
      </c>
      <c r="D1284" s="0" t="n">
        <v>3</v>
      </c>
    </row>
    <row r="1285" customFormat="false" ht="15" hidden="false" customHeight="false" outlineLevel="0" collapsed="false">
      <c r="A1285" s="0" t="s">
        <v>12</v>
      </c>
      <c r="B1285" s="0" t="s">
        <v>2897</v>
      </c>
      <c r="C1285" s="0" t="s">
        <v>2159</v>
      </c>
      <c r="D1285" s="0" t="n">
        <v>12</v>
      </c>
    </row>
    <row r="1286" customFormat="false" ht="15" hidden="false" customHeight="false" outlineLevel="0" collapsed="false">
      <c r="A1286" s="0" t="s">
        <v>12</v>
      </c>
      <c r="B1286" s="0" t="s">
        <v>2901</v>
      </c>
      <c r="C1286" s="0" t="s">
        <v>1730</v>
      </c>
      <c r="D1286" s="0" t="n">
        <v>15</v>
      </c>
    </row>
    <row r="1287" customFormat="false" ht="15" hidden="false" customHeight="false" outlineLevel="0" collapsed="false">
      <c r="A1287" s="0" t="s">
        <v>12</v>
      </c>
      <c r="B1287" s="0" t="s">
        <v>2901</v>
      </c>
      <c r="C1287" s="0" t="s">
        <v>1866</v>
      </c>
      <c r="D1287" s="0" t="n">
        <v>8</v>
      </c>
    </row>
    <row r="1288" customFormat="false" ht="15" hidden="false" customHeight="false" outlineLevel="0" collapsed="false">
      <c r="A1288" s="0" t="s">
        <v>12</v>
      </c>
      <c r="B1288" s="0" t="s">
        <v>2901</v>
      </c>
      <c r="C1288" s="0" t="s">
        <v>2159</v>
      </c>
      <c r="D1288" s="0" t="n">
        <v>30</v>
      </c>
    </row>
    <row r="1289" customFormat="false" ht="15" hidden="false" customHeight="false" outlineLevel="0" collapsed="false">
      <c r="A1289" s="0" t="s">
        <v>12</v>
      </c>
      <c r="B1289" s="0" t="s">
        <v>2905</v>
      </c>
      <c r="C1289" s="0" t="s">
        <v>1730</v>
      </c>
      <c r="D1289" s="0" t="n">
        <v>8</v>
      </c>
    </row>
    <row r="1290" customFormat="false" ht="15" hidden="false" customHeight="false" outlineLevel="0" collapsed="false">
      <c r="A1290" s="0" t="s">
        <v>12</v>
      </c>
      <c r="B1290" s="0" t="s">
        <v>2905</v>
      </c>
      <c r="C1290" s="0" t="s">
        <v>1866</v>
      </c>
      <c r="D1290" s="0" t="n">
        <v>4</v>
      </c>
    </row>
    <row r="1291" customFormat="false" ht="15" hidden="false" customHeight="false" outlineLevel="0" collapsed="false">
      <c r="A1291" s="0" t="s">
        <v>12</v>
      </c>
      <c r="B1291" s="0" t="s">
        <v>2905</v>
      </c>
      <c r="C1291" s="0" t="s">
        <v>2159</v>
      </c>
      <c r="D1291" s="0" t="n">
        <v>15</v>
      </c>
    </row>
    <row r="1292" customFormat="false" ht="15" hidden="false" customHeight="false" outlineLevel="0" collapsed="false">
      <c r="A1292" s="0" t="s">
        <v>12</v>
      </c>
      <c r="B1292" s="0" t="s">
        <v>2909</v>
      </c>
      <c r="C1292" s="0" t="s">
        <v>1730</v>
      </c>
      <c r="D1292" s="0" t="n">
        <v>0.1</v>
      </c>
    </row>
    <row r="1293" customFormat="false" ht="15" hidden="false" customHeight="false" outlineLevel="0" collapsed="false">
      <c r="A1293" s="0" t="s">
        <v>12</v>
      </c>
      <c r="B1293" s="0" t="s">
        <v>2909</v>
      </c>
      <c r="C1293" s="0" t="s">
        <v>1866</v>
      </c>
      <c r="D1293" s="0" t="n">
        <v>0.05</v>
      </c>
    </row>
    <row r="1294" customFormat="false" ht="15" hidden="false" customHeight="false" outlineLevel="0" collapsed="false">
      <c r="A1294" s="0" t="s">
        <v>12</v>
      </c>
      <c r="B1294" s="0" t="s">
        <v>2909</v>
      </c>
      <c r="C1294" s="0" t="s">
        <v>2159</v>
      </c>
      <c r="D1294" s="0" t="n">
        <v>0.2</v>
      </c>
    </row>
    <row r="1295" customFormat="false" ht="15" hidden="false" customHeight="false" outlineLevel="0" collapsed="false">
      <c r="A1295" s="0" t="s">
        <v>12</v>
      </c>
      <c r="B1295" s="0" t="s">
        <v>2915</v>
      </c>
      <c r="C1295" s="0" t="s">
        <v>1730</v>
      </c>
      <c r="D1295" s="0" t="n">
        <v>0.95</v>
      </c>
    </row>
    <row r="1296" customFormat="false" ht="15" hidden="false" customHeight="false" outlineLevel="0" collapsed="false">
      <c r="A1296" s="0" t="s">
        <v>12</v>
      </c>
      <c r="B1296" s="0" t="s">
        <v>2915</v>
      </c>
      <c r="C1296" s="0" t="s">
        <v>1866</v>
      </c>
      <c r="D1296" s="0" t="n">
        <v>0.85</v>
      </c>
    </row>
    <row r="1297" customFormat="false" ht="15" hidden="false" customHeight="false" outlineLevel="0" collapsed="false">
      <c r="A1297" s="0" t="s">
        <v>12</v>
      </c>
      <c r="B1297" s="0" t="s">
        <v>2915</v>
      </c>
      <c r="C1297" s="0" t="s">
        <v>2159</v>
      </c>
      <c r="D1297" s="0" t="n">
        <v>1</v>
      </c>
    </row>
    <row r="1298" customFormat="false" ht="15" hidden="false" customHeight="false" outlineLevel="0" collapsed="false">
      <c r="A1298" s="0" t="s">
        <v>12</v>
      </c>
      <c r="B1298" s="0" t="s">
        <v>2922</v>
      </c>
      <c r="C1298" s="0" t="s">
        <v>1730</v>
      </c>
      <c r="D1298" s="0" t="n">
        <v>0</v>
      </c>
    </row>
    <row r="1299" customFormat="false" ht="15" hidden="false" customHeight="false" outlineLevel="0" collapsed="false">
      <c r="A1299" s="0" t="s">
        <v>12</v>
      </c>
      <c r="B1299" s="0" t="s">
        <v>2922</v>
      </c>
      <c r="C1299" s="0" t="s">
        <v>1866</v>
      </c>
      <c r="D1299" s="0" t="n">
        <v>0</v>
      </c>
    </row>
    <row r="1300" customFormat="false" ht="15" hidden="false" customHeight="false" outlineLevel="0" collapsed="false">
      <c r="A1300" s="0" t="s">
        <v>12</v>
      </c>
      <c r="B1300" s="0" t="s">
        <v>2922</v>
      </c>
      <c r="C1300" s="0" t="s">
        <v>2159</v>
      </c>
      <c r="D1300" s="0" t="n">
        <v>0.05</v>
      </c>
    </row>
    <row r="1301" customFormat="false" ht="15" hidden="false" customHeight="false" outlineLevel="0" collapsed="false">
      <c r="A1301" s="0" t="s">
        <v>12</v>
      </c>
      <c r="B1301" s="0" t="s">
        <v>2926</v>
      </c>
      <c r="C1301" s="0" t="s">
        <v>1730</v>
      </c>
      <c r="D1301" s="0" t="n">
        <v>0.65</v>
      </c>
    </row>
    <row r="1302" customFormat="false" ht="15" hidden="false" customHeight="false" outlineLevel="0" collapsed="false">
      <c r="A1302" s="0" t="s">
        <v>12</v>
      </c>
      <c r="B1302" s="0" t="s">
        <v>2926</v>
      </c>
      <c r="C1302" s="0" t="s">
        <v>1866</v>
      </c>
      <c r="D1302" s="0" t="n">
        <v>0.5</v>
      </c>
    </row>
    <row r="1303" customFormat="false" ht="15" hidden="false" customHeight="false" outlineLevel="0" collapsed="false">
      <c r="A1303" s="0" t="s">
        <v>12</v>
      </c>
      <c r="B1303" s="0" t="s">
        <v>2926</v>
      </c>
      <c r="C1303" s="0" t="s">
        <v>2159</v>
      </c>
      <c r="D1303" s="0" t="n">
        <v>0.8</v>
      </c>
    </row>
    <row r="1304" customFormat="false" ht="15" hidden="false" customHeight="false" outlineLevel="0" collapsed="false">
      <c r="A1304" s="0" t="s">
        <v>12</v>
      </c>
      <c r="B1304" s="0" t="s">
        <v>2930</v>
      </c>
      <c r="C1304" s="0" t="s">
        <v>1730</v>
      </c>
      <c r="D1304" s="0" t="n">
        <v>0.25</v>
      </c>
    </row>
    <row r="1305" customFormat="false" ht="15" hidden="false" customHeight="false" outlineLevel="0" collapsed="false">
      <c r="A1305" s="0" t="s">
        <v>12</v>
      </c>
      <c r="B1305" s="0" t="s">
        <v>2930</v>
      </c>
      <c r="C1305" s="0" t="s">
        <v>1866</v>
      </c>
      <c r="D1305" s="0" t="n">
        <v>0.1</v>
      </c>
    </row>
    <row r="1306" customFormat="false" ht="15" hidden="false" customHeight="false" outlineLevel="0" collapsed="false">
      <c r="A1306" s="0" t="s">
        <v>12</v>
      </c>
      <c r="B1306" s="0" t="s">
        <v>2930</v>
      </c>
      <c r="C1306" s="0" t="s">
        <v>2159</v>
      </c>
      <c r="D1306" s="0" t="n">
        <v>0.4</v>
      </c>
    </row>
    <row r="1307" customFormat="false" ht="15" hidden="false" customHeight="false" outlineLevel="0" collapsed="false">
      <c r="A1307" s="0" t="s">
        <v>12</v>
      </c>
      <c r="B1307" s="0" t="s">
        <v>2932</v>
      </c>
      <c r="C1307" s="0" t="s">
        <v>1730</v>
      </c>
      <c r="D1307" s="0" t="n">
        <v>0.3</v>
      </c>
    </row>
    <row r="1308" customFormat="false" ht="15" hidden="false" customHeight="false" outlineLevel="0" collapsed="false">
      <c r="A1308" s="0" t="s">
        <v>12</v>
      </c>
      <c r="B1308" s="0" t="s">
        <v>2932</v>
      </c>
      <c r="C1308" s="0" t="s">
        <v>1866</v>
      </c>
      <c r="D1308" s="0" t="n">
        <v>0.15</v>
      </c>
    </row>
    <row r="1309" customFormat="false" ht="15" hidden="false" customHeight="false" outlineLevel="0" collapsed="false">
      <c r="A1309" s="0" t="s">
        <v>12</v>
      </c>
      <c r="B1309" s="0" t="s">
        <v>2932</v>
      </c>
      <c r="C1309" s="0" t="s">
        <v>2159</v>
      </c>
      <c r="D1309" s="0" t="n">
        <v>0.5</v>
      </c>
    </row>
    <row r="1310" customFormat="false" ht="15" hidden="false" customHeight="false" outlineLevel="0" collapsed="false">
      <c r="A1310" s="0" t="s">
        <v>12</v>
      </c>
      <c r="B1310" s="0" t="s">
        <v>2937</v>
      </c>
      <c r="C1310" s="0" t="s">
        <v>1730</v>
      </c>
      <c r="D1310" s="0" t="n">
        <v>0.6</v>
      </c>
    </row>
    <row r="1311" customFormat="false" ht="15" hidden="false" customHeight="false" outlineLevel="0" collapsed="false">
      <c r="A1311" s="0" t="s">
        <v>12</v>
      </c>
      <c r="B1311" s="0" t="s">
        <v>2937</v>
      </c>
      <c r="C1311" s="0" t="s">
        <v>1866</v>
      </c>
      <c r="D1311" s="0" t="n">
        <v>0.4</v>
      </c>
    </row>
    <row r="1312" customFormat="false" ht="15" hidden="false" customHeight="false" outlineLevel="0" collapsed="false">
      <c r="A1312" s="0" t="s">
        <v>12</v>
      </c>
      <c r="B1312" s="0" t="s">
        <v>2937</v>
      </c>
      <c r="C1312" s="0" t="s">
        <v>2159</v>
      </c>
      <c r="D1312" s="0" t="n">
        <v>0.75</v>
      </c>
    </row>
    <row r="1313" customFormat="false" ht="15" hidden="false" customHeight="false" outlineLevel="0" collapsed="false">
      <c r="A1313" s="0" t="s">
        <v>12</v>
      </c>
      <c r="B1313" s="0" t="s">
        <v>2939</v>
      </c>
      <c r="C1313" s="0" t="s">
        <v>1730</v>
      </c>
      <c r="D1313" s="0" t="n">
        <v>0.2</v>
      </c>
    </row>
    <row r="1314" customFormat="false" ht="15" hidden="false" customHeight="false" outlineLevel="0" collapsed="false">
      <c r="A1314" s="0" t="s">
        <v>12</v>
      </c>
      <c r="B1314" s="0" t="s">
        <v>2939</v>
      </c>
      <c r="C1314" s="0" t="s">
        <v>1866</v>
      </c>
      <c r="D1314" s="0" t="n">
        <v>0.1</v>
      </c>
    </row>
    <row r="1315" customFormat="false" ht="15" hidden="false" customHeight="false" outlineLevel="0" collapsed="false">
      <c r="A1315" s="0" t="s">
        <v>12</v>
      </c>
      <c r="B1315" s="0" t="s">
        <v>2939</v>
      </c>
      <c r="C1315" s="0" t="s">
        <v>2159</v>
      </c>
      <c r="D1315" s="0" t="n">
        <v>0.35</v>
      </c>
    </row>
    <row r="1316" customFormat="false" ht="15" hidden="false" customHeight="false" outlineLevel="0" collapsed="false">
      <c r="A1316" s="0" t="s">
        <v>12</v>
      </c>
      <c r="B1316" s="0" t="s">
        <v>2942</v>
      </c>
      <c r="C1316" s="0" t="s">
        <v>1730</v>
      </c>
      <c r="D1316" s="0" t="n">
        <v>0.7</v>
      </c>
    </row>
    <row r="1317" customFormat="false" ht="15" hidden="false" customHeight="false" outlineLevel="0" collapsed="false">
      <c r="A1317" s="0" t="s">
        <v>12</v>
      </c>
      <c r="B1317" s="0" t="s">
        <v>2942</v>
      </c>
      <c r="C1317" s="0" t="s">
        <v>1866</v>
      </c>
      <c r="D1317" s="0" t="n">
        <v>0.5</v>
      </c>
    </row>
    <row r="1318" customFormat="false" ht="15" hidden="false" customHeight="false" outlineLevel="0" collapsed="false">
      <c r="A1318" s="0" t="s">
        <v>12</v>
      </c>
      <c r="B1318" s="0" t="s">
        <v>2942</v>
      </c>
      <c r="C1318" s="0" t="s">
        <v>2159</v>
      </c>
      <c r="D1318" s="0" t="n">
        <v>0.85</v>
      </c>
    </row>
    <row r="1319" customFormat="false" ht="15" hidden="false" customHeight="false" outlineLevel="0" collapsed="false">
      <c r="A1319" s="0" t="s">
        <v>12</v>
      </c>
      <c r="B1319" s="0" t="s">
        <v>2944</v>
      </c>
      <c r="C1319" s="0" t="s">
        <v>1730</v>
      </c>
      <c r="D1319" s="0" t="n">
        <v>0.75</v>
      </c>
    </row>
    <row r="1320" customFormat="false" ht="15" hidden="false" customHeight="false" outlineLevel="0" collapsed="false">
      <c r="A1320" s="0" t="s">
        <v>12</v>
      </c>
      <c r="B1320" s="0" t="s">
        <v>2944</v>
      </c>
      <c r="C1320" s="0" t="s">
        <v>1866</v>
      </c>
      <c r="D1320" s="0" t="n">
        <v>0.6</v>
      </c>
    </row>
    <row r="1321" customFormat="false" ht="15" hidden="false" customHeight="false" outlineLevel="0" collapsed="false">
      <c r="A1321" s="0" t="s">
        <v>12</v>
      </c>
      <c r="B1321" s="0" t="s">
        <v>2944</v>
      </c>
      <c r="C1321" s="0" t="s">
        <v>2159</v>
      </c>
      <c r="D1321" s="0" t="n">
        <v>0.9</v>
      </c>
    </row>
    <row r="1322" customFormat="false" ht="15" hidden="false" customHeight="false" outlineLevel="0" collapsed="false">
      <c r="A1322" s="0" t="s">
        <v>12</v>
      </c>
      <c r="B1322" s="0" t="s">
        <v>2948</v>
      </c>
      <c r="C1322" s="0" t="s">
        <v>1730</v>
      </c>
      <c r="D1322" s="0" t="n">
        <v>0.15</v>
      </c>
    </row>
    <row r="1323" customFormat="false" ht="15" hidden="false" customHeight="false" outlineLevel="0" collapsed="false">
      <c r="A1323" s="0" t="s">
        <v>12</v>
      </c>
      <c r="B1323" s="0" t="s">
        <v>2948</v>
      </c>
      <c r="C1323" s="0" t="s">
        <v>1866</v>
      </c>
      <c r="D1323" s="0" t="n">
        <v>0.05</v>
      </c>
    </row>
    <row r="1324" customFormat="false" ht="15" hidden="false" customHeight="false" outlineLevel="0" collapsed="false">
      <c r="A1324" s="0" t="s">
        <v>12</v>
      </c>
      <c r="B1324" s="0" t="s">
        <v>2948</v>
      </c>
      <c r="C1324" s="0" t="s">
        <v>2159</v>
      </c>
      <c r="D1324" s="0" t="n">
        <v>0.3</v>
      </c>
    </row>
    <row r="1325" customFormat="false" ht="15" hidden="false" customHeight="false" outlineLevel="0" collapsed="false">
      <c r="A1325" s="0" t="s">
        <v>12</v>
      </c>
      <c r="B1325" s="0" t="s">
        <v>2950</v>
      </c>
      <c r="C1325" s="0" t="s">
        <v>1730</v>
      </c>
      <c r="D1325" s="0" t="n">
        <v>0.3</v>
      </c>
    </row>
    <row r="1326" customFormat="false" ht="15" hidden="false" customHeight="false" outlineLevel="0" collapsed="false">
      <c r="A1326" s="0" t="s">
        <v>12</v>
      </c>
      <c r="B1326" s="0" t="s">
        <v>2950</v>
      </c>
      <c r="C1326" s="0" t="s">
        <v>1866</v>
      </c>
      <c r="D1326" s="0" t="n">
        <v>0.15</v>
      </c>
    </row>
    <row r="1327" customFormat="false" ht="15" hidden="false" customHeight="false" outlineLevel="0" collapsed="false">
      <c r="A1327" s="0" t="s">
        <v>12</v>
      </c>
      <c r="B1327" s="0" t="s">
        <v>2950</v>
      </c>
      <c r="C1327" s="0" t="s">
        <v>2159</v>
      </c>
      <c r="D1327" s="0" t="n">
        <v>0.5</v>
      </c>
    </row>
    <row r="1328" customFormat="false" ht="15" hidden="false" customHeight="false" outlineLevel="0" collapsed="false">
      <c r="A1328" s="0" t="s">
        <v>12</v>
      </c>
      <c r="B1328" s="0" t="s">
        <v>2954</v>
      </c>
      <c r="C1328" s="0" t="s">
        <v>1730</v>
      </c>
      <c r="D1328" s="0" t="n">
        <v>0.6</v>
      </c>
    </row>
    <row r="1329" customFormat="false" ht="15" hidden="false" customHeight="false" outlineLevel="0" collapsed="false">
      <c r="A1329" s="0" t="s">
        <v>12</v>
      </c>
      <c r="B1329" s="0" t="s">
        <v>2954</v>
      </c>
      <c r="C1329" s="0" t="s">
        <v>1866</v>
      </c>
      <c r="D1329" s="0" t="n">
        <v>0.4</v>
      </c>
    </row>
    <row r="1330" customFormat="false" ht="15" hidden="false" customHeight="false" outlineLevel="0" collapsed="false">
      <c r="A1330" s="0" t="s">
        <v>12</v>
      </c>
      <c r="B1330" s="0" t="s">
        <v>2954</v>
      </c>
      <c r="C1330" s="0" t="s">
        <v>2159</v>
      </c>
      <c r="D1330" s="0" t="n">
        <v>0.75</v>
      </c>
    </row>
    <row r="1331" customFormat="false" ht="15" hidden="false" customHeight="false" outlineLevel="0" collapsed="false">
      <c r="A1331" s="0" t="s">
        <v>12</v>
      </c>
      <c r="B1331" s="0" t="s">
        <v>2956</v>
      </c>
      <c r="C1331" s="0" t="s">
        <v>1730</v>
      </c>
      <c r="D1331" s="0" t="n">
        <v>0.55</v>
      </c>
    </row>
    <row r="1332" customFormat="false" ht="15" hidden="false" customHeight="false" outlineLevel="0" collapsed="false">
      <c r="A1332" s="0" t="s">
        <v>12</v>
      </c>
      <c r="B1332" s="0" t="s">
        <v>2956</v>
      </c>
      <c r="C1332" s="0" t="s">
        <v>1866</v>
      </c>
      <c r="D1332" s="0" t="n">
        <v>0.4</v>
      </c>
    </row>
    <row r="1333" customFormat="false" ht="15" hidden="false" customHeight="false" outlineLevel="0" collapsed="false">
      <c r="A1333" s="0" t="s">
        <v>12</v>
      </c>
      <c r="B1333" s="0" t="s">
        <v>2956</v>
      </c>
      <c r="C1333" s="0" t="s">
        <v>2159</v>
      </c>
      <c r="D1333" s="0" t="n">
        <v>0.7</v>
      </c>
    </row>
    <row r="1334" customFormat="false" ht="15" hidden="false" customHeight="false" outlineLevel="0" collapsed="false">
      <c r="A1334" s="0" t="s">
        <v>12</v>
      </c>
      <c r="B1334" s="0" t="s">
        <v>2960</v>
      </c>
      <c r="C1334" s="0" t="s">
        <v>1730</v>
      </c>
      <c r="D1334" s="0" t="n">
        <v>0.3</v>
      </c>
    </row>
    <row r="1335" customFormat="false" ht="15" hidden="false" customHeight="false" outlineLevel="0" collapsed="false">
      <c r="A1335" s="0" t="s">
        <v>12</v>
      </c>
      <c r="B1335" s="0" t="s">
        <v>2960</v>
      </c>
      <c r="C1335" s="0" t="s">
        <v>1866</v>
      </c>
      <c r="D1335" s="0" t="n">
        <v>0.15</v>
      </c>
    </row>
    <row r="1336" customFormat="false" ht="15" hidden="false" customHeight="false" outlineLevel="0" collapsed="false">
      <c r="A1336" s="0" t="s">
        <v>12</v>
      </c>
      <c r="B1336" s="0" t="s">
        <v>2960</v>
      </c>
      <c r="C1336" s="0" t="s">
        <v>2159</v>
      </c>
      <c r="D1336" s="0" t="n">
        <v>0.45</v>
      </c>
    </row>
    <row r="1337" customFormat="false" ht="15" hidden="false" customHeight="false" outlineLevel="0" collapsed="false">
      <c r="A1337" s="0" t="s">
        <v>12</v>
      </c>
      <c r="B1337" s="0" t="s">
        <v>2962</v>
      </c>
      <c r="C1337" s="0" t="s">
        <v>1730</v>
      </c>
      <c r="D1337" s="0" t="n">
        <v>4</v>
      </c>
    </row>
    <row r="1338" customFormat="false" ht="15" hidden="false" customHeight="false" outlineLevel="0" collapsed="false">
      <c r="A1338" s="0" t="s">
        <v>12</v>
      </c>
      <c r="B1338" s="0" t="s">
        <v>2962</v>
      </c>
      <c r="C1338" s="0" t="s">
        <v>1866</v>
      </c>
      <c r="D1338" s="0" t="n">
        <v>2</v>
      </c>
    </row>
    <row r="1339" customFormat="false" ht="15" hidden="false" customHeight="false" outlineLevel="0" collapsed="false">
      <c r="A1339" s="0" t="s">
        <v>12</v>
      </c>
      <c r="B1339" s="0" t="s">
        <v>2962</v>
      </c>
      <c r="C1339" s="0" t="s">
        <v>2159</v>
      </c>
      <c r="D1339" s="0" t="n">
        <v>8</v>
      </c>
    </row>
    <row r="1340" customFormat="false" ht="15" hidden="false" customHeight="false" outlineLevel="0" collapsed="false">
      <c r="A1340" s="0" t="s">
        <v>12</v>
      </c>
      <c r="B1340" s="0" t="s">
        <v>2968</v>
      </c>
      <c r="C1340" s="0" t="s">
        <v>1730</v>
      </c>
      <c r="D1340" s="0" t="n">
        <v>200</v>
      </c>
    </row>
    <row r="1341" customFormat="false" ht="15" hidden="false" customHeight="false" outlineLevel="0" collapsed="false">
      <c r="A1341" s="0" t="s">
        <v>12</v>
      </c>
      <c r="B1341" s="0" t="s">
        <v>2968</v>
      </c>
      <c r="C1341" s="0" t="s">
        <v>1866</v>
      </c>
      <c r="D1341" s="0" t="n">
        <v>50</v>
      </c>
    </row>
    <row r="1342" customFormat="false" ht="15" hidden="false" customHeight="false" outlineLevel="0" collapsed="false">
      <c r="A1342" s="0" t="s">
        <v>12</v>
      </c>
      <c r="B1342" s="0" t="s">
        <v>2968</v>
      </c>
      <c r="C1342" s="0" t="s">
        <v>2159</v>
      </c>
      <c r="D1342" s="0" t="n">
        <v>500</v>
      </c>
    </row>
    <row r="1343" customFormat="false" ht="15" hidden="false" customHeight="false" outlineLevel="0" collapsed="false">
      <c r="A1343" s="0" t="s">
        <v>12</v>
      </c>
      <c r="B1343" s="0" t="s">
        <v>2974</v>
      </c>
      <c r="C1343" s="0" t="s">
        <v>1730</v>
      </c>
      <c r="D1343" s="0" t="n">
        <v>50</v>
      </c>
    </row>
    <row r="1344" customFormat="false" ht="15" hidden="false" customHeight="false" outlineLevel="0" collapsed="false">
      <c r="A1344" s="0" t="s">
        <v>12</v>
      </c>
      <c r="B1344" s="0" t="s">
        <v>2974</v>
      </c>
      <c r="C1344" s="0" t="s">
        <v>1866</v>
      </c>
      <c r="D1344" s="0" t="n">
        <v>20</v>
      </c>
    </row>
    <row r="1345" customFormat="false" ht="15" hidden="false" customHeight="false" outlineLevel="0" collapsed="false">
      <c r="A1345" s="0" t="s">
        <v>12</v>
      </c>
      <c r="B1345" s="0" t="s">
        <v>2974</v>
      </c>
      <c r="C1345" s="0" t="s">
        <v>2159</v>
      </c>
      <c r="D1345" s="0" t="n">
        <v>150</v>
      </c>
    </row>
    <row r="1346" customFormat="false" ht="15" hidden="false" customHeight="false" outlineLevel="0" collapsed="false">
      <c r="A1346" s="0" t="s">
        <v>12</v>
      </c>
      <c r="B1346" s="0" t="s">
        <v>2979</v>
      </c>
      <c r="C1346" s="0" t="s">
        <v>1730</v>
      </c>
      <c r="D1346" s="0" t="n">
        <v>0.15</v>
      </c>
    </row>
    <row r="1347" customFormat="false" ht="15" hidden="false" customHeight="false" outlineLevel="0" collapsed="false">
      <c r="A1347" s="0" t="s">
        <v>12</v>
      </c>
      <c r="B1347" s="0" t="s">
        <v>2979</v>
      </c>
      <c r="C1347" s="0" t="s">
        <v>1866</v>
      </c>
      <c r="D1347" s="0" t="n">
        <v>0.05</v>
      </c>
    </row>
    <row r="1348" customFormat="false" ht="15" hidden="false" customHeight="false" outlineLevel="0" collapsed="false">
      <c r="A1348" s="0" t="s">
        <v>12</v>
      </c>
      <c r="B1348" s="0" t="s">
        <v>2979</v>
      </c>
      <c r="C1348" s="0" t="s">
        <v>2159</v>
      </c>
      <c r="D1348" s="0" t="n">
        <v>0.3</v>
      </c>
    </row>
    <row r="1349" customFormat="false" ht="15" hidden="false" customHeight="false" outlineLevel="0" collapsed="false">
      <c r="A1349" s="0" t="s">
        <v>12</v>
      </c>
      <c r="B1349" s="0" t="s">
        <v>2984</v>
      </c>
      <c r="C1349" s="0" t="s">
        <v>1730</v>
      </c>
      <c r="D1349" s="0" t="n">
        <v>0.3</v>
      </c>
    </row>
    <row r="1350" customFormat="false" ht="15" hidden="false" customHeight="false" outlineLevel="0" collapsed="false">
      <c r="A1350" s="0" t="s">
        <v>12</v>
      </c>
      <c r="B1350" s="0" t="s">
        <v>2984</v>
      </c>
      <c r="C1350" s="0" t="s">
        <v>1866</v>
      </c>
      <c r="D1350" s="0" t="n">
        <v>0.15</v>
      </c>
    </row>
    <row r="1351" customFormat="false" ht="15" hidden="false" customHeight="false" outlineLevel="0" collapsed="false">
      <c r="A1351" s="0" t="s">
        <v>12</v>
      </c>
      <c r="B1351" s="0" t="s">
        <v>2984</v>
      </c>
      <c r="C1351" s="0" t="s">
        <v>2159</v>
      </c>
      <c r="D1351" s="0" t="n">
        <v>0.5</v>
      </c>
    </row>
    <row r="1352" customFormat="false" ht="15" hidden="false" customHeight="false" outlineLevel="0" collapsed="false">
      <c r="A1352" s="0" t="s">
        <v>12</v>
      </c>
      <c r="B1352" s="0" t="s">
        <v>2990</v>
      </c>
      <c r="C1352" s="0" t="s">
        <v>1730</v>
      </c>
      <c r="D1352" s="0" t="n">
        <v>0.65</v>
      </c>
    </row>
    <row r="1353" customFormat="false" ht="15" hidden="false" customHeight="false" outlineLevel="0" collapsed="false">
      <c r="A1353" s="0" t="s">
        <v>12</v>
      </c>
      <c r="B1353" s="0" t="s">
        <v>2990</v>
      </c>
      <c r="C1353" s="0" t="s">
        <v>1866</v>
      </c>
      <c r="D1353" s="0" t="n">
        <v>0.45</v>
      </c>
    </row>
    <row r="1354" customFormat="false" ht="15" hidden="false" customHeight="false" outlineLevel="0" collapsed="false">
      <c r="A1354" s="0" t="s">
        <v>12</v>
      </c>
      <c r="B1354" s="0" t="s">
        <v>2990</v>
      </c>
      <c r="C1354" s="0" t="s">
        <v>2159</v>
      </c>
      <c r="D1354" s="0" t="n">
        <v>0.8</v>
      </c>
    </row>
    <row r="1355" customFormat="false" ht="15" hidden="false" customHeight="false" outlineLevel="0" collapsed="false">
      <c r="A1355" s="0" t="s">
        <v>12</v>
      </c>
      <c r="B1355" s="0" t="s">
        <v>2993</v>
      </c>
      <c r="C1355" s="0" t="s">
        <v>1730</v>
      </c>
      <c r="D1355" s="0" t="n">
        <v>0.05</v>
      </c>
    </row>
    <row r="1356" customFormat="false" ht="15" hidden="false" customHeight="false" outlineLevel="0" collapsed="false">
      <c r="A1356" s="0" t="s">
        <v>12</v>
      </c>
      <c r="B1356" s="0" t="s">
        <v>2993</v>
      </c>
      <c r="C1356" s="0" t="s">
        <v>1866</v>
      </c>
      <c r="D1356" s="0" t="n">
        <v>0</v>
      </c>
    </row>
    <row r="1357" customFormat="false" ht="15" hidden="false" customHeight="false" outlineLevel="0" collapsed="false">
      <c r="A1357" s="0" t="s">
        <v>12</v>
      </c>
      <c r="B1357" s="0" t="s">
        <v>2993</v>
      </c>
      <c r="C1357" s="0" t="s">
        <v>2159</v>
      </c>
      <c r="D1357" s="0" t="n">
        <v>0.15</v>
      </c>
    </row>
    <row r="1358" customFormat="false" ht="15" hidden="false" customHeight="false" outlineLevel="0" collapsed="false">
      <c r="A1358" s="0" t="s">
        <v>12</v>
      </c>
      <c r="B1358" s="0" t="s">
        <v>2997</v>
      </c>
      <c r="C1358" s="0" t="s">
        <v>1730</v>
      </c>
      <c r="D1358" s="0" t="n">
        <v>0.6</v>
      </c>
    </row>
    <row r="1359" customFormat="false" ht="15" hidden="false" customHeight="false" outlineLevel="0" collapsed="false">
      <c r="A1359" s="0" t="s">
        <v>12</v>
      </c>
      <c r="B1359" s="0" t="s">
        <v>2997</v>
      </c>
      <c r="C1359" s="0" t="s">
        <v>1866</v>
      </c>
      <c r="D1359" s="0" t="n">
        <v>0.4</v>
      </c>
    </row>
    <row r="1360" customFormat="false" ht="15" hidden="false" customHeight="false" outlineLevel="0" collapsed="false">
      <c r="A1360" s="0" t="s">
        <v>12</v>
      </c>
      <c r="B1360" s="0" t="s">
        <v>2997</v>
      </c>
      <c r="C1360" s="0" t="s">
        <v>2159</v>
      </c>
      <c r="D1360" s="0" t="n">
        <v>0.8</v>
      </c>
    </row>
    <row r="1361" customFormat="false" ht="15" hidden="false" customHeight="false" outlineLevel="0" collapsed="false">
      <c r="A1361" s="0" t="s">
        <v>12</v>
      </c>
      <c r="B1361" s="0" t="s">
        <v>2999</v>
      </c>
      <c r="C1361" s="0" t="s">
        <v>1730</v>
      </c>
      <c r="D1361" s="0" t="n">
        <v>0.25</v>
      </c>
    </row>
    <row r="1362" customFormat="false" ht="15" hidden="false" customHeight="false" outlineLevel="0" collapsed="false">
      <c r="A1362" s="0" t="s">
        <v>12</v>
      </c>
      <c r="B1362" s="0" t="s">
        <v>2999</v>
      </c>
      <c r="C1362" s="0" t="s">
        <v>1866</v>
      </c>
      <c r="D1362" s="0" t="n">
        <v>0.1</v>
      </c>
    </row>
    <row r="1363" customFormat="false" ht="15" hidden="false" customHeight="false" outlineLevel="0" collapsed="false">
      <c r="A1363" s="0" t="s">
        <v>12</v>
      </c>
      <c r="B1363" s="0" t="s">
        <v>2999</v>
      </c>
      <c r="C1363" s="0" t="s">
        <v>2159</v>
      </c>
      <c r="D1363" s="0" t="n">
        <v>0.4</v>
      </c>
    </row>
    <row r="1364" customFormat="false" ht="15" hidden="false" customHeight="false" outlineLevel="0" collapsed="false">
      <c r="A1364" s="0" t="s">
        <v>12</v>
      </c>
      <c r="B1364" s="0" t="s">
        <v>3003</v>
      </c>
      <c r="C1364" s="0" t="s">
        <v>1730</v>
      </c>
      <c r="D1364" s="0" t="n">
        <v>0.6</v>
      </c>
    </row>
    <row r="1365" customFormat="false" ht="15" hidden="false" customHeight="false" outlineLevel="0" collapsed="false">
      <c r="A1365" s="0" t="s">
        <v>12</v>
      </c>
      <c r="B1365" s="0" t="s">
        <v>3003</v>
      </c>
      <c r="C1365" s="0" t="s">
        <v>1866</v>
      </c>
      <c r="D1365" s="0" t="n">
        <v>0.4</v>
      </c>
    </row>
    <row r="1366" customFormat="false" ht="15" hidden="false" customHeight="false" outlineLevel="0" collapsed="false">
      <c r="A1366" s="0" t="s">
        <v>12</v>
      </c>
      <c r="B1366" s="0" t="s">
        <v>3003</v>
      </c>
      <c r="C1366" s="0" t="s">
        <v>2159</v>
      </c>
      <c r="D1366" s="0" t="n">
        <v>0.75</v>
      </c>
    </row>
    <row r="1367" customFormat="false" ht="15" hidden="false" customHeight="false" outlineLevel="0" collapsed="false">
      <c r="A1367" s="0" t="s">
        <v>12</v>
      </c>
      <c r="B1367" s="0" t="s">
        <v>3005</v>
      </c>
      <c r="C1367" s="0" t="s">
        <v>1730</v>
      </c>
      <c r="D1367" s="0" t="n">
        <v>0.2</v>
      </c>
    </row>
    <row r="1368" customFormat="false" ht="15" hidden="false" customHeight="false" outlineLevel="0" collapsed="false">
      <c r="A1368" s="0" t="s">
        <v>12</v>
      </c>
      <c r="B1368" s="0" t="s">
        <v>3005</v>
      </c>
      <c r="C1368" s="0" t="s">
        <v>1866</v>
      </c>
      <c r="D1368" s="0" t="n">
        <v>0.1</v>
      </c>
    </row>
    <row r="1369" customFormat="false" ht="15" hidden="false" customHeight="false" outlineLevel="0" collapsed="false">
      <c r="A1369" s="0" t="s">
        <v>12</v>
      </c>
      <c r="B1369" s="0" t="s">
        <v>3005</v>
      </c>
      <c r="C1369" s="0" t="s">
        <v>2159</v>
      </c>
      <c r="D1369" s="0" t="n">
        <v>0.35</v>
      </c>
    </row>
    <row r="1370" customFormat="false" ht="15" hidden="false" customHeight="false" outlineLevel="0" collapsed="false">
      <c r="A1370" s="0" t="s">
        <v>12</v>
      </c>
      <c r="B1370" s="0" t="s">
        <v>3010</v>
      </c>
      <c r="C1370" s="0" t="s">
        <v>1730</v>
      </c>
      <c r="D1370" s="0" t="n">
        <v>0.65</v>
      </c>
    </row>
    <row r="1371" customFormat="false" ht="15" hidden="false" customHeight="false" outlineLevel="0" collapsed="false">
      <c r="A1371" s="0" t="s">
        <v>12</v>
      </c>
      <c r="B1371" s="0" t="s">
        <v>3010</v>
      </c>
      <c r="C1371" s="0" t="s">
        <v>1866</v>
      </c>
      <c r="D1371" s="0" t="n">
        <v>0.5</v>
      </c>
    </row>
    <row r="1372" customFormat="false" ht="15" hidden="false" customHeight="false" outlineLevel="0" collapsed="false">
      <c r="A1372" s="0" t="s">
        <v>12</v>
      </c>
      <c r="B1372" s="0" t="s">
        <v>3010</v>
      </c>
      <c r="C1372" s="0" t="s">
        <v>2159</v>
      </c>
      <c r="D1372" s="0" t="n">
        <v>0.8</v>
      </c>
    </row>
    <row r="1373" customFormat="false" ht="15" hidden="false" customHeight="false" outlineLevel="0" collapsed="false">
      <c r="A1373" s="0" t="s">
        <v>12</v>
      </c>
      <c r="B1373" s="0" t="s">
        <v>3014</v>
      </c>
      <c r="C1373" s="0" t="s">
        <v>1730</v>
      </c>
      <c r="D1373" s="0" t="n">
        <v>0.15</v>
      </c>
    </row>
    <row r="1374" customFormat="false" ht="15" hidden="false" customHeight="false" outlineLevel="0" collapsed="false">
      <c r="A1374" s="0" t="s">
        <v>12</v>
      </c>
      <c r="B1374" s="0" t="s">
        <v>3014</v>
      </c>
      <c r="C1374" s="0" t="s">
        <v>1866</v>
      </c>
      <c r="D1374" s="0" t="n">
        <v>0.05</v>
      </c>
    </row>
    <row r="1375" customFormat="false" ht="15" hidden="false" customHeight="false" outlineLevel="0" collapsed="false">
      <c r="A1375" s="0" t="s">
        <v>12</v>
      </c>
      <c r="B1375" s="0" t="s">
        <v>3014</v>
      </c>
      <c r="C1375" s="0" t="s">
        <v>2159</v>
      </c>
      <c r="D1375" s="0" t="n">
        <v>0.3</v>
      </c>
    </row>
    <row r="1376" customFormat="false" ht="15" hidden="false" customHeight="false" outlineLevel="0" collapsed="false">
      <c r="A1376" s="0" t="s">
        <v>12</v>
      </c>
      <c r="B1376" s="0" t="s">
        <v>3016</v>
      </c>
      <c r="C1376" s="0" t="s">
        <v>1730</v>
      </c>
      <c r="D1376" s="0" t="n">
        <v>0.5</v>
      </c>
    </row>
    <row r="1377" customFormat="false" ht="15" hidden="false" customHeight="false" outlineLevel="0" collapsed="false">
      <c r="A1377" s="0" t="s">
        <v>12</v>
      </c>
      <c r="B1377" s="0" t="s">
        <v>3016</v>
      </c>
      <c r="C1377" s="0" t="s">
        <v>1866</v>
      </c>
      <c r="D1377" s="0" t="n">
        <v>0.35</v>
      </c>
    </row>
    <row r="1378" customFormat="false" ht="15" hidden="false" customHeight="false" outlineLevel="0" collapsed="false">
      <c r="A1378" s="0" t="s">
        <v>12</v>
      </c>
      <c r="B1378" s="0" t="s">
        <v>3016</v>
      </c>
      <c r="C1378" s="0" t="s">
        <v>2159</v>
      </c>
      <c r="D1378" s="0" t="n">
        <v>0.65</v>
      </c>
    </row>
    <row r="1379" customFormat="false" ht="15" hidden="false" customHeight="false" outlineLevel="0" collapsed="false">
      <c r="A1379" s="0" t="s">
        <v>12</v>
      </c>
      <c r="B1379" s="0" t="s">
        <v>3019</v>
      </c>
      <c r="C1379" s="0" t="s">
        <v>1730</v>
      </c>
      <c r="D1379" s="0" t="n">
        <v>0.2</v>
      </c>
    </row>
    <row r="1380" customFormat="false" ht="15" hidden="false" customHeight="false" outlineLevel="0" collapsed="false">
      <c r="A1380" s="0" t="s">
        <v>12</v>
      </c>
      <c r="B1380" s="0" t="s">
        <v>3019</v>
      </c>
      <c r="C1380" s="0" t="s">
        <v>1866</v>
      </c>
      <c r="D1380" s="0" t="n">
        <v>0.1</v>
      </c>
    </row>
    <row r="1381" customFormat="false" ht="15" hidden="false" customHeight="false" outlineLevel="0" collapsed="false">
      <c r="A1381" s="0" t="s">
        <v>12</v>
      </c>
      <c r="B1381" s="0" t="s">
        <v>3019</v>
      </c>
      <c r="C1381" s="0" t="s">
        <v>2159</v>
      </c>
      <c r="D1381" s="0" t="n">
        <v>0.35</v>
      </c>
    </row>
    <row r="1382" customFormat="false" ht="15" hidden="false" customHeight="false" outlineLevel="0" collapsed="false">
      <c r="A1382" s="0" t="s">
        <v>12</v>
      </c>
      <c r="B1382" s="0" t="s">
        <v>3024</v>
      </c>
      <c r="C1382" s="0" t="s">
        <v>1730</v>
      </c>
      <c r="D1382" s="0" t="n">
        <v>0.6</v>
      </c>
    </row>
    <row r="1383" customFormat="false" ht="15" hidden="false" customHeight="false" outlineLevel="0" collapsed="false">
      <c r="A1383" s="0" t="s">
        <v>12</v>
      </c>
      <c r="B1383" s="0" t="s">
        <v>3024</v>
      </c>
      <c r="C1383" s="0" t="s">
        <v>1866</v>
      </c>
      <c r="D1383" s="0" t="n">
        <v>0.3</v>
      </c>
    </row>
    <row r="1384" customFormat="false" ht="15" hidden="false" customHeight="false" outlineLevel="0" collapsed="false">
      <c r="A1384" s="0" t="s">
        <v>12</v>
      </c>
      <c r="B1384" s="0" t="s">
        <v>3024</v>
      </c>
      <c r="C1384" s="0" t="s">
        <v>2159</v>
      </c>
      <c r="D1384" s="0" t="n">
        <v>0.85</v>
      </c>
    </row>
    <row r="1385" customFormat="false" ht="15" hidden="false" customHeight="false" outlineLevel="0" collapsed="false">
      <c r="A1385" s="0" t="s">
        <v>12</v>
      </c>
      <c r="B1385" s="0" t="s">
        <v>3030</v>
      </c>
      <c r="C1385" s="0" t="s">
        <v>1730</v>
      </c>
      <c r="D1385" s="0" t="n">
        <v>0.05</v>
      </c>
    </row>
    <row r="1386" customFormat="false" ht="15" hidden="false" customHeight="false" outlineLevel="0" collapsed="false">
      <c r="A1386" s="0" t="s">
        <v>12</v>
      </c>
      <c r="B1386" s="0" t="s">
        <v>3030</v>
      </c>
      <c r="C1386" s="0" t="s">
        <v>1866</v>
      </c>
      <c r="D1386" s="0" t="n">
        <v>0</v>
      </c>
    </row>
    <row r="1387" customFormat="false" ht="15" hidden="false" customHeight="false" outlineLevel="0" collapsed="false">
      <c r="A1387" s="0" t="s">
        <v>12</v>
      </c>
      <c r="B1387" s="0" t="s">
        <v>3030</v>
      </c>
      <c r="C1387" s="0" t="s">
        <v>2159</v>
      </c>
      <c r="D1387" s="0" t="n">
        <v>0.15</v>
      </c>
    </row>
    <row r="1388" customFormat="false" ht="15" hidden="false" customHeight="false" outlineLevel="0" collapsed="false">
      <c r="A1388" s="0" t="s">
        <v>12</v>
      </c>
      <c r="B1388" s="0" t="s">
        <v>3035</v>
      </c>
      <c r="C1388" s="0" t="s">
        <v>1730</v>
      </c>
      <c r="D1388" s="0" t="n">
        <v>0.05</v>
      </c>
    </row>
    <row r="1389" customFormat="false" ht="15" hidden="false" customHeight="false" outlineLevel="0" collapsed="false">
      <c r="A1389" s="0" t="s">
        <v>12</v>
      </c>
      <c r="B1389" s="0" t="s">
        <v>3035</v>
      </c>
      <c r="C1389" s="0" t="s">
        <v>1866</v>
      </c>
      <c r="D1389" s="0" t="n">
        <v>0</v>
      </c>
    </row>
    <row r="1390" customFormat="false" ht="15" hidden="false" customHeight="false" outlineLevel="0" collapsed="false">
      <c r="A1390" s="0" t="s">
        <v>12</v>
      </c>
      <c r="B1390" s="0" t="s">
        <v>3035</v>
      </c>
      <c r="C1390" s="0" t="s">
        <v>2159</v>
      </c>
      <c r="D1390" s="0" t="n">
        <v>0.2</v>
      </c>
    </row>
    <row r="1391" customFormat="false" ht="15" hidden="false" customHeight="false" outlineLevel="0" collapsed="false">
      <c r="A1391" s="0" t="s">
        <v>12</v>
      </c>
      <c r="B1391" s="0" t="s">
        <v>3040</v>
      </c>
      <c r="C1391" s="0" t="s">
        <v>1730</v>
      </c>
      <c r="D1391" s="0" t="n">
        <v>0.1</v>
      </c>
    </row>
    <row r="1392" customFormat="false" ht="15" hidden="false" customHeight="false" outlineLevel="0" collapsed="false">
      <c r="A1392" s="0" t="s">
        <v>12</v>
      </c>
      <c r="B1392" s="0" t="s">
        <v>3040</v>
      </c>
      <c r="C1392" s="0" t="s">
        <v>1866</v>
      </c>
      <c r="D1392" s="0" t="n">
        <v>0</v>
      </c>
    </row>
    <row r="1393" customFormat="false" ht="15" hidden="false" customHeight="false" outlineLevel="0" collapsed="false">
      <c r="A1393" s="0" t="s">
        <v>12</v>
      </c>
      <c r="B1393" s="0" t="s">
        <v>3040</v>
      </c>
      <c r="C1393" s="0" t="s">
        <v>2159</v>
      </c>
      <c r="D1393" s="0" t="n">
        <v>0.25</v>
      </c>
    </row>
    <row r="1394" customFormat="false" ht="15" hidden="false" customHeight="false" outlineLevel="0" collapsed="false">
      <c r="A1394" s="0" t="s">
        <v>12</v>
      </c>
      <c r="B1394" s="0" t="s">
        <v>3045</v>
      </c>
      <c r="C1394" s="0" t="s">
        <v>1730</v>
      </c>
      <c r="D1394" s="0" t="n">
        <v>50</v>
      </c>
    </row>
    <row r="1395" customFormat="false" ht="15" hidden="false" customHeight="false" outlineLevel="0" collapsed="false">
      <c r="A1395" s="0" t="s">
        <v>12</v>
      </c>
      <c r="B1395" s="0" t="s">
        <v>3045</v>
      </c>
      <c r="C1395" s="0" t="s">
        <v>1866</v>
      </c>
      <c r="D1395" s="0" t="n">
        <v>10</v>
      </c>
    </row>
    <row r="1396" customFormat="false" ht="15" hidden="false" customHeight="false" outlineLevel="0" collapsed="false">
      <c r="A1396" s="0" t="s">
        <v>12</v>
      </c>
      <c r="B1396" s="0" t="s">
        <v>3045</v>
      </c>
      <c r="C1396" s="0" t="s">
        <v>2159</v>
      </c>
      <c r="D1396" s="0" t="n">
        <v>200</v>
      </c>
    </row>
    <row r="1397" customFormat="false" ht="15" hidden="false" customHeight="false" outlineLevel="0" collapsed="false">
      <c r="A1397" s="0" t="s">
        <v>12</v>
      </c>
      <c r="B1397" s="0" t="s">
        <v>3050</v>
      </c>
      <c r="C1397" s="0" t="s">
        <v>1730</v>
      </c>
      <c r="D1397" s="0" t="n">
        <v>0.2</v>
      </c>
    </row>
    <row r="1398" customFormat="false" ht="15" hidden="false" customHeight="false" outlineLevel="0" collapsed="false">
      <c r="A1398" s="0" t="s">
        <v>12</v>
      </c>
      <c r="B1398" s="0" t="s">
        <v>3050</v>
      </c>
      <c r="C1398" s="0" t="s">
        <v>1866</v>
      </c>
      <c r="D1398" s="0" t="n">
        <v>0.1</v>
      </c>
    </row>
    <row r="1399" customFormat="false" ht="15" hidden="false" customHeight="false" outlineLevel="0" collapsed="false">
      <c r="A1399" s="0" t="s">
        <v>12</v>
      </c>
      <c r="B1399" s="0" t="s">
        <v>3050</v>
      </c>
      <c r="C1399" s="0" t="s">
        <v>2159</v>
      </c>
      <c r="D1399" s="0" t="n">
        <v>0.3</v>
      </c>
    </row>
    <row r="1400" customFormat="false" ht="15" hidden="false" customHeight="false" outlineLevel="0" collapsed="false">
      <c r="A1400" s="0" t="s">
        <v>12</v>
      </c>
      <c r="B1400" s="0" t="s">
        <v>3055</v>
      </c>
      <c r="C1400" s="0" t="s">
        <v>1730</v>
      </c>
      <c r="D1400" s="0" t="n">
        <v>0.15</v>
      </c>
    </row>
    <row r="1401" customFormat="false" ht="15" hidden="false" customHeight="false" outlineLevel="0" collapsed="false">
      <c r="A1401" s="0" t="s">
        <v>12</v>
      </c>
      <c r="B1401" s="0" t="s">
        <v>3055</v>
      </c>
      <c r="C1401" s="0" t="s">
        <v>1866</v>
      </c>
      <c r="D1401" s="0" t="n">
        <v>0.075</v>
      </c>
    </row>
    <row r="1402" customFormat="false" ht="15" hidden="false" customHeight="false" outlineLevel="0" collapsed="false">
      <c r="A1402" s="0" t="s">
        <v>12</v>
      </c>
      <c r="B1402" s="0" t="s">
        <v>3055</v>
      </c>
      <c r="C1402" s="0" t="s">
        <v>2159</v>
      </c>
      <c r="D1402" s="0" t="n">
        <v>0.225</v>
      </c>
    </row>
    <row r="1403" customFormat="false" ht="15" hidden="false" customHeight="false" outlineLevel="0" collapsed="false">
      <c r="A1403" s="0" t="s">
        <v>12</v>
      </c>
      <c r="B1403" s="0" t="s">
        <v>3059</v>
      </c>
      <c r="C1403" s="0" t="s">
        <v>1730</v>
      </c>
      <c r="D1403" s="0" t="n">
        <v>0.12</v>
      </c>
    </row>
    <row r="1404" customFormat="false" ht="15" hidden="false" customHeight="false" outlineLevel="0" collapsed="false">
      <c r="A1404" s="0" t="s">
        <v>12</v>
      </c>
      <c r="B1404" s="0" t="s">
        <v>3059</v>
      </c>
      <c r="C1404" s="0" t="s">
        <v>1866</v>
      </c>
      <c r="D1404" s="0" t="n">
        <v>0.06</v>
      </c>
    </row>
    <row r="1405" customFormat="false" ht="15" hidden="false" customHeight="false" outlineLevel="0" collapsed="false">
      <c r="A1405" s="0" t="s">
        <v>12</v>
      </c>
      <c r="B1405" s="0" t="s">
        <v>3059</v>
      </c>
      <c r="C1405" s="0" t="s">
        <v>2159</v>
      </c>
      <c r="D1405" s="0" t="n">
        <v>0.18</v>
      </c>
    </row>
    <row r="1406" customFormat="false" ht="15" hidden="false" customHeight="false" outlineLevel="0" collapsed="false">
      <c r="A1406" s="0" t="s">
        <v>12</v>
      </c>
      <c r="B1406" s="0" t="s">
        <v>3062</v>
      </c>
      <c r="C1406" s="0" t="s">
        <v>1730</v>
      </c>
      <c r="D1406" s="0" t="n">
        <v>0.1</v>
      </c>
    </row>
    <row r="1407" customFormat="false" ht="15" hidden="false" customHeight="false" outlineLevel="0" collapsed="false">
      <c r="A1407" s="0" t="s">
        <v>12</v>
      </c>
      <c r="B1407" s="0" t="s">
        <v>3062</v>
      </c>
      <c r="C1407" s="0" t="s">
        <v>1866</v>
      </c>
      <c r="D1407" s="0" t="n">
        <v>0.05</v>
      </c>
    </row>
    <row r="1408" customFormat="false" ht="15" hidden="false" customHeight="false" outlineLevel="0" collapsed="false">
      <c r="A1408" s="0" t="s">
        <v>12</v>
      </c>
      <c r="B1408" s="0" t="s">
        <v>3062</v>
      </c>
      <c r="C1408" s="0" t="s">
        <v>2159</v>
      </c>
      <c r="D1408" s="0" t="n">
        <v>0.15</v>
      </c>
    </row>
    <row r="1409" customFormat="false" ht="15" hidden="false" customHeight="false" outlineLevel="0" collapsed="false">
      <c r="A1409" s="0" t="s">
        <v>12</v>
      </c>
      <c r="B1409" s="0" t="s">
        <v>3065</v>
      </c>
      <c r="C1409" s="0" t="s">
        <v>1730</v>
      </c>
      <c r="D1409" s="0" t="n">
        <v>0.08</v>
      </c>
    </row>
    <row r="1410" customFormat="false" ht="15" hidden="false" customHeight="false" outlineLevel="0" collapsed="false">
      <c r="A1410" s="0" t="s">
        <v>12</v>
      </c>
      <c r="B1410" s="0" t="s">
        <v>3065</v>
      </c>
      <c r="C1410" s="0" t="s">
        <v>1866</v>
      </c>
      <c r="D1410" s="0" t="n">
        <v>0.04</v>
      </c>
    </row>
    <row r="1411" customFormat="false" ht="15" hidden="false" customHeight="false" outlineLevel="0" collapsed="false">
      <c r="A1411" s="0" t="s">
        <v>12</v>
      </c>
      <c r="B1411" s="0" t="s">
        <v>3065</v>
      </c>
      <c r="C1411" s="0" t="s">
        <v>2159</v>
      </c>
      <c r="D1411" s="0" t="n">
        <v>0.12</v>
      </c>
    </row>
    <row r="1412" customFormat="false" ht="15" hidden="false" customHeight="false" outlineLevel="0" collapsed="false">
      <c r="A1412" s="0" t="s">
        <v>12</v>
      </c>
      <c r="B1412" s="0" t="s">
        <v>3068</v>
      </c>
      <c r="C1412" s="0" t="s">
        <v>1730</v>
      </c>
      <c r="D1412" s="0" t="n">
        <v>0.45</v>
      </c>
    </row>
    <row r="1413" customFormat="false" ht="15" hidden="false" customHeight="false" outlineLevel="0" collapsed="false">
      <c r="A1413" s="0" t="s">
        <v>12</v>
      </c>
      <c r="B1413" s="0" t="s">
        <v>3068</v>
      </c>
      <c r="C1413" s="0" t="s">
        <v>1866</v>
      </c>
      <c r="D1413" s="0" t="n">
        <v>0.225</v>
      </c>
    </row>
    <row r="1414" customFormat="false" ht="15" hidden="false" customHeight="false" outlineLevel="0" collapsed="false">
      <c r="A1414" s="0" t="s">
        <v>12</v>
      </c>
      <c r="B1414" s="0" t="s">
        <v>3068</v>
      </c>
      <c r="C1414" s="0" t="s">
        <v>2159</v>
      </c>
      <c r="D1414" s="0" t="n">
        <v>0.9</v>
      </c>
    </row>
    <row r="1415" customFormat="false" ht="15" hidden="false" customHeight="false" outlineLevel="0" collapsed="false">
      <c r="A1415" s="0" t="s">
        <v>12</v>
      </c>
      <c r="B1415" s="0" t="s">
        <v>3073</v>
      </c>
      <c r="C1415" s="0" t="s">
        <v>1730</v>
      </c>
      <c r="D1415" s="0" t="n">
        <v>0.35</v>
      </c>
    </row>
    <row r="1416" customFormat="false" ht="15" hidden="false" customHeight="false" outlineLevel="0" collapsed="false">
      <c r="A1416" s="0" t="s">
        <v>12</v>
      </c>
      <c r="B1416" s="0" t="s">
        <v>3073</v>
      </c>
      <c r="C1416" s="0" t="s">
        <v>1866</v>
      </c>
      <c r="D1416" s="0" t="n">
        <v>0.175</v>
      </c>
    </row>
    <row r="1417" customFormat="false" ht="15" hidden="false" customHeight="false" outlineLevel="0" collapsed="false">
      <c r="A1417" s="0" t="s">
        <v>12</v>
      </c>
      <c r="B1417" s="0" t="s">
        <v>3073</v>
      </c>
      <c r="C1417" s="0" t="s">
        <v>2159</v>
      </c>
      <c r="D1417" s="0" t="n">
        <v>0.7</v>
      </c>
    </row>
    <row r="1418" customFormat="false" ht="15" hidden="false" customHeight="false" outlineLevel="0" collapsed="false">
      <c r="A1418" s="0" t="s">
        <v>12</v>
      </c>
      <c r="B1418" s="0" t="s">
        <v>3076</v>
      </c>
      <c r="C1418" s="0" t="s">
        <v>1730</v>
      </c>
      <c r="D1418" s="0" t="n">
        <v>0.25</v>
      </c>
    </row>
    <row r="1419" customFormat="false" ht="15" hidden="false" customHeight="false" outlineLevel="0" collapsed="false">
      <c r="A1419" s="0" t="s">
        <v>12</v>
      </c>
      <c r="B1419" s="0" t="s">
        <v>3076</v>
      </c>
      <c r="C1419" s="0" t="s">
        <v>1866</v>
      </c>
      <c r="D1419" s="0" t="n">
        <v>0.125</v>
      </c>
    </row>
    <row r="1420" customFormat="false" ht="15" hidden="false" customHeight="false" outlineLevel="0" collapsed="false">
      <c r="A1420" s="0" t="s">
        <v>12</v>
      </c>
      <c r="B1420" s="0" t="s">
        <v>3076</v>
      </c>
      <c r="C1420" s="0" t="s">
        <v>2159</v>
      </c>
      <c r="D1420" s="0" t="n">
        <v>0.5</v>
      </c>
    </row>
    <row r="1421" customFormat="false" ht="15" hidden="false" customHeight="false" outlineLevel="0" collapsed="false">
      <c r="A1421" s="0" t="s">
        <v>12</v>
      </c>
      <c r="B1421" s="0" t="s">
        <v>3079</v>
      </c>
      <c r="C1421" s="0" t="s">
        <v>1730</v>
      </c>
      <c r="D1421" s="0" t="n">
        <v>0.2</v>
      </c>
    </row>
    <row r="1422" customFormat="false" ht="15" hidden="false" customHeight="false" outlineLevel="0" collapsed="false">
      <c r="A1422" s="0" t="s">
        <v>12</v>
      </c>
      <c r="B1422" s="0" t="s">
        <v>3079</v>
      </c>
      <c r="C1422" s="0" t="s">
        <v>1866</v>
      </c>
      <c r="D1422" s="0" t="n">
        <v>0.1</v>
      </c>
    </row>
    <row r="1423" customFormat="false" ht="15" hidden="false" customHeight="false" outlineLevel="0" collapsed="false">
      <c r="A1423" s="0" t="s">
        <v>12</v>
      </c>
      <c r="B1423" s="0" t="s">
        <v>3079</v>
      </c>
      <c r="C1423" s="0" t="s">
        <v>2159</v>
      </c>
      <c r="D1423" s="0" t="n">
        <v>0.4</v>
      </c>
    </row>
    <row r="1424" customFormat="false" ht="15" hidden="false" customHeight="false" outlineLevel="0" collapsed="false">
      <c r="A1424" s="0" t="s">
        <v>12</v>
      </c>
      <c r="B1424" s="0" t="s">
        <v>3082</v>
      </c>
      <c r="C1424" s="0" t="s">
        <v>1730</v>
      </c>
      <c r="D1424" s="0" t="n">
        <v>-0.7</v>
      </c>
    </row>
    <row r="1425" customFormat="false" ht="15" hidden="false" customHeight="false" outlineLevel="0" collapsed="false">
      <c r="A1425" s="0" t="s">
        <v>12</v>
      </c>
      <c r="B1425" s="0" t="s">
        <v>3082</v>
      </c>
      <c r="C1425" s="0" t="s">
        <v>1866</v>
      </c>
      <c r="D1425" s="0" t="n">
        <v>-1.05</v>
      </c>
    </row>
    <row r="1426" customFormat="false" ht="15" hidden="false" customHeight="false" outlineLevel="0" collapsed="false">
      <c r="A1426" s="0" t="s">
        <v>12</v>
      </c>
      <c r="B1426" s="0" t="s">
        <v>3082</v>
      </c>
      <c r="C1426" s="0" t="s">
        <v>2159</v>
      </c>
      <c r="D1426" s="0" t="n">
        <v>-0.35</v>
      </c>
    </row>
    <row r="1427" customFormat="false" ht="15" hidden="false" customHeight="false" outlineLevel="0" collapsed="false">
      <c r="A1427" s="0" t="s">
        <v>12</v>
      </c>
      <c r="B1427" s="0" t="s">
        <v>3088</v>
      </c>
      <c r="C1427" s="0" t="s">
        <v>1730</v>
      </c>
      <c r="D1427" s="0" t="n">
        <v>-0.3</v>
      </c>
    </row>
    <row r="1428" customFormat="false" ht="15" hidden="false" customHeight="false" outlineLevel="0" collapsed="false">
      <c r="A1428" s="0" t="s">
        <v>12</v>
      </c>
      <c r="B1428" s="0" t="s">
        <v>3088</v>
      </c>
      <c r="C1428" s="0" t="s">
        <v>1866</v>
      </c>
      <c r="D1428" s="0" t="n">
        <v>-0.45</v>
      </c>
    </row>
    <row r="1429" customFormat="false" ht="15" hidden="false" customHeight="false" outlineLevel="0" collapsed="false">
      <c r="A1429" s="0" t="s">
        <v>12</v>
      </c>
      <c r="B1429" s="0" t="s">
        <v>3088</v>
      </c>
      <c r="C1429" s="0" t="s">
        <v>2159</v>
      </c>
      <c r="D1429" s="0" t="n">
        <v>-0.15</v>
      </c>
    </row>
    <row r="1430" customFormat="false" ht="15" hidden="false" customHeight="false" outlineLevel="0" collapsed="false">
      <c r="A1430" s="0" t="s">
        <v>12</v>
      </c>
      <c r="B1430" s="0" t="s">
        <v>3092</v>
      </c>
      <c r="C1430" s="0" t="s">
        <v>1730</v>
      </c>
      <c r="D1430" s="0" t="n">
        <v>-0.15</v>
      </c>
    </row>
    <row r="1431" customFormat="false" ht="15" hidden="false" customHeight="false" outlineLevel="0" collapsed="false">
      <c r="A1431" s="0" t="s">
        <v>12</v>
      </c>
      <c r="B1431" s="0" t="s">
        <v>3092</v>
      </c>
      <c r="C1431" s="0" t="s">
        <v>1866</v>
      </c>
      <c r="D1431" s="0" t="n">
        <v>-0.35</v>
      </c>
    </row>
    <row r="1432" customFormat="false" ht="15" hidden="false" customHeight="false" outlineLevel="0" collapsed="false">
      <c r="A1432" s="0" t="s">
        <v>12</v>
      </c>
      <c r="B1432" s="0" t="s">
        <v>3092</v>
      </c>
      <c r="C1432" s="0" t="s">
        <v>2159</v>
      </c>
      <c r="D1432" s="0" t="n">
        <v>0</v>
      </c>
    </row>
    <row r="1433" customFormat="false" ht="15" hidden="false" customHeight="false" outlineLevel="0" collapsed="false">
      <c r="A1433" s="0" t="s">
        <v>12</v>
      </c>
      <c r="B1433" s="0" t="s">
        <v>3098</v>
      </c>
      <c r="C1433" s="0" t="s">
        <v>1730</v>
      </c>
      <c r="D1433" s="0" t="n">
        <v>0</v>
      </c>
    </row>
    <row r="1434" customFormat="false" ht="15" hidden="false" customHeight="false" outlineLevel="0" collapsed="false">
      <c r="A1434" s="0" t="s">
        <v>12</v>
      </c>
      <c r="B1434" s="0" t="s">
        <v>3098</v>
      </c>
      <c r="C1434" s="0" t="s">
        <v>1866</v>
      </c>
      <c r="D1434" s="0" t="n">
        <v>-0.15</v>
      </c>
    </row>
    <row r="1435" customFormat="false" ht="15" hidden="false" customHeight="false" outlineLevel="0" collapsed="false">
      <c r="A1435" s="0" t="s">
        <v>12</v>
      </c>
      <c r="B1435" s="0" t="s">
        <v>3098</v>
      </c>
      <c r="C1435" s="0" t="s">
        <v>2159</v>
      </c>
      <c r="D1435" s="0" t="n">
        <v>0.15</v>
      </c>
    </row>
    <row r="1436" customFormat="false" ht="15" hidden="false" customHeight="false" outlineLevel="0" collapsed="false">
      <c r="A1436" s="0" t="s">
        <v>12</v>
      </c>
      <c r="B1436" s="0" t="s">
        <v>3105</v>
      </c>
      <c r="C1436" s="0" t="s">
        <v>1730</v>
      </c>
      <c r="D1436" s="0" t="n">
        <v>0.16</v>
      </c>
    </row>
    <row r="1437" customFormat="false" ht="15" hidden="false" customHeight="false" outlineLevel="0" collapsed="false">
      <c r="A1437" s="0" t="s">
        <v>12</v>
      </c>
      <c r="B1437" s="0" t="s">
        <v>3105</v>
      </c>
      <c r="C1437" s="0" t="s">
        <v>1866</v>
      </c>
      <c r="D1437" s="0" t="n">
        <v>0.16</v>
      </c>
    </row>
    <row r="1438" customFormat="false" ht="15" hidden="false" customHeight="false" outlineLevel="0" collapsed="false">
      <c r="A1438" s="0" t="s">
        <v>12</v>
      </c>
      <c r="B1438" s="0" t="s">
        <v>3105</v>
      </c>
      <c r="C1438" s="0" t="s">
        <v>2159</v>
      </c>
      <c r="D1438" s="0" t="n">
        <v>0.3</v>
      </c>
    </row>
    <row r="1439" customFormat="false" ht="15" hidden="false" customHeight="false" outlineLevel="0" collapsed="false">
      <c r="A1439" s="0" t="s">
        <v>12</v>
      </c>
      <c r="B1439" s="0" t="s">
        <v>3111</v>
      </c>
      <c r="C1439" s="0" t="s">
        <v>1730</v>
      </c>
      <c r="D1439" s="0" t="n">
        <v>0</v>
      </c>
    </row>
    <row r="1440" customFormat="false" ht="15" hidden="false" customHeight="false" outlineLevel="0" collapsed="false">
      <c r="A1440" s="0" t="s">
        <v>12</v>
      </c>
      <c r="B1440" s="0" t="s">
        <v>3111</v>
      </c>
      <c r="C1440" s="0" t="s">
        <v>1866</v>
      </c>
      <c r="D1440" s="0" t="n">
        <v>0</v>
      </c>
    </row>
    <row r="1441" customFormat="false" ht="15" hidden="false" customHeight="false" outlineLevel="0" collapsed="false">
      <c r="A1441" s="0" t="s">
        <v>12</v>
      </c>
      <c r="B1441" s="0" t="s">
        <v>3111</v>
      </c>
      <c r="C1441" s="0" t="s">
        <v>2159</v>
      </c>
      <c r="D1441" s="0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2026-10-08T01:16:08Z</dcterms:created>
  <dc:creator>openpyxl</dc:creator>
  <dc:description/>
  <dc:language>en-US</dc:language>
  <cp:lastModifiedBy/>
  <dcterms:modified xsi:type="dcterms:W3CDTF">2026-10-08T01:16:08Z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