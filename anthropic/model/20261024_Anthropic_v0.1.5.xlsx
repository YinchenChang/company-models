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ANT" sheetId="2" state="visible" r:id="rId4"/>
    <sheet name="TK_Link" sheetId="3" state="visible" r:id="rId5"/>
    <sheet name="OAI_Link" sheetId="4" state="visible" r:id="rId6"/>
    <sheet name="Inputs" sheetId="5" state="visible" r:id="rId7"/>
    <sheet name="Demand" sheetId="6" state="visible" r:id="rId8"/>
    <sheet name="Revenue" sheetId="7" state="visible" r:id="rId9"/>
    <sheet name="Compute" sheetId="8" state="visible" r:id="rId10"/>
    <sheet name="Cost" sheetId="9" state="visible" r:id="rId11"/>
    <sheet name="Bridge" sheetId="10" state="visible" r:id="rId12"/>
    <sheet name="EtaDiag" sheetId="11" state="visible" r:id="rId13"/>
    <sheet name="Funding" sheetId="12" state="visible" r:id="rId14"/>
    <sheet name="Reverse" sheetId="13" state="visible" r:id="rId15"/>
    <sheet name="Checks" sheetId="14" state="visible" r:id="rId16"/>
    <sheet name="_Defaults" sheetId="15" state="hidden" r:id="rId17"/>
  </sheets>
  <definedNames>
    <definedName function="false" hidden="false" name="CHK_Errors" vbProcedure="false">Checks!$C$161</definedName>
    <definedName function="false" hidden="false" name="CHK_Warnings" vbProcedure="false">Checks!$C$162</definedName>
    <definedName function="false" hidden="false" name="CMP_CapFactor" vbProcedure="false">Compute!$D$161:$I$161</definedName>
    <definedName function="false" hidden="false" name="CMP_CapFlag" vbProcedure="false">Compute!$D$162:$I$162</definedName>
    <definedName function="false" hidden="false" name="CMP_CapFree" vbProcedure="false">Compute!$D$139:$I$139</definedName>
    <definedName function="false" hidden="false" name="CMP_CapPaid" vbProcedure="false">Compute!$D$129:$I$129</definedName>
    <definedName function="false" hidden="false" name="CMP_DemandGW" vbProcedure="false">Compute!$D$160:$I$160</definedName>
    <definedName function="false" hidden="false" name="CMP_Eta" vbProcedure="false">Compute!$D$150:$I$150</definedName>
    <definedName function="false" hidden="false" name="CMP_Eta2025" vbProcedure="false">Compute!$D$149</definedName>
    <definedName function="false" hidden="false" name="CMP_ExpGW" vbProcedure="false">Cost!$D$293:$I$293</definedName>
    <definedName function="false" hidden="false" name="CMP_GW_GB200" vbProcedure="false">Compute!$D$93:$I$93</definedName>
    <definedName function="false" hidden="false" name="CMP_GW_GB300" vbProcedure="false">Compute!$D$94:$I$94</definedName>
    <definedName function="false" hidden="false" name="CMP_GW_Hopper" vbProcedure="false">Compute!$D$92:$I$92</definedName>
    <definedName function="false" hidden="false" name="CMP_GW_MI455X" vbProcedure="false">Compute!$D$100:$I$100</definedName>
    <definedName function="false" hidden="false" name="CMP_GW_TPUv6e" vbProcedure="false">Compute!$D$96:$I$96</definedName>
    <definedName function="false" hidden="false" name="CMP_GW_TPUv7" vbProcedure="false">Compute!$D$97:$I$97</definedName>
    <definedName function="false" hidden="false" name="CMP_GW_Trn2" vbProcedure="false">Compute!$D$98:$I$98</definedName>
    <definedName function="false" hidden="false" name="CMP_GW_Trn3" vbProcedure="false">Compute!$D$99:$I$99</definedName>
    <definedName function="false" hidden="false" name="CMP_GW_VR200" vbProcedure="false">Compute!$D$95:$I$95</definedName>
    <definedName function="false" hidden="false" name="CMP_InfAvailGW" vbProcedure="false">Compute!$D$157:$I$157</definedName>
    <definedName function="false" hidden="false" name="CMP_InfGW" vbProcedure="false">Compute!$D$158:$I$158</definedName>
    <definedName function="false" hidden="false" name="CMP_InfGW_Eff" vbProcedure="false">Compute!$D$153:$I$153</definedName>
    <definedName function="false" hidden="false" name="CMP_InfGW_VReq" vbProcedure="false">Compute!$D$169:$I$169</definedName>
    <definedName function="false" hidden="false" name="CMP_NegGW" vbProcedure="false">Cost!$D$255:$I$255</definedName>
    <definedName function="false" hidden="false" name="CMP_OwnedCapex" vbProcedure="false">Compute!$D$85:$I$85</definedName>
    <definedName function="false" hidden="false" name="CMP_Price_GB200" vbProcedure="false">Compute!$D$32:$I$32</definedName>
    <definedName function="false" hidden="false" name="CMP_Price_GB300" vbProcedure="false">Compute!$D$36:$I$36</definedName>
    <definedName function="false" hidden="false" name="CMP_Price_Hopper" vbProcedure="false">Compute!$D$28:$I$28</definedName>
    <definedName function="false" hidden="false" name="CMP_Price_MI455X" vbProcedure="false">Compute!$D$60:$I$60</definedName>
    <definedName function="false" hidden="false" name="CMP_Price_TPUv6e" vbProcedure="false">Compute!$D$44:$I$44</definedName>
    <definedName function="false" hidden="false" name="CMP_Price_TPUv7" vbProcedure="false">Compute!$D$48:$I$48</definedName>
    <definedName function="false" hidden="false" name="CMP_Price_Trn2" vbProcedure="false">Compute!$D$52:$I$52</definedName>
    <definedName function="false" hidden="false" name="CMP_Price_Trn3" vbProcedure="false">Compute!$D$56:$I$56</definedName>
    <definedName function="false" hidden="false" name="CMP_Price_VR200" vbProcedure="false">Compute!$D$40:$I$40</definedName>
    <definedName function="false" hidden="false" name="CMP_RDGW" vbProcedure="false">Compute!$D$159:$I$159</definedName>
    <definedName function="false" hidden="false" name="CMP_RDGW_VReq" vbProcedure="false">Compute!$D$170:$I$170</definedName>
    <definedName function="false" hidden="false" name="CMP_Share_GB200" vbProcedure="false">Compute!$D$103:$I$103</definedName>
    <definedName function="false" hidden="false" name="CMP_Share_GB300" vbProcedure="false">Compute!$D$104:$I$104</definedName>
    <definedName function="false" hidden="false" name="CMP_Share_Hopper" vbProcedure="false">Compute!$D$102:$I$102</definedName>
    <definedName function="false" hidden="false" name="CMP_Share_MI455X" vbProcedure="false">Compute!$D$110:$I$110</definedName>
    <definedName function="false" hidden="false" name="CMP_Share_TPUv6e" vbProcedure="false">Compute!$D$106:$I$106</definedName>
    <definedName function="false" hidden="false" name="CMP_Share_TPUv7" vbProcedure="false">Compute!$D$107:$I$107</definedName>
    <definedName function="false" hidden="false" name="CMP_Share_Trn2" vbProcedure="false">Compute!$D$108:$I$108</definedName>
    <definedName function="false" hidden="false" name="CMP_Share_Trn3" vbProcedure="false">Compute!$D$109:$I$109</definedName>
    <definedName function="false" hidden="false" name="CMP_Share_VR200" vbProcedure="false">Compute!$D$105:$I$105</definedName>
    <definedName function="false" hidden="false" name="CMP_SpendGW2025" vbProcedure="false">Compute!$D$148</definedName>
    <definedName function="false" hidden="false" name="CMP_SupplyContractGW" vbProcedure="false">Compute!$D$90:$I$90</definedName>
    <definedName function="false" hidden="false" name="CMP_SupplyGW" vbProcedure="false">Compute!$D$91:$I$91</definedName>
    <definedName function="false" hidden="false" name="CMP_Supply_Akamai" vbProcedure="false">Compute!$D$82:$I$82</definedName>
    <definedName function="false" hidden="false" name="CMP_Supply_Amd" vbProcedure="false">Compute!$D$77:$I$77</definedName>
    <definedName function="false" hidden="false" name="CMP_Supply_Aws" vbProcedure="false">Compute!$D$75:$I$75</definedName>
    <definedName function="false" hidden="false" name="CMP_Supply_Azure" vbProcedure="false">Compute!$D$76:$I$76</definedName>
    <definedName function="false" hidden="false" name="CMP_Supply_Broadcom" vbProcedure="false">Compute!$D$74:$I$74</definedName>
    <definedName function="false" hidden="false" name="CMP_Supply_Google" vbProcedure="false">Compute!$D$73:$I$73</definedName>
    <definedName function="false" hidden="false" name="CMP_Supply_Lambda" vbProcedure="false">Compute!$D$80:$I$80</definedName>
    <definedName function="false" hidden="false" name="CMP_Supply_Lambda_Disc" vbProcedure="false">Compute!$D$244:$I$244</definedName>
    <definedName function="false" hidden="false" name="CMP_Supply_Legacy" vbProcedure="false">Compute!$D$68:$I$68</definedName>
    <definedName function="false" hidden="false" name="CMP_Supply_Nscale" vbProcedure="false">Compute!$D$79:$I$79</definedName>
    <definedName function="false" hidden="false" name="CMP_Supply_Nscale_Disc" vbProcedure="false">Compute!$D$243:$I$243</definedName>
    <definedName function="false" hidden="false" name="CMP_Supply_Owned" vbProcedure="false">Compute!$D$88:$I$88</definedName>
    <definedName function="false" hidden="false" name="CMP_Supply_Spacex" vbProcedure="false">Compute!$D$78:$I$78</definedName>
    <definedName function="false" hidden="false" name="CMP_Supply_Volta" vbProcedure="false">Compute!$D$81:$I$81</definedName>
    <definedName function="false" hidden="false" name="CMP_Supply_VReq" vbProcedure="false">Compute!$D$168:$I$168</definedName>
    <definedName function="false" hidden="false" name="CMP_TokGW" vbProcedure="false">Compute!$D$145:$I$145</definedName>
    <definedName function="false" hidden="false" name="CMP_TokGW_Free" vbProcedure="false">Compute!$D$144:$I$144</definedName>
    <definedName function="false" hidden="false" name="CMP_TokGW_Paid" vbProcedure="false">Compute!$D$143:$I$143</definedName>
    <definedName function="false" hidden="false" name="CMP_U2GWRatio_Lambda" vbProcedure="false">Compute!$D$242</definedName>
    <definedName function="false" hidden="false" name="CMP_U2GWRatio_Nscale" vbProcedure="false">Compute!$D$240</definedName>
    <definedName function="false" hidden="false" name="CMP_VReqFactor" vbProcedure="false">Compute!$D$167:$I$167</definedName>
    <definedName function="false" hidden="false" name="CMP_YEGap" vbProcedure="false">Compute!$D$175:$F$175</definedName>
    <definedName function="false" hidden="false" name="COST_AdjOI2026" vbProcedure="false">Cost!$E$129</definedName>
    <definedName function="false" hidden="false" name="COST_AdjOIM2026" vbProcedure="false">Cost!$E$130</definedName>
    <definedName function="false" hidden="false" name="COST_AdjOIMGapQ3" vbProcedure="false">Cost!$E$241</definedName>
    <definedName function="false" hidden="false" name="COST_AdjOIMRep2026Q2" vbProcedure="false">Cost!$E$131</definedName>
    <definedName function="false" hidden="false" name="COST_AdjOIMRep2026Q3" vbProcedure="false">Cost!$E$239</definedName>
    <definedName function="false" hidden="false" name="COST_CloudGM" vbProcedure="false">Cost!$D$73:$I$73</definedName>
    <definedName function="false" hidden="false" name="COST_CloudGMPct" vbProcedure="false">Cost!$D$74:$I$74</definedName>
    <definedName function="false" hidden="false" name="COST_Commit6" vbProcedure="false">Cost!$D$148</definedName>
    <definedName function="false" hidden="false" name="COST_CommitAll" vbProcedure="false">Cost!$D$149</definedName>
    <definedName function="false" hidden="false" name="COST_CommitGap" vbProcedure="false">Cost!$D$158</definedName>
    <definedName function="false" hidden="false" name="COST_CommitGapAll" vbProcedure="false">Cost!$D$221</definedName>
    <definedName function="false" hidden="false" name="COST_CommitGapCloud" vbProcedure="false">Cost!$D$215</definedName>
    <definedName function="false" hidden="false" name="COST_CommitGapLocked" vbProcedure="false">Cost!$D$218</definedName>
    <definedName function="false" hidden="false" name="COST_Compute" vbProcedure="false">Cost!$D$53:$I$53</definedName>
    <definedName function="false" hidden="false" name="COST_ComputeAnchor" vbProcedure="false">Cost!$D$175:$I$175</definedName>
    <definedName function="false" hidden="false" name="COST_ComputeEcon" vbProcedure="false">Cost!$D$79:$I$79</definedName>
    <definedName function="false" hidden="false" name="COST_ComputeExp" vbProcedure="false">Cost!$D$295:$I$295</definedName>
    <definedName function="false" hidden="false" name="COST_ComputeNeg" vbProcedure="false">Cost!$D$260:$I$260</definedName>
    <definedName function="false" hidden="false" name="COST_ContractPay" vbProcedure="false">Cost!$D$50:$I$50</definedName>
    <definedName function="false" hidden="false" name="COST_Coverage" vbProcedure="false">Cost!$D$117:$I$117</definedName>
    <definedName function="false" hidden="false" name="COST_CoverageExSBC" vbProcedure="false">Cost!$D$118:$I$118</definedName>
    <definedName function="false" hidden="false" name="COST_Coverage_ExpFull" vbProcedure="false">Cost!$D$309:$I$309</definedName>
    <definedName function="false" hidden="false" name="COST_Coverage_ExpHalf" vbProcedure="false">Cost!$D$304:$I$304</definedName>
    <definedName function="false" hidden="false" name="COST_Coverage_ExpNone" vbProcedure="false">Cost!$D$299:$I$299</definedName>
    <definedName function="false" hidden="false" name="COST_Coverage_Neg" vbProcedure="false">Cost!$D$264:$I$264</definedName>
    <definedName function="false" hidden="false" name="COST_D22DeltaNC" vbProcedure="false">Cost!$D$200:$I$200</definedName>
    <definedName function="false" hidden="false" name="COST_D22Under" vbProcedure="false">Cost!$E$197</definedName>
    <definedName function="false" hidden="false" name="COST_D22UnderQ3" vbProcedure="false">Cost!$E$245</definedName>
    <definedName function="false" hidden="false" name="COST_D22UnderQ3Ratio" vbProcedure="false">Cost!$E$248</definedName>
    <definedName function="false" hidden="false" name="COST_ExpAdd" vbProcedure="false">Cost!$D$291:$I$291</definedName>
    <definedName function="false" hidden="false" name="COST_ExpPay" vbProcedure="false">Cost!$D$292:$I$292</definedName>
    <definedName function="false" hidden="false" name="COST_FullCash" vbProcedure="false">Cost!$D$106:$I$106</definedName>
    <definedName function="false" hidden="false" name="COST_FullCashExSBC" vbProcedure="false">Cost!$D$107:$I$107</definedName>
    <definedName function="false" hidden="false" name="COST_Gap2025" vbProcedure="false">Cost!$D$54</definedName>
    <definedName function="false" hidden="false" name="COST_GapCash" vbProcedure="false">Cost!$D$108:$I$108</definedName>
    <definedName function="false" hidden="false" name="COST_GapEcon" vbProcedure="false">Cost!$D$123:$I$123</definedName>
    <definedName function="false" hidden="false" name="COST_H1Compute2026" vbProcedure="false">Cost!$E$67</definedName>
    <definedName function="false" hidden="false" name="COST_Headcount" vbProcedure="false">Cost!$D$86:$I$86</definedName>
    <definedName function="false" hidden="false" name="COST_InfCompute" vbProcedure="false">Cost!$D$98:$I$98</definedName>
    <definedName function="false" hidden="false" name="COST_LeaseRent" vbProcedure="false">Cost!$D$190:$I$190</definedName>
    <definedName function="false" hidden="false" name="COST_NegPay" vbProcedure="false">Cost!$D$254:$I$254</definedName>
    <definedName function="false" hidden="false" name="COST_NonCompExSBC" vbProcedure="false">Cost!$D$89:$I$89</definedName>
    <definedName function="false" hidden="false" name="COST_NonCompInclSBC" vbProcedure="false">Cost!$D$91:$I$91</definedName>
    <definedName function="false" hidden="false" name="COST_OpLossGap2025" vbProcedure="false">Cost!$D$96</definedName>
    <definedName function="false" hidden="false" name="COST_OwnedCapex" vbProcedure="false">Cost!$D$52:$I$52</definedName>
    <definedName function="false" hidden="false" name="COST_OwnedHold" vbProcedure="false">Cost!$D$78:$I$78</definedName>
    <definedName function="false" hidden="false" name="COST_PartnerGapMax" vbProcedure="false">Cost!$D$167</definedName>
    <definedName function="false" hidden="false" name="COST_Pay_Akamai" vbProcedure="false">Cost!$D$49:$I$49</definedName>
    <definedName function="false" hidden="false" name="COST_Pay_Amd" vbProcedure="false">Cost!$D$44:$I$44</definedName>
    <definedName function="false" hidden="false" name="COST_Pay_Aws" vbProcedure="false">Cost!$D$42:$I$42</definedName>
    <definedName function="false" hidden="false" name="COST_Pay_Azure" vbProcedure="false">Cost!$D$43:$I$43</definedName>
    <definedName function="false" hidden="false" name="COST_Pay_Broadcom" vbProcedure="false">Cost!$D$41:$I$41</definedName>
    <definedName function="false" hidden="false" name="COST_Pay_Google" vbProcedure="false">Cost!$D$40:$I$40</definedName>
    <definedName function="false" hidden="false" name="COST_Pay_Lambda" vbProcedure="false">Cost!$D$47:$I$47</definedName>
    <definedName function="false" hidden="false" name="COST_Pay_Legacy" vbProcedure="false">Cost!$D$39:$I$39</definedName>
    <definedName function="false" hidden="false" name="COST_Pay_Nscale" vbProcedure="false">Cost!$D$46:$I$46</definedName>
    <definedName function="false" hidden="false" name="COST_Pay_Spacex" vbProcedure="false">Cost!$D$45:$I$45</definedName>
    <definedName function="false" hidden="false" name="COST_Pay_Volta" vbProcedure="false">Cost!$D$48:$I$48</definedName>
    <definedName function="false" hidden="false" name="COST_PropCompute_VR" vbProcedure="false">Cost!$D$110:$I$110</definedName>
    <definedName function="false" hidden="false" name="COST_PropFullExSBC_VR" vbProcedure="false">Cost!$D$114:$I$114</definedName>
    <definedName function="false" hidden="false" name="COST_PropFull_VR" vbProcedure="false">Cost!$D$113:$I$113</definedName>
    <definedName function="false" hidden="false" name="COST_PropGapEcon_VR" vbProcedure="false">Cost!$D$122:$I$122</definedName>
    <definedName function="false" hidden="false" name="COST_PropGapExSBC_VR" vbProcedure="false">Cost!$D$116:$I$116</definedName>
    <definedName function="false" hidden="false" name="COST_PropGap_GW" vbProcedure="false">Cost!$D$120:$I$120</definedName>
    <definedName function="false" hidden="false" name="COST_PropGap_VR" vbProcedure="false">Cost!$D$115:$I$115</definedName>
    <definedName function="false" hidden="false" name="COST_PropGap_VR_Anchor" vbProcedure="false">Cost!$D$182:$I$182</definedName>
    <definedName function="false" hidden="false" name="COST_PropGap_VR_D22" vbProcedure="false">Cost!$D$201:$I$201</definedName>
    <definedName function="false" hidden="false" name="COST_PropGap_VR_ExpFull" vbProcedure="false">Cost!$D$307:$I$307</definedName>
    <definedName function="false" hidden="false" name="COST_PropGap_VR_ExpHalf" vbProcedure="false">Cost!$D$302:$I$302</definedName>
    <definedName function="false" hidden="false" name="COST_PropGap_VR_ExpNone" vbProcedure="false">Cost!$D$297:$I$297</definedName>
    <definedName function="false" hidden="false" name="COST_PropGap_VR_Neg" vbProcedure="false">Cost!$D$262:$I$262</definedName>
    <definedName function="false" hidden="false" name="COST_PropGap_VR_Rent" vbProcedure="false">Cost!$D$191:$I$191</definedName>
    <definedName function="false" hidden="false" name="COST_PropNonComp_VR" vbProcedure="false">Cost!$D$111:$I$111</definedName>
    <definedName function="false" hidden="false" name="COST_PropRev_VR" vbProcedure="false">Cost!$D$109:$I$109</definedName>
    <definedName function="false" hidden="false" name="COST_PropSBC_VR" vbProcedure="false">Cost!$D$112:$I$112</definedName>
    <definedName function="false" hidden="false" name="COST_RDCompute" vbProcedure="false">Cost!$D$99:$I$99</definedName>
    <definedName function="false" hidden="false" name="COST_SBC" vbProcedure="false">Cost!$D$88:$I$88</definedName>
    <definedName function="false" hidden="false" name="COST_SpendGap2026Cc" vbProcedure="false">Cost!$E$236</definedName>
    <definedName function="false" hidden="false" name="COST_SpendGap2026Pay" vbProcedure="false">Cost!$E$235</definedName>
    <definedName function="false" hidden="false" name="COST_SupplierHold" vbProcedure="false">Cost!$D$70:$I$70</definedName>
    <definedName function="false" hidden="false" name="COST_TKPQ" vbProcedure="false">Cost!$E$267</definedName>
    <definedName function="false" hidden="false" name="COST_TKPQRatio" vbProcedure="false">Cost!$E$277</definedName>
    <definedName function="false" hidden="false" name="COST_TKTokLedger" vbProcedure="false">Cost!$E$272</definedName>
    <definedName function="false" hidden="false" name="COST_U2Cap_Lambda" vbProcedure="false">Cost!$D$285:$I$285</definedName>
    <definedName function="false" hidden="false" name="COST_U2Cap_Nscale" vbProcedure="false">Cost!$D$284:$I$284</definedName>
    <definedName function="false" hidden="false" name="COST_U2PayPerGW_Both" vbProcedure="false">Cost!$D$288</definedName>
    <definedName function="false" hidden="false" name="COST_U2PayPerGW_Lambda" vbProcedure="false">Cost!$D$287</definedName>
    <definedName function="false" hidden="false" name="COST_U2PayPerGW_Nscale" vbProcedure="false">Cost!$D$286</definedName>
    <definedName function="false" hidden="false" name="DEM_ApiTaskGrowth" vbProcedure="false">Demand!$D$55:$I$55</definedName>
    <definedName function="false" hidden="false" name="DEM_Seats_Ent" vbProcedure="false">Demand!$D$22:$I$22</definedName>
    <definedName function="false" hidden="false" name="DEM_Seats_TeamPrem" vbProcedure="false">Demand!$D$21:$I$21</definedName>
    <definedName function="false" hidden="false" name="DEM_Seats_TeamStd" vbProcedure="false">Demand!$D$20:$I$20</definedName>
    <definedName function="false" hidden="false" name="DEM_Seats_Total" vbProcedure="false">Demand!$D$19:$I$19</definedName>
    <definedName function="false" hidden="false" name="DEM_Tok_API" vbProcedure="false">Demand!$D$54:$I$54</definedName>
    <definedName function="false" hidden="false" name="DEM_Tok_API_Low" vbProcedure="false">Demand!$D$58:$I$58</definedName>
    <definedName function="false" hidden="false" name="DEM_Tok_API_Mid" vbProcedure="false">Demand!$D$57:$I$57</definedName>
    <definedName function="false" hidden="false" name="DEM_Tok_API_Top" vbProcedure="false">Demand!$D$56:$I$56</definedName>
    <definedName function="false" hidden="false" name="DEM_Tok_Free" vbProcedure="false">Demand!$D$66:$I$66</definedName>
    <definedName function="false" hidden="false" name="DEM_Tok_Free_Low" vbProcedure="false">Demand!$D$62:$I$62</definedName>
    <definedName function="false" hidden="false" name="DEM_Tok_Free_Mid" vbProcedure="false">Demand!$D$61:$I$61</definedName>
    <definedName function="false" hidden="false" name="DEM_Tok_Free_Top" vbProcedure="false">Demand!$D$60:$I$60</definedName>
    <definedName function="false" hidden="false" name="DEM_Tok_Paid" vbProcedure="false">Demand!$D$67:$I$67</definedName>
    <definedName function="false" hidden="false" name="DEM_Tok_Paid_Low" vbProcedure="false">Demand!$D$65:$I$65</definedName>
    <definedName function="false" hidden="false" name="DEM_Tok_Paid_Mid" vbProcedure="false">Demand!$D$64:$I$64</definedName>
    <definedName function="false" hidden="false" name="DEM_Tok_Paid_Top" vbProcedure="false">Demand!$D$63:$I$63</definedName>
    <definedName function="false" hidden="false" name="DEM_Tok_Plan_Ent" vbProcedure="false">Demand!$D$40:$I$40</definedName>
    <definedName function="false" hidden="false" name="DEM_Tok_Plan_Free" vbProcedure="false">Demand!$D$34:$I$34</definedName>
    <definedName function="false" hidden="false" name="DEM_Tok_Plan_Max20" vbProcedure="false">Demand!$D$37:$I$37</definedName>
    <definedName function="false" hidden="false" name="DEM_Tok_Plan_Max5" vbProcedure="false">Demand!$D$36:$I$36</definedName>
    <definedName function="false" hidden="false" name="DEM_Tok_Plan_Pro" vbProcedure="false">Demand!$D$35:$I$35</definedName>
    <definedName function="false" hidden="false" name="DEM_Tok_Plan_TeamPrem" vbProcedure="false">Demand!$D$39:$I$39</definedName>
    <definedName function="false" hidden="false" name="DEM_Tok_Plan_TeamStd" vbProcedure="false">Demand!$D$38:$I$38</definedName>
    <definedName function="false" hidden="false" name="DEM_Tok_Total" vbProcedure="false">Demand!$D$68:$I$68</definedName>
    <definedName function="false" hidden="false" name="DEM_Users_Free" vbProcedure="false">Demand!$D$15:$I$15</definedName>
    <definedName function="false" hidden="false" name="DEM_Users_Max20" vbProcedure="false">Demand!$D$14:$I$14</definedName>
    <definedName function="false" hidden="false" name="DEM_Users_Max5" vbProcedure="false">Demand!$D$13:$I$13</definedName>
    <definedName function="false" hidden="false" name="DEM_Users_PaidConsumer" vbProcedure="false">Demand!$D$11:$I$11</definedName>
    <definedName function="false" hidden="false" name="DEM_Users_Pro" vbProcedure="false">Demand!$D$12:$I$12</definedName>
    <definedName function="false" hidden="false" name="ETA_Eta" vbProcedure="false">EtaDiag!$D$7</definedName>
    <definedName function="false" hidden="false" name="ETA_fP" vbProcedure="false">EtaDiag!$D$14</definedName>
    <definedName function="false" hidden="false" name="ETA_fU" vbProcedure="false">EtaDiag!$D$18</definedName>
    <definedName function="false" hidden="false" name="ETA_fU_Prod" vbProcedure="false">EtaDiag!$D$51</definedName>
    <definedName function="false" hidden="false" name="ETA_fW" vbProcedure="false">EtaDiag!$D$29</definedName>
    <definedName function="false" hidden="false" name="ETA_Prod" vbProcedure="false">EtaDiag!$D$33</definedName>
    <definedName function="false" hidden="false" name="ETA_Prod2" vbProcedure="false">EtaDiag!$D$52</definedName>
    <definedName function="false" hidden="false" name="ETA_Resid" vbProcedure="false">EtaDiag!$D$34</definedName>
    <definedName function="false" hidden="false" name="ETA_Resid2" vbProcedure="false">EtaDiag!$D$53</definedName>
    <definedName function="false" hidden="false" name="FND_CashEnd" vbProcedure="false">Funding!$D$42:$I$42</definedName>
    <definedName function="false" hidden="false" name="FND_CashEndAll" vbProcedure="false">Funding!$D$70:$I$70</definedName>
    <definedName function="false" hidden="false" name="FND_CashEndIPO" vbProcedure="false">Funding!$D$60:$I$60</definedName>
    <definedName function="false" hidden="false" name="FND_CashEndNeg" vbProcedure="false">Funding!$D$117:$I$117</definedName>
    <definedName function="false" hidden="false" name="FND_CashNoExt" vbProcedure="false">Funding!$D$48:$I$48</definedName>
    <definedName function="false" hidden="false" name="FND_CashNoExtTrough" vbProcedure="false">Funding!$D$54</definedName>
    <definedName function="false" hidden="false" name="FND_CashOpen" vbProcedure="false">Funding!$D$39:$I$39</definedName>
    <definedName function="false" hidden="false" name="FND_CommitAfter2030" vbProcedure="false">Funding!$D$97</definedName>
    <definedName function="false" hidden="false" name="FND_Committed" vbProcedure="false">Funding!$D$26:$I$26</definedName>
    <definedName function="false" hidden="false" name="FND_Contingent" vbProcedure="false">Funding!$D$96</definedName>
    <definedName function="false" hidden="false" name="FND_EquityIn" vbProcedure="false">Funding!$D$36:$I$36</definedName>
    <definedName function="false" hidden="false" name="FND_ExtNeed" vbProcedure="false">Funding!$D$41:$I$41</definedName>
    <definedName function="false" hidden="false" name="FND_ExtNeedCum" vbProcedure="false">Funding!$D$43:$I$43</definedName>
    <definedName function="false" hidden="false" name="FND_ExtNeedCumAdverse" vbProcedure="false">Funding!$D$91:$I$91</definedName>
    <definedName function="false" hidden="false" name="FND_ExtNeedCumAll" vbProcedure="false">Funding!$D$71:$I$71</definedName>
    <definedName function="false" hidden="false" name="FND_ExtNeedCumAnchor" vbProcedure="false">Funding!$D$76:$I$76</definedName>
    <definedName function="false" hidden="false" name="FND_ExtNeedCumCond" vbProcedure="false">Funding!$D$66:$I$66</definedName>
    <definedName function="false" hidden="false" name="FND_ExtNeedCumD22" vbProcedure="false">Funding!$D$86:$I$86</definedName>
    <definedName function="false" hidden="false" name="FND_ExtNeedCumIPO" vbProcedure="false">Funding!$D$61:$I$61</definedName>
    <definedName function="false" hidden="false" name="FND_ExtNeedCumNeg" vbProcedure="false">Funding!$D$118:$I$118</definedName>
    <definedName function="false" hidden="false" name="FND_ExtNeedCumRent" vbProcedure="false">Funding!$D$81:$I$81</definedName>
    <definedName function="false" hidden="false" name="FND_ExtNeedPeak" vbProcedure="false">Funding!$D$52</definedName>
    <definedName function="false" hidden="false" name="FND_FCF" vbProcedure="false">Funding!$D$14:$I$14</definedName>
    <definedName function="false" hidden="false" name="FND_FCFCum" vbProcedure="false">Funding!$D$121:$I$121</definedName>
    <definedName function="false" hidden="false" name="FND_FCFFirstPos" vbProcedure="false">Funding!$D$123</definedName>
    <definedName function="false" hidden="false" name="FND_FCFFirstPos_ExpFull" vbProcedure="false">Funding!$D$217</definedName>
    <definedName function="false" hidden="false" name="FND_FCFFirstPos_ExpHalf" vbProcedure="false">Funding!$D$186</definedName>
    <definedName function="false" hidden="false" name="FND_FCFFirstPos_ExpNone" vbProcedure="false">Funding!$D$155</definedName>
    <definedName function="false" hidden="false" name="FND_FCF_ExpFull" vbProcedure="false">Cost!$D$310:$I$310</definedName>
    <definedName function="false" hidden="false" name="FND_FCF_ExpHalf" vbProcedure="false">Cost!$D$305:$I$305</definedName>
    <definedName function="false" hidden="false" name="FND_FCF_ExpNone" vbProcedure="false">Cost!$D$300:$I$300</definedName>
    <definedName function="false" hidden="false" name="FND_FirstGapYear" vbProcedure="false">Funding!$D$51</definedName>
    <definedName function="false" hidden="false" name="FND_GapFlag" vbProcedure="false">Funding!$D$46:$I$46</definedName>
    <definedName function="false" hidden="false" name="FND_Headroom" vbProcedure="false">Funding!$D$45:$I$45</definedName>
    <definedName function="false" hidden="false" name="FND_L1_CashEnd" vbProcedure="false">Funding!$D$126:$I$126</definedName>
    <definedName function="false" hidden="false" name="FND_L1_CashEnd_ExpFull" vbProcedure="false">Funding!$D$220:$I$220</definedName>
    <definedName function="false" hidden="false" name="FND_L1_CashEnd_ExpHalf" vbProcedure="false">Funding!$D$189:$I$189</definedName>
    <definedName function="false" hidden="false" name="FND_L1_CashEnd_ExpNone" vbProcedure="false">Funding!$D$158:$I$158</definedName>
    <definedName function="false" hidden="false" name="FND_L1_ExtNeedCum" vbProcedure="false">Funding!$D$127:$I$127</definedName>
    <definedName function="false" hidden="false" name="FND_L1_ExtNeedCum_ExpFull" vbProcedure="false">Funding!$D$221:$I$221</definedName>
    <definedName function="false" hidden="false" name="FND_L1_ExtNeedCum_ExpHalf" vbProcedure="false">Funding!$D$190:$I$190</definedName>
    <definedName function="false" hidden="false" name="FND_L1_ExtNeedCum_ExpNone" vbProcedure="false">Funding!$D$159:$I$159</definedName>
    <definedName function="false" hidden="false" name="FND_L1_ExtTotal" vbProcedure="false">Funding!$D$131</definedName>
    <definedName function="false" hidden="false" name="FND_L1_ExtTotal_ExpFull" vbProcedure="false">Funding!$D$225</definedName>
    <definedName function="false" hidden="false" name="FND_L1_ExtTotal_ExpHalf" vbProcedure="false">Funding!$D$194</definedName>
    <definedName function="false" hidden="false" name="FND_L1_ExtTotal_ExpNone" vbProcedure="false">Funding!$D$163</definedName>
    <definedName function="false" hidden="false" name="FND_L1_GapYear" vbProcedure="false">Funding!$D$130</definedName>
    <definedName function="false" hidden="false" name="FND_L1_GapYear_ExpFull" vbProcedure="false">Funding!$D$224</definedName>
    <definedName function="false" hidden="false" name="FND_L1_GapYear_ExpHalf" vbProcedure="false">Funding!$D$193</definedName>
    <definedName function="false" hidden="false" name="FND_L1_GapYear_ExpNone" vbProcedure="false">Funding!$D$162</definedName>
    <definedName function="false" hidden="false" name="FND_L1_OpenCash" vbProcedure="false">Funding!$D$120</definedName>
    <definedName function="false" hidden="false" name="FND_L1_Trough" vbProcedure="false">Funding!$D$132</definedName>
    <definedName function="false" hidden="false" name="FND_L1_Trough_ExpFull" vbProcedure="false">Funding!$D$226</definedName>
    <definedName function="false" hidden="false" name="FND_L1_Trough_ExpHalf" vbProcedure="false">Funding!$D$195</definedName>
    <definedName function="false" hidden="false" name="FND_L1_Trough_ExpNone" vbProcedure="false">Funding!$D$164</definedName>
    <definedName function="false" hidden="false" name="FND_L2_CashEnd" vbProcedure="false">Funding!$D$136:$I$136</definedName>
    <definedName function="false" hidden="false" name="FND_L2_CashEnd_ExpFull" vbProcedure="false">Funding!$D$230:$I$230</definedName>
    <definedName function="false" hidden="false" name="FND_L2_CashEnd_ExpHalf" vbProcedure="false">Funding!$D$199:$I$199</definedName>
    <definedName function="false" hidden="false" name="FND_L2_CashEnd_ExpNone" vbProcedure="false">Funding!$D$168:$I$168</definedName>
    <definedName function="false" hidden="false" name="FND_L2_ExtNeedCum" vbProcedure="false">Funding!$D$137:$I$137</definedName>
    <definedName function="false" hidden="false" name="FND_L2_ExtNeedCum_ExpFull" vbProcedure="false">Funding!$D$231:$I$231</definedName>
    <definedName function="false" hidden="false" name="FND_L2_ExtNeedCum_ExpHalf" vbProcedure="false">Funding!$D$200:$I$200</definedName>
    <definedName function="false" hidden="false" name="FND_L2_ExtNeedCum_ExpNone" vbProcedure="false">Funding!$D$169:$I$169</definedName>
    <definedName function="false" hidden="false" name="FND_L2_ExtTotal" vbProcedure="false">Funding!$D$141</definedName>
    <definedName function="false" hidden="false" name="FND_L2_ExtTotal_ExpFull" vbProcedure="false">Funding!$D$235</definedName>
    <definedName function="false" hidden="false" name="FND_L2_ExtTotal_ExpHalf" vbProcedure="false">Funding!$D$204</definedName>
    <definedName function="false" hidden="false" name="FND_L2_ExtTotal_ExpNone" vbProcedure="false">Funding!$D$173</definedName>
    <definedName function="false" hidden="false" name="FND_L2_GapYear" vbProcedure="false">Funding!$D$140</definedName>
    <definedName function="false" hidden="false" name="FND_L2_GapYear_ExpFull" vbProcedure="false">Funding!$D$234</definedName>
    <definedName function="false" hidden="false" name="FND_L2_GapYear_ExpHalf" vbProcedure="false">Funding!$D$203</definedName>
    <definedName function="false" hidden="false" name="FND_L2_GapYear_ExpNone" vbProcedure="false">Funding!$D$172</definedName>
    <definedName function="false" hidden="false" name="FND_L2_Trough" vbProcedure="false">Funding!$D$142</definedName>
    <definedName function="false" hidden="false" name="FND_L2_Trough_ExpFull" vbProcedure="false">Funding!$D$236</definedName>
    <definedName function="false" hidden="false" name="FND_L2_Trough_ExpHalf" vbProcedure="false">Funding!$D$205</definedName>
    <definedName function="false" hidden="false" name="FND_L2_Trough_ExpNone" vbProcedure="false">Funding!$D$174</definedName>
    <definedName function="false" hidden="false" name="FND_L3_CashEnd" vbProcedure="false">Funding!$D$146:$I$146</definedName>
    <definedName function="false" hidden="false" name="FND_L3_CashEnd_ExpFull" vbProcedure="false">Funding!$D$240:$I$240</definedName>
    <definedName function="false" hidden="false" name="FND_L3_CashEnd_ExpHalf" vbProcedure="false">Funding!$D$209:$I$209</definedName>
    <definedName function="false" hidden="false" name="FND_L3_CashEnd_ExpNone" vbProcedure="false">Funding!$D$178:$I$178</definedName>
    <definedName function="false" hidden="false" name="FND_L3_ExtNeedCum" vbProcedure="false">Funding!$D$147:$I$147</definedName>
    <definedName function="false" hidden="false" name="FND_L3_ExtNeedCum_ExpFull" vbProcedure="false">Funding!$D$241:$I$241</definedName>
    <definedName function="false" hidden="false" name="FND_L3_ExtNeedCum_ExpHalf" vbProcedure="false">Funding!$D$210:$I$210</definedName>
    <definedName function="false" hidden="false" name="FND_L3_ExtNeedCum_ExpNone" vbProcedure="false">Funding!$D$179:$I$179</definedName>
    <definedName function="false" hidden="false" name="FND_L3_ExtTotal" vbProcedure="false">Funding!$D$151</definedName>
    <definedName function="false" hidden="false" name="FND_L3_ExtTotal_ExpFull" vbProcedure="false">Funding!$D$245</definedName>
    <definedName function="false" hidden="false" name="FND_L3_ExtTotal_ExpHalf" vbProcedure="false">Funding!$D$214</definedName>
    <definedName function="false" hidden="false" name="FND_L3_ExtTotal_ExpNone" vbProcedure="false">Funding!$D$183</definedName>
    <definedName function="false" hidden="false" name="FND_L3_GapYear" vbProcedure="false">Funding!$D$150</definedName>
    <definedName function="false" hidden="false" name="FND_L3_GapYear_ExpFull" vbProcedure="false">Funding!$D$244</definedName>
    <definedName function="false" hidden="false" name="FND_L3_GapYear_ExpHalf" vbProcedure="false">Funding!$D$213</definedName>
    <definedName function="false" hidden="false" name="FND_L3_GapYear_ExpNone" vbProcedure="false">Funding!$D$182</definedName>
    <definedName function="false" hidden="false" name="FND_L3_Trough" vbProcedure="false">Funding!$D$152</definedName>
    <definedName function="false" hidden="false" name="FND_L3_Trough_ExpFull" vbProcedure="false">Funding!$D$246</definedName>
    <definedName function="false" hidden="false" name="FND_L3_Trough_ExpHalf" vbProcedure="false">Funding!$D$215</definedName>
    <definedName function="false" hidden="false" name="FND_L3_Trough_ExpNone" vbProcedure="false">Funding!$D$184</definedName>
    <definedName function="false" hidden="false" name="FND_MinCash" vbProcedure="false">Funding!$D$38:$I$38</definedName>
    <definedName function="false" hidden="false" name="FND_PeakYear" vbProcedure="false">Funding!$D$53</definedName>
    <definedName function="false" hidden="false" name="FND_RoundTrip" vbProcedure="false">Funding!$D$107:$I$107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7" vbProcedure="false">Inputs!$E$20</definedName>
    <definedName function="false" hidden="false" name="INP_018" vbProcedure="false">Inputs!$E$21</definedName>
    <definedName function="false" hidden="false" name="INP_019" vbProcedure="false">Inputs!$E$26</definedName>
    <definedName function="false" hidden="false" name="INP_020" vbProcedure="false">Inputs!$E$27</definedName>
    <definedName function="false" hidden="false" name="INP_021" vbProcedure="false">Inputs!$E$28</definedName>
    <definedName function="false" hidden="false" name="INP_022" vbProcedure="false">Inputs!$E$29</definedName>
    <definedName function="false" hidden="false" name="INP_023" vbProcedure="false">Inputs!$E$30</definedName>
    <definedName function="false" hidden="false" name="INP_024" vbProcedure="false">Inputs!$E$31</definedName>
    <definedName function="false" hidden="false" name="INP_025" vbProcedure="false">Inputs!$E$32</definedName>
    <definedName function="false" hidden="false" name="INP_026" vbProcedure="false">Inputs!$E$33</definedName>
    <definedName function="false" hidden="false" name="INP_027" vbProcedure="false">Inputs!$E$34</definedName>
    <definedName function="false" hidden="false" name="INP_028" vbProcedure="false">Inputs!$E$35</definedName>
    <definedName function="false" hidden="false" name="INP_029" vbProcedure="false">Inputs!$E$36</definedName>
    <definedName function="false" hidden="false" name="INP_030" vbProcedure="false">Inputs!$E$37</definedName>
    <definedName function="false" hidden="false" name="INP_031" vbProcedure="false">Inputs!$E$38</definedName>
    <definedName function="false" hidden="false" name="INP_032" vbProcedure="false">Inputs!$E$39</definedName>
    <definedName function="false" hidden="false" name="INP_033" vbProcedure="false">Inputs!$E$40</definedName>
    <definedName function="false" hidden="false" name="INP_034" vbProcedure="false">Inputs!$E$41</definedName>
    <definedName function="false" hidden="false" name="INP_035" vbProcedure="false">Inputs!$E$42</definedName>
    <definedName function="false" hidden="false" name="INP_036" vbProcedure="false">Inputs!$E$43</definedName>
    <definedName function="false" hidden="false" name="INP_037" vbProcedure="false">Inputs!$E$44</definedName>
    <definedName function="false" hidden="false" name="INP_038" vbProcedure="false">Inputs!$E$45</definedName>
    <definedName function="false" hidden="false" name="INP_039" vbProcedure="false">Inputs!$E$46</definedName>
    <definedName function="false" hidden="false" name="INP_040" vbProcedure="false">Inputs!$E$47</definedName>
    <definedName function="false" hidden="false" name="INP_041" vbProcedure="false">Inputs!$E$48</definedName>
    <definedName function="false" hidden="false" name="INP_042" vbProcedure="false">Inputs!$E$49</definedName>
    <definedName function="false" hidden="false" name="INP_043" vbProcedure="false">Inputs!$E$50</definedName>
    <definedName function="false" hidden="false" name="INP_044" vbProcedure="false">Inputs!$E$51</definedName>
    <definedName function="false" hidden="false" name="INP_045" vbProcedure="false">Inputs!$E$52</definedName>
    <definedName function="false" hidden="false" name="INP_046" vbProcedure="false">Inputs!$E$53</definedName>
    <definedName function="false" hidden="false" name="INP_047" vbProcedure="false">Inputs!$E$54</definedName>
    <definedName function="false" hidden="false" name="INP_048" vbProcedure="false">Inputs!$E$55</definedName>
    <definedName function="false" hidden="false" name="INP_049" vbProcedure="false">Inputs!$E$56</definedName>
    <definedName function="false" hidden="false" name="INP_050" vbProcedure="false">Inputs!$E$57</definedName>
    <definedName function="false" hidden="false" name="INP_051" vbProcedure="false">Inputs!$E$58</definedName>
    <definedName function="false" hidden="false" name="INP_052" vbProcedure="false">Inputs!$E$59</definedName>
    <definedName function="false" hidden="false" name="INP_053" vbProcedure="false">Inputs!$E$60</definedName>
    <definedName function="false" hidden="false" name="INP_054" vbProcedure="false">Inputs!$E$61</definedName>
    <definedName function="false" hidden="false" name="INP_055" vbProcedure="false">Inputs!$E$62</definedName>
    <definedName function="false" hidden="false" name="INP_056" vbProcedure="false">Inputs!$E$63</definedName>
    <definedName function="false" hidden="false" name="INP_057" vbProcedure="false">Inputs!$E$64</definedName>
    <definedName function="false" hidden="false" name="INP_058" vbProcedure="false">Inputs!$E$65</definedName>
    <definedName function="false" hidden="false" name="INP_059" vbProcedure="false">Inputs!$E$66</definedName>
    <definedName function="false" hidden="false" name="INP_060" vbProcedure="false">Inputs!$E$67</definedName>
    <definedName function="false" hidden="false" name="INP_061" vbProcedure="false">Inputs!$E$68</definedName>
    <definedName function="false" hidden="false" name="INP_062" vbProcedure="false">Inputs!$E$69</definedName>
    <definedName function="false" hidden="false" name="INP_063" vbProcedure="false">Inputs!$E$70</definedName>
    <definedName function="false" hidden="false" name="INP_064" vbProcedure="false">Inputs!$E$71</definedName>
    <definedName function="false" hidden="false" name="INP_065" vbProcedure="false">Inputs!$E$72</definedName>
    <definedName function="false" hidden="false" name="INP_066" vbProcedure="false">Inputs!$E$73</definedName>
    <definedName function="false" hidden="false" name="INP_070" vbProcedure="false">Inputs!$E$81</definedName>
    <definedName function="false" hidden="false" name="INP_071" vbProcedure="false">Inputs!$E$82</definedName>
    <definedName function="false" hidden="false" name="INP_072" vbProcedure="false">Inputs!$E$83</definedName>
    <definedName function="false" hidden="false" name="INP_073" vbProcedure="false">Inputs!$E$84</definedName>
    <definedName function="false" hidden="false" name="INP_074" vbProcedure="false">Inputs!$E$85</definedName>
    <definedName function="false" hidden="false" name="INP_075" vbProcedure="false">Inputs!$E$86</definedName>
    <definedName function="false" hidden="false" name="INP_076" vbProcedure="false">Inputs!$E$87</definedName>
    <definedName function="false" hidden="false" name="INP_077" vbProcedure="false">Inputs!$E$88</definedName>
    <definedName function="false" hidden="false" name="INP_078" vbProcedure="false">Inputs!$E$89</definedName>
    <definedName function="false" hidden="false" name="INP_079" vbProcedure="false">Inputs!$E$90</definedName>
    <definedName function="false" hidden="false" name="INP_080" vbProcedure="false">Inputs!$E$91</definedName>
    <definedName function="false" hidden="false" name="INP_081" vbProcedure="false">Inputs!$E$92</definedName>
    <definedName function="false" hidden="false" name="INP_082" vbProcedure="false">Inputs!$E$93</definedName>
    <definedName function="false" hidden="false" name="INP_083" vbProcedure="false">Inputs!$E$94</definedName>
    <definedName function="false" hidden="false" name="INP_084" vbProcedure="false">Inputs!$E$95</definedName>
    <definedName function="false" hidden="false" name="INP_085" vbProcedure="false">Inputs!$E$96</definedName>
    <definedName function="false" hidden="false" name="INP_086" vbProcedure="false">Inputs!$E$97</definedName>
    <definedName function="false" hidden="false" name="INP_087" vbProcedure="false">Inputs!$E$98</definedName>
    <definedName function="false" hidden="false" name="INP_088" vbProcedure="false">Inputs!$E$99</definedName>
    <definedName function="false" hidden="false" name="INP_089" vbProcedure="false">Inputs!$E$100</definedName>
    <definedName function="false" hidden="false" name="INP_090" vbProcedure="false">Inputs!$E$101</definedName>
    <definedName function="false" hidden="false" name="INP_091" vbProcedure="false">Inputs!$E$102</definedName>
    <definedName function="false" hidden="false" name="INP_092" vbProcedure="false">Inputs!$E$103</definedName>
    <definedName function="false" hidden="false" name="INP_093" vbProcedure="false">Inputs!$E$104</definedName>
    <definedName function="false" hidden="false" name="INP_094" vbProcedure="false">Inputs!$E$105</definedName>
    <definedName function="false" hidden="false" name="INP_095" vbProcedure="false">Inputs!$E$106</definedName>
    <definedName function="false" hidden="false" name="INP_096" vbProcedure="false">Inputs!$E$107</definedName>
    <definedName function="false" hidden="false" name="INP_097" vbProcedure="false">Inputs!$E$108</definedName>
    <definedName function="false" hidden="false" name="INP_098" vbProcedure="false">Inputs!$E$109</definedName>
    <definedName function="false" hidden="false" name="INP_099" vbProcedure="false">Inputs!$E$110</definedName>
    <definedName function="false" hidden="false" name="INP_100" vbProcedure="false">Inputs!$E$111</definedName>
    <definedName function="false" hidden="false" name="INP_101" vbProcedure="false">Inputs!$E$112</definedName>
    <definedName function="false" hidden="false" name="INP_102" vbProcedure="false">Inputs!$E$74</definedName>
    <definedName function="false" hidden="false" name="INP_103" vbProcedure="false">Inputs!$E$75</definedName>
    <definedName function="false" hidden="false" name="INP_104" vbProcedure="false">Inputs!$E$76</definedName>
    <definedName function="false" hidden="false" name="INP_105" vbProcedure="false">Inputs!$E$77</definedName>
    <definedName function="false" hidden="false" name="INP_106" vbProcedure="false">Inputs!$E$78</definedName>
    <definedName function="false" hidden="false" name="INP_107" vbProcedure="false">Inputs!$E$79</definedName>
    <definedName function="false" hidden="false" name="INP_108" vbProcedure="false">Inputs!$E$80</definedName>
    <definedName function="false" hidden="false" name="INP_109" vbProcedure="false">Inputs!$E$113</definedName>
    <definedName function="false" hidden="false" name="INP_110" vbProcedure="false">Inputs!$E$114</definedName>
    <definedName function="false" hidden="false" name="INP_111" vbProcedure="false">Inputs!$E$115</definedName>
    <definedName function="false" hidden="false" name="INP_112" vbProcedure="false">Inputs!$E$116</definedName>
    <definedName function="false" hidden="false" name="INP_113" vbProcedure="false">Inputs!$E$117</definedName>
    <definedName function="false" hidden="false" name="INP_114" vbProcedure="false">Inputs!$E$118</definedName>
    <definedName function="false" hidden="false" name="INP_115" vbProcedure="false">Inputs!$E$119</definedName>
    <definedName function="false" hidden="false" name="INP_116" vbProcedure="false">Inputs!$E$120</definedName>
    <definedName function="false" hidden="false" name="INP_117" vbProcedure="false">Inputs!$E$121</definedName>
    <definedName function="false" hidden="false" name="INP_118" vbProcedure="false">Inputs!$E$122</definedName>
    <definedName function="false" hidden="false" name="INP_119" vbProcedure="false">Inputs!$E$123</definedName>
    <definedName function="false" hidden="false" name="INP_120" vbProcedure="false">Inputs!$E$124</definedName>
    <definedName function="false" hidden="false" name="INP_121" vbProcedure="false">Inputs!$E$125</definedName>
    <definedName function="false" hidden="false" name="INP_122" vbProcedure="false">Inputs!$E$126</definedName>
    <definedName function="false" hidden="false" name="INP_123" vbProcedure="false">Inputs!$E$127</definedName>
    <definedName function="false" hidden="false" name="INP_124" vbProcedure="false">Inputs!$E$128</definedName>
    <definedName function="false" hidden="false" name="INP_125" vbProcedure="false">Inputs!$E$129</definedName>
    <definedName function="false" hidden="false" name="INP_126" vbProcedure="false">Inputs!$E$130</definedName>
    <definedName function="false" hidden="false" name="INP_127" vbProcedure="false">Inputs!$E$131</definedName>
    <definedName function="false" hidden="false" name="INP_128" vbProcedure="false">Inputs!$E$132</definedName>
    <definedName function="false" hidden="false" name="INP_129" vbProcedure="false">Inputs!$E$133</definedName>
    <definedName function="false" hidden="false" name="INP_130" vbProcedure="false">Inputs!$E$134</definedName>
    <definedName function="false" hidden="false" name="INP_131" vbProcedure="false">Inputs!$E$135</definedName>
    <definedName function="false" hidden="false" name="INP_132" vbProcedure="false">Inputs!$E$136</definedName>
    <definedName function="false" hidden="false" name="INP_133" vbProcedure="false">Inputs!$E$137</definedName>
    <definedName function="false" hidden="false" name="INP_134" vbProcedure="false">Inputs!$E$138</definedName>
    <definedName function="false" hidden="false" name="INP_135" vbProcedure="false">Inputs!$E$139</definedName>
    <definedName function="false" hidden="false" name="INP_136" vbProcedure="false">Inputs!$E$140</definedName>
    <definedName function="false" hidden="false" name="INP_137" vbProcedure="false">Inputs!$E$141</definedName>
    <definedName function="false" hidden="false" name="INP_138" vbProcedure="false">Inputs!$E$142</definedName>
    <definedName function="false" hidden="false" name="INP_139" vbProcedure="false">Inputs!$E$143</definedName>
    <definedName function="false" hidden="false" name="INP_140" vbProcedure="false">Inputs!$E$144</definedName>
    <definedName function="false" hidden="false" name="INP_141" vbProcedure="false">Inputs!$E$145</definedName>
    <definedName function="false" hidden="false" name="INP_142" vbProcedure="false">Inputs!$E$146</definedName>
    <definedName function="false" hidden="false" name="INP_143" vbProcedure="false">Inputs!$E$147</definedName>
    <definedName function="false" hidden="false" name="INP_144" vbProcedure="false">Inputs!$E$148</definedName>
    <definedName function="false" hidden="false" name="INP_145" vbProcedure="false">Inputs!$E$149</definedName>
    <definedName function="false" hidden="false" name="INP_146" vbProcedure="false">Inputs!$E$150</definedName>
    <definedName function="false" hidden="false" name="INP_147" vbProcedure="false">Inputs!$E$152</definedName>
    <definedName function="false" hidden="false" name="INP_148" vbProcedure="false">Inputs!$E$153</definedName>
    <definedName function="false" hidden="false" name="INP_149" vbProcedure="false">Inputs!$E$154</definedName>
    <definedName function="false" hidden="false" name="INP_150" vbProcedure="false">Inputs!$E$155</definedName>
    <definedName function="false" hidden="false" name="INP_151" vbProcedure="false">Inputs!$E$156</definedName>
    <definedName function="false" hidden="false" name="INP_152" vbProcedure="false">Inputs!$E$157</definedName>
    <definedName function="false" hidden="false" name="INP_153" vbProcedure="false">Inputs!$E$158</definedName>
    <definedName function="false" hidden="false" name="INP_154" vbProcedure="false">Inputs!$E$159</definedName>
    <definedName function="false" hidden="false" name="INP_155" vbProcedure="false">Inputs!$E$160</definedName>
    <definedName function="false" hidden="false" name="INP_156" vbProcedure="false">Inputs!$E$161</definedName>
    <definedName function="false" hidden="false" name="INP_157" vbProcedure="false">Inputs!$E$162</definedName>
    <definedName function="false" hidden="false" name="INP_158" vbProcedure="false">Inputs!$E$163</definedName>
    <definedName function="false" hidden="false" name="INP_159" vbProcedure="false">Inputs!$E$164</definedName>
    <definedName function="false" hidden="false" name="INP_160" vbProcedure="false">Inputs!$E$165</definedName>
    <definedName function="false" hidden="false" name="INP_161" vbProcedure="false">Inputs!$E$166</definedName>
    <definedName function="false" hidden="false" name="INP_162" vbProcedure="false">Inputs!$E$167</definedName>
    <definedName function="false" hidden="false" name="INP_163" vbProcedure="false">Inputs!$E$168</definedName>
    <definedName function="false" hidden="false" name="INP_164" vbProcedure="false">Inputs!$E$169</definedName>
    <definedName function="false" hidden="false" name="INP_165" vbProcedure="false">Inputs!$E$170</definedName>
    <definedName function="false" hidden="false" name="INP_166" vbProcedure="false">Inputs!$E$171</definedName>
    <definedName function="false" hidden="false" name="INP_167" vbProcedure="false">Inputs!$E$172</definedName>
    <definedName function="false" hidden="false" name="INP_168" vbProcedure="false">Inputs!$E$173</definedName>
    <definedName function="false" hidden="false" name="INP_169" vbProcedure="false">Inputs!$E$174</definedName>
    <definedName function="false" hidden="false" name="INP_170" vbProcedure="false">Inputs!$E$175</definedName>
    <definedName function="false" hidden="false" name="INP_171" vbProcedure="false">Inputs!$E$176</definedName>
    <definedName function="false" hidden="false" name="INP_172" vbProcedure="false">Inputs!$E$177</definedName>
    <definedName function="false" hidden="false" name="INP_173" vbProcedure="false">Inputs!$E$178</definedName>
    <definedName function="false" hidden="false" name="INP_174" vbProcedure="false">Inputs!$E$179</definedName>
    <definedName function="false" hidden="false" name="INP_175" vbProcedure="false">Inputs!$E$180</definedName>
    <definedName function="false" hidden="false" name="INP_176" vbProcedure="false">Inputs!$E$181</definedName>
    <definedName function="false" hidden="false" name="INP_177" vbProcedure="false">Inputs!$E$182</definedName>
    <definedName function="false" hidden="false" name="INP_178" vbProcedure="false">Inputs!$E$183</definedName>
    <definedName function="false" hidden="false" name="INP_179" vbProcedure="false">Inputs!$E$184</definedName>
    <definedName function="false" hidden="false" name="INP_180" vbProcedure="false">Inputs!$E$22</definedName>
    <definedName function="false" hidden="false" name="INP_181" vbProcedure="false">Inputs!$E$23</definedName>
    <definedName function="false" hidden="false" name="INP_182" vbProcedure="false">Inputs!$E$24</definedName>
    <definedName function="false" hidden="false" name="INP_183" vbProcedure="false">Inputs!$E$25</definedName>
    <definedName function="false" hidden="false" name="INP_184" vbProcedure="false">Inputs!$E$151</definedName>
    <definedName function="false" hidden="false" name="INP_185" vbProcedure="false">Inputs!$E$185</definedName>
    <definedName function="false" hidden="false" name="INP_186" vbProcedure="false">Inputs!$E$186</definedName>
    <definedName function="false" hidden="false" name="INP_187" vbProcedure="false">Inputs!$E$187</definedName>
    <definedName function="false" hidden="false" name="INP_188" vbProcedure="false">Inputs!$E$188</definedName>
    <definedName function="false" hidden="false" name="INP_189" vbProcedure="false">Inputs!$E$189</definedName>
    <definedName function="false" hidden="false" name="INP_190" vbProcedure="false">Inputs!$E$190</definedName>
    <definedName function="false" hidden="false" name="INP_191" vbProcedure="false">Inputs!$E$191</definedName>
    <definedName function="false" hidden="false" name="INP_192" vbProcedure="false">Inputs!$E$192</definedName>
    <definedName function="false" hidden="false" name="INP_193" vbProcedure="false">Inputs!$E$193</definedName>
    <definedName function="false" hidden="false" name="INP_194" vbProcedure="false">Inputs!$E$194</definedName>
    <definedName function="false" hidden="false" name="OAI_CMP_SupplyGW" vbProcedure="false">OAI_Link!$D$16:$I$16</definedName>
    <definedName function="false" hidden="false" name="OAI_CMP_Supply_VReq" vbProcedure="false">OAI_Link!$D$17:$I$17</definedName>
    <definedName function="false" hidden="false" name="OAI_Commit" vbProcedure="false">OAI_Link!$B$6</definedName>
    <definedName function="false" hidden="false" name="OAI_COST_Compute" vbProcedure="false">OAI_Link!$D$18:$I$18</definedName>
    <definedName function="false" hidden="false" name="OAI_COST_Coverage" vbProcedure="false">OAI_Link!$D$23:$I$23</definedName>
    <definedName function="false" hidden="false" name="OAI_COST_FullCash" vbProcedure="false">OAI_Link!$D$19:$I$19</definedName>
    <definedName function="false" hidden="false" name="OAI_COST_PropFull_VR" vbProcedure="false">OAI_Link!$D$21:$I$21</definedName>
    <definedName function="false" hidden="false" name="OAI_COST_PropGap_VR" vbProcedure="false">OAI_Link!$D$22:$I$22</definedName>
    <definedName function="false" hidden="false" name="OAI_COST_PropRev_VR" vbProcedure="false">OAI_Link!$D$20:$I$20</definedName>
    <definedName function="false" hidden="false" name="OAI_DEM_Tok_Total" vbProcedure="false">OAI_Link!$D$15:$I$15</definedName>
    <definedName function="false" hidden="false" name="OAI_File" vbProcedure="false">OAI_Link!$B$4</definedName>
    <definedName function="false" hidden="false" name="OAI_FND_CashEnd" vbProcedure="false">OAI_Link!$D$26:$I$26</definedName>
    <definedName function="false" hidden="false" name="OAI_FND_ExtNeed" vbProcedure="false">OAI_Link!$D$24:$I$24</definedName>
    <definedName function="false" hidden="false" name="OAI_FND_ExtNeedCum" vbProcedure="false">OAI_Link!$D$25:$I$25</definedName>
    <definedName function="false" hidden="false" name="OAI_ReadDate" vbProcedure="false">OAI_Link!$B$7</definedName>
    <definedName function="false" hidden="false" name="OAI_REV_API" vbProcedure="false">OAI_Link!$D$14:$I$14</definedName>
    <definedName function="false" hidden="false" name="OAI_REV_Gross" vbProcedure="false">OAI_Link!$D$10:$I$10</definedName>
    <definedName function="false" hidden="false" name="OAI_REV_Net" vbProcedure="false">OAI_Link!$D$11:$I$11</definedName>
    <definedName function="false" hidden="false" name="OAI_REV_NetCapped" vbProcedure="false">OAI_Link!$D$12:$I$12</definedName>
    <definedName function="false" hidden="false" name="OAI_REV_Sub" vbProcedure="false">OAI_Link!$D$13:$I$13</definedName>
    <definedName function="false" hidden="false" name="OAI_SHA256" vbProcedure="false">OAI_Link!$B$5</definedName>
    <definedName function="false" hidden="false" name="REV_Ads" vbProcedure="false">Revenue!$D$65:$I$65</definedName>
    <definedName function="false" hidden="false" name="REV_API" vbProcedure="false">Revenue!$D$58:$I$58</definedName>
    <definedName function="false" hidden="false" name="REV_ApiPrice" vbProcedure="false">Revenue!$D$32:$I$32</definedName>
    <definedName function="false" hidden="false" name="REV_ApiPrice_Low" vbProcedure="false">Revenue!$D$28:$I$28</definedName>
    <definedName function="false" hidden="false" name="REV_ApiPrice_Mid" vbProcedure="false">Revenue!$D$27:$I$27</definedName>
    <definedName function="false" hidden="false" name="REV_ApiPrice_Top" vbProcedure="false">Revenue!$D$26:$I$26</definedName>
    <definedName function="false" hidden="false" name="REV_API_Low" vbProcedure="false">Revenue!$D$61:$I$61</definedName>
    <definedName function="false" hidden="false" name="REV_API_Mid" vbProcedure="false">Revenue!$D$60:$I$60</definedName>
    <definedName function="false" hidden="false" name="REV_API_Top" vbProcedure="false">Revenue!$D$59:$I$59</definedName>
    <definedName function="false" hidden="false" name="REV_CapFactor" vbProcedure="false">Revenue!$D$80:$I$80</definedName>
    <definedName function="false" hidden="false" name="REV_Channel" vbProcedure="false">Revenue!$D$69:$I$69</definedName>
    <definedName function="false" hidden="false" name="REV_Consumer" vbProcedure="false">Revenue!$D$73:$I$73</definedName>
    <definedName function="false" hidden="false" name="REV_Enterprise" vbProcedure="false">Revenue!$D$74:$I$74</definedName>
    <definedName function="false" hidden="false" name="REV_ExpAddFull" vbProcedure="false">Cost!$D$306:$I$306</definedName>
    <definedName function="false" hidden="false" name="REV_ExpAddHalf" vbProcedure="false">Cost!$D$301:$I$301</definedName>
    <definedName function="false" hidden="false" name="REV_ExpAddNone" vbProcedure="false">Cost!$D$296:$I$296</definedName>
    <definedName function="false" hidden="false" name="REV_Gap2025" vbProcedure="false">Revenue!$D$85</definedName>
    <definedName function="false" hidden="false" name="REV_Gap2026" vbProcedure="false">Revenue!$E$86</definedName>
    <definedName function="false" hidden="false" name="REV_GapUncal2025" vbProcedure="false">Revenue!$D$88</definedName>
    <definedName function="false" hidden="false" name="REV_Gross" vbProcedure="false">Revenue!$D$67:$I$67</definedName>
    <definedName function="false" hidden="false" name="REV_GrossCapped" vbProcedure="false">Revenue!$D$81:$I$81</definedName>
    <definedName function="false" hidden="false" name="REV_ListPrice_Low_In" vbProcedure="false">Revenue!$D$20:$I$20</definedName>
    <definedName function="false" hidden="false" name="REV_ListPrice_Low_Out" vbProcedure="false">Revenue!$D$22:$I$22</definedName>
    <definedName function="false" hidden="false" name="REV_ListPrice_Mid_In" vbProcedure="false">Revenue!$D$16:$I$16</definedName>
    <definedName function="false" hidden="false" name="REV_ListPrice_Mid_Out" vbProcedure="false">Revenue!$D$18:$I$18</definedName>
    <definedName function="false" hidden="false" name="REV_ListPrice_Top_In" vbProcedure="false">Revenue!$D$12:$I$12</definedName>
    <definedName function="false" hidden="false" name="REV_ListPrice_Top_Out" vbProcedure="false">Revenue!$D$14:$I$14</definedName>
    <definedName function="false" hidden="false" name="REV_Net" vbProcedure="false">Revenue!$D$72:$I$72</definedName>
    <definedName function="false" hidden="false" name="REV_NetCapped" vbProcedure="false">Revenue!$D$83:$I$83</definedName>
    <definedName function="false" hidden="false" name="REV_Other" vbProcedure="false">Revenue!$D$64:$I$64</definedName>
    <definedName function="false" hidden="false" name="REV_PartnerShare" vbProcedure="false">Revenue!$D$71:$I$71</definedName>
    <definedName function="false" hidden="false" name="REV_PartnerShareCapped" vbProcedure="false">Revenue!$D$82:$I$82</definedName>
    <definedName function="false" hidden="false" name="REV_RREst2026" vbProcedure="false">Revenue!$E$91</definedName>
    <definedName function="false" hidden="false" name="REV_RRGap2026" vbProcedure="false">Revenue!$E$92</definedName>
    <definedName function="false" hidden="false" name="REV_Sub" vbProcedure="false">Revenue!$D$55:$I$55</definedName>
    <definedName function="false" hidden="false" name="REV_SubConsumer" vbProcedure="false">Revenue!$D$53:$I$53</definedName>
    <definedName function="false" hidden="false" name="REV_SubSeats" vbProcedure="false">Revenue!$D$54:$I$54</definedName>
    <definedName function="false" hidden="false" name="REV_Sub_Ent" vbProcedure="false">Revenue!$D$52:$I$52</definedName>
    <definedName function="false" hidden="false" name="REV_Sub_Max20" vbProcedure="false">Revenue!$D$49:$I$49</definedName>
    <definedName function="false" hidden="false" name="REV_Sub_Max5" vbProcedure="false">Revenue!$D$48:$I$48</definedName>
    <definedName function="false" hidden="false" name="REV_Sub_Pro" vbProcedure="false">Revenue!$D$47:$I$47</definedName>
    <definedName function="false" hidden="false" name="REV_Sub_TeamPrem" vbProcedure="false">Revenue!$D$51:$I$51</definedName>
    <definedName function="false" hidden="false" name="REV_Sub_TeamStd" vbProcedure="false">Revenue!$D$50:$I$50</definedName>
    <definedName function="false" hidden="false" name="REV_Target" vbProcedure="false">Revenue!$D$45:$E$45</definedName>
    <definedName function="false" hidden="false" name="RVS_CashEnd" vbProcedure="false">Reverse!$D$30:$I$30</definedName>
    <definedName function="false" hidden="false" name="RVS_CFPosYear" vbProcedure="false">Reverse!$D$35:$F$35</definedName>
    <definedName function="false" hidden="false" name="RVS_ExtNeed" vbProcedure="false">Reverse!$D$29:$I$29</definedName>
    <definedName function="false" hidden="false" name="RVS_ExtNeedCum" vbProcedure="false">Reverse!$D$31:$I$31</definedName>
    <definedName function="false" hidden="false" name="RVS_FCF" vbProcedure="false">Reverse!$D$26:$I$26</definedName>
    <definedName function="false" hidden="false" name="RVS_Gap" vbProcedure="false">Reverse!$D$17:$I$17</definedName>
    <definedName function="false" hidden="false" name="RVS_MultAPI" vbProcedure="false">Reverse!$D$19:$I$19</definedName>
    <definedName function="false" hidden="false" name="RVS_MultProp" vbProcedure="false">Reverse!$D$21:$I$21</definedName>
    <definedName function="false" hidden="false" name="RVS_MultSub" vbProcedure="false">Reverse!$D$20:$I$20</definedName>
    <definedName function="false" hidden="false" name="RVS_Target" vbProcedure="false">Reverse!$D$8:$I$8</definedName>
    <definedName function="false" hidden="false" name="SRC_ANT_001" vbProcedure="false">SRC_ANT!$E$5</definedName>
    <definedName function="false" hidden="false" name="SRC_ANT_002" vbProcedure="false">SRC_ANT!$E$6</definedName>
    <definedName function="false" hidden="false" name="SRC_ANT_003" vbProcedure="false">SRC_ANT!$E$7</definedName>
    <definedName function="false" hidden="false" name="SRC_ANT_004" vbProcedure="false">SRC_ANT!$E$8</definedName>
    <definedName function="false" hidden="false" name="SRC_ANT_005" vbProcedure="false">SRC_ANT!$E$9</definedName>
    <definedName function="false" hidden="false" name="SRC_ANT_006" vbProcedure="false">SRC_ANT!$E$10</definedName>
    <definedName function="false" hidden="false" name="SRC_ANT_007" vbProcedure="false">SRC_ANT!$E$11</definedName>
    <definedName function="false" hidden="false" name="SRC_ANT_008" vbProcedure="false">SRC_ANT!$E$12</definedName>
    <definedName function="false" hidden="false" name="SRC_ANT_009" vbProcedure="false">SRC_ANT!$E$13</definedName>
    <definedName function="false" hidden="false" name="SRC_ANT_010" vbProcedure="false">SRC_ANT!$E$14</definedName>
    <definedName function="false" hidden="false" name="SRC_ANT_011" vbProcedure="false">SRC_ANT!$E$15</definedName>
    <definedName function="false" hidden="false" name="SRC_ANT_012" vbProcedure="false">SRC_ANT!$E$16</definedName>
    <definedName function="false" hidden="false" name="SRC_ANT_013" vbProcedure="false">SRC_ANT!$E$17</definedName>
    <definedName function="false" hidden="false" name="SRC_ANT_014" vbProcedure="false">SRC_ANT!$E$18</definedName>
    <definedName function="false" hidden="false" name="SRC_ANT_015" vbProcedure="false">SRC_ANT!$E$19</definedName>
    <definedName function="false" hidden="false" name="SRC_ANT_016" vbProcedure="false">SRC_ANT!$E$20</definedName>
    <definedName function="false" hidden="false" name="SRC_ANT_016_Hi" vbProcedure="false">SRC_ANT!$G$20</definedName>
    <definedName function="false" hidden="false" name="SRC_ANT_017" vbProcedure="false">SRC_ANT!$E$21</definedName>
    <definedName function="false" hidden="false" name="SRC_ANT_018" vbProcedure="false">SRC_ANT!$E$22</definedName>
    <definedName function="false" hidden="false" name="SRC_ANT_019" vbProcedure="false">SRC_ANT!$E$23</definedName>
    <definedName function="false" hidden="false" name="SRC_ANT_020" vbProcedure="false">SRC_ANT!$E$24</definedName>
    <definedName function="false" hidden="false" name="SRC_ANT_021" vbProcedure="false">SRC_ANT!$E$25</definedName>
    <definedName function="false" hidden="false" name="SRC_ANT_022" vbProcedure="false">SRC_ANT!$E$26</definedName>
    <definedName function="false" hidden="false" name="SRC_ANT_023" vbProcedure="false">SRC_ANT!$E$27</definedName>
    <definedName function="false" hidden="false" name="SRC_ANT_024" vbProcedure="false">SRC_ANT!$E$28</definedName>
    <definedName function="false" hidden="false" name="SRC_ANT_025" vbProcedure="false">SRC_ANT!$E$29</definedName>
    <definedName function="false" hidden="false" name="SRC_ANT_026" vbProcedure="false">SRC_ANT!$E$30</definedName>
    <definedName function="false" hidden="false" name="SRC_ANT_027" vbProcedure="false">SRC_ANT!$E$31</definedName>
    <definedName function="false" hidden="false" name="SRC_ANT_028" vbProcedure="false">SRC_ANT!$E$32</definedName>
    <definedName function="false" hidden="false" name="SRC_ANT_029" vbProcedure="false">SRC_ANT!$E$33</definedName>
    <definedName function="false" hidden="false" name="SRC_ANT_031" vbProcedure="false">SRC_ANT!$E$35</definedName>
    <definedName function="false" hidden="false" name="SRC_ANT_032" vbProcedure="false">SRC_ANT!$E$36</definedName>
    <definedName function="false" hidden="false" name="SRC_ANT_033" vbProcedure="false">SRC_ANT!$E$37</definedName>
    <definedName function="false" hidden="false" name="SRC_ANT_034" vbProcedure="false">SRC_ANT!$E$38</definedName>
    <definedName function="false" hidden="false" name="SRC_ANT_034_Hi" vbProcedure="false">SRC_ANT!$G$38</definedName>
    <definedName function="false" hidden="false" name="SRC_ANT_035" vbProcedure="false">SRC_ANT!$E$39</definedName>
    <definedName function="false" hidden="false" name="SRC_ANT_036" vbProcedure="false">SRC_ANT!$E$40</definedName>
    <definedName function="false" hidden="false" name="SRC_ANT_037" vbProcedure="false">SRC_ANT!$E$41</definedName>
    <definedName function="false" hidden="false" name="SRC_ANT_037_Hi" vbProcedure="false">SRC_ANT!$G$41</definedName>
    <definedName function="false" hidden="false" name="SRC_ANT_037_Lo" vbProcedure="false">SRC_ANT!$F$41</definedName>
    <definedName function="false" hidden="false" name="SRC_ANT_038" vbProcedure="false">SRC_ANT!$E$42</definedName>
    <definedName function="false" hidden="false" name="SRC_ANT_039" vbProcedure="false">SRC_ANT!$E$43</definedName>
    <definedName function="false" hidden="false" name="SRC_ANT_040" vbProcedure="false">SRC_ANT!$E$44</definedName>
    <definedName function="false" hidden="false" name="SRC_ANT_041" vbProcedure="false">SRC_ANT!$E$45</definedName>
    <definedName function="false" hidden="false" name="SRC_ANT_041_Hi" vbProcedure="false">SRC_ANT!$G$45</definedName>
    <definedName function="false" hidden="false" name="SRC_ANT_042" vbProcedure="false">SRC_ANT!$E$46</definedName>
    <definedName function="false" hidden="false" name="SRC_ANT_043" vbProcedure="false">SRC_ANT!$E$47</definedName>
    <definedName function="false" hidden="false" name="SRC_ANT_044" vbProcedure="false">SRC_ANT!$E$48</definedName>
    <definedName function="false" hidden="false" name="SRC_ANT_045" vbProcedure="false">SRC_ANT!$E$49</definedName>
    <definedName function="false" hidden="false" name="SRC_ANT_046" vbProcedure="false">SRC_ANT!$E$50</definedName>
    <definedName function="false" hidden="false" name="SRC_ANT_047" vbProcedure="false">SRC_ANT!$E$51</definedName>
    <definedName function="false" hidden="false" name="SRC_ANT_048" vbProcedure="false">SRC_ANT!$E$52</definedName>
    <definedName function="false" hidden="false" name="SRC_ANT_049" vbProcedure="false">SRC_ANT!$E$53</definedName>
    <definedName function="false" hidden="false" name="SRC_ANT_049_Lo" vbProcedure="false">SRC_ANT!$F$53</definedName>
    <definedName function="false" hidden="false" name="SRC_ANT_050" vbProcedure="false">SRC_ANT!$E$54</definedName>
    <definedName function="false" hidden="false" name="SRC_ANT_050_Hi" vbProcedure="false">SRC_ANT!$G$54</definedName>
    <definedName function="false" hidden="false" name="SRC_ANT_050_Lo" vbProcedure="false">SRC_ANT!$F$54</definedName>
    <definedName function="false" hidden="false" name="SRC_ANT_051" vbProcedure="false">SRC_ANT!$E$55</definedName>
    <definedName function="false" hidden="false" name="SRC_ANT_052" vbProcedure="false">SRC_ANT!$E$56</definedName>
    <definedName function="false" hidden="false" name="SRC_ANT_053" vbProcedure="false">SRC_ANT!$E$57</definedName>
    <definedName function="false" hidden="false" name="SRC_ANT_054" vbProcedure="false">SRC_ANT!$E$58</definedName>
    <definedName function="false" hidden="false" name="SRC_ANT_055" vbProcedure="false">SRC_ANT!$E$59</definedName>
    <definedName function="false" hidden="false" name="SRC_ANT_056" vbProcedure="false">SRC_ANT!$E$60</definedName>
    <definedName function="false" hidden="false" name="SRC_ANT_056_Hi" vbProcedure="false">SRC_ANT!$G$60</definedName>
    <definedName function="false" hidden="false" name="SRC_ANT_057" vbProcedure="false">SRC_ANT!$E$61</definedName>
    <definedName function="false" hidden="false" name="SRC_ANT_058" vbProcedure="false">SRC_ANT!$E$62</definedName>
    <definedName function="false" hidden="false" name="SRC_ANT_059" vbProcedure="false">SRC_ANT!$E$63</definedName>
    <definedName function="false" hidden="false" name="SRC_ANT_059_Lo" vbProcedure="false">SRC_ANT!$F$63</definedName>
    <definedName function="false" hidden="false" name="SRC_ANT_060" vbProcedure="false">SRC_ANT!$E$64</definedName>
    <definedName function="false" hidden="false" name="SRC_ANT_060_Hi" vbProcedure="false">SRC_ANT!$G$64</definedName>
    <definedName function="false" hidden="false" name="SRC_ANT_060_Lo" vbProcedure="false">SRC_ANT!$F$64</definedName>
    <definedName function="false" hidden="false" name="SRC_ANT_061" vbProcedure="false">SRC_ANT!$E$65</definedName>
    <definedName function="false" hidden="false" name="SRC_ANT_061_Hi" vbProcedure="false">SRC_ANT!$G$65</definedName>
    <definedName function="false" hidden="false" name="SRC_ANT_061_Lo" vbProcedure="false">SRC_ANT!$F$65</definedName>
    <definedName function="false" hidden="false" name="SRC_ANT_062" vbProcedure="false">SRC_ANT!$E$66</definedName>
    <definedName function="false" hidden="false" name="SRC_ANT_062_Hi" vbProcedure="false">SRC_ANT!$G$66</definedName>
    <definedName function="false" hidden="false" name="SRC_ANT_062_Lo" vbProcedure="false">SRC_ANT!$F$66</definedName>
    <definedName function="false" hidden="false" name="SRC_ANT_063" vbProcedure="false">SRC_ANT!$E$67</definedName>
    <definedName function="false" hidden="false" name="SRC_ANT_063_Hi" vbProcedure="false">SRC_ANT!$G$67</definedName>
    <definedName function="false" hidden="false" name="SRC_ANT_063_Lo" vbProcedure="false">SRC_ANT!$F$67</definedName>
    <definedName function="false" hidden="false" name="SRC_ANT_064" vbProcedure="false">SRC_ANT!$E$68</definedName>
    <definedName function="false" hidden="false" name="SRC_ANT_064_Date" vbProcedure="false">SRC_ANT!$J$68</definedName>
    <definedName function="false" hidden="false" name="SRC_ANT_065" vbProcedure="false">SRC_ANT!$E$69</definedName>
    <definedName function="false" hidden="false" name="SRC_ANT_065_Date" vbProcedure="false">SRC_ANT!$J$69</definedName>
    <definedName function="false" hidden="false" name="SRC_ANT_066" vbProcedure="false">SRC_ANT!$E$70</definedName>
    <definedName function="false" hidden="false" name="SRC_ANT_066_Date" vbProcedure="false">SRC_ANT!$J$70</definedName>
    <definedName function="false" hidden="false" name="SRC_ANT_067" vbProcedure="false">SRC_ANT!$E$71</definedName>
    <definedName function="false" hidden="false" name="SRC_ANT_067_Date" vbProcedure="false">SRC_ANT!$J$71</definedName>
    <definedName function="false" hidden="false" name="SRC_ANT_068" vbProcedure="false">SRC_ANT!$E$72</definedName>
    <definedName function="false" hidden="false" name="SRC_ANT_068_Date" vbProcedure="false">SRC_ANT!$J$72</definedName>
    <definedName function="false" hidden="false" name="SRC_ANT_069" vbProcedure="false">SRC_ANT!$E$73</definedName>
    <definedName function="false" hidden="false" name="SRC_ANT_069_Date" vbProcedure="false">SRC_ANT!$J$73</definedName>
    <definedName function="false" hidden="false" name="SRC_ANT_070" vbProcedure="false">SRC_ANT!$E$74</definedName>
    <definedName function="false" hidden="false" name="SRC_ANT_070_Date" vbProcedure="false">SRC_ANT!$J$74</definedName>
    <definedName function="false" hidden="false" name="SRC_ANT_071" vbProcedure="false">SRC_ANT!$E$75</definedName>
    <definedName function="false" hidden="false" name="SRC_ANT_071_Date" vbProcedure="false">SRC_ANT!$J$75</definedName>
    <definedName function="false" hidden="false" name="SRC_ANT_072" vbProcedure="false">SRC_ANT!$E$76</definedName>
    <definedName function="false" hidden="false" name="SRC_ANT_072_Date" vbProcedure="false">SRC_ANT!$J$76</definedName>
    <definedName function="false" hidden="false" name="SRC_ANT_073" vbProcedure="false">SRC_ANT!$E$77</definedName>
    <definedName function="false" hidden="false" name="SRC_ANT_073_Date" vbProcedure="false">SRC_ANT!$J$77</definedName>
    <definedName function="false" hidden="false" name="SRC_ANT_074" vbProcedure="false">SRC_ANT!$E$78</definedName>
    <definedName function="false" hidden="false" name="SRC_ANT_074_Date" vbProcedure="false">SRC_ANT!$J$78</definedName>
    <definedName function="false" hidden="false" name="SRC_ANT_075" vbProcedure="false">SRC_ANT!$E$79</definedName>
    <definedName function="false" hidden="false" name="SRC_ANT_075_Date" vbProcedure="false">SRC_ANT!$J$79</definedName>
    <definedName function="false" hidden="false" name="SRC_ANT_076" vbProcedure="false">SRC_ANT!$E$80</definedName>
    <definedName function="false" hidden="false" name="SRC_ANT_076_Date" vbProcedure="false">SRC_ANT!$J$80</definedName>
    <definedName function="false" hidden="false" name="SRC_ANT_077" vbProcedure="false">SRC_ANT!$E$81</definedName>
    <definedName function="false" hidden="false" name="SRC_ANT_077_Date" vbProcedure="false">SRC_ANT!$J$81</definedName>
    <definedName function="false" hidden="false" name="SRC_ANT_078" vbProcedure="false">SRC_ANT!$E$82</definedName>
    <definedName function="false" hidden="false" name="SRC_ANT_078_Date" vbProcedure="false">SRC_ANT!$J$82</definedName>
    <definedName function="false" hidden="false" name="SRC_ANT_079" vbProcedure="false">SRC_ANT!$E$83</definedName>
    <definedName function="false" hidden="false" name="SRC_ANT_079_Date" vbProcedure="false">SRC_ANT!$J$83</definedName>
    <definedName function="false" hidden="false" name="SRC_ANT_080" vbProcedure="false">SRC_ANT!$E$84</definedName>
    <definedName function="false" hidden="false" name="SRC_ANT_080_Date" vbProcedure="false">SRC_ANT!$J$84</definedName>
    <definedName function="false" hidden="false" name="SRC_ANT_081" vbProcedure="false">SRC_ANT!$E$85</definedName>
    <definedName function="false" hidden="false" name="SRC_ANT_081_Date" vbProcedure="false">SRC_ANT!$J$85</definedName>
    <definedName function="false" hidden="false" name="SRC_ANT_082" vbProcedure="false">SRC_ANT!$E$86</definedName>
    <definedName function="false" hidden="false" name="SRC_ANT_082_Date" vbProcedure="false">SRC_ANT!$J$86</definedName>
    <definedName function="false" hidden="false" name="SRC_ANT_083" vbProcedure="false">SRC_ANT!$E$87</definedName>
    <definedName function="false" hidden="false" name="SRC_ANT_083_Date" vbProcedure="false">SRC_ANT!$J$87</definedName>
    <definedName function="false" hidden="false" name="SRC_ANT_084" vbProcedure="false">SRC_ANT!$E$88</definedName>
    <definedName function="false" hidden="false" name="SRC_ANT_084_Date" vbProcedure="false">SRC_ANT!$J$88</definedName>
    <definedName function="false" hidden="false" name="SRC_ANT_085" vbProcedure="false">SRC_ANT!$E$89</definedName>
    <definedName function="false" hidden="false" name="SRC_ANT_085_Date" vbProcedure="false">SRC_ANT!$J$89</definedName>
    <definedName function="false" hidden="false" name="SRC_ANT_086" vbProcedure="false">SRC_ANT!$E$90</definedName>
    <definedName function="false" hidden="false" name="SRC_ANT_086_Date" vbProcedure="false">SRC_ANT!$J$90</definedName>
    <definedName function="false" hidden="false" name="SRC_ANT_087" vbProcedure="false">SRC_ANT!$E$91</definedName>
    <definedName function="false" hidden="false" name="SRC_ANT_087_Date" vbProcedure="false">SRC_ANT!$J$91</definedName>
    <definedName function="false" hidden="false" name="SRC_ANT_088" vbProcedure="false">SRC_ANT!$E$92</definedName>
    <definedName function="false" hidden="false" name="SRC_ANT_088_Date" vbProcedure="false">SRC_ANT!$J$92</definedName>
    <definedName function="false" hidden="false" name="SRC_ANT_089" vbProcedure="false">SRC_ANT!$E$93</definedName>
    <definedName function="false" hidden="false" name="SRC_ANT_089_Date" vbProcedure="false">SRC_ANT!$J$93</definedName>
    <definedName function="false" hidden="false" name="SRC_ANT_090" vbProcedure="false">SRC_ANT!$E$94</definedName>
    <definedName function="false" hidden="false" name="SRC_ANT_090_Date" vbProcedure="false">SRC_ANT!$J$94</definedName>
    <definedName function="false" hidden="false" name="SRC_ANT_091" vbProcedure="false">SRC_ANT!$E$95</definedName>
    <definedName function="false" hidden="false" name="SRC_ANT_091_Date" vbProcedure="false">SRC_ANT!$J$95</definedName>
    <definedName function="false" hidden="false" name="SRC_ANT_092" vbProcedure="false">SRC_ANT!$E$96</definedName>
    <definedName function="false" hidden="false" name="SRC_ANT_092_Date" vbProcedure="false">SRC_ANT!$J$96</definedName>
    <definedName function="false" hidden="false" name="SRC_ANT_093" vbProcedure="false">SRC_ANT!$E$97</definedName>
    <definedName function="false" hidden="false" name="SRC_ANT_093_Date" vbProcedure="false">SRC_ANT!$J$97</definedName>
    <definedName function="false" hidden="false" name="SRC_ANT_094" vbProcedure="false">SRC_ANT!$E$98</definedName>
    <definedName function="false" hidden="false" name="SRC_ANT_094_Date" vbProcedure="false">SRC_ANT!$J$98</definedName>
    <definedName function="false" hidden="false" name="SRC_ANT_095" vbProcedure="false">SRC_ANT!$E$99</definedName>
    <definedName function="false" hidden="false" name="SRC_ANT_095_Date" vbProcedure="false">SRC_ANT!$J$99</definedName>
    <definedName function="false" hidden="false" name="SRC_ANT_096" vbProcedure="false">SRC_ANT!$E$100</definedName>
    <definedName function="false" hidden="false" name="SRC_ANT_096_Date" vbProcedure="false">SRC_ANT!$J$100</definedName>
    <definedName function="false" hidden="false" name="SRC_ANT_097" vbProcedure="false">SRC_ANT!$E$101</definedName>
    <definedName function="false" hidden="false" name="SRC_ANT_097_Date" vbProcedure="false">SRC_ANT!$J$101</definedName>
    <definedName function="false" hidden="false" name="SRC_ANT_098" vbProcedure="false">SRC_ANT!$E$102</definedName>
    <definedName function="false" hidden="false" name="SRC_ANT_098_Date" vbProcedure="false">SRC_ANT!$J$102</definedName>
    <definedName function="false" hidden="false" name="SRC_ANT_099" vbProcedure="false">SRC_ANT!$E$103</definedName>
    <definedName function="false" hidden="false" name="SRC_ANT_099_Date" vbProcedure="false">SRC_ANT!$J$103</definedName>
    <definedName function="false" hidden="false" name="SRC_ANT_100" vbProcedure="false">SRC_ANT!$E$104</definedName>
    <definedName function="false" hidden="false" name="SRC_ANT_100_Date" vbProcedure="false">SRC_ANT!$J$104</definedName>
    <definedName function="false" hidden="false" name="SRC_ANT_101" vbProcedure="false">SRC_ANT!$E$105</definedName>
    <definedName function="false" hidden="false" name="SRC_ANT_101_Date" vbProcedure="false">SRC_ANT!$J$105</definedName>
    <definedName function="false" hidden="false" name="SRC_ANT_102" vbProcedure="false">SRC_ANT!$E$106</definedName>
    <definedName function="false" hidden="false" name="SRC_ANT_102_Date" vbProcedure="false">SRC_ANT!$J$106</definedName>
    <definedName function="false" hidden="false" name="SRC_ANT_103" vbProcedure="false">SRC_ANT!$E$107</definedName>
    <definedName function="false" hidden="false" name="SRC_ANT_103_Date" vbProcedure="false">SRC_ANT!$J$107</definedName>
    <definedName function="false" hidden="false" name="SRC_ANT_104" vbProcedure="false">SRC_ANT!$E$108</definedName>
    <definedName function="false" hidden="false" name="SRC_ANT_104_Date" vbProcedure="false">SRC_ANT!$J$108</definedName>
    <definedName function="false" hidden="false" name="SRC_ANT_105" vbProcedure="false">SRC_ANT!$E$109</definedName>
    <definedName function="false" hidden="false" name="SRC_ANT_105_Date" vbProcedure="false">SRC_ANT!$J$109</definedName>
    <definedName function="false" hidden="false" name="SRC_ANT_106" vbProcedure="false">SRC_ANT!$E$110</definedName>
    <definedName function="false" hidden="false" name="SRC_ANT_106_Date" vbProcedure="false">SRC_ANT!$J$110</definedName>
    <definedName function="false" hidden="false" name="SRC_ANT_107" vbProcedure="false">SRC_ANT!$E$111</definedName>
    <definedName function="false" hidden="false" name="SRC_ANT_107_Date" vbProcedure="false">SRC_ANT!$J$111</definedName>
    <definedName function="false" hidden="false" name="SRC_ANT_108" vbProcedure="false">SRC_ANT!$E$112</definedName>
    <definedName function="false" hidden="false" name="SRC_ANT_108_Date" vbProcedure="false">SRC_ANT!$J$112</definedName>
    <definedName function="false" hidden="false" name="SRC_ANT_109" vbProcedure="false">SRC_ANT!$E$113</definedName>
    <definedName function="false" hidden="false" name="SRC_ANT_109_Date" vbProcedure="false">SRC_ANT!$J$113</definedName>
    <definedName function="false" hidden="false" name="SRC_ANT_110" vbProcedure="false">SRC_ANT!$E$114</definedName>
    <definedName function="false" hidden="false" name="SRC_ANT_110_Date" vbProcedure="false">SRC_ANT!$J$114</definedName>
    <definedName function="false" hidden="false" name="SRC_ANT_111" vbProcedure="false">SRC_ANT!$E$115</definedName>
    <definedName function="false" hidden="false" name="SRC_ANT_111_Date" vbProcedure="false">SRC_ANT!$J$115</definedName>
    <definedName function="false" hidden="false" name="SRC_ANT_112" vbProcedure="false">SRC_ANT!$E$116</definedName>
    <definedName function="false" hidden="false" name="SRC_ANT_112_Date" vbProcedure="false">SRC_ANT!$J$116</definedName>
    <definedName function="false" hidden="false" name="SRC_ANT_113" vbProcedure="false">SRC_ANT!$E$117</definedName>
    <definedName function="false" hidden="false" name="SRC_ANT_113_Date" vbProcedure="false">SRC_ANT!$J$117</definedName>
    <definedName function="false" hidden="false" name="SRC_ANT_114" vbProcedure="false">SRC_ANT!$E$118</definedName>
    <definedName function="false" hidden="false" name="SRC_ANT_114_Date" vbProcedure="false">SRC_ANT!$J$118</definedName>
    <definedName function="false" hidden="false" name="SRC_ANT_115" vbProcedure="false">SRC_ANT!$E$119</definedName>
    <definedName function="false" hidden="false" name="SRC_ANT_115_Date" vbProcedure="false">SRC_ANT!$J$119</definedName>
    <definedName function="false" hidden="false" name="SRC_ANT_116" vbProcedure="false">SRC_ANT!$E$120</definedName>
    <definedName function="false" hidden="false" name="SRC_ANT_116_Date" vbProcedure="false">SRC_ANT!$J$120</definedName>
    <definedName function="false" hidden="false" name="SRC_ANT_117" vbProcedure="false">SRC_ANT!$E$121</definedName>
    <definedName function="false" hidden="false" name="SRC_ANT_117_Date" vbProcedure="false">SRC_ANT!$J$121</definedName>
    <definedName function="false" hidden="false" name="SRC_ANT_118" vbProcedure="false">SRC_ANT!$E$122</definedName>
    <definedName function="false" hidden="false" name="SRC_ANT_118_Date" vbProcedure="false">SRC_ANT!$J$122</definedName>
    <definedName function="false" hidden="false" name="SRC_ANT_119" vbProcedure="false">SRC_ANT!$E$123</definedName>
    <definedName function="false" hidden="false" name="SRC_ANT_119_Date" vbProcedure="false">SRC_ANT!$J$123</definedName>
    <definedName function="false" hidden="false" name="SRC_ANT_120" vbProcedure="false">SRC_ANT!$E$124</definedName>
    <definedName function="false" hidden="false" name="SRC_ANT_120_Date" vbProcedure="false">SRC_ANT!$J$124</definedName>
    <definedName function="false" hidden="false" name="SRC_ANT_121" vbProcedure="false">SRC_ANT!$E$125</definedName>
    <definedName function="false" hidden="false" name="SRC_ANT_121_Date" vbProcedure="false">SRC_ANT!$J$125</definedName>
    <definedName function="false" hidden="false" name="SRC_ANT_122" vbProcedure="false">SRC_ANT!$E$126</definedName>
    <definedName function="false" hidden="false" name="SRC_ANT_122_Date" vbProcedure="false">SRC_ANT!$J$126</definedName>
    <definedName function="false" hidden="false" name="SRC_ANT_123" vbProcedure="false">SRC_ANT!$E$127</definedName>
    <definedName function="false" hidden="false" name="SRC_ANT_123_Date" vbProcedure="false">SRC_ANT!$J$127</definedName>
    <definedName function="false" hidden="false" name="SRC_ANT_124" vbProcedure="false">SRC_ANT!$E$128</definedName>
    <definedName function="false" hidden="false" name="SRC_ANT_124_Date" vbProcedure="false">SRC_ANT!$J$128</definedName>
    <definedName function="false" hidden="false" name="SRC_ANT_125" vbProcedure="false">SRC_ANT!$E$129</definedName>
    <definedName function="false" hidden="false" name="SRC_ANT_125_Date" vbProcedure="false">SRC_ANT!$J$129</definedName>
    <definedName function="false" hidden="false" name="SRC_ANT_126" vbProcedure="false">SRC_ANT!$E$130</definedName>
    <definedName function="false" hidden="false" name="SRC_ANT_126_Date" vbProcedure="false">SRC_ANT!$J$130</definedName>
    <definedName function="false" hidden="false" name="SRC_ANT_127" vbProcedure="false">SRC_ANT!$E$131</definedName>
    <definedName function="false" hidden="false" name="SRC_ANT_127_Date" vbProcedure="false">SRC_ANT!$J$131</definedName>
    <definedName function="false" hidden="false" name="SRC_ANT_128" vbProcedure="false">SRC_ANT!$E$132</definedName>
    <definedName function="false" hidden="false" name="SRC_ANT_128_Date" vbProcedure="false">SRC_ANT!$J$132</definedName>
    <definedName function="false" hidden="false" name="SRC_ANT_129" vbProcedure="false">SRC_ANT!$E$133</definedName>
    <definedName function="false" hidden="false" name="SRC_ANT_129_Date" vbProcedure="false">SRC_ANT!$J$133</definedName>
    <definedName function="false" hidden="false" name="SRC_ANT_130" vbProcedure="false">SRC_ANT!$E$134</definedName>
    <definedName function="false" hidden="false" name="SRC_ANT_130_Date" vbProcedure="false">SRC_ANT!$J$134</definedName>
    <definedName function="false" hidden="false" name="SRC_ANT_131" vbProcedure="false">SRC_ANT!$E$135</definedName>
    <definedName function="false" hidden="false" name="SRC_ANT_131_Date" vbProcedure="false">SRC_ANT!$J$135</definedName>
    <definedName function="false" hidden="false" name="SRC_ANT_132" vbProcedure="false">SRC_ANT!$E$136</definedName>
    <definedName function="false" hidden="false" name="SRC_ANT_132_Date" vbProcedure="false">SRC_ANT!$J$136</definedName>
    <definedName function="false" hidden="false" name="SRC_ANT_133" vbProcedure="false">SRC_ANT!$E$137</definedName>
    <definedName function="false" hidden="false" name="SRC_ANT_133_Date" vbProcedure="false">SRC_ANT!$J$137</definedName>
    <definedName function="false" hidden="false" name="SRC_ANT_134" vbProcedure="false">SRC_ANT!$E$138</definedName>
    <definedName function="false" hidden="false" name="SRC_ANT_134_Date" vbProcedure="false">SRC_ANT!$J$138</definedName>
    <definedName function="false" hidden="false" name="SRC_ANT_135" vbProcedure="false">SRC_ANT!$E$139</definedName>
    <definedName function="false" hidden="false" name="SRC_ANT_136" vbProcedure="false">SRC_ANT!$E$140</definedName>
    <definedName function="false" hidden="false" name="SRC_ANT_137" vbProcedure="false">SRC_ANT!$E$141</definedName>
    <definedName function="false" hidden="false" name="SRC_ANT_138" vbProcedure="false">SRC_ANT!$E$142</definedName>
    <definedName function="false" hidden="false" name="SRC_ANT_139" vbProcedure="false">SRC_ANT!$E$143</definedName>
    <definedName function="false" hidden="false" name="SRC_ANT_140" vbProcedure="false">SRC_ANT!$E$144</definedName>
    <definedName function="false" hidden="false" name="SRC_ANT_141" vbProcedure="false">SRC_ANT!$E$145</definedName>
    <definedName function="false" hidden="false" name="SRC_ANT_142" vbProcedure="false">SRC_ANT!$E$146</definedName>
    <definedName function="false" hidden="false" name="SRC_ANT_143" vbProcedure="false">SRC_ANT!$E$147</definedName>
    <definedName function="false" hidden="false" name="SRC_ANT_144" vbProcedure="false">SRC_ANT!$E$148</definedName>
    <definedName function="false" hidden="false" name="SRC_ANT_145" vbProcedure="false">SRC_ANT!$E$149</definedName>
    <definedName function="false" hidden="false" name="SRC_ANT_146" vbProcedure="false">SRC_ANT!$E$150</definedName>
    <definedName function="false" hidden="false" name="SRC_ANT_147" vbProcedure="false">SRC_ANT!$E$151</definedName>
    <definedName function="false" hidden="false" name="SRC_ANT_148" vbProcedure="false">SRC_ANT!$E$152</definedName>
    <definedName function="false" hidden="false" name="SRC_ANT_149" vbProcedure="false">SRC_ANT!$E$153</definedName>
    <definedName function="false" hidden="false" name="SRC_ANT_150" vbProcedure="false">SRC_ANT!$E$154</definedName>
    <definedName function="false" hidden="false" name="SRC_ANT_151" vbProcedure="false">SRC_ANT!$E$155</definedName>
    <definedName function="false" hidden="false" name="SRC_ANT_152" vbProcedure="false">SRC_ANT!$E$156</definedName>
    <definedName function="false" hidden="false" name="SRC_ANT_153" vbProcedure="false">SRC_ANT!$E$157</definedName>
    <definedName function="false" hidden="false" name="SRC_ANT_153_Hi" vbProcedure="false">SRC_ANT!$G$157</definedName>
    <definedName function="false" hidden="false" name="SRC_ANT_153_Lo" vbProcedure="false">SRC_ANT!$F$157</definedName>
    <definedName function="false" hidden="false" name="SRC_ANT_154_Date" vbProcedure="false">SRC_ANT!$J$158</definedName>
    <definedName function="false" hidden="false" name="SRC_ANT_155" vbProcedure="false">SRC_ANT!$E$159</definedName>
    <definedName function="false" hidden="false" name="SRC_ANT_155_Date" vbProcedure="false">SRC_ANT!$J$159</definedName>
    <definedName function="false" hidden="false" name="SRC_ANT_156_Date" vbProcedure="false">SRC_ANT!$J$160</definedName>
    <definedName function="false" hidden="false" name="SRC_ANT_157" vbProcedure="false">SRC_ANT!$E$161</definedName>
    <definedName function="false" hidden="false" name="SRC_ANT_157_Date" vbProcedure="false">SRC_ANT!$J$161</definedName>
    <definedName function="false" hidden="false" name="SRC_ANT_158" vbProcedure="false">SRC_ANT!$E$162</definedName>
    <definedName function="false" hidden="false" name="SRC_ANT_158_Date" vbProcedure="false">SRC_ANT!$J$162</definedName>
    <definedName function="false" hidden="false" name="SRC_ANT_159" vbProcedure="false">SRC_ANT!$E$163</definedName>
    <definedName function="false" hidden="false" name="SRC_ANT_159_Date" vbProcedure="false">SRC_ANT!$J$163</definedName>
    <definedName function="false" hidden="false" name="SRC_ANT_160" vbProcedure="false">SRC_ANT!$E$164</definedName>
    <definedName function="false" hidden="false" name="SRC_ANT_161" vbProcedure="false">SRC_ANT!$E$165</definedName>
    <definedName function="false" hidden="false" name="SRC_ANT_162" vbProcedure="false">SRC_ANT!$E$166</definedName>
    <definedName function="false" hidden="false" name="SRC_ANT_163" vbProcedure="false">SRC_ANT!$E$167</definedName>
    <definedName function="false" hidden="false" name="SRC_ANT_164" vbProcedure="false">SRC_ANT!$E$168</definedName>
    <definedName function="false" hidden="false" name="SRC_ANT_165" vbProcedure="false">SRC_ANT!$E$169</definedName>
    <definedName function="false" hidden="false" name="SRC_ANT_166" vbProcedure="false">SRC_ANT!$E$170</definedName>
    <definedName function="false" hidden="false" name="SRC_ANT_167" vbProcedure="false">SRC_ANT!$E$171</definedName>
    <definedName function="false" hidden="false" name="SRC_ANT_168" vbProcedure="false">SRC_ANT!$E$172</definedName>
    <definedName function="false" hidden="false" name="SRC_ANT_169" vbProcedure="false">SRC_ANT!$E$173</definedName>
    <definedName function="false" hidden="false" name="SRC_ANT_169_Lo" vbProcedure="false">SRC_ANT!$F$173</definedName>
    <definedName function="false" hidden="false" name="SRC_ANT_170_Hi" vbProcedure="false">SRC_ANT!$G$174</definedName>
    <definedName function="false" hidden="false" name="SRC_ANT_170_Lo" vbProcedure="false">SRC_ANT!$F$174</definedName>
    <definedName function="false" hidden="false" name="SRC_ANT_171" vbProcedure="false">SRC_ANT!$E$175</definedName>
    <definedName function="false" hidden="false" name="SRC_ANT_171_Hi" vbProcedure="false">SRC_ANT!$G$175</definedName>
    <definedName function="false" hidden="false" name="SRC_ANT_171_Lo" vbProcedure="false">SRC_ANT!$F$175</definedName>
    <definedName function="false" hidden="false" name="SRC_ANT_172" vbProcedure="false">SRC_ANT!$E$176</definedName>
    <definedName function="false" hidden="false" name="SRC_ANT_172_Hi" vbProcedure="false">SRC_ANT!$G$176</definedName>
    <definedName function="false" hidden="false" name="SRC_ANT_172_Lo" vbProcedure="false">SRC_ANT!$F$176</definedName>
    <definedName function="false" hidden="false" name="SRC_ANT_173" vbProcedure="false">SRC_ANT!$E$177</definedName>
    <definedName function="false" hidden="false" name="SRC_ANT_173_Hi" vbProcedure="false">SRC_ANT!$G$177</definedName>
    <definedName function="false" hidden="false" name="SRC_ANT_173_Lo" vbProcedure="false">SRC_ANT!$F$177</definedName>
    <definedName function="false" hidden="false" name="SRC_ANT_174" vbProcedure="false">SRC_ANT!$E$178</definedName>
    <definedName function="false" hidden="false" name="SRC_ANT_174_Date" vbProcedure="false">SRC_ANT!$J$178</definedName>
    <definedName function="false" hidden="false" name="SRC_ANT_175" vbProcedure="false">SRC_ANT!$E$179</definedName>
    <definedName function="false" hidden="false" name="SRC_ANT_175_Date" vbProcedure="false">SRC_ANT!$J$179</definedName>
    <definedName function="false" hidden="false" name="SRC_ANT_175_Hi" vbProcedure="false">SRC_ANT!$G$179</definedName>
    <definedName function="false" hidden="false" name="SRC_ANT_176" vbProcedure="false">SRC_ANT!$E$180</definedName>
    <definedName function="false" hidden="false" name="SRC_ANT_176_Date" vbProcedure="false">SRC_ANT!$J$180</definedName>
    <definedName function="false" hidden="false" name="SRC_ANT_177" vbProcedure="false">SRC_ANT!$E$181</definedName>
    <definedName function="false" hidden="false" name="SRC_ANT_177_Date" vbProcedure="false">SRC_ANT!$J$181</definedName>
    <definedName function="false" hidden="false" name="SRC_ANT_178" vbProcedure="false">SRC_ANT!$E$182</definedName>
    <definedName function="false" hidden="false" name="SRC_ANT_178_Date" vbProcedure="false">SRC_ANT!$J$182</definedName>
    <definedName function="false" hidden="false" name="SRC_ANT_179" vbProcedure="false">SRC_ANT!$E$183</definedName>
    <definedName function="false" hidden="false" name="SRC_ANT_180" vbProcedure="false">SRC_ANT!$E$184</definedName>
    <definedName function="false" hidden="false" name="SRC_ANT_180_Date" vbProcedure="false">SRC_ANT!$J$184</definedName>
    <definedName function="false" hidden="false" name="SRC_ANT_181" vbProcedure="false">SRC_ANT!$E$185</definedName>
    <definedName function="false" hidden="false" name="SRC_ANT_181_Hi" vbProcedure="false">SRC_ANT!$G$185</definedName>
    <definedName function="false" hidden="false" name="SRC_ANT_181_Lo" vbProcedure="false">SRC_ANT!$F$185</definedName>
    <definedName function="false" hidden="false" name="SRC_ANT_182" vbProcedure="false">SRC_ANT!$E$186</definedName>
    <definedName function="false" hidden="false" name="SRC_ANT_182_Hi" vbProcedure="false">SRC_ANT!$G$186</definedName>
    <definedName function="false" hidden="false" name="SRC_ANT_182_Lo" vbProcedure="false">SRC_ANT!$F$186</definedName>
    <definedName function="false" hidden="false" name="SRC_ANT_183" vbProcedure="false">SRC_ANT!$E$187</definedName>
    <definedName function="false" hidden="false" name="SRC_ANT_184_Lo" vbProcedure="false">SRC_ANT!$F$188</definedName>
    <definedName function="false" hidden="false" name="SRC_ANT_185_Lo" vbProcedure="false">SRC_ANT!$F$189</definedName>
    <definedName function="false" hidden="false" name="SRC_ANT_187_Lo" vbProcedure="false">SRC_ANT!$F$191</definedName>
    <definedName function="false" hidden="false" name="SRC_ANT_188" vbProcedure="false">SRC_ANT!$E$192</definedName>
    <definedName function="false" hidden="false" name="SRC_ANT_189" vbProcedure="false">SRC_ANT!$E$193</definedName>
    <definedName function="false" hidden="false" name="SRC_ANT_191" vbProcedure="false">SRC_ANT!$E$195</definedName>
    <definedName function="false" hidden="false" name="SRC_ANT_192" vbProcedure="false">SRC_ANT!$E$196</definedName>
    <definedName function="false" hidden="false" name="SRC_ANT_193_Hi" vbProcedure="false">SRC_ANT!$G$197</definedName>
    <definedName function="false" hidden="false" name="SRC_ANT_193_Lo" vbProcedure="false">SRC_ANT!$F$197</definedName>
    <definedName function="false" hidden="false" name="SRC_ANT_194" vbProcedure="false">SRC_ANT!$E$198</definedName>
    <definedName function="false" hidden="false" name="SRC_ANT_195" vbProcedure="false">SRC_ANT!$E$199</definedName>
    <definedName function="false" hidden="false" name="SRC_ANT_196" vbProcedure="false">SRC_ANT!$E$200</definedName>
    <definedName function="false" hidden="false" name="SRC_ANT_197" vbProcedure="false">SRC_ANT!$E$201</definedName>
    <definedName function="false" hidden="false" name="SRC_ANT_198_Lo" vbProcedure="false">SRC_ANT!$F$202</definedName>
    <definedName function="false" hidden="false" name="SRC_ANT_199" vbProcedure="false">SRC_ANT!$E$203</definedName>
    <definedName function="false" hidden="false" name="SRC_ANT_200" vbProcedure="false">SRC_ANT!$E$204</definedName>
    <definedName function="false" hidden="false" name="SRC_ANT_201" vbProcedure="false">SRC_ANT!$E$205</definedName>
    <definedName function="false" hidden="false" name="SRC_ANT_201_Hi" vbProcedure="false">SRC_ANT!$G$205</definedName>
    <definedName function="false" hidden="false" name="SRC_ANT_202" vbProcedure="false">SRC_ANT!$E$206</definedName>
    <definedName function="false" hidden="false" name="SRC_ANT_203_Hi" vbProcedure="false">SRC_ANT!$G$207</definedName>
    <definedName function="false" hidden="false" name="SRC_ANT_204_Lo" vbProcedure="false">SRC_ANT!$F$208</definedName>
    <definedName function="false" hidden="false" name="SRC_ANT_205" vbProcedure="false">SRC_ANT!$E$209</definedName>
    <definedName function="false" hidden="false" name="SRC_ANT_206_Lo" vbProcedure="false">SRC_ANT!$F$210</definedName>
    <definedName function="false" hidden="false" name="SRC_ANT_208" vbProcedure="false">SRC_ANT!$E$212</definedName>
    <definedName function="false" hidden="false" name="SRC_ANT_209" vbProcedure="false">SRC_ANT!$E$213</definedName>
    <definedName function="false" hidden="false" name="SRC_ANT_210_Hi" vbProcedure="false">SRC_ANT!$G$214</definedName>
    <definedName function="false" hidden="false" name="SRC_ANT_211" vbProcedure="false">SRC_ANT!$E$215</definedName>
    <definedName function="false" hidden="false" name="SRC_ANT_212" vbProcedure="false">SRC_ANT!$E$216</definedName>
    <definedName function="false" hidden="false" name="SRC_ANT_213_Hi" vbProcedure="false">SRC_ANT!$G$217</definedName>
    <definedName function="false" hidden="false" name="SRC_ANT_213_Lo" vbProcedure="false">SRC_ANT!$F$217</definedName>
    <definedName function="false" hidden="false" name="SRC_ANT_214" vbProcedure="false">SRC_ANT!$E$218</definedName>
    <definedName function="false" hidden="false" name="SRC_ANT_215" vbProcedure="false">SRC_ANT!$E$219</definedName>
    <definedName function="false" hidden="false" name="SRC_ANT_215_Hi" vbProcedure="false">SRC_ANT!$G$219</definedName>
    <definedName function="false" hidden="false" name="SRC_ANT_216_Hi" vbProcedure="false">SRC_ANT!$G$220</definedName>
    <definedName function="false" hidden="false" name="SRC_ANT_216_Lo" vbProcedure="false">SRC_ANT!$F$220</definedName>
    <definedName function="false" hidden="false" name="SRC_ANT_217" vbProcedure="false">SRC_ANT!$E$221</definedName>
    <definedName function="false" hidden="false" name="SRC_ANT_218" vbProcedure="false">SRC_ANT!$E$222</definedName>
    <definedName function="false" hidden="false" name="SRC_ANT_219" vbProcedure="false">SRC_ANT!$E$223</definedName>
    <definedName function="false" hidden="false" name="SRC_ANT_219_Lo" vbProcedure="false">SRC_ANT!$F$223</definedName>
    <definedName function="false" hidden="false" name="SRC_ANT_220" vbProcedure="false">SRC_ANT!$E$224</definedName>
    <definedName function="false" hidden="false" name="SRC_ANT_220_Hi" vbProcedure="false">SRC_ANT!$G$224</definedName>
    <definedName function="false" hidden="false" name="SRC_ANT_221" vbProcedure="false">SRC_ANT!$E$225</definedName>
    <definedName function="false" hidden="false" name="SRC_ANT_222" vbProcedure="false">SRC_ANT!$E$226</definedName>
    <definedName function="false" hidden="false" name="SRC_ANT_223" vbProcedure="false">SRC_ANT!$E$227</definedName>
    <definedName function="false" hidden="false" name="SRC_ANT_224" vbProcedure="false">SRC_ANT!$E$228</definedName>
    <definedName function="false" hidden="false" name="SRC_ANT_225_Lo" vbProcedure="false">SRC_ANT!$F$229</definedName>
    <definedName function="false" hidden="false" name="SRC_ANT_226_Lo" vbProcedure="false">SRC_ANT!$F$230</definedName>
    <definedName function="false" hidden="false" name="SRC_ANT_227" vbProcedure="false">SRC_ANT!$E$231</definedName>
    <definedName function="false" hidden="false" name="SRC_ANT_228" vbProcedure="false">SRC_ANT!$E$232</definedName>
    <definedName function="false" hidden="false" name="SRC_ANT_229_Hi" vbProcedure="false">SRC_ANT!$G$233</definedName>
    <definedName function="false" hidden="false" name="SRC_ANT_230" vbProcedure="false">SRC_ANT!$E$234</definedName>
    <definedName function="false" hidden="false" name="SRC_ANT_231_Hi" vbProcedure="false">SRC_ANT!$G$235</definedName>
    <definedName function="false" hidden="false" name="SRC_ANT_232_Lo" vbProcedure="false">SRC_ANT!$F$236</definedName>
    <definedName function="false" hidden="false" name="SRC_ANT_234" vbProcedure="false">SRC_ANT!$E$238</definedName>
    <definedName function="false" hidden="false" name="SRC_ANT_236" vbProcedure="false">SRC_ANT!$E$240</definedName>
    <definedName function="false" hidden="false" name="SRC_ANT_237" vbProcedure="false">SRC_ANT!$E$241</definedName>
    <definedName function="false" hidden="false" name="SRC_ANT_238" vbProcedure="false">SRC_ANT!$E$242</definedName>
    <definedName function="false" hidden="false" name="SRC_ANT_238_Hi" vbProcedure="false">SRC_ANT!$G$242</definedName>
    <definedName function="false" hidden="false" name="SRC_ANT_239" vbProcedure="false">SRC_ANT!$E$243</definedName>
    <definedName function="false" hidden="false" name="SRC_ANT_240" vbProcedure="false">SRC_ANT!$E$244</definedName>
    <definedName function="false" hidden="false" name="SRC_ANT_240_Lo" vbProcedure="false">SRC_ANT!$F$244</definedName>
    <definedName function="false" hidden="false" name="SRC_ANT_241_Hi" vbProcedure="false">SRC_ANT!$G$245</definedName>
    <definedName function="false" hidden="false" name="SRC_ANT_242_Lo" vbProcedure="false">SRC_ANT!$F$246</definedName>
    <definedName function="false" hidden="false" name="SRC_ANT_243_Hi" vbProcedure="false">SRC_ANT!$G$247</definedName>
    <definedName function="false" hidden="false" name="SRC_ANT_243_Lo" vbProcedure="false">SRC_ANT!$F$247</definedName>
    <definedName function="false" hidden="false" name="SRC_ANT_244" vbProcedure="false">SRC_ANT!$E$248</definedName>
    <definedName function="false" hidden="false" name="SRC_ANT_245" vbProcedure="false">SRC_ANT!$E$249</definedName>
    <definedName function="false" hidden="false" name="SRC_ANT_246" vbProcedure="false">SRC_ANT!$E$250</definedName>
    <definedName function="false" hidden="false" name="SRC_ANT_247_Lo" vbProcedure="false">SRC_ANT!$F$251</definedName>
    <definedName function="false" hidden="false" name="SRC_ANT_248" vbProcedure="false">SRC_ANT!$E$252</definedName>
    <definedName function="false" hidden="false" name="SRC_ANT_249" vbProcedure="false">SRC_ANT!$E$253</definedName>
    <definedName function="false" hidden="false" name="SRC_ANT_250" vbProcedure="false">SRC_ANT!$E$254</definedName>
    <definedName function="false" hidden="false" name="SRC_ANT_251_Hi" vbProcedure="false">SRC_ANT!$G$255</definedName>
    <definedName function="false" hidden="false" name="SRC_ANT_252" vbProcedure="false">SRC_ANT!$E$256</definedName>
    <definedName function="false" hidden="false" name="SRC_ANT_253" vbProcedure="false">SRC_ANT!$E$257</definedName>
    <definedName function="false" hidden="false" name="SRC_ANT_254" vbProcedure="false">SRC_ANT!$E$258</definedName>
    <definedName function="false" hidden="false" name="SRC_ANT_255" vbProcedure="false">SRC_ANT!$E$259</definedName>
    <definedName function="false" hidden="false" name="SRC_ANT_256" vbProcedure="false">SRC_ANT!$E$260</definedName>
    <definedName function="false" hidden="false" name="SRC_ANT_257" vbProcedure="false">SRC_ANT!$E$261</definedName>
    <definedName function="false" hidden="false" name="SRC_ANT_258" vbProcedure="false">SRC_ANT!$E$262</definedName>
    <definedName function="false" hidden="false" name="SRC_ANT_259" vbProcedure="false">SRC_ANT!$E$263</definedName>
    <definedName function="false" hidden="false" name="SRC_ANT_260_Lo" vbProcedure="false">SRC_ANT!$F$264</definedName>
    <definedName function="false" hidden="false" name="SRC_ANT_261_Hi" vbProcedure="false">SRC_ANT!$G$265</definedName>
    <definedName function="false" hidden="false" name="SRC_ANT_262" vbProcedure="false">SRC_ANT!$E$266</definedName>
    <definedName function="false" hidden="false" name="SRC_ANT_263_Lo" vbProcedure="false">SRC_ANT!$F$267</definedName>
    <definedName function="false" hidden="false" name="SRC_ANT_265" vbProcedure="false">SRC_ANT!$E$269</definedName>
    <definedName function="false" hidden="false" name="SRC_ANT_265_Hi" vbProcedure="false">SRC_ANT!$G$269</definedName>
    <definedName function="false" hidden="false" name="SRC_ANT_265_Lo" vbProcedure="false">SRC_ANT!$F$269</definedName>
    <definedName function="false" hidden="false" name="SRC_ANT_266" vbProcedure="false">SRC_ANT!$E$270</definedName>
    <definedName function="false" hidden="false" name="SRC_ANT_266_Lo" vbProcedure="false">SRC_ANT!$F$270</definedName>
    <definedName function="false" hidden="false" name="SRC_ANT_267" vbProcedure="false">SRC_ANT!$E$271</definedName>
    <definedName function="false" hidden="false" name="SRC_ANT_268" vbProcedure="false">SRC_ANT!$E$272</definedName>
    <definedName function="false" hidden="false" name="SRC_ANT_269" vbProcedure="false">SRC_ANT!$E$273</definedName>
    <definedName function="false" hidden="false" name="SRC_ANT_270" vbProcedure="false">SRC_ANT!$E$274</definedName>
    <definedName function="false" hidden="false" name="SRC_ANT_271" vbProcedure="false">SRC_ANT!$E$275</definedName>
    <definedName function="false" hidden="false" name="SRC_ANT_272_Lo" vbProcedure="false">SRC_ANT!$F$276</definedName>
    <definedName function="false" hidden="false" name="SRC_ANT_273" vbProcedure="false">SRC_ANT!$E$277</definedName>
    <definedName function="false" hidden="false" name="SRC_ANT_274" vbProcedure="false">SRC_ANT!$E$278</definedName>
    <definedName function="false" hidden="false" name="SRC_ANT_275" vbProcedure="false">SRC_ANT!$E$279</definedName>
    <definedName function="false" hidden="false" name="SRC_ANT_276" vbProcedure="false">SRC_ANT!$E$280</definedName>
    <definedName function="false" hidden="false" name="SRC_ANT_277" vbProcedure="false">SRC_ANT!$E$281</definedName>
    <definedName function="false" hidden="false" name="SRC_ANT_278" vbProcedure="false">SRC_ANT!$E$282</definedName>
    <definedName function="false" hidden="false" name="SRC_ANT_279" vbProcedure="false">SRC_ANT!$E$283</definedName>
    <definedName function="false" hidden="false" name="SRC_ANT_280" vbProcedure="false">SRC_ANT!$E$284</definedName>
    <definedName function="false" hidden="false" name="SRC_ANT_281" vbProcedure="false">SRC_ANT!$E$285</definedName>
    <definedName function="false" hidden="false" name="SRC_ANT_282" vbProcedure="false">SRC_ANT!$E$286</definedName>
    <definedName function="false" hidden="false" name="SRC_ANT_283" vbProcedure="false">SRC_ANT!$E$287</definedName>
    <definedName function="false" hidden="false" name="SRC_ANT_284" vbProcedure="false">SRC_ANT!$E$288</definedName>
    <definedName function="false" hidden="false" name="SRC_ANT_285" vbProcedure="false">SRC_ANT!$E$289</definedName>
    <definedName function="false" hidden="false" name="SRC_ANT_286" vbProcedure="false">SRC_ANT!$E$290</definedName>
    <definedName function="false" hidden="false" name="SRC_ANT_287_Hi" vbProcedure="false">SRC_ANT!$G$291</definedName>
    <definedName function="false" hidden="false" name="SRC_ANT_287_Lo" vbProcedure="false">SRC_ANT!$F$291</definedName>
    <definedName function="false" hidden="false" name="SRC_ANT_288" vbProcedure="false">SRC_ANT!$E$292</definedName>
    <definedName function="false" hidden="false" name="SRC_ANT_289" vbProcedure="false">SRC_ANT!$E$293</definedName>
    <definedName function="false" hidden="false" name="SRC_ANT_290" vbProcedure="false">SRC_ANT!$E$294</definedName>
    <definedName function="false" hidden="false" name="SRC_ANT_291" vbProcedure="false">SRC_ANT!$E$295</definedName>
    <definedName function="false" hidden="false" name="SRC_ANT_292" vbProcedure="false">SRC_ANT!$E$296</definedName>
    <definedName function="false" hidden="false" name="SRC_ANT_293" vbProcedure="false">SRC_ANT!$E$297</definedName>
    <definedName function="false" hidden="false" name="SRC_ANT_293_Lo" vbProcedure="false">SRC_ANT!$F$297</definedName>
    <definedName function="false" hidden="false" name="SRC_ANT_294" vbProcedure="false">SRC_ANT!$E$298</definedName>
    <definedName function="false" hidden="false" name="SRC_ANT_295" vbProcedure="false">SRC_ANT!$E$299</definedName>
    <definedName function="false" hidden="false" name="SRC_ANT_295_Date" vbProcedure="false">SRC_ANT!$J$299</definedName>
    <definedName function="false" hidden="false" name="SRC_ANT_296" vbProcedure="false">SRC_ANT!$E$300</definedName>
    <definedName function="false" hidden="false" name="SRC_ANT_297" vbProcedure="false">SRC_ANT!$E$301</definedName>
    <definedName function="false" hidden="false" name="SRC_ANT_298" vbProcedure="false">SRC_ANT!$E$302</definedName>
    <definedName function="false" hidden="false" name="SRC_ANT_298_Date" vbProcedure="false">SRC_ANT!$J$302</definedName>
    <definedName function="false" hidden="false" name="SRC_ANT_299" vbProcedure="false">SRC_ANT!$E$303</definedName>
    <definedName function="false" hidden="false" name="SRC_ANT_299_Date" vbProcedure="false">SRC_ANT!$J$303</definedName>
    <definedName function="false" hidden="false" name="SRC_ANT_300" vbProcedure="false">SRC_ANT!$E$304</definedName>
    <definedName function="false" hidden="false" name="SRC_ANT_300_Date" vbProcedure="false">SRC_ANT!$J$304</definedName>
    <definedName function="false" hidden="false" name="SRC_ANT_301_Date" vbProcedure="false">SRC_ANT!$J$305</definedName>
    <definedName function="false" hidden="false" name="SRC_ANT_302" vbProcedure="false">SRC_ANT!$E$306</definedName>
    <definedName function="false" hidden="false" name="SRC_ANT_303" vbProcedure="false">SRC_ANT!$E$307</definedName>
    <definedName function="false" hidden="false" name="SRC_ANT_304" vbProcedure="false">SRC_ANT!$E$308</definedName>
    <definedName function="false" hidden="false" name="SRC_ANT_304_Lo" vbProcedure="false">SRC_ANT!$F$308</definedName>
    <definedName function="false" hidden="false" name="SRC_ANT_305" vbProcedure="false">SRC_ANT!$E$309</definedName>
    <definedName function="false" hidden="false" name="SRC_ANT_305_Date" vbProcedure="false">SRC_ANT!$J$309</definedName>
    <definedName function="false" hidden="false" name="SRC_ANT_306" vbProcedure="false">SRC_ANT!$E$310</definedName>
    <definedName function="false" hidden="false" name="SRC_ANT_307" vbProcedure="false">SRC_ANT!$E$311</definedName>
    <definedName function="false" hidden="false" name="SRC_ANT_307_Lo" vbProcedure="false">SRC_ANT!$F$311</definedName>
    <definedName function="false" hidden="false" name="SRC_ANT_308_Date" vbProcedure="false">SRC_ANT!$J$312</definedName>
    <definedName function="false" hidden="false" name="SRC_ANT_309_Date" vbProcedure="false">SRC_ANT!$J$313</definedName>
    <definedName function="false" hidden="false" name="SRC_ANT_310" vbProcedure="false">SRC_ANT!$E$314</definedName>
    <definedName function="false" hidden="false" name="SRC_ANT_310_Lo" vbProcedure="false">SRC_ANT!$F$314</definedName>
    <definedName function="false" hidden="false" name="SRC_ANT_311" vbProcedure="false">SRC_ANT!$E$315</definedName>
    <definedName function="false" hidden="false" name="SRC_ANT_312" vbProcedure="false">SRC_ANT!$E$316</definedName>
    <definedName function="false" hidden="false" name="SRC_ANT_312_Date" vbProcedure="false">SRC_ANT!$J$316</definedName>
    <definedName function="false" hidden="false" name="SRC_ANT_313" vbProcedure="false">SRC_ANT!$E$317</definedName>
    <definedName function="false" hidden="false" name="SRC_ANT_313_Date" vbProcedure="false">SRC_ANT!$J$317</definedName>
    <definedName function="false" hidden="false" name="SRC_ANT_314" vbProcedure="false">SRC_ANT!$E$318</definedName>
    <definedName function="false" hidden="false" name="SRC_ANT_314_Date" vbProcedure="false">SRC_ANT!$J$318</definedName>
    <definedName function="false" hidden="false" name="SRC_ANT_315" vbProcedure="false">SRC_ANT!$E$319</definedName>
    <definedName function="false" hidden="false" name="SRC_ANT_315_Date" vbProcedure="false">SRC_ANT!$J$319</definedName>
    <definedName function="false" hidden="false" name="SRC_ANT_316_Date" vbProcedure="false">SRC_ANT!$J$320</definedName>
    <definedName function="false" hidden="false" name="SRC_ANT_317" vbProcedure="false">SRC_ANT!$E$321</definedName>
    <definedName function="false" hidden="false" name="SRC_ANT_317_Date" vbProcedure="false">SRC_ANT!$J$321</definedName>
    <definedName function="false" hidden="false" name="SRC_ANT_318" vbProcedure="false">SRC_ANT!$E$322</definedName>
    <definedName function="false" hidden="false" name="SRC_ANT_318_Date" vbProcedure="false">SRC_ANT!$J$322</definedName>
    <definedName function="false" hidden="false" name="SRC_ANT_319" vbProcedure="false">SRC_ANT!$E$323</definedName>
    <definedName function="false" hidden="false" name="SRC_ANT_320" vbProcedure="false">SRC_ANT!$E$324</definedName>
    <definedName function="false" hidden="false" name="SRC_ANT_321" vbProcedure="false">SRC_ANT!$E$325</definedName>
    <definedName function="false" hidden="false" name="SRC_ANT_322" vbProcedure="false">SRC_ANT!$E$326</definedName>
    <definedName function="false" hidden="false" name="SRC_ANT_322_Date" vbProcedure="false">SRC_ANT!$J$326</definedName>
    <definedName function="false" hidden="false" name="SRC_ANT_323" vbProcedure="false">SRC_ANT!$E$327</definedName>
    <definedName function="false" hidden="false" name="SRC_ANT_323_Date" vbProcedure="false">SRC_ANT!$J$327</definedName>
    <definedName function="false" hidden="false" name="SRC_ANT_324" vbProcedure="false">SRC_ANT!$E$328</definedName>
    <definedName function="false" hidden="false" name="SRC_ANT_324_Date" vbProcedure="false">SRC_ANT!$J$328</definedName>
    <definedName function="false" hidden="false" name="SRC_ANT_324_Hi" vbProcedure="false">SRC_ANT!$G$328</definedName>
    <definedName function="false" hidden="false" name="SRC_ANT_324_Lo" vbProcedure="false">SRC_ANT!$F$328</definedName>
    <definedName function="false" hidden="false" name="SRC_ANT_325" vbProcedure="false">SRC_ANT!$E$329</definedName>
    <definedName function="false" hidden="false" name="SRC_ANT_325_Date" vbProcedure="false">SRC_ANT!$J$329</definedName>
    <definedName function="false" hidden="false" name="SRC_ANT_326" vbProcedure="false">SRC_ANT!$E$330</definedName>
    <definedName function="false" hidden="false" name="SRC_ANT_326_Date" vbProcedure="false">SRC_ANT!$J$330</definedName>
    <definedName function="false" hidden="false" name="SRC_ANT_327" vbProcedure="false">SRC_ANT!$E$331</definedName>
    <definedName function="false" hidden="false" name="SRC_ANT_327_Lo" vbProcedure="false">SRC_ANT!$F$331</definedName>
    <definedName function="false" hidden="false" name="SRC_ANT_328" vbProcedure="false">SRC_ANT!$E$332</definedName>
    <definedName function="false" hidden="false" name="SRC_ANT_328_Date" vbProcedure="false">SRC_ANT!$J$332</definedName>
    <definedName function="false" hidden="false" name="SRC_ANT_329" vbProcedure="false">SRC_ANT!$E$333</definedName>
    <definedName function="false" hidden="false" name="SRC_ANT_329_Date" vbProcedure="false">SRC_ANT!$J$333</definedName>
    <definedName function="false" hidden="false" name="SRC_ANT_329_Hi" vbProcedure="false">SRC_ANT!$G$333</definedName>
    <definedName function="false" hidden="false" name="SRC_ANT_329_Lo" vbProcedure="false">SRC_ANT!$F$333</definedName>
    <definedName function="false" hidden="false" name="SRC_ANT_330" vbProcedure="false">SRC_ANT!$E$334</definedName>
    <definedName function="false" hidden="false" name="SRC_ANT_330_Date" vbProcedure="false">SRC_ANT!$J$334</definedName>
    <definedName function="false" hidden="false" name="SRC_ANT_330_Hi" vbProcedure="false">SRC_ANT!$G$334</definedName>
    <definedName function="false" hidden="false" name="SRC_ANT_331" vbProcedure="false">SRC_ANT!$E$335</definedName>
    <definedName function="false" hidden="false" name="SRC_ANT_332" vbProcedure="false">SRC_ANT!$E$336</definedName>
    <definedName function="false" hidden="false" name="SRC_ANT_332_Hi" vbProcedure="false">SRC_ANT!$G$336</definedName>
    <definedName function="false" hidden="false" name="SRC_ANT_333" vbProcedure="false">SRC_ANT!$E$337</definedName>
    <definedName function="false" hidden="false" name="SRC_ANT_333_Date" vbProcedure="false">SRC_ANT!$J$337</definedName>
    <definedName function="false" hidden="false" name="SRC_ANT_333_Hi" vbProcedure="false">SRC_ANT!$G$337</definedName>
    <definedName function="false" hidden="false" name="SRC_ANT_334" vbProcedure="false">SRC_ANT!$E$338</definedName>
    <definedName function="false" hidden="false" name="SRC_ANT_335_Hi" vbProcedure="false">SRC_ANT!$G$339</definedName>
    <definedName function="false" hidden="false" name="SRC_ANT_335_Lo" vbProcedure="false">SRC_ANT!$F$339</definedName>
    <definedName function="false" hidden="false" name="SRC_ANT_336_Hi" vbProcedure="false">SRC_ANT!$G$340</definedName>
    <definedName function="false" hidden="false" name="SRC_ANT_337" vbProcedure="false">SRC_ANT!$E$341</definedName>
    <definedName function="false" hidden="false" name="SRC_ANT_337_Date" vbProcedure="false">SRC_ANT!$J$341</definedName>
    <definedName function="false" hidden="false" name="SRC_ANT_338" vbProcedure="false">SRC_ANT!$E$342</definedName>
    <definedName function="false" hidden="false" name="SRC_ANT_339" vbProcedure="false">SRC_ANT!$E$343</definedName>
    <definedName function="false" hidden="false" name="SRC_ANT_339_Hi" vbProcedure="false">SRC_ANT!$G$343</definedName>
    <definedName function="false" hidden="false" name="SRC_ANT_339_Lo" vbProcedure="false">SRC_ANT!$F$343</definedName>
    <definedName function="false" hidden="false" name="SRC_ANT_341" vbProcedure="false">SRC_ANT!$E$345</definedName>
    <definedName function="false" hidden="false" name="SRC_ANT_341_Hi" vbProcedure="false">SRC_ANT!$G$345</definedName>
    <definedName function="false" hidden="false" name="SRC_ANT_342_Hi" vbProcedure="false">SRC_ANT!$G$346</definedName>
    <definedName function="false" hidden="false" name="SRC_ANT_342_Lo" vbProcedure="false">SRC_ANT!$F$346</definedName>
    <definedName function="false" hidden="false" name="SRC_ANT_343_Date" vbProcedure="false">SRC_ANT!$J$347</definedName>
    <definedName function="false" hidden="false" name="SRC_ANT_344" vbProcedure="false">SRC_ANT!$E$348</definedName>
    <definedName function="false" hidden="false" name="SRC_ANT_344_Date" vbProcedure="false">SRC_ANT!$J$348</definedName>
    <definedName function="false" hidden="false" name="SRC_ANT_344_Hi" vbProcedure="false">SRC_ANT!$G$348</definedName>
    <definedName function="false" hidden="false" name="SRC_ANT_344_Lo" vbProcedure="false">SRC_ANT!$F$348</definedName>
    <definedName function="false" hidden="false" name="SRC_ANT_345" vbProcedure="false">SRC_ANT!$E$349</definedName>
    <definedName function="false" hidden="false" name="SRC_ANT_346" vbProcedure="false">SRC_ANT!$E$350</definedName>
    <definedName function="false" hidden="false" name="SRC_ANT_347" vbProcedure="false">SRC_ANT!$E$351</definedName>
    <definedName function="false" hidden="false" name="SRC_ANT_348" vbProcedure="false">SRC_ANT!$E$352</definedName>
    <definedName function="false" hidden="false" name="SRC_ANT_349" vbProcedure="false">SRC_ANT!$E$353</definedName>
    <definedName function="false" hidden="false" name="SRC_ANT_350" vbProcedure="false">SRC_ANT!$E$354</definedName>
    <definedName function="false" hidden="false" name="SRC_ANT_350_Lo" vbProcedure="false">SRC_ANT!$F$354</definedName>
    <definedName function="false" hidden="false" name="SRC_ANT_352" vbProcedure="false">SRC_ANT!$E$356</definedName>
    <definedName function="false" hidden="false" name="SRC_ANT_353" vbProcedure="false">SRC_ANT!$E$357</definedName>
    <definedName function="false" hidden="false" name="SRC_ANT_354" vbProcedure="false">SRC_ANT!$E$358</definedName>
    <definedName function="false" hidden="false" name="SRC_ANT_355" vbProcedure="false">SRC_ANT!$E$359</definedName>
    <definedName function="false" hidden="false" name="SRC_ANT_356" vbProcedure="false">SRC_ANT!$E$360</definedName>
    <definedName function="false" hidden="false" name="SRC_ANT_357" vbProcedure="false">SRC_ANT!$E$361</definedName>
    <definedName function="false" hidden="false" name="SRC_ANT_358" vbProcedure="false">SRC_ANT!$E$362</definedName>
    <definedName function="false" hidden="false" name="SRC_ANT_359" vbProcedure="false">SRC_ANT!$E$363</definedName>
    <definedName function="false" hidden="false" name="SRC_ANT_360" vbProcedure="false">SRC_ANT!$E$364</definedName>
    <definedName function="false" hidden="false" name="SRC_ANT_361" vbProcedure="false">SRC_ANT!$E$365</definedName>
    <definedName function="false" hidden="false" name="SRC_ANT_362" vbProcedure="false">SRC_ANT!$E$366</definedName>
    <definedName function="false" hidden="false" name="SRC_ANT_362_Hi" vbProcedure="false">SRC_ANT!$G$366</definedName>
    <definedName function="false" hidden="false" name="SRC_ANT_363_Hi" vbProcedure="false">SRC_ANT!$G$367</definedName>
    <definedName function="false" hidden="false" name="SRC_ANT_363_Lo" vbProcedure="false">SRC_ANT!$F$367</definedName>
    <definedName function="false" hidden="false" name="SRC_ANT_364_Hi" vbProcedure="false">SRC_ANT!$G$368</definedName>
    <definedName function="false" hidden="false" name="SRC_ANT_364_Lo" vbProcedure="false">SRC_ANT!$F$368</definedName>
    <definedName function="false" hidden="false" name="SRC_ANT_365" vbProcedure="false">SRC_ANT!$E$369</definedName>
    <definedName function="false" hidden="false" name="SRC_ANT_366" vbProcedure="false">SRC_ANT!$E$370</definedName>
    <definedName function="false" hidden="false" name="SRC_ANT_367" vbProcedure="false">SRC_ANT!$E$371</definedName>
    <definedName function="false" hidden="false" name="SRC_ANT_368" vbProcedure="false">SRC_ANT!$E$372</definedName>
    <definedName function="false" hidden="false" name="SRC_ANT_368_Hi" vbProcedure="false">SRC_ANT!$G$372</definedName>
    <definedName function="false" hidden="false" name="SRC_ANT_369" vbProcedure="false">SRC_ANT!$E$373</definedName>
    <definedName function="false" hidden="false" name="SRC_ANT_370" vbProcedure="false">SRC_ANT!$E$374</definedName>
    <definedName function="false" hidden="false" name="SRC_ANT_370_Hi" vbProcedure="false">SRC_ANT!$G$374</definedName>
    <definedName function="false" hidden="false" name="SRC_ANT_371" vbProcedure="false">SRC_ANT!$E$375</definedName>
    <definedName function="false" hidden="false" name="SRC_ANT_372" vbProcedure="false">SRC_ANT!$E$376</definedName>
    <definedName function="false" hidden="false" name="SRC_ANT_373_Hi" vbProcedure="false">SRC_ANT!$G$377</definedName>
    <definedName function="false" hidden="false" name="SRC_ANT_373_Lo" vbProcedure="false">SRC_ANT!$F$377</definedName>
    <definedName function="false" hidden="false" name="SRC_ANT_374" vbProcedure="false">SRC_ANT!$E$378</definedName>
    <definedName function="false" hidden="false" name="SRC_ANT_374_Lo" vbProcedure="false">SRC_ANT!$F$378</definedName>
    <definedName function="false" hidden="false" name="SRC_ANT_375" vbProcedure="false">SRC_ANT!$E$379</definedName>
    <definedName function="false" hidden="false" name="SRC_ANT_376" vbProcedure="false">SRC_ANT!$E$380</definedName>
    <definedName function="false" hidden="false" name="SRC_ANT_377" vbProcedure="false">SRC_ANT!$E$381</definedName>
    <definedName function="false" hidden="false" name="SRC_ANT_378" vbProcedure="false">SRC_ANT!$E$382</definedName>
    <definedName function="false" hidden="false" name="SRC_ANT_379" vbProcedure="false">SRC_ANT!$E$383</definedName>
    <definedName function="false" hidden="false" name="SRC_ANT_380" vbProcedure="false">SRC_ANT!$E$384</definedName>
    <definedName function="false" hidden="false" name="SRC_ANT_381" vbProcedure="false">SRC_ANT!$E$385</definedName>
    <definedName function="false" hidden="false" name="SRC_ANT_382" vbProcedure="false">SRC_ANT!$E$386</definedName>
    <definedName function="false" hidden="false" name="SRC_ANT_383" vbProcedure="false">SRC_ANT!$E$387</definedName>
    <definedName function="false" hidden="false" name="SRC_ANT_384" vbProcedure="false">SRC_ANT!$E$388</definedName>
    <definedName function="false" hidden="false" name="SRC_ANT_385" vbProcedure="false">SRC_ANT!$E$389</definedName>
    <definedName function="false" hidden="false" name="SRC_ANT_387" vbProcedure="false">SRC_ANT!$E$391</definedName>
    <definedName function="false" hidden="false" name="SRC_ANT_388" vbProcedure="false">SRC_ANT!$E$392</definedName>
    <definedName function="false" hidden="false" name="SRC_ANT_389" vbProcedure="false">SRC_ANT!$E$393</definedName>
    <definedName function="false" hidden="false" name="SRC_ANT_389_Hi" vbProcedure="false">SRC_ANT!$G$393</definedName>
    <definedName function="false" hidden="false" name="SRC_ANT_389_Lo" vbProcedure="false">SRC_ANT!$F$393</definedName>
    <definedName function="false" hidden="false" name="SRC_ANT_390" vbProcedure="false">SRC_ANT!$E$394</definedName>
    <definedName function="false" hidden="false" name="SRC_ANT_390_Hi" vbProcedure="false">SRC_ANT!$G$394</definedName>
    <definedName function="false" hidden="false" name="SRC_ANT_391" vbProcedure="false">SRC_ANT!$E$395</definedName>
    <definedName function="false" hidden="false" name="SRC_ANT_392" vbProcedure="false">SRC_ANT!$E$396</definedName>
    <definedName function="false" hidden="false" name="SRC_ANT_393" vbProcedure="false">SRC_ANT!$E$397</definedName>
    <definedName function="false" hidden="false" name="SRC_ANT_394" vbProcedure="false">SRC_ANT!$E$398</definedName>
    <definedName function="false" hidden="false" name="SRC_ANT_395" vbProcedure="false">SRC_ANT!$E$399</definedName>
    <definedName function="false" hidden="false" name="SRC_ANT_396" vbProcedure="false">SRC_ANT!$E$400</definedName>
    <definedName function="false" hidden="false" name="SRC_ANT_397" vbProcedure="false">SRC_ANT!$E$401</definedName>
    <definedName function="false" hidden="false" name="SRC_ANT_398" vbProcedure="false">SRC_ANT!$E$402</definedName>
    <definedName function="false" hidden="false" name="SRC_ANT_399" vbProcedure="false">SRC_ANT!$E$403</definedName>
    <definedName function="false" hidden="false" name="SRC_ANT_400" vbProcedure="false">SRC_ANT!$E$404</definedName>
    <definedName function="false" hidden="false" name="SRC_ANT_400_Hi" vbProcedure="false">SRC_ANT!$G$404</definedName>
    <definedName function="false" hidden="false" name="SRC_ANT_401" vbProcedure="false">SRC_ANT!$E$405</definedName>
    <definedName function="false" hidden="false" name="SRC_ANT_401_Lo" vbProcedure="false">SRC_ANT!$F$405</definedName>
    <definedName function="false" hidden="false" name="SRC_ANT_402" vbProcedure="false">SRC_ANT!$E$406</definedName>
    <definedName function="false" hidden="false" name="SRC_ANT_402_Lo" vbProcedure="false">SRC_ANT!$F$406</definedName>
    <definedName function="false" hidden="false" name="SRC_ANT_403" vbProcedure="false">SRC_ANT!$E$407</definedName>
    <definedName function="false" hidden="false" name="SRC_ANT_403_Hi" vbProcedure="false">SRC_ANT!$G$407</definedName>
    <definedName function="false" hidden="false" name="SRC_ANT_404" vbProcedure="false">SRC_ANT!$E$408</definedName>
    <definedName function="false" hidden="false" name="SRC_ANT_404_Hi" vbProcedure="false">SRC_ANT!$G$408</definedName>
    <definedName function="false" hidden="false" name="SRC_ANT_405" vbProcedure="false">SRC_ANT!$E$409</definedName>
    <definedName function="false" hidden="false" name="SRC_ANT_406" vbProcedure="false">SRC_ANT!$E$410</definedName>
    <definedName function="false" hidden="false" name="SRC_ANT_408" vbProcedure="false">SRC_ANT!$E$412</definedName>
    <definedName function="false" hidden="false" name="SRC_ANT_409" vbProcedure="false">SRC_ANT!$E$413</definedName>
    <definedName function="false" hidden="false" name="TK_B4_MixPaid" vbProcedure="false">TK_Link!$J$117:$L$117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CapexTotal" vbProcedure="false">TK_Link!$J$72:$X$72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drTask" vbProcedure="false">TK_Link!$J$73:$N$73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dDerate" vbProcedure="false">TK_Link!$J$136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askLen" vbProcedure="false">TK_Link!$J$74:$N$74</definedName>
    <definedName function="false" hidden="false" name="TK_IF_TaskTokCached" vbProcedure="false">TK_Link!$J$76:$N$76</definedName>
    <definedName function="false" hidden="false" name="TK_IF_TaskTokDec" vbProcedure="false">TK_Link!$J$77:$N$77</definedName>
    <definedName function="false" hidden="false" name="TK_IF_TaskTokFresh" vbProcedure="false">TK_Link!$J$75:$N$75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IF_UtilActual" vbProcedure="false">TK_Link!$J$113</definedName>
    <definedName function="false" hidden="false" name="TK_IF_UtilActual_Hi" vbProcedure="false">TK_Link!$J$115</definedName>
    <definedName function="false" hidden="false" name="TK_IF_UtilActual_Lo" vbProcedure="false">TK_Link!$J$114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L1_GapISL" vbProcedure="false">TK_Link!$J$124</definedName>
    <definedName function="false" hidden="false" name="TK_L1_GapISL_Hi" vbProcedure="false">TK_Link!$J$126</definedName>
    <definedName function="false" hidden="false" name="TK_L1_GapISL_Lo" vbProcedure="false">TK_Link!$J$125</definedName>
    <definedName function="false" hidden="false" name="TK_L1_GapProduct" vbProcedure="false">TK_Link!$J$130</definedName>
    <definedName function="false" hidden="false" name="TK_L1_GapProduct_Hi" vbProcedure="false">TK_Link!$J$132</definedName>
    <definedName function="false" hidden="false" name="TK_L1_GapProduct_Lo" vbProcedure="false">TK_Link!$J$131</definedName>
    <definedName function="false" hidden="false" name="TK_L1_GapPrompt" vbProcedure="false">TK_Link!$J$118</definedName>
    <definedName function="false" hidden="false" name="TK_L1_GapPrompt_Hi" vbProcedure="false">TK_Link!$J$120</definedName>
    <definedName function="false" hidden="false" name="TK_L1_GapPrompt_Lo" vbProcedure="false">TK_Link!$J$119</definedName>
    <definedName function="false" hidden="false" name="TK_L1_GapSpendBasis" vbProcedure="false">TK_Link!$J$121</definedName>
    <definedName function="false" hidden="false" name="TK_L1_GapSpendBasis_Hi" vbProcedure="false">TK_Link!$J$123</definedName>
    <definedName function="false" hidden="false" name="TK_L1_GapSpendBasis_Lo" vbProcedure="false">TK_Link!$J$122</definedName>
    <definedName function="false" hidden="false" name="TK_L1_GapUnexplained" vbProcedure="false">TK_Link!$J$133</definedName>
    <definedName function="false" hidden="false" name="TK_L1_GapUnexplained_Hi" vbProcedure="false">TK_Link!$J$135</definedName>
    <definedName function="false" hidden="false" name="TK_L1_GapUnexplained_Lo" vbProcedure="false">TK_Link!$J$134</definedName>
    <definedName function="false" hidden="false" name="TK_L1_GapUtil" vbProcedure="false">TK_Link!$J$127</definedName>
    <definedName function="false" hidden="false" name="TK_L1_GapUtil_Hi" vbProcedure="false">TK_Link!$J$129</definedName>
    <definedName function="false" hidden="false" name="TK_L1_GapUtil_Lo" vbProcedure="false">TK_Link!$J$128</definedName>
    <definedName function="false" hidden="false" name="TK_L1_M" vbProcedure="false">TK_Link!$J$91</definedName>
    <definedName function="false" hidden="false" name="TK_L1_RevGW_PQ_VR200" vbProcedure="false">TK_Link!$J$78</definedName>
    <definedName function="false" hidden="false" name="TK_L1_RevGW_PQ_VR200_FY" vbProcedure="false">TK_Link!$J$81</definedName>
    <definedName function="false" hidden="false" name="TK_L1_RevGW_PQ_VR200_FY_Hi" vbProcedure="false">TK_Link!$J$83</definedName>
    <definedName function="false" hidden="false" name="TK_L1_RevGW_PQ_VR200_FY_Lo" vbProcedure="false">TK_Link!$J$82</definedName>
    <definedName function="false" hidden="false" name="TK_L1_RevGW_PQ_VR200_Hi" vbProcedure="false">TK_Link!$J$80</definedName>
    <definedName function="false" hidden="false" name="TK_L1_RevGW_PQ_VR200_Life" vbProcedure="false">TK_Link!$J$84</definedName>
    <definedName function="false" hidden="false" name="TK_L1_RevGW_PQ_VR200_Life_Hi" vbProcedure="false">TK_Link!$J$86</definedName>
    <definedName function="false" hidden="false" name="TK_L1_RevGW_PQ_VR200_Life_Lo" vbProcedure="false">TK_Link!$J$85</definedName>
    <definedName function="false" hidden="false" name="TK_L1_RevGW_PQ_VR200_Lo" vbProcedure="false">TK_Link!$J$79</definedName>
    <definedName function="false" hidden="false" name="TK_L1_TokGW_PaidCap_VR200" vbProcedure="false">TK_Link!$J$116</definedName>
    <definedName function="false" hidden="false" name="TK_L1_TokGW_PaidPQ_VR200" vbProcedure="false">TK_Link!$J$87</definedName>
    <definedName function="false" hidden="false" name="TK_L1_TokGW_PaidPQ_VR200_Hi" vbProcedure="false">TK_Link!$J$89</definedName>
    <definedName function="false" hidden="false" name="TK_L1_TokGW_PaidPQ_VR200_Lo" vbProcedure="false">TK_Link!$J$88</definedName>
    <definedName function="false" hidden="false" name="TK_L1_TokLedger_2026Q2" vbProcedure="false">TK_Link!$J$90</definedName>
    <definedName function="false" hidden="false" name="TK_NNV_MI455X_Hold" vbProcedure="false">TK_Link!$J$107</definedName>
    <definedName function="false" hidden="false" name="TK_NNV_MI455X_HoldHi" vbProcedure="false">TK_Link!$J$109</definedName>
    <definedName function="false" hidden="false" name="TK_NNV_MI455X_HoldLo" vbProcedure="false">TK_Link!$J$108</definedName>
    <definedName function="false" hidden="false" name="TK_NNV_MI455X_Out" vbProcedure="false">TK_Link!$J$104</definedName>
    <definedName function="false" hidden="false" name="TK_NNV_MI455X_OutHi" vbProcedure="false">TK_Link!$J$106</definedName>
    <definedName function="false" hidden="false" name="TK_NNV_MI455X_OutLo" vbProcedure="false">TK_Link!$J$105</definedName>
    <definedName function="false" hidden="false" name="TK_NNV_TPUv7_Hold" vbProcedure="false">TK_Link!$J$95</definedName>
    <definedName function="false" hidden="false" name="TK_NNV_TPUv7_HoldHi" vbProcedure="false">TK_Link!$J$97</definedName>
    <definedName function="false" hidden="false" name="TK_NNV_TPUv7_HoldLo" vbProcedure="false">TK_Link!$J$96</definedName>
    <definedName function="false" hidden="false" name="TK_NNV_TPUv7_Out" vbProcedure="false">TK_Link!$J$92</definedName>
    <definedName function="false" hidden="false" name="TK_NNV_TPUv7_OutHi" vbProcedure="false">TK_Link!$J$94</definedName>
    <definedName function="false" hidden="false" name="TK_NNV_TPUv7_OutLo" vbProcedure="false">TK_Link!$J$93</definedName>
    <definedName function="false" hidden="false" name="TK_NNV_Trn3_Hold" vbProcedure="false">TK_Link!$J$101</definedName>
    <definedName function="false" hidden="false" name="TK_NNV_Trn3_HoldHi" vbProcedure="false">TK_Link!$J$103</definedName>
    <definedName function="false" hidden="false" name="TK_NNV_Trn3_HoldLo" vbProcedure="false">TK_Link!$J$102</definedName>
    <definedName function="false" hidden="false" name="TK_NNV_Trn3_Out" vbProcedure="false">TK_Link!$J$98</definedName>
    <definedName function="false" hidden="false" name="TK_NNV_Trn3_OutHi" vbProcedure="false">TK_Link!$J$100</definedName>
    <definedName function="false" hidden="false" name="TK_NNV_Trn3_OutLo" vbProcedure="false">TK_Link!$J$99</definedName>
    <definedName function="false" hidden="false" name="TK_PUE" vbProcedure="false">TK_Link!$J$110</definedName>
    <definedName function="false" hidden="false" name="TK_PUE_Hi" vbProcedure="false">TK_Link!$J$112</definedName>
    <definedName function="false" hidden="false" name="TK_PUE_Lo" vbProcedure="false">TK_Link!$J$111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<sst xmlns="http://schemas.openxmlformats.org/spreadsheetml/2006/main" count="21106" uniqueCount="6910">
  <si>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v0.1.5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v0.1.5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2026-10-24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</si>
  <si>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同一句）：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的年營收能否覆蓋每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年全成本；若不能，缺口要多少外部資金、由誰以什麼條件提供。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為實際校準年。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</si>
  <si>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</si>
  <si>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v0.1.5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讀表）、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層級別、通路分成、淨額、容量上限）、</t>
    </r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（加速器族、逐合約供給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、推論與研發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、容量上限、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等值）、</t>
    </r>
    <r>
      <rPr>
        <sz val="10"/>
        <color rgb="FF000000"/>
        <rFont val="Arial"/>
        <family val="0"/>
        <charset val="1"/>
      </rPr>
      <t xml:space="preserve">Cost</t>
    </r>
    <r>
      <rPr>
        <sz val="10"/>
        <color rgb="FF000000"/>
        <rFont val="Noto Sans CJK SC"/>
        <family val="2"/>
      </rPr>
      <t xml:space="preserve">（逐合約實付、自建資本支出、供應商持有成本、非算力成本、股權報酬、命題表；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補逐家對帳與敏感度）、</t>
    </r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（逐層對照，唯讀）、</t>
    </r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診斷，唯讀）、</t>
    </r>
    <r>
      <rPr>
        <sz val="10"/>
        <color rgb="FF000000"/>
        <rFont val="Arial"/>
        <family val="0"/>
        <charset val="1"/>
      </rPr>
      <t xml:space="preserve">Funding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（管理層目標反解，只作對照）、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</si>
  <si>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v0.1.3 A </t>
    </r>
    <r>
      <rPr>
        <b val="true"/>
        <sz val="10"/>
        <rFont val="Noto Sans CJK SC"/>
        <family val="2"/>
      </rPr>
      <t xml:space="preserve">段更新</t>
    </r>
  </si>
  <si>
    <r>
      <rPr>
        <sz val="10"/>
        <color rgb="FF000000"/>
        <rFont val="Noto Sans CJK SC"/>
        <family val="2"/>
      </rPr>
      <t xml:space="preserve">採納外部驗收報告（</t>
    </r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）：①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快照改 </t>
    </r>
    <r>
      <rPr>
        <sz val="10"/>
        <color rgb="FF000000"/>
        <rFont val="Arial"/>
        <family val="0"/>
        <charset val="1"/>
      </rPr>
      <t xml:space="preserve">v19.0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個值與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Noto Sans CJK SC"/>
        <family val="2"/>
      </rPr>
      <t xml:space="preserve">相同）；②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新法（</t>
    </r>
    <r>
      <rPr>
        <sz val="10"/>
        <color rgb="FF000000"/>
        <rFont val="Arial"/>
        <family val="0"/>
        <charset val="1"/>
      </rPr>
      <t xml:space="preserve">Inputs u2_method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取揭露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</t>
    </r>
    <r>
      <rPr>
        <sz val="10"/>
        <color rgb="FF000000"/>
        <rFont val="Noto Sans CJK SC"/>
        <family val="2"/>
      </rPr>
      <t xml:space="preserve">），付款路徑不變（『最高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比例分攤的年付款，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第二十二節；隱含每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年付款對照列）；③資金三層（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第十節：①營運自由現金流自給、②加已到位股權＝基準、③再加條件式）；④持續擴張情境（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第十一節；只作情境，基準不追加）；⑤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結論改條件式。新列皆附加在頁尾，既有列編號不變。</t>
    </r>
  </si>
  <si>
    <r>
      <rPr>
        <b val="true"/>
        <sz val="10"/>
        <rFont val="Arial"/>
        <family val="0"/>
        <charset val="1"/>
      </rPr>
      <t xml:space="preserve">v0.1.3 B </t>
    </r>
    <r>
      <rPr>
        <b val="true"/>
        <sz val="10"/>
        <rFont val="Noto Sans CJK SC"/>
        <family val="2"/>
      </rPr>
      <t xml:space="preserve">段更新</t>
    </r>
  </si>
  <si>
    <r>
      <rPr>
        <sz val="10"/>
        <color rgb="FF000000"/>
        <rFont val="Arial"/>
        <family val="0"/>
        <charset val="1"/>
      </rPr>
      <t xml:space="preserve">①Bridge </t>
    </r>
    <r>
      <rPr>
        <sz val="10"/>
        <color rgb="FF000000"/>
        <rFont val="Noto Sans CJK SC"/>
        <family val="2"/>
      </rPr>
      <t xml:space="preserve">頁（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之後；唯讀）：需求 → </t>
    </r>
    <r>
      <rPr>
        <sz val="10"/>
        <color rgb="FF000000"/>
        <rFont val="Arial"/>
        <family val="0"/>
        <charset val="1"/>
      </rPr>
      <t xml:space="preserve">token → GW → </t>
    </r>
    <r>
      <rPr>
        <sz val="10"/>
        <color rgb="FF000000"/>
        <rFont val="Noto Sans CJK SC"/>
        <family val="2"/>
      </rPr>
      <t xml:space="preserve">成本逐層對照（公式來源、單位、</t>
    </r>
    <r>
      <rPr>
        <sz val="10"/>
        <color rgb="FF000000"/>
        <rFont val="Arial"/>
        <family val="0"/>
        <charset val="1"/>
      </rPr>
      <t xml:space="preserve">2025–2030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敏感度包絡、標記），最後一節與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同口徑量對照；②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Noto Sans CJK SC"/>
        <family val="2"/>
      </rPr>
      <t xml:space="preserve">頁（唯讀）：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）拆成計價口徑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工作負載組合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未解釋殘差（只作診斷，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的值不變），並列 </t>
    </r>
    <r>
      <rPr>
        <sz val="10"/>
        <color rgb="FF000000"/>
        <rFont val="Arial"/>
        <family val="0"/>
        <charset val="1"/>
      </rPr>
      <t xml:space="preserve">TK 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口徑，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）；③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尾端新增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個對照名稱（</t>
    </r>
    <r>
      <rPr>
        <sz val="10"/>
        <color rgb="FF000000"/>
        <rFont val="Arial"/>
        <family val="0"/>
        <charset val="1"/>
      </rPr>
      <t xml:space="preserve">IF_UtilActual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L1_TokGW_PaidCap_VR200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 </t>
    </r>
    <r>
      <rPr>
        <sz val="10"/>
        <color rgb="FF000000"/>
        <rFont val="Noto Sans CJK SC"/>
        <family val="2"/>
      </rPr>
      <t xml:space="preserve">各含低／高）；④公開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或經審計資料出現時的替換程序見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節。兩頁不被任何計算頁引用（</t>
    </r>
    <r>
      <rPr>
        <sz val="10"/>
        <color rgb="FF000000"/>
        <rFont val="Arial"/>
        <family val="0"/>
        <charset val="1"/>
      </rPr>
      <t xml:space="preserve">Checks e1_iso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</si>
  <si>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</si>
  <si>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v5.26 → v18.0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master 868e2cc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以同一份名稱清單重讀；公式不變。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校準）吸收 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的整體上升；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值變動的名稱逐一在報告「語意核對」列出；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第二十節、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尾端加 </t>
    </r>
    <r>
      <rPr>
        <sz val="10"/>
        <color rgb="FF000000"/>
        <rFont val="Arial"/>
        <family val="0"/>
        <charset val="1"/>
      </rPr>
      <t xml:space="preserve">L1_RevGW_PQ_VR200 </t>
    </r>
    <r>
      <rPr>
        <sz val="10"/>
        <color rgb="FF000000"/>
        <rFont val="Noto Sans CJK SC"/>
        <family val="2"/>
      </rPr>
      <t xml:space="preserve">對照列（只對照，不回饋計算）。</t>
    </r>
  </si>
  <si>
    <r>
      <rPr>
        <b val="true"/>
        <sz val="10"/>
        <rFont val="Arial"/>
        <family val="0"/>
        <charset val="1"/>
      </rPr>
      <t xml:space="preserve">v0.1.1 </t>
    </r>
    <r>
      <rPr>
        <b val="true"/>
        <sz val="10"/>
        <rFont val="Noto Sans CJK SC"/>
        <family val="2"/>
      </rPr>
      <t xml:space="preserve">更新</t>
    </r>
  </si>
  <si>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轉述的草擬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投資人簡報（</t>
    </r>
    <r>
      <rPr>
        <sz val="10"/>
        <color rgb="FF000000"/>
        <rFont val="Arial"/>
        <family val="0"/>
        <charset val="1"/>
      </rPr>
      <t xml:space="preserve">2026-10-14</t>
    </r>
    <r>
      <rPr>
        <sz val="10"/>
        <color rgb="FF000000"/>
        <rFont val="Noto Sans CJK SC"/>
        <family val="2"/>
      </rPr>
      <t xml:space="preserve">）：新增 </t>
    </r>
    <r>
      <rPr>
        <sz val="10"/>
        <color rgb="FF000000"/>
        <rFont val="Arial"/>
        <family val="0"/>
        <charset val="1"/>
      </rPr>
      <t xml:space="preserve">SRC_ANT_380–409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持平）；</t>
    </r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兩約合計錨定『最高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』；</t>
    </r>
    <r>
      <rPr>
        <sz val="10"/>
        <color rgb="FF000000"/>
        <rFont val="Arial"/>
        <family val="0"/>
        <charset val="1"/>
      </rPr>
      <t xml:space="preserve">U3 </t>
    </r>
    <r>
      <rPr>
        <sz val="10"/>
        <color rgb="FF000000"/>
        <rFont val="Noto Sans CJK SC"/>
        <family val="2"/>
      </rPr>
      <t xml:space="preserve">逐家與三口徑承諾對照；</t>
    </r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算力支出對照（不校準）；</t>
    </r>
    <r>
      <rPr>
        <sz val="10"/>
        <color rgb="FF000000"/>
        <rFont val="Arial"/>
        <family val="0"/>
        <charset val="1"/>
      </rPr>
      <t xml:space="preserve">U5 D22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Q3 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第十九節、</t>
    </r>
    <r>
      <rPr>
        <sz val="10"/>
        <color rgb="FF000000"/>
        <rFont val="Arial"/>
        <family val="0"/>
        <charset val="1"/>
      </rPr>
      <t xml:space="preserve">Funding S8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U7 </t>
    </r>
    <r>
      <rPr>
        <sz val="10"/>
        <color rgb="FF000000"/>
        <rFont val="Noto Sans CJK SC"/>
        <family val="2"/>
      </rPr>
      <t xml:space="preserve">上半年非現金費用列示。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回歸開關 </t>
    </r>
    <r>
      <rPr>
        <sz val="10"/>
        <color rgb="FF000000"/>
        <rFont val="Arial"/>
        <family val="0"/>
        <charset val="1"/>
      </rPr>
      <t xml:space="preserve">u1_switch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可還原 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。</t>
    </r>
  </si>
  <si>
    <t xml:space="preserve">Compute</t>
  </si>
  <si>
    <r>
      <rPr>
        <sz val="10"/>
        <color rgb="FF000000"/>
        <rFont val="Noto Sans CJK SC"/>
        <family val="2"/>
      </rPr>
      <t xml:space="preserve">加速器族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世代（</t>
    </r>
    <r>
      <rPr>
        <sz val="10"/>
        <color rgb="FF000000"/>
        <rFont val="Arial"/>
        <family val="0"/>
        <charset val="1"/>
      </rPr>
      <t xml:space="preserve">NVIDIA 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年產能＝</t>
    </r>
    <r>
      <rPr>
        <sz val="10"/>
        <color rgb="FF000000"/>
        <rFont val="Arial"/>
        <family val="0"/>
        <charset val="1"/>
      </rPr>
      <t xml:space="preserve">TK IF_TokGW_*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NonNV </t>
    </r>
    <r>
      <rPr>
        <sz val="10"/>
        <color rgb="FF000000"/>
        <rFont val="Noto Sans CJK SC"/>
        <family val="2"/>
      </rPr>
      <t xml:space="preserve">產出比）；供給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只由算力合約加總（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；機房租約只列對照）；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 ÷ 2025 </t>
    </r>
    <r>
      <rPr>
        <sz val="10"/>
        <color rgb="FF000000"/>
        <rFont val="Noto Sans CJK SC"/>
        <family val="2"/>
      </rPr>
      <t xml:space="preserve">推論支出換算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）；容量上限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等值＝各族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產能比。</t>
    </r>
  </si>
  <si>
    <t xml:space="preserve">Cost</t>
  </si>
  <si>
    <r>
      <rPr>
        <sz val="10"/>
        <color rgb="FF000000"/>
        <rFont val="Noto Sans CJK SC"/>
        <family val="2"/>
      </rPr>
      <t xml:space="preserve">算力成本（現金）＝逐合約實付＋自建資本支出（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）；供應商持有成本＝</t>
    </r>
    <r>
      <rPr>
        <sz val="10"/>
        <color rgb="FF000000"/>
        <rFont val="Arial"/>
        <family val="0"/>
        <charset val="1"/>
      </rPr>
      <t xml:space="preserve">GW × TK IF_HoldEcon × </t>
    </r>
    <r>
      <rPr>
        <sz val="10"/>
        <color rgb="FF000000"/>
        <rFont val="Noto Sans CJK SC"/>
        <family val="2"/>
      </rPr>
      <t xml:space="preserve">持有比、雲端毛利；非算力成本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＝說明書營業費用 − 算力 − 平台抽成（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），之後人數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每人成本；股權報酬單列；命題表：每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營收淨額、算力、非算力、全成本（含／不含股權報酬）、差額、覆蓋率。</t>
    </r>
  </si>
  <si>
    <t xml:space="preserve">Funding</t>
  </si>
  <si>
    <r>
      <rPr>
        <sz val="10"/>
        <color rgb="FF000000"/>
        <rFont val="Noto Sans CJK SC"/>
        <family val="2"/>
      </rPr>
      <t xml:space="preserve">自由現金流＝營收淨額（截頂後）− 算力成本（現金）− 非算力成本（不含股權報酬）；來源順序（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已交割股權（</t>
    </r>
    <r>
      <rPr>
        <sz val="10"/>
        <color rgb="FF000000"/>
        <rFont val="Arial"/>
        <family val="0"/>
        <charset val="1"/>
      </rPr>
      <t xml:space="preserve">Series G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Series H 65</t>
    </r>
    <r>
      <rPr>
        <sz val="10"/>
        <color rgb="FF000000"/>
        <rFont val="Noto Sans CJK SC"/>
        <family val="2"/>
      </rPr>
      <t xml:space="preserve">）→ 外部資金（補足至最低現金＝次年非算力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）；條件式（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只列情境；或有負債只列示；情境 </t>
    </r>
    <r>
      <rPr>
        <sz val="10"/>
        <color rgb="FF000000"/>
        <rFont val="Arial"/>
        <family val="0"/>
        <charset val="1"/>
      </rPr>
      <t xml:space="preserve">S1–S7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、條件式、逐家錨定招股書、機房租金、</t>
    </r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、合併）；回流對照（</t>
    </r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）。</t>
    </r>
  </si>
  <si>
    <t xml:space="preserve">Reverse</t>
  </si>
  <si>
    <r>
      <rPr>
        <sz val="10"/>
        <color rgb="FF000000"/>
        <rFont val="Noto Sans CJK SC"/>
        <family val="2"/>
      </rPr>
      <t xml:space="preserve">管理層營收目標（</t>
    </r>
    <r>
      <rPr>
        <sz val="10"/>
        <color rgb="FF000000"/>
        <rFont val="Arial"/>
        <family val="0"/>
        <charset val="1"/>
      </rPr>
      <t xml:space="preserve">2026 18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2028 70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2029 148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無目標取正向）→ 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／只靠訂閱／兩線等比例的所需倍數 → 反向資金（同一支出）；只被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</t>
    </r>
    <r>
      <rPr>
        <sz val="10"/>
        <color rgb="FF000000"/>
        <rFont val="Arial"/>
        <family val="0"/>
        <charset val="1"/>
      </rPr>
      <t xml:space="preserve">D19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</si>
  <si>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</si>
  <si>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擁有，重建時保留已改過的值）；黑字＝公式；綠字＝跨頁連結。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只產生結構（</t>
    </r>
    <r>
      <rPr>
        <sz val="10"/>
        <color rgb="FF000000"/>
        <rFont val="Arial"/>
        <family val="0"/>
        <charset val="1"/>
      </rPr>
      <t xml:space="preserve">data/*.yaml → SRC_ANT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→ TK_Link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→ OAI_Link</t>
    </r>
    <r>
      <rPr>
        <sz val="10"/>
        <color rgb="FF000000"/>
        <rFont val="Noto Sans CJK SC"/>
        <family val="2"/>
      </rPr>
      <t xml:space="preserve">）。</t>
    </r>
  </si>
  <si>
    <t xml:space="preserve">SRC_ANT</t>
  </si>
  <si>
    <r>
      <rPr>
        <sz val="10"/>
        <color rgb="FF000000"/>
        <rFont val="Arial"/>
        <family val="0"/>
        <charset val="1"/>
      </rPr>
      <t xml:space="preserve">409 </t>
    </r>
    <r>
      <rPr>
        <sz val="10"/>
        <color rgb="FF000000"/>
        <rFont val="Noto Sans CJK SC"/>
        <family val="2"/>
      </rPr>
      <t xml:space="preserve">列：公司財務原始數據（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蒐集 </t>
    </r>
    <r>
      <rPr>
        <sz val="10"/>
        <color rgb="FF000000"/>
        <rFont val="Arial"/>
        <family val="0"/>
        <charset val="1"/>
      </rPr>
      <t xml:space="preserve">376 </t>
    </r>
    <r>
      <rPr>
        <sz val="10"/>
        <color rgb="FF000000"/>
        <rFont val="Noto Sans CJK SC"/>
        <family val="2"/>
      </rPr>
      <t xml:space="preserve">列＋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列供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列公式化＋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列〔草擬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轉述、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投資人簡報〕）。標記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列改為公式、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自行計算後公布的通路費）保留報導值。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</si>
  <si>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</si>
  <si>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v21.2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20261023_Tokenomics_v21.2.xlsx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45ce1ca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個具名範圍（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同一組 </t>
    </r>
    <r>
      <rPr>
        <sz val="10"/>
        <color rgb="FF000000"/>
        <rFont val="Arial"/>
        <family val="0"/>
        <charset val="1"/>
      </rPr>
      <t xml:space="preserve">63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新增任務 </t>
    </r>
    <r>
      <rPr>
        <sz val="10"/>
        <color rgb="FF000000"/>
        <rFont val="Arial"/>
        <family val="0"/>
        <charset val="1"/>
      </rPr>
      <t xml:space="preserve">token 5 </t>
    </r>
    <r>
      <rPr>
        <sz val="10"/>
        <color rgb="FF000000"/>
        <rFont val="Noto Sans CJK SC"/>
        <family val="2"/>
      </rPr>
      <t xml:space="preserve">名＋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v18.0 </t>
    </r>
    <r>
      <rPr>
        <sz val="10"/>
        <color rgb="FF000000"/>
        <rFont val="Noto Sans CJK SC"/>
        <family val="2"/>
      </rPr>
      <t xml:space="preserve">對照名稱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個，只對照）＋ 讀表（非具名）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NonNV 18 </t>
    </r>
    <r>
      <rPr>
        <sz val="10"/>
        <color rgb="FF000000"/>
        <rFont val="Noto Sans CJK SC"/>
        <family val="2"/>
      </rPr>
      <t xml:space="preserve">格（規格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PUE 3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頁）。</t>
    </r>
  </si>
  <si>
    <t xml:space="preserve">OAI_Link</t>
  </si>
  <si>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命題輸出快照（</t>
    </r>
    <r>
      <rPr>
        <sz val="10"/>
        <color rgb="FF000000"/>
        <rFont val="Arial"/>
        <family val="0"/>
        <charset val="1"/>
      </rPr>
      <t xml:space="preserve">20261008_OpenAI_v0.6.xlsx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34fc34a7ea2c…</t>
    </r>
    <r>
      <rPr>
        <sz val="10"/>
        <color rgb="FF000000"/>
        <rFont val="Noto Sans CJK SC"/>
        <family val="2"/>
      </rPr>
      <t xml:space="preserve">）；只被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引用（規格 </t>
    </r>
    <r>
      <rPr>
        <sz val="10"/>
        <color rgb="FF000000"/>
        <rFont val="Arial"/>
        <family val="0"/>
        <charset val="1"/>
      </rPr>
      <t xml:space="preserve">D20</t>
    </r>
    <r>
      <rPr>
        <sz val="10"/>
        <color rgb="FF000000"/>
        <rFont val="Noto Sans CJK SC"/>
        <family val="2"/>
      </rPr>
      <t xml:space="preserve">）。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</si>
  <si>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</si>
  <si>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190 </t>
    </r>
    <r>
      <rPr>
        <sz val="10"/>
        <color rgb="FF000000"/>
        <rFont val="Noto Sans CJK SC"/>
        <family val="2"/>
      </rPr>
      <t xml:space="preserve">列：假設（值、低、高、標記、依據、區間理由）；定義常數（年度、天數、單位換算）也在此（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：公式不含常數）。</t>
    </r>
  </si>
  <si>
    <t xml:space="preserve">Demand</t>
  </si>
  <si>
    <r>
      <rPr>
        <sz val="10"/>
        <color rgb="FF000000"/>
        <rFont val="Noto Sans CJK SC"/>
        <family val="2"/>
      </rPr>
      <t xml:space="preserve">個人方案（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）人數、企業席位（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標準／</t>
    </r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）、任務類別（對話、程式代理、其他代理）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層級組合；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有效單價倒推、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由半校準總額倒推、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起任務成長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價格彈性；輸出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</si>
  <si>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</si>
  <si>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牌價（價格事件依公告日天數加權）、有效單價（快取、批次、議價折扣）、訂閱方案別、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層級別、其他、廣告（＝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）、總額、雲端通路平台抽成（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）、淨額、個人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企業；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半校準（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）、容量上限係數（＝</t>
    </r>
    <r>
      <rPr>
        <sz val="10"/>
        <color rgb="FF000000"/>
        <rFont val="Arial"/>
        <family val="0"/>
        <charset val="1"/>
      </rPr>
      <t xml:space="preserve">Compute CMP_CapFactor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</si>
  <si>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</si>
  <si>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C01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ERR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CHK_Errors</t>
    </r>
    <r>
      <rPr>
        <sz val="10"/>
        <color rgb="FF000000"/>
        <rFont val="Noto Sans CJK SC"/>
        <family val="2"/>
      </rPr>
      <t xml:space="preserve">（必須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格數＝</t>
    </r>
    <r>
      <rPr>
        <sz val="10"/>
        <color rgb="FF000000"/>
        <rFont val="Arial"/>
        <family val="0"/>
        <charset val="1"/>
      </rPr>
      <t xml:space="preserve">CHK_Warnings</t>
    </r>
    <r>
      <rPr>
        <sz val="10"/>
        <color rgb="FF000000"/>
        <rFont val="Noto Sans CJK SC"/>
        <family val="2"/>
      </rPr>
      <t xml:space="preserve">（只提示）。</t>
    </r>
  </si>
  <si>
    <t xml:space="preserve">層級對應</t>
  </si>
  <si>
    <r>
      <rPr>
        <sz val="10"/>
        <color rgb="FF000000"/>
        <rFont val="Arial"/>
        <family val="0"/>
        <charset val="1"/>
      </rPr>
      <t xml:space="preserve">Haiku→</t>
    </r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Tokenomics Luna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Sonnet→</t>
    </r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Opus→</t>
    </r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）；具名範圍沿用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。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</si>
  <si>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</si>
  <si>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</si>
  <si>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</si>
  <si>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SRC_ANT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對照→</t>
    </r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（不進計算）。</t>
    </r>
  </si>
  <si>
    <r>
      <rPr>
        <b val="true"/>
        <sz val="13"/>
        <rFont val="Arial"/>
        <family val="0"/>
        <charset val="1"/>
      </rPr>
      <t xml:space="preserve">SRC_ANT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Anthropic </t>
    </r>
    <r>
      <rPr>
        <b val="true"/>
        <sz val="13"/>
        <rFont val="Noto Sans CJK SC"/>
        <family val="2"/>
      </rPr>
      <t xml:space="preserve">公司財務原始數據（營收、價格、用戶、合約、成本、融資、管理層目標）</t>
    </r>
  </si>
  <si>
    <r>
      <rPr>
        <sz val="9"/>
        <color rgb="FF595959"/>
        <rFont val="Noto Sans CJK SC"/>
        <family val="2"/>
      </rPr>
      <t xml:space="preserve">只存已取得的原始訊息（非計算、非假設）。藍字＝原始值，由本活頁簿擁有。標記 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的列：值欄改為公式（由其他 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列推得），處理狀態欄說明；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</si>
  <si>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二手已讀或轉載／未評）、立場、立場說明、一手／二手：依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</t>
    </r>
    <r>
      <rPr>
        <sz val="9"/>
        <color rgb="FF595959"/>
        <rFont val="Arial"/>
        <family val="0"/>
        <charset val="1"/>
      </rPr>
      <t xml:space="preserve">AB </t>
    </r>
    <r>
      <rPr>
        <sz val="9"/>
        <color rgb="FF595959"/>
        <rFont val="Noto Sans CJK SC"/>
        <family val="2"/>
      </rPr>
      <t xml:space="preserve">欄）；利害方與誘因欄為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逐列登錄。</t>
    </r>
  </si>
  <si>
    <t xml:space="preserve">SRC_ID</t>
  </si>
  <si>
    <t xml:space="preserve">key</t>
  </si>
  <si>
    <t xml:space="preserve">分組</t>
  </si>
  <si>
    <t xml:space="preserve">項目</t>
  </si>
  <si>
    <t xml:space="preserve">值</t>
  </si>
  <si>
    <t xml:space="preserve">低</t>
  </si>
  <si>
    <t xml:space="preserve">高</t>
  </si>
  <si>
    <t xml:space="preserve">單位</t>
  </si>
  <si>
    <t xml:space="preserve">期間</t>
  </si>
  <si>
    <t xml:space="preserve">日期（序列值）</t>
  </si>
  <si>
    <t xml:space="preserve">口徑</t>
  </si>
  <si>
    <t xml:space="preserve">來源</t>
  </si>
  <si>
    <t xml:space="preserve">網址</t>
  </si>
  <si>
    <t xml:space="preserve">文件日期</t>
  </si>
  <si>
    <t xml:space="preserve">擷取日</t>
  </si>
  <si>
    <t xml:space="preserve">利害方與誘因</t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</si>
  <si>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</si>
  <si>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</si>
  <si>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</si>
  <si>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</si>
  <si>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處理狀態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</si>
  <si>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</si>
  <si>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</si>
  <si>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</si>
  <si>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</si>
  <si>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r>
      <rPr>
        <b val="true"/>
        <sz val="10"/>
        <rFont val="Arial"/>
        <family val="0"/>
        <charset val="1"/>
      </rPr>
      <t xml:space="preserve">Derived </t>
    </r>
    <r>
      <rPr>
        <b val="true"/>
        <sz val="10"/>
        <rFont val="Noto Sans CJK SC"/>
        <family val="2"/>
      </rPr>
      <t xml:space="preserve">未處理（公式）</t>
    </r>
  </si>
  <si>
    <t xml:space="preserve">四欄標註</t>
  </si>
  <si>
    <t xml:space="preserve">SRC_ANT_001</t>
  </si>
  <si>
    <t xml:space="preserve">rev_2025_recognized</t>
  </si>
  <si>
    <t xml:space="preserve">A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</si>
  <si>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</si>
  <si>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</si>
  <si>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2025</t>
  </si>
  <si>
    <t xml:space="preserve">總額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</si>
  <si>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prospectus shows sweeping AI vision, surging costs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Fortune </t>
    </r>
    <r>
      <rPr>
        <sz val="10"/>
        <color rgb="FF000000"/>
        <rFont val="Noto Sans CJK SC"/>
        <family val="2"/>
      </rPr>
      <t xml:space="preserve">轉述）</t>
    </r>
  </si>
  <si>
    <t xml:space="preserve">https://fortune.com/2026/09/29/anthropic-leaked-ipo-prospectus-losses-growth-ai-end-humanity/</t>
  </si>
  <si>
    <t xml:space="preserve">2026-09-29</t>
  </si>
  <si>
    <t xml:space="preserve">2026-10-08</t>
  </si>
  <si>
    <t xml:space="preserve">Interested-party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</si>
  <si>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（外流機密招股書草稿；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</si>
  <si>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t xml:space="preserve">2</t>
  </si>
  <si>
    <t xml:space="preserve">利害關係方</t>
  </si>
  <si>
    <t xml:space="preserve">二手</t>
  </si>
  <si>
    <t xml:space="preserve">觀測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</si>
  <si>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'bringing in $4.6 billion in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。雲端市集銷售以總額認列（見 </t>
    </r>
    <r>
      <rPr>
        <sz val="10"/>
        <color rgb="FF000000"/>
        <rFont val="Arial"/>
        <family val="0"/>
        <charset val="1"/>
      </rPr>
      <t xml:space="preserve">rev_recognition_gross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</si>
  <si>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</si>
  <si>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SRC_ANT_002</t>
  </si>
  <si>
    <t xml:space="preserve">rev_2025_recognized_b</t>
  </si>
  <si>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快訊〈</t>
    </r>
    <r>
      <rPr>
        <sz val="10"/>
        <color rgb="FF000000"/>
        <rFont val="Arial"/>
        <family val="0"/>
        <charset val="1"/>
      </rPr>
      <t xml:space="preserve">Anthropic fiscal year 2025 revenue surges 1,088% to $4.59 billion</t>
    </r>
    <r>
      <rPr>
        <sz val="10"/>
        <color rgb="FF000000"/>
        <rFont val="Noto Sans CJK SC"/>
        <family val="2"/>
      </rPr>
      <t xml:space="preserve">〉</t>
    </r>
  </si>
  <si>
    <t xml:space="preserve">https://www.kucoin.com/news/flash/anthropic-2025-fiscal-year-revenue-surges-1088-to-4-59-billion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</si>
  <si>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</si>
  <si>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'revenue surges 1,088% to $4.59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'nearly $4.6 billion'</t>
    </r>
    <r>
      <rPr>
        <sz val="10"/>
        <color rgb="FF000000"/>
        <rFont val="Noto Sans CJK SC"/>
        <family val="2"/>
      </rPr>
      <t xml:space="preserve">）一致，為更精確值；僅見標題</t>
    </r>
  </si>
  <si>
    <t xml:space="preserve">SRC_ANT_003</t>
  </si>
  <si>
    <t xml:space="preserve">rev_2024_recognized_derived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</si>
  <si>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年認列營收（由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年成長率反推）</t>
    </r>
  </si>
  <si>
    <t xml:space="preserve">2024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</si>
  <si>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rev_2025_recognized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$4.59B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+1,088%</t>
    </r>
    <r>
      <rPr>
        <sz val="10"/>
        <color rgb="FF000000"/>
        <rFont val="Noto Sans CJK SC"/>
        <family val="2"/>
      </rPr>
      <t xml:space="preserve">）推算</t>
    </r>
  </si>
  <si>
    <t xml:space="preserve">Derived</t>
  </si>
  <si>
    <t xml:space="preserve">未評</t>
  </si>
  <si>
    <t xml:space="preserve">推導</t>
  </si>
  <si>
    <r>
      <rPr>
        <sz val="10"/>
        <color rgb="FF000000"/>
        <rFont val="Noto Sans CJK SC"/>
        <family val="2"/>
      </rPr>
      <t xml:space="preserve">由其他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列推得（本活頁簿以公式表示）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</si>
  <si>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</t>
    </r>
  </si>
  <si>
    <r>
      <rPr>
        <sz val="10"/>
        <color rgb="FF000000"/>
        <rFont val="Arial"/>
        <family val="0"/>
        <charset val="1"/>
      </rPr>
      <t xml:space="preserve">4.59/(1+10.88)=0.386</t>
    </r>
    <r>
      <rPr>
        <sz val="10"/>
        <color rgb="FF000000"/>
        <rFont val="Noto Sans CJK SC"/>
        <family val="2"/>
      </rPr>
      <t xml:space="preserve">。報導未直接給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營收數字；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'12-fold'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4.6/12≈0.38 </t>
    </r>
    <r>
      <rPr>
        <sz val="10"/>
        <color rgb="FF000000"/>
        <rFont val="Noto Sans CJK SC"/>
        <family val="2"/>
      </rPr>
      <t xml:space="preserve">一致</t>
    </r>
  </si>
  <si>
    <t xml:space="preserve">SRC_ANT_004</t>
  </si>
  <si>
    <t xml:space="preserve">rev_2026_q1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</si>
  <si>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認列營收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</si>
  <si>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季</t>
    </r>
  </si>
  <si>
    <t xml:space="preserve">2026-Q1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</si>
  <si>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revenue run rate reportedly surpasses $65 billion pre-IPO</t>
    </r>
    <r>
      <rPr>
        <sz val="10"/>
        <color rgb="FF000000"/>
        <rFont val="Noto Sans CJK SC"/>
        <family val="2"/>
      </rPr>
      <t xml:space="preserve">〉</t>
    </r>
  </si>
  <si>
    <t xml:space="preserve">https://www.axios.com/2026/08/17/anthropic-revenue-run-rate-ipo-openai</t>
  </si>
  <si>
    <t xml:space="preserve">2026-08-17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</si>
  <si>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取得之內部文件；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</si>
  <si>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double Q1 revenue of $4.73 billion'</t>
    </r>
    <r>
      <rPr>
        <sz val="10"/>
        <color rgb="FF000000"/>
        <rFont val="Noto Sans CJK SC"/>
        <family val="2"/>
      </rPr>
      <t xml:space="preserve">。招股書外流（</t>
    </r>
    <r>
      <rPr>
        <sz val="10"/>
        <color rgb="FF000000"/>
        <rFont val="Arial"/>
        <family val="0"/>
        <charset val="1"/>
      </rPr>
      <t xml:space="preserve">Fortune 9/29</t>
    </r>
    <r>
      <rPr>
        <sz val="10"/>
        <color rgb="FF000000"/>
        <rFont val="Noto Sans CJK SC"/>
        <family val="2"/>
      </rPr>
      <t xml:space="preserve">）亦引同值</t>
    </r>
  </si>
  <si>
    <t xml:space="preserve">SRC_ANT_005</t>
  </si>
  <si>
    <t xml:space="preserve">rev_2026_q2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</si>
  <si>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認列營收（初步）</t>
    </r>
  </si>
  <si>
    <t xml:space="preserve">2026-Q2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</si>
  <si>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</si>
  <si>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</si>
  <si>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$11.5 billion in preliminary revenue in the second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'more than 14 times' </t>
    </r>
    <r>
      <rPr>
        <sz val="10"/>
        <color rgb="FF000000"/>
        <rFont val="Noto Sans CJK SC"/>
        <family val="2"/>
      </rPr>
      <t xml:space="preserve">去年同季；初步數字可能修正</t>
    </r>
  </si>
  <si>
    <t xml:space="preserve">SRC_ANT_006</t>
  </si>
  <si>
    <t xml:space="preserve">rev_2025_q2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</si>
  <si>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Noto Sans CJK SC"/>
        <family val="2"/>
      </rPr>
      <t xml:space="preserve">認列營收</t>
    </r>
  </si>
  <si>
    <t xml:space="preserve">2025-Q2</t>
  </si>
  <si>
    <r>
      <rPr>
        <sz val="10"/>
        <color rgb="FF000000"/>
        <rFont val="Arial"/>
        <family val="0"/>
        <charset val="1"/>
      </rPr>
      <t xml:space="preserve">The Next Web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quarterly revenue passed $11.5bn, up more than 14-fold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 2026-08-14</t>
    </r>
    <r>
      <rPr>
        <sz val="10"/>
        <color rgb="FF000000"/>
        <rFont val="Noto Sans CJK SC"/>
        <family val="2"/>
      </rPr>
      <t xml:space="preserve">）</t>
    </r>
  </si>
  <si>
    <t xml:space="preserve">https://thenextweb.com/news/anthropic-q2-2026-revenue-11-5-billion-operating-income</t>
  </si>
  <si>
    <t xml:space="preserve">2026-08-15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</si>
  <si>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取得之文件）</t>
    </r>
  </si>
  <si>
    <r>
      <rPr>
        <sz val="10"/>
        <color rgb="FF000000"/>
        <rFont val="Noto Sans CJK SC"/>
        <family val="2"/>
      </rPr>
      <t xml:space="preserve">原文：去年同季 </t>
    </r>
    <r>
      <rPr>
        <sz val="10"/>
        <color rgb="FF000000"/>
        <rFont val="Arial"/>
        <family val="0"/>
        <charset val="1"/>
      </rPr>
      <t xml:space="preserve">'$787mn'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'exceeded $11.5bn'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'positive adjusted operating income'</t>
    </r>
  </si>
  <si>
    <t xml:space="preserve">SRC_ANT_007</t>
  </si>
  <si>
    <t xml:space="preserve">rev_2026_h1_derived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</si>
  <si>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上半年認列營收（</t>
    </r>
    <r>
      <rPr>
        <sz val="10"/>
        <color rgb="FF000000"/>
        <rFont val="Arial"/>
        <family val="0"/>
        <charset val="1"/>
      </rPr>
      <t xml:space="preserve">Q1+Q2 </t>
    </r>
    <r>
      <rPr>
        <sz val="10"/>
        <color rgb="FF000000"/>
        <rFont val="Noto Sans CJK SC"/>
        <family val="2"/>
      </rPr>
      <t xml:space="preserve">加總）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</si>
  <si>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半年</t>
    </r>
  </si>
  <si>
    <t xml:space="preserve">2026-H1</t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</si>
  <si>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rev_2026_q1 + rev_2026_q2 </t>
    </r>
    <r>
      <rPr>
        <sz val="10"/>
        <color rgb="FF000000"/>
        <rFont val="Noto Sans CJK SC"/>
        <family val="2"/>
      </rPr>
      <t xml:space="preserve">推算</t>
    </r>
  </si>
  <si>
    <t xml:space="preserve">https://www.pymnts.com/news/artificial-intelligence/2026/anthropic-prospectus-shows-what-2-trillion-dollar-ai-company-costs-run/</t>
  </si>
  <si>
    <r>
      <rPr>
        <sz val="10"/>
        <color rgb="FF000000"/>
        <rFont val="Arial"/>
        <family val="0"/>
        <charset val="1"/>
      </rPr>
      <t xml:space="preserve">4.73+11.5≈16.2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'$4.73 billion in Q1 2026 and $11.5 billion in Q2 2026'</t>
    </r>
    <r>
      <rPr>
        <sz val="10"/>
        <color rgb="FF000000"/>
        <rFont val="Noto Sans CJK SC"/>
        <family val="2"/>
      </rPr>
      <t xml:space="preserve">，未直接給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合計</t>
    </r>
  </si>
  <si>
    <t xml:space="preserve">SRC_ANT_008</t>
  </si>
  <si>
    <t xml:space="preserve">rev_runrate_2024_12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</si>
  <si>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</si>
  <si>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t xml:space="preserve">2024-12</t>
  </si>
  <si>
    <t xml:space="preserve">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</si>
  <si>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F at US$183B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</si>
  <si>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https://www.anthropic.com/news/anthropic-raises-series-f-at-usd183b-post-money-valuation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</si>
  <si>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</si>
  <si>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（募資誘因）</t>
    </r>
  </si>
  <si>
    <t xml:space="preserve">1</t>
  </si>
  <si>
    <t xml:space="preserve">一手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</si>
  <si>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年初 </t>
    </r>
    <r>
      <rPr>
        <sz val="10"/>
        <color rgb="FF000000"/>
        <rFont val="Arial"/>
        <family val="0"/>
        <charset val="1"/>
      </rPr>
      <t xml:space="preserve">'run-rate revenue had grown to approximately $1 billion'</t>
    </r>
  </si>
  <si>
    <t xml:space="preserve">SRC_ANT_009</t>
  </si>
  <si>
    <t xml:space="preserve">rev_runrate_2024_12_b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</si>
  <si>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獨家（</t>
    </r>
    <r>
      <rPr>
        <sz val="10"/>
        <color rgb="FF000000"/>
        <rFont val="Arial"/>
        <family val="0"/>
        <charset val="1"/>
      </rPr>
      <t xml:space="preserve">2025-05-30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</si>
  <si>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t xml:space="preserve">https://www.wizcase.com/?p=2882381</t>
  </si>
  <si>
    <t xml:space="preserve">2025-06-03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</si>
  <si>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</si>
  <si>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'around $1 billion in December 2024'</t>
    </r>
  </si>
  <si>
    <t xml:space="preserve">SRC_ANT_010</t>
  </si>
  <si>
    <t xml:space="preserve">rev_runrate_2025_03_early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</si>
  <si>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</si>
  <si>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Seeking Alpha </t>
    </r>
    <r>
      <rPr>
        <sz val="10"/>
        <color rgb="FF000000"/>
        <rFont val="Noto Sans CJK SC"/>
        <family val="2"/>
      </rPr>
      <t xml:space="preserve">轉述）</t>
    </r>
  </si>
  <si>
    <t xml:space="preserve">https://seekingalpha.com/news/4419473-anthropic-reaches-1_4b-in-annualized-revenue-report</t>
  </si>
  <si>
    <t xml:space="preserve">2025-03-11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</si>
  <si>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of $1.4B as of earlier this 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'around $1B at the end of 2024'</t>
    </r>
  </si>
  <si>
    <t xml:space="preserve">SRC_ANT_011</t>
  </si>
  <si>
    <t xml:space="preserve">rev_runrate_2025_03</t>
  </si>
  <si>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</si>
  <si>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$2 billion by the end of March'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The Information 3 </t>
    </r>
    <r>
      <rPr>
        <sz val="10"/>
        <color rgb="FF000000"/>
        <rFont val="Noto Sans CJK SC"/>
        <family val="2"/>
      </rPr>
      <t xml:space="preserve">月初 </t>
    </r>
    <r>
      <rPr>
        <sz val="10"/>
        <color rgb="FF000000"/>
        <rFont val="Arial"/>
        <family val="0"/>
        <charset val="1"/>
      </rPr>
      <t xml:space="preserve">$1.4B </t>
    </r>
    <r>
      <rPr>
        <sz val="10"/>
        <color rgb="FF000000"/>
        <rFont val="Noto Sans CJK SC"/>
        <family val="2"/>
      </rPr>
      <t xml:space="preserve">相差大，月內跳升或口徑不同</t>
    </r>
  </si>
  <si>
    <t xml:space="preserve">SRC_ANT_012</t>
  </si>
  <si>
    <t xml:space="preserve">rev_runrate_2025_05</t>
  </si>
  <si>
    <t xml:space="preserve">2025-05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</si>
  <si>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hits $3 billion in annualized revenue on business demand for AI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WizCase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</si>
  <si>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$3 billion milestone in May'</t>
    </r>
  </si>
  <si>
    <t xml:space="preserve">SRC_ANT_013</t>
  </si>
  <si>
    <t xml:space="preserve">rev_runrate_2025_07</t>
  </si>
  <si>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（月初）</t>
    </r>
  </si>
  <si>
    <t xml:space="preserve">https://seekingalpha.com/news/4464440-anthropic-reaches-4b-in-annualized-revenue-report</t>
  </si>
  <si>
    <t xml:space="preserve">2025-07-01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</si>
  <si>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 annualized revenue rate of $4B'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'four times higher than the beginning of the year'</t>
    </r>
  </si>
  <si>
    <t xml:space="preserve">SRC_ANT_014</t>
  </si>
  <si>
    <t xml:space="preserve">rev_runrate_2025_07_b</t>
  </si>
  <si>
    <t xml:space="preserve">2025-07</t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</si>
  <si>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Revenue Run Rate Tops $9 Billion as VCs Pile In</t>
    </r>
    <r>
      <rPr>
        <sz val="10"/>
        <color rgb="FF000000"/>
        <rFont val="Noto Sans CJK SC"/>
        <family val="2"/>
      </rPr>
      <t xml:space="preserve">〉</t>
    </r>
  </si>
  <si>
    <t xml:space="preserve">https://www.bloomberg.com/news/articles/2026-01-21/anthropic-s-revenue-run-rate-tops-9-billion-as-vcs-pile-in</t>
  </si>
  <si>
    <t xml:space="preserve">2026-01-21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</si>
  <si>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'was $4 billion in July of last year'</t>
    </r>
  </si>
  <si>
    <t xml:space="preserve">SRC_ANT_015</t>
  </si>
  <si>
    <t xml:space="preserve">rev_runrate_2025_08</t>
  </si>
  <si>
    <t xml:space="preserve">2025-08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</si>
  <si>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'By August 2025…our run-rate revenue reached over $5 billion'</t>
    </r>
    <r>
      <rPr>
        <sz val="10"/>
        <color rgb="FF000000"/>
        <rFont val="Noto Sans CJK SC"/>
        <family val="2"/>
      </rPr>
      <t xml:space="preserve">（下限值）</t>
    </r>
  </si>
  <si>
    <t xml:space="preserve">SRC_ANT_016</t>
  </si>
  <si>
    <t xml:space="preserve">rev_runrate_2025_10</t>
  </si>
  <si>
    <t xml:space="preserve">2025-10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</si>
  <si>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2026, sources say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</si>
  <si>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https://finance.yahoo.com/news/exclusive-anthropic-aims-nearly-triple-170234463.html</t>
  </si>
  <si>
    <t xml:space="preserve">2025-10-15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</si>
  <si>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（公司向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表示；募資誘因）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</si>
  <si>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'annual revenue run rate is approaching $7 billion this month'</t>
    </r>
    <r>
      <rPr>
        <sz val="10"/>
        <color rgb="FF000000"/>
        <rFont val="Noto Sans CJK SC"/>
        <family val="2"/>
      </rPr>
      <t xml:space="preserve">（接近，未達）</t>
    </r>
  </si>
  <si>
    <t xml:space="preserve">SRC_ANT_017</t>
  </si>
  <si>
    <t xml:space="preserve">rev_runrate_2025_12</t>
  </si>
  <si>
    <t xml:space="preserve">2025-12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</si>
  <si>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</si>
  <si>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https://www.anthropic.com/news/google-broadcom-partnership-compute</t>
  </si>
  <si>
    <t xml:space="preserve">2026-04-06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</si>
  <si>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</si>
  <si>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from approximately $9 billion at the end of 2025'</t>
    </r>
  </si>
  <si>
    <t xml:space="preserve">SRC_ANT_018</t>
  </si>
  <si>
    <t xml:space="preserve">rev_runrate_2025_12_b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</si>
  <si>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'hit over $9 billion at the end of 2025'</t>
    </r>
    <r>
      <rPr>
        <sz val="10"/>
        <color rgb="FF000000"/>
        <rFont val="Noto Sans CJK SC"/>
        <family val="2"/>
      </rPr>
      <t xml:space="preserve">（下限）</t>
    </r>
  </si>
  <si>
    <t xml:space="preserve">SRC_ANT_019</t>
  </si>
  <si>
    <t xml:space="preserve">rev_runrate_2026_02</t>
  </si>
  <si>
    <t xml:space="preserve">2026-02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</si>
  <si>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$30 billion Series G at $380 billion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</si>
  <si>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https://www.anthropic.com/news/anthropic-raises-30-billion-series-g-funding-380-billion-post-money-valuation</t>
  </si>
  <si>
    <t xml:space="preserve">2026-02-12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</si>
  <si>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'Today, our run-rate revenue is $14 billion'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'growing over 10x annually'</t>
    </r>
  </si>
  <si>
    <t xml:space="preserve">SRC_ANT_020</t>
  </si>
  <si>
    <t xml:space="preserve">rev_runrate_2026_03</t>
  </si>
  <si>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（月初）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</si>
  <si>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$20 Billion Revenue Run Rate Amid Pentagon Feud</t>
    </r>
    <r>
      <rPr>
        <sz val="10"/>
        <color rgb="FF000000"/>
        <rFont val="Noto Sans CJK SC"/>
        <family val="2"/>
      </rPr>
      <t xml:space="preserve">〉</t>
    </r>
  </si>
  <si>
    <t xml:space="preserve">https://news.bgov.com/artificial-intelligence/anthropic-nears-20-billion-revenue-run-rate-amid-pentagon-feud</t>
  </si>
  <si>
    <t xml:space="preserve">2026-03-03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</si>
  <si>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$19 billion in run-rate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'roughly $14 billion a few weeks ago'</t>
    </r>
  </si>
  <si>
    <t xml:space="preserve">SRC_ANT_021</t>
  </si>
  <si>
    <t xml:space="preserve">rev_runrate_2026_04</t>
  </si>
  <si>
    <t xml:space="preserve">2026-04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</si>
  <si>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has now surpassed $30 billion'</t>
    </r>
    <r>
      <rPr>
        <sz val="10"/>
        <color rgb="FF000000"/>
        <rFont val="Noto Sans CJK SC"/>
        <family val="2"/>
      </rPr>
      <t xml:space="preserve">（下限）</t>
    </r>
  </si>
  <si>
    <t xml:space="preserve">SRC_ANT_022</t>
  </si>
  <si>
    <t xml:space="preserve">rev_runrate_2026_05</t>
  </si>
  <si>
    <t xml:space="preserve">2026-05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</si>
  <si>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</si>
  <si>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https://www.anthropic.com/news/series-h</t>
  </si>
  <si>
    <t xml:space="preserve">2026-05-28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</si>
  <si>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'our run-rate revenue crossed $47 billion earlier this month'</t>
    </r>
  </si>
  <si>
    <t xml:space="preserve">SRC_ANT_023</t>
  </si>
  <si>
    <t xml:space="preserve">rev_runrate_2026_07</t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</si>
  <si>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（月底）</t>
    </r>
  </si>
  <si>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轉述）〈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</si>
  <si>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https://techcrunch.com/2026/08/17/anthropics-annualized-revenue-surges-to-65b/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</si>
  <si>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（告知投資人；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</si>
  <si>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'surpassed $65 billion' at the end of July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'$47 billion in May'</t>
    </r>
    <r>
      <rPr>
        <sz val="10"/>
        <color rgb="FF000000"/>
        <rFont val="Noto Sans CJK SC"/>
        <family val="2"/>
      </rPr>
      <t xml:space="preserve">。截至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未見更新的 </t>
    </r>
    <r>
      <rPr>
        <sz val="10"/>
        <color rgb="FF000000"/>
        <rFont val="Arial"/>
        <family val="0"/>
        <charset val="1"/>
      </rPr>
      <t xml:space="preserve">run-rate</t>
    </r>
  </si>
  <si>
    <t xml:space="preserve">SRC_ANT_024</t>
  </si>
  <si>
    <t xml:space="preserve">rev_runrate_2026_07_b</t>
  </si>
  <si>
    <t xml:space="preserve">2026-07</t>
  </si>
  <si>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Anthropic's Revenue Run Rate Topped US$65bn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知情人士）</t>
    </r>
  </si>
  <si>
    <t xml:space="preserve">https://aimagazine.com/news/how-anthropics-revenue-run-rate-topped-us-65bn</t>
  </si>
  <si>
    <t xml:space="preserve">2026-08-18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</si>
  <si>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</si>
  <si>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'US$65bn annual revenue run rate, reached by the end of July'</t>
    </r>
    <r>
      <rPr>
        <sz val="10"/>
        <color rgb="FF000000"/>
        <rFont val="Noto Sans CJK SC"/>
        <family val="2"/>
      </rPr>
      <t xml:space="preserve">；投資人預期年底 </t>
    </r>
    <r>
      <rPr>
        <sz val="10"/>
        <color rgb="FF000000"/>
        <rFont val="Arial"/>
        <family val="0"/>
        <charset val="1"/>
      </rPr>
      <t xml:space="preserve">$100–120bn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</si>
  <si>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SRC_ANT_025</t>
  </si>
  <si>
    <t xml:space="preserve">rev_mix_2025_subscription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</si>
  <si>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</si>
  <si>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IPO prospectus lays bare deep dependence on Big Tech partners</t>
    </r>
    <r>
      <rPr>
        <sz val="10"/>
        <color rgb="FF000000"/>
        <rFont val="Noto Sans CJK SC"/>
        <family val="2"/>
      </rPr>
      <t xml:space="preserve">〉（經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</si>
  <si>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t xml:space="preserve">https://www.khaleejtimes.com/business/anthropic-ipo-prospectus-lays-bare-deep-dependence-on-big-tech-partners?amp=1</t>
  </si>
  <si>
    <t xml:space="preserve">2026-09-30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</si>
  <si>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</si>
  <si>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'Subscription revenue came to $789 million'</t>
    </r>
    <r>
      <rPr>
        <sz val="10"/>
        <color rgb="FF000000"/>
        <rFont val="Noto Sans CJK SC"/>
        <family val="2"/>
      </rPr>
      <t xml:space="preserve">；約占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（推算）</t>
    </r>
  </si>
  <si>
    <t xml:space="preserve">SRC_ANT_026</t>
  </si>
  <si>
    <t xml:space="preserve">rev_mix_2025_consumption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</si>
  <si>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）營收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</si>
  <si>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</si>
  <si>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consumption-based revenue 'about $3.8 billion'</t>
    </r>
    <r>
      <rPr>
        <sz val="10"/>
        <color rgb="FF000000"/>
        <rFont val="Noto Sans CJK SC"/>
        <family val="2"/>
      </rPr>
      <t xml:space="preserve">，預期仍為 </t>
    </r>
    <r>
      <rPr>
        <sz val="10"/>
        <color rgb="FF000000"/>
        <rFont val="Arial"/>
        <family val="0"/>
        <charset val="1"/>
      </rPr>
      <t xml:space="preserve">'the substantial majority'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（推算）</t>
    </r>
  </si>
  <si>
    <t xml:space="preserve">SRC_ANT_027</t>
  </si>
  <si>
    <t xml:space="preserve">rev_mix_2025_cloud_partner_share</t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</si>
  <si>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雲端通路之營收占比</t>
    </r>
  </si>
  <si>
    <t xml:space="preserve">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</si>
  <si>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'routed 47% of its sales…through cloud partners Amazon and Alphabet's Google'</t>
    </r>
    <r>
      <rPr>
        <sz val="10"/>
        <color rgb="FF000000"/>
        <rFont val="Noto Sans CJK SC"/>
        <family val="2"/>
      </rPr>
      <t xml:space="preserve">；未含 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</si>
  <si>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SRC_ANT_028</t>
  </si>
  <si>
    <t xml:space="preserve">rev_mix_2024_cloud_partner_share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</si>
  <si>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share 'rose from 11% in 2023 to 32% in 2024'</t>
    </r>
  </si>
  <si>
    <t xml:space="preserve">SRC_ANT_029</t>
  </si>
  <si>
    <t xml:space="preserve">rev_mix_2023_cloud_partner_share</t>
  </si>
  <si>
    <t xml:space="preserve">2023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</si>
  <si>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'from 11% in 2023'</t>
    </r>
  </si>
  <si>
    <t xml:space="preserve">SRC_ANT_030</t>
  </si>
  <si>
    <t xml:space="preserve">rev_recognition_gross</t>
  </si>
  <si>
    <t xml:space="preserve">雲端市集銷售之營收認列口徑</t>
  </si>
  <si>
    <t xml:space="preserve">定性</t>
  </si>
  <si>
    <r>
      <rPr>
        <sz val="10"/>
        <color rgb="FF000000"/>
        <rFont val="Noto Sans CJK SC"/>
        <family val="2"/>
      </rPr>
      <t xml:space="preserve">總額認列：</t>
    </r>
    <r>
      <rPr>
        <sz val="10"/>
        <color rgb="FF000000"/>
        <rFont val="Arial"/>
        <family val="0"/>
        <charset val="1"/>
      </rPr>
      <t xml:space="preserve">'books the full value of marketplace contracts as revenue and records the platforms' cut as a marketing cost'</t>
    </r>
    <r>
      <rPr>
        <sz val="10"/>
        <color rgb="FF000000"/>
        <rFont val="Noto Sans CJK SC"/>
        <family val="2"/>
      </rPr>
      <t xml:space="preserve">；自稱 </t>
    </r>
    <r>
      <rPr>
        <sz val="10"/>
        <color rgb="FF000000"/>
        <rFont val="Arial"/>
        <family val="0"/>
        <charset val="1"/>
      </rPr>
      <t xml:space="preserve">'principal'</t>
    </r>
  </si>
  <si>
    <t xml:space="preserve">SRC_ANT_031</t>
  </si>
  <si>
    <t xml:space="preserve">rev_partner_fee_2025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</si>
  <si>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付給雲端平台之通路費</t>
    </r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</si>
  <si>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分析（經 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轉載）</t>
    </r>
  </si>
  <si>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保留報導值（報導者計算後公布）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</si>
  <si>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'roughly $351 million back to the platforms in distribution fees'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依招股書計算</t>
    </r>
  </si>
  <si>
    <t xml:space="preserve">SRC_ANT_032</t>
  </si>
  <si>
    <t xml:space="preserve">rev_partner_fee_rate_2025</t>
  </si>
  <si>
    <r>
      <rPr>
        <sz val="10"/>
        <color rgb="FF000000"/>
        <rFont val="Noto Sans CJK SC"/>
        <family val="2"/>
      </rPr>
      <t xml:space="preserve">雲端通路抽成率（每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</si>
  <si>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'some 16 cents for every dollar of those sales'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0.351/(4.59×0.47)≈0.16 </t>
    </r>
    <r>
      <rPr>
        <sz val="10"/>
        <color rgb="FF000000"/>
        <rFont val="Noto Sans CJK SC"/>
        <family val="2"/>
      </rPr>
      <t xml:space="preserve">一致</t>
    </r>
  </si>
  <si>
    <t xml:space="preserve">SRC_ANT_033</t>
  </si>
  <si>
    <t xml:space="preserve">rev_partner_fee_2025_b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</si>
  <si>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付給超大雲端之金額（券商估計）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</si>
  <si>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And Anthropic Count Revenue Differently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Bank of America 2026-03 </t>
    </r>
    <r>
      <rPr>
        <sz val="10"/>
        <color rgb="FF000000"/>
        <rFont val="Noto Sans CJK SC"/>
        <family val="2"/>
      </rPr>
      <t xml:space="preserve">估計）</t>
    </r>
  </si>
  <si>
    <t xml:space="preserve">https://www.forbes.com/sites/josipamajic/2026/03/25/openai-and-anthropic-count-revenue-differently-and-investors-are-looking-into-it/</t>
  </si>
  <si>
    <t xml:space="preserve">2026-03-25</t>
  </si>
  <si>
    <t xml:space="preserve">Analogy</t>
  </si>
  <si>
    <t xml:space="preserve">第三方估計</t>
  </si>
  <si>
    <t xml:space="preserve">第三方估計；非公司揭露，作類比或區間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</si>
  <si>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$6.4 billion in 2026…up from $1.9 billion in 2025'</t>
    </r>
    <r>
      <rPr>
        <sz val="10"/>
        <color rgb="FF000000"/>
        <rFont val="Noto Sans CJK SC"/>
        <family val="2"/>
      </rPr>
      <t xml:space="preserve">。與招股書 </t>
    </r>
    <r>
      <rPr>
        <sz val="10"/>
        <color rgb="FF000000"/>
        <rFont val="Arial"/>
        <family val="0"/>
        <charset val="1"/>
      </rPr>
      <t xml:space="preserve">$351M </t>
    </r>
    <r>
      <rPr>
        <sz val="10"/>
        <color rgb="FF000000"/>
        <rFont val="Noto Sans CJK SC"/>
        <family val="2"/>
      </rPr>
      <t xml:space="preserve">矛盾（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口徑可能含算力租金），以招股書為準</t>
    </r>
  </si>
  <si>
    <t xml:space="preserve">SRC_ANT_034</t>
  </si>
  <si>
    <t xml:space="preserve">rev_partner_fee_2026_est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</si>
  <si>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付給超大雲端之金額（券商估計）</t>
    </r>
  </si>
  <si>
    <t xml:space="preserve">2026</t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</si>
  <si>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Bank of America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</si>
  <si>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'could pay hyperscale cloud providers up to $6.4 billion in 2026'</t>
    </r>
  </si>
  <si>
    <t xml:space="preserve">SRC_ANT_035</t>
  </si>
  <si>
    <t xml:space="preserve">rev_runrate_gross_dispute_2026_04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</si>
  <si>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估計之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「淨額」</t>
    </r>
    <r>
      <rPr>
        <sz val="10"/>
        <color rgb="FF000000"/>
        <rFont val="Arial"/>
        <family val="0"/>
        <charset val="1"/>
      </rPr>
      <t xml:space="preserve">run-rate</t>
    </r>
  </si>
  <si>
    <t xml:space="preserve">淨額</t>
  </si>
  <si>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OpenAI CRO tells staff Anthropic inflates run rate by $8 billion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OpenAI CRO </t>
    </r>
    <r>
      <rPr>
        <sz val="10"/>
        <color rgb="FF000000"/>
        <rFont val="Noto Sans CJK SC"/>
        <family val="2"/>
      </rPr>
      <t xml:space="preserve">內部備忘錄，</t>
    </r>
    <r>
      <rPr>
        <sz val="10"/>
        <color rgb="FF000000"/>
        <rFont val="Arial"/>
        <family val="0"/>
        <charset val="1"/>
      </rPr>
      <t xml:space="preserve">The Verge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取得）</t>
    </r>
  </si>
  <si>
    <t xml:space="preserve">https://www.implicator.ai/openai-cro-tells-staff-anthropic-inflates-run-rate-by-8-billion/</t>
  </si>
  <si>
    <t xml:space="preserve">2026-04-13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</si>
  <si>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（競爭對手；貶低對手誘因）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</si>
  <si>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'Their stated run rate is inflated'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'true' run rate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$22B</t>
    </r>
    <r>
      <rPr>
        <sz val="10"/>
        <color rgb="FF000000"/>
        <rFont val="Noto Sans CJK SC"/>
        <family val="2"/>
      </rPr>
      <t xml:space="preserve">（對比公布的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</si>
  <si>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SRC_ANT_036</t>
  </si>
  <si>
    <t xml:space="preserve">rev_enterprise_share_2025_10</t>
  </si>
  <si>
    <t xml:space="preserve">企業與商業客戶占營收比例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</si>
  <si>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獨家〈</t>
    </r>
    <r>
      <rPr>
        <sz val="10"/>
        <color rgb="FF000000"/>
        <rFont val="Arial"/>
        <family val="0"/>
        <charset val="1"/>
      </rPr>
      <t xml:space="preserve">Anthropic aims to nearly triple annualized revenue in 2026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</si>
  <si>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business and enterprise customers 'account for about 80% of its revenue'</t>
    </r>
  </si>
  <si>
    <t xml:space="preserve">SRC_ANT_037</t>
  </si>
  <si>
    <t xml:space="preserve">rev_us_share_2025</t>
  </si>
  <si>
    <t xml:space="preserve">美國占營收比例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</si>
  <si>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</si>
  <si>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'The US accounted for nearly two-thirds of total sales'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value </t>
    </r>
    <r>
      <rPr>
        <sz val="10"/>
        <color rgb="FF000000"/>
        <rFont val="Noto Sans CJK SC"/>
        <family val="2"/>
      </rPr>
      <t xml:space="preserve">為近似</t>
    </r>
  </si>
  <si>
    <t xml:space="preserve">SRC_ANT_038</t>
  </si>
  <si>
    <t xml:space="preserve">rev_concentration_top2_2025</t>
  </si>
  <si>
    <r>
      <rPr>
        <sz val="10"/>
        <color rgb="FF000000"/>
        <rFont val="Noto Sans CJK SC"/>
        <family val="2"/>
      </rPr>
      <t xml:space="preserve">前兩大客戶占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</si>
  <si>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unnamed customers each generated 12% of revenue last year'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12%+12%</t>
    </r>
    <r>
      <rPr>
        <sz val="10"/>
        <color rgb="FF000000"/>
        <rFont val="Noto Sans CJK SC"/>
        <family val="2"/>
      </rPr>
      <t xml:space="preserve">）</t>
    </r>
  </si>
  <si>
    <t xml:space="preserve">SRC_ANT_039</t>
  </si>
  <si>
    <t xml:space="preserve">rev_concentration_top2_2025_b</t>
  </si>
  <si>
    <t xml:space="preserve">前兩大客戶身分（媒體指稱）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</si>
  <si>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IPO filing reveals Amazon and Google account for a quarter of its revenue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</si>
  <si>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https://cryptobriefing.com/anthropic-ipo-amazon-google-revenue/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</si>
  <si>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（外流招股書；媒體推論）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</si>
  <si>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'each contributing about 12% of total sales'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「未具名」矛盾；</t>
    </r>
    <r>
      <rPr>
        <sz val="10"/>
        <color rgb="FF000000"/>
        <rFont val="Arial"/>
        <family val="0"/>
        <charset val="1"/>
      </rPr>
      <t xml:space="preserve">OfficeChai </t>
    </r>
    <r>
      <rPr>
        <sz val="10"/>
        <color rgb="FF000000"/>
        <rFont val="Noto Sans CJK SC"/>
        <family val="2"/>
      </rPr>
      <t xml:space="preserve">則推測為 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GitHub Copilot</t>
    </r>
  </si>
  <si>
    <t xml:space="preserve">SRC_ANT_040</t>
  </si>
  <si>
    <t xml:space="preserve">rev_concentration_cursor_copilot_2025</t>
  </si>
  <si>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合計貢獻之年化營收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</si>
  <si>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tied to two customers as AI pricing war threatens margins</t>
    </r>
    <r>
      <rPr>
        <sz val="10"/>
        <color rgb="FF000000"/>
        <rFont val="Noto Sans CJK SC"/>
        <family val="2"/>
      </rPr>
      <t xml:space="preserve">〉</t>
    </r>
  </si>
  <si>
    <t xml:space="preserve">https://venturebeat.com/ai/anthropic-revenue-tied-to-two-customers-as-ai-pricing-war-threatens-margins</t>
  </si>
  <si>
    <t xml:space="preserve">2025-08-08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</si>
  <si>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</si>
  <si>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$1.2 billion of the company's $4 billion revenue milestone'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口徑，約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）</t>
    </r>
  </si>
  <si>
    <t xml:space="preserve">SRC_ANT_041</t>
  </si>
  <si>
    <t xml:space="preserve">rev_microsoft_spend_2025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</si>
  <si>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每年向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支付金額（客戶身分）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</si>
  <si>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Despite OpenAI partnership, Microsoft is one of Anthropic's biggest customers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</si>
  <si>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https://the-decoder.com/despite-openai-partnership-microsoft-is-one-of-anthropics-biggest-customers/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</si>
  <si>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（知情人士）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</si>
  <si>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'nearly $500 million a year'</t>
    </r>
    <r>
      <rPr>
        <sz val="10"/>
        <color rgb="FF000000"/>
        <rFont val="Noto Sans CJK SC"/>
        <family val="2"/>
      </rPr>
      <t xml:space="preserve">；頁面無發布日期（內文提及 </t>
    </r>
    <r>
      <rPr>
        <sz val="10"/>
        <color rgb="FF000000"/>
        <rFont val="Arial"/>
        <family val="0"/>
        <charset val="1"/>
      </rPr>
      <t xml:space="preserve">Microsoft 'last November' </t>
    </r>
    <r>
      <rPr>
        <sz val="10"/>
        <color rgb="FF000000"/>
        <rFont val="Noto Sans CJK SC"/>
        <family val="2"/>
      </rPr>
      <t xml:space="preserve">投資，推測為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年初）</t>
    </r>
  </si>
  <si>
    <t xml:space="preserve">SRC_ANT_042</t>
  </si>
  <si>
    <t xml:space="preserve">gm_2025_projected_initial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</si>
  <si>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毛利率（原預測）</t>
    </r>
  </si>
  <si>
    <r>
      <rPr>
        <sz val="10"/>
        <color rgb="FF000000"/>
        <rFont val="Arial"/>
        <family val="0"/>
        <charset val="1"/>
      </rPr>
      <t xml:space="preserve">Forbes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</si>
  <si>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（投資人預測文件）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</si>
  <si>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 projections: 50% for 2025 and 77% by 2028, per The Information'</t>
    </r>
  </si>
  <si>
    <t xml:space="preserve">SRC_ANT_043</t>
  </si>
  <si>
    <t xml:space="preserve">gm_2025_revised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</si>
  <si>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毛利率（下修後，付費企業與開發者）</t>
    </r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</si>
  <si>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Lowers Gross Margin Projection as Revenue Skyrockets</t>
    </r>
    <r>
      <rPr>
        <sz val="10"/>
        <color rgb="FF000000"/>
        <rFont val="Noto Sans CJK SC"/>
        <family val="2"/>
      </rPr>
      <t xml:space="preserve">〉</t>
    </r>
  </si>
  <si>
    <t xml:space="preserve">https://www.theinformation.com/articles/anthropic-lowers-profit-margin-projection-revenue-skyrockets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</si>
  <si>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</si>
  <si>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'projected it would generate a 40% gross profit margin from selling AI'</t>
    </r>
    <r>
      <rPr>
        <sz val="10"/>
        <color rgb="FF000000"/>
        <rFont val="Noto Sans CJK SC"/>
        <family val="2"/>
      </rPr>
      <t xml:space="preserve">，比先前低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個百分點</t>
    </r>
  </si>
  <si>
    <t xml:space="preserve">SRC_ANT_044</t>
  </si>
  <si>
    <t xml:space="preserve">gm_2025_incl_free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</si>
  <si>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毛利率（含免費用戶推論成本）</t>
    </r>
  </si>
  <si>
    <r>
      <rPr>
        <sz val="10"/>
        <color rgb="FF000000"/>
        <rFont val="Noto Sans CJK SC"/>
        <family val="2"/>
      </rPr>
      <t xml:space="preserve">華爾街見聞（經 </t>
    </r>
    <r>
      <rPr>
        <sz val="10"/>
        <color rgb="FF000000"/>
        <rFont val="Arial"/>
        <family val="0"/>
        <charset val="1"/>
      </rPr>
      <t xml:space="preserve">Longbridge </t>
    </r>
    <r>
      <rPr>
        <sz val="10"/>
        <color rgb="FF000000"/>
        <rFont val="Noto Sans CJK SC"/>
        <family val="2"/>
      </rPr>
      <t xml:space="preserve">轉載，引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</si>
  <si>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https://longbridge.com/en/news/273327693</t>
  </si>
  <si>
    <t xml:space="preserve">2026-01-22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</si>
  <si>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including free users margin 'would further drop to about 38%'</t>
    </r>
  </si>
  <si>
    <t xml:space="preserve">SRC_ANT_045</t>
  </si>
  <si>
    <t xml:space="preserve">cost_inference_overrun_2025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</si>
  <si>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推論成本超出原預測幅度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</si>
  <si>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inference costs '23% higher than expected'</t>
    </r>
    <r>
      <rPr>
        <sz val="10"/>
        <color rgb="FF000000"/>
        <rFont val="Noto Sans CJK SC"/>
        <family val="2"/>
      </rPr>
      <t xml:space="preserve">；推論成本金額未揭露</t>
    </r>
  </si>
  <si>
    <t xml:space="preserve">SRC_ANT_046</t>
  </si>
  <si>
    <t xml:space="preserve">cost_training_2025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</si>
  <si>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</si>
  <si>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'training costs to be about $4.1 billion in 2025'</t>
    </r>
  </si>
  <si>
    <t xml:space="preserve">SRC_ANT_047</t>
  </si>
  <si>
    <t xml:space="preserve">rev_2025_projected_info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</si>
  <si>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營收（公司 </t>
    </r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</si>
  <si>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'expects its revenue to reach $4.5 billion in 2025'</t>
    </r>
    <r>
      <rPr>
        <sz val="10"/>
        <color rgb="FF000000"/>
        <rFont val="Noto Sans CJK SC"/>
        <family val="2"/>
      </rPr>
      <t xml:space="preserve">；與招股書 </t>
    </r>
    <r>
      <rPr>
        <sz val="10"/>
        <color rgb="FF000000"/>
        <rFont val="Arial"/>
        <family val="0"/>
        <charset val="1"/>
      </rPr>
      <t xml:space="preserve">$4.59B </t>
    </r>
    <r>
      <rPr>
        <sz val="10"/>
        <color rgb="FF000000"/>
        <rFont val="Noto Sans CJK SC"/>
        <family val="2"/>
      </rPr>
      <t xml:space="preserve">一致</t>
    </r>
  </si>
  <si>
    <t xml:space="preserve">SRC_ANT_048</t>
  </si>
  <si>
    <t xml:space="preserve">rev_2025_recognized_c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</si>
  <si>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營收（媒體引述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達沃斯說法）</t>
    </r>
  </si>
  <si>
    <r>
      <rPr>
        <sz val="10"/>
        <color rgb="FF000000"/>
        <rFont val="Arial"/>
        <family val="0"/>
        <charset val="1"/>
      </rPr>
      <t xml:space="preserve">WebProNews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Slashes 2025 Margin Forecast to 40% Amid AI Cost Surge</t>
    </r>
    <r>
      <rPr>
        <sz val="10"/>
        <color rgb="FF000000"/>
        <rFont val="Noto Sans CJK SC"/>
        <family val="2"/>
      </rPr>
      <t xml:space="preserve">〉</t>
    </r>
  </si>
  <si>
    <t xml:space="preserve">https://www.webpronews.com/anthropic-slashes-2025-margin-forecast-to-40-amid-ai-cost-surge/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</si>
  <si>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（執行長公開談話；市場地位誘因）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</si>
  <si>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2025 'about $10 billion'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WEF</t>
    </r>
    <r>
      <rPr>
        <sz val="10"/>
        <color rgb="FF000000"/>
        <rFont val="Noto Sans CJK SC"/>
        <family val="2"/>
      </rPr>
      <t xml:space="preserve">）。與招股書 </t>
    </r>
    <r>
      <rPr>
        <sz val="10"/>
        <color rgb="FF000000"/>
        <rFont val="Arial"/>
        <family val="0"/>
        <charset val="1"/>
      </rPr>
      <t xml:space="preserve">$4.6B </t>
    </r>
    <r>
      <rPr>
        <sz val="10"/>
        <color rgb="FF000000"/>
        <rFont val="Noto Sans CJK SC"/>
        <family val="2"/>
      </rPr>
      <t xml:space="preserve">矛盾，應為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誤植；不採用</t>
    </r>
  </si>
  <si>
    <t xml:space="preserve">SRC_ANT_049</t>
  </si>
  <si>
    <t xml:space="preserve">gm_2026_pre_share</t>
  </si>
  <si>
    <t xml:space="preserve">毛利率（未扣通路分潤前）</t>
  </si>
  <si>
    <t xml:space="preserve">2026-Q3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</si>
  <si>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tells investors it will be profitable for second straight quarter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The Star </t>
    </r>
    <r>
      <rPr>
        <sz val="10"/>
        <color rgb="FF000000"/>
        <rFont val="Noto Sans CJK SC"/>
        <family val="2"/>
      </rPr>
      <t xml:space="preserve">轉載）</t>
    </r>
  </si>
  <si>
    <t xml:space="preserve">https://www.thestar.com.my/tech/tech-news/2026/09/14/anthropic-tells-investors-it-will-be-profitable-for-second-straight-quarter-ft-reports</t>
  </si>
  <si>
    <t xml:space="preserve">2026-09-13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</si>
  <si>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'gross margins are above 80% before accounting for revenue shared with distribution partners'</t>
    </r>
    <r>
      <rPr>
        <sz val="10"/>
        <color rgb="FF000000"/>
        <rFont val="Noto Sans CJK SC"/>
        <family val="2"/>
      </rPr>
      <t xml:space="preserve">（下限）</t>
    </r>
  </si>
  <si>
    <t xml:space="preserve">SRC_ANT_050</t>
  </si>
  <si>
    <t xml:space="preserve">gm_2026_pitchbook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</si>
  <si>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毛利率（分析師估計）</t>
    </r>
  </si>
  <si>
    <r>
      <rPr>
        <sz val="10"/>
        <color rgb="FF000000"/>
        <rFont val="Arial"/>
        <family val="0"/>
        <charset val="1"/>
      </rPr>
      <t xml:space="preserve">PitchBook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gross margin is the most important number in tech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</t>
    </r>
  </si>
  <si>
    <t xml:space="preserve">https://finance.yahoo.com/markets/stocks/articles/anthropics-gross-margin-most-important-070500338.html</t>
  </si>
  <si>
    <t xml:space="preserve">2026-06-10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</si>
  <si>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'on track for gross margins of roughly 44%'</t>
    </r>
    <r>
      <rPr>
        <sz val="10"/>
        <color rgb="FF000000"/>
        <rFont val="Noto Sans CJK SC"/>
        <family val="2"/>
      </rPr>
      <t xml:space="preserve">；估值隱含 </t>
    </r>
    <r>
      <rPr>
        <sz val="10"/>
        <color rgb="FF000000"/>
        <rFont val="Arial"/>
        <family val="0"/>
        <charset val="1"/>
      </rPr>
      <t xml:space="preserve">'40% to 50% gross margins'</t>
    </r>
  </si>
  <si>
    <t xml:space="preserve">SRC_ANT_051</t>
  </si>
  <si>
    <t xml:space="preserve">cost_compute_per_rev_2026_q1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</si>
  <si>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</si>
  <si>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每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</si>
  <si>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 Track for First Operating Profit as Revenue Surges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</si>
  <si>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https://www.pymnts.com/?p=3752527</t>
  </si>
  <si>
    <t xml:space="preserve">2026-05-20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</si>
  <si>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取得之投資人預測）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</si>
  <si>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'spent 71 cents on compute for every dollar of revenue'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預期 </t>
    </r>
    <r>
      <rPr>
        <sz val="10"/>
        <color rgb="FF000000"/>
        <rFont val="Arial"/>
        <family val="0"/>
        <charset val="1"/>
      </rPr>
      <t xml:space="preserve">'56 cents'</t>
    </r>
  </si>
  <si>
    <t xml:space="preserve">SRC_ANT_052</t>
  </si>
  <si>
    <t xml:space="preserve">cost_compute_per_rev_2026_q2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</si>
  <si>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營收之算力支出（預測）</t>
    </r>
  </si>
  <si>
    <r>
      <rPr>
        <sz val="10"/>
        <color rgb="FF000000"/>
        <rFont val="Arial"/>
        <family val="0"/>
        <charset val="1"/>
      </rPr>
      <t xml:space="preserve">PYMNTS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</si>
  <si>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</si>
  <si>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'That ratio is expected to fall to 56 cents in the current quarter'</t>
    </r>
  </si>
  <si>
    <t xml:space="preserve">SRC_ANT_053</t>
  </si>
  <si>
    <t xml:space="preserve">rev_2026_q1_b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</si>
  <si>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130% from $4.8 billion in the first quarter'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Bloomberg $4.73B </t>
    </r>
    <r>
      <rPr>
        <sz val="10"/>
        <color rgb="FF000000"/>
        <rFont val="Noto Sans CJK SC"/>
        <family val="2"/>
      </rPr>
      <t xml:space="preserve">小幅差異（四捨五入）</t>
    </r>
  </si>
  <si>
    <t xml:space="preserve">SRC_ANT_054</t>
  </si>
  <si>
    <t xml:space="preserve">rev_2026_q2_projected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</si>
  <si>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營收（季前預測）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</si>
  <si>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'projects $10.9 billion in revenue for the June quarter'</t>
    </r>
    <r>
      <rPr>
        <sz val="10"/>
        <color rgb="FF000000"/>
        <rFont val="Noto Sans CJK SC"/>
        <family val="2"/>
      </rPr>
      <t xml:space="preserve">；營業利益預測 </t>
    </r>
    <r>
      <rPr>
        <sz val="10"/>
        <color rgb="FF000000"/>
        <rFont val="Arial"/>
        <family val="0"/>
        <charset val="1"/>
      </rPr>
      <t xml:space="preserve">'$559 million'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</si>
  <si>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SRC_ANT_055</t>
  </si>
  <si>
    <t xml:space="preserve">cc_runrate_2025_08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</si>
  <si>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run-rate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</si>
  <si>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F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</si>
  <si>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</si>
  <si>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'already generating over $500 million in run-rate revenue'</t>
    </r>
    <r>
      <rPr>
        <sz val="10"/>
        <color rgb="FF000000"/>
        <rFont val="Noto Sans CJK SC"/>
        <family val="2"/>
      </rPr>
      <t xml:space="preserve">；用量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個月成長 </t>
    </r>
    <r>
      <rPr>
        <sz val="10"/>
        <color rgb="FF000000"/>
        <rFont val="Arial"/>
        <family val="0"/>
        <charset val="1"/>
      </rPr>
      <t xml:space="preserve">&gt;10x</t>
    </r>
    <r>
      <rPr>
        <sz val="10"/>
        <color rgb="FF000000"/>
        <rFont val="Noto Sans CJK SC"/>
        <family val="2"/>
      </rPr>
      <t xml:space="preserve">（下限）</t>
    </r>
  </si>
  <si>
    <t xml:space="preserve">SRC_ANT_056</t>
  </si>
  <si>
    <t xml:space="preserve">cc_runrate_2025_10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</si>
  <si>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Code 'nearly $1 billion' annualized revenue run rate</t>
    </r>
    <r>
      <rPr>
        <sz val="10"/>
        <color rgb="FF000000"/>
        <rFont val="Noto Sans CJK SC"/>
        <family val="2"/>
      </rPr>
      <t xml:space="preserve">（接近）</t>
    </r>
  </si>
  <si>
    <t xml:space="preserve">SRC_ANT_057</t>
  </si>
  <si>
    <t xml:space="preserve">cc_runrate_2025_12</t>
  </si>
  <si>
    <t xml:space="preserve">2025-11/12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</si>
  <si>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acquires Bun as Claude Code reaches $1B milestone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</si>
  <si>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https://www.anthropic.com/news/anthropic-acquires-bun-as-claude-code-reaches-usd1b-milestone</t>
  </si>
  <si>
    <t xml:space="preserve">2025-12-03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</si>
  <si>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reached $1 billion in run-rate revenue'</t>
    </r>
    <r>
      <rPr>
        <sz val="10"/>
        <color rgb="FF000000"/>
        <rFont val="Noto Sans CJK SC"/>
        <family val="2"/>
      </rPr>
      <t xml:space="preserve">（公開上市約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個月後）</t>
    </r>
  </si>
  <si>
    <t xml:space="preserve">SRC_ANT_058</t>
  </si>
  <si>
    <t xml:space="preserve">cc_runrate_2026_02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</si>
  <si>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</si>
  <si>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Code's run-rate revenue has grown to over $2.5 billion'</t>
    </r>
    <r>
      <rPr>
        <sz val="10"/>
        <color rgb="FF000000"/>
        <rFont val="Noto Sans CJK SC"/>
        <family val="2"/>
      </rPr>
      <t xml:space="preserve">；年初以來翻倍以上</t>
    </r>
  </si>
  <si>
    <t xml:space="preserve">SRC_ANT_059</t>
  </si>
  <si>
    <t xml:space="preserve">cc_enterprise_share_2026_02</t>
  </si>
  <si>
    <r>
      <rPr>
        <sz val="10"/>
        <color rgb="FF000000"/>
        <rFont val="Noto Sans CJK SC"/>
        <family val="2"/>
      </rPr>
      <t xml:space="preserve">企業用戶占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營收比例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</si>
  <si>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'enterprise use has grown to represent over half of all Claude Code revenue'</t>
    </r>
    <r>
      <rPr>
        <sz val="10"/>
        <color rgb="FF000000"/>
        <rFont val="Noto Sans CJK SC"/>
        <family val="2"/>
      </rPr>
      <t xml:space="preserve">（下限）</t>
    </r>
  </si>
  <si>
    <t xml:space="preserve">SRC_ANT_060</t>
  </si>
  <si>
    <t xml:space="preserve">cc_runrate_2026_05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</si>
  <si>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年化營收（第三方估計）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</si>
  <si>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Code Scaled from $1B to $8B Annualized Run-Rate in Six Months</t>
    </r>
    <r>
      <rPr>
        <sz val="10"/>
        <color rgb="FF000000"/>
        <rFont val="Noto Sans CJK SC"/>
        <family val="2"/>
      </rPr>
      <t xml:space="preserve">〉（稱引 </t>
    </r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</si>
  <si>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https://fourweekmba.com/ai-claude-code-run-rate-agentic-layer/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</si>
  <si>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'Run-rate reaches approximately $8 billion'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頁面本身未見此數；無一手來源，僅供參考</t>
    </r>
  </si>
  <si>
    <t xml:space="preserve">SRC_ANT_061</t>
  </si>
  <si>
    <t xml:space="preserve">rev_mix_api_share_sacra</t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</si>
  <si>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計價）占營收比例（第三方估計）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</si>
  <si>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revenue, valuation &amp; funding</t>
    </r>
    <r>
      <rPr>
        <sz val="10"/>
        <color rgb="FF000000"/>
        <rFont val="Noto Sans CJK SC"/>
        <family val="2"/>
      </rPr>
      <t xml:space="preserve">〉</t>
    </r>
  </si>
  <si>
    <t xml:space="preserve">https://sacra.com/c/anthropic/</t>
  </si>
  <si>
    <t xml:space="preserve">2026-08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</si>
  <si>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API 'Approximately 70–75%'</t>
    </r>
    <r>
      <rPr>
        <sz val="10"/>
        <color rgb="FF000000"/>
        <rFont val="Noto Sans CJK SC"/>
        <family val="2"/>
      </rPr>
      <t xml:space="preserve">；訂閱 </t>
    </r>
    <r>
      <rPr>
        <sz val="10"/>
        <color rgb="FF000000"/>
        <rFont val="Arial"/>
        <family val="0"/>
        <charset val="1"/>
      </rPr>
      <t xml:space="preserve">'10–15%'</t>
    </r>
    <r>
      <rPr>
        <sz val="10"/>
        <color rgb="FF000000"/>
        <rFont val="Noto Sans CJK SC"/>
        <family val="2"/>
      </rPr>
      <t xml:space="preserve">。招股書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用量計價約 </t>
    </r>
    <r>
      <rPr>
        <sz val="10"/>
        <color rgb="FF000000"/>
        <rFont val="Arial"/>
        <family val="0"/>
        <charset val="1"/>
      </rPr>
      <t xml:space="preserve">83%</t>
    </r>
    <r>
      <rPr>
        <sz val="10"/>
        <color rgb="FF000000"/>
        <rFont val="Noto Sans CJK SC"/>
        <family val="2"/>
      </rPr>
      <t xml:space="preserve">、訂閱 </t>
    </r>
    <r>
      <rPr>
        <sz val="10"/>
        <color rgb="FF000000"/>
        <rFont val="Arial"/>
        <family val="0"/>
        <charset val="1"/>
      </rPr>
      <t xml:space="preserve">17%</t>
    </r>
  </si>
  <si>
    <t xml:space="preserve">SRC_ANT_062</t>
  </si>
  <si>
    <t xml:space="preserve">rev_mix_subscription_share_sacra</t>
  </si>
  <si>
    <t xml:space="preserve">訂閱占營收比例（第三方估計）</t>
  </si>
  <si>
    <t xml:space="preserve">Sacra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</si>
  <si>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subscriptions '10–15% of total revenue'</t>
    </r>
  </si>
  <si>
    <t xml:space="preserve">SRC_ANT_063</t>
  </si>
  <si>
    <t xml:space="preserve">rev_mix_consumer_share_2025_jaipuria</t>
  </si>
  <si>
    <t xml:space="preserve">消費者訂閱占營收比例（分析師估計）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</si>
  <si>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May Never Catch OpenAI. But It's Already 40% as Big.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Tanay Jaipuria</t>
    </r>
    <r>
      <rPr>
        <sz val="10"/>
        <color rgb="FF000000"/>
        <rFont val="Noto Sans CJK SC"/>
        <family val="2"/>
      </rPr>
      <t xml:space="preserve">）</t>
    </r>
  </si>
  <si>
    <t xml:space="preserve">https://www.saastr.com/anthropic-may-never-catch-openai-but-its-already-40-as-big/</t>
  </si>
  <si>
    <t xml:space="preserve">2025-07-11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</si>
  <si>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15% </t>
    </r>
    <r>
      <rPr>
        <sz val="10"/>
        <color rgb="FF000000"/>
        <rFont val="Noto Sans CJK SC"/>
        <family val="2"/>
      </rPr>
      <t xml:space="preserve">消費者訂閱、</t>
    </r>
    <r>
      <rPr>
        <sz val="10"/>
        <color rgb="FF000000"/>
        <rFont val="Arial"/>
        <family val="0"/>
        <charset val="1"/>
      </rPr>
      <t xml:space="preserve">85% API</t>
    </r>
    <r>
      <rPr>
        <sz val="10"/>
        <color rgb="FF000000"/>
        <rFont val="Noto Sans CJK SC"/>
        <family val="2"/>
      </rPr>
      <t xml:space="preserve">（分析師估計，無日期）</t>
    </r>
  </si>
  <si>
    <t xml:space="preserve">SRC_ANT_064</t>
  </si>
  <si>
    <t xml:space="preserve">rev_receivables_2025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</si>
  <si>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年底應收帳款（客戶未付帳單）</t>
    </r>
  </si>
  <si>
    <t xml:space="preserve">$B</t>
  </si>
  <si>
    <t xml:space="preserve">2025-12-31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</si>
  <si>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60% of the '$909 million in customer bills outstanding' </t>
    </r>
    <r>
      <rPr>
        <sz val="10"/>
        <color rgb="FF000000"/>
        <rFont val="Noto Sans CJK SC"/>
        <family val="2"/>
      </rPr>
      <t xml:space="preserve">由第三方收款（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42%</t>
    </r>
    <r>
      <rPr>
        <sz val="10"/>
        <color rgb="FF000000"/>
        <rFont val="Noto Sans CJK SC"/>
        <family val="2"/>
      </rPr>
      <t xml:space="preserve">）</t>
    </r>
  </si>
  <si>
    <t xml:space="preserve">SRC_ANT_065</t>
  </si>
  <si>
    <t xml:space="preserve">price_claude3_opus_in</t>
  </si>
  <si>
    <t xml:space="preserve">B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</si>
  <si>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</si>
  <si>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百萬</t>
    </r>
    <r>
      <rPr>
        <sz val="10"/>
        <color rgb="FF000000"/>
        <rFont val="Arial"/>
        <family val="0"/>
        <charset val="1"/>
      </rPr>
      <t xml:space="preserve">token</t>
    </r>
  </si>
  <si>
    <t xml:space="preserve">2024-03-04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</si>
  <si>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the next generation of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</si>
  <si>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https://www.anthropic.com/news/claude-3-family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</si>
  <si>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（官方牌價；市場地位誘因）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</si>
  <si>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'$15 | $75'</t>
    </r>
  </si>
  <si>
    <t xml:space="preserve">SRC_ANT_066</t>
  </si>
  <si>
    <t xml:space="preserve">price_claude3_opus_out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</si>
  <si>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</si>
  <si>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SRC_ANT_067</t>
  </si>
  <si>
    <t xml:space="preserve">price_claude3_sonnet_in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</si>
  <si>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</si>
  <si>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'$3 | $15'</t>
    </r>
  </si>
  <si>
    <t xml:space="preserve">SRC_ANT_068</t>
  </si>
  <si>
    <t xml:space="preserve">price_claude3_sonnet_out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</si>
  <si>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</si>
  <si>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SRC_ANT_069</t>
  </si>
  <si>
    <t xml:space="preserve">price_claude3_haiku_in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</si>
  <si>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</si>
  <si>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'$0.25 | $1.25'</t>
    </r>
  </si>
  <si>
    <t xml:space="preserve">SRC_ANT_070</t>
  </si>
  <si>
    <t xml:space="preserve">price_claude3_haiku_out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</si>
  <si>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Haiku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</si>
  <si>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SRC_ANT_071</t>
  </si>
  <si>
    <t xml:space="preserve">price_claude35_sonnet_in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</si>
  <si>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</si>
  <si>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2024-06-20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</si>
  <si>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3.5 Sonnet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</si>
  <si>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https://www.anthropic.com/news/claude-3-5-sonnet</t>
  </si>
  <si>
    <t xml:space="preserve">2024-06-21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</si>
  <si>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2024-10-22 </t>
    </r>
    <r>
      <rPr>
        <sz val="10"/>
        <color rgb="FF000000"/>
        <rFont val="Noto Sans CJK SC"/>
        <family val="2"/>
      </rPr>
      <t xml:space="preserve">新版同價</t>
    </r>
  </si>
  <si>
    <t xml:space="preserve">SRC_ANT_072</t>
  </si>
  <si>
    <t xml:space="preserve">price_claude35_sonnet_out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</si>
  <si>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</si>
  <si>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SRC_ANT_073</t>
  </si>
  <si>
    <t xml:space="preserve">price_claude35_haiku_launch_in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</si>
  <si>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輸入（上市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</si>
  <si>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2024-11-04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</si>
  <si>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hikes the price of its Haiku model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</si>
  <si>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https://techcrunch.com/2024/11/04/anthropic-hikes-the-price-of-its-haiku-model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</si>
  <si>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</si>
  <si>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'starts at $1 per million input tokens…and $5 per million output tokens'</t>
    </r>
    <r>
      <rPr>
        <sz val="10"/>
        <color rgb="FF000000"/>
        <rFont val="Noto Sans CJK SC"/>
        <family val="2"/>
      </rPr>
      <t xml:space="preserve">；為 </t>
    </r>
    <r>
      <rPr>
        <sz val="10"/>
        <color rgb="FF000000"/>
        <rFont val="Arial"/>
        <family val="0"/>
        <charset val="1"/>
      </rPr>
      <t xml:space="preserve">3 Haiku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</t>
    </r>
  </si>
  <si>
    <t xml:space="preserve">SRC_ANT_074</t>
  </si>
  <si>
    <t xml:space="preserve">price_claude35_haiku_launch_out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</si>
  <si>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（上市價） 輸出（上市 </t>
    </r>
    <r>
      <rPr>
        <sz val="10"/>
        <color rgb="FF000000"/>
        <rFont val="Arial"/>
        <family val="0"/>
        <charset val="1"/>
      </rPr>
      <t xml:space="preserve">2024-11-04</t>
    </r>
    <r>
      <rPr>
        <sz val="10"/>
        <color rgb="FF000000"/>
        <rFont val="Noto Sans CJK SC"/>
        <family val="2"/>
      </rPr>
      <t xml:space="preserve">）</t>
    </r>
  </si>
  <si>
    <t xml:space="preserve">SRC_ANT_075</t>
  </si>
  <si>
    <t xml:space="preserve">price_claude35_haiku_cut_in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</si>
  <si>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</si>
  <si>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2024-12-03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</si>
  <si>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computer use, a new Claude 3.5 Sonnet, and Claude 3.5 Haiku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2024-12-03 </t>
    </r>
    <r>
      <rPr>
        <sz val="10"/>
        <color rgb="FF000000"/>
        <rFont val="Noto Sans CJK SC"/>
        <family val="2"/>
      </rPr>
      <t xml:space="preserve">更新）</t>
    </r>
  </si>
  <si>
    <t xml:space="preserve">https://www.anthropic.com/news/3-5-models-and-computer-use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</si>
  <si>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'now priced at $0.80 MTok input / $4 MTok output'</t>
    </r>
  </si>
  <si>
    <t xml:space="preserve">SRC_ANT_076</t>
  </si>
  <si>
    <t xml:space="preserve">price_claude35_haiku_cut_out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</si>
  <si>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</si>
  <si>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SRC_ANT_077</t>
  </si>
  <si>
    <t xml:space="preserve">price_claude37_sonnet_in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</si>
  <si>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</si>
  <si>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2025-02-24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</si>
  <si>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3.7 Sonnet and Claude Code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</si>
  <si>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https://www.anthropic.com/news/claude-3-7-sonnet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</si>
  <si>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'$3 per million input tokens and $15 per million output tokens—which includes thinking tokens'</t>
    </r>
  </si>
  <si>
    <t xml:space="preserve">SRC_ANT_078</t>
  </si>
  <si>
    <t xml:space="preserve">price_claude37_sonnet_out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</si>
  <si>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</si>
  <si>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SRC_ANT_079</t>
  </si>
  <si>
    <t xml:space="preserve">price_opus4_in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</si>
  <si>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</si>
  <si>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2025-05-22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</si>
  <si>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4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</si>
  <si>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</si>
  <si>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'Opus 4 at $15/$75 per million tokens'</t>
    </r>
  </si>
  <si>
    <t xml:space="preserve">SRC_ANT_080</t>
  </si>
  <si>
    <t xml:space="preserve">price_opus4_out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</si>
  <si>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</si>
  <si>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SRC_ANT_081</t>
  </si>
  <si>
    <t xml:space="preserve">price_sonnet4_in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</si>
  <si>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</si>
  <si>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'Sonnet 4 at $3/$15'</t>
    </r>
  </si>
  <si>
    <t xml:space="preserve">SRC_ANT_082</t>
  </si>
  <si>
    <t xml:space="preserve">price_sonnet4_out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</si>
  <si>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</si>
  <si>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SRC_ANT_083</t>
  </si>
  <si>
    <t xml:space="preserve">price_opus41_in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</si>
  <si>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</si>
  <si>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2025-08-05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</si>
  <si>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Opus 4.1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</si>
  <si>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</si>
  <si>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the same as Opus 4'</t>
    </r>
    <r>
      <rPr>
        <sz val="10"/>
        <color rgb="FF000000"/>
        <rFont val="Noto Sans CJK SC"/>
        <family val="2"/>
      </rPr>
      <t xml:space="preserve">（即 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</t>
    </r>
  </si>
  <si>
    <t xml:space="preserve">SRC_ANT_084</t>
  </si>
  <si>
    <t xml:space="preserve">price_opus41_out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</si>
  <si>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</si>
  <si>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SRC_ANT_085</t>
  </si>
  <si>
    <t xml:space="preserve">price_sonnet45_in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</si>
  <si>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</si>
  <si>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2025-09-29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</si>
  <si>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</si>
  <si>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</si>
  <si>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Claude Sonnet 4, at $3/$15 per million tokens'</t>
    </r>
  </si>
  <si>
    <t xml:space="preserve">SRC_ANT_086</t>
  </si>
  <si>
    <t xml:space="preserve">price_sonnet45_out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</si>
  <si>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</si>
  <si>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SRC_ANT_087</t>
  </si>
  <si>
    <t xml:space="preserve">price_haiku45_in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</si>
  <si>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</si>
  <si>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</si>
  <si>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https://www.anthropic.com/news/claude-haiku-4-5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</si>
  <si>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$1/$5 per million input and output tokens'</t>
    </r>
  </si>
  <si>
    <t xml:space="preserve">SRC_ANT_088</t>
  </si>
  <si>
    <t xml:space="preserve">price_haiku45_out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</si>
  <si>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</si>
  <si>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SRC_ANT_089</t>
  </si>
  <si>
    <t xml:space="preserve">price_opus45_in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</si>
  <si>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</si>
  <si>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2025-11-24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</si>
  <si>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</si>
  <si>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</si>
  <si>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；較 </t>
    </r>
    <r>
      <rPr>
        <sz val="10"/>
        <color rgb="FF000000"/>
        <rFont val="Arial"/>
        <family val="0"/>
        <charset val="1"/>
      </rPr>
      <t xml:space="preserve">Opus 4.1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$15/$75</t>
    </r>
    <r>
      <rPr>
        <sz val="10"/>
        <color rgb="FF000000"/>
        <rFont val="Noto Sans CJK SC"/>
        <family val="2"/>
      </rPr>
      <t xml:space="preserve">）降 </t>
    </r>
    <r>
      <rPr>
        <sz val="10"/>
        <color rgb="FF000000"/>
        <rFont val="Arial"/>
        <family val="0"/>
        <charset val="1"/>
      </rPr>
      <t xml:space="preserve">67%</t>
    </r>
  </si>
  <si>
    <t xml:space="preserve">SRC_ANT_090</t>
  </si>
  <si>
    <t xml:space="preserve">price_opus45_out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</si>
  <si>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</si>
  <si>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SRC_ANT_091</t>
  </si>
  <si>
    <t xml:space="preserve">price_opus46_in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</si>
  <si>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</si>
  <si>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2026-02-05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</si>
  <si>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</si>
  <si>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</si>
  <si>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at $5/$25 per million tokens'</t>
    </r>
  </si>
  <si>
    <t xml:space="preserve">SRC_ANT_092</t>
  </si>
  <si>
    <t xml:space="preserve">price_opus46_out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</si>
  <si>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</si>
  <si>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SRC_ANT_093</t>
  </si>
  <si>
    <t xml:space="preserve">price_sonnet46_in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</si>
  <si>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</si>
  <si>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2026-02-17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</si>
  <si>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4.6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</si>
  <si>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https://www.anthropic.com/news/claude-sonnet-4-6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</si>
  <si>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Sonnet 4.5, starting at $3/$15'</t>
    </r>
  </si>
  <si>
    <t xml:space="preserve">SRC_ANT_094</t>
  </si>
  <si>
    <t xml:space="preserve">price_sonnet46_out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</si>
  <si>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</si>
  <si>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SRC_ANT_095</t>
  </si>
  <si>
    <t xml:space="preserve">price_mythos_preview_in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</si>
  <si>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輸入（上市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</si>
  <si>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2026-04-07</t>
  </si>
  <si>
    <r>
      <rPr>
        <sz val="10"/>
        <color rgb="FF000000"/>
        <rFont val="Arial"/>
        <family val="0"/>
        <charset val="1"/>
      </rPr>
      <t xml:space="preserve">Pasquale Pillitteri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Mythos Preview is Official</t>
    </r>
    <r>
      <rPr>
        <sz val="10"/>
        <color rgb="FF000000"/>
        <rFont val="Noto Sans CJK SC"/>
        <family val="2"/>
      </rPr>
      <t xml:space="preserve">〉</t>
    </r>
  </si>
  <si>
    <t xml:space="preserve">https://pasqualepillitteri.it/en/news/759/claude-mythos-preview-official-project-glasswing-12-partners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</si>
  <si>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 per million input tokens and $125 per million output tokens'</t>
    </r>
    <r>
      <rPr>
        <sz val="10"/>
        <color rgb="FF000000"/>
        <rFont val="Noto Sans CJK SC"/>
        <family val="2"/>
      </rPr>
      <t xml:space="preserve">（預覽期後；限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家夥伴）；官方頁僅稱 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'less than half'</t>
    </r>
  </si>
  <si>
    <t xml:space="preserve">SRC_ANT_096</t>
  </si>
  <si>
    <t xml:space="preserve">price_mythos_preview_out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</si>
  <si>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Preview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Project Glasswing </t>
    </r>
    <r>
      <rPr>
        <sz val="10"/>
        <color rgb="FF000000"/>
        <rFont val="Noto Sans CJK SC"/>
        <family val="2"/>
      </rPr>
      <t xml:space="preserve">夥伴） 輸出（上市 </t>
    </r>
    <r>
      <rPr>
        <sz val="10"/>
        <color rgb="FF000000"/>
        <rFont val="Arial"/>
        <family val="0"/>
        <charset val="1"/>
      </rPr>
      <t xml:space="preserve">2026-04-07</t>
    </r>
    <r>
      <rPr>
        <sz val="10"/>
        <color rgb="FF000000"/>
        <rFont val="Noto Sans CJK SC"/>
        <family val="2"/>
      </rPr>
      <t xml:space="preserve">）</t>
    </r>
  </si>
  <si>
    <t xml:space="preserve">SRC_ANT_097</t>
  </si>
  <si>
    <t xml:space="preserve">price_opus47_in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</si>
  <si>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</si>
  <si>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2026-04-16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</si>
  <si>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4.7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</si>
  <si>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</si>
  <si>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remains the same as Opus 4.6'</t>
    </r>
    <r>
      <rPr>
        <sz val="10"/>
        <color rgb="FF000000"/>
        <rFont val="Noto Sans CJK SC"/>
        <family val="2"/>
      </rPr>
      <t xml:space="preserve">；新 </t>
    </r>
    <r>
      <rPr>
        <sz val="10"/>
        <color rgb="FF000000"/>
        <rFont val="Arial"/>
        <family val="0"/>
        <charset val="1"/>
      </rPr>
      <t xml:space="preserve">tokenizer </t>
    </r>
    <r>
      <rPr>
        <sz val="10"/>
        <color rgb="FF000000"/>
        <rFont val="Noto Sans CJK SC"/>
        <family val="2"/>
      </rPr>
      <t xml:space="preserve">同輸入約 </t>
    </r>
    <r>
      <rPr>
        <sz val="10"/>
        <color rgb="FF000000"/>
        <rFont val="Arial"/>
        <family val="0"/>
        <charset val="1"/>
      </rPr>
      <t xml:space="preserve">1.0–1.35× token</t>
    </r>
  </si>
  <si>
    <t xml:space="preserve">SRC_ANT_098</t>
  </si>
  <si>
    <t xml:space="preserve">price_opus47_out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</si>
  <si>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</si>
  <si>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SRC_ANT_099</t>
  </si>
  <si>
    <t xml:space="preserve">price_opus48_in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</si>
  <si>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</si>
  <si>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4.8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</si>
  <si>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https://www.anthropic.com/news/claude-opus-4-8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</si>
  <si>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'unchanged from Opus 4.7: $5 per million input tokens and $25'</t>
    </r>
  </si>
  <si>
    <t xml:space="preserve">SRC_ANT_100</t>
  </si>
  <si>
    <t xml:space="preserve">price_opus48_out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</si>
  <si>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</si>
  <si>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SRC_ANT_101</t>
  </si>
  <si>
    <t xml:space="preserve">price_fable5_in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</si>
  <si>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</si>
  <si>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2026-06-09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</si>
  <si>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 5 and Mythos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</si>
  <si>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https://www.anthropic.com/news/claude-fable-5-mythos-5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</si>
  <si>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 per million output tokens'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2026-06-12 </t>
    </r>
    <r>
      <rPr>
        <sz val="10"/>
        <color rgb="FF000000"/>
        <rFont val="Noto Sans CJK SC"/>
        <family val="2"/>
      </rPr>
      <t xml:space="preserve">暫停、</t>
    </r>
    <r>
      <rPr>
        <sz val="10"/>
        <color rgb="FF000000"/>
        <rFont val="Arial"/>
        <family val="0"/>
        <charset val="1"/>
      </rPr>
      <t xml:space="preserve">07-01 </t>
    </r>
    <r>
      <rPr>
        <sz val="10"/>
        <color rgb="FF000000"/>
        <rFont val="Noto Sans CJK SC"/>
        <family val="2"/>
      </rPr>
      <t xml:space="preserve">恢復</t>
    </r>
  </si>
  <si>
    <t xml:space="preserve">SRC_ANT_102</t>
  </si>
  <si>
    <t xml:space="preserve">price_fable5_out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</si>
  <si>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</si>
  <si>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SRC_ANT_103</t>
  </si>
  <si>
    <t xml:space="preserve">price_mythos5_in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</si>
  <si>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</si>
  <si>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both models is $10…and $50'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'less than half the price of Claude Mythos Preview'</t>
    </r>
  </si>
  <si>
    <t xml:space="preserve">SRC_ANT_104</t>
  </si>
  <si>
    <t xml:space="preserve">price_mythos5_out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</si>
  <si>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Mythos 5</t>
    </r>
    <r>
      <rPr>
        <sz val="10"/>
        <color rgb="FF000000"/>
        <rFont val="Noto Sans CJK SC"/>
        <family val="2"/>
      </rPr>
      <t xml:space="preserve">（限 </t>
    </r>
    <r>
      <rPr>
        <sz val="10"/>
        <color rgb="FF000000"/>
        <rFont val="Arial"/>
        <family val="0"/>
        <charset val="1"/>
      </rPr>
      <t xml:space="preserve">Glasswing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2026-06-09</t>
    </r>
    <r>
      <rPr>
        <sz val="10"/>
        <color rgb="FF000000"/>
        <rFont val="Noto Sans CJK SC"/>
        <family val="2"/>
      </rPr>
      <t xml:space="preserve">）</t>
    </r>
  </si>
  <si>
    <t xml:space="preserve">SRC_ANT_105</t>
  </si>
  <si>
    <t xml:space="preserve">price_sonnet5_in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</si>
  <si>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</si>
  <si>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2026-06-30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</si>
  <si>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</si>
  <si>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https://www.anthropic.com/news/claude-sonnet-5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</si>
  <si>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 of $2…and $10…is now permanent'</t>
    </r>
    <r>
      <rPr>
        <sz val="10"/>
        <color rgb="FF000000"/>
        <rFont val="Noto Sans CJK SC"/>
        <family val="2"/>
      </rPr>
      <t xml:space="preserve">；原定 </t>
    </r>
    <r>
      <rPr>
        <sz val="10"/>
        <color rgb="FF000000"/>
        <rFont val="Arial"/>
        <family val="0"/>
        <charset val="1"/>
      </rPr>
      <t xml:space="preserve">9/1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</t>
    </r>
  </si>
  <si>
    <t xml:space="preserve">SRC_ANT_106</t>
  </si>
  <si>
    <t xml:space="preserve">price_sonnet5_out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</si>
  <si>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</si>
  <si>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SRC_ANT_107</t>
  </si>
  <si>
    <t xml:space="preserve">price_opus5_in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</si>
  <si>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</si>
  <si>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2026-07-24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</si>
  <si>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</si>
  <si>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https://www.anthropic.com/news/claude-opus-5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</si>
  <si>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'priced at $5 per million input tokens and $25 per million output tokens'</t>
    </r>
  </si>
  <si>
    <t xml:space="preserve">SRC_ANT_108</t>
  </si>
  <si>
    <t xml:space="preserve">price_opus5_out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</si>
  <si>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</si>
  <si>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SRC_ANT_109</t>
  </si>
  <si>
    <t xml:space="preserve">price_fable51_in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</si>
  <si>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</si>
  <si>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2026-09-01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</si>
  <si>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Fable</t>
    </r>
    <r>
      <rPr>
        <sz val="10"/>
        <color rgb="FF000000"/>
        <rFont val="Noto Sans CJK SC"/>
        <family val="2"/>
      </rPr>
      <t xml:space="preserve">〉產品頁</t>
    </r>
  </si>
  <si>
    <t xml:space="preserve">https://www.anthropic.com/claude/fable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</si>
  <si>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 per million input tokens and $50'</t>
    </r>
    <r>
      <rPr>
        <sz val="10"/>
        <color rgb="FF000000"/>
        <rFont val="Noto Sans CJK SC"/>
        <family val="2"/>
      </rPr>
      <t xml:space="preserve">；快取讀取 </t>
    </r>
    <r>
      <rPr>
        <sz val="10"/>
        <color rgb="FF000000"/>
        <rFont val="Arial"/>
        <family val="0"/>
        <charset val="1"/>
      </rPr>
      <t xml:space="preserve">'$0.25…75% less than Fable 5'</t>
    </r>
  </si>
  <si>
    <t xml:space="preserve">SRC_ANT_110</t>
  </si>
  <si>
    <t xml:space="preserve">price_fable51_out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</si>
  <si>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2026-09-01</t>
    </r>
    <r>
      <rPr>
        <sz val="10"/>
        <color rgb="FF000000"/>
        <rFont val="Noto Sans CJK SC"/>
        <family val="2"/>
      </rPr>
      <t xml:space="preserve">）</t>
    </r>
  </si>
  <si>
    <t xml:space="preserve">SRC_ANT_111</t>
  </si>
  <si>
    <t xml:space="preserve">price_opus55_in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</si>
  <si>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</si>
  <si>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2026-09-22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</si>
  <si>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Opus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</si>
  <si>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https://www.anthropic.com/claude-opus-5-5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</si>
  <si>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'Input and output tokens are $4 and $20 per million, 20% less than Opus 5'</t>
    </r>
  </si>
  <si>
    <t xml:space="preserve">SRC_ANT_112</t>
  </si>
  <si>
    <t xml:space="preserve">price_opus55_out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</si>
  <si>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</si>
  <si>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SRC_ANT_113</t>
  </si>
  <si>
    <t xml:space="preserve">price_sonnet55_in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</si>
  <si>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</si>
  <si>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2026-09-28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</si>
  <si>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</si>
  <si>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https://www.anthropic.com/claude-sonnet-5-5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</si>
  <si>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 per million input tokens, $10 per million output tokens'</t>
    </r>
  </si>
  <si>
    <t xml:space="preserve">SRC_ANT_114</t>
  </si>
  <si>
    <t xml:space="preserve">price_sonnet55_out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</si>
  <si>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</si>
  <si>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SRC_ANT_115</t>
  </si>
  <si>
    <t xml:space="preserve">price_haiku55_in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</si>
  <si>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</si>
  <si>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2026-10-07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</si>
  <si>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</si>
  <si>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https://www.anthropic.com/claude-haiku-5-5</t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</si>
  <si>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output '$0.50 / $2.50'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）；較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90%</t>
    </r>
  </si>
  <si>
    <t xml:space="preserve">SRC_ANT_116</t>
  </si>
  <si>
    <t xml:space="preserve">price_haiku55_out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</si>
  <si>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</si>
  <si>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SRC_ANT_117</t>
  </si>
  <si>
    <t xml:space="preserve">price_opus46_longctx_in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</si>
  <si>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</si>
  <si>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'prompts exceeding 200k tokens ($10/$37.50 per million input/output tokens)'</t>
    </r>
    <r>
      <rPr>
        <sz val="10"/>
        <color rgb="FF000000"/>
        <rFont val="Noto Sans CJK SC"/>
        <family val="2"/>
      </rPr>
      <t xml:space="preserve">；即輸入 </t>
    </r>
    <r>
      <rPr>
        <sz val="10"/>
        <color rgb="FF000000"/>
        <rFont val="Arial"/>
        <family val="0"/>
        <charset val="1"/>
      </rPr>
      <t xml:space="preserve">2×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1.5×</t>
    </r>
  </si>
  <si>
    <t xml:space="preserve">SRC_ANT_118</t>
  </si>
  <si>
    <t xml:space="preserve">price_opus46_longctx_out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</si>
  <si>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長上下文（</t>
    </r>
    <r>
      <rPr>
        <sz val="10"/>
        <color rgb="FF000000"/>
        <rFont val="Arial"/>
        <family val="0"/>
        <charset val="1"/>
      </rPr>
      <t xml:space="preserve">&gt;200k</t>
    </r>
    <r>
      <rPr>
        <sz val="10"/>
        <color rgb="FF000000"/>
        <rFont val="Noto Sans CJK SC"/>
        <family val="2"/>
      </rPr>
      <t xml:space="preserve">）輸出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</si>
  <si>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'$10/$37.50 per million input/output tokens'</t>
    </r>
    <r>
      <rPr>
        <sz val="10"/>
        <color rgb="FF000000"/>
        <rFont val="Noto Sans CJK SC"/>
        <family val="2"/>
      </rPr>
      <t xml:space="preserve">，僅 </t>
    </r>
    <r>
      <rPr>
        <sz val="10"/>
        <color rgb="FF000000"/>
        <rFont val="Arial"/>
        <family val="0"/>
        <charset val="1"/>
      </rPr>
      <t xml:space="preserve">Claude Platform</t>
    </r>
  </si>
  <si>
    <t xml:space="preserve">SRC_ANT_119</t>
  </si>
  <si>
    <t xml:space="preserve">price_us_only_multiplier</t>
  </si>
  <si>
    <r>
      <rPr>
        <sz val="10"/>
        <color rgb="FF000000"/>
        <rFont val="Noto Sans CJK SC"/>
        <family val="2"/>
      </rPr>
      <t xml:space="preserve">美國境內推論（</t>
    </r>
    <r>
      <rPr>
        <sz val="10"/>
        <color rgb="FF000000"/>
        <rFont val="Arial"/>
        <family val="0"/>
        <charset val="1"/>
      </rPr>
      <t xml:space="preserve">US-only inference</t>
    </r>
    <r>
      <rPr>
        <sz val="10"/>
        <color rgb="FF000000"/>
        <rFont val="Noto Sans CJK SC"/>
        <family val="2"/>
      </rPr>
      <t xml:space="preserve">）加價倍數</t>
    </r>
  </si>
  <si>
    <t xml:space="preserve">倍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</si>
  <si>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US-only inference priced at '1.1×' token pricing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頁亦同</t>
    </r>
  </si>
  <si>
    <t xml:space="preserve">SRC_ANT_120</t>
  </si>
  <si>
    <t xml:space="preserve">price_opus48_fast_in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</si>
  <si>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</si>
  <si>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for fast mode is $10 per million input tokens and $50'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2× </t>
    </r>
    <r>
      <rPr>
        <sz val="10"/>
        <color rgb="FF000000"/>
        <rFont val="Noto Sans CJK SC"/>
        <family val="2"/>
      </rPr>
      <t xml:space="preserve">標準價）</t>
    </r>
  </si>
  <si>
    <t xml:space="preserve">SRC_ANT_121</t>
  </si>
  <si>
    <t xml:space="preserve">price_opus48_fast_out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</si>
  <si>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4.8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</si>
  <si>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'…and $50 per million output tokens'</t>
    </r>
  </si>
  <si>
    <t xml:space="preserve">SRC_ANT_122</t>
  </si>
  <si>
    <t xml:space="preserve">price_opus5_fast_multiplier</t>
  </si>
  <si>
    <r>
      <rPr>
        <sz val="10"/>
        <color rgb="FF000000"/>
        <rFont val="Arial"/>
        <family val="0"/>
        <charset val="1"/>
      </rPr>
      <t xml:space="preserve">Opus 5 fast mode </t>
    </r>
    <r>
      <rPr>
        <sz val="10"/>
        <color rgb="FF000000"/>
        <rFont val="Noto Sans CJK SC"/>
        <family val="2"/>
      </rPr>
      <t xml:space="preserve">加價倍數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</si>
  <si>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'fast mode is available at twice Opus 5's base price'</t>
    </r>
  </si>
  <si>
    <t xml:space="preserve">SRC_ANT_123</t>
  </si>
  <si>
    <t xml:space="preserve">price_opus55_fast_in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</si>
  <si>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</si>
  <si>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costs $8 per million input tokens and $40 per million output tokens'</t>
    </r>
  </si>
  <si>
    <t xml:space="preserve">SRC_ANT_124</t>
  </si>
  <si>
    <t xml:space="preserve">price_opus55_fast_out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</si>
  <si>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fast mode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</si>
  <si>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'$40 per million output tokens'</t>
    </r>
  </si>
  <si>
    <t xml:space="preserve">SRC_ANT_125</t>
  </si>
  <si>
    <t xml:space="preserve">price_opus55_cache_read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</si>
  <si>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</si>
  <si>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reads…are $0.20 per million tokens'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=0.05× </t>
    </r>
    <r>
      <rPr>
        <sz val="10"/>
        <color rgb="FF000000"/>
        <rFont val="Noto Sans CJK SC"/>
        <family val="2"/>
      </rPr>
      <t xml:space="preserve">輸入，低於舊 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慣例）</t>
    </r>
  </si>
  <si>
    <t xml:space="preserve">SRC_ANT_126</t>
  </si>
  <si>
    <t xml:space="preserve">price_fable51_cache_read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</si>
  <si>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</si>
  <si>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$0.25 per million tokens, 75% less than Fable 5'</t>
    </r>
  </si>
  <si>
    <t xml:space="preserve">SRC_ANT_127</t>
  </si>
  <si>
    <t xml:space="preserve">price_sonnet55_cache_read_launch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</si>
  <si>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快取讀取（上市時）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</si>
  <si>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'$0.20 per million tokens for cache reads'</t>
    </r>
  </si>
  <si>
    <t xml:space="preserve">SRC_ANT_128</t>
  </si>
  <si>
    <t xml:space="preserve">price_sonnet55_cache_read_cut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</si>
  <si>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快取讀取（</t>
    </r>
    <r>
      <rPr>
        <sz val="10"/>
        <color rgb="FF000000"/>
        <rFont val="Arial"/>
        <family val="0"/>
        <charset val="1"/>
      </rPr>
      <t xml:space="preserve">2026-10-07 </t>
    </r>
    <r>
      <rPr>
        <sz val="10"/>
        <color rgb="FF000000"/>
        <rFont val="Noto Sans CJK SC"/>
        <family val="2"/>
      </rPr>
      <t xml:space="preserve">降價後）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</si>
  <si>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'Cache reads now cost 50% less: $0.10 per million tokens rather than $0.20'</t>
    </r>
    <r>
      <rPr>
        <sz val="10"/>
        <color rgb="FF000000"/>
        <rFont val="Noto Sans CJK SC"/>
        <family val="2"/>
      </rPr>
      <t xml:space="preserve">（指 </t>
    </r>
    <r>
      <rPr>
        <sz val="10"/>
        <color rgb="FF000000"/>
        <rFont val="Arial"/>
        <family val="0"/>
        <charset val="1"/>
      </rPr>
      <t xml:space="preserve">Sonnet 5.5</t>
    </r>
    <r>
      <rPr>
        <sz val="10"/>
        <color rgb="FF000000"/>
        <rFont val="Noto Sans CJK SC"/>
        <family val="2"/>
      </rPr>
      <t xml:space="preserve">）</t>
    </r>
  </si>
  <si>
    <t xml:space="preserve">SRC_ANT_129</t>
  </si>
  <si>
    <t xml:space="preserve">price_sonnet55_cache_write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</si>
  <si>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</si>
  <si>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Haiku 5.5</t>
    </r>
    <r>
      <rPr>
        <sz val="10"/>
        <color rgb="FF000000"/>
        <rFont val="Noto Sans CJK SC"/>
        <family val="2"/>
      </rPr>
      <t xml:space="preserve">〉價格表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</si>
  <si>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Sonnet 5.5 cache writes '$2.50'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 </t>
    </r>
    <r>
      <rPr>
        <sz val="10"/>
        <color rgb="FF000000"/>
        <rFont val="Noto Sans CJK SC"/>
        <family val="2"/>
      </rPr>
      <t xml:space="preserve">輸入）</t>
    </r>
  </si>
  <si>
    <t xml:space="preserve">SRC_ANT_130</t>
  </si>
  <si>
    <t xml:space="preserve">price_haiku55_longctx_in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</si>
  <si>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輸入（提示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</si>
  <si>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input '$0.10 / $0.50'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5×</t>
    </r>
    <r>
      <rPr>
        <sz val="10"/>
        <color rgb="FF000000"/>
        <rFont val="Noto Sans CJK SC"/>
        <family val="2"/>
      </rPr>
      <t xml:space="preserve">）</t>
    </r>
  </si>
  <si>
    <t xml:space="preserve">SRC_ANT_131</t>
  </si>
  <si>
    <t xml:space="preserve">price_haiku55_longctx_out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</si>
  <si>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輸出（提示 </t>
    </r>
    <r>
      <rPr>
        <sz val="10"/>
        <color rgb="FF000000"/>
        <rFont val="Arial"/>
        <family val="0"/>
        <charset val="1"/>
      </rPr>
      <t xml:space="preserve">&gt;100k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</si>
  <si>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output '$0.50 / $2.50'</t>
    </r>
  </si>
  <si>
    <t xml:space="preserve">SRC_ANT_132</t>
  </si>
  <si>
    <t xml:space="preserve">price_haiku55_cache_read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</si>
  <si>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快取讀取（≤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</si>
  <si>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價格表：</t>
    </r>
    <r>
      <rPr>
        <sz val="10"/>
        <color rgb="FF000000"/>
        <rFont val="Arial"/>
        <family val="0"/>
        <charset val="1"/>
      </rPr>
      <t xml:space="preserve">cache reads '$0.01 / $0.05'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writes '$0.125 / $0.625'</t>
    </r>
  </si>
  <si>
    <t xml:space="preserve">SRC_ANT_133</t>
  </si>
  <si>
    <t xml:space="preserve">price_haiku45_cache_write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</si>
  <si>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快取寫入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</si>
  <si>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cache writes '$1.25'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reads '$0.10'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=1.25×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0.1× </t>
    </r>
    <r>
      <rPr>
        <sz val="10"/>
        <color rgb="FF000000"/>
        <rFont val="Noto Sans CJK SC"/>
        <family val="2"/>
      </rPr>
      <t xml:space="preserve">輸入）</t>
    </r>
  </si>
  <si>
    <t xml:space="preserve">SRC_ANT_134</t>
  </si>
  <si>
    <t xml:space="preserve">price_haiku45_cache_read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</si>
  <si>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</si>
  <si>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Noto Sans CJK SC"/>
        <family val="2"/>
      </rPr>
      <t xml:space="preserve">價格表 </t>
    </r>
    <r>
      <rPr>
        <sz val="10"/>
        <color rgb="FF000000"/>
        <rFont val="Arial"/>
        <family val="0"/>
        <charset val="1"/>
      </rPr>
      <t xml:space="preserve">Haiku 4.5 cache reads '$0.10'</t>
    </r>
  </si>
  <si>
    <t xml:space="preserve">SRC_ANT_135</t>
  </si>
  <si>
    <t xml:space="preserve">price_cache_write_5m_mult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</si>
  <si>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</si>
  <si>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倍（相對輸入價）</t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</si>
  <si>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API Pricing: The Real Cost of Claude for Coding Agents</t>
    </r>
    <r>
      <rPr>
        <sz val="10"/>
        <color rgb="FF000000"/>
        <rFont val="Noto Sans CJK SC"/>
        <family val="2"/>
      </rPr>
      <t xml:space="preserve">〉（稱已對照 </t>
    </r>
    <r>
      <rPr>
        <sz val="10"/>
        <color rgb="FF000000"/>
        <rFont val="Arial"/>
        <family val="0"/>
        <charset val="1"/>
      </rPr>
      <t xml:space="preserve">platform.claude.com</t>
    </r>
    <r>
      <rPr>
        <sz val="10"/>
        <color rgb="FF000000"/>
        <rFont val="Noto Sans CJK SC"/>
        <family val="2"/>
      </rPr>
      <t xml:space="preserve">）</t>
    </r>
  </si>
  <si>
    <t xml:space="preserve">https://www.morphllm.com/anthropic-claude-api-pricing</t>
  </si>
  <si>
    <t xml:space="preserve">2026-04-05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</si>
  <si>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5-minute cache write '1.25x base input'</t>
    </r>
    <r>
      <rPr>
        <sz val="10"/>
        <color rgb="FF000000"/>
        <rFont val="Noto Sans CJK SC"/>
        <family val="2"/>
      </rPr>
      <t xml:space="preserve">；官方定價頁本次無法開啟</t>
    </r>
  </si>
  <si>
    <t xml:space="preserve">SRC_ANT_136</t>
  </si>
  <si>
    <t xml:space="preserve">price_cache_write_1h_mult</t>
  </si>
  <si>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</si>
  <si>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Morph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</si>
  <si>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1-hour cache write '2x base input'</t>
    </r>
  </si>
  <si>
    <t xml:space="preserve">SRC_ANT_137</t>
  </si>
  <si>
    <t xml:space="preserve">price_cache_read_mult</t>
  </si>
  <si>
    <t xml:space="preserve">快取讀取倍數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</si>
  <si>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Cache read '0.1x base input'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5.5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5.5 </t>
    </r>
    <r>
      <rPr>
        <sz val="10"/>
        <color rgb="FF000000"/>
        <rFont val="Noto Sans CJK SC"/>
        <family val="2"/>
      </rPr>
      <t xml:space="preserve">降至 </t>
    </r>
    <r>
      <rPr>
        <sz val="10"/>
        <color rgb="FF000000"/>
        <rFont val="Arial"/>
        <family val="0"/>
        <charset val="1"/>
      </rPr>
      <t xml:space="preserve">0.05×</t>
    </r>
  </si>
  <si>
    <t xml:space="preserve">SRC_ANT_138</t>
  </si>
  <si>
    <t xml:space="preserve">price_batch_discount</t>
  </si>
  <si>
    <r>
      <rPr>
        <sz val="10"/>
        <color rgb="FF000000"/>
        <rFont val="Arial"/>
        <family val="0"/>
        <charset val="1"/>
      </rPr>
      <t xml:space="preserve">Batch API </t>
    </r>
    <r>
      <rPr>
        <sz val="10"/>
        <color rgb="FF000000"/>
        <rFont val="Noto Sans CJK SC"/>
        <family val="2"/>
      </rPr>
      <t xml:space="preserve">折扣</t>
    </r>
  </si>
  <si>
    <t xml:space="preserve">比例（折扣）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</si>
  <si>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'50% off standard'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'half price on both input and output tokens'</t>
    </r>
  </si>
  <si>
    <t xml:space="preserve">SRC_ANT_139</t>
  </si>
  <si>
    <t xml:space="preserve">price_batch_discount_b</t>
  </si>
  <si>
    <r>
      <rPr>
        <sz val="10"/>
        <color rgb="FF000000"/>
        <rFont val="Arial"/>
        <family val="0"/>
        <charset val="1"/>
      </rPr>
      <t xml:space="preserve">Finout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Pricing in 2026</t>
    </r>
    <r>
      <rPr>
        <sz val="10"/>
        <color rgb="FF000000"/>
        <rFont val="Noto Sans CJK SC"/>
        <family val="2"/>
      </rPr>
      <t xml:space="preserve">〉</t>
    </r>
  </si>
  <si>
    <t xml:space="preserve">https://finout.io/blog/claude-pricing-in-2026-for-individuals-organizations-and-developers</t>
  </si>
  <si>
    <t xml:space="preserve">2026-06-01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</si>
  <si>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'Batch processing = 50% off all token rates'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 '5-min = 1.25×…1-hr = 2×'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hits '0.10×'</t>
    </r>
  </si>
  <si>
    <t xml:space="preserve">SRC_ANT_140</t>
  </si>
  <si>
    <t xml:space="preserve">price_1m_context_no_surcharge</t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</si>
  <si>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Sonnet 4.6 1M </t>
    </r>
    <r>
      <rPr>
        <sz val="10"/>
        <color rgb="FF000000"/>
        <rFont val="Noto Sans CJK SC"/>
        <family val="2"/>
      </rPr>
      <t xml:space="preserve">上下文 </t>
    </r>
    <r>
      <rPr>
        <sz val="10"/>
        <color rgb="FF000000"/>
        <rFont val="Arial"/>
        <family val="0"/>
        <charset val="1"/>
      </rPr>
      <t xml:space="preserve">GA </t>
    </r>
    <r>
      <rPr>
        <sz val="10"/>
        <color rgb="FF000000"/>
        <rFont val="Noto Sans CJK SC"/>
        <family val="2"/>
      </rPr>
      <t xml:space="preserve">後加價</t>
    </r>
  </si>
  <si>
    <t xml:space="preserve">加價比例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</si>
  <si>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1M context GA 'at standard pricing, no surcharge'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Opus 4.6 </t>
    </r>
    <r>
      <rPr>
        <sz val="10"/>
        <color rgb="FF000000"/>
        <rFont val="Noto Sans CJK SC"/>
        <family val="2"/>
      </rPr>
      <t xml:space="preserve">上市頁 </t>
    </r>
    <r>
      <rPr>
        <sz val="10"/>
        <color rgb="FF000000"/>
        <rFont val="Arial"/>
        <family val="0"/>
        <charset val="1"/>
      </rPr>
      <t xml:space="preserve">&gt;200k </t>
    </r>
    <r>
      <rPr>
        <sz val="10"/>
        <color rgb="FF000000"/>
        <rFont val="Noto Sans CJK SC"/>
        <family val="2"/>
      </rPr>
      <t xml:space="preserve">加價（</t>
    </r>
    <r>
      <rPr>
        <sz val="10"/>
        <color rgb="FF000000"/>
        <rFont val="Arial"/>
        <family val="0"/>
        <charset val="1"/>
      </rPr>
      <t xml:space="preserve">$10/$37.50</t>
    </r>
    <r>
      <rPr>
        <sz val="10"/>
        <color rgb="FF000000"/>
        <rFont val="Noto Sans CJK SC"/>
        <family val="2"/>
      </rPr>
      <t xml:space="preserve">）矛盾，推測其後取消</t>
    </r>
  </si>
  <si>
    <t xml:space="preserve">SRC_ANT_141</t>
  </si>
  <si>
    <t xml:space="preserve">plan_pro_monthly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</si>
  <si>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</si>
  <si>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</si>
  <si>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</si>
  <si>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AI Pricing: Pro &amp; Max Subscription Plans</t>
    </r>
    <r>
      <rPr>
        <sz val="10"/>
        <color rgb="FF000000"/>
        <rFont val="Noto Sans CJK SC"/>
        <family val="2"/>
      </rPr>
      <t xml:space="preserve">〉</t>
    </r>
  </si>
  <si>
    <t xml:space="preserve">https://suprmind.ai/hub/claude/pricing/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</si>
  <si>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（牌價經第三方轉述；官方定價頁本次無法開啟）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</si>
  <si>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'Pro is $20/month, or $17/month billed annually ($200 up front)'</t>
    </r>
  </si>
  <si>
    <t xml:space="preserve">SRC_ANT_142</t>
  </si>
  <si>
    <t xml:space="preserve">plan_pro_annual</t>
  </si>
  <si>
    <r>
      <rPr>
        <sz val="10"/>
        <color rgb="FF000000"/>
        <rFont val="Arial"/>
        <family val="0"/>
        <charset val="1"/>
      </rPr>
      <t xml:space="preserve">Claude Pro </t>
    </r>
    <r>
      <rPr>
        <sz val="10"/>
        <color rgb="FF000000"/>
        <rFont val="Noto Sans CJK SC"/>
        <family val="2"/>
      </rPr>
      <t xml:space="preserve">年付（月均）</t>
    </r>
  </si>
  <si>
    <r>
      <rPr>
        <sz val="10"/>
        <color rgb="FF000000"/>
        <rFont val="Arial"/>
        <family val="0"/>
        <charset val="1"/>
      </rPr>
      <t xml:space="preserve">Suprmind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</si>
  <si>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'$17/month billed annually ($200 up front)'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VantagePoint 2026-08 </t>
    </r>
    <r>
      <rPr>
        <sz val="10"/>
        <color rgb="FF000000"/>
        <rFont val="Noto Sans CJK SC"/>
        <family val="2"/>
      </rPr>
      <t xml:space="preserve">亦同</t>
    </r>
  </si>
  <si>
    <t xml:space="preserve">SRC_ANT_143</t>
  </si>
  <si>
    <t xml:space="preserve">plan_max5x</t>
  </si>
  <si>
    <r>
      <rPr>
        <sz val="10"/>
        <color rgb="FF000000"/>
        <rFont val="Arial"/>
        <family val="0"/>
        <charset val="1"/>
      </rPr>
      <t xml:space="preserve">Claude Max 5x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</si>
  <si>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5x jumps to $100/month'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僅月付</t>
    </r>
  </si>
  <si>
    <t xml:space="preserve">SRC_ANT_144</t>
  </si>
  <si>
    <t xml:space="preserve">plan_max20x</t>
  </si>
  <si>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月付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</si>
  <si>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'Max 20x costs $200/month'</t>
    </r>
  </si>
  <si>
    <t xml:space="preserve">SRC_ANT_145</t>
  </si>
  <si>
    <t xml:space="preserve">plan_max_launch</t>
  </si>
  <si>
    <r>
      <rPr>
        <sz val="10"/>
        <color rgb="FF000000"/>
        <rFont val="Arial"/>
        <family val="0"/>
        <charset val="1"/>
      </rPr>
      <t xml:space="preserve">Claude Max </t>
    </r>
    <r>
      <rPr>
        <sz val="10"/>
        <color rgb="FF000000"/>
        <rFont val="Noto Sans CJK SC"/>
        <family val="2"/>
      </rPr>
      <t xml:space="preserve">方案上市（</t>
    </r>
    <r>
      <rPr>
        <sz val="10"/>
        <color rgb="FF000000"/>
        <rFont val="Arial"/>
        <family val="0"/>
        <charset val="1"/>
      </rPr>
      <t xml:space="preserve">5x 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20x $200</t>
    </r>
    <r>
      <rPr>
        <sz val="10"/>
        <color rgb="FF000000"/>
        <rFont val="Noto Sans CJK SC"/>
        <family val="2"/>
      </rPr>
      <t xml:space="preserve">）</t>
    </r>
  </si>
  <si>
    <t xml:space="preserve">2025-04</t>
  </si>
  <si>
    <r>
      <rPr>
        <sz val="10"/>
        <color rgb="FF000000"/>
        <rFont val="Arial"/>
        <family val="0"/>
        <charset val="1"/>
      </rPr>
      <t xml:space="preserve">GIGAZINE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launches Claude Max plan</t>
    </r>
    <r>
      <rPr>
        <sz val="10"/>
        <color rgb="FF000000"/>
        <rFont val="Noto Sans CJK SC"/>
        <family val="2"/>
      </rPr>
      <t xml:space="preserve">〉</t>
    </r>
  </si>
  <si>
    <t xml:space="preserve">https://gigazine.net/gsc_news/en/20250410-anthropic-claude-max-plan</t>
  </si>
  <si>
    <t xml:space="preserve">2025-04-10</t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</si>
  <si>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'5x the usage caps of Pro for $100/month and 20x the caps for $200/month'</t>
    </r>
  </si>
  <si>
    <t xml:space="preserve">SRC_ANT_146</t>
  </si>
  <si>
    <t xml:space="preserve">plan_team_standard_annual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</si>
  <si>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</si>
  <si>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</si>
  <si>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t xml:space="preserve">2026-10</t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</si>
  <si>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Pricing: Standard vs Premium Seats (2026)</t>
    </r>
    <r>
      <rPr>
        <sz val="10"/>
        <color rgb="FF000000"/>
        <rFont val="Noto Sans CJK SC"/>
        <family val="2"/>
      </rPr>
      <t xml:space="preserve">〉</t>
    </r>
  </si>
  <si>
    <t xml:space="preserve">https://tygartmedia.com/claude-team-pricing-2026-standard-premium-seats/</t>
  </si>
  <si>
    <t xml:space="preserve">2026-10-05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</si>
  <si>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'$25…on monthly billing, or $20…on annual billing'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</t>
    </r>
  </si>
  <si>
    <t xml:space="preserve">SRC_ANT_147</t>
  </si>
  <si>
    <t xml:space="preserve">plan_team_standard_monthly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</si>
  <si>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標準席位（月付）</t>
    </r>
  </si>
  <si>
    <r>
      <rPr>
        <sz val="10"/>
        <color rgb="FF000000"/>
        <rFont val="Arial"/>
        <family val="0"/>
        <charset val="1"/>
      </rPr>
      <t xml:space="preserve">Tygart Media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</si>
  <si>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'Standard seats cost $25 per seat per month on monthly billing'</t>
    </r>
  </si>
  <si>
    <t xml:space="preserve">SRC_ANT_148</t>
  </si>
  <si>
    <t xml:space="preserve">plan_team_premium_annual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</si>
  <si>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席位（年付，月均）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</si>
  <si>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'$125…monthly billing, or $100…annual billing'</t>
    </r>
  </si>
  <si>
    <t xml:space="preserve">SRC_ANT_149</t>
  </si>
  <si>
    <t xml:space="preserve">plan_team_premium_monthly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</si>
  <si>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席位（月付）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</si>
  <si>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'Premium seats cost $125 per seat per month on monthly billing'</t>
    </r>
  </si>
  <si>
    <t xml:space="preserve">SRC_ANT_150</t>
  </si>
  <si>
    <t xml:space="preserve">plan_team_standard_annual_b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</si>
  <si>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標準席位（年付，月均）— 舊報導值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</si>
  <si>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'$25/user/mo (annual)' or '$30/mo billed monthly'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Premium '$150/user/mo'</t>
    </r>
    <r>
      <rPr>
        <sz val="10"/>
        <color rgb="FF000000"/>
        <rFont val="Noto Sans CJK SC"/>
        <family val="2"/>
      </rPr>
      <t xml:space="preserve">；最少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人。與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$20/$25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$100/$125 </t>
    </r>
    <r>
      <rPr>
        <sz val="10"/>
        <color rgb="FF000000"/>
        <rFont val="Noto Sans CJK SC"/>
        <family val="2"/>
      </rPr>
      <t xml:space="preserve">矛盾，推測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年中調降</t>
    </r>
  </si>
  <si>
    <t xml:space="preserve">SRC_ANT_151</t>
  </si>
  <si>
    <t xml:space="preserve">plan_team_min_seats_change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</si>
  <si>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最低席位數（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起）</t>
    </r>
  </si>
  <si>
    <t xml:space="preserve">席</t>
  </si>
  <si>
    <r>
      <rPr>
        <sz val="10"/>
        <color rgb="FF000000"/>
        <rFont val="Arial"/>
        <family val="0"/>
        <charset val="1"/>
      </rPr>
      <t xml:space="preserve">Justin McKelvey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Team Plan (2026)</t>
    </r>
    <r>
      <rPr>
        <sz val="10"/>
        <color rgb="FF000000"/>
        <rFont val="Noto Sans CJK SC"/>
        <family val="2"/>
      </rPr>
      <t xml:space="preserve">〉</t>
    </r>
  </si>
  <si>
    <t xml:space="preserve">https://justinmckelvey.com/blog/claude-team-plan</t>
  </si>
  <si>
    <r>
      <rPr>
        <sz val="10"/>
        <color rgb="FF000000"/>
        <rFont val="Noto Sans CJK SC"/>
        <family val="2"/>
      </rPr>
      <t xml:space="preserve">原文：原 </t>
    </r>
    <r>
      <rPr>
        <sz val="10"/>
        <color rgb="FF000000"/>
        <rFont val="Arial"/>
        <family val="0"/>
        <charset val="1"/>
      </rPr>
      <t xml:space="preserve">'Claude Team was $25 a seat and required five of them'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席起、標準 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年付</t>
    </r>
  </si>
  <si>
    <t xml:space="preserve">SRC_ANT_152</t>
  </si>
  <si>
    <t xml:space="preserve">plan_enterprise_seat_2026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</si>
  <si>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席位基本費（另按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牌價計用量）</t>
    </r>
  </si>
  <si>
    <r>
      <rPr>
        <sz val="10"/>
        <color rgb="FF000000"/>
        <rFont val="Arial"/>
        <family val="0"/>
        <charset val="1"/>
      </rPr>
      <t xml:space="preserve">The Register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ejects bundled tokens from Enterprise seats</t>
    </r>
    <r>
      <rPr>
        <sz val="10"/>
        <color rgb="FF000000"/>
        <rFont val="Noto Sans CJK SC"/>
        <family val="2"/>
      </rPr>
      <t xml:space="preserve">〉</t>
    </r>
  </si>
  <si>
    <t xml:space="preserve">https://www.theregister.com/2026/04/16/anthropic_ejects_bundled_tokens_enterprise/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</si>
  <si>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（經媒體轉述）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</si>
  <si>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 single $20-per-employee monthly fee'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'Every token gets billed at standard API rates on top'</t>
    </r>
    <r>
      <rPr>
        <sz val="10"/>
        <color rgb="FF000000"/>
        <rFont val="Noto Sans CJK SC"/>
        <family val="2"/>
      </rPr>
      <t xml:space="preserve">；自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續約起改用量制</t>
    </r>
  </si>
  <si>
    <t xml:space="preserve">SRC_ANT_153</t>
  </si>
  <si>
    <t xml:space="preserve">plan_enterprise_seat_legacy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</si>
  <si>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席位價（舊制，第三方指稱）</t>
    </r>
  </si>
  <si>
    <r>
      <rPr>
        <sz val="10"/>
        <color rgb="FF000000"/>
        <rFont val="Arial"/>
        <family val="0"/>
        <charset val="1"/>
      </rPr>
      <t xml:space="preserve">Redress Compliance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 Enterprise Licensing Guide 2026</t>
    </r>
    <r>
      <rPr>
        <sz val="10"/>
        <color rgb="FF000000"/>
        <rFont val="Noto Sans CJK SC"/>
        <family val="2"/>
      </rPr>
      <t xml:space="preserve">〉</t>
    </r>
  </si>
  <si>
    <t xml:space="preserve">https://redresscompliance.com/anthropic-claude-enterprise-licensing-guide-2026</t>
  </si>
  <si>
    <t xml:space="preserve">2025-07-07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</si>
  <si>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'Claude Enterprise…priced at $60 per user per month'</t>
    </r>
    <r>
      <rPr>
        <sz val="10"/>
        <color rgb="FF000000"/>
        <rFont val="Noto Sans CJK SC"/>
        <family val="2"/>
      </rPr>
      <t xml:space="preserve">；未引一手來源</t>
    </r>
  </si>
  <si>
    <t xml:space="preserve">SRC_ANT_154</t>
  </si>
  <si>
    <t xml:space="preserve">plan_event_2026_04_thirdparty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</si>
  <si>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不得用於第三方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工具</t>
    </r>
  </si>
  <si>
    <t xml:space="preserve">2026-04-04</t>
  </si>
  <si>
    <r>
      <rPr>
        <sz val="10"/>
        <color rgb="FF000000"/>
        <rFont val="Arial"/>
        <family val="0"/>
        <charset val="1"/>
      </rPr>
      <t xml:space="preserve">Dapta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Kills Claude's All-You-Can-Eat Pricing Plan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 2026-04-04</t>
    </r>
    <r>
      <rPr>
        <sz val="10"/>
        <color rgb="FF000000"/>
        <rFont val="Noto Sans CJK SC"/>
        <family val="2"/>
      </rPr>
      <t xml:space="preserve">）</t>
    </r>
  </si>
  <si>
    <t xml:space="preserve">https://dapta.ai/blog-posts/ai-news-week-14-anthropic-claude-pricing/</t>
  </si>
  <si>
    <t xml:space="preserve">2026-04-08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</si>
  <si>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'can no longer use their flat-rate monthly plans to power third-party agent frameworks'</t>
    </r>
    <r>
      <rPr>
        <sz val="10"/>
        <color rgb="FF000000"/>
        <rFont val="Noto Sans CJK SC"/>
        <family val="2"/>
      </rPr>
      <t xml:space="preserve">；補償一個月訂閱額度</t>
    </r>
  </si>
  <si>
    <t xml:space="preserve">SRC_ANT_155</t>
  </si>
  <si>
    <t xml:space="preserve">plan_event_2026_05_limits</t>
  </si>
  <si>
    <t xml:space="preserve">價格事件：五小時用量上限永久加倍</t>
  </si>
  <si>
    <t xml:space="preserve">2026-05-06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</si>
  <si>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'permanently doubled the five-hour session limits for Pro, Max, Team, and seat-based Enterprise'</t>
    </r>
    <r>
      <rPr>
        <sz val="10"/>
        <color rgb="FF000000"/>
        <rFont val="Noto Sans CJK SC"/>
        <family val="2"/>
      </rPr>
      <t xml:space="preserve">；週上限另於 </t>
    </r>
    <r>
      <rPr>
        <sz val="10"/>
        <color rgb="FF000000"/>
        <rFont val="Arial"/>
        <family val="0"/>
        <charset val="1"/>
      </rPr>
      <t xml:space="preserve">5/13–7/13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+50%</t>
    </r>
  </si>
  <si>
    <t xml:space="preserve">SRC_ANT_156</t>
  </si>
  <si>
    <t xml:space="preserve">plan_event_2026_06_fable_included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</si>
  <si>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Fable 5 </t>
    </r>
    <r>
      <rPr>
        <sz val="10"/>
        <color rgb="FF000000"/>
        <rFont val="Noto Sans CJK SC"/>
        <family val="2"/>
      </rPr>
      <t xml:space="preserve">於訂閱方案免費至 </t>
    </r>
    <r>
      <rPr>
        <sz val="10"/>
        <color rgb="FF000000"/>
        <rFont val="Arial"/>
        <family val="0"/>
        <charset val="1"/>
      </rPr>
      <t xml:space="preserve">6/22</t>
    </r>
    <r>
      <rPr>
        <sz val="10"/>
        <color rgb="FF000000"/>
        <rFont val="Noto Sans CJK SC"/>
        <family val="2"/>
      </rPr>
      <t xml:space="preserve">，其後需 </t>
    </r>
    <r>
      <rPr>
        <sz val="10"/>
        <color rgb="FF000000"/>
        <rFont val="Arial"/>
        <family val="0"/>
        <charset val="1"/>
      </rPr>
      <t xml:space="preserve">usage credits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</si>
  <si>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'through June 22, Fable 5 is included on Pro, Max, Team, and seat-based Enterprise plans at no extra cost'</t>
    </r>
  </si>
  <si>
    <t xml:space="preserve">SRC_ANT_157</t>
  </si>
  <si>
    <t xml:space="preserve">price_event_opus45_cut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</si>
  <si>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降價（</t>
    </r>
    <r>
      <rPr>
        <sz val="10"/>
        <color rgb="FF000000"/>
        <rFont val="Arial"/>
        <family val="0"/>
        <charset val="1"/>
      </rPr>
      <t xml:space="preserve">$15/$75 → $5/$25</t>
    </r>
    <r>
      <rPr>
        <sz val="10"/>
        <color rgb="FF000000"/>
        <rFont val="Noto Sans CJK SC"/>
        <family val="2"/>
      </rPr>
      <t xml:space="preserve">）</t>
    </r>
  </si>
  <si>
    <t xml:space="preserve">變動比例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</si>
  <si>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'Pricing is now $5/$25 per million tokens'</t>
    </r>
    <r>
      <rPr>
        <sz val="10"/>
        <color rgb="FF000000"/>
        <rFont val="Noto Sans CJK SC"/>
        <family val="2"/>
      </rPr>
      <t xml:space="preserve">；對比 </t>
    </r>
    <r>
      <rPr>
        <sz val="10"/>
        <color rgb="FF000000"/>
        <rFont val="Arial"/>
        <family val="0"/>
        <charset val="1"/>
      </rPr>
      <t xml:space="preserve">Opus 4.1 $15/$75</t>
    </r>
    <r>
      <rPr>
        <sz val="10"/>
        <color rgb="FF000000"/>
        <rFont val="Noto Sans CJK SC"/>
        <family val="2"/>
      </rPr>
      <t xml:space="preserve">，降 </t>
    </r>
    <r>
      <rPr>
        <sz val="10"/>
        <color rgb="FF000000"/>
        <rFont val="Arial"/>
        <family val="0"/>
        <charset val="1"/>
      </rPr>
      <t xml:space="preserve">67%</t>
    </r>
    <r>
      <rPr>
        <sz val="10"/>
        <color rgb="FF000000"/>
        <rFont val="Noto Sans CJK SC"/>
        <family val="2"/>
      </rPr>
      <t xml:space="preserve">（推算）</t>
    </r>
  </si>
  <si>
    <t xml:space="preserve">SRC_ANT_158</t>
  </si>
  <si>
    <t xml:space="preserve">price_event_opus55_cut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</si>
  <si>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$5/$25 → $4/$20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</si>
  <si>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'$4 and $20 per million, 20% less than Opus 5'</t>
    </r>
  </si>
  <si>
    <t xml:space="preserve">SRC_ANT_159</t>
  </si>
  <si>
    <t xml:space="preserve">price_event_haiku55_cut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</si>
  <si>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Haiku 5.5 </t>
    </r>
    <r>
      <rPr>
        <sz val="10"/>
        <color rgb="FF000000"/>
        <rFont val="Noto Sans CJK SC"/>
        <family val="2"/>
      </rPr>
      <t xml:space="preserve">較 </t>
    </r>
    <r>
      <rPr>
        <sz val="10"/>
        <color rgb="FF000000"/>
        <rFont val="Arial"/>
        <family val="0"/>
        <charset val="1"/>
      </rPr>
      <t xml:space="preserve">Haiku 4.5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90%</t>
    </r>
    <r>
      <rPr>
        <sz val="10"/>
        <color rgb="FF000000"/>
        <rFont val="Noto Sans CJK SC"/>
        <family val="2"/>
      </rPr>
      <t xml:space="preserve">（≤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</si>
  <si>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$0.10/$0.50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$1/$5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&gt;100k </t>
    </r>
    <r>
      <rPr>
        <sz val="10"/>
        <color rgb="FF000000"/>
        <rFont val="Noto Sans CJK SC"/>
        <family val="2"/>
      </rPr>
      <t xml:space="preserve">降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；平均每任務約 </t>
    </r>
    <r>
      <rPr>
        <sz val="10"/>
        <color rgb="FF000000"/>
        <rFont val="Arial"/>
        <family val="0"/>
        <charset val="1"/>
      </rPr>
      <t xml:space="preserve">-75%</t>
    </r>
  </si>
  <si>
    <t xml:space="preserve">SRC_ANT_160</t>
  </si>
  <si>
    <t xml:space="preserve">price_event_sonnet5_permanent</t>
  </si>
  <si>
    <r>
      <rPr>
        <sz val="10"/>
        <color rgb="FF000000"/>
        <rFont val="Noto Sans CJK SC"/>
        <family val="2"/>
      </rPr>
      <t xml:space="preserve">價格事件：</t>
    </r>
    <r>
      <rPr>
        <sz val="10"/>
        <color rgb="FF000000"/>
        <rFont val="Arial"/>
        <family val="0"/>
        <charset val="1"/>
      </rPr>
      <t xml:space="preserve">Sonnet 5 </t>
    </r>
    <r>
      <rPr>
        <sz val="10"/>
        <color rgb="FF000000"/>
        <rFont val="Noto Sans CJK SC"/>
        <family val="2"/>
      </rPr>
      <t xml:space="preserve">促銷價轉為永久（</t>
    </r>
    <r>
      <rPr>
        <sz val="10"/>
        <color rgb="FF000000"/>
        <rFont val="Arial"/>
        <family val="0"/>
        <charset val="1"/>
      </rPr>
      <t xml:space="preserve">$3/$15 </t>
    </r>
    <r>
      <rPr>
        <sz val="10"/>
        <color rgb="FF000000"/>
        <rFont val="Noto Sans CJK SC"/>
        <family val="2"/>
      </rPr>
      <t xml:space="preserve">取消）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</si>
  <si>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Introducing Claude Sonnet 5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2026-08-10 </t>
    </r>
    <r>
      <rPr>
        <sz val="10"/>
        <color rgb="FF000000"/>
        <rFont val="Noto Sans CJK SC"/>
        <family val="2"/>
      </rPr>
      <t xml:space="preserve">更新）</t>
    </r>
  </si>
  <si>
    <t xml:space="preserve">2026-08-10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</si>
  <si>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'introductory pricing…is now permanent'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'$3 input / $15 output…no longer applies'</t>
    </r>
  </si>
  <si>
    <t xml:space="preserve">SRC_ANT_161</t>
  </si>
  <si>
    <t xml:space="preserve">users_business_customers_2025_08</t>
  </si>
  <si>
    <t xml:space="preserve">C</t>
  </si>
  <si>
    <t xml:space="preserve">企業（商業）客戶數</t>
  </si>
  <si>
    <t xml:space="preserve">家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</si>
  <si>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'Anthropic now serves over 300,000 business customers'</t>
    </r>
    <r>
      <rPr>
        <sz val="10"/>
        <color rgb="FF000000"/>
        <rFont val="Noto Sans CJK SC"/>
        <family val="2"/>
      </rPr>
      <t xml:space="preserve">（下限）</t>
    </r>
  </si>
  <si>
    <t xml:space="preserve">SRC_ANT_162</t>
  </si>
  <si>
    <t xml:space="preserve">users_business_customers_2025_10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</si>
  <si>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獨家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</si>
  <si>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300,000 business and enterprise customers'</t>
    </r>
  </si>
  <si>
    <t xml:space="preserve">SRC_ANT_163</t>
  </si>
  <si>
    <t xml:space="preserve">users_large_accounts_growth_2025_08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</si>
  <si>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&gt;$100k </t>
    </r>
    <r>
      <rPr>
        <sz val="10"/>
        <color rgb="FF000000"/>
        <rFont val="Noto Sans CJK SC"/>
        <family val="2"/>
      </rPr>
      <t xml:space="preserve">大客戶數年增倍數</t>
    </r>
  </si>
  <si>
    <t xml:space="preserve">倍（年增）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</si>
  <si>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large accounts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&gt;$100,000 run-rate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'has grown nearly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</si>
  <si>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SRC_ANT_164</t>
  </si>
  <si>
    <t xml:space="preserve">users_large_accounts_growth_2026_02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</si>
  <si>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customers spending over $100,000 'has grown 7x in the past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</si>
  <si>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SRC_ANT_165</t>
  </si>
  <si>
    <t xml:space="preserve">users_1m_customers_2026_02</t>
  </si>
  <si>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&gt;$1M </t>
    </r>
    <r>
      <rPr>
        <sz val="10"/>
        <color rgb="FF000000"/>
        <rFont val="Noto Sans CJK SC"/>
        <family val="2"/>
      </rPr>
      <t xml:space="preserve">客戶數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</si>
  <si>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million'</t>
    </r>
    <r>
      <rPr>
        <sz val="10"/>
        <color rgb="FF000000"/>
        <rFont val="Noto Sans CJK SC"/>
        <family val="2"/>
      </rPr>
      <t xml:space="preserve">；今日 </t>
    </r>
    <r>
      <rPr>
        <sz val="10"/>
        <color rgb="FF000000"/>
        <rFont val="Arial"/>
        <family val="0"/>
        <charset val="1"/>
      </rPr>
      <t xml:space="preserve">'exceeds 500'</t>
    </r>
  </si>
  <si>
    <t xml:space="preserve">SRC_ANT_166</t>
  </si>
  <si>
    <t xml:space="preserve">users_1m_customers_2024_02</t>
  </si>
  <si>
    <t xml:space="preserve">2024-02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</si>
  <si>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'Two years ago, a dozen customers spent over $1 million with us on an annualized basis'</t>
    </r>
  </si>
  <si>
    <t xml:space="preserve">SRC_ANT_167</t>
  </si>
  <si>
    <t xml:space="preserve">users_1m_customers_2026_04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</si>
  <si>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'Today that number exceeds 1,000, doubling in less than two months'</t>
    </r>
  </si>
  <si>
    <t xml:space="preserve">SRC_ANT_168</t>
  </si>
  <si>
    <t xml:space="preserve">users_bedrock_customers_2026_04</t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</si>
  <si>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Amazon Bedrock </t>
    </r>
    <r>
      <rPr>
        <sz val="10"/>
        <color rgb="FF000000"/>
        <rFont val="Noto Sans CJK SC"/>
        <family val="2"/>
      </rPr>
      <t xml:space="preserve">使用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的客戶數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</si>
  <si>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compute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</si>
  <si>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https://www.anthropic.com/news/anthropic-amazon-compute</t>
  </si>
  <si>
    <t xml:space="preserve">2026-04-20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</si>
  <si>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'over 100,000 customers now run Claude on Amazon Bedrock'</t>
    </r>
  </si>
  <si>
    <t xml:space="preserve">SRC_ANT_169</t>
  </si>
  <si>
    <t xml:space="preserve">users_paid_consumer_growth_2026_03</t>
  </si>
  <si>
    <t xml:space="preserve">消費者付費訂閱數成長（年初至今）</t>
  </si>
  <si>
    <t xml:space="preserve">2026-03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</si>
  <si>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Claude popularity with paying consumers is skyrocketing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</si>
  <si>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https://techcrunch.com/2026/03/28/anthropics-claude-popularity-with-paying-consumers-is-skyrocketing/</t>
  </si>
  <si>
    <t xml:space="preserve">2026-03-28</t>
  </si>
  <si>
    <r>
      <rPr>
        <sz val="10"/>
        <color rgb="FF000000"/>
        <rFont val="Noto Sans CJK SC"/>
        <family val="2"/>
      </rPr>
      <t xml:space="preserve">原文（發言人）：</t>
    </r>
    <r>
      <rPr>
        <sz val="10"/>
        <color rgb="FF000000"/>
        <rFont val="Arial"/>
        <family val="0"/>
        <charset val="1"/>
      </rPr>
      <t xml:space="preserve">'Claude paid subscriptions have more than doubled this year'</t>
    </r>
    <r>
      <rPr>
        <sz val="10"/>
        <color rgb="FF000000"/>
        <rFont val="Noto Sans CJK SC"/>
        <family val="2"/>
      </rPr>
      <t xml:space="preserve">；絕對數未揭露</t>
    </r>
  </si>
  <si>
    <t xml:space="preserve">SRC_ANT_170</t>
  </si>
  <si>
    <t xml:space="preserve">users_consumer_total_est_2026_03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</si>
  <si>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消費者用戶數（業界估計）</t>
    </r>
  </si>
  <si>
    <t xml:space="preserve">百萬人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</si>
  <si>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</si>
  <si>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estimates 'from 18 million to 30 million'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未揭露</t>
    </r>
  </si>
  <si>
    <t xml:space="preserve">SRC_ANT_171</t>
  </si>
  <si>
    <t xml:space="preserve">users_mau_app_2026_q2</t>
  </si>
  <si>
    <r>
      <rPr>
        <sz val="10"/>
        <color rgb="FF000000"/>
        <rFont val="Arial"/>
        <family val="0"/>
        <charset val="1"/>
      </rPr>
      <t xml:space="preserve">Claude App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</si>
  <si>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Mobile World Live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ChatGPT hits 1B user mark in record time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Sensor Tower</t>
    </r>
    <r>
      <rPr>
        <sz val="10"/>
        <color rgb="FF000000"/>
        <rFont val="Noto Sans CJK SC"/>
        <family val="2"/>
      </rPr>
      <t xml:space="preserve">）</t>
    </r>
  </si>
  <si>
    <t xml:space="preserve">https://www.mobileworldlive.com/ai-cloud/chatgpt-hits-1b-user-mark-in-record-time/</t>
  </si>
  <si>
    <t xml:space="preserve">2026-06-03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</si>
  <si>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'56 million MAUs'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'640% year-on-year'</t>
    </r>
    <r>
      <rPr>
        <sz val="10"/>
        <color rgb="FF000000"/>
        <rFont val="Noto Sans CJK SC"/>
        <family val="2"/>
      </rPr>
      <t xml:space="preserve">；僅行動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，不含網頁與 </t>
    </r>
    <r>
      <rPr>
        <sz val="10"/>
        <color rgb="FF000000"/>
        <rFont val="Arial"/>
        <family val="0"/>
        <charset val="1"/>
      </rPr>
      <t xml:space="preserve">API</t>
    </r>
  </si>
  <si>
    <t xml:space="preserve">SRC_ANT_172</t>
  </si>
  <si>
    <t xml:space="preserve">users_web_visits_2026_05</t>
  </si>
  <si>
    <r>
      <rPr>
        <sz val="10"/>
        <color rgb="FF000000"/>
        <rFont val="Arial"/>
        <family val="0"/>
        <charset val="1"/>
      </rPr>
      <t xml:space="preserve">claude.ai </t>
    </r>
    <r>
      <rPr>
        <sz val="10"/>
        <color rgb="FF000000"/>
        <rFont val="Noto Sans CJK SC"/>
        <family val="2"/>
      </rPr>
      <t xml:space="preserve">月訪問量</t>
    </r>
  </si>
  <si>
    <t xml:space="preserve">百萬次</t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</si>
  <si>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Claude.ai Hits 952 Million Monthly Visits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Similarweb</t>
    </r>
    <r>
      <rPr>
        <sz val="10"/>
        <color rgb="FF000000"/>
        <rFont val="Noto Sans CJK SC"/>
        <family val="2"/>
      </rPr>
      <t xml:space="preserve">）</t>
    </r>
  </si>
  <si>
    <t xml:space="preserve">https://fourweekmba.com/claude-ai-952-million-visits-856-percent-growth-fable-5/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</si>
  <si>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'952.5M' monthly visits May 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823.5M</t>
    </r>
    <r>
      <rPr>
        <sz val="10"/>
        <color rgb="FF000000"/>
        <rFont val="Noto Sans CJK SC"/>
        <family val="2"/>
      </rPr>
      <t xml:space="preserve">；年增 </t>
    </r>
    <r>
      <rPr>
        <sz val="10"/>
        <color rgb="FF000000"/>
        <rFont val="Arial"/>
        <family val="0"/>
        <charset val="1"/>
      </rPr>
      <t xml:space="preserve">'+856%'</t>
    </r>
    <r>
      <rPr>
        <sz val="10"/>
        <color rgb="FF000000"/>
        <rFont val="Noto Sans CJK SC"/>
        <family val="2"/>
      </rPr>
      <t xml:space="preserve">；訪問量≠用戶數</t>
    </r>
  </si>
  <si>
    <t xml:space="preserve">SRC_ANT_173</t>
  </si>
  <si>
    <t xml:space="preserve">users_mau_web_2025</t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</si>
  <si>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月活（</t>
    </r>
    <r>
      <rPr>
        <sz val="10"/>
        <color rgb="FF000000"/>
        <rFont val="Arial"/>
        <family val="0"/>
        <charset val="1"/>
      </rPr>
      <t xml:space="preserve">MAU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年中估計）</t>
    </r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</si>
  <si>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</si>
  <si>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'18.9 million monthly active users and 2.9 million mobile app users'</t>
    </r>
    <r>
      <rPr>
        <sz val="10"/>
        <color rgb="FF000000"/>
        <rFont val="Noto Sans CJK SC"/>
        <family val="2"/>
      </rPr>
      <t xml:space="preserve">；未註來源</t>
    </r>
  </si>
  <si>
    <t xml:space="preserve">SRC_ANT_174</t>
  </si>
  <si>
    <t xml:space="preserve">users_deal_deloitte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</si>
  <si>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Deloitte</t>
    </r>
  </si>
  <si>
    <t xml:space="preserve">人</t>
  </si>
  <si>
    <t xml:space="preserve">2025-10-06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</si>
  <si>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Deloitte and Anthropic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</si>
  <si>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https://www.anthropic.com/news/deloitte-anthropic-partnership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</si>
  <si>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Deloitte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</si>
  <si>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Claude 'available to more than 470,000 Deloitte people'</t>
    </r>
    <r>
      <rPr>
        <sz val="10"/>
        <color rgb="FF000000"/>
        <rFont val="Noto Sans CJK SC"/>
        <family val="2"/>
      </rPr>
      <t xml:space="preserve">；為可用人數，非付費席位</t>
    </r>
  </si>
  <si>
    <t xml:space="preserve">SRC_ANT_175</t>
  </si>
  <si>
    <t xml:space="preserve">users_deal_cognizant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</si>
  <si>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Cognizant</t>
    </r>
  </si>
  <si>
    <t xml:space="preserve">2025-11-04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</si>
  <si>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</si>
  <si>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https://www.anthropic.com/news/cognizant-partnership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</si>
  <si>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（雙方宣傳誘因）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</si>
  <si>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350,000 employees globally'</t>
    </r>
    <r>
      <rPr>
        <sz val="10"/>
        <color rgb="FF000000"/>
        <rFont val="Noto Sans CJK SC"/>
        <family val="2"/>
      </rPr>
      <t xml:space="preserve">（上限）</t>
    </r>
  </si>
  <si>
    <t xml:space="preserve">SRC_ANT_176</t>
  </si>
  <si>
    <t xml:space="preserve">users_deal_cognizant_trained_2026_07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</si>
  <si>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完成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訓練人數</t>
    </r>
  </si>
  <si>
    <t xml:space="preserve">2026-07-27</t>
  </si>
  <si>
    <r>
      <rPr>
        <sz val="10"/>
        <color rgb="FF000000"/>
        <rFont val="Arial"/>
        <family val="0"/>
        <charset val="1"/>
      </rPr>
      <t xml:space="preserve">Cognizant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Cognizant and Anthropic expand partnership</t>
    </r>
    <r>
      <rPr>
        <sz val="10"/>
        <color rgb="FF000000"/>
        <rFont val="Noto Sans CJK SC"/>
        <family val="2"/>
      </rPr>
      <t xml:space="preserve">〉</t>
    </r>
  </si>
  <si>
    <t xml:space="preserve">https://news.cognizant.com/2026-07-27-Cognizant-and-Anthropic-expand-partnership-to-embed-Claude-in-Cognizants-industry-platforms,-helping-clients-close-the-gap-between-AI-promise-and-business-outcomes</t>
  </si>
  <si>
    <r>
      <rPr>
        <sz val="10"/>
        <color rgb="FF000000"/>
        <rFont val="Arial"/>
        <family val="0"/>
        <charset val="1"/>
      </rPr>
      <t xml:space="preserve">Cognizant</t>
    </r>
    <r>
      <rPr>
        <sz val="10"/>
        <color rgb="FF000000"/>
        <rFont val="Noto Sans CJK SC"/>
        <family val="2"/>
      </rPr>
      <t xml:space="preserve">（合作方宣傳誘因）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</si>
  <si>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30,000 Cognizant associates have completed Claude training'</t>
    </r>
    <r>
      <rPr>
        <sz val="10"/>
        <color rgb="FF000000"/>
        <rFont val="Noto Sans CJK SC"/>
        <family val="2"/>
      </rPr>
      <t xml:space="preserve">；目標 </t>
    </r>
    <r>
      <rPr>
        <sz val="10"/>
        <color rgb="FF000000"/>
        <rFont val="Arial"/>
        <family val="0"/>
        <charset val="1"/>
      </rPr>
      <t xml:space="preserve">'350,000+'</t>
    </r>
  </si>
  <si>
    <t xml:space="preserve">SRC_ANT_177</t>
  </si>
  <si>
    <t xml:space="preserve">users_deal_accenture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</si>
  <si>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Accenture</t>
    </r>
    <r>
      <rPr>
        <sz val="10"/>
        <color rgb="FF000000"/>
        <rFont val="Noto Sans CJK SC"/>
        <family val="2"/>
      </rPr>
      <t xml:space="preserve">（受訓人數）</t>
    </r>
  </si>
  <si>
    <t xml:space="preserve">2025-12-09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</si>
  <si>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Accenture partnership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</si>
  <si>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https://www.anthropic.com/news/anthropic-accenture-partnership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</si>
  <si>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Accenture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</si>
  <si>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'Approximately 30,000 Accenture professionals will receive training on Claude'</t>
    </r>
    <r>
      <rPr>
        <sz val="10"/>
        <color rgb="FF000000"/>
        <rFont val="Noto Sans CJK SC"/>
        <family val="2"/>
      </rPr>
      <t xml:space="preserve">；非席位數</t>
    </r>
  </si>
  <si>
    <t xml:space="preserve">SRC_ANT_178</t>
  </si>
  <si>
    <t xml:space="preserve">users_deal_tcs</t>
  </si>
  <si>
    <r>
      <rPr>
        <sz val="10"/>
        <color rgb="FF000000"/>
        <rFont val="Noto Sans CJK SC"/>
        <family val="2"/>
      </rPr>
      <t xml:space="preserve">企業席位大單：</t>
    </r>
    <r>
      <rPr>
        <sz val="10"/>
        <color rgb="FF000000"/>
        <rFont val="Arial"/>
        <family val="0"/>
        <charset val="1"/>
      </rPr>
      <t xml:space="preserve">TCS</t>
    </r>
  </si>
  <si>
    <t xml:space="preserve">2026-06-11</t>
  </si>
  <si>
    <r>
      <rPr>
        <sz val="10"/>
        <color rgb="FF000000"/>
        <rFont val="Arial"/>
        <family val="0"/>
        <charset val="1"/>
      </rPr>
      <t xml:space="preserve">People Matters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TCS to roll out Anthropic's Claude to 50,000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</si>
  <si>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https://www.peoplematters.in/news/skilling/tcs-to-roll-out-anthropics-claude-to-50000-employees-under-global-ai-partnership-50247</t>
  </si>
  <si>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（宣傳誘因）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</si>
  <si>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'50,000 TCS employees gain enterprise-wide access to Anthropic's Claude models'</t>
    </r>
  </si>
  <si>
    <t xml:space="preserve">SRC_ANT_179</t>
  </si>
  <si>
    <t xml:space="preserve">users_deal_telus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</si>
  <si>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TELUS</t>
    </r>
  </si>
  <si>
    <r>
      <rPr>
        <sz val="10"/>
        <color rgb="FF000000"/>
        <rFont val="Arial"/>
        <family val="0"/>
        <charset val="1"/>
      </rPr>
      <t xml:space="preserve">Horses for Sources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is devouring IT services</t>
    </r>
    <r>
      <rPr>
        <sz val="10"/>
        <color rgb="FF000000"/>
        <rFont val="Noto Sans CJK SC"/>
        <family val="2"/>
      </rPr>
      <t xml:space="preserve">〉</t>
    </r>
  </si>
  <si>
    <t xml:space="preserve">https://www.horsesforsources.com/anthropic-is-devouring-it-services_041326/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</si>
  <si>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（經分析機構轉述）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</si>
  <si>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'TELUS deployed Claude to 57,000 employees'</t>
    </r>
    <r>
      <rPr>
        <sz val="10"/>
        <color rgb="FF000000"/>
        <rFont val="Noto Sans CJK SC"/>
        <family val="2"/>
      </rPr>
      <t xml:space="preserve">；無日期</t>
    </r>
  </si>
  <si>
    <t xml:space="preserve">SRC_ANT_180</t>
  </si>
  <si>
    <t xml:space="preserve">users_deal_barclays</t>
  </si>
  <si>
    <r>
      <rPr>
        <sz val="10"/>
        <color rgb="FF000000"/>
        <rFont val="Noto Sans CJK SC"/>
        <family val="2"/>
      </rPr>
      <t xml:space="preserve">企業部署：</t>
    </r>
    <r>
      <rPr>
        <sz val="10"/>
        <color rgb="FF000000"/>
        <rFont val="Arial"/>
        <family val="0"/>
        <charset val="1"/>
      </rPr>
      <t xml:space="preserve">Barclays </t>
    </r>
    <r>
      <rPr>
        <sz val="10"/>
        <color rgb="FF000000"/>
        <rFont val="Noto Sans CJK SC"/>
        <family val="2"/>
      </rPr>
      <t xml:space="preserve">採用人數</t>
    </r>
  </si>
  <si>
    <t xml:space="preserve">2026-10-01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</si>
  <si>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Barclays scales Claude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</si>
  <si>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https://www.anthropic.com/news/barclays-scales-claude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</si>
  <si>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Barclays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</si>
  <si>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'More than 16,000 colleagues have adopted the assistant'</t>
    </r>
  </si>
  <si>
    <t xml:space="preserve">SRC_ANT_181</t>
  </si>
  <si>
    <t xml:space="preserve">users_openrouter_share_2026_09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</si>
  <si>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文字請求份額：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</si>
  <si>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Arial"/>
        <family val="0"/>
        <charset val="1"/>
      </rPr>
      <t xml:space="preserve">2026-09-28 </t>
    </r>
    <r>
      <rPr>
        <sz val="10"/>
        <color rgb="FF000000"/>
        <rFont val="Noto Sans CJK SC"/>
        <family val="2"/>
      </rPr>
      <t xml:space="preserve">週</t>
    </r>
  </si>
  <si>
    <t xml:space="preserve">OpenRouter Rankings</t>
  </si>
  <si>
    <t xml:space="preserve">https://openrouter.ai/rankings</t>
  </si>
  <si>
    <r>
      <rPr>
        <sz val="10"/>
        <color rgb="FF000000"/>
        <rFont val="Noto Sans CJK SC"/>
        <family val="2"/>
      </rPr>
      <t xml:space="preserve">頁面：</t>
    </r>
    <r>
      <rPr>
        <sz val="10"/>
        <color rgb="FF000000"/>
        <rFont val="Arial"/>
        <family val="0"/>
        <charset val="1"/>
      </rPr>
      <t xml:space="preserve">Anthropic '2.5%'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21.8%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21.5%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18.2%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偏開源／長尾開發者，嚴重低估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</si>
  <si>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SRC_ANT_182</t>
  </si>
  <si>
    <t xml:space="preserve">users_enterprise_llm_share_2025</t>
  </si>
  <si>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LLM API </t>
    </r>
    <r>
      <rPr>
        <sz val="10"/>
        <color rgb="FF000000"/>
        <rFont val="Noto Sans CJK SC"/>
        <family val="2"/>
      </rPr>
      <t xml:space="preserve">使用份額（</t>
    </r>
    <r>
      <rPr>
        <sz val="10"/>
        <color rgb="FF000000"/>
        <rFont val="Arial"/>
        <family val="0"/>
        <charset val="1"/>
      </rPr>
      <t xml:space="preserve">Menlo Ventures </t>
    </r>
    <r>
      <rPr>
        <sz val="10"/>
        <color rgb="FF000000"/>
        <rFont val="Noto Sans CJK SC"/>
        <family val="2"/>
      </rPr>
      <t xml:space="preserve">調查）</t>
    </r>
  </si>
  <si>
    <r>
      <rPr>
        <sz val="10"/>
        <color rgb="FF000000"/>
        <rFont val="Arial"/>
        <family val="0"/>
        <charset val="1"/>
      </rPr>
      <t xml:space="preserve">VentureBeat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Menlo Ventures 2025 </t>
    </r>
    <r>
      <rPr>
        <sz val="10"/>
        <color rgb="FF000000"/>
        <rFont val="Noto Sans CJK SC"/>
        <family val="2"/>
      </rPr>
      <t xml:space="preserve">年中報告）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</si>
  <si>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'32% of overall enterprise large language model usage'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 25%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20%</t>
    </r>
  </si>
  <si>
    <t xml:space="preserve">SRC_ANT_183</t>
  </si>
  <si>
    <t xml:space="preserve">cmp_google_tpu_2025_chips</t>
  </si>
  <si>
    <t xml:space="preserve">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</si>
  <si>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數量上限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</si>
  <si>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（上限）</t>
    </r>
  </si>
  <si>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（合約簽署）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</si>
  <si>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Expanding our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</si>
  <si>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https://www.anthropic.com/news/expanding-our-use-of-google-cloud-tpus-and-services</t>
  </si>
  <si>
    <t xml:space="preserve">2025-10-23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</si>
  <si>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million TPUs</t>
    </r>
    <r>
      <rPr>
        <sz val="10"/>
        <color rgb="FF000000"/>
        <rFont val="Noto Sans CJK SC"/>
        <family val="2"/>
      </rPr>
      <t xml:space="preserve">」；未揭露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</t>
    </r>
  </si>
  <si>
    <t xml:space="preserve">SRC_ANT_184</t>
  </si>
  <si>
    <t xml:space="preserve">cmp_google_tpu_2025_gw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</si>
  <si>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上線容量</t>
    </r>
  </si>
  <si>
    <t xml:space="preserve">GW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</si>
  <si>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well over a gigawatt of capacity online in 2026</t>
    </r>
    <r>
      <rPr>
        <sz val="10"/>
        <color rgb="FF000000"/>
        <rFont val="Noto Sans CJK SC"/>
        <family val="2"/>
      </rPr>
      <t xml:space="preserve">」；只給下限，未說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或設施口徑</t>
    </r>
  </si>
  <si>
    <t xml:space="preserve">SRC_ANT_185</t>
  </si>
  <si>
    <t xml:space="preserve">cmp_google_tpu_2025_usd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</si>
  <si>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</si>
  <si>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（合約總額）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</si>
  <si>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tens of billions of dollars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lo=10 </t>
    </r>
    <r>
      <rPr>
        <sz val="10"/>
        <color rgb="FF000000"/>
        <rFont val="Noto Sans CJK SC"/>
        <family val="2"/>
      </rPr>
      <t xml:space="preserve">為字面最低解讀，未給期間</t>
    </r>
  </si>
  <si>
    <t xml:space="preserve">SRC_ANT_186</t>
  </si>
  <si>
    <t xml:space="preserve">cmp_chipmix_platforms_2025</t>
  </si>
  <si>
    <t xml:space="preserve">晶片組合－三平台（定性）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</si>
  <si>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</si>
  <si>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three chip platforms–Google's TPUs, Amazon's Trainium, and NVIDIA's GPUs</t>
    </r>
    <r>
      <rPr>
        <sz val="10"/>
        <color rgb="FF000000"/>
        <rFont val="Noto Sans CJK SC"/>
        <family val="2"/>
      </rPr>
      <t xml:space="preserve">」；未給各平台占比</t>
    </r>
  </si>
  <si>
    <t xml:space="preserve">SRC_ANT_187</t>
  </si>
  <si>
    <t xml:space="preserve">cmp_google_broadcom_2026_gw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</si>
  <si>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合約－容量（公司自述）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</si>
  <si>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</si>
  <si>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Google and Broadcom partnership for compute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</si>
  <si>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multiple gigawatts of next-generation TPU capacity…online starting in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lo=2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multiple</t>
    </r>
    <r>
      <rPr>
        <sz val="10"/>
        <color rgb="FF000000"/>
        <rFont val="Noto Sans CJK SC"/>
        <family val="2"/>
      </rPr>
      <t xml:space="preserve">」字面最低</t>
    </r>
  </si>
  <si>
    <t xml:space="preserve">SRC_ANT_188</t>
  </si>
  <si>
    <t xml:space="preserve">cmp_google_broadcom_2026_gw_b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</si>
  <si>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Broadcom 8-K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</si>
  <si>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2026-04-06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Boardroom Alpha </t>
    </r>
    <r>
      <rPr>
        <sz val="10"/>
        <color rgb="FF000000"/>
        <rFont val="Noto Sans CJK SC"/>
        <family val="2"/>
      </rPr>
      <t xml:space="preserve">轉載</t>
    </r>
  </si>
  <si>
    <t xml:space="preserve">https://www.boardroomalpha.com/sec/avgo-8-k-2026-04-06-0001193125-26-144028</t>
  </si>
  <si>
    <t xml:space="preserve">Verified</t>
  </si>
  <si>
    <t xml:space="preserve">中立或已核對</t>
  </si>
  <si>
    <r>
      <rPr>
        <sz val="10"/>
        <color rgb="FF000000"/>
        <rFont val="Noto Sans CJK SC"/>
        <family val="2"/>
      </rPr>
      <t xml:space="preserve">公開文件可核對（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</si>
  <si>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二手（含一手公告轉載）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</si>
  <si>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beginning in 2027, will access through Broadcom approximately 3.5 gigawatts</t>
    </r>
    <r>
      <rPr>
        <sz val="10"/>
        <color rgb="FF000000"/>
        <rFont val="Noto Sans CJK SC"/>
        <family val="2"/>
      </rPr>
      <t xml:space="preserve">」；監管文件；與後來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5 GW </t>
    </r>
    <r>
      <rPr>
        <sz val="10"/>
        <color rgb="FF000000"/>
        <rFont val="Noto Sans CJK SC"/>
        <family val="2"/>
      </rPr>
      <t xml:space="preserve">不一致（見 </t>
    </r>
    <r>
      <rPr>
        <sz val="10"/>
        <color rgb="FF000000"/>
        <rFont val="Arial"/>
        <family val="0"/>
        <charset val="1"/>
      </rPr>
      <t xml:space="preserve">_c</t>
    </r>
    <r>
      <rPr>
        <sz val="10"/>
        <color rgb="FF000000"/>
        <rFont val="Noto Sans CJK SC"/>
        <family val="2"/>
      </rPr>
      <t xml:space="preserve">）</t>
    </r>
  </si>
  <si>
    <t xml:space="preserve">SRC_ANT_189</t>
  </si>
  <si>
    <t xml:space="preserve">cmp_google_broadcom_2026_gw_c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</si>
  <si>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合約－容量（</t>
    </r>
    <r>
      <rPr>
        <sz val="10"/>
        <color rgb="FF000000"/>
        <rFont val="Arial"/>
        <family val="0"/>
        <charset val="1"/>
      </rPr>
      <t xml:space="preserve">Anthropic 2026-05 </t>
    </r>
    <r>
      <rPr>
        <sz val="10"/>
        <color rgb="FF000000"/>
        <rFont val="Noto Sans CJK SC"/>
        <family val="2"/>
      </rPr>
      <t xml:space="preserve">自述）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</si>
  <si>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Higher usage limits and a SpaceX compute deal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</si>
  <si>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https://www.anthropic.com/news/higher-limits-spacex</t>
  </si>
  <si>
    <r>
      <rPr>
        <sz val="10"/>
        <color rgb="FF000000"/>
        <rFont val="Noto Sans CJK SC"/>
        <family val="2"/>
      </rPr>
      <t xml:space="preserve">回顧既有合約稱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5 GW agreement…online in 2027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8-K 3.5 GW </t>
    </r>
    <r>
      <rPr>
        <sz val="10"/>
        <color rgb="FF000000"/>
        <rFont val="Noto Sans CJK SC"/>
        <family val="2"/>
      </rPr>
      <t xml:space="preserve">差 </t>
    </r>
    <r>
      <rPr>
        <sz val="10"/>
        <color rgb="FF000000"/>
        <rFont val="Arial"/>
        <family val="0"/>
        <charset val="1"/>
      </rPr>
      <t xml:space="preserve">1.5 GW</t>
    </r>
    <r>
      <rPr>
        <sz val="10"/>
        <color rgb="FF000000"/>
        <rFont val="Noto Sans CJK SC"/>
        <family val="2"/>
      </rPr>
      <t xml:space="preserve">，可能含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或其後擴大，未說明</t>
    </r>
  </si>
  <si>
    <t xml:space="preserve">SRC_ANT_190</t>
  </si>
  <si>
    <t xml:space="preserve">cmp_google_broadcom_2026_condition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</si>
  <si>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合約－使用條件</t>
    </r>
  </si>
  <si>
    <r>
      <rPr>
        <sz val="10"/>
        <color rgb="FF000000"/>
        <rFont val="Arial"/>
        <family val="0"/>
        <charset val="1"/>
      </rPr>
      <t xml:space="preserve">Broadcom Form 8-K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Register </t>
    </r>
    <r>
      <rPr>
        <sz val="10"/>
        <color rgb="FF000000"/>
        <rFont val="Noto Sans CJK SC"/>
        <family val="2"/>
      </rPr>
      <t xml:space="preserve">引述）</t>
    </r>
  </si>
  <si>
    <t xml:space="preserve">https://www.theregister.com/2026/04/07/broadcom_google_chip_deal_anthropic_customer/</t>
  </si>
  <si>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consumption of such expanded AI compute capacity by Anthropic is dependent on</t>
    </r>
    <r>
      <rPr>
        <sz val="10"/>
        <color rgb="FF000000"/>
        <rFont val="Noto Sans CJK SC"/>
        <family val="2"/>
      </rPr>
      <t xml:space="preserve">」其商業成功；並與營運及財務夥伴洽談</t>
    </r>
  </si>
  <si>
    <t xml:space="preserve">SRC_ANT_191</t>
  </si>
  <si>
    <t xml:space="preserve">cmp_google_broadcom_supply_term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</si>
  <si>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供應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長約期間（非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合約期）</t>
    </r>
  </si>
  <si>
    <t xml:space="preserve">年（到期上限）</t>
  </si>
  <si>
    <t xml:space="preserve">2026–2031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</si>
  <si>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to supply Anthropic with 3.5 gigawatts of Google TPU capacity from 2027</t>
    </r>
    <r>
      <rPr>
        <sz val="10"/>
        <color rgb="FF000000"/>
        <rFont val="Noto Sans CJK SC"/>
        <family val="2"/>
      </rPr>
      <t xml:space="preserve">〉</t>
    </r>
  </si>
  <si>
    <t xml:space="preserve">https://www.tomshardware.com/tech-industry/broadcom-expands-anthropic-deal-to-3-5gw-of-google-tpu-capacity-from-2027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</si>
  <si>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供應未來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世代「</t>
    </r>
    <r>
      <rPr>
        <sz val="10"/>
        <color rgb="FF000000"/>
        <rFont val="Arial"/>
        <family val="0"/>
        <charset val="1"/>
      </rPr>
      <t xml:space="preserve">through 2031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2031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協議，非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用量期間</t>
    </r>
  </si>
  <si>
    <t xml:space="preserve">SRC_ANT_192</t>
  </si>
  <si>
    <t xml:space="preserve">cmp_google_tpu_2026_gw_ref</t>
  </si>
  <si>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上線容量（媒體轉述）</t>
    </r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</si>
  <si>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</si>
  <si>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（媒體轉述公司說法）</t>
    </r>
  </si>
  <si>
    <r>
      <rPr>
        <sz val="10"/>
        <color rgb="FF000000"/>
        <rFont val="Noto Sans CJK SC"/>
        <family val="2"/>
      </rPr>
      <t xml:space="preserve">原文 </t>
    </r>
    <r>
      <rPr>
        <sz val="10"/>
        <color rgb="FF000000"/>
        <rFont val="Arial"/>
        <family val="0"/>
        <charset val="1"/>
      </rPr>
      <t xml:space="preserve">3.5 GW </t>
    </r>
    <r>
      <rPr>
        <sz val="10"/>
        <color rgb="FF000000"/>
        <rFont val="Noto Sans CJK SC"/>
        <family val="2"/>
      </rPr>
      <t xml:space="preserve">為「</t>
    </r>
    <r>
      <rPr>
        <sz val="10"/>
        <color rgb="FF000000"/>
        <rFont val="Arial"/>
        <family val="0"/>
        <charset val="1"/>
      </rPr>
      <t xml:space="preserve">in addition to the 1 GW already coming online in 2026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well over a gigawatt</t>
    </r>
    <r>
      <rPr>
        <sz val="10"/>
        <color rgb="FF000000"/>
        <rFont val="Noto Sans CJK SC"/>
        <family val="2"/>
      </rPr>
      <t xml:space="preserve">」口徑相近</t>
    </r>
  </si>
  <si>
    <t xml:space="preserve">SRC_ANT_193</t>
  </si>
  <si>
    <t xml:space="preserve">cmp_broadcom_rev_from_anthropic_mizuho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</si>
  <si>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來自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營收估計（</t>
    </r>
    <r>
      <rPr>
        <sz val="10"/>
        <color rgb="FF000000"/>
        <rFont val="Arial"/>
        <family val="0"/>
        <charset val="1"/>
      </rPr>
      <t xml:space="preserve">Mizuho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</si>
  <si>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2026=21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2027=42</t>
    </r>
    <r>
      <rPr>
        <sz val="10"/>
        <color rgb="FF000000"/>
        <rFont val="Noto Sans CJK SC"/>
        <family val="2"/>
      </rPr>
      <t xml:space="preserve">）</t>
    </r>
  </si>
  <si>
    <t xml:space="preserve">2026–2027</t>
  </si>
  <si>
    <r>
      <rPr>
        <sz val="10"/>
        <color rgb="FF000000"/>
        <rFont val="Arial"/>
        <family val="0"/>
        <charset val="1"/>
      </rPr>
      <t xml:space="preserve">Tom's Hardware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分析師</t>
    </r>
  </si>
  <si>
    <r>
      <rPr>
        <sz val="10"/>
        <color rgb="FF000000"/>
        <rFont val="Arial"/>
        <family val="0"/>
        <charset val="1"/>
      </rPr>
      <t xml:space="preserve">Mizuho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Broadcom AI </t>
    </r>
    <r>
      <rPr>
        <sz val="10"/>
        <color rgb="FF000000"/>
        <rFont val="Noto Sans CJK SC"/>
        <family val="2"/>
      </rPr>
      <t xml:space="preserve">營收來自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$21 billion for 2026 and $42 billion for 2027</t>
    </r>
    <r>
      <rPr>
        <sz val="10"/>
        <color rgb="FF000000"/>
        <rFont val="Noto Sans CJK SC"/>
        <family val="2"/>
      </rPr>
      <t xml:space="preserve">」；屬供應鏈側估計，非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支出</t>
    </r>
  </si>
  <si>
    <t xml:space="preserve">SRC_ANT_194</t>
  </si>
  <si>
    <t xml:space="preserve">cmp_google_cloud_200b</t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</si>
  <si>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五年支出承諾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</si>
  <si>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（五年總額）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</si>
  <si>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2026–2031</t>
    </r>
    <r>
      <rPr>
        <sz val="10"/>
        <color rgb="FF000000"/>
        <rFont val="Noto Sans CJK SC"/>
        <family val="2"/>
      </rPr>
      <t xml:space="preserve">（起點未明）</t>
    </r>
  </si>
  <si>
    <r>
      <rPr>
        <sz val="10"/>
        <color rgb="FF000000"/>
        <rFont val="Arial"/>
        <family val="0"/>
        <charset val="1"/>
      </rPr>
      <t xml:space="preserve">The Standard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commits to spending US$200 billion on Google's cloud and chips</t>
    </r>
    <r>
      <rPr>
        <sz val="10"/>
        <color rgb="FF000000"/>
        <rFont val="Noto Sans CJK SC"/>
        <family val="2"/>
      </rPr>
      <t xml:space="preserve">〉</t>
    </r>
  </si>
  <si>
    <t xml:space="preserve">https://www.thestandard.com.hk/finance/article/331210/Anthropic-commits-to-spending-US200-billion-on-Googles-cloud-and-chips-the-Information-reports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</si>
  <si>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／知情人士（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未能證實）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</si>
  <si>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spend US$200 billion…with Google Cloud over five years</t>
    </r>
    <r>
      <rPr>
        <sz val="10"/>
        <color rgb="FF000000"/>
        <rFont val="Noto Sans CJK SC"/>
        <family val="2"/>
      </rPr>
      <t xml:space="preserve">」；約占 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揭露積壓訂單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以上</t>
    </r>
  </si>
  <si>
    <t xml:space="preserve">SRC_ANT_195</t>
  </si>
  <si>
    <t xml:space="preserve">cmp_broadcom_order_10b_2025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</si>
  <si>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訂購 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）－首筆訂單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</si>
  <si>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（訂單總額）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</si>
  <si>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（簽約年）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</si>
  <si>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Broadcom FY25Q4 </t>
    </r>
    <r>
      <rPr>
        <sz val="10"/>
        <color rgb="FF000000"/>
        <rFont val="Noto Sans CJK SC"/>
        <family val="2"/>
      </rPr>
      <t xml:space="preserve">法說，</t>
    </r>
    <r>
      <rPr>
        <sz val="10"/>
        <color rgb="FF000000"/>
        <rFont val="Arial"/>
        <family val="0"/>
        <charset val="1"/>
      </rPr>
      <t xml:space="preserve">Hock Tan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</si>
  <si>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https://www.datacenterdynamics.com/en/news/broadcom-bulges-with-anthropic-ai-orders/</t>
  </si>
  <si>
    <t xml:space="preserve">2025-12-15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</si>
  <si>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（供應商，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營收宣傳誘因）</t>
    </r>
  </si>
  <si>
    <r>
      <rPr>
        <sz val="10"/>
        <color rgb="FF000000"/>
        <rFont val="Arial"/>
        <family val="0"/>
        <charset val="1"/>
      </rPr>
      <t xml:space="preserve">Tan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即先前未具名的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客製晶片客戶，買 </t>
    </r>
    <r>
      <rPr>
        <sz val="10"/>
        <color rgb="FF000000"/>
        <rFont val="Arial"/>
        <family val="0"/>
        <charset val="1"/>
      </rPr>
      <t xml:space="preserve">Ironwood TPU</t>
    </r>
    <r>
      <rPr>
        <sz val="10"/>
        <color rgb="FF000000"/>
        <rFont val="Noto Sans CJK SC"/>
        <family val="2"/>
      </rPr>
      <t xml:space="preserve">；「</t>
    </r>
    <r>
      <rPr>
        <sz val="10"/>
        <color rgb="FF000000"/>
        <rFont val="Arial"/>
        <family val="0"/>
        <charset val="1"/>
      </rPr>
      <t xml:space="preserve">It's a real system sale</t>
    </r>
    <r>
      <rPr>
        <sz val="10"/>
        <color rgb="FF000000"/>
        <rFont val="Noto Sans CJK SC"/>
        <family val="2"/>
      </rPr>
      <t xml:space="preserve">」</t>
    </r>
  </si>
  <si>
    <t xml:space="preserve">SRC_ANT_196</t>
  </si>
  <si>
    <t xml:space="preserve">cmp_broadcom_order_11b_2025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</si>
  <si>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追加訂單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</si>
  <si>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（交貨）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</si>
  <si>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SDxCentral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Broadcom bulges with Anthropic AI orders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</si>
  <si>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$11B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scheduled for delivery later next year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合約關係未說明，可能同一批算力的硬體端</t>
    </r>
  </si>
  <si>
    <t xml:space="preserve">SRC_ANT_197</t>
  </si>
  <si>
    <t xml:space="preserve">cmp_aws_rainier_trn2_2025_10</t>
  </si>
  <si>
    <r>
      <rPr>
        <sz val="10"/>
        <color rgb="FF000000"/>
        <rFont val="Arial"/>
        <family val="0"/>
        <charset val="1"/>
      </rPr>
      <t xml:space="preserve">Project Rainier </t>
    </r>
    <r>
      <rPr>
        <sz val="10"/>
        <color rgb="FF000000"/>
        <rFont val="Noto Sans CJK SC"/>
        <family val="2"/>
      </rPr>
      <t xml:space="preserve">已安裝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</si>
  <si>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（約）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</si>
  <si>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AWS activates Project Rainier data center campus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公告）</t>
    </r>
  </si>
  <si>
    <t xml:space="preserve">https://convergedigest.com/aws-activates-project-rainier-data-center-campus/</t>
  </si>
  <si>
    <t xml:space="preserve">2025-10-29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</si>
  <si>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</si>
  <si>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500,000 Trainium2 chips</t>
    </r>
    <r>
      <rPr>
        <sz val="10"/>
        <color rgb="FF000000"/>
        <rFont val="Noto Sans CJK SC"/>
        <family val="2"/>
      </rPr>
      <t xml:space="preserve">」分布七棟建築；</t>
    </r>
    <r>
      <rPr>
        <sz val="10"/>
        <color rgb="FF000000"/>
        <rFont val="Arial"/>
        <family val="0"/>
        <charset val="1"/>
      </rPr>
      <t xml:space="preserve">New Carlisle, Indiana</t>
    </r>
  </si>
  <si>
    <t xml:space="preserve">SRC_ANT_198</t>
  </si>
  <si>
    <t xml:space="preserve">cmp_aws_rainier_trn2_target_2025</t>
  </si>
  <si>
    <r>
      <rPr>
        <sz val="10"/>
        <color rgb="FF000000"/>
        <rFont val="Arial"/>
        <family val="0"/>
        <charset val="1"/>
      </rPr>
      <t xml:space="preserve">Project Rainier Trainium2 </t>
    </r>
    <r>
      <rPr>
        <sz val="10"/>
        <color rgb="FF000000"/>
        <rFont val="Noto Sans CJK SC"/>
        <family val="2"/>
      </rPr>
      <t xml:space="preserve">目標（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</si>
  <si>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Trainium2</t>
    </r>
  </si>
  <si>
    <r>
      <rPr>
        <sz val="10"/>
        <color rgb="FF000000"/>
        <rFont val="Arial"/>
        <family val="0"/>
        <charset val="1"/>
      </rPr>
      <t xml:space="preserve">Converge Digest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</si>
  <si>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expected to exceed one million Trainium2 chips by the end of 2025</t>
    </r>
    <r>
      <rPr>
        <sz val="10"/>
        <color rgb="FF000000"/>
        <rFont val="Noto Sans CJK SC"/>
        <family val="2"/>
      </rPr>
      <t xml:space="preserve">」；指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使用的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總量</t>
    </r>
  </si>
  <si>
    <t xml:space="preserve">SRC_ANT_199</t>
  </si>
  <si>
    <t xml:space="preserve">cmp_aws_rainier_site_gw</t>
  </si>
  <si>
    <r>
      <rPr>
        <sz val="10"/>
        <color rgb="FF000000"/>
        <rFont val="Arial"/>
        <family val="0"/>
        <charset val="1"/>
      </rPr>
      <t xml:space="preserve">New Carlisle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Indiana</t>
    </r>
    <r>
      <rPr>
        <sz val="10"/>
        <color rgb="FF000000"/>
        <rFont val="Noto Sans CJK SC"/>
        <family val="2"/>
      </rPr>
      <t xml:space="preserve">）園區電力上限</t>
    </r>
  </si>
  <si>
    <t xml:space="preserve">完工後</t>
  </si>
  <si>
    <t xml:space="preserve">設施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</si>
  <si>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2.2 gigawatts (GW) of electricity</t>
    </r>
    <r>
      <rPr>
        <sz val="10"/>
        <color rgb="FF000000"/>
        <rFont val="Noto Sans CJK SC"/>
        <family val="2"/>
      </rPr>
      <t xml:space="preserve">」；為用電（設施）口徑；園區投資「</t>
    </r>
    <r>
      <rPr>
        <sz val="10"/>
        <color rgb="FF000000"/>
        <rFont val="Arial"/>
        <family val="0"/>
        <charset val="1"/>
      </rPr>
      <t xml:space="preserve">$11 billion project</t>
    </r>
    <r>
      <rPr>
        <sz val="10"/>
        <color rgb="FF000000"/>
        <rFont val="Noto Sans CJK SC"/>
        <family val="2"/>
      </rPr>
      <t xml:space="preserve">」</t>
    </r>
  </si>
  <si>
    <t xml:space="preserve">SRC_ANT_200</t>
  </si>
  <si>
    <t xml:space="preserve">cmp_aws_rainier_site_capex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</si>
  <si>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園區投資額（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出資）</t>
    </r>
  </si>
  <si>
    <t xml:space="preserve">2024–2025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</si>
  <si>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The $11 billion project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資本支出，非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支付</t>
    </r>
  </si>
  <si>
    <t xml:space="preserve">SRC_ANT_201</t>
  </si>
  <si>
    <t xml:space="preserve">cmp_aws_rainier_epoch_it_mw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</si>
  <si>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電力（第三方衛星估計，現況）</t>
    </r>
  </si>
  <si>
    <t xml:space="preserve">MW</t>
  </si>
  <si>
    <t xml:space="preserve">IT</t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</si>
  <si>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Anthropic-Amazon New Carlisle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</si>
  <si>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https://epoch.ai/data/ai-data-centers/directory/anthropic-amazon-new-carlisle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</si>
  <si>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910 MW of IT power</t>
    </r>
    <r>
      <rPr>
        <sz val="10"/>
        <color rgb="FF000000"/>
        <rFont val="Noto Sans CJK SC"/>
        <family val="2"/>
      </rPr>
      <t xml:space="preserve">」；預估 </t>
    </r>
    <r>
      <rPr>
        <sz val="10"/>
        <color rgb="FF000000"/>
        <rFont val="Arial"/>
        <family val="0"/>
        <charset val="1"/>
      </rPr>
      <t xml:space="preserve">2026-10 </t>
    </r>
    <r>
      <rPr>
        <sz val="10"/>
        <color rgb="FF000000"/>
        <rFont val="Noto Sans CJK SC"/>
        <family val="2"/>
      </rPr>
      <t xml:space="preserve">達 </t>
    </r>
    <r>
      <rPr>
        <sz val="10"/>
        <color rgb="FF000000"/>
        <rFont val="Arial"/>
        <family val="0"/>
        <charset val="1"/>
      </rPr>
      <t xml:space="preserve">1,037 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2028-03 </t>
    </r>
    <r>
      <rPr>
        <sz val="10"/>
        <color rgb="FF000000"/>
        <rFont val="Noto Sans CJK SC"/>
        <family val="2"/>
      </rPr>
      <t xml:space="preserve">達「</t>
    </r>
    <r>
      <rPr>
        <sz val="10"/>
        <color rgb="FF000000"/>
        <rFont val="Arial"/>
        <family val="0"/>
        <charset val="1"/>
      </rPr>
      <t xml:space="preserve">1,925 MW IT power</t>
    </r>
    <r>
      <rPr>
        <sz val="10"/>
        <color rgb="FF000000"/>
        <rFont val="Noto Sans CJK SC"/>
        <family val="2"/>
      </rPr>
      <t xml:space="preserve">」；晶片約 </t>
    </r>
    <r>
      <rPr>
        <sz val="10"/>
        <color rgb="FF000000"/>
        <rFont val="Arial"/>
        <family val="0"/>
        <charset val="1"/>
      </rPr>
      <t xml:space="preserve">1,045k Trainium2</t>
    </r>
  </si>
  <si>
    <t xml:space="preserve">SRC_ANT_202</t>
  </si>
  <si>
    <t xml:space="preserve">cmp_aws_rainier_epoch_it_mw_2028</t>
  </si>
  <si>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電力（第三方估計，</t>
    </r>
    <r>
      <rPr>
        <sz val="10"/>
        <color rgb="FF000000"/>
        <rFont val="Arial"/>
        <family val="0"/>
        <charset val="1"/>
      </rPr>
      <t xml:space="preserve">2028Q1</t>
    </r>
    <r>
      <rPr>
        <sz val="10"/>
        <color rgb="FF000000"/>
        <rFont val="Noto Sans CJK SC"/>
        <family val="2"/>
      </rPr>
      <t xml:space="preserve">）</t>
    </r>
  </si>
  <si>
    <t xml:space="preserve">2028-03</t>
  </si>
  <si>
    <t xml:space="preserve">Epoch AI Data Centers Directory</t>
  </si>
  <si>
    <r>
      <rPr>
        <sz val="10"/>
        <color rgb="FF000000"/>
        <rFont val="Arial"/>
        <family val="0"/>
        <charset val="1"/>
      </rPr>
      <t xml:space="preserve">Buildings 19-32 </t>
    </r>
    <r>
      <rPr>
        <sz val="10"/>
        <color rgb="FF000000"/>
        <rFont val="Noto Sans CJK SC"/>
        <family val="2"/>
      </rPr>
      <t xml:space="preserve">完工後「</t>
    </r>
    <r>
      <rPr>
        <sz val="10"/>
        <color rgb="FF000000"/>
        <rFont val="Arial"/>
        <family val="0"/>
        <charset val="1"/>
      </rPr>
      <t xml:space="preserve">1,925 MW IT</t>
    </r>
    <r>
      <rPr>
        <sz val="10"/>
        <color rgb="FF000000"/>
        <rFont val="Noto Sans CJK SC"/>
        <family val="2"/>
      </rPr>
      <t xml:space="preserve">」，資本支出估 </t>
    </r>
    <r>
      <rPr>
        <sz val="10"/>
        <color rgb="FF000000"/>
        <rFont val="Arial"/>
        <family val="0"/>
        <charset val="1"/>
      </rPr>
      <t xml:space="preserve">$72.9B</t>
    </r>
    <r>
      <rPr>
        <sz val="10"/>
        <color rgb="FF000000"/>
        <rFont val="Noto Sans CJK SC"/>
        <family val="2"/>
      </rPr>
      <t xml:space="preserve">；空氣許可顯示設施電力可達 </t>
    </r>
    <r>
      <rPr>
        <sz val="10"/>
        <color rgb="FF000000"/>
        <rFont val="Arial"/>
        <family val="0"/>
        <charset val="1"/>
      </rPr>
      <t xml:space="preserve">2.3 GW</t>
    </r>
  </si>
  <si>
    <t xml:space="preserve">SRC_ANT_203</t>
  </si>
  <si>
    <t xml:space="preserve">cmp_aws_2026_gw_cap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</si>
  <si>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擴大算力協議－容量上限</t>
    </r>
  </si>
  <si>
    <t xml:space="preserve">2026–2036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</si>
  <si>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and Amazon expand compute collaboration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</si>
  <si>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5 gigawatts (GW) of capacity</t>
    </r>
    <r>
      <rPr>
        <sz val="10"/>
        <color rgb="FF000000"/>
        <rFont val="Noto Sans CJK SC"/>
        <family val="2"/>
      </rPr>
      <t xml:space="preserve">」；涵蓋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Trainium4</t>
    </r>
  </si>
  <si>
    <t xml:space="preserve">SRC_ANT_204</t>
  </si>
  <si>
    <t xml:space="preserve">cmp_aws_2026_usd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</si>
  <si>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擴大算力協議－十年支出承諾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</si>
  <si>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（十年總額）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</si>
  <si>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$100 billion over the next ten years</t>
    </r>
    <r>
      <rPr>
        <sz val="10"/>
        <color rgb="FF000000"/>
        <rFont val="Noto Sans CJK SC"/>
        <family val="2"/>
      </rPr>
      <t xml:space="preserve">」；下限值</t>
    </r>
  </si>
  <si>
    <t xml:space="preserve">SRC_ANT_205</t>
  </si>
  <si>
    <t xml:space="preserve">cmp_aws_2026_gw_ye2026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</si>
  <si>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容量（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</si>
  <si>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（約）</t>
    </r>
  </si>
  <si>
    <t xml:space="preserve">2026-12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</si>
  <si>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nearly 1GW total of Trainium2 and Trainium3 capacity coming online by the end of 2026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Trn2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2026Q2 </t>
    </r>
    <r>
      <rPr>
        <sz val="10"/>
        <color rgb="FF000000"/>
        <rFont val="Noto Sans CJK SC"/>
        <family val="2"/>
      </rPr>
      <t xml:space="preserve">上線、</t>
    </r>
    <r>
      <rPr>
        <sz val="10"/>
        <color rgb="FF000000"/>
        <rFont val="Arial"/>
        <family val="0"/>
        <charset val="1"/>
      </rPr>
      <t xml:space="preserve">Trn3 </t>
    </r>
    <r>
      <rPr>
        <sz val="10"/>
        <color rgb="FF000000"/>
        <rFont val="Noto Sans CJK SC"/>
        <family val="2"/>
      </rPr>
      <t xml:space="preserve">年內稍後</t>
    </r>
  </si>
  <si>
    <t xml:space="preserve">SRC_ANT_206</t>
  </si>
  <si>
    <t xml:space="preserve">cmp_aws_trn2_inuse_2026_04</t>
  </si>
  <si>
    <r>
      <rPr>
        <sz val="10"/>
        <color rgb="FF000000"/>
        <rFont val="Noto Sans CJK SC"/>
        <family val="2"/>
      </rPr>
      <t xml:space="preserve">使用中 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</si>
  <si>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we currently use over one million Trainium2 chips to train and serve Claude</t>
    </r>
    <r>
      <rPr>
        <sz val="10"/>
        <color rgb="FF000000"/>
        <rFont val="Noto Sans CJK SC"/>
        <family val="2"/>
      </rPr>
      <t xml:space="preserve">」</t>
    </r>
  </si>
  <si>
    <t xml:space="preserve">SRC_ANT_207</t>
  </si>
  <si>
    <t xml:space="preserve">cmp_aws_primary_training_partner</t>
  </si>
  <si>
    <r>
      <rPr>
        <sz val="10"/>
        <color rgb="FF000000"/>
        <rFont val="Noto Sans CJK SC"/>
        <family val="2"/>
      </rPr>
      <t xml:space="preserve">晶片組合－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為主要雲端與訓練夥伴（定性）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</si>
  <si>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Amazon remains our primary cloud provider and training partner</t>
    </r>
    <r>
      <rPr>
        <sz val="10"/>
        <color rgb="FF000000"/>
        <rFont val="Noto Sans CJK SC"/>
        <family val="2"/>
      </rPr>
      <t xml:space="preserve">」；未給比例</t>
    </r>
  </si>
  <si>
    <t xml:space="preserve">SRC_ANT_208</t>
  </si>
  <si>
    <t xml:space="preserve">cmp_aws_2026_gw_b</t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</si>
  <si>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合約容量與金額（媒體彙整）</t>
    </r>
  </si>
  <si>
    <t xml:space="preserve">十年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</si>
  <si>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has locked in 14.8 GW of compute worth up to $517B</t>
    </r>
    <r>
      <rPr>
        <sz val="10"/>
        <color rgb="FF000000"/>
        <rFont val="Noto Sans CJK SC"/>
        <family val="2"/>
      </rPr>
      <t xml:space="preserve">〉</t>
    </r>
  </si>
  <si>
    <t xml:space="preserve">https://aiweekly.co/alerts/the-information-anthropic-has-locked-in-148-gw-of-compute-worth-up-to-517b</t>
  </si>
  <si>
    <t xml:space="preserve">2026-09-06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</si>
  <si>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／知情人士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</si>
  <si>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$100B over 10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 (Trainium3)</t>
    </r>
    <r>
      <rPr>
        <sz val="10"/>
        <color rgb="FF000000"/>
        <rFont val="Noto Sans CJK SC"/>
        <family val="2"/>
      </rPr>
      <t xml:space="preserve">」；把上限當定量，且只標 </t>
    </r>
    <r>
      <rPr>
        <sz val="10"/>
        <color rgb="FF000000"/>
        <rFont val="Arial"/>
        <family val="0"/>
        <charset val="1"/>
      </rPr>
      <t xml:space="preserve">Trainium3</t>
    </r>
    <r>
      <rPr>
        <sz val="10"/>
        <color rgb="FF000000"/>
        <rFont val="Noto Sans CJK SC"/>
        <family val="2"/>
      </rPr>
      <t xml:space="preserve">，與公司 </t>
    </r>
    <r>
      <rPr>
        <sz val="10"/>
        <color rgb="FF000000"/>
        <rFont val="Arial"/>
        <family val="0"/>
        <charset val="1"/>
      </rPr>
      <t xml:space="preserve">Trn2–Trn4 </t>
    </r>
    <r>
      <rPr>
        <sz val="10"/>
        <color rgb="FF000000"/>
        <rFont val="Noto Sans CJK SC"/>
        <family val="2"/>
      </rPr>
      <t xml:space="preserve">說法不一</t>
    </r>
  </si>
  <si>
    <t xml:space="preserve">SRC_ANT_209</t>
  </si>
  <si>
    <t xml:space="preserve">cmp_msft_azure_30b</t>
  </si>
  <si>
    <r>
      <rPr>
        <sz val="10"/>
        <color rgb="FF000000"/>
        <rFont val="Arial"/>
        <family val="0"/>
        <charset val="1"/>
      </rPr>
      <t xml:space="preserve">Microsoft Azure </t>
    </r>
    <r>
      <rPr>
        <sz val="10"/>
        <color rgb="FF000000"/>
        <rFont val="Noto Sans CJK SC"/>
        <family val="2"/>
      </rPr>
      <t xml:space="preserve">算力採購承諾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</si>
  <si>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（總額）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</si>
  <si>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簽署（期間未揭露）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</si>
  <si>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</si>
  <si>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https://www.anthropic.com/news/microsoft-nvidia-anthropic-announce-strategic-partnerships</t>
  </si>
  <si>
    <t xml:space="preserve">2025-11-18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</si>
  <si>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（募資與雲端業務宣傳誘因）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</si>
  <si>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committed to purchase $30 billion of Azure compute capacity</t>
    </r>
    <r>
      <rPr>
        <sz val="10"/>
        <color rgb="FF000000"/>
        <rFont val="Noto Sans CJK SC"/>
        <family val="2"/>
      </rPr>
      <t xml:space="preserve">」；同時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投資至多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$10B</t>
    </r>
  </si>
  <si>
    <t xml:space="preserve">SRC_ANT_210</t>
  </si>
  <si>
    <t xml:space="preserve">cmp_msft_nvda_1gw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</si>
  <si>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系統算力容量（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合約附帶）</t>
    </r>
  </si>
  <si>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起（時程未揭露）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</si>
  <si>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（募資與晶片銷售誘因）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</si>
  <si>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up to one gigawatt of compute capacity with NVIDIA Grace Blackwell and Vera Rubin systems</t>
    </r>
    <r>
      <rPr>
        <sz val="10"/>
        <color rgb="FF000000"/>
        <rFont val="Noto Sans CJK SC"/>
        <family val="2"/>
      </rPr>
      <t xml:space="preserve">」</t>
    </r>
  </si>
  <si>
    <t xml:space="preserve">SRC_ANT_211</t>
  </si>
  <si>
    <t xml:space="preserve">cmp_msft_azure_prospectus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</si>
  <si>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合約承諾（招股書草稿）</t>
    </r>
  </si>
  <si>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</si>
  <si>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取得之保密招股書草稿）</t>
    </r>
  </si>
  <si>
    <t xml:space="preserve">https://www.investmentnews.com/equities/anthropics-landmark-ipo-filing-shows-12-fold-revenue-jump-518b-compute-bill/268391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</si>
  <si>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誘因；尚未公開於 </t>
    </r>
    <r>
      <rPr>
        <sz val="10"/>
        <color rgb="FF000000"/>
        <rFont val="Arial"/>
        <family val="0"/>
        <charset val="1"/>
      </rPr>
      <t xml:space="preserve">EDGAR</t>
    </r>
    <r>
      <rPr>
        <sz val="10"/>
        <color rgb="FF000000"/>
        <rFont val="Noto Sans CJK SC"/>
        <family val="2"/>
      </rPr>
      <t xml:space="preserve">）</t>
    </r>
  </si>
  <si>
    <t xml:space="preserve">二手（含一手轉載）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</si>
  <si>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$31.4 billion due between November 2026 and May 2033</t>
    </r>
    <r>
      <rPr>
        <sz val="10"/>
        <color rgb="FF000000"/>
        <rFont val="Noto Sans CJK SC"/>
        <family val="2"/>
      </rPr>
      <t xml:space="preserve">」；比 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$30B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$1.4B</t>
    </r>
  </si>
  <si>
    <t xml:space="preserve">SRC_ANT_212</t>
  </si>
  <si>
    <t xml:space="preserve">cmp_fluidstack_50b</t>
  </si>
  <si>
    <r>
      <rPr>
        <sz val="10"/>
        <color rgb="FF000000"/>
        <rFont val="Noto Sans CJK SC"/>
        <family val="2"/>
      </rPr>
      <t xml:space="preserve">美國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基礎設施投資（與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自建）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</si>
  <si>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</si>
  <si>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invests $50 billion in American AI infrastructure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</si>
  <si>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https://www.anthropic.com/news/anthropic-invests-50-billion-in-american-ai-infrastructure</t>
  </si>
  <si>
    <t xml:space="preserve">2025-11-12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</si>
  <si>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（募資、政策形象誘因）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</si>
  <si>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$50 billion investment in American computing infrastructure</t>
    </r>
    <r>
      <rPr>
        <sz val="10"/>
        <color rgb="FF000000"/>
        <rFont val="Noto Sans CJK SC"/>
        <family val="2"/>
      </rPr>
      <t xml:space="preserve">」，德州、紐約，「</t>
    </r>
    <r>
      <rPr>
        <sz val="10"/>
        <color rgb="FF000000"/>
        <rFont val="Arial"/>
        <family val="0"/>
        <charset val="1"/>
      </rPr>
      <t xml:space="preserve">throughout 2026</t>
    </r>
    <r>
      <rPr>
        <sz val="10"/>
        <color rgb="FF000000"/>
        <rFont val="Noto Sans CJK SC"/>
        <family val="2"/>
      </rPr>
      <t xml:space="preserve">」上線；未給 </t>
    </r>
    <r>
      <rPr>
        <sz val="10"/>
        <color rgb="FF000000"/>
        <rFont val="Arial"/>
        <family val="0"/>
        <charset val="1"/>
      </rPr>
      <t xml:space="preserve">GW</t>
    </r>
  </si>
  <si>
    <t xml:space="preserve">SRC_ANT_213</t>
  </si>
  <si>
    <t xml:space="preserve">cmp_fluidstack_sites_dcd</t>
  </si>
  <si>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首批站點推測（德州、紐約）容量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</si>
  <si>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（單站）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</si>
  <si>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plans $50bn US data center spend, starting with Fluidstack sites in Texas and New York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</si>
  <si>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https://www.datacenterdynamics.com/en/news/anthropic-plans-50bn-us-data-center-spend-starting-with-fluidstack-sites-in-texas-and-new-york/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</si>
  <si>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推測德州「</t>
    </r>
    <r>
      <rPr>
        <sz val="10"/>
        <color rgb="FF000000"/>
        <rFont val="Arial"/>
        <family val="0"/>
        <charset val="1"/>
      </rPr>
      <t xml:space="preserve">could be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Abernathy 168MW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Cipher 244MW</t>
    </r>
    <r>
      <rPr>
        <sz val="10"/>
        <color rgb="FF000000"/>
        <rFont val="Noto Sans CJK SC"/>
        <family val="2"/>
      </rPr>
      <t xml:space="preserve">、紐約「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Lake Mariner 360MW</t>
    </r>
    <r>
      <rPr>
        <sz val="10"/>
        <color rgb="FF000000"/>
        <rFont val="Noto Sans CJK SC"/>
        <family val="2"/>
      </rPr>
      <t xml:space="preserve">；未經確認</t>
    </r>
  </si>
  <si>
    <t xml:space="preserve">SRC_ANT_214</t>
  </si>
  <si>
    <t xml:space="preserve">cmp_hut8_riverbend_mw</t>
  </si>
  <si>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Louisiana</t>
    </r>
    <r>
      <rPr>
        <sz val="10"/>
        <color rgb="FF000000"/>
        <rFont val="Noto Sans CJK SC"/>
        <family val="2"/>
      </rPr>
      <t xml:space="preserve">）租約容量（經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</si>
  <si>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起交付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</si>
  <si>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Hut 8 signs 245MW capacity deal with Fluidstack as part of multi-gigawatt partnership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</si>
  <si>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https://www.datacenterdynamics.com/en/news/hut-8-signs-245mw-capacity-deal-with-fluidstack-as-part-of-multi-gigawatt-partnership-with-anthropic</t>
  </si>
  <si>
    <t xml:space="preserve">2025-12-17</t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</si>
  <si>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</si>
  <si>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15-year, 245MW lease with Fluidstack</t>
    </r>
    <r>
      <rPr>
        <sz val="10"/>
        <color rgb="FF000000"/>
        <rFont val="Noto Sans CJK SC"/>
        <family val="2"/>
      </rPr>
      <t xml:space="preserve">」，總值「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」，含選擇權可達 </t>
    </r>
    <r>
      <rPr>
        <sz val="10"/>
        <color rgb="FF000000"/>
        <rFont val="Arial"/>
        <family val="0"/>
        <charset val="1"/>
      </rPr>
      <t xml:space="preserve">$17.7B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擔保；</t>
    </r>
    <r>
      <rPr>
        <sz val="10"/>
        <color rgb="FF000000"/>
        <rFont val="Arial"/>
        <family val="0"/>
        <charset val="1"/>
      </rPr>
      <t xml:space="preserve">2027Q2 </t>
    </r>
    <r>
      <rPr>
        <sz val="10"/>
        <color rgb="FF000000"/>
        <rFont val="Noto Sans CJK SC"/>
        <family val="2"/>
      </rPr>
      <t xml:space="preserve">完工</t>
    </r>
  </si>
  <si>
    <t xml:space="preserve">SRC_ANT_215</t>
  </si>
  <si>
    <t xml:space="preserve">cmp_hut8_riverbend_usd</t>
  </si>
  <si>
    <r>
      <rPr>
        <sz val="10"/>
        <color rgb="FF000000"/>
        <rFont val="Arial"/>
        <family val="0"/>
        <charset val="1"/>
      </rPr>
      <t xml:space="preserve">Hut 8 River Bend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</si>
  <si>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含全部續約選擇權）</t>
    </r>
  </si>
  <si>
    <t xml:space="preserve">2027–2042</t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</si>
  <si>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</si>
  <si>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triple net (NNN) deal valued at $7 billion</t>
    </r>
    <r>
      <rPr>
        <sz val="10"/>
        <color rgb="FF000000"/>
        <rFont val="Noto Sans CJK SC"/>
        <family val="2"/>
      </rPr>
      <t xml:space="preserve">」；屬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為最終用戶，可能已含於 </t>
    </r>
    <r>
      <rPr>
        <sz val="10"/>
        <color rgb="FF000000"/>
        <rFont val="Arial"/>
        <family val="0"/>
        <charset val="1"/>
      </rPr>
      <t xml:space="preserve">$50B </t>
    </r>
    <r>
      <rPr>
        <sz val="10"/>
        <color rgb="FF000000"/>
        <rFont val="Noto Sans CJK SC"/>
        <family val="2"/>
      </rPr>
      <t xml:space="preserve">內</t>
    </r>
  </si>
  <si>
    <t xml:space="preserve">SRC_ANT_216</t>
  </si>
  <si>
    <t xml:space="preserve">cmp_hut8_anthropic_upto_gw</t>
  </si>
  <si>
    <r>
      <rPr>
        <sz val="10"/>
        <color rgb="FF000000"/>
        <rFont val="Arial"/>
        <family val="0"/>
        <charset val="1"/>
      </rPr>
      <t xml:space="preserve">Hut 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開發容量上限</t>
    </r>
  </si>
  <si>
    <r>
      <rPr>
        <sz val="10"/>
        <color rgb="FF000000"/>
        <rFont val="Arial"/>
        <family val="0"/>
        <charset val="1"/>
      </rPr>
      <t xml:space="preserve">Hut 8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</si>
  <si>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245MW and up to 2.295GW of AI data center infrastructure for Anthropic</t>
    </r>
    <r>
      <rPr>
        <sz val="10"/>
        <color rgb="FF000000"/>
        <rFont val="Noto Sans CJK SC"/>
        <family val="2"/>
      </rPr>
      <t xml:space="preserve">」；另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有至多 </t>
    </r>
    <r>
      <rPr>
        <sz val="10"/>
        <color rgb="FF000000"/>
        <rFont val="Arial"/>
        <family val="0"/>
        <charset val="1"/>
      </rPr>
      <t xml:space="preserve">1GW IT ROFO</t>
    </r>
  </si>
  <si>
    <t xml:space="preserve">SRC_ANT_217</t>
  </si>
  <si>
    <t xml:space="preserve">cmp_terawulf_ky_mw</t>
  </si>
  <si>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Kentucky</t>
    </r>
    <r>
      <rPr>
        <sz val="10"/>
        <color rgb="FF000000"/>
        <rFont val="Noto Sans CJK SC"/>
        <family val="2"/>
      </rPr>
      <t xml:space="preserve">）租約容量（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</si>
  <si>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</t>
    </r>
  </si>
  <si>
    <r>
      <rPr>
        <sz val="10"/>
        <color rgb="FF000000"/>
        <rFont val="Arial"/>
        <family val="0"/>
        <charset val="1"/>
      </rPr>
      <t xml:space="preserve">TeraWulf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TeraWulf Reports Second Quarter 2026 Results</t>
    </r>
    <r>
      <rPr>
        <sz val="10"/>
        <color rgb="FF000000"/>
        <rFont val="Noto Sans CJK SC"/>
        <family val="2"/>
      </rPr>
      <t xml:space="preserve">〉</t>
    </r>
  </si>
  <si>
    <t xml:space="preserve">https://investors.terawulf.com/news-events/press-releases/detail/144</t>
  </si>
  <si>
    <t xml:space="preserve">2026-08-05</t>
  </si>
  <si>
    <r>
      <rPr>
        <sz val="10"/>
        <color rgb="FF000000"/>
        <rFont val="Arial"/>
        <family val="0"/>
        <charset val="1"/>
      </rPr>
      <t xml:space="preserve">TeraWulf</t>
    </r>
    <r>
      <rPr>
        <sz val="10"/>
        <color rgb="FF000000"/>
        <rFont val="Noto Sans CJK SC"/>
        <family val="2"/>
      </rPr>
      <t xml:space="preserve">（房東，業務宣傳誘因）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</si>
  <si>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20-year data center lease with Anthropic for approximately 401 MW of critical IT capacity</t>
    </r>
    <r>
      <rPr>
        <sz val="10"/>
        <color rgb="FF000000"/>
        <rFont val="Noto Sans CJK SC"/>
        <family val="2"/>
      </rPr>
      <t xml:space="preserve">」</t>
    </r>
  </si>
  <si>
    <t xml:space="preserve">SRC_ANT_218</t>
  </si>
  <si>
    <t xml:space="preserve">cmp_terawulf_ky_usd</t>
  </si>
  <si>
    <r>
      <rPr>
        <sz val="10"/>
        <color rgb="FF000000"/>
        <rFont val="Arial"/>
        <family val="0"/>
        <charset val="1"/>
      </rPr>
      <t xml:space="preserve">TeraWulf Hawesville </t>
    </r>
    <r>
      <rPr>
        <sz val="10"/>
        <color rgb="FF000000"/>
        <rFont val="Noto Sans CJK SC"/>
        <family val="2"/>
      </rPr>
      <t xml:space="preserve">租約合約收入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</si>
  <si>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年總額）</t>
    </r>
  </si>
  <si>
    <t xml:space="preserve">2027–2047</t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</si>
  <si>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approximately $19 billion of contracted revenue over the initial term</t>
    </r>
    <r>
      <rPr>
        <sz val="10"/>
        <color rgb="FF000000"/>
        <rFont val="Noto Sans CJK SC"/>
        <family val="2"/>
      </rPr>
      <t xml:space="preserve">」；屬機房租賃（不含晶片）</t>
    </r>
  </si>
  <si>
    <t xml:space="preserve">SRC_ANT_219</t>
  </si>
  <si>
    <t xml:space="preserve">cmp_riot_rockdale_mw</t>
  </si>
  <si>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）租約容量</t>
    </r>
  </si>
  <si>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96MW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2027-12</t>
    </r>
    <r>
      <rPr>
        <sz val="10"/>
        <color rgb="FF000000"/>
        <rFont val="Noto Sans CJK SC"/>
        <family val="2"/>
      </rPr>
      <t xml:space="preserve">、全數 </t>
    </r>
    <r>
      <rPr>
        <sz val="10"/>
        <color rgb="FF000000"/>
        <rFont val="Arial"/>
        <family val="0"/>
        <charset val="1"/>
      </rPr>
      <t xml:space="preserve">2028-06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</si>
  <si>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Riot Platforms agrees 191MW 20-year lease agreement with Anthropic worth $9.1bn – report</t>
    </r>
    <r>
      <rPr>
        <sz val="10"/>
        <color rgb="FF000000"/>
        <rFont val="Noto Sans CJK SC"/>
        <family val="2"/>
      </rPr>
      <t xml:space="preserve">〉</t>
    </r>
  </si>
  <si>
    <t xml:space="preserve">https://www.datacenterdynamics.com/en/news/riot-platforms-agrees-191mw-20-year-lease-agreement-with-anthropic-worth-91bn-report/</t>
  </si>
  <si>
    <t xml:space="preserve">2026-08-11</t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</si>
  <si>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（房東）；客戶身分由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引述知情人士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</si>
  <si>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20-year, $9.1 billion deal to lease 191MW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Riot </t>
    </r>
    <r>
      <rPr>
        <sz val="10"/>
        <color rgb="FF000000"/>
        <rFont val="Noto Sans CJK SC"/>
        <family val="2"/>
      </rPr>
      <t xml:space="preserve">只稱「</t>
    </r>
    <r>
      <rPr>
        <sz val="10"/>
        <color rgb="FF000000"/>
        <rFont val="Arial"/>
        <family val="0"/>
        <charset val="1"/>
      </rPr>
      <t xml:space="preserve">leading frontier AI labs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指認</t>
    </r>
  </si>
  <si>
    <t xml:space="preserve">SRC_ANT_220</t>
  </si>
  <si>
    <t xml:space="preserve">cmp_riot_rockdale_usd</t>
  </si>
  <si>
    <r>
      <rPr>
        <sz val="10"/>
        <color rgb="FF000000"/>
        <rFont val="Arial"/>
        <family val="0"/>
        <charset val="1"/>
      </rPr>
      <t xml:space="preserve">Riot Rockdale </t>
    </r>
    <r>
      <rPr>
        <sz val="10"/>
        <color rgb="FF000000"/>
        <rFont val="Noto Sans CJK SC"/>
        <family val="2"/>
      </rPr>
      <t xml:space="preserve">租約總值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</si>
  <si>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含兩次五年續約）</t>
    </r>
  </si>
  <si>
    <r>
      <rPr>
        <sz val="10"/>
        <color rgb="FF000000"/>
        <rFont val="Arial"/>
        <family val="0"/>
        <charset val="1"/>
      </rPr>
      <t xml:space="preserve">Riot</t>
    </r>
    <r>
      <rPr>
        <sz val="10"/>
        <color rgb="FF000000"/>
        <rFont val="Noto Sans CJK SC"/>
        <family val="2"/>
      </rPr>
      <t xml:space="preserve">（房東）／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</si>
  <si>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含續約選擇權「</t>
    </r>
    <r>
      <rPr>
        <sz val="10"/>
        <color rgb="FF000000"/>
        <rFont val="Arial"/>
        <family val="0"/>
        <charset val="1"/>
      </rPr>
      <t xml:space="preserve">potential total is $16.5bn</t>
    </r>
    <r>
      <rPr>
        <sz val="10"/>
        <color rgb="FF000000"/>
        <rFont val="Noto Sans CJK SC"/>
        <family val="2"/>
      </rPr>
      <t xml:space="preserve">」</t>
    </r>
  </si>
  <si>
    <t xml:space="preserve">SRC_ANT_221</t>
  </si>
  <si>
    <t xml:space="preserve">cmp_nscale_usd</t>
  </si>
  <si>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West Virginia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</si>
  <si>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（六年總額）</t>
    </r>
  </si>
  <si>
    <r>
      <rPr>
        <sz val="10"/>
        <color rgb="FF000000"/>
        <rFont val="Noto Sans CJK SC"/>
        <family val="2"/>
      </rPr>
      <t xml:space="preserve">六年；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</si>
  <si>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$45bn compute capacity agreement with Nscale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</si>
  <si>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https://www.datacenterdynamics.com/en/news/anthropic-signs-45bn-compute-capacity-agreement-with-nscale-report/</t>
  </si>
  <si>
    <t xml:space="preserve">2026-08-27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</si>
  <si>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知情人士（未經公司確認）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</si>
  <si>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 billion AI cloud capacity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for a period of six years</t>
    </r>
    <r>
      <rPr>
        <sz val="10"/>
        <color rgb="FF000000"/>
        <rFont val="Noto Sans CJK SC"/>
        <family val="2"/>
      </rPr>
      <t xml:space="preserve">」；含 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晶片（算力服務，非單純機房）</t>
    </r>
  </si>
  <si>
    <t xml:space="preserve">SRC_ANT_222</t>
  </si>
  <si>
    <t xml:space="preserve">cmp_nscale_mw</t>
  </si>
  <si>
    <r>
      <rPr>
        <sz val="10"/>
        <color rgb="FF000000"/>
        <rFont val="Arial"/>
        <family val="0"/>
        <charset val="1"/>
      </rPr>
      <t xml:space="preserve">Nscale Monarch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</si>
  <si>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</t>
    </r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</si>
  <si>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</si>
  <si>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lease 460MW of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 Vera Rubin AI chips…online late next year</t>
    </r>
    <r>
      <rPr>
        <sz val="10"/>
        <color rgb="FF000000"/>
        <rFont val="Noto Sans CJK SC"/>
        <family val="2"/>
      </rPr>
      <t xml:space="preserve">」；園區另有 </t>
    </r>
    <r>
      <rPr>
        <sz val="10"/>
        <color rgb="FF000000"/>
        <rFont val="Arial"/>
        <family val="0"/>
        <charset val="1"/>
      </rPr>
      <t xml:space="preserve">Microsoft 1.35GW</t>
    </r>
  </si>
  <si>
    <t xml:space="preserve">SRC_ANT_223</t>
  </si>
  <si>
    <t xml:space="preserve">cmp_lambda_usd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</si>
  <si>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</si>
  <si>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（多年總額）</t>
    </r>
  </si>
  <si>
    <t xml:space="preserve">多年（期間未揭露）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</si>
  <si>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$35 billion cloud deal with Nvidia-backed Lambda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</si>
  <si>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https://www.vktr.com/ai-market/anthropic-signs-35-billion-cloud-deal-with-nvidia-backed-lambda/</t>
  </si>
  <si>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</si>
  <si>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$35 billion cloud-computing agreement with Lambda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晶片；站點為 </t>
    </r>
    <r>
      <rPr>
        <sz val="10"/>
        <color rgb="FF000000"/>
        <rFont val="Arial"/>
        <family val="0"/>
        <charset val="1"/>
      </rPr>
      <t xml:space="preserve">Hut 8 Nueces County, Texas</t>
    </r>
  </si>
  <si>
    <t xml:space="preserve">SRC_ANT_224</t>
  </si>
  <si>
    <t xml:space="preserve">cmp_lambda_mw</t>
  </si>
  <si>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合約站點容量</t>
    </r>
  </si>
  <si>
    <t xml:space="preserve">未揭露</t>
  </si>
  <si>
    <r>
      <rPr>
        <sz val="10"/>
        <color rgb="FF000000"/>
        <rFont val="Arial"/>
        <family val="0"/>
        <charset val="1"/>
      </rPr>
      <t xml:space="preserve">VKTR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</si>
  <si>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</si>
  <si>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350-megawatt Texas data center where NVIDIA holds the lease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Beacon Point </t>
    </r>
    <r>
      <rPr>
        <sz val="10"/>
        <color rgb="FF000000"/>
        <rFont val="Noto Sans CJK SC"/>
        <family val="2"/>
      </rPr>
      <t xml:space="preserve">園區總計 </t>
    </r>
    <r>
      <rPr>
        <sz val="10"/>
        <color rgb="FF000000"/>
        <rFont val="Arial"/>
        <family val="0"/>
        <charset val="1"/>
      </rPr>
      <t xml:space="preserve">1GW</t>
    </r>
  </si>
  <si>
    <t xml:space="preserve">SRC_ANT_225</t>
  </si>
  <si>
    <t xml:space="preserve">cmp_spacex_colossus1_mw</t>
  </si>
  <si>
    <r>
      <rPr>
        <sz val="10"/>
        <color rgb="FF000000"/>
        <rFont val="Arial"/>
        <family val="0"/>
        <charset val="1"/>
      </rPr>
      <t xml:space="preserve">SpaceX Colossus 1 </t>
    </r>
    <r>
      <rPr>
        <sz val="10"/>
        <color rgb="FF000000"/>
        <rFont val="Noto Sans CJK SC"/>
        <family val="2"/>
      </rPr>
      <t xml:space="preserve">算力容量（公司自述）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</si>
  <si>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（一個月內上線）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</si>
  <si>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（市場地位、用量額度宣傳誘因）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</si>
  <si>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more than 300 megawatts of new capacity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all of the compute capacity at their Colossus 1</t>
    </r>
    <r>
      <rPr>
        <sz val="10"/>
        <color rgb="FF000000"/>
        <rFont val="Noto Sans CJK SC"/>
        <family val="2"/>
      </rPr>
      <t xml:space="preserve">」</t>
    </r>
  </si>
  <si>
    <t xml:space="preserve">SRC_ANT_226</t>
  </si>
  <si>
    <t xml:space="preserve">cmp_spacex_colossus1_gpus</t>
  </si>
  <si>
    <r>
      <rPr>
        <sz val="10"/>
        <color rgb="FF000000"/>
        <rFont val="Arial"/>
        <family val="0"/>
        <charset val="1"/>
      </rPr>
      <t xml:space="preserve">SpaceX Colossus 1 GPU </t>
    </r>
    <r>
      <rPr>
        <sz val="10"/>
        <color rgb="FF000000"/>
        <rFont val="Noto Sans CJK SC"/>
        <family val="2"/>
      </rPr>
      <t xml:space="preserve">數量</t>
    </r>
  </si>
  <si>
    <r>
      <rPr>
        <sz val="10"/>
        <color rgb="FF000000"/>
        <rFont val="Noto Sans CJK SC"/>
        <family val="2"/>
      </rPr>
      <t xml:space="preserve">顆 </t>
    </r>
    <r>
      <rPr>
        <sz val="10"/>
        <color rgb="FF000000"/>
        <rFont val="Arial"/>
        <family val="0"/>
        <charset val="1"/>
      </rPr>
      <t xml:space="preserve">NVIDIA GPU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</si>
  <si>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over 220,000 NVIDIA GPUs</t>
    </r>
    <r>
      <rPr>
        <sz val="10"/>
        <color rgb="FF000000"/>
        <rFont val="Noto Sans CJK SC"/>
        <family val="2"/>
      </rPr>
      <t xml:space="preserve">」；未給型號</t>
    </r>
  </si>
  <si>
    <t xml:space="preserve">SRC_ANT_227</t>
  </si>
  <si>
    <t xml:space="preserve">cmp_spacex_monthly_fee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</si>
  <si>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算力月費（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申報）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</si>
  <si>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</si>
  <si>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</si>
  <si>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轉載）〈</t>
    </r>
    <r>
      <rPr>
        <sz val="10"/>
        <color rgb="FF000000"/>
        <rFont val="Arial"/>
        <family val="0"/>
        <charset val="1"/>
      </rPr>
      <t xml:space="preserve">Anthropic nears first quarterly profit, agrees to pay SpaceX $1.25 billion monthly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</si>
  <si>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https://finance.yahoo.com/sectors/technology/articles/anthropic-nears-first-quarterly-profit-000422401.html</t>
  </si>
  <si>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申報「</t>
    </r>
    <r>
      <rPr>
        <sz val="10"/>
        <color rgb="FF000000"/>
        <rFont val="Arial"/>
        <family val="0"/>
        <charset val="1"/>
      </rPr>
      <t xml:space="preserve">$1.25 billion per month through May 2029</t>
    </r>
    <r>
      <rPr>
        <sz val="10"/>
        <color rgb="FF000000"/>
        <rFont val="Noto Sans CJK SC"/>
        <family val="2"/>
      </rPr>
      <t xml:space="preserve">」，含 </t>
    </r>
    <r>
      <rPr>
        <sz val="10"/>
        <color rgb="FF000000"/>
        <rFont val="Arial"/>
        <family val="0"/>
        <charset val="1"/>
      </rPr>
      <t xml:space="preserve">Colossus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Colossus II</t>
    </r>
    <r>
      <rPr>
        <sz val="10"/>
        <color rgb="FF000000"/>
        <rFont val="Noto Sans CJK SC"/>
        <family val="2"/>
      </rPr>
      <t xml:space="preserve">；任一方「</t>
    </r>
    <r>
      <rPr>
        <sz val="10"/>
        <color rgb="FF000000"/>
        <rFont val="Arial"/>
        <family val="0"/>
        <charset val="1"/>
      </rPr>
      <t xml:space="preserve">90 days' notice</t>
    </r>
    <r>
      <rPr>
        <sz val="10"/>
        <color rgb="FF000000"/>
        <rFont val="Noto Sans CJK SC"/>
        <family val="2"/>
      </rPr>
      <t xml:space="preserve">」可終止；</t>
    </r>
    <r>
      <rPr>
        <sz val="10"/>
        <color rgb="FF000000"/>
        <rFont val="Arial"/>
        <family val="0"/>
        <charset val="1"/>
      </rPr>
      <t xml:space="preserve">5–6 </t>
    </r>
    <r>
      <rPr>
        <sz val="10"/>
        <color rgb="FF000000"/>
        <rFont val="Noto Sans CJK SC"/>
        <family val="2"/>
      </rPr>
      <t xml:space="preserve">月爬坡期費用較低</t>
    </r>
  </si>
  <si>
    <t xml:space="preserve">SRC_ANT_228</t>
  </si>
  <si>
    <t xml:space="preserve">cmp_spacex_term_musk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</si>
  <si>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租約期間（</t>
    </r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說法）</t>
    </r>
  </si>
  <si>
    <t xml:space="preserve">天（初始期）</t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</si>
  <si>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</si>
  <si>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AI Weekly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SpaceX S-1 contradicts Musk on Anthropic deal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）</t>
    </r>
  </si>
  <si>
    <t xml:space="preserve">https://aiweekly.co/alerts/spacex-s-1-contradicts-musk-on-anthropic-deal</t>
  </si>
  <si>
    <t xml:space="preserve">2026-05-29</t>
  </si>
  <si>
    <r>
      <rPr>
        <sz val="10"/>
        <color rgb="FF000000"/>
        <rFont val="Arial"/>
        <family val="0"/>
        <charset val="1"/>
      </rPr>
      <t xml:space="preserve">Elon Musk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（議價與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敘事誘因）</t>
    </r>
  </si>
  <si>
    <r>
      <rPr>
        <sz val="10"/>
        <color rgb="FF000000"/>
        <rFont val="Arial"/>
        <family val="0"/>
        <charset val="1"/>
      </rPr>
      <t xml:space="preserve">Musk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180-day lease with 90 day notice mutual cancellation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through May 2029</t>
    </r>
    <r>
      <rPr>
        <sz val="10"/>
        <color rgb="FF000000"/>
        <rFont val="Noto Sans CJK SC"/>
        <family val="2"/>
      </rPr>
      <t xml:space="preserve">」矛盾，實際可隨時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天退出</t>
    </r>
  </si>
  <si>
    <t xml:space="preserve">SRC_ANT_229</t>
  </si>
  <si>
    <t xml:space="preserve">cmp_spacex_total_prospectus</t>
  </si>
  <si>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算力支出上限（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</si>
  <si>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總額上限）</t>
    </r>
  </si>
  <si>
    <t xml:space="preserve">2026–2029</t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</si>
  <si>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Reuters, Echo Wang &amp; Sabrina Valle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</si>
  <si>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t xml:space="preserve">https://www.businessday.co.za/world/international-companies/2026-09-29-anthropic-plans-518bn-ai-infrastructure-spend-80-non-cancellable/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</si>
  <si>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</si>
  <si>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up to $84.5bn for Nvidia-based computing capacity through 2029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largely cancellable with a 90-day notice</t>
    </r>
    <r>
      <rPr>
        <sz val="10"/>
        <color rgb="FF000000"/>
        <rFont val="Noto Sans CJK SC"/>
        <family val="2"/>
      </rPr>
      <t xml:space="preserve">」；約為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$1.25B×36≈$45B </t>
    </r>
    <r>
      <rPr>
        <sz val="10"/>
        <color rgb="FF000000"/>
        <rFont val="Noto Sans CJK SC"/>
        <family val="2"/>
      </rPr>
      <t xml:space="preserve">的兩倍，顯示已擴大</t>
    </r>
  </si>
  <si>
    <t xml:space="preserve">SRC_ANT_230</t>
  </si>
  <si>
    <t xml:space="preserve">cmp_spacex_total_b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</si>
  <si>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合約總值（媒體以月費推算）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</si>
  <si>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（三年）</t>
    </r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</si>
  <si>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$517B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</si>
  <si>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表列 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$45B (~$1.25B/mo)</t>
    </r>
    <r>
      <rPr>
        <sz val="10"/>
        <color rgb="FF000000"/>
        <rFont val="Noto Sans CJK SC"/>
        <family val="2"/>
      </rPr>
      <t xml:space="preserve">」；為月費</t>
    </r>
    <r>
      <rPr>
        <sz val="10"/>
        <color rgb="FF000000"/>
        <rFont val="Arial"/>
        <family val="0"/>
        <charset val="1"/>
      </rPr>
      <t xml:space="preserve">×36 </t>
    </r>
    <r>
      <rPr>
        <sz val="10"/>
        <color rgb="FF000000"/>
        <rFont val="Noto Sans CJK SC"/>
        <family val="2"/>
      </rPr>
      <t xml:space="preserve">推算，與招股書 </t>
    </r>
    <r>
      <rPr>
        <sz val="10"/>
        <color rgb="FF000000"/>
        <rFont val="Arial"/>
        <family val="0"/>
        <charset val="1"/>
      </rPr>
      <t xml:space="preserve">$84.5B </t>
    </r>
    <r>
      <rPr>
        <sz val="10"/>
        <color rgb="FF000000"/>
        <rFont val="Noto Sans CJK SC"/>
        <family val="2"/>
      </rPr>
      <t xml:space="preserve">上限矛盾</t>
    </r>
  </si>
  <si>
    <t xml:space="preserve">SRC_ANT_231</t>
  </si>
  <si>
    <t xml:space="preserve">cmp_amd_gw</t>
  </si>
  <si>
    <r>
      <rPr>
        <sz val="10"/>
        <color rgb="FF000000"/>
        <rFont val="Arial"/>
        <family val="0"/>
        <charset val="1"/>
      </rPr>
      <t xml:space="preserve">AMD Instinct MI450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MI455X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）部署容量</t>
    </r>
  </si>
  <si>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</si>
  <si>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AMD and Anthropic Announce Strategic Partnership to Deploy up to 2 Gigawatts of AMD Instinct MI450 Series GPUs</t>
    </r>
    <r>
      <rPr>
        <sz val="10"/>
        <color rgb="FF000000"/>
        <rFont val="Noto Sans CJK SC"/>
        <family val="2"/>
      </rPr>
      <t xml:space="preserve">〉</t>
    </r>
  </si>
  <si>
    <t xml:space="preserve">https://newsroom.amd.com/news/amd-anthropic-strategic-partnership/</t>
  </si>
  <si>
    <t xml:space="preserve">2026-07-22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</si>
  <si>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（晶片銷售與股價誘因）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</si>
  <si>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deploy up to 2 gigawatts…first gigawatt beginning in the first half of 2027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另投資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至多 </t>
    </r>
    <r>
      <rPr>
        <sz val="10"/>
        <color rgb="FF000000"/>
        <rFont val="Arial"/>
        <family val="0"/>
        <charset val="1"/>
      </rPr>
      <t xml:space="preserve">$5B</t>
    </r>
  </si>
  <si>
    <t xml:space="preserve">SRC_ANT_232</t>
  </si>
  <si>
    <t xml:space="preserve">cmp_amd_usd_prospectus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</si>
  <si>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算力供應金額（招股書草稿）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</si>
  <si>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起（期間未揭露）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</si>
  <si>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</si>
  <si>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 computing capacity expected to exceed $20bn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若以 </t>
    </r>
    <r>
      <rPr>
        <sz val="10"/>
        <color rgb="FF000000"/>
        <rFont val="Arial"/>
        <family val="0"/>
        <charset val="1"/>
      </rPr>
      <t xml:space="preserve">$20B </t>
    </r>
    <r>
      <rPr>
        <sz val="10"/>
        <color rgb="FF000000"/>
        <rFont val="Noto Sans CJK SC"/>
        <family val="2"/>
      </rPr>
      <t xml:space="preserve">計僅約 </t>
    </r>
    <r>
      <rPr>
        <sz val="10"/>
        <color rgb="FF000000"/>
        <rFont val="Arial"/>
        <family val="0"/>
        <charset val="1"/>
      </rPr>
      <t xml:space="preserve">$10B/GW</t>
    </r>
    <r>
      <rPr>
        <sz val="10"/>
        <color rgb="FF000000"/>
        <rFont val="Noto Sans CJK SC"/>
        <family val="2"/>
      </rPr>
      <t xml:space="preserve">，可能只含首期或算力租賃費</t>
    </r>
  </si>
  <si>
    <t xml:space="preserve">SRC_ANT_233</t>
  </si>
  <si>
    <t xml:space="preserve">cmp_coreweave_2026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</si>
  <si>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多年算力合約（金額、容量未揭露）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</si>
  <si>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下半年起上線；多年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</si>
  <si>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CoreWeave Announces Multi-Year Agreement With Anthropic</t>
    </r>
    <r>
      <rPr>
        <sz val="10"/>
        <color rgb="FF000000"/>
        <rFont val="Noto Sans CJK SC"/>
        <family val="2"/>
      </rPr>
      <t xml:space="preserve">〉</t>
    </r>
  </si>
  <si>
    <t xml:space="preserve">https://coreweave.com/news/coreweave-announces-multi-year-agreement-with-anthropic</t>
  </si>
  <si>
    <t xml:space="preserve">2026-04-10</t>
  </si>
  <si>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（業務宣傳誘因）</t>
    </r>
  </si>
  <si>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multi-year agreement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bring compute online starting later this year</t>
    </r>
    <r>
      <rPr>
        <sz val="10"/>
        <color rgb="FF000000"/>
        <rFont val="Noto Sans CJK SC"/>
        <family val="2"/>
      </rPr>
      <t xml:space="preserve">」；未揭露金額、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、晶片</t>
    </r>
  </si>
  <si>
    <t xml:space="preserve">SRC_ANT_234</t>
  </si>
  <si>
    <t xml:space="preserve">cmp_akamai_usd</t>
  </si>
  <si>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雲端算力合約金額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</si>
  <si>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（七年總額）</t>
    </r>
  </si>
  <si>
    <t xml:space="preserve">2026–2033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</si>
  <si>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Forbes, Janakiram MSV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Akamai lands $1.8 billion…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</si>
  <si>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https://finance.yahoo.com/sectors/technology/articles/akamai-lands-1-8-billion-022427922.html</t>
  </si>
  <si>
    <t xml:space="preserve">2026-05-08</t>
  </si>
  <si>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財報揭露未具名客戶）；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知情人士指認 </t>
    </r>
    <r>
      <rPr>
        <sz val="10"/>
        <color rgb="FF000000"/>
        <rFont val="Arial"/>
        <family val="0"/>
        <charset val="1"/>
      </rPr>
      <t xml:space="preserve">Anthropic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</si>
  <si>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committed $1.8 billion over seven years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NVIDIA RTX PRO 6000 Blackwell</t>
    </r>
    <r>
      <rPr>
        <sz val="10"/>
        <color rgb="FF000000"/>
        <rFont val="Noto Sans CJK SC"/>
        <family val="2"/>
      </rPr>
      <t xml:space="preserve">；兩家公司未證實</t>
    </r>
  </si>
  <si>
    <t xml:space="preserve">SRC_ANT_235</t>
  </si>
  <si>
    <t xml:space="preserve">cmp_google_tpu_2025_gen</t>
  </si>
  <si>
    <r>
      <rPr>
        <sz val="10"/>
        <color rgb="FF000000"/>
        <rFont val="Arial"/>
        <family val="0"/>
        <charset val="1"/>
      </rPr>
      <t xml:space="preserve">Google Cloud TPU </t>
    </r>
    <r>
      <rPr>
        <sz val="10"/>
        <color rgb="FF000000"/>
        <rFont val="Noto Sans CJK SC"/>
        <family val="2"/>
      </rPr>
      <t xml:space="preserve">合約－晶片世代</t>
    </r>
  </si>
  <si>
    <r>
      <rPr>
        <sz val="10"/>
        <color rgb="FF000000"/>
        <rFont val="Noto Sans CJK SC"/>
        <family val="2"/>
      </rPr>
      <t xml:space="preserve">定性（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第七代 </t>
    </r>
    <r>
      <rPr>
        <sz val="10"/>
        <color rgb="FF000000"/>
        <rFont val="Arial"/>
        <family val="0"/>
        <charset val="1"/>
      </rPr>
      <t xml:space="preserve">Ironwood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</si>
  <si>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to Expand Use of Google Cloud TPUs and Services</t>
    </r>
    <r>
      <rPr>
        <sz val="10"/>
        <color rgb="FF000000"/>
        <rFont val="Noto Sans CJK SC"/>
        <family val="2"/>
      </rPr>
      <t xml:space="preserve">〉</t>
    </r>
  </si>
  <si>
    <t xml:space="preserve">https://www.googlecloudpresscorner.com/2025-10-23-Anthropic-to-Expand-Use-of-Google-Cloud-TPUs-and-Services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</si>
  <si>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（雲端業務宣傳誘因）</t>
    </r>
  </si>
  <si>
    <r>
      <rPr>
        <sz val="10"/>
        <color rgb="FF000000"/>
        <rFont val="Arial"/>
        <family val="0"/>
        <charset val="1"/>
      </rPr>
      <t xml:space="preserve">Kurian </t>
    </r>
    <r>
      <rPr>
        <sz val="10"/>
        <color rgb="FF000000"/>
        <rFont val="Noto Sans CJK SC"/>
        <family val="2"/>
      </rPr>
      <t xml:space="preserve">提及「</t>
    </r>
    <r>
      <rPr>
        <sz val="10"/>
        <color rgb="FF000000"/>
        <rFont val="Arial"/>
        <family val="0"/>
        <charset val="1"/>
      </rPr>
      <t xml:space="preserve">our seventh generation TPU, Ironwood</t>
    </r>
    <r>
      <rPr>
        <sz val="10"/>
        <color rgb="FF000000"/>
        <rFont val="Noto Sans CJK SC"/>
        <family val="2"/>
      </rPr>
      <t xml:space="preserve">」；「</t>
    </r>
    <r>
      <rPr>
        <sz val="10"/>
        <color rgb="FF000000"/>
        <rFont val="Arial"/>
        <family val="0"/>
        <charset val="1"/>
      </rPr>
      <t xml:space="preserve">up to one million TPU chips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well over a gigawatt…in 2026</t>
    </r>
    <r>
      <rPr>
        <sz val="10"/>
        <color rgb="FF000000"/>
        <rFont val="Noto Sans CJK SC"/>
        <family val="2"/>
      </rPr>
      <t xml:space="preserve">」</t>
    </r>
  </si>
  <si>
    <t xml:space="preserve">SRC_ANT_236</t>
  </si>
  <si>
    <t xml:space="preserve">cmp_volta_usd</t>
  </si>
  <si>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Bitdeer, Norway Tydal</t>
    </r>
    <r>
      <rPr>
        <sz val="10"/>
        <color rgb="FF000000"/>
        <rFont val="Noto Sans CJK SC"/>
        <family val="2"/>
      </rPr>
      <t xml:space="preserve">）算力合約金額</t>
    </r>
  </si>
  <si>
    <r>
      <rPr>
        <sz val="10"/>
        <color rgb="FF000000"/>
        <rFont val="Noto Sans CJK SC"/>
        <family val="2"/>
      </rPr>
      <t xml:space="preserve">六年；分兩期至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</si>
  <si>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r>
      <rPr>
        <sz val="10"/>
        <color rgb="FF000000"/>
        <rFont val="Arial"/>
        <family val="0"/>
        <charset val="1"/>
      </rPr>
      <t xml:space="preserve">The Paypers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USD 10 billion computing deal with Volta Infra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</si>
  <si>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https://thepaypers.com/fintech/news/anthropic-signs-usd-10-billion-computing-deal-with-volta-infra</t>
  </si>
  <si>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Volta </t>
    </r>
    <r>
      <rPr>
        <sz val="10"/>
        <color rgb="FF000000"/>
        <rFont val="Noto Sans CJK SC"/>
        <family val="2"/>
      </rPr>
      <t xml:space="preserve">稱未具名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實驗室；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</si>
  <si>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 USD ten billion, six-year computing agreement</t>
    </r>
    <r>
      <rPr>
        <sz val="10"/>
        <color rgb="FF000000"/>
        <rFont val="Noto Sans CJK SC"/>
        <family val="2"/>
      </rPr>
      <t xml:space="preserve">」；站點在挪威（首個非美國專屬站點）</t>
    </r>
  </si>
  <si>
    <t xml:space="preserve">SRC_ANT_237</t>
  </si>
  <si>
    <t xml:space="preserve">cmp_volta_mw</t>
  </si>
  <si>
    <r>
      <rPr>
        <sz val="10"/>
        <color rgb="FF000000"/>
        <rFont val="Arial"/>
        <family val="0"/>
        <charset val="1"/>
      </rPr>
      <t xml:space="preserve">Volta Infra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</si>
  <si>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2027-03</t>
    </r>
  </si>
  <si>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locks in $10 billion of compute from Volta</t>
    </r>
    <r>
      <rPr>
        <sz val="10"/>
        <color rgb="FF000000"/>
        <rFont val="Noto Sans CJK SC"/>
        <family val="2"/>
      </rPr>
      <t xml:space="preserve">〉</t>
    </r>
  </si>
  <si>
    <t xml:space="preserve">https://the-decoder.com/anthropic-locks-in-10-billion-of-compute-from-volta-a-cloud-startup-that-didnt-exist-six-months-ago/</t>
  </si>
  <si>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（業務宣傳）／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</si>
  <si>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Volta puts the capacity at 133 megawatts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Nvidia's latest Vera Rubin chips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doc_date </t>
    </r>
    <r>
      <rPr>
        <sz val="10"/>
        <color rgb="FF000000"/>
        <rFont val="Noto Sans CJK SC"/>
        <family val="2"/>
      </rPr>
      <t xml:space="preserve">依同日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報導推定</t>
    </r>
  </si>
  <si>
    <t xml:space="preserve">SRC_ANT_238</t>
  </si>
  <si>
    <t xml:space="preserve">cmp_nexus_hubbard_mw</t>
  </si>
  <si>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）園區首期容量（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</si>
  <si>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＝遠期擴建）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</si>
  <si>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年內首期；遠期可擴至約 </t>
    </r>
    <r>
      <rPr>
        <sz val="10"/>
        <color rgb="FF000000"/>
        <rFont val="Arial"/>
        <family val="0"/>
        <charset val="1"/>
      </rPr>
      <t xml:space="preserve">7.7 GW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</si>
  <si>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provide financial backing for multi-billion dollar Anthropic data center in Texas – report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</si>
  <si>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https://www.datacenterdynamics.com/en/news/google-to-provide-financial-backing-for-multi-billion-dollar-anthropic-data-center-in-texas-report/</t>
  </si>
  <si>
    <t xml:space="preserve">2026-03-30</t>
  </si>
  <si>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</si>
  <si>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aimed to offer 500MW of capacity later this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expanded to around 7.7GW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2026-03 </t>
    </r>
    <r>
      <rPr>
        <sz val="10"/>
        <color rgb="FF000000"/>
        <rFont val="Noto Sans CJK SC"/>
        <family val="2"/>
      </rPr>
      <t xml:space="preserve">簽租約；融資最高 </t>
    </r>
    <r>
      <rPr>
        <sz val="10"/>
        <color rgb="FF000000"/>
        <rFont val="Arial"/>
        <family val="0"/>
        <charset val="1"/>
      </rPr>
      <t xml:space="preserve">$5bn</t>
    </r>
  </si>
  <si>
    <t xml:space="preserve">SRC_ANT_239</t>
  </si>
  <si>
    <t xml:space="preserve">cmp_nexus_hubbard_financing</t>
  </si>
  <si>
    <r>
      <rPr>
        <sz val="10"/>
        <color rgb="FF000000"/>
        <rFont val="Arial"/>
        <family val="0"/>
        <charset val="1"/>
      </rPr>
      <t xml:space="preserve">Nexus Hubbard </t>
    </r>
    <r>
      <rPr>
        <sz val="10"/>
        <color rgb="FF000000"/>
        <rFont val="Noto Sans CJK SC"/>
        <family val="2"/>
      </rPr>
      <t xml:space="preserve">園區融資規模</t>
    </r>
  </si>
  <si>
    <r>
      <rPr>
        <sz val="10"/>
        <color rgb="FF000000"/>
        <rFont val="Arial"/>
        <family val="0"/>
        <charset val="1"/>
      </rPr>
      <t xml:space="preserve">Global Data Center Hub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Morgan Stanley leads $15 billion financing talks for Anthropic's Texas campus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首報）</t>
    </r>
  </si>
  <si>
    <t xml:space="preserve">https://www.globaldatacenterhub.com/p/morgan-stanley-leads-15-billion-financing</t>
  </si>
  <si>
    <t xml:space="preserve">2026-08-03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</si>
  <si>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$15 billion, consisting of a $14 billion bridge loan</t>
    </r>
    <r>
      <rPr>
        <sz val="10"/>
        <color rgb="FF000000"/>
        <rFont val="Noto Sans CJK SC"/>
        <family val="2"/>
      </rPr>
      <t xml:space="preserve">」；自建燃氣電廠「</t>
    </r>
    <r>
      <rPr>
        <sz val="10"/>
        <color rgb="FF000000"/>
        <rFont val="Arial"/>
        <family val="0"/>
        <charset val="1"/>
      </rPr>
      <t xml:space="preserve">1.6 gigawatts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擔保租金與電費義務、取約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股權</t>
    </r>
  </si>
  <si>
    <t xml:space="preserve">SRC_ANT_240</t>
  </si>
  <si>
    <t xml:space="preserve">cmp_barber_lake_epoch</t>
  </si>
  <si>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Texas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電力（第三方歸屬 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</si>
  <si>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168MW 2026-12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207MW 2027-04</t>
    </r>
    <r>
      <rPr>
        <sz val="10"/>
        <color rgb="FF000000"/>
        <rFont val="Noto Sans CJK SC"/>
        <family val="2"/>
      </rPr>
      <t xml:space="preserve">（預估）</t>
    </r>
  </si>
  <si>
    <r>
      <rPr>
        <sz val="10"/>
        <color rgb="FF000000"/>
        <rFont val="Arial"/>
        <family val="0"/>
        <charset val="1"/>
      </rPr>
      <t xml:space="preserve">Epoch AI Data Centers Directory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Barber Lake</t>
    </r>
    <r>
      <rPr>
        <sz val="10"/>
        <color rgb="FF000000"/>
        <rFont val="Noto Sans CJK SC"/>
        <family val="2"/>
      </rPr>
      <t xml:space="preserve">〉</t>
    </r>
  </si>
  <si>
    <t xml:space="preserve">https://epoch.ai/data/ai-data-centers/directory/anthropic-barber-lake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</si>
  <si>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207 MW of IT power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TPU v7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123.8k </t>
    </r>
    <r>
      <rPr>
        <sz val="10"/>
        <color rgb="FF000000"/>
        <rFont val="Noto Sans CJK SC"/>
        <family val="2"/>
      </rPr>
      <t xml:space="preserve">顆；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承租、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推定最終用戶為 </t>
    </r>
    <r>
      <rPr>
        <sz val="10"/>
        <color rgb="FF000000"/>
        <rFont val="Arial"/>
        <family val="0"/>
        <charset val="1"/>
      </rPr>
      <t xml:space="preserve">Anthropic</t>
    </r>
  </si>
  <si>
    <t xml:space="preserve">SRC_ANT_241</t>
  </si>
  <si>
    <t xml:space="preserve">cmp_total_commit_517b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</si>
  <si>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個月算力合約總額（媒體彙整）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</si>
  <si>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（主要在未來十年）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</si>
  <si>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簽署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</si>
  <si>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</si>
  <si>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https://www.datacenterdynamics.com/en/news/anthropic-signed-517bn-in-compute-agreements-in-past-11-months/</t>
  </si>
  <si>
    <t xml:space="preserve">2026-09-07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</si>
  <si>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（彙整公開與知情人士報導）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</si>
  <si>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some $517 billion in compute capacity leases in the past 11 months</t>
    </r>
    <r>
      <rPr>
        <sz val="10"/>
        <color rgb="FF000000"/>
        <rFont val="Noto Sans CJK SC"/>
        <family val="2"/>
      </rPr>
      <t xml:space="preserve">」；含上限值與重複計算可能</t>
    </r>
  </si>
  <si>
    <t xml:space="preserve">SRC_ANT_242</t>
  </si>
  <si>
    <t xml:space="preserve">cmp_total_gw_148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</si>
  <si>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起新簽算力容量（媒體彙整）</t>
    </r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</si>
  <si>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How Anthropic clinched $517 billion in compute deals in 11 months</t>
    </r>
    <r>
      <rPr>
        <sz val="10"/>
        <color rgb="FF000000"/>
        <rFont val="Noto Sans CJK SC"/>
        <family val="2"/>
      </rPr>
      <t xml:space="preserve">〉</t>
    </r>
  </si>
  <si>
    <t xml:space="preserve">https://dealroom.co/news/info-iclajk-how-anthropic-clinched-517-billion-in-compute-deals-in-11-months/</t>
  </si>
  <si>
    <t xml:space="preserve">The Information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</si>
  <si>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14.8 GW…plus 1–2 GW secured earlier</t>
    </r>
    <r>
      <rPr>
        <sz val="10"/>
        <color rgb="FF000000"/>
        <rFont val="Noto Sans CJK SC"/>
        <family val="2"/>
      </rPr>
      <t xml:space="preserve">」；並稱容量「</t>
    </r>
    <r>
      <rPr>
        <sz val="10"/>
        <color rgb="FF000000"/>
        <rFont val="Arial"/>
        <family val="0"/>
        <charset val="1"/>
      </rPr>
      <t xml:space="preserve">may never fully come online</t>
    </r>
    <r>
      <rPr>
        <sz val="10"/>
        <color rgb="FF000000"/>
        <rFont val="Noto Sans CJK SC"/>
        <family val="2"/>
      </rPr>
      <t xml:space="preserve">」；各合約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多為上限且口徑混雜</t>
    </r>
  </si>
  <si>
    <t xml:space="preserve">SRC_ANT_243</t>
  </si>
  <si>
    <t xml:space="preserve">cmp_total_gw_b_overcentral</t>
  </si>
  <si>
    <t xml:space="preserve">總算力容量（含既有）</t>
  </si>
  <si>
    <r>
      <rPr>
        <sz val="10"/>
        <color rgb="FF000000"/>
        <rFont val="Arial"/>
        <family val="0"/>
        <charset val="1"/>
      </rPr>
      <t xml:space="preserve">Overcentral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signs $517 billion in compute deals after warning rivals</t>
    </r>
    <r>
      <rPr>
        <sz val="10"/>
        <color rgb="FF000000"/>
        <rFont val="Noto Sans CJK SC"/>
        <family val="2"/>
      </rPr>
      <t xml:space="preserve">〉</t>
    </r>
  </si>
  <si>
    <t xml:space="preserve">https://overcentral.com/en/anthropic-compute-deals-80192/</t>
  </si>
  <si>
    <r>
      <rPr>
        <sz val="10"/>
        <color rgb="FF000000"/>
        <rFont val="Noto Sans CJK SC"/>
        <family val="2"/>
      </rPr>
      <t xml:space="preserve">二手轉述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（未具名來源）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</si>
  <si>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bringing total capacity to 16-17 gigawatts</t>
    </r>
    <r>
      <rPr>
        <sz val="10"/>
        <color rgb="FF000000"/>
        <rFont val="Noto Sans CJK SC"/>
        <family val="2"/>
      </rPr>
      <t xml:space="preserve">」；為合約容量加總，非已上線</t>
    </r>
  </si>
  <si>
    <t xml:space="preserve">SRC_ANT_244</t>
  </si>
  <si>
    <t xml:space="preserve">cmp_server_rent_thru2029_180b</t>
  </si>
  <si>
    <r>
      <rPr>
        <sz val="10"/>
        <color rgb="FF000000"/>
        <rFont val="Noto Sans CJK SC"/>
        <family val="2"/>
      </rPr>
      <t xml:space="preserve">先前向投資人說明的伺服器租用支出（至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</si>
  <si>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（累計至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</si>
  <si>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</si>
  <si>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signed $517bn in compute agreements in past 11 months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</si>
  <si>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</si>
  <si>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previously told investors it was expecting to spend around $180bn on renting servers through 2029</t>
    </r>
    <r>
      <rPr>
        <sz val="10"/>
        <color rgb="FF000000"/>
        <rFont val="Noto Sans CJK SC"/>
        <family val="2"/>
      </rPr>
      <t xml:space="preserve">」</t>
    </r>
  </si>
  <si>
    <t xml:space="preserve">SRC_ANT_245</t>
  </si>
  <si>
    <t xml:space="preserve">cmp_prospectus_total_518b</t>
  </si>
  <si>
    <t xml:space="preserve">雲端、算力與基礎設施承諾總額（招股書草稿）</t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</si>
  <si>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（約十年）</t>
    </r>
  </si>
  <si>
    <r>
      <rPr>
        <sz val="10"/>
        <color rgb="FF000000"/>
        <rFont val="Arial"/>
        <family val="0"/>
        <charset val="1"/>
      </rPr>
      <t xml:space="preserve">Business Day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plans $518bn AI infrastructure spend, 80% non-cancellable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</si>
  <si>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（保密招股書草稿，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取得）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</si>
  <si>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$518bn over a decade…with six partners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 110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 31.4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xAI 84.5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 20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518.2</t>
    </r>
  </si>
  <si>
    <t xml:space="preserve">SRC_ANT_246</t>
  </si>
  <si>
    <t xml:space="preserve">cmp_prospectus_noncancel_share</t>
  </si>
  <si>
    <t xml:space="preserve">承諾中不可取消或無論用量皆須支付之比例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</si>
  <si>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</si>
  <si>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non-cancellable or requires payment regardless of usage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部分可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天取消</t>
    </r>
  </si>
  <si>
    <t xml:space="preserve">SRC_ANT_247</t>
  </si>
  <si>
    <t xml:space="preserve">cmp_prospectus_google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</si>
  <si>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</si>
  <si>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</si>
  <si>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r>
      <rPr>
        <sz val="10"/>
        <color rgb="FF000000"/>
        <rFont val="Arial"/>
        <family val="0"/>
        <charset val="1"/>
      </rPr>
      <t xml:space="preserve">InvestmentNews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</si>
  <si>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（招股書草稿，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</si>
  <si>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$111.1 billion…between April 2026 and July 2033</t>
    </r>
    <r>
      <rPr>
        <sz val="10"/>
        <color rgb="FF000000"/>
        <rFont val="Noto Sans CJK SC"/>
        <family val="2"/>
      </rPr>
      <t xml:space="preserve">」；短缺須補差額；與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Google $200B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年矛盾（差額可能列在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</si>
  <si>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SRC_ANT_248</t>
  </si>
  <si>
    <t xml:space="preserve">cmp_prospectus_amazon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</si>
  <si>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承諾（招股書草稿）</t>
    </r>
  </si>
  <si>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</si>
  <si>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$110 billion due between May 2026 and April 2036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新聞稿「</t>
    </r>
    <r>
      <rPr>
        <sz val="10"/>
        <color rgb="FF000000"/>
        <rFont val="Arial"/>
        <family val="0"/>
        <charset val="1"/>
      </rPr>
      <t xml:space="preserve">more than $100 billion over ten years</t>
    </r>
    <r>
      <rPr>
        <sz val="10"/>
        <color rgb="FF000000"/>
        <rFont val="Noto Sans CJK SC"/>
        <family val="2"/>
      </rPr>
      <t xml:space="preserve">」一致</t>
    </r>
  </si>
  <si>
    <t xml:space="preserve">SRC_ANT_249</t>
  </si>
  <si>
    <t xml:space="preserve">cmp_prospectus_broadcom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</si>
  <si>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相關設備租賃義務（招股書草稿）</t>
    </r>
  </si>
  <si>
    <r>
      <rPr>
        <sz val="10"/>
        <color rgb="FF000000"/>
        <rFont val="Noto Sans CJK SC"/>
        <family val="2"/>
      </rPr>
      <t xml:space="preserve">未揭露（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</si>
  <si>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about $161.2bn in equipment lease obligations, largely non-cancellable</t>
    </r>
    <r>
      <rPr>
        <sz val="10"/>
        <color rgb="FF000000"/>
        <rFont val="Noto Sans CJK SC"/>
        <family val="2"/>
      </rPr>
      <t xml:space="preserve">」；對應 </t>
    </r>
    <r>
      <rPr>
        <sz val="10"/>
        <color rgb="FF000000"/>
        <rFont val="Arial"/>
        <family val="0"/>
        <charset val="1"/>
      </rPr>
      <t xml:space="preserve">Google/Broadcom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3.5–5 GW</t>
    </r>
    <r>
      <rPr>
        <sz val="10"/>
        <color rgb="FF000000"/>
        <rFont val="Noto Sans CJK SC"/>
        <family val="2"/>
      </rPr>
      <t xml:space="preserve">）</t>
    </r>
  </si>
  <si>
    <t xml:space="preserve">SRC_ANT_250</t>
  </si>
  <si>
    <t xml:space="preserve">cmp_broadcom_tpu_lease_125b</t>
  </si>
  <si>
    <r>
      <rPr>
        <sz val="10"/>
        <color rgb="FF000000"/>
        <rFont val="Arial"/>
        <family val="0"/>
        <charset val="1"/>
      </rPr>
      <t xml:space="preserve">Broadcom TPU </t>
    </r>
    <r>
      <rPr>
        <sz val="10"/>
        <color rgb="FF000000"/>
        <rFont val="Noto Sans CJK SC"/>
        <family val="2"/>
      </rPr>
      <t xml:space="preserve">算力五年租賃承諾</t>
    </r>
  </si>
  <si>
    <r>
      <rPr>
        <sz val="10"/>
        <color rgb="FF000000"/>
        <rFont val="Noto Sans CJK SC"/>
        <family val="2"/>
      </rPr>
      <t xml:space="preserve">五年（容量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</si>
  <si>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Broadcom to lend Anthropic up to $42 billion to lease its chips, filing says</t>
    </r>
    <r>
      <rPr>
        <sz val="10"/>
        <color rgb="FF000000"/>
        <rFont val="Noto Sans CJK SC"/>
        <family val="2"/>
      </rPr>
      <t xml:space="preserve">〉</t>
    </r>
  </si>
  <si>
    <t xml:space="preserve">https://www.thestar.com.my/tech/tech-news/2026/10/01/exclusive-broadcom-to-lend-anthropic-up-to-42-billion-to-lease-its-chips-filing-says</t>
  </si>
  <si>
    <r>
      <rPr>
        <sz val="10"/>
        <color rgb="FF000000"/>
        <rFont val="Noto Sans CJK SC"/>
        <family val="2"/>
      </rPr>
      <t xml:space="preserve">可轉債「</t>
    </r>
    <r>
      <rPr>
        <sz val="10"/>
        <color rgb="FF000000"/>
        <rFont val="Arial"/>
        <family val="0"/>
        <charset val="1"/>
      </rPr>
      <t xml:space="preserve">could finance about a third of the $125.2 billion commitment</t>
    </r>
    <r>
      <rPr>
        <sz val="10"/>
        <color rgb="FF000000"/>
        <rFont val="Noto Sans CJK SC"/>
        <family val="2"/>
      </rPr>
      <t xml:space="preserve">」；為 </t>
    </r>
    <r>
      <rPr>
        <sz val="10"/>
        <color rgb="FF000000"/>
        <rFont val="Arial"/>
        <family val="0"/>
        <charset val="1"/>
      </rPr>
      <t xml:space="preserve">$161.2B </t>
    </r>
    <r>
      <rPr>
        <sz val="10"/>
        <color rgb="FF000000"/>
        <rFont val="Noto Sans CJK SC"/>
        <family val="2"/>
      </rPr>
      <t xml:space="preserve">中的五年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租賃部分（推定）</t>
    </r>
  </si>
  <si>
    <t xml:space="preserve">SRC_ANT_251</t>
  </si>
  <si>
    <t xml:space="preserve">cmp_broadcom_financing_42b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</si>
  <si>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提供之租賃融資（可轉換票據）上限</t>
    </r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</si>
  <si>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</t>
    </r>
  </si>
  <si>
    <r>
      <rPr>
        <sz val="10"/>
        <color rgb="FF000000"/>
        <rFont val="Arial"/>
        <family val="0"/>
        <charset val="1"/>
      </rPr>
      <t xml:space="preserve">The Star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Exclusive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</si>
  <si>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（招股書）／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（供應商融資誘因）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</si>
  <si>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lend Anthropic up to $42 billion to finance infrastructure spending</t>
    </r>
    <r>
      <rPr>
        <sz val="10"/>
        <color rgb="FF000000"/>
        <rFont val="Noto Sans CJK SC"/>
        <family val="2"/>
      </rPr>
      <t xml:space="preserve">」；可轉股；屬融資（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組）但影響算力支出現金流</t>
    </r>
  </si>
  <si>
    <t xml:space="preserve">SRC_ANT_252</t>
  </si>
  <si>
    <t xml:space="preserve">cmp_spend_2025_actual_prospectus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</si>
  <si>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算力與基礎設施支出（實際，招股書草稿）</t>
    </r>
  </si>
  <si>
    <r>
      <rPr>
        <sz val="10"/>
        <color rgb="FF000000"/>
        <rFont val="Arial"/>
        <family val="0"/>
        <charset val="1"/>
      </rPr>
      <t xml:space="preserve">Investing.com UK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Charles-Henry Monchau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What Anthropic's leaked prospectus reveals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）</t>
    </r>
  </si>
  <si>
    <t xml:space="preserve">https://uk.investing.com/analysis/what-anthropics-leaked-prospectus-reveals-ahead-of-its-ipo-200628581</t>
  </si>
  <si>
    <t xml:space="preserve">2026-10-06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</si>
  <si>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Compute and infrastructure spending tripled to $7.33bn, more than half of total operating costs of $12.65bn</t>
    </r>
    <r>
      <rPr>
        <sz val="10"/>
        <color rgb="FF000000"/>
        <rFont val="Noto Sans CJK SC"/>
        <family val="2"/>
      </rPr>
      <t xml:space="preserve">」；未分推論／訓練</t>
    </r>
  </si>
  <si>
    <t xml:space="preserve">SRC_ANT_253</t>
  </si>
  <si>
    <t xml:space="preserve">cmp_spend_2025_training_proj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</si>
  <si>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訓練成本（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年底預測）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</si>
  <si>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Revenue Soars as Anthropic Lowers Gross Margin Forecast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</si>
  <si>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https://www.itiger.com/news/1154519858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</si>
  <si>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</si>
  <si>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projected its 2025 AI model training costs to be around $4.1 billion</t>
    </r>
    <r>
      <rPr>
        <sz val="10"/>
        <color rgb="FF000000"/>
        <rFont val="Noto Sans CJK SC"/>
        <family val="2"/>
      </rPr>
      <t xml:space="preserve">」，較夏季預測高約 </t>
    </r>
    <r>
      <rPr>
        <sz val="10"/>
        <color rgb="FF000000"/>
        <rFont val="Arial"/>
        <family val="0"/>
        <charset val="1"/>
      </rPr>
      <t xml:space="preserve">5%</t>
    </r>
  </si>
  <si>
    <t xml:space="preserve">SRC_ANT_254</t>
  </si>
  <si>
    <t xml:space="preserve">cmp_spend_2025_inference_overrun</t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</si>
  <si>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</si>
  <si>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inference costs exceeded initial projections by 23%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毛利率預測下修至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（含免費用戶約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）；未給推論成本金額</t>
    </r>
  </si>
  <si>
    <t xml:space="preserve">SRC_ANT_255</t>
  </si>
  <si>
    <t xml:space="preserve">cmp_spend_2025_derived_inference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</si>
  <si>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推論等非訓練算力支出（推導）</t>
    </r>
  </si>
  <si>
    <r>
      <rPr>
        <sz val="10"/>
        <color rgb="FF000000"/>
        <rFont val="Noto Sans CJK SC"/>
        <family val="2"/>
      </rPr>
      <t xml:space="preserve">推導：招股書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− The Information 2025 </t>
    </r>
    <r>
      <rPr>
        <sz val="10"/>
        <color rgb="FF000000"/>
        <rFont val="Noto Sans CJK SC"/>
        <family val="2"/>
      </rPr>
      <t xml:space="preserve">訓練預測 </t>
    </r>
    <r>
      <rPr>
        <sz val="10"/>
        <color rgb="FF000000"/>
        <rFont val="Arial"/>
        <family val="0"/>
        <charset val="1"/>
      </rPr>
      <t xml:space="preserve">$4.1B</t>
    </r>
  </si>
  <si>
    <r>
      <rPr>
        <sz val="10"/>
        <color rgb="FF000000"/>
        <rFont val="Arial"/>
        <family val="0"/>
        <charset val="1"/>
      </rPr>
      <t xml:space="preserve">7.33−4.1≈3.2</t>
    </r>
    <r>
      <rPr>
        <sz val="10"/>
        <color rgb="FF000000"/>
        <rFont val="Noto Sans CJK SC"/>
        <family val="2"/>
      </rPr>
      <t xml:space="preserve">；兩來源口徑可能不同（招股書營業費用科目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管理層預測），僅供量級參考</t>
    </r>
  </si>
  <si>
    <t xml:space="preserve">SRC_ANT_256</t>
  </si>
  <si>
    <t xml:space="preserve">cmp_aws_spend_2024_zitron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</si>
  <si>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</si>
  <si>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This Is How Much Anthropic and Cursor Spend On Amazon Web Services</t>
    </r>
    <r>
      <rPr>
        <sz val="10"/>
        <color rgb="FF000000"/>
        <rFont val="Noto Sans CJK SC"/>
        <family val="2"/>
      </rPr>
      <t xml:space="preserve">〉</t>
    </r>
  </si>
  <si>
    <t xml:space="preserve">https://www.wheresyoured.at/costs/</t>
  </si>
  <si>
    <t xml:space="preserve">2025-10-20</t>
  </si>
  <si>
    <r>
      <rPr>
        <sz val="10"/>
        <color rgb="FF000000"/>
        <rFont val="Noto Sans CJK SC"/>
        <family val="2"/>
      </rPr>
      <t xml:space="preserve">匿名知情來源（</t>
    </r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泡沫論者）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</si>
  <si>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final cash paid to Amazon after any discounts or credits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$52.9M→$176.1M</t>
    </r>
    <r>
      <rPr>
        <sz val="10"/>
        <color rgb="FF000000"/>
        <rFont val="Noto Sans CJK SC"/>
        <family val="2"/>
      </rPr>
      <t xml:space="preserve">；不含 </t>
    </r>
    <r>
      <rPr>
        <sz val="10"/>
        <color rgb="FF000000"/>
        <rFont val="Arial"/>
        <family val="0"/>
        <charset val="1"/>
      </rPr>
      <t xml:space="preserve">Google Cloud</t>
    </r>
  </si>
  <si>
    <t xml:space="preserve">SRC_ANT_257</t>
  </si>
  <si>
    <t xml:space="preserve">cmp_aws_spend_2025_9m_zitron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</si>
  <si>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月支付 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金額（外流帳單）</t>
    </r>
  </si>
  <si>
    <r>
      <rPr>
        <sz val="10"/>
        <color rgb="FF000000"/>
        <rFont val="Arial"/>
        <family val="0"/>
        <charset val="1"/>
      </rPr>
      <t xml:space="preserve">2025-01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2025-09</t>
    </r>
  </si>
  <si>
    <r>
      <rPr>
        <sz val="10"/>
        <color rgb="FF000000"/>
        <rFont val="Arial"/>
        <family val="0"/>
        <charset val="1"/>
      </rPr>
      <t xml:space="preserve">Ed Zitron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</si>
  <si>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月度 </t>
    </r>
    <r>
      <rPr>
        <sz val="10"/>
        <color rgb="FF000000"/>
        <rFont val="Arial"/>
        <family val="0"/>
        <charset val="1"/>
      </rPr>
      <t xml:space="preserve">2025-01 $188.5M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2025-09 $518.9M</t>
    </r>
    <r>
      <rPr>
        <sz val="10"/>
        <color rgb="FF000000"/>
        <rFont val="Noto Sans CJK SC"/>
        <family val="2"/>
      </rPr>
      <t xml:space="preserve">；合計「</t>
    </r>
    <r>
      <rPr>
        <sz val="10"/>
        <color rgb="FF000000"/>
        <rFont val="Arial"/>
        <family val="0"/>
        <charset val="1"/>
      </rPr>
      <t xml:space="preserve">$2.66 billion</t>
    </r>
    <r>
      <rPr>
        <sz val="10"/>
        <color rgb="FF000000"/>
        <rFont val="Noto Sans CJK SC"/>
        <family val="2"/>
      </rPr>
      <t xml:space="preserve">」</t>
    </r>
  </si>
  <si>
    <t xml:space="preserve">SRC_ANT_258</t>
  </si>
  <si>
    <t xml:space="preserve">cmp_spend_2026_training_proj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</si>
  <si>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訓練成本（預測）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</si>
  <si>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</si>
  <si>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https://finance.yahoo.com/news/anthropic-quietly-raises-ceiling-121501064.html</t>
  </si>
  <si>
    <t xml:space="preserve">2026-01-29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</si>
  <si>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（投資人預測，募資誘因）／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</si>
  <si>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未評論</t>
    </r>
  </si>
  <si>
    <t xml:space="preserve">SRC_ANT_259</t>
  </si>
  <si>
    <t xml:space="preserve">cmp_spend_2026_inference_proj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</si>
  <si>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推論（模型運行）成本（預測）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</si>
  <si>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GuruFocus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</si>
  <si>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預測，早於營收暴增；與 </t>
    </r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單一合約 </t>
    </r>
    <r>
      <rPr>
        <sz val="10"/>
        <color rgb="FF000000"/>
        <rFont val="Arial"/>
        <family val="0"/>
        <charset val="1"/>
      </rPr>
      <t xml:space="preserve">$1.25B/</t>
    </r>
    <r>
      <rPr>
        <sz val="10"/>
        <color rgb="FF000000"/>
        <rFont val="Noto Sans CJK SC"/>
        <family val="2"/>
      </rPr>
      <t xml:space="preserve">月 相比明顯偏低，應已過時</t>
    </r>
  </si>
  <si>
    <t xml:space="preserve">SRC_ANT_260</t>
  </si>
  <si>
    <t xml:space="preserve">cmp_spend_training_2029_proj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</si>
  <si>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（預測）</t>
    </r>
  </si>
  <si>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（年度或累計未明）</t>
    </r>
  </si>
  <si>
    <r>
      <rPr>
        <sz val="10"/>
        <color rgb="FF000000"/>
        <rFont val="Arial"/>
        <family val="0"/>
        <charset val="1"/>
      </rPr>
      <t xml:space="preserve">MarketScreener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AI model training costs to exceed $100 billion by 2029</t>
    </r>
    <r>
      <rPr>
        <sz val="10"/>
        <color rgb="FF000000"/>
        <rFont val="Noto Sans CJK SC"/>
        <family val="2"/>
      </rPr>
      <t xml:space="preserve">〉</t>
    </r>
  </si>
  <si>
    <t xml:space="preserve">https://www.marketscreener.com/news/anthropic-s-ai-model-training-costs-to-exceed-100-billion-by-2029-the-information-ce7e5bd9d989fe27</t>
  </si>
  <si>
    <t xml:space="preserve">2026-01-27</t>
  </si>
  <si>
    <r>
      <rPr>
        <sz val="10"/>
        <color rgb="FF000000"/>
        <rFont val="Noto Sans CJK SC"/>
        <family val="2"/>
      </rPr>
      <t xml:space="preserve">標題「</t>
    </r>
    <r>
      <rPr>
        <sz val="10"/>
        <color rgb="FF000000"/>
        <rFont val="Arial"/>
        <family val="0"/>
        <charset val="1"/>
      </rPr>
      <t xml:space="preserve">training costs to exceed $100 billion by 2029</t>
    </r>
    <r>
      <rPr>
        <sz val="10"/>
        <color rgb="FF000000"/>
        <rFont val="Noto Sans CJK SC"/>
        <family val="2"/>
      </rPr>
      <t xml:space="preserve">」；內文付費牆，年度或累計不明</t>
    </r>
  </si>
  <si>
    <t xml:space="preserve">SRC_ANT_261</t>
  </si>
  <si>
    <t xml:space="preserve">cmp_spend_training_2029_proj_b</t>
  </si>
  <si>
    <r>
      <rPr>
        <sz val="10"/>
        <color rgb="FF000000"/>
        <rFont val="Noto Sans CJK SC"/>
        <family val="2"/>
      </rPr>
      <t xml:space="preserve">訓練成本至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（另一來源）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</si>
  <si>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</si>
  <si>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Tiger Brokers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Stock News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 projected to spend over $80 billion on cloud services by 2029</t>
    </r>
    <r>
      <rPr>
        <sz val="10"/>
        <color rgb="FF000000"/>
        <rFont val="Noto Sans CJK SC"/>
        <family val="2"/>
      </rPr>
      <t xml:space="preserve">〉</t>
    </r>
  </si>
  <si>
    <t xml:space="preserve">https://www.itiger.com/news/1164355668</t>
  </si>
  <si>
    <t xml:space="preserve">2026-02-18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</si>
  <si>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spending on model training alone could reach as high as $100 billion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_a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exceed</t>
    </r>
    <r>
      <rPr>
        <sz val="10"/>
        <color rgb="FF000000"/>
        <rFont val="Noto Sans CJK SC"/>
        <family val="2"/>
      </rPr>
      <t xml:space="preserve">」方向相反（上限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下限）</t>
    </r>
  </si>
  <si>
    <t xml:space="preserve">SRC_ANT_262</t>
  </si>
  <si>
    <t xml:space="preserve">cmp_spend_training_peak_2028_wsj</t>
  </si>
  <si>
    <t xml:space="preserve">訓練成本高峰（預測）</t>
  </si>
  <si>
    <t xml:space="preserve">2028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</si>
  <si>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Jason Lemkin</t>
    </r>
    <r>
      <rPr>
        <sz val="10"/>
        <color rgb="FF000000"/>
        <rFont val="Noto Sans CJK SC"/>
        <family val="2"/>
      </rPr>
      <t xml:space="preserve">，引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公開之機密財務文件）</t>
    </r>
  </si>
  <si>
    <t xml:space="preserve">https://www.saastr.com/anthropic-just-passed-openai-in-revenue-while-spending-4x-less-to-train-their-models/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</si>
  <si>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（外流財務文件）／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</si>
  <si>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Anthropic's training costs peak at around $30 billion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，由上下文推定）；與「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&gt;$100B</t>
    </r>
    <r>
      <rPr>
        <sz val="10"/>
        <color rgb="FF000000"/>
        <rFont val="Noto Sans CJK SC"/>
        <family val="2"/>
      </rPr>
      <t xml:space="preserve">」可並存（累計）但與年度解讀矛盾</t>
    </r>
  </si>
  <si>
    <t xml:space="preserve">SRC_ANT_263</t>
  </si>
  <si>
    <t xml:space="preserve">cmp_spend_cloud_thru2029_80b</t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</si>
  <si>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運行模型（推論）費用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</si>
  <si>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cloud spend expected to reach $80bn through 2029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</si>
  <si>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https://www.datacenterdynamics.com/en/news/anthropic-cloud-spend-expected-to-reach-80bn-through-2029/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</si>
  <si>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projecting its cloud spend will reach $80 billion for the period through 2029</t>
    </r>
    <r>
      <rPr>
        <sz val="10"/>
        <color rgb="FF000000"/>
        <rFont val="Noto Sans CJK SC"/>
        <family val="2"/>
      </rPr>
      <t xml:space="preserve">」；不含訓練；早於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月後大量新合約</t>
    </r>
  </si>
  <si>
    <t xml:space="preserve">SRC_ANT_264</t>
  </si>
  <si>
    <t xml:space="preserve">cmp_dario_commit_scale</t>
  </si>
  <si>
    <r>
      <rPr>
        <sz val="10"/>
        <color rgb="FF000000"/>
        <rFont val="Noto Sans CJK SC"/>
        <family val="2"/>
      </rPr>
      <t xml:space="preserve">算力承諾規模（</t>
    </r>
    <r>
      <rPr>
        <sz val="10"/>
        <color rgb="FF000000"/>
        <rFont val="Arial"/>
        <family val="0"/>
        <charset val="1"/>
      </rPr>
      <t xml:space="preserve">CEO </t>
    </r>
    <r>
      <rPr>
        <sz val="10"/>
        <color rgb="FF000000"/>
        <rFont val="Noto Sans CJK SC"/>
        <family val="2"/>
      </rPr>
      <t xml:space="preserve">定性）</t>
    </r>
  </si>
  <si>
    <r>
      <rPr>
        <sz val="10"/>
        <color rgb="FF000000"/>
        <rFont val="Noto Sans CJK SC"/>
        <family val="2"/>
      </rPr>
      <t xml:space="preserve">定性（「</t>
    </r>
    <r>
      <rPr>
        <sz val="10"/>
        <color rgb="FF000000"/>
        <rFont val="Arial"/>
        <family val="0"/>
        <charset val="1"/>
      </rPr>
      <t xml:space="preserve">hundreds of billions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</si>
  <si>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DCD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CEO on AI data center spend – If you are off by a couple years, it can be ruinous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Dwarkesh Podcast</t>
    </r>
    <r>
      <rPr>
        <sz val="10"/>
        <color rgb="FF000000"/>
        <rFont val="Noto Sans CJK SC"/>
        <family val="2"/>
      </rPr>
      <t xml:space="preserve">）</t>
    </r>
  </si>
  <si>
    <t xml:space="preserve">https://www.datacenterdynamics.com/en/news/anthropic-ceo-the-way-you-buy-these-data-centers-if-youre-off-by-a-couple-years-can-be-ruinous/</t>
  </si>
  <si>
    <t xml:space="preserve">2026-02-13</t>
  </si>
  <si>
    <r>
      <rPr>
        <sz val="10"/>
        <color rgb="FF000000"/>
        <rFont val="Arial"/>
        <family val="0"/>
        <charset val="1"/>
      </rPr>
      <t xml:space="preserve">Anthropic CEO</t>
    </r>
    <r>
      <rPr>
        <sz val="10"/>
        <color rgb="FF000000"/>
        <rFont val="Noto Sans CJK SC"/>
        <family val="2"/>
      </rPr>
      <t xml:space="preserve">（募資、審慎形象誘因）</t>
    </r>
  </si>
  <si>
    <r>
      <rPr>
        <sz val="10"/>
        <color rgb="FF000000"/>
        <rFont val="Arial"/>
        <family val="0"/>
        <charset val="1"/>
      </rPr>
      <t xml:space="preserve">Amodei </t>
    </r>
    <r>
      <rPr>
        <sz val="10"/>
        <color rgb="FF000000"/>
        <rFont val="Noto Sans CJK SC"/>
        <family val="2"/>
      </rPr>
      <t xml:space="preserve">稱實際承諾為「</t>
    </r>
    <r>
      <rPr>
        <sz val="10"/>
        <color rgb="FF000000"/>
        <rFont val="Arial"/>
        <family val="0"/>
        <charset val="1"/>
      </rPr>
      <t xml:space="preserve">hundreds of billions, not trillions</t>
    </r>
    <r>
      <rPr>
        <sz val="10"/>
        <color rgb="FF000000"/>
        <rFont val="Noto Sans CJK SC"/>
        <family val="2"/>
      </rPr>
      <t xml:space="preserve">」；強調買早兩年「</t>
    </r>
    <r>
      <rPr>
        <sz val="10"/>
        <color rgb="FF000000"/>
        <rFont val="Arial"/>
        <family val="0"/>
        <charset val="1"/>
      </rPr>
      <t xml:space="preserve">can be ruinous</t>
    </r>
    <r>
      <rPr>
        <sz val="10"/>
        <color rgb="FF000000"/>
        <rFont val="Noto Sans CJK SC"/>
        <family val="2"/>
      </rPr>
      <t xml:space="preserve">」</t>
    </r>
  </si>
  <si>
    <t xml:space="preserve">SRC_ANT_265</t>
  </si>
  <si>
    <t xml:space="preserve">cmp_gw_ye_2026_measuredai</t>
  </si>
  <si>
    <r>
      <rPr>
        <sz val="10"/>
        <color rgb="FF000000"/>
        <rFont val="Noto Sans CJK SC"/>
        <family val="2"/>
      </rPr>
      <t xml:space="preserve">年底算力容量估計 </t>
    </r>
    <r>
      <rPr>
        <sz val="10"/>
        <color rgb="FF000000"/>
        <rFont val="Arial"/>
        <family val="0"/>
        <charset val="1"/>
      </rPr>
      <t xml:space="preserve">2025–2028</t>
    </r>
    <r>
      <rPr>
        <sz val="10"/>
        <color rgb="FF000000"/>
        <rFont val="Noto Sans CJK SC"/>
        <family val="2"/>
      </rPr>
      <t xml:space="preserve">（第三方）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</si>
  <si>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2025=1.4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2026=5.0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2027=9.5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2028&gt;15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</si>
  <si>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2025–2028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</si>
  <si>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Measured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Corey Trinetti</t>
    </r>
    <r>
      <rPr>
        <sz val="10"/>
        <color rgb="FF000000"/>
        <rFont val="Noto Sans CJK SC"/>
        <family val="2"/>
      </rPr>
      <t xml:space="preserve">）〈</t>
    </r>
    <r>
      <rPr>
        <sz val="10"/>
        <color rgb="FF000000"/>
        <rFont val="Arial"/>
        <family val="0"/>
        <charset val="1"/>
      </rPr>
      <t xml:space="preserve">Anthropic's 15+ GW Data Center Build</t>
    </r>
    <r>
      <rPr>
        <sz val="10"/>
        <color rgb="FF000000"/>
        <rFont val="Noto Sans CJK SC"/>
        <family val="2"/>
      </rPr>
      <t xml:space="preserve">〉</t>
    </r>
  </si>
  <si>
    <t xml:space="preserve">https://measuredai.substack.com/p/anthropic-data-centers</t>
  </si>
  <si>
    <t xml:space="preserve">2026-08-31</t>
  </si>
  <si>
    <r>
      <rPr>
        <sz val="10"/>
        <color rgb="FF000000"/>
        <rFont val="Noto Sans CJK SC"/>
        <family val="2"/>
      </rPr>
      <t xml:space="preserve">第三方逐站加總；</t>
    </r>
    <r>
      <rPr>
        <sz val="10"/>
        <color rgb="FF000000"/>
        <rFont val="Arial"/>
        <family val="0"/>
        <charset val="1"/>
      </rPr>
      <t xml:space="preserve">value=2026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個園區合計約「</t>
    </r>
    <r>
      <rPr>
        <sz val="10"/>
        <color rgb="FF000000"/>
        <rFont val="Arial"/>
        <family val="0"/>
        <charset val="1"/>
      </rPr>
      <t xml:space="preserve">7.9 GW of critical IT</t>
    </r>
    <r>
      <rPr>
        <sz val="10"/>
        <color rgb="FF000000"/>
        <rFont val="Noto Sans CJK SC"/>
        <family val="2"/>
      </rPr>
      <t xml:space="preserve">」，其餘為未分配容量；未經公司確認</t>
    </r>
  </si>
  <si>
    <t xml:space="preserve">SRC_ANT_266</t>
  </si>
  <si>
    <t xml:space="preserve">cmp_gw_target_2027_cryptobriefing</t>
  </si>
  <si>
    <t xml:space="preserve">年底算力容量目標（媒體）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</si>
  <si>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9.5–10</t>
    </r>
    <r>
      <rPr>
        <sz val="10"/>
        <color rgb="FF000000"/>
        <rFont val="Noto Sans CJK SC"/>
        <family val="2"/>
      </rPr>
      <t xml:space="preserve">）</t>
    </r>
  </si>
  <si>
    <t xml:space="preserve">2027-12</t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</si>
  <si>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~9.5 GW of compute capacity by end-2027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</si>
  <si>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https://cryptobriefing.com/anthropic-10-gw-compute-capacity-2027/</t>
  </si>
  <si>
    <t xml:space="preserve">2026-09-18</t>
  </si>
  <si>
    <t xml:space="preserve">未具名來源（編輯部，未引公司）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</si>
  <si>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10 gigawatts…by the end of 2027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5 GW by the end of 2026</t>
    </r>
    <r>
      <rPr>
        <sz val="10"/>
        <color rgb="FF000000"/>
        <rFont val="Noto Sans CJK SC"/>
        <family val="2"/>
      </rPr>
      <t xml:space="preserve">」；來源不明，數字與 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相同，可能互引</t>
    </r>
  </si>
  <si>
    <t xml:space="preserve">SRC_ANT_267</t>
  </si>
  <si>
    <t xml:space="preserve">cmp_gw_target_nyt</t>
  </si>
  <si>
    <t xml:space="preserve">年底可用算力目標（向投資人說明）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</si>
  <si>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年底約再倍增≈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</si>
  <si>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reportedly plans to have 5GW worth of compute by the end of 2026</t>
    </r>
    <r>
      <rPr>
        <sz val="10"/>
        <color rgb="FF000000"/>
        <rFont val="Noto Sans CJK SC"/>
        <family val="2"/>
      </rPr>
      <t xml:space="preserve">〉</t>
    </r>
  </si>
  <si>
    <t xml:space="preserve">https://www.newsquawk.com/headlines/anthropic-reportedly-plans-to-have-5gw-worth-of-compute-by-the-end-of-2026-reports-nyt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</si>
  <si>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（投資人簡報，募資／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誘因）／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知情人士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</si>
  <si>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told investors…roughly five gigawatts' worth of compute available…by the end of the 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</t>
    </r>
  </si>
  <si>
    <t xml:space="preserve">SRC_ANT_268</t>
  </si>
  <si>
    <t xml:space="preserve">cmp_gw_target_nyt_2027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</si>
  <si>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年底可用算力目標（推導自 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「倍增」）</t>
    </r>
  </si>
  <si>
    <r>
      <rPr>
        <sz val="10"/>
        <color rgb="FF000000"/>
        <rFont val="Arial"/>
        <family val="0"/>
        <charset val="1"/>
      </rPr>
      <t xml:space="preserve">Newsquawk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New York Times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</si>
  <si>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5 GW ×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」≈</t>
    </r>
    <r>
      <rPr>
        <sz val="10"/>
        <color rgb="FF000000"/>
        <rFont val="Arial"/>
        <family val="0"/>
        <charset val="1"/>
      </rPr>
      <t xml:space="preserve">10 GW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9.5–10 GW </t>
    </r>
    <r>
      <rPr>
        <sz val="10"/>
        <color rgb="FF000000"/>
        <rFont val="Noto Sans CJK SC"/>
        <family val="2"/>
      </rPr>
      <t xml:space="preserve">一致</t>
    </r>
  </si>
  <si>
    <t xml:space="preserve">SRC_ANT_269</t>
  </si>
  <si>
    <t xml:space="preserve">cmp_gw_ye_2025_fourweek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</si>
  <si>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年底可用算力（媒體轉述投資人資料）</t>
    </r>
  </si>
  <si>
    <r>
      <rPr>
        <sz val="10"/>
        <color rgb="FF000000"/>
        <rFont val="Arial"/>
        <family val="0"/>
        <charset val="1"/>
      </rPr>
      <t xml:space="preserve">FourWeekMBA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and the Gigawatt Threshold</t>
    </r>
    <r>
      <rPr>
        <sz val="10"/>
        <color rgb="FF000000"/>
        <rFont val="Noto Sans CJK SC"/>
        <family val="2"/>
      </rPr>
      <t xml:space="preserve">〉</t>
    </r>
  </si>
  <si>
    <t xml:space="preserve">https://fourweekmba.com/ai-anthropic-gigawatt-threshold-compute-unit-of-account/</t>
  </si>
  <si>
    <t xml:space="preserve">媒體轉述投資人討論（未經公司確認）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</si>
  <si>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~1.4 GW of compute availability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年底），標明「</t>
    </r>
    <r>
      <rPr>
        <sz val="10"/>
        <color rgb="FF000000"/>
        <rFont val="Arial"/>
        <family val="0"/>
        <charset val="1"/>
      </rPr>
      <t xml:space="preserve">expectations, not delivered capacity</t>
    </r>
    <r>
      <rPr>
        <sz val="10"/>
        <color rgb="FF000000"/>
        <rFont val="Noto Sans CJK SC"/>
        <family val="2"/>
      </rPr>
      <t xml:space="preserve">」；與 </t>
    </r>
    <r>
      <rPr>
        <sz val="10"/>
        <color rgb="FF000000"/>
        <rFont val="Arial"/>
        <family val="0"/>
        <charset val="1"/>
      </rPr>
      <t xml:space="preserve">Measured AI 2025=1.4 GW </t>
    </r>
    <r>
      <rPr>
        <sz val="10"/>
        <color rgb="FF000000"/>
        <rFont val="Noto Sans CJK SC"/>
        <family val="2"/>
      </rPr>
      <t xml:space="preserve">一致；頁面未見發布日期（約 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</t>
    </r>
  </si>
  <si>
    <t xml:space="preserve">SRC_ANT_270</t>
  </si>
  <si>
    <t xml:space="preserve">cmp_amzn_goog_11gw_info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</si>
  <si>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合約容量與金額（媒體彙整）</t>
    </r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</si>
  <si>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 </t>
    </r>
    <r>
      <rPr>
        <sz val="10"/>
        <color rgb="FF000000"/>
        <rFont val="Arial"/>
        <family val="0"/>
        <charset val="1"/>
      </rPr>
      <t xml:space="preserve">&gt;$300B</t>
    </r>
    <r>
      <rPr>
        <sz val="10"/>
        <color rgb="FF000000"/>
        <rFont val="Noto Sans CJK SC"/>
        <family val="2"/>
      </rPr>
      <t xml:space="preserve">，約十年）</t>
    </r>
  </si>
  <si>
    <t xml:space="preserve">約十年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</si>
  <si>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（同上）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</si>
  <si>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Amazon and Google account for 11 GW costing more than $300B over roughly 10 years</t>
    </r>
    <r>
      <rPr>
        <sz val="10"/>
        <color rgb="FF000000"/>
        <rFont val="Noto Sans CJK SC"/>
        <family val="2"/>
      </rPr>
      <t xml:space="preserve">」；≈ </t>
    </r>
    <r>
      <rPr>
        <sz val="10"/>
        <color rgb="FF000000"/>
        <rFont val="Arial"/>
        <family val="0"/>
        <charset val="1"/>
      </rPr>
      <t xml:space="preserve">AWS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Google/Broadcom 5 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 Google 1 GW</t>
    </r>
  </si>
  <si>
    <t xml:space="preserve">SRC_ANT_271</t>
  </si>
  <si>
    <t xml:space="preserve">cmp_lambda_nscale_80b_info</t>
  </si>
  <si>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</si>
  <si>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（六年）</t>
    </r>
  </si>
  <si>
    <t xml:space="preserve">六年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</si>
  <si>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$80B for at least 460 MW over six years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Nscale $45B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$35B</t>
    </r>
    <r>
      <rPr>
        <sz val="10"/>
        <color rgb="FF000000"/>
        <rFont val="Noto Sans CJK SC"/>
        <family val="2"/>
      </rPr>
      <t xml:space="preserve">；容量只計 </t>
    </r>
    <r>
      <rPr>
        <sz val="10"/>
        <color rgb="FF000000"/>
        <rFont val="Arial"/>
        <family val="0"/>
        <charset val="1"/>
      </rPr>
      <t xml:space="preserve">Nscale 460MW</t>
    </r>
    <r>
      <rPr>
        <sz val="10"/>
        <color rgb="FF000000"/>
        <rFont val="Noto Sans CJK SC"/>
        <family val="2"/>
      </rPr>
      <t xml:space="preserve">，漏 </t>
    </r>
    <r>
      <rPr>
        <sz val="10"/>
        <color rgb="FF000000"/>
        <rFont val="Arial"/>
        <family val="0"/>
        <charset val="1"/>
      </rPr>
      <t xml:space="preserve">Lambda 350MW</t>
    </r>
  </si>
  <si>
    <t xml:space="preserve">SRC_ANT_272</t>
  </si>
  <si>
    <t xml:space="preserve">cmp_msft_1gw_info</t>
  </si>
  <si>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</si>
  <si>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</si>
  <si>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At least $30B for about 1 GW of Azure/Nvidia capacity</t>
    </r>
    <r>
      <rPr>
        <sz val="10"/>
        <color rgb="FF000000"/>
        <rFont val="Noto Sans CJK SC"/>
        <family val="2"/>
      </rPr>
      <t xml:space="preserve">」；隱含約 </t>
    </r>
    <r>
      <rPr>
        <sz val="10"/>
        <color rgb="FF000000"/>
        <rFont val="Arial"/>
        <family val="0"/>
        <charset val="1"/>
      </rPr>
      <t xml:space="preserve">$30B/GW</t>
    </r>
  </si>
  <si>
    <t xml:space="preserve">SRC_ANT_273</t>
  </si>
  <si>
    <t xml:space="preserve">cmp_google_broadcom_200b_info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</si>
  <si>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合約（媒體彙整）</t>
    </r>
  </si>
  <si>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（五年，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</si>
  <si>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t xml:space="preserve">五年</t>
  </si>
  <si>
    <r>
      <rPr>
        <sz val="10"/>
        <color rgb="FF000000"/>
        <rFont val="Arial"/>
        <family val="0"/>
        <charset val="1"/>
      </rPr>
      <t xml:space="preserve">AI Weekly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</si>
  <si>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表列「</t>
    </r>
    <r>
      <rPr>
        <sz val="10"/>
        <color rgb="FF000000"/>
        <rFont val="Arial"/>
        <family val="0"/>
        <charset val="1"/>
      </rPr>
      <t xml:space="preserve">Google/Broadcom $200B over 5 years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」；與招股書 </t>
    </r>
    <r>
      <rPr>
        <sz val="10"/>
        <color rgb="FF000000"/>
        <rFont val="Arial"/>
        <family val="0"/>
        <charset val="1"/>
      </rPr>
      <t xml:space="preserve">Google 111.1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Broadcom 161.2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272.3 </t>
    </r>
    <r>
      <rPr>
        <sz val="10"/>
        <color rgb="FF000000"/>
        <rFont val="Noto Sans CJK SC"/>
        <family val="2"/>
      </rPr>
      <t xml:space="preserve">不一致</t>
    </r>
  </si>
  <si>
    <t xml:space="preserve">SRC_ANT_274</t>
  </si>
  <si>
    <t xml:space="preserve">cost_opex_2025</t>
  </si>
  <si>
    <t xml:space="preserve">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</si>
  <si>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</t>
    </r>
  </si>
  <si>
    <t xml:space="preserve">FY2025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</si>
  <si>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</si>
  <si>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https://thenextweb.com/news/anthropic-ipo-prospectus-42bn-loss-518bn-compute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</si>
  <si>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</si>
  <si>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 reached $12.65bn</t>
    </r>
    <r>
      <rPr>
        <sz val="10"/>
        <color rgb="FF000000"/>
        <rFont val="Noto Sans CJK SC"/>
        <family val="2"/>
      </rPr>
      <t xml:space="preserve">（似含算力成本；即總成本費用）</t>
    </r>
  </si>
  <si>
    <t xml:space="preserve">SRC_ANT_275</t>
  </si>
  <si>
    <t xml:space="preserve">cost_opex_2025_b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</si>
  <si>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營業費用總額（約數）</t>
    </r>
  </si>
  <si>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$2 trillion IPO prospectus has leaked</t>
    </r>
    <r>
      <rPr>
        <sz val="10"/>
        <color rgb="FF000000"/>
        <rFont val="Noto Sans CJK SC"/>
        <family val="2"/>
      </rPr>
      <t xml:space="preserve">〉</t>
    </r>
  </si>
  <si>
    <t xml:space="preserve">https://fortune.com/2026/09/29/anthropic-ipo-s-1-prospectus-income-statement/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</si>
  <si>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expenses: $13 billion.</t>
    </r>
    <r>
      <rPr>
        <sz val="10"/>
        <color rgb="FF000000"/>
        <rFont val="Noto Sans CJK SC"/>
        <family val="2"/>
      </rPr>
      <t xml:space="preserve">（為 </t>
    </r>
    <r>
      <rPr>
        <sz val="10"/>
        <color rgb="FF000000"/>
        <rFont val="Arial"/>
        <family val="0"/>
        <charset val="1"/>
      </rPr>
      <t xml:space="preserve">$12.65B </t>
    </r>
    <r>
      <rPr>
        <sz val="10"/>
        <color rgb="FF000000"/>
        <rFont val="Noto Sans CJK SC"/>
        <family val="2"/>
      </rPr>
      <t xml:space="preserve">之四捨五入，非真正矛盾）</t>
    </r>
  </si>
  <si>
    <t xml:space="preserve">SRC_ANT_276</t>
  </si>
  <si>
    <t xml:space="preserve">cost_compute_2025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</si>
  <si>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算力與基礎設施支出（費用口徑）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</si>
  <si>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Compute and infrastructure took $7.33bn of that, three times the 2024 figure</t>
    </r>
    <r>
      <rPr>
        <sz val="10"/>
        <color rgb="FF000000"/>
        <rFont val="Noto Sans CJK SC"/>
        <family val="2"/>
      </rPr>
      <t xml:space="preserve">（占營費 </t>
    </r>
    <r>
      <rPr>
        <sz val="10"/>
        <color rgb="FF000000"/>
        <rFont val="Arial"/>
        <family val="0"/>
        <charset val="1"/>
      </rPr>
      <t xml:space="preserve">58%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$2.4B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</si>
  <si>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SRC_ANT_277</t>
  </si>
  <si>
    <t xml:space="preserve">cost_noncompute_opex_2025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</si>
  <si>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非算力營業費用（人事、銷管等）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</si>
  <si>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12.65 − 7.33</t>
    </r>
    <r>
      <rPr>
        <sz val="10"/>
        <color rgb="FF000000"/>
        <rFont val="Noto Sans CJK SC"/>
        <family val="2"/>
      </rPr>
      <t xml:space="preserve">（同上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</si>
  <si>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Noto Sans CJK SC"/>
        <family val="2"/>
      </rPr>
      <t xml:space="preserve">營費 </t>
    </r>
    <r>
      <rPr>
        <sz val="10"/>
        <color rgb="FF000000"/>
        <rFont val="Arial"/>
        <family val="0"/>
        <charset val="1"/>
      </rPr>
      <t xml:space="preserve">$12.65bn </t>
    </r>
    <r>
      <rPr>
        <sz val="10"/>
        <color rgb="FF000000"/>
        <rFont val="Noto Sans CJK SC"/>
        <family val="2"/>
      </rPr>
      <t xml:space="preserve">減算力 </t>
    </r>
    <r>
      <rPr>
        <sz val="10"/>
        <color rgb="FF000000"/>
        <rFont val="Arial"/>
        <family val="0"/>
        <charset val="1"/>
      </rPr>
      <t xml:space="preserve">$7.33bn</t>
    </r>
    <r>
      <rPr>
        <sz val="10"/>
        <color rgb="FF000000"/>
        <rFont val="Noto Sans CJK SC"/>
        <family val="2"/>
      </rPr>
      <t xml:space="preserve">；研發／銷售／管理細項未揭露</t>
    </r>
  </si>
  <si>
    <t xml:space="preserve">SRC_ANT_278</t>
  </si>
  <si>
    <t xml:space="preserve">cost_oploss_2025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</si>
  <si>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</si>
  <si>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operating loss ... widened to $8.06bn from $2.98bn in 2024</t>
    </r>
  </si>
  <si>
    <t xml:space="preserve">SRC_ANT_279</t>
  </si>
  <si>
    <t xml:space="preserve">cost_oploss_2024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</si>
  <si>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</t>
    </r>
  </si>
  <si>
    <t xml:space="preserve">FY2024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</si>
  <si>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widened to $8.06bn from $2.98bn in 2024</t>
    </r>
  </si>
  <si>
    <t xml:space="preserve">SRC_ANT_280</t>
  </si>
  <si>
    <t xml:space="preserve">cost_netloss_2025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</si>
  <si>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</si>
  <si>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lost $42bn in 2025</t>
    </r>
    <r>
      <rPr>
        <sz val="10"/>
        <color rgb="FF000000"/>
        <rFont val="Noto Sans CJK SC"/>
        <family val="2"/>
      </rPr>
      <t xml:space="preserve">；約 </t>
    </r>
    <r>
      <rPr>
        <sz val="10"/>
        <color rgb="FF000000"/>
        <rFont val="Arial"/>
        <family val="0"/>
        <charset val="1"/>
      </rPr>
      <t xml:space="preserve">$34bn </t>
    </r>
    <r>
      <rPr>
        <sz val="10"/>
        <color rgb="FF000000"/>
        <rFont val="Noto Sans CJK SC"/>
        <family val="2"/>
      </rPr>
      <t xml:space="preserve">為可轉換融資公允價值上升之非現金會計費用</t>
    </r>
  </si>
  <si>
    <t xml:space="preserve">SRC_ANT_281</t>
  </si>
  <si>
    <t xml:space="preserve">cost_netloss_2025_noncash_charge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</si>
  <si>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淨虧損中之非現金會計費用（可轉換融資重估）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</si>
  <si>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$34bn of the net loss was an accounting charge ... financing that could later turn into Anthropic shares</t>
    </r>
  </si>
  <si>
    <t xml:space="preserve">SRC_ANT_282</t>
  </si>
  <si>
    <t xml:space="preserve">cost_compute_per_rev_2026q1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</si>
  <si>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</si>
  <si>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</si>
  <si>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所見財務預測</t>
    </r>
  </si>
  <si>
    <t xml:space="preserve">https://www.pymnts.com/artificial-intelligence-2/2026/anthropic-on-track-for-first-operating-profit-as-revenue-surges/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</si>
  <si>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</si>
  <si>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the first quarter, Anthropic spent 71 cents on compute for every dollar of revenue</t>
    </r>
  </si>
  <si>
    <t xml:space="preserve">SRC_ANT_283</t>
  </si>
  <si>
    <t xml:space="preserve">hc_revelio_2023q4</t>
  </si>
  <si>
    <r>
      <rPr>
        <sz val="10"/>
        <color rgb="FF000000"/>
        <rFont val="Noto Sans CJK SC"/>
        <family val="2"/>
      </rPr>
      <t xml:space="preserve">員工人數（</t>
    </r>
    <r>
      <rPr>
        <sz val="10"/>
        <color rgb="FF000000"/>
        <rFont val="Arial"/>
        <family val="0"/>
        <charset val="1"/>
      </rPr>
      <t xml:space="preserve">Revelio </t>
    </r>
    <r>
      <rPr>
        <sz val="10"/>
        <color rgb="FF000000"/>
        <rFont val="Noto Sans CJK SC"/>
        <family val="2"/>
      </rPr>
      <t xml:space="preserve">估計）</t>
    </r>
  </si>
  <si>
    <t xml:space="preserve">2023-Q4</t>
  </si>
  <si>
    <r>
      <rPr>
        <sz val="10"/>
        <color rgb="FF000000"/>
        <rFont val="Arial"/>
        <family val="0"/>
        <charset val="1"/>
      </rPr>
      <t xml:space="preserve">Revelio Labs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Number of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</si>
  <si>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https://www.reveliolabs.com/companies/anthropic-pbc/employees/</t>
  </si>
  <si>
    <r>
      <rPr>
        <sz val="10"/>
        <color rgb="FF000000"/>
        <rFont val="Noto Sans CJK SC"/>
        <family val="2"/>
      </rPr>
      <t xml:space="preserve">第三方以公開職涯資料推估；</t>
    </r>
    <r>
      <rPr>
        <sz val="10"/>
        <color rgb="FF000000"/>
        <rFont val="Arial"/>
        <family val="0"/>
        <charset val="1"/>
      </rPr>
      <t xml:space="preserve">Q2 2023 546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Q3 613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Q4 718</t>
    </r>
    <r>
      <rPr>
        <sz val="10"/>
        <color rgb="FF000000"/>
        <rFont val="Noto Sans CJK SC"/>
        <family val="2"/>
      </rPr>
      <t xml:space="preserve">；可能低估未上 </t>
    </r>
    <r>
      <rPr>
        <sz val="10"/>
        <color rgb="FF000000"/>
        <rFont val="Arial"/>
        <family val="0"/>
        <charset val="1"/>
      </rPr>
      <t xml:space="preserve">LinkedIn </t>
    </r>
    <r>
      <rPr>
        <sz val="10"/>
        <color rgb="FF000000"/>
        <rFont val="Noto Sans CJK SC"/>
        <family val="2"/>
      </rPr>
      <t xml:space="preserve">者</t>
    </r>
  </si>
  <si>
    <t xml:space="preserve">SRC_ANT_284</t>
  </si>
  <si>
    <t xml:space="preserve">hc_revelio_2024q4</t>
  </si>
  <si>
    <t xml:space="preserve">2024-Q4</t>
  </si>
  <si>
    <t xml:space="preserve">Revelio Labs</t>
  </si>
  <si>
    <r>
      <rPr>
        <sz val="10"/>
        <color rgb="FF000000"/>
        <rFont val="Arial"/>
        <family val="0"/>
        <charset val="1"/>
      </rPr>
      <t xml:space="preserve">Q1 2024 867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1,163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1,324</t>
    </r>
  </si>
  <si>
    <t xml:space="preserve">SRC_ANT_285</t>
  </si>
  <si>
    <t xml:space="preserve">hc_revelio_2025q4</t>
  </si>
  <si>
    <t xml:space="preserve">2025-Q4</t>
  </si>
  <si>
    <r>
      <rPr>
        <sz val="10"/>
        <color rgb="FF000000"/>
        <rFont val="Arial"/>
        <family val="0"/>
        <charset val="1"/>
      </rPr>
      <t xml:space="preserve">Q1 2025 1,588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1,894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2,435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Q4 3,089</t>
    </r>
    <r>
      <rPr>
        <sz val="10"/>
        <color rgb="FF000000"/>
        <rFont val="Noto Sans CJK SC"/>
        <family val="2"/>
      </rPr>
      <t xml:space="preserve">（頁面自身百分比有誤，僅取原始人數）</t>
    </r>
  </si>
  <si>
    <t xml:space="preserve">SRC_ANT_286</t>
  </si>
  <si>
    <t xml:space="preserve">hc_revelio_2026q1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</si>
  <si>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3,950 total employees worldwide as of March 2026</t>
    </r>
  </si>
  <si>
    <t xml:space="preserve">SRC_ANT_287</t>
  </si>
  <si>
    <t xml:space="preserve">hc_2026_range_saastr</t>
  </si>
  <si>
    <t xml:space="preserve">員工人數（多來源區間）</t>
  </si>
  <si>
    <r>
      <rPr>
        <sz val="10"/>
        <color rgb="FF000000"/>
        <rFont val="Arial"/>
        <family val="0"/>
        <charset val="1"/>
      </rPr>
      <t xml:space="preserve">SaaStr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Only Has ~5,000 Employees</t>
    </r>
    <r>
      <rPr>
        <sz val="10"/>
        <color rgb="FF000000"/>
        <rFont val="Noto Sans CJK SC"/>
        <family val="2"/>
      </rPr>
      <t xml:space="preserve">〉</t>
    </r>
  </si>
  <si>
    <t xml:space="preserve">https://www.saastr.com/anthropic-only-has-5000-employees-almost-no-one-has-ever-been-this-efficient-thats-by-choice/</t>
  </si>
  <si>
    <t xml:space="preserve">2026-04-14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</si>
  <si>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Tracxn pegs it at ~5,000 as of March 2026. TrueUp says ~3,000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PitchBook ~2,500</t>
    </r>
    <r>
      <rPr>
        <sz val="10"/>
        <color rgb="FF000000"/>
        <rFont val="Noto Sans CJK SC"/>
        <family val="2"/>
      </rPr>
      <t xml:space="preserve">；來源口徑不一</t>
    </r>
  </si>
  <si>
    <t xml:space="preserve">SRC_ANT_288</t>
  </si>
  <si>
    <t xml:space="preserve">cost_compute_2024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</si>
  <si>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算力與基礎設施支出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</si>
  <si>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Lost $42 Billion on $4.6 Billion in Revenues</t>
    </r>
    <r>
      <rPr>
        <sz val="10"/>
        <color rgb="FF000000"/>
        <rFont val="Noto Sans CJK SC"/>
        <family val="2"/>
      </rPr>
      <t xml:space="preserve">〉（轉述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</si>
  <si>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t xml:space="preserve">https://wolfstreet.com/2026/09/28/anthropic-lost-42-billion-on-4-6-billion-in-revenues-in-2025-leaked-ipo-prospectus/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</si>
  <si>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$7.3 billion ... nearly tripled from $2.5 billion in 2024</t>
    </r>
  </si>
  <si>
    <t xml:space="preserve">SRC_ANT_289</t>
  </si>
  <si>
    <t xml:space="preserve">cost_netloss_2024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</si>
  <si>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淨虧損</t>
    </r>
  </si>
  <si>
    <r>
      <rPr>
        <sz val="10"/>
        <color rgb="FF000000"/>
        <rFont val="Arial"/>
        <family val="0"/>
        <charset val="1"/>
      </rPr>
      <t xml:space="preserve">Wolf Street</t>
    </r>
    <r>
      <rPr>
        <sz val="10"/>
        <color rgb="FF000000"/>
        <rFont val="Noto Sans CJK SC"/>
        <family val="2"/>
      </rPr>
      <t xml:space="preserve">（轉述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</si>
  <si>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net loss had multiplied by five from $8 billion in 2024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營業虧損 </t>
    </r>
    <r>
      <rPr>
        <sz val="10"/>
        <color rgb="FF000000"/>
        <rFont val="Arial"/>
        <family val="0"/>
        <charset val="1"/>
      </rPr>
      <t xml:space="preserve">$2.98B</t>
    </r>
    <r>
      <rPr>
        <sz val="10"/>
        <color rgb="FF000000"/>
        <rFont val="Noto Sans CJK SC"/>
        <family val="2"/>
      </rPr>
      <t xml:space="preserve">，差額亦屬非營業項目</t>
    </r>
  </si>
  <si>
    <t xml:space="preserve">SRC_ANT_290</t>
  </si>
  <si>
    <t xml:space="preserve">burn_2024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</si>
  <si>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現金燃燒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</si>
  <si>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sees revenue potentially soaring to $34.5 billion in 2027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</si>
  <si>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https://finance.yahoo.com/news/anthropic-projects-soaring-growth-34-002016708.html</t>
  </si>
  <si>
    <t xml:space="preserve">2025-02-12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</si>
  <si>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last year, when it burned $5.6 billion</t>
    </r>
  </si>
  <si>
    <t xml:space="preserve">SRC_ANT_291</t>
  </si>
  <si>
    <t xml:space="preserve">gm_2024_actual</t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</si>
  <si>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毛利率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</si>
  <si>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</si>
  <si>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https://techcrunch.com/2025/11/04/anthropic-expects-b2b-demand-to-boost-revenue-to-70b-in-2028-report/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</si>
  <si>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up from negative 94% last year</t>
    </r>
    <r>
      <rPr>
        <sz val="10"/>
        <color rgb="FF000000"/>
        <rFont val="Noto Sans CJK SC"/>
        <family val="2"/>
      </rPr>
      <t xml:space="preserve">；含免費用戶為 −</t>
    </r>
    <r>
      <rPr>
        <sz val="10"/>
        <color rgb="FF000000"/>
        <rFont val="Arial"/>
        <family val="0"/>
        <charset val="1"/>
      </rPr>
      <t xml:space="preserve">109%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</si>
  <si>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SRC_ANT_292</t>
  </si>
  <si>
    <t xml:space="preserve">gm_2025_revised_fin1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</si>
  <si>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下修）</t>
    </r>
  </si>
  <si>
    <r>
      <rPr>
        <sz val="10"/>
        <color rgb="FF000000"/>
        <rFont val="Arial"/>
        <family val="0"/>
        <charset val="1"/>
      </rPr>
      <t xml:space="preserve">WebProNews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</si>
  <si>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gross margins of around 40% for its enterprise and developer sales in 2025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；推論成本高於預期）</t>
    </r>
  </si>
  <si>
    <t xml:space="preserve">SRC_ANT_293</t>
  </si>
  <si>
    <t xml:space="preserve">gm_2026_ft_pre_revshare</t>
  </si>
  <si>
    <t xml:space="preserve">毛利率（未扣通路分潤與訓練成本前）</t>
  </si>
  <si>
    <r>
      <rPr>
        <sz val="10"/>
        <color rgb="FF000000"/>
        <rFont val="Arial"/>
        <family val="0"/>
        <charset val="1"/>
      </rPr>
      <t xml:space="preserve">Dealroom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Financial Times</t>
    </r>
  </si>
  <si>
    <t xml:space="preserve">https://dealroom.co/news/other-1wfgfsc-anthropic-tells-investors-it-will-be-profitable-for-second-straight-quar/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</si>
  <si>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</si>
  <si>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gross margins exceed 80% before revenue shared with distributors such as Amazon and before model-training costs</t>
    </r>
    <r>
      <rPr>
        <sz val="10"/>
        <color rgb="FF000000"/>
        <rFont val="Noto Sans CJK SC"/>
        <family val="2"/>
      </rPr>
      <t xml:space="preserve">；口徑寬鬆</t>
    </r>
  </si>
  <si>
    <t xml:space="preserve">SRC_ANT_294</t>
  </si>
  <si>
    <t xml:space="preserve">cost_compute_to_rev_2025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</si>
  <si>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算力支出／營收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</si>
  <si>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8 Things That Don't Add Up About Anthropic's IPO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</si>
  <si>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https://finance.yahoo.com/technology/ai/articles/8-things-don-t-add-173232536.html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</si>
  <si>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about $1.60 of computing for every $1 of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4.6</t>
    </r>
    <r>
      <rPr>
        <sz val="10"/>
        <color rgb="FF000000"/>
        <rFont val="Noto Sans CJK SC"/>
        <family val="2"/>
      </rPr>
      <t xml:space="preserve">）；與毛利率 </t>
    </r>
    <r>
      <rPr>
        <sz val="10"/>
        <color rgb="FF000000"/>
        <rFont val="Arial"/>
        <family val="0"/>
        <charset val="1"/>
      </rPr>
      <t xml:space="preserve">40% </t>
    </r>
    <r>
      <rPr>
        <sz val="10"/>
        <color rgb="FF000000"/>
        <rFont val="Noto Sans CJK SC"/>
        <family val="2"/>
      </rPr>
      <t xml:space="preserve">不相容，顯示算力含訓練</t>
    </r>
  </si>
  <si>
    <t xml:space="preserve">SRC_ANT_295</t>
  </si>
  <si>
    <t xml:space="preserve">hc_2026_06_company</t>
  </si>
  <si>
    <t xml:space="preserve">員工人數（公司高層口述）</t>
  </si>
  <si>
    <r>
      <rPr>
        <sz val="10"/>
        <color rgb="FF000000"/>
        <rFont val="Arial"/>
        <family val="0"/>
        <charset val="1"/>
      </rPr>
      <t xml:space="preserve">CEO Interviews </t>
    </r>
    <r>
      <rPr>
        <sz val="10"/>
        <color rgb="FF000000"/>
        <rFont val="Noto Sans CJK SC"/>
        <family val="2"/>
      </rPr>
      <t xml:space="preserve">逐字稿（</t>
    </r>
    <r>
      <rPr>
        <sz val="10"/>
        <color rgb="FF000000"/>
        <rFont val="Arial"/>
        <family val="0"/>
        <charset val="1"/>
      </rPr>
      <t xml:space="preserve">Daniela Amodei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Snowflake Summit 2026 </t>
    </r>
    <r>
      <rPr>
        <sz val="10"/>
        <color rgb="FF000000"/>
        <rFont val="Noto Sans CJK SC"/>
        <family val="2"/>
      </rPr>
      <t xml:space="preserve">主題演講）</t>
    </r>
  </si>
  <si>
    <t xml:space="preserve">https://ceointerviews.ai/quote/five-years-ago-anthropic-was-about-15-people-MTA3MDEwMQ/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</si>
  <si>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（招募、市場地位誘因）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</si>
  <si>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Five years ago Anthropic was about 15 people and today were about 3,500 people</t>
    </r>
    <r>
      <rPr>
        <sz val="10"/>
        <color rgb="FF000000"/>
        <rFont val="Noto Sans CJK SC"/>
        <family val="2"/>
      </rPr>
      <t xml:space="preserve">（約數；低於 </t>
    </r>
    <r>
      <rPr>
        <sz val="10"/>
        <color rgb="FF000000"/>
        <rFont val="Arial"/>
        <family val="0"/>
        <charset val="1"/>
      </rPr>
      <t xml:space="preserve">Revelio 2026Q1 3,950</t>
    </r>
    <r>
      <rPr>
        <sz val="10"/>
        <color rgb="FF000000"/>
        <rFont val="Noto Sans CJK SC"/>
        <family val="2"/>
      </rPr>
      <t xml:space="preserve">）</t>
    </r>
  </si>
  <si>
    <t xml:space="preserve">SRC_ANT_296</t>
  </si>
  <si>
    <t xml:space="preserve">cost_charity_match_q1_2026</t>
  </si>
  <si>
    <r>
      <rPr>
        <sz val="10"/>
        <color rgb="FF000000"/>
        <rFont val="Noto Sans CJK SC"/>
        <family val="2"/>
      </rPr>
      <t xml:space="preserve">員工捐股配捐費用（非現金，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</si>
  <si>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charitable stock-matching program racks up over $660 million in expenses</t>
    </r>
    <r>
      <rPr>
        <sz val="10"/>
        <color rgb="FF000000"/>
        <rFont val="Noto Sans CJK SC"/>
        <family val="2"/>
      </rPr>
      <t xml:space="preserve">〉</t>
    </r>
  </si>
  <si>
    <t xml:space="preserve">https://cryptobriefing.com/anthropic-charitable-stock-matching-660-million/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</si>
  <si>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揭露（來源文件未標明）；二手媒體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</si>
  <si>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Approximately $125 million ... in Q1 2026 alone ... about 10% of total employee expenses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&gt;$660M</t>
    </r>
  </si>
  <si>
    <t xml:space="preserve">SRC_ANT_297</t>
  </si>
  <si>
    <t xml:space="preserve">cost_employee_q1_2026_derived</t>
  </si>
  <si>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員工費用總額（推算）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</si>
  <si>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0.125 ÷ 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</si>
  <si>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以「約 </t>
    </r>
    <r>
      <rPr>
        <sz val="10"/>
        <color rgb="FF000000"/>
        <rFont val="Arial"/>
        <family val="0"/>
        <charset val="1"/>
      </rPr>
      <t xml:space="preserve">10% of total employee expenses</t>
    </r>
    <r>
      <rPr>
        <sz val="10"/>
        <color rgb="FF000000"/>
        <rFont val="Noto Sans CJK SC"/>
        <family val="2"/>
      </rPr>
      <t xml:space="preserve">」反推，約數；是否含股權報酬未明；同文稱約占營業成本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（隱含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營業成本約 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）</t>
    </r>
  </si>
  <si>
    <t xml:space="preserve">SRC_ANT_298</t>
  </si>
  <si>
    <t xml:space="preserve">fund_series_h_amount</t>
  </si>
  <si>
    <t xml:space="preserve">F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</si>
  <si>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</si>
  <si>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$65 billion in Series H funding led by Altimeter Capital, Dragoneer, Greenoaks, and Sequoia</t>
    </r>
    <r>
      <rPr>
        <sz val="10"/>
        <color rgb="FF000000"/>
        <rFont val="Noto Sans CJK SC"/>
        <family val="2"/>
      </rPr>
      <t xml:space="preserve">。含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</t>
    </r>
  </si>
  <si>
    <t xml:space="preserve">SRC_ANT_299</t>
  </si>
  <si>
    <t xml:space="preserve">fund_series_h_post_val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</si>
  <si>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</si>
  <si>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$65 billion, nears $1T valuation ahead of IPO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</si>
  <si>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https://techcrunch.com/2026/05/28/anthropic-raises-65-billion-nears-1t-valuation-ahead-of-ipo/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</si>
  <si>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（募資誘因；媒體轉述公司公告）</t>
    </r>
  </si>
  <si>
    <r>
      <rPr>
        <sz val="10"/>
        <color rgb="FF000000"/>
        <rFont val="Arial"/>
        <family val="0"/>
        <charset val="1"/>
      </rPr>
      <t xml:space="preserve">$965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$900B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=965−65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，未見原文）</t>
    </r>
  </si>
  <si>
    <t xml:space="preserve">SRC_ANT_300</t>
  </si>
  <si>
    <t xml:space="preserve">fund_series_h_hyperscaler_component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</si>
  <si>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中先前承諾的雲端業者投資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</si>
  <si>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includes $15 billion of previously committed investments from hyperscalers, including $5 billion from Amazon</t>
    </r>
    <r>
      <rPr>
        <sz val="10"/>
        <color rgb="FF000000"/>
        <rFont val="Noto Sans CJK SC"/>
        <family val="2"/>
      </rPr>
      <t xml:space="preserve">。新現金約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</si>
  <si>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SRC_ANT_301</t>
  </si>
  <si>
    <t xml:space="preserve">fund_series_h_coleads</t>
  </si>
  <si>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共同領投（文字）</t>
    </r>
  </si>
  <si>
    <t xml:space="preserve">文字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</si>
  <si>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co-led by Capital Group, Coatue, D1 Capital Partners, GIC, ICONIQ, and XN</t>
    </r>
    <r>
      <rPr>
        <sz val="10"/>
        <color rgb="FF000000"/>
        <rFont val="Noto Sans CJK SC"/>
        <family val="2"/>
      </rPr>
      <t xml:space="preserve">；策略夥伴 </t>
    </r>
    <r>
      <rPr>
        <sz val="10"/>
        <color rgb="FF000000"/>
        <rFont val="Arial"/>
        <family val="0"/>
        <charset val="1"/>
      </rPr>
      <t xml:space="preserve">Micron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Samsung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SK hynix </t>
    </r>
    <r>
      <rPr>
        <sz val="10"/>
        <color rgb="FF000000"/>
        <rFont val="Noto Sans CJK SC"/>
        <family val="2"/>
      </rPr>
      <t xml:space="preserve">參與</t>
    </r>
  </si>
  <si>
    <t xml:space="preserve">SRC_ANT_302</t>
  </si>
  <si>
    <t xml:space="preserve">fund_series_g_amount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</si>
  <si>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</si>
  <si>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Arial"/>
        <family val="0"/>
        <charset val="1"/>
      </rPr>
      <t xml:space="preserve">Orrick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</si>
  <si>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https://www.orrick.com/en/News/2026/02/Anthropic-Raises-30B-Series-G-at-380B-Post-Money-Valuation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</si>
  <si>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（募資誘因；律所為公司代表）</t>
    </r>
  </si>
  <si>
    <r>
      <rPr>
        <sz val="10"/>
        <color rgb="FF000000"/>
        <rFont val="Noto Sans CJK SC"/>
        <family val="2"/>
      </rPr>
      <t xml:space="preserve">標題：</t>
    </r>
    <r>
      <rPr>
        <sz val="10"/>
        <color rgb="FF000000"/>
        <rFont val="Arial"/>
        <family val="0"/>
        <charset val="1"/>
      </rPr>
      <t xml:space="preserve">Anthropic Raises $30B Series G at $380B Post-Money Valuation</t>
    </r>
  </si>
  <si>
    <t xml:space="preserve">SRC_ANT_303</t>
  </si>
  <si>
    <t xml:space="preserve">fund_series_g_post_val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</si>
  <si>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</si>
  <si>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$380B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$350B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</si>
  <si>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SRC_ANT_304</t>
  </si>
  <si>
    <t xml:space="preserve">fund_private_raised_cum_2026</t>
  </si>
  <si>
    <t xml:space="preserve">成立以來私募累計募資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</si>
  <si>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</si>
  <si>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</si>
  <si>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has raised more than $125 billion privately since its founding five years ago</t>
    </r>
    <r>
      <rPr>
        <sz val="10"/>
        <color rgb="FF000000"/>
        <rFont val="Noto Sans CJK SC"/>
        <family val="2"/>
      </rPr>
      <t xml:space="preserve">（下限）</t>
    </r>
  </si>
  <si>
    <t xml:space="preserve">SRC_ANT_305</t>
  </si>
  <si>
    <t xml:space="preserve">cash_2025_12_31</t>
  </si>
  <si>
    <r>
      <rPr>
        <sz val="10"/>
        <color rgb="FF000000"/>
        <rFont val="Noto Sans CJK SC"/>
        <family val="2"/>
      </rPr>
      <t xml:space="preserve">現金、約當現金及短期投資（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</si>
  <si>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招股書草稿，未公開；募資誘因）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</si>
  <si>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ended 2025 with $20.28bn in cash, cash equivalents and short-term investments</t>
    </r>
  </si>
  <si>
    <t xml:space="preserve">SRC_ANT_306</t>
  </si>
  <si>
    <t xml:space="preserve">debt_credit_facility_15b</t>
  </si>
  <si>
    <t xml:space="preserve">循環信貸額度</t>
  </si>
  <si>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所見招股書草稿</t>
    </r>
  </si>
  <si>
    <t xml:space="preserve">https://www.zerohedge.com/markets/leaked-anthropic-ipo-prospectus-shows-42bn-net-loss-518bn-unfunded-spending-commitments-and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</si>
  <si>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also has a $15 billion credit facility</t>
    </r>
    <r>
      <rPr>
        <sz val="10"/>
        <color rgb="FF000000"/>
        <rFont val="Noto Sans CJK SC"/>
        <family val="2"/>
      </rPr>
      <t xml:space="preserve">；另一來源稱 </t>
    </r>
    <r>
      <rPr>
        <sz val="10"/>
        <color rgb="FF000000"/>
        <rFont val="Arial"/>
        <family val="0"/>
        <charset val="1"/>
      </rPr>
      <t xml:space="preserve">concurrently finalizing</t>
    </r>
    <r>
      <rPr>
        <sz val="10"/>
        <color rgb="FF000000"/>
        <rFont val="Noto Sans CJK SC"/>
        <family val="2"/>
      </rPr>
      <t xml:space="preserve">（尚在定案）</t>
    </r>
  </si>
  <si>
    <t xml:space="preserve">SRC_ANT_307</t>
  </si>
  <si>
    <t xml:space="preserve">debt_spv_tpu_financing</t>
  </si>
  <si>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融資的特殊目的載體（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）累計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</si>
  <si>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</t>
    </r>
    <r>
      <rPr>
        <sz val="10"/>
        <color rgb="FF000000"/>
        <rFont val="Arial"/>
        <family val="0"/>
        <charset val="1"/>
      </rPr>
      <t xml:space="preserve">ZeroHedge </t>
    </r>
    <r>
      <rPr>
        <sz val="10"/>
        <color rgb="FF000000"/>
        <rFont val="Noto Sans CJK SC"/>
        <family val="2"/>
      </rPr>
      <t xml:space="preserve">為二手評論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</si>
  <si>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stacked over $71 billion through special purpose vehicles to finance Google TPU chips</t>
    </r>
    <r>
      <rPr>
        <sz val="10"/>
        <color rgb="FF000000"/>
        <rFont val="Noto Sans CJK SC"/>
        <family val="2"/>
      </rPr>
      <t xml:space="preserve">；表外，未見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原文佐證，待核</t>
    </r>
  </si>
  <si>
    <t xml:space="preserve">SRC_ANT_308</t>
  </si>
  <si>
    <t xml:space="preserve">ipo_confidential_s1</t>
  </si>
  <si>
    <r>
      <rPr>
        <sz val="10"/>
        <color rgb="FF000000"/>
        <rFont val="Noto Sans CJK SC"/>
        <family val="2"/>
      </rPr>
      <t xml:space="preserve">秘密遞交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草稿（日期）</t>
    </r>
  </si>
  <si>
    <t xml:space="preserve">日期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</si>
  <si>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confidential draft S-1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</si>
  <si>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https://www.anthropic.com/news/confidential-draft-s1-sec</t>
  </si>
  <si>
    <r>
      <rPr>
        <sz val="10"/>
        <color rgb="FF000000"/>
        <rFont val="Arial"/>
        <family val="0"/>
        <charset val="1"/>
      </rPr>
      <t xml:space="preserve">Rule 135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confidentially submitted a draft registration statement on Form S-1</t>
    </r>
    <r>
      <rPr>
        <sz val="10"/>
        <color rgb="FF000000"/>
        <rFont val="Noto Sans CJK SC"/>
        <family val="2"/>
      </rPr>
      <t xml:space="preserve">；股數、價格未定</t>
    </r>
  </si>
  <si>
    <t xml:space="preserve">SRC_ANT_309</t>
  </si>
  <si>
    <t xml:space="preserve">ipo_banks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</si>
  <si>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主辦承銷商（文字）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</si>
  <si>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</si>
  <si>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https://finance.yahoo.com/markets/stocks/articles/anthropic-said-pick-morgan-stanley-175802678.html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</si>
  <si>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</si>
  <si>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chosen Morgan Stanley and Goldman Sachs Group Inc. to lead the offering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JPMorgan will also work on the deal</t>
    </r>
  </si>
  <si>
    <t xml:space="preserve">SRC_ANT_310</t>
  </si>
  <si>
    <t xml:space="preserve">ipo_target_valuation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</si>
  <si>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目標估值</t>
    </r>
  </si>
  <si>
    <t xml:space="preserve">2026-Q4</t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</si>
  <si>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</si>
  <si>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／投資人；募資誘因）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</si>
  <si>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aiming for a valuation of more than $2tn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listing likely after the US midterm elections in November</t>
    </r>
  </si>
  <si>
    <t xml:space="preserve">SRC_ANT_311</t>
  </si>
  <si>
    <t xml:space="preserve">ipo_founder_votes</t>
  </si>
  <si>
    <r>
      <rPr>
        <sz val="10"/>
        <color rgb="FF000000"/>
        <rFont val="Noto Sans CJK SC"/>
        <family val="2"/>
      </rPr>
      <t xml:space="preserve">共同創辦人經 </t>
    </r>
    <r>
      <rPr>
        <sz val="10"/>
        <color rgb="FF000000"/>
        <rFont val="Arial"/>
        <family val="0"/>
        <charset val="1"/>
      </rPr>
      <t xml:space="preserve">Founder LLC </t>
    </r>
    <r>
      <rPr>
        <sz val="10"/>
        <color rgb="FF000000"/>
        <rFont val="Noto Sans CJK SC"/>
        <family val="2"/>
      </rPr>
      <t xml:space="preserve">掌握投票權</t>
    </r>
  </si>
  <si>
    <t xml:space="preserve">%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</si>
  <si>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gives the seven co-founders 50.1% of the votes through a new Founder LLC</t>
    </r>
  </si>
  <si>
    <t xml:space="preserve">SRC_ANT_312</t>
  </si>
  <si>
    <t xml:space="preserve">fund_series_f_amount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</si>
  <si>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募資金額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</si>
  <si>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completed a Series F fundraising of $13 billion led by ICONIQ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co-led by Fidelity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Lightspeed</t>
    </r>
  </si>
  <si>
    <t xml:space="preserve">SRC_ANT_313</t>
  </si>
  <si>
    <t xml:space="preserve">fund_series_f_post_val</t>
  </si>
  <si>
    <r>
      <rPr>
        <sz val="10"/>
        <color rgb="FF000000"/>
        <rFont val="Arial"/>
        <family val="0"/>
        <charset val="1"/>
      </rPr>
      <t xml:space="preserve">Series F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</si>
  <si>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This financing values Anthropic at $183 billion post-money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$170B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</si>
  <si>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SRC_ANT_314</t>
  </si>
  <si>
    <t xml:space="preserve">fund_series_e_amount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</si>
  <si>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募資金額</t>
    </r>
  </si>
  <si>
    <t xml:space="preserve">2025-03-03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</si>
  <si>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Series E at US$61.5B post-money valuation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</si>
  <si>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https://www.anthropic.com/news/anthropic-raises-series-e-at-usd61-5b-post-money-valuation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</si>
  <si>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raised $3.5 billion at a $61.5 billion post-money valuation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led by Lightspeed Venture Partners</t>
    </r>
  </si>
  <si>
    <t xml:space="preserve">SRC_ANT_315</t>
  </si>
  <si>
    <t xml:space="preserve">fund_series_e_post_val</t>
  </si>
  <si>
    <r>
      <rPr>
        <sz val="10"/>
        <color rgb="FF000000"/>
        <rFont val="Arial"/>
        <family val="0"/>
        <charset val="1"/>
      </rPr>
      <t xml:space="preserve">Series E </t>
    </r>
    <r>
      <rPr>
        <sz val="10"/>
        <color rgb="FF000000"/>
        <rFont val="Noto Sans CJK SC"/>
        <family val="2"/>
      </rPr>
      <t xml:space="preserve">投後估值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</si>
  <si>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Series E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</si>
  <si>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$61.5 billion post-money valuation</t>
    </r>
    <r>
      <rPr>
        <sz val="10"/>
        <color rgb="FF000000"/>
        <rFont val="Noto Sans CJK SC"/>
        <family val="2"/>
      </rPr>
      <t xml:space="preserve">；投前約 </t>
    </r>
    <r>
      <rPr>
        <sz val="10"/>
        <color rgb="FF000000"/>
        <rFont val="Arial"/>
        <family val="0"/>
        <charset val="1"/>
      </rPr>
      <t xml:space="preserve">$58B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</si>
  <si>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SRC_ANT_316</t>
  </si>
  <si>
    <t xml:space="preserve">fund_series_g_leads</t>
  </si>
  <si>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領投與結構（文字）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</si>
  <si>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led by GIC and Coatue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also includes a portion of the previously announced investments from Microsoft and NVIDIA</t>
    </r>
    <r>
      <rPr>
        <sz val="10"/>
        <color rgb="FF000000"/>
        <rFont val="Noto Sans CJK SC"/>
        <family val="2"/>
      </rPr>
      <t xml:space="preserve">（金額未揭露）</t>
    </r>
  </si>
  <si>
    <t xml:space="preserve">SRC_ANT_317</t>
  </si>
  <si>
    <t xml:space="preserve">strat_amzn_notes_cum_2025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</si>
  <si>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可轉債投資累計（</t>
    </r>
    <r>
      <rPr>
        <sz val="10"/>
        <color rgb="FF000000"/>
        <rFont val="Arial"/>
        <family val="0"/>
        <charset val="1"/>
      </rPr>
      <t xml:space="preserve">2023Q3–2025Q4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</si>
  <si>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</si>
  <si>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https://www.sec.gov/Archives/edgar/data/1018724/000101872426000014/amzn-20260331.htm</t>
  </si>
  <si>
    <t xml:space="preserve">2026-04-30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</si>
  <si>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we invested $8.0 billion in convertible notes from Anthropic</t>
    </r>
    <r>
      <rPr>
        <sz val="10"/>
        <color rgb="FF000000"/>
        <rFont val="Noto Sans CJK SC"/>
        <family val="2"/>
      </rPr>
      <t xml:space="preserve">；部分已轉為無投票權特別股</t>
    </r>
  </si>
  <si>
    <t xml:space="preserve">SRC_ANT_318</t>
  </si>
  <si>
    <t xml:space="preserve">strat_amzn_8b_announce</t>
  </si>
  <si>
    <r>
      <rPr>
        <sz val="10"/>
        <color rgb="FF000000"/>
        <rFont val="Arial"/>
        <family val="0"/>
        <charset val="1"/>
      </rPr>
      <t xml:space="preserve">Amazon 2024-11 </t>
    </r>
    <r>
      <rPr>
        <sz val="10"/>
        <color rgb="FF000000"/>
        <rFont val="Noto Sans CJK SC"/>
        <family val="2"/>
      </rPr>
      <t xml:space="preserve">新增投資（累計達 </t>
    </r>
    <r>
      <rPr>
        <sz val="10"/>
        <color rgb="FF000000"/>
        <rFont val="Arial"/>
        <family val="0"/>
        <charset val="1"/>
      </rPr>
      <t xml:space="preserve">$8B</t>
    </r>
    <r>
      <rPr>
        <sz val="10"/>
        <color rgb="FF000000"/>
        <rFont val="Noto Sans CJK SC"/>
        <family val="2"/>
      </rPr>
      <t xml:space="preserve">）</t>
    </r>
  </si>
  <si>
    <t xml:space="preserve">2024-11-22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</si>
  <si>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Powering the next generation of AI development with AWS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</si>
  <si>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https://www.anthropic.com/news/anthropic-amazon-trainium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</si>
  <si>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new $4 billion investment from Amazon ... bring Amazon's total investment in Anthropic to $8 billion</t>
    </r>
  </si>
  <si>
    <t xml:space="preserve">SRC_ANT_319</t>
  </si>
  <si>
    <t xml:space="preserve">strat_amzn_2026_series_g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</si>
  <si>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</si>
  <si>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2026-06-30 </t>
    </r>
    <r>
      <rPr>
        <sz val="10"/>
        <color rgb="FF000000"/>
        <rFont val="Noto Sans CJK SC"/>
        <family val="2"/>
      </rPr>
      <t xml:space="preserve">季）</t>
    </r>
  </si>
  <si>
    <t xml:space="preserve">https://www.sec.gov/Archives/edgar/data/0001018724/000101872426000026/amzn-20260630.htm</t>
  </si>
  <si>
    <t xml:space="preserve">2026-07-30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</si>
  <si>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Q2 2026, we invested $5.0 billion in Anthropic Series G nonvoting preferred stock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</t>
    </r>
  </si>
  <si>
    <t xml:space="preserve">SRC_ANT_320</t>
  </si>
  <si>
    <t xml:space="preserve">strat_amzn_2026_series_h</t>
  </si>
  <si>
    <r>
      <rPr>
        <sz val="10"/>
        <color rgb="FF000000"/>
        <rFont val="Arial"/>
        <family val="0"/>
        <charset val="1"/>
      </rPr>
      <t xml:space="preserve">Amazon 2026 Q2 </t>
    </r>
    <r>
      <rPr>
        <sz val="10"/>
        <color rgb="FF000000"/>
        <rFont val="Noto Sans CJK SC"/>
        <family val="2"/>
      </rPr>
      <t xml:space="preserve">經融資額度投資 </t>
    </r>
    <r>
      <rPr>
        <sz val="10"/>
        <color rgb="FF000000"/>
        <rFont val="Arial"/>
        <family val="0"/>
        <charset val="1"/>
      </rPr>
      <t xml:space="preserve">Series H</t>
    </r>
  </si>
  <si>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$5.0B Series H nonvoting preferred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</si>
  <si>
    <t xml:space="preserve">SRC_ANT_321</t>
  </si>
  <si>
    <t xml:space="preserve">strat_amzn_facility_total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</si>
  <si>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融資額度上限（依算力交付里程碑）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</si>
  <si>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季，期後事項）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</si>
  <si>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aggregate facility not to exceed $20.0 billion ... as we reach certain delivery milestones of compute capacity</t>
    </r>
    <r>
      <rPr>
        <sz val="10"/>
        <color rgb="FF000000"/>
        <rFont val="Noto Sans CJK SC"/>
        <family val="2"/>
      </rPr>
      <t xml:space="preserve">；以新可轉債提領</t>
    </r>
  </si>
  <si>
    <t xml:space="preserve">SRC_ANT_322</t>
  </si>
  <si>
    <t xml:space="preserve">strat_amzn_facility_remaining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</si>
  <si>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融資額度剩餘可用（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</si>
  <si>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reduced the amount available under the facility to $15.0 billion</t>
    </r>
    <r>
      <rPr>
        <sz val="10"/>
        <color rgb="FF000000"/>
        <rFont val="Noto Sans CJK SC"/>
        <family val="2"/>
      </rPr>
      <t xml:space="preserve">（條件式，非已到位）</t>
    </r>
  </si>
  <si>
    <t xml:space="preserve">SRC_ANT_323</t>
  </si>
  <si>
    <t xml:space="preserve">strat_amzn_funded_cum_2026h1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</si>
  <si>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累計已到位投資（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</si>
  <si>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8.0 + 5.0 + 5.0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</si>
  <si>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可轉債 </t>
    </r>
    <r>
      <rPr>
        <sz val="10"/>
        <color rgb="FF000000"/>
        <rFont val="Arial"/>
        <family val="0"/>
        <charset val="1"/>
      </rPr>
      <t xml:space="preserve">$8.0B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$5.0B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$5.0B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10-Q </t>
    </r>
    <r>
      <rPr>
        <sz val="10"/>
        <color rgb="FF000000"/>
        <rFont val="Noto Sans CJK SC"/>
        <family val="2"/>
      </rPr>
      <t xml:space="preserve">未直接給累計</t>
    </r>
  </si>
  <si>
    <t xml:space="preserve">SRC_ANT_324</t>
  </si>
  <si>
    <t xml:space="preserve">strat_amzn_announce_2026_04</t>
  </si>
  <si>
    <r>
      <rPr>
        <sz val="10"/>
        <color rgb="FF000000"/>
        <rFont val="Arial"/>
        <family val="0"/>
        <charset val="1"/>
      </rPr>
      <t xml:space="preserve">Amazon 2026-04 </t>
    </r>
    <r>
      <rPr>
        <sz val="10"/>
        <color rgb="FF000000"/>
        <rFont val="Noto Sans CJK SC"/>
        <family val="2"/>
      </rPr>
      <t xml:space="preserve">宣布投資（即時＋未來上限）</t>
    </r>
  </si>
  <si>
    <r>
      <rPr>
        <sz val="10"/>
        <color rgb="FF000000"/>
        <rFont val="Arial"/>
        <family val="0"/>
        <charset val="1"/>
      </rPr>
      <t xml:space="preserve">Nasdaq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Anthropic, Amazon expand collaboration</t>
    </r>
    <r>
      <rPr>
        <sz val="10"/>
        <color rgb="FF000000"/>
        <rFont val="Noto Sans CJK SC"/>
        <family val="2"/>
      </rPr>
      <t xml:space="preserve">〉</t>
    </r>
  </si>
  <si>
    <t xml:space="preserve">https://nasdaq.com/articles/anthropic-amazon-expand-collaboration-amazon-invest-anthropic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</si>
  <si>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</si>
  <si>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investing $5 billion in Anthropic, with up to an additional $20 billion in the future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&gt;$100B AWS</t>
    </r>
  </si>
  <si>
    <t xml:space="preserve">SRC_ANT_325</t>
  </si>
  <si>
    <t xml:space="preserve">strat_amzn_pref_carrying_2026_06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</si>
  <si>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</si>
  <si>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$14.8B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Q2 2026 upward adjustments of approximately $50.5 billion</t>
    </r>
    <r>
      <rPr>
        <sz val="10"/>
        <color rgb="FF000000"/>
        <rFont val="Noto Sans CJK SC"/>
        <family val="2"/>
      </rPr>
      <t xml:space="preserve">（依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價格重估）</t>
    </r>
  </si>
  <si>
    <t xml:space="preserve">SRC_ANT_326</t>
  </si>
  <si>
    <t xml:space="preserve">strat_amzn_notes_fv_2026_06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</si>
  <si>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帳上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可轉債公允價值（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</si>
  <si>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2025-12-31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$45.8B</t>
    </r>
    <r>
      <rPr>
        <sz val="10"/>
        <color rgb="FF000000"/>
        <rFont val="Noto Sans CJK SC"/>
        <family val="2"/>
      </rPr>
      <t xml:space="preserve">；可轉債估值上升即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端認列 </t>
    </r>
    <r>
      <rPr>
        <sz val="10"/>
        <color rgb="FF000000"/>
        <rFont val="Arial"/>
        <family val="0"/>
        <charset val="1"/>
      </rPr>
      <t xml:space="preserve">$34B </t>
    </r>
    <r>
      <rPr>
        <sz val="10"/>
        <color rgb="FF000000"/>
        <rFont val="Noto Sans CJK SC"/>
        <family val="2"/>
      </rPr>
      <t xml:space="preserve">非現金費用之對手面</t>
    </r>
  </si>
  <si>
    <t xml:space="preserve">SRC_ANT_327</t>
  </si>
  <si>
    <t xml:space="preserve">strat_googl_cum_2025_03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</si>
  <si>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累計投資與持股（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法院文件）</t>
    </r>
  </si>
  <si>
    <t xml:space="preserve">2025-03</t>
  </si>
  <si>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NYT </t>
    </r>
    <r>
      <rPr>
        <sz val="10"/>
        <color rgb="FF000000"/>
        <rFont val="Noto Sans CJK SC"/>
        <family val="2"/>
      </rPr>
      <t xml:space="preserve">所見法院文件</t>
    </r>
  </si>
  <si>
    <t xml:space="preserve">https://www.datacenterdynamics.com/en/news/google-owns-14-percent-of-generative-ai-business-anthropic/</t>
  </si>
  <si>
    <t xml:space="preserve">2025-03-12</t>
  </si>
  <si>
    <r>
      <rPr>
        <sz val="10"/>
        <color rgb="FF000000"/>
        <rFont val="Noto Sans CJK SC"/>
        <family val="2"/>
      </rPr>
      <t xml:space="preserve">法院文件：持股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、無投票權；投資 </t>
    </r>
    <r>
      <rPr>
        <sz val="10"/>
        <color rgb="FF000000"/>
        <rFont val="Arial"/>
        <family val="0"/>
        <charset val="1"/>
      </rPr>
      <t xml:space="preserve">&gt;$3B</t>
    </r>
    <r>
      <rPr>
        <sz val="10"/>
        <color rgb="FF000000"/>
        <rFont val="Noto Sans CJK SC"/>
        <family val="2"/>
      </rPr>
      <t xml:space="preserve">，另將於 </t>
    </r>
    <r>
      <rPr>
        <sz val="10"/>
        <color rgb="FF000000"/>
        <rFont val="Arial"/>
        <family val="0"/>
        <charset val="1"/>
      </rPr>
      <t xml:space="preserve">2025-09 </t>
    </r>
    <r>
      <rPr>
        <sz val="10"/>
        <color rgb="FF000000"/>
        <rFont val="Noto Sans CJK SC"/>
        <family val="2"/>
      </rPr>
      <t xml:space="preserve">以可轉債再投 </t>
    </r>
    <r>
      <rPr>
        <sz val="10"/>
        <color rgb="FF000000"/>
        <rFont val="Arial"/>
        <family val="0"/>
        <charset val="1"/>
      </rPr>
      <t xml:space="preserve">$750M</t>
    </r>
  </si>
  <si>
    <t xml:space="preserve">SRC_ANT_328</t>
  </si>
  <si>
    <t xml:space="preserve">strat_googl_2026_04_upfront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</si>
  <si>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</si>
  <si>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t xml:space="preserve">2026-04-24</t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</si>
  <si>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Google to invest up to $40B in Anthropic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</si>
  <si>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https://techcrunch.com/2026/04/24/google-to-invest-up-to-40b-in-anthropic-in-cash-and-compute/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</si>
  <si>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（雲端業務宣傳、募資誘因）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</si>
  <si>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$10 billion now, at a $350 billion valuation</t>
    </r>
    <r>
      <rPr>
        <sz val="10"/>
        <color rgb="FF000000"/>
        <rFont val="Noto Sans CJK SC"/>
        <family val="2"/>
      </rPr>
      <t xml:space="preserve">；是否即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雲端業者部分之剩餘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未證實</t>
    </r>
  </si>
  <si>
    <t xml:space="preserve">SRC_ANT_329</t>
  </si>
  <si>
    <t xml:space="preserve">strat_googl_2026_04_conditional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</si>
  <si>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條件式後續投資（績效目標）</t>
    </r>
  </si>
  <si>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</si>
  <si>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$30 billion to follow if Anthropic hits certain performance targets</t>
    </r>
  </si>
  <si>
    <t xml:space="preserve">SRC_ANT_330</t>
  </si>
  <si>
    <t xml:space="preserve">strat_msft_nvda_announce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</si>
  <si>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承諾投資上限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</si>
  <si>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Microsoft, NVIDIA, and Anthropic announce strategic partnerships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</si>
  <si>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（募資、雲端與晶片業務宣傳）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</si>
  <si>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committing to invest up to $10 billion and up to $5 billion respectively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$10B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$30B Azure</t>
    </r>
  </si>
  <si>
    <t xml:space="preserve">SRC_ANT_331</t>
  </si>
  <si>
    <t xml:space="preserve">strat_msft_funded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</si>
  <si>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已投資金額</t>
    </r>
  </si>
  <si>
    <t xml:space="preserve">2025-11</t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</si>
  <si>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Microsoft logs $3.2B from Anthropic investment</t>
    </r>
    <r>
      <rPr>
        <sz val="10"/>
        <color rgb="FF000000"/>
        <rFont val="Noto Sans CJK SC"/>
        <family val="2"/>
      </rPr>
      <t xml:space="preserve">〉</t>
    </r>
  </si>
  <si>
    <t xml:space="preserve">https://techcrunch.com/2026/07/29/microsoft-logs-3-2b-from-anthropic-investment-but-openai-was-a-mixed-bag/</t>
  </si>
  <si>
    <t xml:space="preserve">2026-07-29</t>
  </si>
  <si>
    <r>
      <rPr>
        <sz val="10"/>
        <color rgb="FF000000"/>
        <rFont val="Noto Sans CJK SC"/>
        <family val="2"/>
      </rPr>
      <t xml:space="preserve">媒體轉述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財報（雲端業務誘因）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</si>
  <si>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Microsoft invested $5 billion in Anthropic in November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FY26Q4 </t>
    </r>
    <r>
      <rPr>
        <sz val="10"/>
        <color rgb="FF000000"/>
        <rFont val="Noto Sans CJK SC"/>
        <family val="2"/>
      </rPr>
      <t xml:space="preserve">認列 </t>
    </r>
    <r>
      <rPr>
        <sz val="10"/>
        <color rgb="FF000000"/>
        <rFont val="Arial"/>
        <family val="0"/>
        <charset val="1"/>
      </rPr>
      <t xml:space="preserve">$3.2B </t>
    </r>
    <r>
      <rPr>
        <sz val="10"/>
        <color rgb="FF000000"/>
        <rFont val="Noto Sans CJK SC"/>
        <family val="2"/>
      </rPr>
      <t xml:space="preserve">收益</t>
    </r>
  </si>
  <si>
    <t xml:space="preserve">SRC_ANT_332</t>
  </si>
  <si>
    <t xml:space="preserve">strat_amd_commit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</si>
  <si>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承諾購買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股票上限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</si>
  <si>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AMD has committed to buy up to $5bn of Anthropic stock and to supply computing capacity expected to exceed $20bn</t>
    </r>
  </si>
  <si>
    <t xml:space="preserve">SRC_ANT_333</t>
  </si>
  <si>
    <t xml:space="preserve">strat_nvda_ipo_anchor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</si>
  <si>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考慮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</si>
  <si>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t xml:space="preserve">2026-09-11</t>
  </si>
  <si>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Reuters</t>
    </r>
  </si>
  <si>
    <t xml:space="preserve">https://www.crowdfundinsider.com/2026/09/309905-nvidia-considers-10b-anchor-stake-in-anthropics-planned-ipo/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</si>
  <si>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</si>
  <si>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$10 billion as an early cornerstone buyer</t>
    </r>
    <r>
      <rPr>
        <sz val="10"/>
        <color rgb="FF000000"/>
        <rFont val="Noto Sans CJK SC"/>
        <family val="2"/>
      </rPr>
      <t xml:space="preserve">；尚未定案</t>
    </r>
  </si>
  <si>
    <t xml:space="preserve">SRC_ANT_334</t>
  </si>
  <si>
    <t xml:space="preserve">tender_2025_05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</si>
  <si>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員工庫藏股回購價格（每股）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</si>
  <si>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股</t>
    </r>
  </si>
  <si>
    <r>
      <rPr>
        <sz val="10"/>
        <color rgb="FF000000"/>
        <rFont val="Arial"/>
        <family val="0"/>
        <charset val="1"/>
      </rPr>
      <t xml:space="preserve">Maginative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</si>
  <si>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https://www.maginative.com/article/anthropic-launches-first-employee-share-buyback-at-61-5-billion-valuation/</t>
  </si>
  <si>
    <t xml:space="preserve">2025-05-02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</si>
  <si>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；招募誘因）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</si>
  <si>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$61.5B </t>
    </r>
    <r>
      <rPr>
        <sz val="10"/>
        <color rgb="FF000000"/>
        <rFont val="Noto Sans CJK SC"/>
        <family val="2"/>
      </rPr>
      <t xml:space="preserve">估值、每人上限 </t>
    </r>
    <r>
      <rPr>
        <sz val="10"/>
        <color rgb="FF000000"/>
        <rFont val="Arial"/>
        <family val="0"/>
        <charset val="1"/>
      </rPr>
      <t xml:space="preserve">$2M</t>
    </r>
    <r>
      <rPr>
        <sz val="10"/>
        <color rgb="FF000000"/>
        <rFont val="Noto Sans CJK SC"/>
        <family val="2"/>
      </rPr>
      <t xml:space="preserve">、可賣持股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；總額未揭露</t>
    </r>
  </si>
  <si>
    <t xml:space="preserve">SRC_ANT_335</t>
  </si>
  <si>
    <t xml:space="preserve">tender_2026_02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</si>
  <si>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員工股份出售規模（</t>
    </r>
    <r>
      <rPr>
        <sz val="10"/>
        <color rgb="FF000000"/>
        <rFont val="Arial"/>
        <family val="0"/>
        <charset val="1"/>
      </rPr>
      <t xml:space="preserve">$350B </t>
    </r>
    <r>
      <rPr>
        <sz val="10"/>
        <color rgb="FF000000"/>
        <rFont val="Noto Sans CJK SC"/>
        <family val="2"/>
      </rPr>
      <t xml:space="preserve">估值）</t>
    </r>
  </si>
  <si>
    <r>
      <rPr>
        <sz val="10"/>
        <color rgb="FF000000"/>
        <rFont val="Arial"/>
        <family val="0"/>
        <charset val="1"/>
      </rPr>
      <t xml:space="preserve">Benzinga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</si>
  <si>
    <t xml:space="preserve">https://www.benzinga.com/markets/private-markets/26/02/50826554/anthropic-plans-employee-share-sale-worth-up-to-6b</t>
  </si>
  <si>
    <t xml:space="preserve">2026-02-24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</si>
  <si>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allocated $5 to $6 billion to the program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valuation of about $350 billion</t>
    </r>
    <r>
      <rPr>
        <sz val="10"/>
        <color rgb="FF000000"/>
        <rFont val="Noto Sans CJK SC"/>
        <family val="2"/>
      </rPr>
      <t xml:space="preserve">；限任職滿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個月</t>
    </r>
  </si>
  <si>
    <t xml:space="preserve">SRC_ANT_336</t>
  </si>
  <si>
    <t xml:space="preserve">tender_2026_02_b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</si>
  <si>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員工股份出售實際成交（低於上限）</t>
    </r>
  </si>
  <si>
    <r>
      <rPr>
        <sz val="10"/>
        <color rgb="FF000000"/>
        <rFont val="Arial"/>
        <family val="0"/>
        <charset val="1"/>
      </rPr>
      <t xml:space="preserve">Tech Insider</t>
    </r>
    <r>
      <rPr>
        <sz val="10"/>
        <color rgb="FF000000"/>
        <rFont val="Noto Sans CJK SC"/>
        <family val="2"/>
      </rPr>
      <t xml:space="preserve">（二手彙整，引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）</t>
    </r>
  </si>
  <si>
    <t xml:space="preserve">https://tech-insider.org/anthropic-350-billion-tender-offer-share-sale-ipo-2026/</t>
  </si>
  <si>
    <t xml:space="preserve">2026-04-12</t>
  </si>
  <si>
    <t xml:space="preserve">二手來源；可信度低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</si>
  <si>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finished below that $6 billion target</t>
    </r>
    <r>
      <rPr>
        <sz val="10"/>
        <color rgb="FF000000"/>
        <rFont val="Noto Sans CJK SC"/>
        <family val="2"/>
      </rPr>
      <t xml:space="preserve">；員工多選擇持有；實際金額未揭露</t>
    </r>
  </si>
  <si>
    <t xml:space="preserve">SRC_ANT_337</t>
  </si>
  <si>
    <t xml:space="preserve">fund_series_c_amount</t>
  </si>
  <si>
    <r>
      <rPr>
        <sz val="10"/>
        <color rgb="FF000000"/>
        <rFont val="Arial"/>
        <family val="0"/>
        <charset val="1"/>
      </rPr>
      <t xml:space="preserve">Series C </t>
    </r>
    <r>
      <rPr>
        <sz val="10"/>
        <color rgb="FF000000"/>
        <rFont val="Noto Sans CJK SC"/>
        <family val="2"/>
      </rPr>
      <t xml:space="preserve">募資金額</t>
    </r>
  </si>
  <si>
    <t xml:space="preserve">2023-05-23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</si>
  <si>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新聞稿〈</t>
    </r>
    <r>
      <rPr>
        <sz val="10"/>
        <color rgb="FF000000"/>
        <rFont val="Arial"/>
        <family val="0"/>
        <charset val="1"/>
      </rPr>
      <t xml:space="preserve">Anthropic Raises $450 Million in Series C Funding</t>
    </r>
    <r>
      <rPr>
        <sz val="10"/>
        <color rgb="FF000000"/>
        <rFont val="Noto Sans CJK SC"/>
        <family val="2"/>
      </rPr>
      <t xml:space="preserve">〉</t>
    </r>
  </si>
  <si>
    <t xml:space="preserve">https://www.anthropic.com/news/anthropic-series-c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</si>
  <si>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$450 million ... led by Spark Capital</t>
    </r>
    <r>
      <rPr>
        <sz val="10"/>
        <color rgb="FF000000"/>
        <rFont val="Noto Sans CJK SC"/>
        <family val="2"/>
      </rPr>
      <t xml:space="preserve">；估值未揭露</t>
    </r>
  </si>
  <si>
    <t xml:space="preserve">SRC_ANT_338</t>
  </si>
  <si>
    <t xml:space="preserve">fund_menlo_2023_talks</t>
  </si>
  <si>
    <r>
      <rPr>
        <sz val="10"/>
        <color rgb="FF000000"/>
        <rFont val="Arial"/>
        <family val="0"/>
        <charset val="1"/>
      </rPr>
      <t xml:space="preserve">2023-12 </t>
    </r>
    <r>
      <rPr>
        <sz val="10"/>
        <color rgb="FF000000"/>
        <rFont val="Noto Sans CJK SC"/>
        <family val="2"/>
      </rPr>
      <t xml:space="preserve">洽談輪（</t>
    </r>
    <r>
      <rPr>
        <sz val="10"/>
        <color rgb="FF000000"/>
        <rFont val="Arial"/>
        <family val="0"/>
        <charset val="1"/>
      </rPr>
      <t xml:space="preserve">Menlo </t>
    </r>
    <r>
      <rPr>
        <sz val="10"/>
        <color rgb="FF000000"/>
        <rFont val="Noto Sans CJK SC"/>
        <family val="2"/>
      </rPr>
      <t xml:space="preserve">領投）金額與估值</t>
    </r>
  </si>
  <si>
    <t xml:space="preserve">2023-12</t>
  </si>
  <si>
    <r>
      <rPr>
        <sz val="10"/>
        <color rgb="FF000000"/>
        <rFont val="Arial"/>
        <family val="0"/>
        <charset val="1"/>
      </rPr>
      <t xml:space="preserve">HPCwire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</si>
  <si>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https://www.hpcwire.com/aiwire/2023/12/22/anthropic-in-talks-with-menlo-ventures-to-raise-750m/</t>
  </si>
  <si>
    <t xml:space="preserve">2023-12-22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</si>
  <si>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hoping to raise $750 million ... valuation to an estimated $18.4 billion</t>
    </r>
    <r>
      <rPr>
        <sz val="10"/>
        <color rgb="FF000000"/>
        <rFont val="Noto Sans CJK SC"/>
        <family val="2"/>
      </rPr>
      <t xml:space="preserve">；當時尚未定案，結案金額未查到一手</t>
    </r>
  </si>
  <si>
    <t xml:space="preserve">SRC_ANT_339</t>
  </si>
  <si>
    <t xml:space="preserve">val_secondary_2026_04</t>
  </si>
  <si>
    <r>
      <rPr>
        <sz val="10"/>
        <color rgb="FF000000"/>
        <rFont val="Noto Sans CJK SC"/>
        <family val="2"/>
      </rPr>
      <t xml:space="preserve">次級市場隱含估值（</t>
    </r>
    <r>
      <rPr>
        <sz val="10"/>
        <color rgb="FF000000"/>
        <rFont val="Arial"/>
        <family val="0"/>
        <charset val="1"/>
      </rPr>
      <t xml:space="preserve">Forge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</si>
  <si>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Business Insider</t>
    </r>
  </si>
  <si>
    <t xml:space="preserve">https://thenextweb.com/news/anthropic-1-trillion-valuation-secondary-market</t>
  </si>
  <si>
    <t xml:space="preserve">2026-04-23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</si>
  <si>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implied valuation of approximately $1 trillion on secondary share trading platforms</t>
    </r>
    <r>
      <rPr>
        <sz val="10"/>
        <color rgb="FF000000"/>
        <rFont val="Noto Sans CJK SC"/>
        <family val="2"/>
      </rPr>
      <t xml:space="preserve">；報價區間 </t>
    </r>
    <r>
      <rPr>
        <sz val="10"/>
        <color rgb="FF000000"/>
        <rFont val="Arial"/>
        <family val="0"/>
        <charset val="1"/>
      </rPr>
      <t xml:space="preserve">$960B–$1.15T</t>
    </r>
    <r>
      <rPr>
        <sz val="10"/>
        <color rgb="FF000000"/>
        <rFont val="Noto Sans CJK SC"/>
        <family val="2"/>
      </rPr>
      <t xml:space="preserve">；非主要融資價</t>
    </r>
  </si>
  <si>
    <t xml:space="preserve">SRC_ANT_340</t>
  </si>
  <si>
    <t xml:space="preserve">ipo_timing_2026_10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</si>
  <si>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時程（投資人會、路演、掛牌）</t>
    </r>
  </si>
  <si>
    <t xml:space="preserve">2026-11</t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</si>
  <si>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Targets $2 Trillion IPO Before Thanksgiving</t>
    </r>
    <r>
      <rPr>
        <sz val="10"/>
        <color rgb="FF000000"/>
        <rFont val="Noto Sans CJK SC"/>
        <family val="2"/>
      </rPr>
      <t xml:space="preserve">〉</t>
    </r>
  </si>
  <si>
    <t xml:space="preserve">https://finance.yahoo.com/markets/stocks/articles/anthropic-targets-2-trillion-ipo-150408036.html</t>
  </si>
  <si>
    <t xml:space="preserve">2026-10-02</t>
  </si>
  <si>
    <r>
      <rPr>
        <sz val="10"/>
        <color rgb="FF000000"/>
        <rFont val="Noto Sans CJK SC"/>
        <family val="2"/>
      </rPr>
      <t xml:space="preserve">知情人士（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／承銷商；募資誘因）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</si>
  <si>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October 14 investor gathering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roadshow as early as the week of November 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 on the Nasdaq before Thanksgiving</t>
    </r>
  </si>
  <si>
    <t xml:space="preserve">SRC_ANT_341</t>
  </si>
  <si>
    <t xml:space="preserve">ipo_raise_size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</si>
  <si>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預計募資規模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</si>
  <si>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Barchart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</si>
  <si>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expected to raise approximately $100 billion</t>
    </r>
    <r>
      <rPr>
        <sz val="10"/>
        <color rgb="FF000000"/>
        <rFont val="Noto Sans CJK SC"/>
        <family val="2"/>
      </rPr>
      <t xml:space="preserve">；投資人估值 </t>
    </r>
    <r>
      <rPr>
        <sz val="10"/>
        <color rgb="FF000000"/>
        <rFont val="Arial"/>
        <family val="0"/>
        <charset val="1"/>
      </rPr>
      <t xml:space="preserve">$1.8T–$2T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Crowdfund Insider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up to $100 billion</t>
    </r>
  </si>
  <si>
    <t xml:space="preserve">SRC_ANT_342</t>
  </si>
  <si>
    <t xml:space="preserve">ipo_target_valuation_b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</si>
  <si>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估值（潛在投資人區間）</t>
    </r>
  </si>
  <si>
    <r>
      <rPr>
        <sz val="10"/>
        <color rgb="FF000000"/>
        <rFont val="Noto Sans CJK SC"/>
        <family val="2"/>
      </rPr>
      <t xml:space="preserve">潛在投資人（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</si>
  <si>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prospective investors pegging a fair valuation between $1.8 trillion and $2 trillion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&gt;$2tn</t>
    </r>
    <r>
      <rPr>
        <sz val="10"/>
        <color rgb="FF000000"/>
        <rFont val="Noto Sans CJK SC"/>
        <family val="2"/>
      </rPr>
      <t xml:space="preserve">」並列）</t>
    </r>
  </si>
  <si>
    <t xml:space="preserve">SRC_ANT_343</t>
  </si>
  <si>
    <t xml:space="preserve">ipo_public_s1_status</t>
  </si>
  <si>
    <r>
      <rPr>
        <sz val="10"/>
        <color rgb="FF000000"/>
        <rFont val="Noto Sans CJK SC"/>
        <family val="2"/>
      </rPr>
      <t xml:space="preserve">公開版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狀態</t>
    </r>
  </si>
  <si>
    <r>
      <rPr>
        <sz val="10"/>
        <color rgb="FF000000"/>
        <rFont val="Arial"/>
        <family val="0"/>
        <charset val="1"/>
      </rPr>
      <t xml:space="preserve">Empower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is going public. Here's where things stand</t>
    </r>
    <r>
      <rPr>
        <sz val="10"/>
        <color rgb="FF000000"/>
        <rFont val="Noto Sans CJK SC"/>
        <family val="2"/>
      </rPr>
      <t xml:space="preserve">〉</t>
    </r>
  </si>
  <si>
    <t xml:space="preserve">https://www.empower.com/the-currency/money/anthropic-ipo-news</t>
  </si>
  <si>
    <t xml:space="preserve">媒體彙整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</si>
  <si>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Draft S-1 filed in June; public filing pending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9/28–29 </t>
    </r>
    <r>
      <rPr>
        <sz val="10"/>
        <color rgb="FF000000"/>
        <rFont val="Noto Sans CJK SC"/>
        <family val="2"/>
      </rPr>
      <t xml:space="preserve">財務數字來自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所見草稿，非 </t>
    </r>
    <r>
      <rPr>
        <sz val="10"/>
        <color rgb="FF000000"/>
        <rFont val="Arial"/>
        <family val="0"/>
        <charset val="1"/>
      </rPr>
      <t xml:space="preserve">EDGAR </t>
    </r>
    <r>
      <rPr>
        <sz val="10"/>
        <color rgb="FF000000"/>
        <rFont val="Noto Sans CJK SC"/>
        <family val="2"/>
      </rPr>
      <t xml:space="preserve">公開文件</t>
    </r>
  </si>
  <si>
    <t xml:space="preserve">SRC_ANT_344</t>
  </si>
  <si>
    <t xml:space="preserve">debt_credit_facility_15b_b</t>
  </si>
  <si>
    <t xml:space="preserve">循環信貸額度（定案前報導）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</si>
  <si>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</si>
  <si>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Quartz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nears $15 billion credit facility before IPO</t>
    </r>
    <r>
      <rPr>
        <sz val="10"/>
        <color rgb="FF000000"/>
        <rFont val="Noto Sans CJK SC"/>
        <family val="2"/>
      </rPr>
      <t xml:space="preserve">〉</t>
    </r>
  </si>
  <si>
    <t xml:space="preserve">https://qz.com/anthropic-15-billion-credit-facility-ipo-090426</t>
  </si>
  <si>
    <t xml:space="preserve">2026-09-04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</si>
  <si>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on the verge of locking in a $15 billion revolving credit facility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Morgan Stanley </t>
    </r>
    <r>
      <rPr>
        <sz val="10"/>
        <color rgb="FF000000"/>
        <rFont val="Noto Sans CJK SC"/>
        <family val="2"/>
      </rPr>
      <t xml:space="preserve">主導；原目標約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；動用金額未揭露</t>
    </r>
  </si>
  <si>
    <t xml:space="preserve">SRC_ANT_345</t>
  </si>
  <si>
    <t xml:space="preserve">equity_employee_pool</t>
  </si>
  <si>
    <t xml:space="preserve">員工股權池占總股本</t>
  </si>
  <si>
    <r>
      <rPr>
        <sz val="10"/>
        <color rgb="FF000000"/>
        <rFont val="Arial"/>
        <family val="0"/>
        <charset val="1"/>
      </rPr>
      <t xml:space="preserve">ChainCatcher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prospectus 7 key pieces of information</t>
    </r>
    <r>
      <rPr>
        <sz val="10"/>
        <color rgb="FF000000"/>
        <rFont val="Noto Sans CJK SC"/>
        <family val="2"/>
      </rPr>
      <t xml:space="preserve">〉</t>
    </r>
  </si>
  <si>
    <t xml:space="preserve">https://www.chaincatcher.com/en/article/2292921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</si>
  <si>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招股書草稿）；二手媒體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</si>
  <si>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The employee equity pool at Anthropic accounts for about 19% of the company's total equity</t>
    </r>
    <r>
      <rPr>
        <sz val="10"/>
        <color rgb="FF000000"/>
        <rFont val="Noto Sans CJK SC"/>
        <family val="2"/>
      </rPr>
      <t xml:space="preserve">；未見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原文佐證</t>
    </r>
  </si>
  <si>
    <t xml:space="preserve">SRC_ANT_346</t>
  </si>
  <si>
    <t xml:space="preserve">cost_compute_per_rev_2026q2_proj</t>
  </si>
  <si>
    <t xml:space="preserve">G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</si>
  <si>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預測每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美元營收之算力支出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</si>
  <si>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That ratio is expected to fall to 56 cents in the current quarter</t>
    </r>
  </si>
  <si>
    <t xml:space="preserve">SRC_ANT_347</t>
  </si>
  <si>
    <t xml:space="preserve">proj_rev_2026q2_wsj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</si>
  <si>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月時）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</si>
  <si>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projects $10.9 billion in revenue for the June quarter, up 130% from $4.8 billion in the first quarter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&gt;$11.5B</t>
    </r>
  </si>
  <si>
    <t xml:space="preserve">SRC_ANT_348</t>
  </si>
  <si>
    <t xml:space="preserve">proj_opinc_2026q2_wsj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</si>
  <si>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營業利益預測（首次轉正）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</si>
  <si>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operating income of $559 million</t>
    </r>
    <r>
      <rPr>
        <sz val="10"/>
        <color rgb="FF000000"/>
        <rFont val="Noto Sans CJK SC"/>
        <family val="2"/>
      </rPr>
      <t xml:space="preserve">；先前預期 </t>
    </r>
    <r>
      <rPr>
        <sz val="10"/>
        <color rgb="FF000000"/>
        <rFont val="Arial"/>
        <family val="0"/>
        <charset val="1"/>
      </rPr>
      <t xml:space="preserve">full-year profit until at least 2028</t>
    </r>
  </si>
  <si>
    <t xml:space="preserve">SRC_ANT_349</t>
  </si>
  <si>
    <t xml:space="preserve">proj_profit_year_prior</t>
  </si>
  <si>
    <r>
      <rPr>
        <sz val="10"/>
        <color rgb="FF000000"/>
        <rFont val="Noto Sans CJK SC"/>
        <family val="2"/>
      </rPr>
      <t xml:space="preserve">先前（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年前）預期全年獲利年度</t>
    </r>
  </si>
  <si>
    <t xml:space="preserve">年</t>
  </si>
  <si>
    <t xml:space="preserve">FY2028</t>
  </si>
  <si>
    <r>
      <rPr>
        <sz val="10"/>
        <color rgb="FF000000"/>
        <rFont val="Arial"/>
        <family val="0"/>
        <charset val="1"/>
      </rPr>
      <t xml:space="preserve">PYMNTS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</si>
  <si>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did not expect to turn a full-year profit until at least 2028</t>
    </r>
  </si>
  <si>
    <t xml:space="preserve">SRC_ANT_350</t>
  </si>
  <si>
    <t xml:space="preserve">actual_rev_2026q2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</si>
  <si>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營收（實際，對照預測）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</si>
  <si>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所見投資人文件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</si>
  <si>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（投資人文件；募資誘因）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</si>
  <si>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second-quarter revenue passed $11.5bn ... recorded positive adjusted operating income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Q1 $4.73bn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組重複，供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對照）</t>
    </r>
  </si>
  <si>
    <t xml:space="preserve">SRC_ANT_351</t>
  </si>
  <si>
    <t xml:space="preserve">actual_adj_opinc_2026_q3_expect</t>
  </si>
  <si>
    <r>
      <rPr>
        <sz val="10"/>
        <color rgb="FF000000"/>
        <rFont val="Noto Sans CJK SC"/>
        <family val="2"/>
      </rPr>
      <t xml:space="preserve">預期連續第二季調整後營業利益（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</si>
  <si>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The Next Web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CNBC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</si>
  <si>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a second straight quarter of adjusted operating profit</t>
    </r>
    <r>
      <rPr>
        <sz val="10"/>
        <color rgb="FF000000"/>
        <rFont val="Noto Sans CJK SC"/>
        <family val="2"/>
      </rPr>
      <t xml:space="preserve">；金額未揭露；「調整後」之排除項目未見一手說明</t>
    </r>
  </si>
  <si>
    <t xml:space="preserve">SRC_ANT_352</t>
  </si>
  <si>
    <t xml:space="preserve">burn_2025_proj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</si>
  <si>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時）</t>
    </r>
  </si>
  <si>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</si>
  <si>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it expects to burn $3 billion this year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實際燃燒未見揭露</t>
    </r>
  </si>
  <si>
    <t xml:space="preserve">SRC_ANT_353</t>
  </si>
  <si>
    <t xml:space="preserve">burn_2026_ratio_proj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</si>
  <si>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</si>
  <si>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FY2026</t>
  </si>
  <si>
    <r>
      <rPr>
        <sz val="10"/>
        <color rgb="FF000000"/>
        <rFont val="Arial"/>
        <family val="0"/>
        <charset val="1"/>
      </rPr>
      <t xml:space="preserve">Cybernews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</si>
  <si>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https://cybernews.com/ai-news/openai-anthropic-profit-revenue-ai/</t>
  </si>
  <si>
    <t xml:space="preserve">2025-11-15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</si>
  <si>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forecasts its cash burn to drop to one-third of revenue in 2026 and 9% by 2027</t>
    </r>
  </si>
  <si>
    <t xml:space="preserve">SRC_ANT_354</t>
  </si>
  <si>
    <t xml:space="preserve">burn_2027_ratio_proj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</si>
  <si>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現金燃燒占營收比（預測）</t>
    </r>
  </si>
  <si>
    <t xml:space="preserve">FY2027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</si>
  <si>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9% by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</si>
  <si>
    <t xml:space="preserve">SRC_ANT_355</t>
  </si>
  <si>
    <t xml:space="preserve">cost_train_infer_2026_proj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</si>
  <si>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預計訓練支出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</si>
  <si>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Quietly Raises the Ceiling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</si>
  <si>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2026 alone, it expects to spend about $12 billion training models and another $7 billion running them</t>
    </r>
  </si>
  <si>
    <t xml:space="preserve">SRC_ANT_356</t>
  </si>
  <si>
    <t xml:space="preserve">cost_infer_2026_proj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</si>
  <si>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預計推論（運行模型）支出</t>
    </r>
  </si>
  <si>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</si>
  <si>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another $7 billion running them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年初預測，當時營收預測上限 </t>
    </r>
    <r>
      <rPr>
        <sz val="10"/>
        <color rgb="FF000000"/>
        <rFont val="Arial"/>
        <family val="0"/>
        <charset val="1"/>
      </rPr>
      <t xml:space="preserve">$18B</t>
    </r>
    <r>
      <rPr>
        <sz val="10"/>
        <color rgb="FF000000"/>
        <rFont val="Noto Sans CJK SC"/>
        <family val="2"/>
      </rPr>
      <t xml:space="preserve">；之後營收大幅超標）</t>
    </r>
  </si>
  <si>
    <t xml:space="preserve">SRC_ANT_357</t>
  </si>
  <si>
    <t xml:space="preserve">cost_train_peak_proj_wsj</t>
  </si>
  <si>
    <r>
      <rPr>
        <sz val="10"/>
        <color rgb="FF000000"/>
        <rFont val="Noto Sans CJK SC"/>
        <family val="2"/>
      </rPr>
      <t xml:space="preserve">訓練支出高峰（約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</si>
  <si>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SaaStr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</si>
  <si>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（投資人資料；募資誘因）；二手轉述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</si>
  <si>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Anthropic's training costs peak at around $30 billion in that same period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OpenAI 2028 $121B </t>
    </r>
    <r>
      <rPr>
        <sz val="10"/>
        <color rgb="FF000000"/>
        <rFont val="Noto Sans CJK SC"/>
        <family val="2"/>
      </rPr>
      <t xml:space="preserve">對照；年度未精確</t>
    </r>
  </si>
  <si>
    <t xml:space="preserve">SRC_ANT_358</t>
  </si>
  <si>
    <t xml:space="preserve">proj_rev_2025_base_2025_02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</si>
  <si>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</si>
  <si>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In a base case scenario, Anthropic said revenue would reach $12 billion in 2027, up from $2.2 billion in 2025</t>
    </r>
  </si>
  <si>
    <t xml:space="preserve">SRC_ANT_359</t>
  </si>
  <si>
    <t xml:space="preserve">proj_rev_2027_base_2025_02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</si>
  <si>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</si>
  <si>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t xml:space="preserve">同上；基準情境</t>
  </si>
  <si>
    <t xml:space="preserve">SRC_ANT_360</t>
  </si>
  <si>
    <t xml:space="preserve">proj_rev_2027_opt_2025_02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</si>
  <si>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營收（樂觀情境，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</si>
  <si>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revenue could reach as high as $34.5 billion in 2027</t>
    </r>
    <r>
      <rPr>
        <sz val="10"/>
        <color rgb="FF000000"/>
        <rFont val="Noto Sans CJK SC"/>
        <family val="2"/>
      </rPr>
      <t xml:space="preserve">；當時預期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</t>
    </r>
  </si>
  <si>
    <t xml:space="preserve">SRC_ANT_361</t>
  </si>
  <si>
    <t xml:space="preserve">proj_cfpos_year_2025_02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</si>
  <si>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</si>
  <si>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management expects the company to stop burning cash in 2027</t>
    </r>
  </si>
  <si>
    <t xml:space="preserve">SRC_ANT_362</t>
  </si>
  <si>
    <t xml:space="preserve">proj_rev_2028_2025_11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</si>
  <si>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營收（上限，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</si>
  <si>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expects to generate as much as $70 billion in revenue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</si>
  <si>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SRC_ANT_363</t>
  </si>
  <si>
    <t xml:space="preserve">proj_rev_path_2025_11</t>
  </si>
  <si>
    <r>
      <rPr>
        <sz val="10"/>
        <color rgb="FF000000"/>
        <rFont val="Noto Sans CJK SC"/>
        <family val="2"/>
      </rPr>
      <t xml:space="preserve">樂觀營收路徑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</si>
  <si>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t xml:space="preserve">FY2026–FY2027</t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</si>
  <si>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</si>
  <si>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t xml:space="preserve">https://the-decoder.com/anthropic-is-betting-on-an-audacious-leap-from-4-7-billion-to-70-billion-in-revenue-by-2028/</t>
  </si>
  <si>
    <r>
      <rPr>
        <sz val="10"/>
        <color rgb="FF000000"/>
        <rFont val="Arial"/>
        <family val="0"/>
        <charset val="1"/>
      </rPr>
      <t xml:space="preserve">lo=2026 $15.2B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hi=2027 $38.9B</t>
    </r>
    <r>
      <rPr>
        <sz val="10"/>
        <color rgb="FF000000"/>
        <rFont val="Noto Sans CJK SC"/>
        <family val="2"/>
      </rPr>
      <t xml:space="preserve">（非區間，為兩年值）；</t>
    </r>
    <r>
      <rPr>
        <sz val="10"/>
        <color rgb="FF000000"/>
        <rFont val="Arial"/>
        <family val="0"/>
        <charset val="1"/>
      </rPr>
      <t xml:space="preserve">2025 $4.7B</t>
    </r>
    <r>
      <rPr>
        <sz val="10"/>
        <color rgb="FF000000"/>
        <rFont val="Noto Sans CJK SC"/>
        <family val="2"/>
      </rPr>
      <t xml:space="preserve">；可能為 </t>
    </r>
    <r>
      <rPr>
        <sz val="10"/>
        <color rgb="FF000000"/>
        <rFont val="Arial"/>
        <family val="0"/>
        <charset val="1"/>
      </rPr>
      <t xml:space="preserve">Decoder </t>
    </r>
    <r>
      <rPr>
        <sz val="10"/>
        <color rgb="FF000000"/>
        <rFont val="Noto Sans CJK SC"/>
        <family val="2"/>
      </rPr>
      <t xml:space="preserve">依成長率推算，待核</t>
    </r>
  </si>
  <si>
    <t xml:space="preserve">SRC_ANT_364</t>
  </si>
  <si>
    <t xml:space="preserve">proj_arr_2026_target_2025_11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</si>
  <si>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</si>
  <si>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set a target of $20 billion to $26 billion ARR for 2026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已達 </t>
    </r>
    <r>
      <rPr>
        <sz val="10"/>
        <color rgb="FF000000"/>
        <rFont val="Arial"/>
        <family val="0"/>
        <charset val="1"/>
      </rPr>
      <t xml:space="preserve">$65B</t>
    </r>
  </si>
  <si>
    <t xml:space="preserve">SRC_ANT_365</t>
  </si>
  <si>
    <t xml:space="preserve">proj_cf_2028_2025_11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</si>
  <si>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現金流（預測）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</si>
  <si>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 projection of $17 billion in cash flow in 2028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positive cash flow by 2028</t>
    </r>
  </si>
  <si>
    <t xml:space="preserve">SRC_ANT_366</t>
  </si>
  <si>
    <t xml:space="preserve">proj_cfpos_year_2025_11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</si>
  <si>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</si>
  <si>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projecting positive cash flow by 2028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矛盾，已延後）</t>
    </r>
  </si>
  <si>
    <t xml:space="preserve">SRC_ANT_367</t>
  </si>
  <si>
    <t xml:space="preserve">proj_cfpos_year_2025_11_b</t>
  </si>
  <si>
    <r>
      <rPr>
        <sz val="10"/>
        <color rgb="FF000000"/>
        <rFont val="Noto Sans CJK SC"/>
        <family val="2"/>
      </rPr>
      <t xml:space="preserve">獲利年（</t>
    </r>
    <r>
      <rPr>
        <sz val="10"/>
        <color rgb="FF000000"/>
        <rFont val="Arial"/>
        <family val="0"/>
        <charset val="1"/>
      </rPr>
      <t xml:space="preserve">2025-11 WSJ </t>
    </r>
    <r>
      <rPr>
        <sz val="10"/>
        <color rgb="FF000000"/>
        <rFont val="Noto Sans CJK SC"/>
        <family val="2"/>
      </rPr>
      <t xml:space="preserve">版本）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</si>
  <si>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Profit is envisioned by 2028, according to the WSJ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燒錢仍占營收 </t>
    </r>
    <r>
      <rPr>
        <sz val="10"/>
        <color rgb="FF000000"/>
        <rFont val="Arial"/>
        <family val="0"/>
        <charset val="1"/>
      </rPr>
      <t xml:space="preserve">9%——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版「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停止燒錢」矛盾</t>
    </r>
  </si>
  <si>
    <t xml:space="preserve">SRC_ANT_368</t>
  </si>
  <si>
    <t xml:space="preserve">proj_rev_2026_2026_01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</si>
  <si>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上調後）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</si>
  <si>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ups 2026 revenue forecast, delays cash-positive target</t>
    </r>
    <r>
      <rPr>
        <sz val="10"/>
        <color rgb="FF000000"/>
        <rFont val="Noto Sans CJK SC"/>
        <family val="2"/>
      </rPr>
      <t xml:space="preserve">〉</t>
    </r>
  </si>
  <si>
    <t xml:space="preserve">https://www.investing.com/news/stock-market-news/anthropic-ups-2026-revenue-forecast-delays-cashpositive-target--the-information-4469111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</si>
  <si>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nearly quadruple this year to as much as $18 billion</t>
    </r>
    <r>
      <rPr>
        <sz val="10"/>
        <color rgb="FF000000"/>
        <rFont val="Noto Sans CJK SC"/>
        <family val="2"/>
      </rPr>
      <t xml:space="preserve">；上調約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；實際 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已 </t>
    </r>
    <r>
      <rPr>
        <sz val="10"/>
        <color rgb="FF000000"/>
        <rFont val="Arial"/>
        <family val="0"/>
        <charset val="1"/>
      </rPr>
      <t xml:space="preserve">~$16.2B</t>
    </r>
  </si>
  <si>
    <t xml:space="preserve">SRC_ANT_369</t>
  </si>
  <si>
    <t xml:space="preserve">proj_rev_2027_2026_01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</si>
  <si>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</si>
  <si>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</si>
  <si>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rising to around $55 billion in 2027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稱 </t>
    </r>
    <r>
      <rPr>
        <sz val="10"/>
        <color rgb="FF000000"/>
        <rFont val="Arial"/>
        <family val="0"/>
        <charset val="1"/>
      </rPr>
      <t xml:space="preserve">most optimistic scenarios</t>
    </r>
  </si>
  <si>
    <t xml:space="preserve">SRC_ANT_370</t>
  </si>
  <si>
    <t xml:space="preserve">proj_rev_2029_2026_01</t>
  </si>
  <si>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營收預測（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，樂觀）</t>
    </r>
  </si>
  <si>
    <t xml:space="preserve">FY2029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</si>
  <si>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as much as $148 billion by 2029</t>
    </r>
  </si>
  <si>
    <t xml:space="preserve">SRC_ANT_371</t>
  </si>
  <si>
    <t xml:space="preserve">proj_cfpos_year_2026_01</t>
  </si>
  <si>
    <r>
      <rPr>
        <sz val="10"/>
        <color rgb="FF000000"/>
        <rFont val="Noto Sans CJK SC"/>
        <family val="2"/>
      </rPr>
      <t xml:space="preserve">現金流轉正年（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預測）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</si>
  <si>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delay its target for positive cash flow to 2028</t>
    </r>
    <r>
      <rPr>
        <sz val="10"/>
        <color rgb="FF000000"/>
        <rFont val="Noto Sans CJK SC"/>
        <family val="2"/>
      </rPr>
      <t xml:space="preserve">（較先前晚一年）</t>
    </r>
  </si>
  <si>
    <t xml:space="preserve">SRC_ANT_372</t>
  </si>
  <si>
    <t xml:space="preserve">proj_breakeven_2026_04_wsj</t>
  </si>
  <si>
    <r>
      <rPr>
        <sz val="10"/>
        <color rgb="FF000000"/>
        <rFont val="Noto Sans CJK SC"/>
        <family val="2"/>
      </rPr>
      <t xml:space="preserve">損益兩平年（</t>
    </r>
    <r>
      <rPr>
        <sz val="10"/>
        <color rgb="FF000000"/>
        <rFont val="Arial"/>
        <family val="0"/>
        <charset val="1"/>
      </rPr>
      <t xml:space="preserve">2026-04 WSJ </t>
    </r>
    <r>
      <rPr>
        <sz val="10"/>
        <color rgb="FF000000"/>
        <rFont val="Noto Sans CJK SC"/>
        <family val="2"/>
      </rPr>
      <t xml:space="preserve">機密財務）</t>
    </r>
  </si>
  <si>
    <r>
      <rPr>
        <sz val="10"/>
        <color rgb="FF000000"/>
        <rFont val="Arial"/>
        <family val="0"/>
        <charset val="1"/>
      </rPr>
      <t xml:space="preserve">The Decoder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WSJ</t>
    </r>
  </si>
  <si>
    <t xml:space="preserve">https://the-decoder.com/?p=31547</t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</si>
  <si>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Anthropic expects to break even in 2028, while OpenAI ... until 2030</t>
    </r>
    <r>
      <rPr>
        <sz val="10"/>
        <color rgb="FF000000"/>
        <rFont val="Noto Sans CJK SC"/>
        <family val="2"/>
      </rPr>
      <t xml:space="preserve">；之後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已出現調整後營業利益</t>
    </r>
  </si>
  <si>
    <t xml:space="preserve">SRC_ANT_373</t>
  </si>
  <si>
    <t xml:space="preserve">proj_arr_2026_end_investors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</si>
  <si>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年底年化營收（投資人預期）</t>
    </r>
  </si>
  <si>
    <r>
      <rPr>
        <sz val="10"/>
        <color rgb="FF000000"/>
        <rFont val="Arial"/>
        <family val="0"/>
        <charset val="1"/>
      </rPr>
      <t xml:space="preserve">TechCrunch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Anthropic's annualized revenue surges to $65B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</si>
  <si>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投資人（持股者；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估值誘因）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</si>
  <si>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finishing 2026 between $100 billion and $120 billion</t>
    </r>
    <r>
      <rPr>
        <sz val="10"/>
        <color rgb="FF000000"/>
        <rFont val="Noto Sans CJK SC"/>
        <family val="2"/>
      </rPr>
      <t xml:space="preserve">；非公司正式指引</t>
    </r>
  </si>
  <si>
    <t xml:space="preserve">SRC_ANT_374</t>
  </si>
  <si>
    <t xml:space="preserve">proj_tam_30t</t>
  </si>
  <si>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投資人提出之潛在市場（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）</t>
    </r>
  </si>
  <si>
    <t xml:space="preserve">https://www.pymnts.com/news/artificial-intelligence/2026/anthropic-readies-30-trillion-dollar-revenue-forecast-investors/</t>
  </si>
  <si>
    <t xml:space="preserve">2026-08-25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</si>
  <si>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</si>
  <si>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anticipates potential revenues of more than $30 trillion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TAM</t>
    </r>
    <r>
      <rPr>
        <sz val="10"/>
        <color rgb="FF000000"/>
        <rFont val="Noto Sans CJK SC"/>
        <family val="2"/>
      </rPr>
      <t xml:space="preserve">，非營收預測，僅供參考）</t>
    </r>
  </si>
  <si>
    <t xml:space="preserve">SRC_ANT_375</t>
  </si>
  <si>
    <t xml:space="preserve">gm_2025_target_2025_11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</si>
  <si>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毛利率目標（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</si>
  <si>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to reach 50% this year and 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47%</t>
    </r>
  </si>
  <si>
    <t xml:space="preserve">SRC_ANT_376</t>
  </si>
  <si>
    <t xml:space="preserve">gm_2028_target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</si>
  <si>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毛利率目標</t>
    </r>
  </si>
  <si>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77% in 2028</t>
    </r>
    <r>
      <rPr>
        <sz val="10"/>
        <color rgb="FF000000"/>
        <rFont val="Noto Sans CJK SC"/>
        <family val="2"/>
      </rPr>
      <t xml:space="preserve">；含免費用戶 </t>
    </r>
    <r>
      <rPr>
        <sz val="10"/>
        <color rgb="FF000000"/>
        <rFont val="Arial"/>
        <family val="0"/>
        <charset val="1"/>
      </rPr>
      <t xml:space="preserve">75%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Decoder</t>
    </r>
    <r>
      <rPr>
        <sz val="10"/>
        <color rgb="FF000000"/>
        <rFont val="Noto Sans CJK SC"/>
        <family val="2"/>
      </rPr>
      <t xml:space="preserve">）</t>
    </r>
  </si>
  <si>
    <t xml:space="preserve">SRC_ANT_377</t>
  </si>
  <si>
    <t xml:space="preserve">rev_2025_growth_reported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</si>
  <si>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年營收年增率（報導）</t>
    </r>
  </si>
  <si>
    <t xml:space="preserve">比例（年增）</t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</si>
  <si>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'Revenue rose 1,088% in 2025'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SRC_ANT_001 </t>
    </r>
    <r>
      <rPr>
        <sz val="10"/>
        <color rgb="FF000000"/>
        <rFont val="Noto Sans CJK SC"/>
        <family val="2"/>
      </rPr>
      <t xml:space="preserve">原文）；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標題同值。供 </t>
    </r>
    <r>
      <rPr>
        <sz val="10"/>
        <color rgb="FF000000"/>
        <rFont val="Arial"/>
        <family val="0"/>
        <charset val="1"/>
      </rPr>
      <t xml:space="preserve">SRC_ANT_003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</si>
  <si>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SRC_ANT_378</t>
  </si>
  <si>
    <t xml:space="preserve">cost_charity_match_share_employee_exp_q1_2026</t>
  </si>
  <si>
    <r>
      <rPr>
        <sz val="10"/>
        <color rgb="FF000000"/>
        <rFont val="Noto Sans CJK SC"/>
        <family val="2"/>
      </rPr>
      <t xml:space="preserve">員工捐股配捐費用占員工費用總額比例（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</si>
  <si>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 </t>
    </r>
    <r>
      <rPr>
        <sz val="10"/>
        <color rgb="FF000000"/>
        <rFont val="Arial"/>
        <family val="0"/>
        <charset val="1"/>
      </rPr>
      <t xml:space="preserve">'about 10% of total employee expenses'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SRC_ANT_296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</si>
  <si>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SRC_ANT_379</t>
  </si>
  <si>
    <t xml:space="preserve">cmp_gw_2027_vs_2026_multiple_nyt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</si>
  <si>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年底相對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年底可用算力倍數（</t>
    </r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</si>
  <si>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新增（只增不重用）：原文「</t>
    </r>
    <r>
      <rPr>
        <sz val="10"/>
        <color rgb="FF000000"/>
        <rFont val="Arial"/>
        <family val="0"/>
        <charset val="1"/>
      </rPr>
      <t xml:space="preserve">roughly double…by the end of the next year</t>
    </r>
    <r>
      <rPr>
        <sz val="10"/>
        <color rgb="FF000000"/>
        <rFont val="Noto Sans CJK SC"/>
        <family val="2"/>
      </rPr>
      <t xml:space="preserve">」（同 </t>
    </r>
    <r>
      <rPr>
        <sz val="10"/>
        <color rgb="FF000000"/>
        <rFont val="Arial"/>
        <family val="0"/>
        <charset val="1"/>
      </rPr>
      <t xml:space="preserve">SRC_ANT_267 </t>
    </r>
    <r>
      <rPr>
        <sz val="10"/>
        <color rgb="FF000000"/>
        <rFont val="Noto Sans CJK SC"/>
        <family val="2"/>
      </rPr>
      <t xml:space="preserve">原文）。供 </t>
    </r>
    <r>
      <rPr>
        <sz val="10"/>
        <color rgb="FF000000"/>
        <rFont val="Arial"/>
        <family val="0"/>
        <charset val="1"/>
      </rPr>
      <t xml:space="preserve">SRC_ANT_268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）以公式推導</t>
    </r>
  </si>
  <si>
    <t xml:space="preserve">SRC_ANT_380</t>
  </si>
  <si>
    <t xml:space="preserve">rev_2026_h1_s1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</si>
  <si>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</si>
  <si>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Yulia Zeng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</si>
  <si>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https://www.tradingkey.com/analysis/stocks/us-stocks/262227958-anthropic-ipo-filing-80-7-billion-h1-loss-tradingkey</t>
  </si>
  <si>
    <t xml:space="preserve">2026-10-21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</si>
  <si>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募資誘因）；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為轉述者，非獨立查證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</si>
  <si>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$16.3 billion in revenue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reached about $16.3 billion in the six months ended June 30.'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$16.3 billion in revenue for the six months ended June 30'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'First-half 2026 revenue reached $16.3 billion'</t>
    </r>
    <r>
      <rPr>
        <sz val="10"/>
        <color rgb="FF000000"/>
        <rFont val="Noto Sans CJK SC"/>
        <family val="2"/>
      </rPr>
      <t xml:space="preserve">（同日其他轉載值相同）。與 </t>
    </r>
    <r>
      <rPr>
        <sz val="10"/>
        <color rgb="FF000000"/>
        <rFont val="Arial"/>
        <family val="0"/>
        <charset val="1"/>
      </rPr>
      <t xml:space="preserve">SRC_ANT_004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4.73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新列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16.33 </t>
    </r>
    <r>
      <rPr>
        <sz val="10"/>
        <color rgb="FF000000"/>
        <rFont val="Noto Sans CJK SC"/>
        <family val="2"/>
      </rPr>
      <t xml:space="preserve">一致。</t>
    </r>
  </si>
  <si>
    <t xml:space="preserve">SRC_ANT_381</t>
  </si>
  <si>
    <t xml:space="preserve">rev_2025_h1_s1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</si>
  <si>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上半年營收（草擬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</si>
  <si>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t xml:space="preserve">2025-H1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</si>
  <si>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'far exceeding $1.1 billion in the same period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$1.1 billion in the same period of 2025.'</t>
    </r>
    <r>
      <rPr>
        <sz val="10"/>
        <color rgb="FF000000"/>
        <rFont val="Noto Sans CJK SC"/>
        <family val="2"/>
      </rPr>
      <t xml:space="preserve">。報導用「約」，無更精確值。</t>
    </r>
  </si>
  <si>
    <t xml:space="preserve">SRC_ANT_382</t>
  </si>
  <si>
    <t xml:space="preserve">rev_2026_q2_actual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</si>
  <si>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營收（實際；取代 </t>
    </r>
    <r>
      <rPr>
        <sz val="10"/>
        <color rgb="FF000000"/>
        <rFont val="Arial"/>
        <family val="0"/>
        <charset val="1"/>
      </rPr>
      <t xml:space="preserve">SRC_ANT_005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&gt;11.5 </t>
    </r>
    <r>
      <rPr>
        <sz val="10"/>
        <color rgb="FF000000"/>
        <rFont val="Noto Sans CJK SC"/>
        <family val="2"/>
      </rPr>
      <t xml:space="preserve">初估作校準值）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</si>
  <si>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 as Growth Slowed to 45%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</si>
  <si>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https://www.implicator.ai/anthropic-tells-investors-q3-revenue-hit-16-8-billion-as-growth-slowed-to-45/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</si>
  <si>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</si>
  <si>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2026-10-14 </t>
    </r>
    <r>
      <rPr>
        <sz val="10"/>
        <color rgb="FF000000"/>
        <rFont val="Noto Sans CJK SC"/>
        <family val="2"/>
      </rPr>
      <t xml:space="preserve">私人投資人簡報；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前募資誘因）；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等為轉述者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</si>
  <si>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'Revenue rose about 45% quarter over quarter, from $11.6 billion in the second quarter.'</t>
    </r>
    <r>
      <rPr>
        <sz val="10"/>
        <color rgb="FF000000"/>
        <rFont val="Noto Sans CJK SC"/>
        <family val="2"/>
      </rPr>
      <t xml:space="preserve">。舊列 </t>
    </r>
    <r>
      <rPr>
        <sz val="10"/>
        <color rgb="FF000000"/>
        <rFont val="Arial"/>
        <family val="0"/>
        <charset val="1"/>
      </rPr>
      <t xml:space="preserve">SRC_ANT_005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Bloomberg </t>
    </r>
    <r>
      <rPr>
        <sz val="10"/>
        <color rgb="FF000000"/>
        <rFont val="Noto Sans CJK SC"/>
        <family val="2"/>
      </rPr>
      <t xml:space="preserve">初步 </t>
    </r>
    <r>
      <rPr>
        <sz val="10"/>
        <color rgb="FF000000"/>
        <rFont val="Arial"/>
        <family val="0"/>
        <charset val="1"/>
      </rPr>
      <t xml:space="preserve">&gt;11.5</t>
    </r>
    <r>
      <rPr>
        <sz val="10"/>
        <color rgb="FF000000"/>
        <rFont val="Noto Sans CJK SC"/>
        <family val="2"/>
      </rPr>
      <t xml:space="preserve">）保留；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同日報導寫 </t>
    </r>
    <r>
      <rPr>
        <sz val="10"/>
        <color rgb="FF000000"/>
        <rFont val="Arial"/>
        <family val="0"/>
        <charset val="1"/>
      </rPr>
      <t xml:space="preserve">$11.5B</t>
    </r>
    <r>
      <rPr>
        <sz val="10"/>
        <color rgb="FF000000"/>
        <rFont val="Noto Sans CJK SC"/>
        <family val="2"/>
      </rPr>
      <t xml:space="preserve">（見 </t>
    </r>
    <r>
      <rPr>
        <sz val="10"/>
        <color rgb="FF000000"/>
        <rFont val="Arial"/>
        <family val="0"/>
        <charset val="1"/>
      </rPr>
      <t xml:space="preserve">rev_2026_q2_euronews</t>
    </r>
    <r>
      <rPr>
        <sz val="10"/>
        <color rgb="FF000000"/>
        <rFont val="Noto Sans CJK SC"/>
        <family val="2"/>
      </rPr>
      <t xml:space="preserve">），兩者各一列。</t>
    </r>
  </si>
  <si>
    <t xml:space="preserve">SRC_ANT_383</t>
  </si>
  <si>
    <t xml:space="preserve">rev_2026_q2_euronews</t>
  </si>
  <si>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同日報導值；與 </t>
    </r>
    <r>
      <rPr>
        <sz val="10"/>
        <color rgb="FF000000"/>
        <rFont val="Arial"/>
        <family val="0"/>
        <charset val="1"/>
      </rPr>
      <t xml:space="preserve">11.6 </t>
    </r>
    <r>
      <rPr>
        <sz val="10"/>
        <color rgb="FF000000"/>
        <rFont val="Noto Sans CJK SC"/>
        <family val="2"/>
      </rPr>
      <t xml:space="preserve">並列）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</si>
  <si>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revenue jumps 46% to $16.8bn…</t>
    </r>
    <r>
      <rPr>
        <sz val="10"/>
        <color rgb="FF000000"/>
        <rFont val="Noto Sans CJK SC"/>
        <family val="2"/>
      </rPr>
      <t xml:space="preserve">〉（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</si>
  <si>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t xml:space="preserve">https://www.euronews.com/2026/10/15/anthropic-revenue-jumps-46-to-168bn-as-ai-firm-eyes-record-2-trillion-ipo-valuation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</si>
  <si>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）。原文：</t>
    </r>
    <r>
      <rPr>
        <sz val="10"/>
        <color rgb="FF000000"/>
        <rFont val="Arial"/>
        <family val="0"/>
        <charset val="1"/>
      </rPr>
      <t xml:space="preserve">'up about 46% from $11.5 billion (€10.3bn) in the previous three months'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$11.6B</t>
    </r>
    <r>
      <rPr>
        <sz val="10"/>
        <color rgb="FF000000"/>
        <rFont val="Noto Sans CJK SC"/>
        <family val="2"/>
      </rPr>
      <t xml:space="preserve">（及增幅 </t>
    </r>
    <r>
      <rPr>
        <sz val="10"/>
        <color rgb="FF000000"/>
        <rFont val="Arial"/>
        <family val="0"/>
        <charset val="1"/>
      </rPr>
      <t xml:space="preserve">45% vs 46%</t>
    </r>
    <r>
      <rPr>
        <sz val="10"/>
        <color rgb="FF000000"/>
        <rFont val="Noto Sans CJK SC"/>
        <family val="2"/>
      </rPr>
      <t xml:space="preserve">）略有出入，疑為進位或初估差異；兩者皆登錄，校準採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（工作單）。</t>
    </r>
  </si>
  <si>
    <t xml:space="preserve">SRC_ANT_384</t>
  </si>
  <si>
    <t xml:space="preserve">rev_2026_q3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</si>
  <si>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營收（投資人簡報）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</si>
  <si>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同值）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</si>
  <si>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'third-quarter revenue reached $16.8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'generated $16.8 billion (€15bn) in revenue between July and September'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'revenue surging nearly 50% to $16.8 billion compared with the April-to-June period.'</t>
    </r>
    <r>
      <rPr>
        <sz val="10"/>
        <color rgb="FF000000"/>
        <rFont val="Noto Sans CJK SC"/>
        <family val="2"/>
      </rPr>
      <t xml:space="preserve">。三者同值；季增幅各報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46%</t>
    </r>
    <r>
      <rPr>
        <sz val="10"/>
        <color rgb="FF000000"/>
        <rFont val="Noto Sans CJK SC"/>
        <family val="2"/>
      </rPr>
      <t xml:space="preserve">／近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。投資人簡報未經審計，公司尚未公開。</t>
    </r>
  </si>
  <si>
    <t xml:space="preserve">SRC_ANT_385</t>
  </si>
  <si>
    <t xml:space="preserve">adj_opmargin_2026_q3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</si>
  <si>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調整後營業利益率（第二個獲利季）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</si>
  <si>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</t>
    </r>
    <r>
      <rPr>
        <sz val="10"/>
        <color rgb="FF000000"/>
        <rFont val="Arial"/>
        <family val="0"/>
        <charset val="1"/>
      </rPr>
      <t xml:space="preserve">Anthropic Tells Investors Q3 Revenue Hit $16.8 Billion…</t>
    </r>
    <r>
      <rPr>
        <sz val="10"/>
        <color rgb="FF000000"/>
        <rFont val="Noto Sans CJK SC"/>
        <family val="2"/>
      </rPr>
      <t xml:space="preserve">〉（引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同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</si>
  <si>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'Its adjusted operating margin was 11%'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'Anthropic said the third quarter was its second consecutive quarter of adjusted profitability.'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 operating margin of 11%, the share of revenue left after running costs'</t>
    </r>
    <r>
      <rPr>
        <sz val="10"/>
        <color rgb="FF000000"/>
        <rFont val="Noto Sans CJK SC"/>
        <family val="2"/>
      </rPr>
      <t xml:space="preserve">。「調整後」排除項目（是否含股權報酬）未見一手說明。</t>
    </r>
  </si>
  <si>
    <t xml:space="preserve">SRC_ANT_386</t>
  </si>
  <si>
    <t xml:space="preserve">fcf_positive_2026_q3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</si>
  <si>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自由現金流為正（定性）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</si>
  <si>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</si>
  <si>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'it had positive free cash flow, meaning it brought in more cash than it spent'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 was cash-flow positive during the quarter'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'saying it was cash flow positive in the third quarter'</t>
    </r>
    <r>
      <rPr>
        <sz val="10"/>
        <color rgb="FF000000"/>
        <rFont val="Noto Sans CJK SC"/>
        <family val="2"/>
      </rPr>
      <t xml:space="preserve">。金額未揭露。</t>
    </r>
  </si>
  <si>
    <t xml:space="preserve">SRC_ANT_387</t>
  </si>
  <si>
    <t xml:space="preserve">rev_per_compute_2026_q3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</si>
  <si>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</si>
  <si>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</si>
  <si>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'generated $1.70 in revenue for every dollar spent on computing power'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'Each dollar it spent on computing power brought in $1.70 of revenue in the quarter'</t>
    </r>
    <r>
      <rPr>
        <sz val="10"/>
        <color rgb="FF000000"/>
        <rFont val="Noto Sans CJK SC"/>
        <family val="2"/>
      </rPr>
      <t xml:space="preserve">。分母口徑（費用或現金、是否含自建）未明。</t>
    </r>
  </si>
  <si>
    <t xml:space="preserve">SRC_ANT_388</t>
  </si>
  <si>
    <t xml:space="preserve">arr_semianalysis_2026_10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</si>
  <si>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估計，</t>
    </r>
    <r>
      <rPr>
        <sz val="10"/>
        <color rgb="FF000000"/>
        <rFont val="Arial"/>
        <family val="0"/>
        <charset val="1"/>
      </rPr>
      <t xml:space="preserve">2026-10</t>
    </r>
    <r>
      <rPr>
        <sz val="10"/>
        <color rgb="FF000000"/>
        <rFont val="Noto Sans CJK SC"/>
        <family val="2"/>
      </rPr>
      <t xml:space="preserve">）；單一來源，未採用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</si>
  <si>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Implicator.ai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SemiAnalysis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</si>
  <si>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（第三方研究機構；偏樂觀，須第二獨立來源）；轉述者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皆未提供第二估計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</si>
  <si>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：偏樂觀，須第二獨立來源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</si>
  <si>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'puts the current figure at about $74 billion (€66.2bn)'</t>
    </r>
    <r>
      <rPr>
        <sz val="10"/>
        <color rgb="FF000000"/>
        <rFont val="Noto Sans CJK SC"/>
        <family val="2"/>
      </rPr>
      <t xml:space="preserve">（主詞為 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'Research firm SemiAnalysis estimates annualized revenue at about $74 billion'</t>
    </r>
    <r>
      <rPr>
        <sz val="10"/>
        <color rgb="FF000000"/>
        <rFont val="Noto Sans CJK SC"/>
        <family val="2"/>
      </rPr>
      <t xml:space="preserve">（轉引 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，非獨立來源）。共同規則第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不可單獨引用 → 僅登為「單一來源，未採用」，不進任何計算與對照列。</t>
    </r>
    <r>
      <rPr>
        <sz val="10"/>
        <color rgb="FF000000"/>
        <rFont val="Arial"/>
        <family val="0"/>
        <charset val="1"/>
      </rPr>
      <t xml:space="preserve">YipitData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79.5</t>
    </r>
    <r>
      <rPr>
        <sz val="10"/>
        <color rgb="FF000000"/>
        <rFont val="Noto Sans CJK SC"/>
        <family val="2"/>
      </rPr>
      <t xml:space="preserve">）時點不同，不能充當第二來源。</t>
    </r>
  </si>
  <si>
    <t xml:space="preserve">SRC_ANT_389</t>
  </si>
  <si>
    <t xml:space="preserve">arr_year_end_analysts_implicator</t>
  </si>
  <si>
    <r>
      <rPr>
        <sz val="10"/>
        <color rgb="FF000000"/>
        <rFont val="Noto Sans CJK SC"/>
        <family val="2"/>
      </rPr>
      <t xml:space="preserve">分析師估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年底年化營收（約）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</si>
  <si>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〈…</t>
    </r>
    <r>
      <rPr>
        <sz val="10"/>
        <color rgb="FF000000"/>
        <rFont val="Arial"/>
        <family val="0"/>
        <charset val="1"/>
      </rPr>
      <t xml:space="preserve">Q3 Revenue Hit $16.8 Billion…</t>
    </r>
    <r>
      <rPr>
        <sz val="10"/>
        <color rgb="FF000000"/>
        <rFont val="Noto Sans CJK SC"/>
        <family val="2"/>
      </rPr>
      <t xml:space="preserve">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</si>
  <si>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Implicator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</si>
  <si>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'the annual revenue run rate could reach $110 billion by year-end'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Euronews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'expected to end 2026 below $100 billion' </t>
    </r>
    <r>
      <rPr>
        <sz val="10"/>
        <color rgb="FF000000"/>
        <rFont val="Noto Sans CJK SC"/>
        <family val="2"/>
      </rPr>
      <t xml:space="preserve">互相矛盾 → 兩者各一列，只作對照（</t>
    </r>
    <r>
      <rPr>
        <sz val="10"/>
        <color rgb="FF000000"/>
        <rFont val="Arial"/>
        <family val="0"/>
        <charset val="1"/>
      </rPr>
      <t xml:space="preserve">D23</t>
    </r>
    <r>
      <rPr>
        <sz val="10"/>
        <color rgb="FF000000"/>
        <rFont val="Noto Sans CJK SC"/>
        <family val="2"/>
      </rPr>
      <t xml:space="preserve">）。</t>
    </r>
  </si>
  <si>
    <t xml:space="preserve">SRC_ANT_390</t>
  </si>
  <si>
    <t xml:space="preserve">arr_year_end_euronews_lt100</t>
  </si>
  <si>
    <r>
      <rPr>
        <sz val="10"/>
        <color rgb="FF000000"/>
        <rFont val="Noto Sans CJK SC"/>
        <family val="2"/>
      </rPr>
      <t xml:space="preserve">分析師預期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：低於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</si>
  <si>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Quirino Mealha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</si>
  <si>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分析師（未具名）；轉述者 </t>
    </r>
    <r>
      <rPr>
        <sz val="10"/>
        <color rgb="FF000000"/>
        <rFont val="Arial"/>
        <family val="0"/>
        <charset val="1"/>
      </rPr>
      <t xml:space="preserve">Euronews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</si>
  <si>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新增。原文：</t>
    </r>
    <r>
      <rPr>
        <sz val="10"/>
        <color rgb="FF000000"/>
        <rFont val="Arial"/>
        <family val="0"/>
        <charset val="1"/>
      </rPr>
      <t xml:space="preserve">'expected to end 2026 below $100 billion (€89.5bn)'</t>
    </r>
    <r>
      <rPr>
        <sz val="10"/>
        <color rgb="FF000000"/>
        <rFont val="Noto Sans CJK SC"/>
        <family val="2"/>
      </rPr>
      <t xml:space="preserve">（上限值，非點估計）。與 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矛盾；只作對照。</t>
    </r>
  </si>
  <si>
    <t xml:space="preserve">SRC_ANT_391</t>
  </si>
  <si>
    <t xml:space="preserve">fin_netloss_2026_h1_s1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</si>
  <si>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</si>
  <si>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'its net loss reached $80.7 billion over the same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reported a net loss of $80.7 billion for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net loss of $80.7 billion over the same stretch'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'net loss of $80.7 billion in the first half of 2026'</t>
    </r>
    <r>
      <rPr>
        <sz val="10"/>
        <color rgb="FF000000"/>
        <rFont val="Noto Sans CJK SC"/>
        <family val="2"/>
      </rPr>
      <t xml:space="preserve">。</t>
    </r>
  </si>
  <si>
    <t xml:space="preserve">SRC_ANT_392</t>
  </si>
  <si>
    <t xml:space="preserve">fin_noncash_2026_h1_s1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</si>
  <si>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$72B </t>
    </r>
    <r>
      <rPr>
        <sz val="10"/>
        <color rgb="FF000000"/>
        <rFont val="Noto Sans CJK SC"/>
        <family val="2"/>
      </rPr>
      <t xml:space="preserve">為可轉換票據等融資工具重估的非現金費用</t>
    </r>
  </si>
  <si>
    <t xml:space="preserve">非現金</t>
  </si>
  <si>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2026-10-21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</si>
  <si>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https://coincentral.com/anthropic-ipo-filing-reveals-80-billion-loss-and-600-billion-in-computing-bills/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</si>
  <si>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'About $72 billion came from an accounting charge linked to the value of convertible notes and other financing instruments.'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$72 billion of this was an accounting charge related to changes in the valuation of convertible notes'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came from accounting charges tied to changes in the value of convertible notes' 'rather than equivalent cash payments during the period'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'$72 billion of that total stemmed from non-cash accounting adjustments'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National Herald </t>
    </r>
    <r>
      <rPr>
        <sz val="10"/>
        <color rgb="FF000000"/>
        <rFont val="Noto Sans CJK SC"/>
        <family val="2"/>
      </rPr>
      <t xml:space="preserve">只說「主要為」非現金，未給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：不進現金流。</t>
    </r>
  </si>
  <si>
    <t xml:space="preserve">SRC_ANT_393</t>
  </si>
  <si>
    <t xml:space="preserve">fin_netloss_2025_h1_s1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</si>
  <si>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轉述；對照）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</si>
  <si>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'widened from about $13 billion in the first half of last year'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'compared with $13 billion in the same period a year earlier'</t>
    </r>
    <r>
      <rPr>
        <sz val="10"/>
        <color rgb="FF000000"/>
        <rFont val="Noto Sans CJK SC"/>
        <family val="2"/>
      </rPr>
      <t xml:space="preserve">。報導用「約」。</t>
    </r>
  </si>
  <si>
    <t xml:space="preserve">SRC_ANT_394</t>
  </si>
  <si>
    <t xml:space="preserve">cmp_s1_spend_2026_h1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</si>
  <si>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$9B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</si>
  <si>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spent nearly $9 billion on computing power and infrastructure'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half'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in computing capacity and infrastructure costs in the first half of 2026'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'nearly $9 billion on computing capacity and infrastructure in the first six months of 2026 alone'</t>
    </r>
    <r>
      <rPr>
        <sz val="10"/>
        <color rgb="FF000000"/>
        <rFont val="Noto Sans CJK SC"/>
        <family val="2"/>
      </rPr>
      <t xml:space="preserve">。值「近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」以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登錄，實際略低；口徑（損益費用或現金、是否含自建資本支出）未明（見報告 </t>
    </r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）。</t>
    </r>
  </si>
  <si>
    <t xml:space="preserve">SRC_ANT_395</t>
  </si>
  <si>
    <t xml:space="preserve">cmp_s1_spend_2025_h1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</si>
  <si>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上半年算力與基礎設施支出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</si>
  <si>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'That is up from $2.3 billion a year earlier.'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capacity and infrastructure costs rose from $2.3 billion in that same period of 2025.'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'almost four times the $2.3 billion in the same period last year'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 </t>
    </r>
    <r>
      <rPr>
        <sz val="10"/>
        <color rgb="FF000000"/>
        <rFont val="Arial"/>
        <family val="0"/>
        <charset val="1"/>
      </rPr>
      <t xml:space="preserve">7.33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SRC_ANT_252</t>
    </r>
    <r>
      <rPr>
        <sz val="10"/>
        <color rgb="FF000000"/>
        <rFont val="Noto Sans CJK SC"/>
        <family val="2"/>
      </rPr>
      <t xml:space="preserve">。</t>
    </r>
  </si>
  <si>
    <t xml:space="preserve">SRC_ANT_396</t>
  </si>
  <si>
    <t xml:space="preserve">cmp_s1_cloud_total_450</t>
  </si>
  <si>
    <r>
      <rPr>
        <sz val="10"/>
        <color rgb="FF000000"/>
        <rFont val="Noto Sans CJK SC"/>
        <family val="2"/>
      </rPr>
      <t xml:space="preserve">雲端運算付款義務（未來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</si>
  <si>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r>
      <rPr>
        <sz val="10"/>
        <color rgb="FF000000"/>
        <rFont val="Noto Sans CJK SC"/>
        <family val="2"/>
      </rPr>
      <t xml:space="preserve">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</si>
  <si>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faces approximately $450 billion in cloud computing payment obligations over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$450 billion in cloud agreements over the next seven to ten years, with the bulk noncancelable'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'roughly $450 billion in noncancelable cloud agreements spanning the next seven to ten years'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寫 </t>
    </r>
    <r>
      <rPr>
        <sz val="10"/>
        <color rgb="FF000000"/>
        <rFont val="Arial"/>
        <family val="0"/>
        <charset val="1"/>
      </rPr>
      <t xml:space="preserve">'over the next decade'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KuCoin </t>
    </r>
    <r>
      <rPr>
        <sz val="10"/>
        <color rgb="FF000000"/>
        <rFont val="Noto Sans CJK SC"/>
        <family val="2"/>
      </rPr>
      <t xml:space="preserve">彙整稱此數與 </t>
    </r>
    <r>
      <rPr>
        <sz val="10"/>
        <color rgb="FF000000"/>
        <rFont val="Arial"/>
        <family val="0"/>
        <charset val="1"/>
      </rPr>
      <t xml:space="preserve">$518–600B+ </t>
    </r>
    <r>
      <rPr>
        <sz val="10"/>
        <color rgb="FF000000"/>
        <rFont val="Noto Sans CJK SC"/>
        <family val="2"/>
      </rPr>
      <t xml:space="preserve">有爭議（口徑不同：</t>
    </r>
    <r>
      <rPr>
        <sz val="10"/>
        <color rgb="FF000000"/>
        <rFont val="Arial"/>
        <family val="0"/>
        <charset val="1"/>
      </rPr>
      <t xml:space="preserve">450 </t>
    </r>
    <r>
      <rPr>
        <sz val="10"/>
        <color rgb="FF000000"/>
        <rFont val="Noto Sans CJK SC"/>
        <family val="2"/>
      </rPr>
      <t xml:space="preserve">為雲端付款義務，不含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租賃）。</t>
    </r>
  </si>
  <si>
    <t xml:space="preserve">SRC_ANT_397</t>
  </si>
  <si>
    <t xml:space="preserve">cmp_s1_google_111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</si>
  <si>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</si>
  <si>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'totaling approximately $111 billion and $110 billion,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Cloud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'$111 billion to Google, $110 billion to Amazon Web Services and $31 billion to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'noncancelable cloud deals with Google ($111 billion), AWS ($110 billion) and Microsoft ($31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'Google Cloud: $111 billion'</t>
    </r>
    <r>
      <rPr>
        <sz val="10"/>
        <color rgb="FF000000"/>
        <rFont val="Noto Sans CJK SC"/>
        <family val="2"/>
      </rPr>
      <t xml:space="preserve">。與 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既有招股書列（</t>
    </r>
    <r>
      <rPr>
        <sz val="10"/>
        <color rgb="FF000000"/>
        <rFont val="Arial"/>
        <family val="0"/>
        <charset val="1"/>
      </rPr>
      <t xml:space="preserve">Google ≥111.1</t>
    </r>
    <r>
      <rPr>
        <sz val="10"/>
        <color rgb="FF000000"/>
        <rFont val="Noto Sans CJK SC"/>
        <family val="2"/>
      </rPr>
      <t xml:space="preserve">）一致。</t>
    </r>
  </si>
  <si>
    <t xml:space="preserve">SRC_ANT_398</t>
  </si>
  <si>
    <t xml:space="preserve">cmp_s1_aws_110</t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</si>
  <si>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</si>
  <si>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）。同 </t>
    </r>
    <r>
      <rPr>
        <sz val="10"/>
        <color rgb="FF000000"/>
        <rFont val="Arial"/>
        <family val="0"/>
        <charset val="1"/>
      </rPr>
      <t xml:space="preserve">cmp_s1_google_111 </t>
    </r>
    <r>
      <rPr>
        <sz val="10"/>
        <color rgb="FF000000"/>
        <rFont val="Noto Sans CJK SC"/>
        <family val="2"/>
      </rPr>
      <t xml:space="preserve">的引文（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'$110 billion to Amazon Web Services'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'AWS ($110 billion)'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Trending Topics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'Amazon Web Services: $110 billion'</t>
    </r>
    <r>
      <rPr>
        <sz val="10"/>
        <color rgb="FF000000"/>
        <rFont val="Noto Sans CJK SC"/>
        <family val="2"/>
      </rPr>
      <t xml:space="preserve">）。</t>
    </r>
  </si>
  <si>
    <t xml:space="preserve">SRC_ANT_399</t>
  </si>
  <si>
    <t xml:space="preserve">cmp_s1_msft_31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</si>
  <si>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雲端付款義務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</si>
  <si>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'committing approximately $31 billion to Microsoft's' cloud platform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with Microsoft'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'$31 billion to Microsoft'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31.4</t>
    </r>
    <r>
      <rPr>
        <sz val="10"/>
        <color rgb="FF000000"/>
        <rFont val="Noto Sans CJK SC"/>
        <family val="2"/>
      </rPr>
      <t xml:space="preserve">。</t>
    </r>
  </si>
  <si>
    <t xml:space="preserve">SRC_ANT_400</t>
  </si>
  <si>
    <t xml:space="preserve">cmp_s1_nscale_lambda_86</t>
  </si>
  <si>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合計付款義務（租用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晶片；最高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，至 </t>
    </r>
    <r>
      <rPr>
        <sz val="10"/>
        <color rgb="FF000000"/>
        <rFont val="Arial"/>
        <family val="0"/>
        <charset val="1"/>
      </rPr>
      <t xml:space="preserve">2033–2034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</si>
  <si>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2033–2034</t>
    </r>
  </si>
  <si>
    <r>
      <rPr>
        <sz val="10"/>
        <color rgb="FF000000"/>
        <rFont val="Arial"/>
        <family val="0"/>
        <charset val="1"/>
      </rPr>
      <t xml:space="preserve">Implicator.ai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Marcus Schuler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2026-10-20</t>
    </r>
    <r>
      <rPr>
        <sz val="10"/>
        <color rgb="FF000000"/>
        <rFont val="Noto Sans CJK SC"/>
        <family val="2"/>
      </rPr>
      <t xml:space="preserve">；引 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所見草擬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</si>
  <si>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https://www.implicator.ai/anthropic-first-half-revenue-compute-costs/</t>
  </si>
  <si>
    <t xml:space="preserve">2026-10-20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</si>
  <si>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'up to $86 billion to rent Nvidia chips from Nscale and Lambda through 2033 and 2034, respectively'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 combined total of up to $86 billion to Nscale and Lambda by 2033–2034'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also agreed to spend up to $86 billion renting Nvidia chips from Nscale and Lambda.'</t>
    </r>
    <r>
      <rPr>
        <sz val="10"/>
        <color rgb="FF000000"/>
        <rFont val="Noto Sans CJK SC"/>
        <family val="2"/>
      </rPr>
      <t xml:space="preserve">。既有公告 </t>
    </r>
    <r>
      <rPr>
        <sz val="10"/>
        <color rgb="FF000000"/>
        <rFont val="Arial"/>
        <family val="0"/>
        <charset val="1"/>
      </rPr>
      <t xml:space="preserve">Nscale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）＋</t>
    </r>
    <r>
      <rPr>
        <sz val="10"/>
        <color rgb="FF000000"/>
        <rFont val="Arial"/>
        <family val="0"/>
        <charset val="1"/>
      </rPr>
      <t xml:space="preserve">Lambda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80</t>
    </r>
    <r>
      <rPr>
        <sz val="10"/>
        <color rgb="FF000000"/>
        <rFont val="Noto Sans CJK SC"/>
        <family val="2"/>
      </rPr>
      <t xml:space="preserve">；「最高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」為合計上限。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：以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錨定兩約。</t>
    </r>
  </si>
  <si>
    <t xml:space="preserve">SRC_ANT_401</t>
  </si>
  <si>
    <t xml:space="preserve">cmp_s1_broadcom_160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</si>
  <si>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客製晶片設備租賃）付款義務（</t>
    </r>
    <r>
      <rPr>
        <sz val="10"/>
        <color rgb="FF000000"/>
        <rFont val="Arial"/>
        <family val="0"/>
        <charset val="1"/>
      </rPr>
      <t xml:space="preserve">&gt;$160B</t>
    </r>
    <r>
      <rPr>
        <sz val="10"/>
        <color rgb="FF000000"/>
        <rFont val="Noto Sans CJK SC"/>
        <family val="2"/>
      </rPr>
      <t xml:space="preserve">）</t>
    </r>
  </si>
  <si>
    <t xml:space="preserve">未來多年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</si>
  <si>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'more than $160 billion in equipment lease obligations to obtain Google chips through a deal with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'Factoring in more than $160 billion in obligations arising from arrangements via Broadcom'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'Adding a lease of Google chips through Broadcom worth more than $160 billion'</t>
    </r>
    <r>
      <rPr>
        <sz val="10"/>
        <color rgb="FF000000"/>
        <rFont val="Noto Sans CJK SC"/>
        <family val="2"/>
      </rPr>
      <t xml:space="preserve">。既有招股書列為 </t>
    </r>
    <r>
      <rPr>
        <sz val="10"/>
        <color rgb="FF000000"/>
        <rFont val="Arial"/>
        <family val="0"/>
        <charset val="1"/>
      </rPr>
      <t xml:space="preserve">161.2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cmp_prospectus_broadcom</t>
    </r>
    <r>
      <rPr>
        <sz val="10"/>
        <color rgb="FF000000"/>
        <rFont val="Noto Sans CJK SC"/>
        <family val="2"/>
      </rPr>
      <t xml:space="preserve">）。</t>
    </r>
  </si>
  <si>
    <t xml:space="preserve">SRC_ANT_402</t>
  </si>
  <si>
    <t xml:space="preserve">cmp_s1_locked_600</t>
  </si>
  <si>
    <r>
      <rPr>
        <sz val="10"/>
        <color rgb="FF000000"/>
        <rFont val="Noto Sans CJK SC"/>
        <family val="2"/>
      </rPr>
      <t xml:space="preserve">已鎖定的算力與基礎設施承諾（</t>
    </r>
    <r>
      <rPr>
        <sz val="10"/>
        <color rgb="FF000000"/>
        <rFont val="Arial"/>
        <family val="0"/>
        <charset val="1"/>
      </rPr>
      <t xml:space="preserve">&gt;$600B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</si>
  <si>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'bring future infrastructure commitments above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'locked-in computing power and infrastructure commitments exceed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'future infrastructure costs top $600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'faces over $600 billion in future cloud and computing commitments'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Crypto Briefing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'at least $518 billion over roughly 10 years' 'Recent reports suggest the total could exceed $600 billion'</t>
    </r>
    <r>
      <rPr>
        <sz val="10"/>
        <color rgb="FF000000"/>
        <rFont val="Noto Sans CJK SC"/>
        <family val="2"/>
      </rPr>
      <t xml:space="preserve">（舊口徑 </t>
    </r>
    <r>
      <rPr>
        <sz val="10"/>
        <color rgb="FF000000"/>
        <rFont val="Arial"/>
        <family val="0"/>
        <charset val="1"/>
      </rPr>
      <t xml:space="preserve">518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）。</t>
    </r>
  </si>
  <si>
    <t xml:space="preserve">SRC_ANT_403</t>
  </si>
  <si>
    <t xml:space="preserve">cmp_s1_negotiating_150</t>
  </si>
  <si>
    <r>
      <rPr>
        <sz val="10"/>
        <color rgb="FF000000"/>
        <rFont val="Noto Sans CJK SC"/>
        <family val="2"/>
      </rPr>
      <t xml:space="preserve">談判中的新算力協議（最高約 </t>
    </r>
    <r>
      <rPr>
        <sz val="10"/>
        <color rgb="FF000000"/>
        <rFont val="Arial"/>
        <family val="0"/>
        <charset val="1"/>
      </rPr>
      <t xml:space="preserve">$150B</t>
    </r>
    <r>
      <rPr>
        <sz val="10"/>
        <color rgb="FF000000"/>
        <rFont val="Noto Sans CJK SC"/>
        <family val="2"/>
      </rPr>
      <t xml:space="preserve">）</t>
    </r>
  </si>
  <si>
    <t xml:space="preserve">未定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</si>
  <si>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'Additional computing deals under negotiation could add as much as $150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still in talks for up to roughly $150 billion in new agreements'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company is negotiating deals that could add up to $150 billion.'</t>
    </r>
    <r>
      <rPr>
        <sz val="10"/>
        <color rgb="FF000000"/>
        <rFont val="Noto Sans CJK SC"/>
        <family val="2"/>
      </rPr>
      <t xml:space="preserve">。未簽約；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只作情境。</t>
    </r>
  </si>
  <si>
    <t xml:space="preserve">SRC_ANT_404</t>
  </si>
  <si>
    <t xml:space="preserve">cmp_s1_total_750</t>
  </si>
  <si>
    <r>
      <rPr>
        <sz val="10"/>
        <color rgb="FF000000"/>
        <rFont val="Noto Sans CJK SC"/>
        <family val="2"/>
      </rPr>
      <t xml:space="preserve">全數成交後的潛在承諾總額（約 </t>
    </r>
    <r>
      <rPr>
        <sz val="10"/>
        <color rgb="FF000000"/>
        <rFont val="Arial"/>
        <family val="0"/>
        <charset val="1"/>
      </rPr>
      <t xml:space="preserve">$750B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</si>
  <si>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'taking the potential total toward $750 billion.'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total scale could further rise to $750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RuntimeWire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'up to $750B in potential future compute spending'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could commit up to $750 billion to compute capacity in the coming years'</t>
    </r>
    <r>
      <rPr>
        <sz val="10"/>
        <color rgb="FF000000"/>
        <rFont val="Noto Sans CJK SC"/>
        <family val="2"/>
      </rPr>
      <t xml:space="preserve">。＝已鎖定 </t>
    </r>
    <r>
      <rPr>
        <sz val="10"/>
        <color rgb="FF000000"/>
        <rFont val="Arial"/>
        <family val="0"/>
        <charset val="1"/>
      </rPr>
      <t xml:space="preserve">&gt;600 </t>
    </r>
    <r>
      <rPr>
        <sz val="10"/>
        <color rgb="FF000000"/>
        <rFont val="Noto Sans CJK SC"/>
        <family val="2"/>
      </rPr>
      <t xml:space="preserve">＋ 談判中最高 </t>
    </r>
    <r>
      <rPr>
        <sz val="10"/>
        <color rgb="FF000000"/>
        <rFont val="Arial"/>
        <family val="0"/>
        <charset val="1"/>
      </rPr>
      <t xml:space="preserve">150</t>
    </r>
    <r>
      <rPr>
        <sz val="10"/>
        <color rgb="FF000000"/>
        <rFont val="Noto Sans CJK SC"/>
        <family val="2"/>
      </rPr>
      <t xml:space="preserve">。</t>
    </r>
  </si>
  <si>
    <t xml:space="preserve">SRC_ANT_405</t>
  </si>
  <si>
    <t xml:space="preserve">cmp_s1_customer_conc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</si>
  <si>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上半年兩家客戶占營收比例（約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</si>
  <si>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came from two unnamed customers, representing a combined contribution of approximately $3.26 billion'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'Around one-fifth of first-half revenue came from two unnamed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'approximately 20% of Anthropic's $16.3 billion first-half revenue was derived from just two customers'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Dealroom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'about 20% of revenue came from just two customers.'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National Herald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'Two customers accounted for approximately a fifth of sales'</t>
    </r>
    <r>
      <rPr>
        <sz val="10"/>
        <color rgb="FF000000"/>
        <rFont val="Noto Sans CJK SC"/>
        <family val="2"/>
      </rPr>
      <t xml:space="preserve">。客戶未具名。</t>
    </r>
  </si>
  <si>
    <t xml:space="preserve">SRC_ANT_406</t>
  </si>
  <si>
    <t xml:space="preserve">cmp_s1_customer_conc_usd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</si>
  <si>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上半年兩家客戶合計營收（約 </t>
    </r>
    <r>
      <rPr>
        <sz val="10"/>
        <color rgb="FF000000"/>
        <rFont val="Arial"/>
        <family val="0"/>
        <charset val="1"/>
      </rPr>
      <t xml:space="preserve">$3.26B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</si>
  <si>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原文：</t>
    </r>
    <r>
      <rPr>
        <sz val="10"/>
        <color rgb="FF000000"/>
        <rFont val="Arial"/>
        <family val="0"/>
        <charset val="1"/>
      </rPr>
      <t xml:space="preserve">'representing a combined contribution of approximately $3.26 billion'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16.3 × 20%</t>
    </r>
    <r>
      <rPr>
        <sz val="10"/>
        <color rgb="FF000000"/>
        <rFont val="Noto Sans CJK SC"/>
        <family val="2"/>
      </rPr>
      <t xml:space="preserve">）。僅 </t>
    </r>
    <r>
      <rPr>
        <sz val="10"/>
        <color rgb="FF000000"/>
        <rFont val="Arial"/>
        <family val="0"/>
        <charset val="1"/>
      </rPr>
      <t xml:space="preserve">TradingKey </t>
    </r>
    <r>
      <rPr>
        <sz val="10"/>
        <color rgb="FF000000"/>
        <rFont val="Noto Sans CJK SC"/>
        <family val="2"/>
      </rPr>
      <t xml:space="preserve">給出金額，其他轉載只給比例。</t>
    </r>
  </si>
  <si>
    <t xml:space="preserve">SRC_ANT_407</t>
  </si>
  <si>
    <t xml:space="preserve">cmp_s1_supply_constraint</t>
  </si>
  <si>
    <t xml:space="preserve">算力供給是擴張最主要的限制；雲端夥伴不願提供所需的全部算力（定性）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</si>
  <si>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原文措辭未能開啟（</t>
    </r>
    <r>
      <rPr>
        <sz val="10"/>
        <color rgb="FF000000"/>
        <rFont val="Arial"/>
        <family val="0"/>
        <charset val="1"/>
      </rPr>
      <t xml:space="preserve">wsj.com </t>
    </r>
    <r>
      <rPr>
        <sz val="10"/>
        <color rgb="FF000000"/>
        <rFont val="Noto Sans CJK SC"/>
        <family val="2"/>
      </rPr>
      <t xml:space="preserve">被擋）；以下為各轉載對同一句的轉述。</t>
    </r>
    <r>
      <rPr>
        <sz val="10"/>
        <color rgb="FF000000"/>
        <rFont val="Arial"/>
        <family val="0"/>
        <charset val="1"/>
      </rPr>
      <t xml:space="preserve">TradingKey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'Computing power supply is the most prominent constraint in Anthropic's expansion.'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'Anthropic has sought more computing capacity than its cloud partners were willing to provide' </t>
    </r>
    <r>
      <rPr>
        <sz val="10"/>
        <color rgb="FF000000"/>
        <rFont val="Noto Sans CJK SC"/>
        <family val="2"/>
      </rPr>
      <t xml:space="preserve">，且夥伴 </t>
    </r>
    <r>
      <rPr>
        <sz val="10"/>
        <color rgb="FF000000"/>
        <rFont val="Arial"/>
        <family val="0"/>
        <charset val="1"/>
      </rPr>
      <t xml:space="preserve">'increasingly viewing it as a competitor'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'have been unwilling to provide the totality of the capacity it requires'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Investing.com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'sought more capacity than hyperscalers were willing to supply'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CoinCentral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'The filing says Anthropic asked for more capacity than its cloud partners were willing to provide.'</t>
    </r>
    <r>
      <rPr>
        <sz val="10"/>
        <color rgb="FF000000"/>
        <rFont val="Noto Sans CJK SC"/>
        <family val="2"/>
      </rPr>
      <t xml:space="preserve">。「不願出售其所需的全部」一語為轉載者措辭，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逐字未取得。與本模型『只計已簽合約、容量上限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起不截頂』的關係見報告。</t>
    </r>
  </si>
  <si>
    <t xml:space="preserve">SRC_ANT_408</t>
  </si>
  <si>
    <t xml:space="preserve">cmp_s1_spend_2026_q3_derived</t>
  </si>
  <si>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隱含算力支出＝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</si>
  <si>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rev_2026_q3 ÷ rev_per_compute_2026_q3 </t>
    </r>
    <r>
      <rPr>
        <sz val="10"/>
        <color rgb="FF000000"/>
        <rFont val="Noto Sans CJK SC"/>
        <family val="2"/>
      </rPr>
      <t xml:space="preserve">推算（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Euronews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</si>
  <si>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16.8 ÷ 1.70 ≈ 9.88</t>
    </r>
    <r>
      <rPr>
        <sz val="10"/>
        <color rgb="FF000000"/>
        <rFont val="Noto Sans CJK SC"/>
        <family val="2"/>
      </rPr>
      <t xml:space="preserve">。口徑隨 </t>
    </r>
    <r>
      <rPr>
        <sz val="10"/>
        <color rgb="FF000000"/>
        <rFont val="Arial"/>
        <family val="0"/>
        <charset val="1"/>
      </rPr>
      <t xml:space="preserve">1.70 </t>
    </r>
    <r>
      <rPr>
        <sz val="10"/>
        <color rgb="FF000000"/>
        <rFont val="Noto Sans CJK SC"/>
        <family val="2"/>
      </rPr>
      <t xml:space="preserve">的分母（未明）。</t>
    </r>
  </si>
  <si>
    <t xml:space="preserve">SRC_ANT_409</t>
  </si>
  <si>
    <t xml:space="preserve">cmp_s1_spend_2026_9m_derived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</si>
  <si>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前三季算力與基礎設施支出（上半年近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隱含）</t>
    </r>
  </si>
  <si>
    <r>
      <rPr>
        <sz val="10"/>
        <color rgb="FF000000"/>
        <rFont val="Arial"/>
        <family val="0"/>
        <charset val="1"/>
      </rPr>
      <t xml:space="preserve">$B/9</t>
    </r>
    <r>
      <rPr>
        <sz val="10"/>
        <color rgb="FF000000"/>
        <rFont val="Noto Sans CJK SC"/>
        <family val="2"/>
      </rPr>
      <t xml:space="preserve">個月</t>
    </r>
  </si>
  <si>
    <t xml:space="preserve">2026-Q1–Q3</t>
  </si>
  <si>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新增（工作單 </t>
    </r>
    <r>
      <rPr>
        <sz val="10"/>
        <color rgb="FF000000"/>
        <rFont val="Arial"/>
        <family val="0"/>
        <charset val="1"/>
      </rPr>
      <t xml:space="preserve">20261021</t>
    </r>
    <r>
      <rPr>
        <sz val="10"/>
        <color rgb="FF000000"/>
        <rFont val="Noto Sans CJK SC"/>
        <family val="2"/>
      </rPr>
      <t xml:space="preserve">）。由 </t>
    </r>
    <r>
      <rPr>
        <sz val="10"/>
        <color rgb="FF000000"/>
        <rFont val="Arial"/>
        <family val="0"/>
        <charset val="1"/>
      </rPr>
      <t xml:space="preserve">cmp_s1_spend_2026_h1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cmp_s1_spend_2026_q3_derived </t>
    </r>
    <r>
      <rPr>
        <sz val="10"/>
        <color rgb="FF000000"/>
        <rFont val="Noto Sans CJK SC"/>
        <family val="2"/>
      </rPr>
      <t xml:space="preserve">推算。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</si>
  <si>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</si>
  <si>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具名範圍。前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名與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相同，其後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新增（任務別每次嘗試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）；再其後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Tokenomics v18.0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Noto Sans CJK SC"/>
        <family val="2"/>
      </rPr>
      <t xml:space="preserve">等對照名稱，只對照、不回饋計算）；再其後 </t>
    </r>
    <r>
      <rPr>
        <sz val="9"/>
        <color rgb="FF595959"/>
        <rFont val="Arial"/>
        <family val="0"/>
        <charset val="1"/>
      </rPr>
      <t xml:space="preserve">23 </t>
    </r>
    <r>
      <rPr>
        <sz val="9"/>
        <color rgb="FF595959"/>
        <rFont val="Noto Sans CJK SC"/>
        <family val="2"/>
      </rPr>
      <t xml:space="preserve">名為 </t>
    </r>
    <r>
      <rPr>
        <sz val="9"/>
        <color rgb="FF595959"/>
        <rFont val="Arial"/>
        <family val="0"/>
        <charset val="1"/>
      </rPr>
      <t xml:space="preserve">v0.1.3 B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IF_UtilActual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L1_TokGW_PaidCap_VR200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L1_Gap*</t>
    </r>
    <r>
      <rPr>
        <sz val="9"/>
        <color rgb="FF595959"/>
        <rFont val="Noto Sans CJK SC"/>
        <family val="2"/>
      </rPr>
      <t xml:space="preserve">，只供 </t>
    </r>
    <r>
      <rPr>
        <sz val="9"/>
        <color rgb="FF595959"/>
        <rFont val="Arial"/>
        <family val="0"/>
        <charset val="1"/>
      </rPr>
      <t xml:space="preserve">EtaDiag </t>
    </r>
    <r>
      <rPr>
        <sz val="9"/>
        <color rgb="FF595959"/>
        <rFont val="Noto Sans CJK SC"/>
        <family val="2"/>
      </rPr>
      <t xml:space="preserve">對照）；其後為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未設具名範圍，以列標籤＋欄標題讀表；狀態「讀表（非具名）」，列入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缺口：建議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把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比例列進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</si>
  <si>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</si>
  <si>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20261023_Tokenomics_v21.2.xlsx</t>
  </si>
  <si>
    <r>
      <rPr>
        <sz val="10"/>
        <color rgb="FF000000"/>
        <rFont val="Noto Sans CJK SC"/>
        <family val="2"/>
      </rPr>
      <t xml:space="preserve">檔案 </t>
    </r>
    <r>
      <rPr>
        <sz val="10"/>
        <color rgb="FF000000"/>
        <rFont val="Arial"/>
        <family val="0"/>
        <charset val="1"/>
      </rPr>
      <t xml:space="preserve">SHA-256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d221dd93543b15be9e4d27352c443dec0c80dd387625bcd12145236846946f5c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</si>
  <si>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</si>
  <si>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v21.2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</si>
  <si>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</si>
  <si>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45ce1cad52fe64e0bf379daf94420668631f60be</t>
  </si>
  <si>
    <t xml:space="preserve">讀取日期</t>
  </si>
  <si>
    <t xml:space="preserve">2026-10-24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</si>
  <si>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</si>
  <si>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</si>
  <si>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</si>
  <si>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</si>
  <si>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</si>
  <si>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</si>
  <si>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</si>
  <si>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</si>
  <si>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</si>
  <si>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</si>
  <si>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</si>
  <si>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</si>
  <si>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</si>
  <si>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</si>
  <si>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t xml:space="preserve">狀態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</si>
  <si>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</si>
  <si>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</si>
  <si>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</si>
  <si>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</si>
  <si>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</si>
  <si>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</si>
  <si>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</si>
  <si>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</si>
  <si>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</si>
  <si>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</si>
  <si>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</si>
  <si>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</si>
  <si>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</si>
  <si>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</si>
  <si>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</si>
  <si>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</si>
  <si>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</si>
  <si>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</si>
  <si>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</si>
  <si>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</si>
  <si>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</si>
  <si>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45ce1ca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</si>
  <si>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</si>
  <si>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</si>
  <si>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</si>
  <si>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</si>
  <si>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</si>
  <si>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</si>
  <si>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</si>
  <si>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</si>
  <si>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</si>
  <si>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</si>
  <si>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</si>
  <si>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</si>
  <si>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</si>
  <si>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</si>
  <si>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</si>
  <si>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</si>
  <si>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</si>
  <si>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</si>
  <si>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</si>
  <si>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</si>
  <si>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</si>
  <si>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</si>
  <si>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</si>
  <si>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</si>
  <si>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</si>
  <si>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</si>
  <si>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</si>
  <si>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</si>
  <si>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</si>
  <si>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</si>
  <si>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</si>
  <si>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</si>
  <si>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</si>
  <si>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</si>
  <si>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</si>
  <si>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</si>
  <si>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</si>
  <si>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</si>
  <si>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</si>
  <si>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</si>
  <si>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</si>
  <si>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</si>
  <si>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</si>
  <si>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</si>
  <si>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</si>
  <si>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</si>
  <si>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</si>
  <si>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</si>
  <si>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</si>
  <si>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</si>
  <si>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</si>
  <si>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</si>
  <si>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</si>
  <si>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</si>
  <si>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</si>
  <si>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</si>
  <si>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</si>
  <si>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</si>
  <si>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</si>
  <si>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</si>
  <si>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</si>
  <si>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</si>
  <si>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</si>
  <si>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</si>
  <si>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</si>
  <si>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</si>
  <si>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</si>
  <si>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</si>
  <si>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</si>
  <si>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</si>
  <si>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</si>
  <si>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</si>
  <si>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</si>
  <si>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</si>
  <si>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</si>
  <si>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</si>
  <si>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</si>
  <si>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推論支出（年度；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一致集（與 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007 </t>
    </r>
    <r>
      <rPr>
        <sz val="10"/>
        <color rgb="FF000000"/>
        <rFont val="Noto Sans CJK SC"/>
        <family val="2"/>
      </rPr>
      <t xml:space="preserve">同源））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</si>
  <si>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</si>
  <si>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</si>
  <si>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</si>
  <si>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</si>
  <si>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</si>
  <si>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</si>
  <si>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</si>
  <si>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</si>
  <si>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</si>
  <si>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</si>
  <si>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</si>
  <si>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</si>
  <si>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</si>
  <si>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</si>
  <si>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</si>
  <si>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</si>
  <si>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</si>
  <si>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</si>
  <si>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B tok/min</t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</si>
  <si>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</si>
  <si>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</si>
  <si>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</si>
  <si>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</si>
  <si>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</si>
  <si>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</si>
  <si>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</si>
  <si>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</si>
  <si>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</si>
  <si>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</si>
  <si>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</si>
  <si>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</si>
  <si>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</si>
  <si>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</si>
  <si>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</si>
  <si>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</si>
  <si>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</si>
  <si>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</si>
  <si>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</si>
  <si>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</si>
  <si>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</si>
  <si>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</si>
  <si>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</si>
  <si>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</si>
  <si>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</si>
  <si>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</si>
  <si>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v20.0 </t>
    </r>
    <r>
      <rPr>
        <sz val="10"/>
        <color rgb="FF000000"/>
        <rFont val="Noto Sans CJK SC"/>
        <family val="2"/>
      </rPr>
      <t xml:space="preserve">起：支出路線為對照，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校準主口徑為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L1_ServeGW_GW25</t>
    </r>
    <r>
      <rPr>
        <sz val="10"/>
        <color rgb="FF000000"/>
        <rFont val="Noto Sans CJK SC"/>
        <family val="2"/>
      </rPr>
      <t xml:space="preserve">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</si>
  <si>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</si>
  <si>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</si>
  <si>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</si>
  <si>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</si>
  <si>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</si>
  <si>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</si>
  <si>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</si>
  <si>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</si>
  <si>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</si>
  <si>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</si>
  <si>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t xml:space="preserve">個</t>
  </si>
  <si>
    <t xml:space="preserve">IF_TrainCost_Astra</t>
  </si>
  <si>
    <t xml:space="preserve">TK_IF_TrainCost_Astra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</si>
  <si>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</si>
  <si>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$M</t>
  </si>
  <si>
    <t xml:space="preserve">IF_TrainCost_Luna</t>
  </si>
  <si>
    <t xml:space="preserve">TK_IF_TrainCost_Luna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</si>
  <si>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</si>
  <si>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IF_TrainCost_Sol</t>
  </si>
  <si>
    <t xml:space="preserve">TK_IF_TrainCost_Sol</t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</si>
  <si>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</si>
  <si>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</si>
  <si>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</si>
  <si>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</si>
  <si>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</si>
  <si>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</si>
  <si>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</si>
  <si>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</si>
  <si>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</si>
  <si>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</si>
  <si>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</si>
  <si>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IF_FullCostDefault_Luna</t>
  </si>
  <si>
    <t xml:space="preserve">TK_IF_FullCostDefault_Luna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</si>
  <si>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</si>
  <si>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IF_FullCostDefault_Sol</t>
  </si>
  <si>
    <t xml:space="preserve">TK_IF_FullCostDefault_Sol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</si>
  <si>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</si>
  <si>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</si>
  <si>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</si>
  <si>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</si>
  <si>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</si>
  <si>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</si>
  <si>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</si>
  <si>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</si>
  <si>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</si>
  <si>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</si>
  <si>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t xml:space="preserve">IF_CapexTotal</t>
  </si>
  <si>
    <t xml:space="preserve">TK_IF_CapexTotal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</si>
  <si>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</si>
  <si>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t xml:space="preserve">IF_HdrTask</t>
  </si>
  <si>
    <t xml:space="preserve">TK_IF_HdrTask</t>
  </si>
  <si>
    <t xml:space="preserve">任務</t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</si>
  <si>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</si>
  <si>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</si>
  <si>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</si>
  <si>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</si>
  <si>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sz val="10"/>
        <color rgb="FF0000FF"/>
        <rFont val="Arial"/>
        <family val="0"/>
        <charset val="1"/>
      </rPr>
      <t xml:space="preserve">Coding agent</t>
    </r>
    <r>
      <rPr>
        <sz val="10"/>
        <color rgb="FF0000FF"/>
        <rFont val="Noto Sans CJK SC"/>
        <family val="2"/>
      </rPr>
      <t xml:space="preserve">（長程）</t>
    </r>
  </si>
  <si>
    <t xml:space="preserve">IF_TaskLen</t>
  </si>
  <si>
    <t xml:space="preserve">TK_IF_TaskLen</t>
  </si>
  <si>
    <t xml:space="preserve">任務長度（人類完成時間）</t>
  </si>
  <si>
    <t xml:space="preserve">hr</t>
  </si>
  <si>
    <t xml:space="preserve">IF_TaskTokFresh</t>
  </si>
  <si>
    <t xml:space="preserve">TK_IF_TaskTokFresh</t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</si>
  <si>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</si>
  <si>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tok</t>
  </si>
  <si>
    <t xml:space="preserve">IF_TaskTokCached</t>
  </si>
  <si>
    <t xml:space="preserve">TK_IF_TaskTokCached</t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</si>
  <si>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</t>
    </r>
  </si>
  <si>
    <t xml:space="preserve">IF_TaskTokDec</t>
  </si>
  <si>
    <t xml:space="preserve">TK_IF_TaskTokDec</t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</si>
  <si>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</t>
    </r>
  </si>
  <si>
    <t xml:space="preserve">L1_RevGW_PQ_VR200</t>
  </si>
  <si>
    <t xml:space="preserve">TK_L1_RevGW_PQ_VR200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</si>
  <si>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）（基準）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</si>
  <si>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</si>
  <si>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L1_RevGW_PQ_VR200_Lo</t>
  </si>
  <si>
    <t xml:space="preserve">TK_L1_RevGW_PQ_VR200_Lo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</si>
  <si>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）（低）</t>
    </r>
  </si>
  <si>
    <t xml:space="preserve">L1_RevGW_PQ_VR200_Hi</t>
  </si>
  <si>
    <t xml:space="preserve">TK_L1_RevGW_PQ_VR200_Hi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</si>
  <si>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第一年（主口徑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）（高）</t>
    </r>
  </si>
  <si>
    <t xml:space="preserve">L1_RevGW_PQ_VR200_FY</t>
  </si>
  <si>
    <t xml:space="preserve">TK_L1_RevGW_PQ_VR200_FY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</si>
  <si>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）（基準）</t>
    </r>
  </si>
  <si>
    <t xml:space="preserve">L1_RevGW_PQ_VR200_FY_Lo</t>
  </si>
  <si>
    <t xml:space="preserve">TK_L1_RevGW_PQ_VR200_FY_Lo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</si>
  <si>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）（低）</t>
    </r>
  </si>
  <si>
    <t xml:space="preserve">L1_RevGW_PQ_VR200_FY_Hi</t>
  </si>
  <si>
    <t xml:space="preserve">TK_L1_RevGW_PQ_VR200_FY_Hi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</si>
  <si>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）（高）</t>
    </r>
  </si>
  <si>
    <t xml:space="preserve">L1_RevGW_PQ_VR200_Life</t>
  </si>
  <si>
    <t xml:space="preserve">TK_L1_RevGW_PQ_VR200_Life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</si>
  <si>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不變）（基準）</t>
    </r>
  </si>
  <si>
    <t xml:space="preserve">L1_RevGW_PQ_VR200_Life_Lo</t>
  </si>
  <si>
    <t xml:space="preserve">TK_L1_RevGW_PQ_VR200_Life_Lo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</si>
  <si>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不變）（低）</t>
    </r>
  </si>
  <si>
    <t xml:space="preserve">L1_RevGW_PQ_VR200_Life_Hi</t>
  </si>
  <si>
    <t xml:space="preserve">TK_L1_RevGW_PQ_VR200_Life_Hi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</si>
  <si>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不變）（高）</t>
    </r>
  </si>
  <si>
    <t xml:space="preserve">L1_TokGW_PaidPQ_VR200</t>
  </si>
  <si>
    <t xml:space="preserve">TK_L1_TokGW_PaidPQ_VR200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</si>
  <si>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／年）（基準）</t>
    </r>
  </si>
  <si>
    <t xml:space="preserve">L1_TokGW_PaidPQ_VR200_Lo</t>
  </si>
  <si>
    <t xml:space="preserve">TK_L1_TokGW_PaidPQ_VR200_Lo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</si>
  <si>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／年）（低）</t>
    </r>
  </si>
  <si>
    <t xml:space="preserve">L1_TokGW_PaidPQ_VR200_Hi</t>
  </si>
  <si>
    <t xml:space="preserve">TK_L1_TokGW_PaidPQ_VR200_Hi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</si>
  <si>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／年）（高）</t>
    </r>
  </si>
  <si>
    <t xml:space="preserve">L1_TokLedger_2026Q2</t>
  </si>
  <si>
    <t xml:space="preserve">TK_L1_TokLedger_2026Q2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</si>
  <si>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帳診斷 —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Cap_In E209 ÷ E223</t>
    </r>
    <r>
      <rPr>
        <sz val="10"/>
        <color rgb="FF000000"/>
        <rFont val="Noto Sans CJK SC"/>
        <family val="2"/>
      </rPr>
      <t xml:space="preserve">）（基準）</t>
    </r>
  </si>
  <si>
    <t xml:space="preserve">L1_M</t>
  </si>
  <si>
    <t xml:space="preserve">TK_L1_M</t>
  </si>
  <si>
    <r>
      <rPr>
        <sz val="10"/>
        <color rgb="FF000000"/>
        <rFont val="Noto Sans CJK SC"/>
        <family val="2"/>
      </rPr>
      <t xml:space="preserve">收入面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主口徑（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年化；替代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提供『市場預估 </t>
    </r>
    <r>
      <rPr>
        <sz val="10"/>
        <color rgb="FF000000"/>
        <rFont val="Arial"/>
        <family val="0"/>
        <charset val="1"/>
      </rPr>
      <t xml:space="preserve">360 </t>
    </r>
    <r>
      <rPr>
        <sz val="10"/>
        <color rgb="FF000000"/>
        <rFont val="Noto Sans CJK SC"/>
        <family val="2"/>
      </rPr>
      <t xml:space="preserve">億』出處）（基準）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</si>
  <si>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</si>
  <si>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TK_NNV_TPUv7_Out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</si>
  <si>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NonNV!C6</t>
    </r>
    <r>
      <rPr>
        <sz val="10"/>
        <color rgb="FF000000"/>
        <rFont val="Noto Sans CJK SC"/>
        <family val="2"/>
      </rPr>
      <t xml:space="preserve">）</t>
    </r>
  </si>
  <si>
    <t xml:space="preserve">讀表（非具名）</t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</si>
  <si>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低</t>
    </r>
  </si>
  <si>
    <t xml:space="preserve">TK_NNV_TPUv7_OutLo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</si>
  <si>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</si>
  <si>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產出比 高</t>
    </r>
  </si>
  <si>
    <t xml:space="preserve">TK_NNV_TPUv7_OutHi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</si>
  <si>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</si>
  <si>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</si>
  <si>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TK_NNV_TPUv7_Hold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</si>
  <si>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</si>
  <si>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低</t>
    </r>
  </si>
  <si>
    <t xml:space="preserve">TK_NNV_TPUv7_HoldLo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</si>
  <si>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</si>
  <si>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NonNV!Google TPU v7 Ironwood!</t>
    </r>
    <r>
      <rPr>
        <sz val="10"/>
        <color rgb="FF000000"/>
        <rFont val="Noto Sans CJK SC"/>
        <family val="2"/>
      </rPr>
      <t xml:space="preserve">持有比 高</t>
    </r>
  </si>
  <si>
    <t xml:space="preserve">TK_NNV_TPUv7_HoldHi</t>
  </si>
  <si>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</si>
  <si>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基準</t>
    </r>
  </si>
  <si>
    <t xml:space="preserve">TK_NNV_Trn3_Out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</si>
  <si>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</si>
  <si>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低</t>
    </r>
  </si>
  <si>
    <t xml:space="preserve">TK_NNV_Trn3_OutLo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</si>
  <si>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</si>
  <si>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產出比 高</t>
    </r>
  </si>
  <si>
    <t xml:space="preserve">TK_NNV_Trn3_OutHi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</si>
  <si>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</si>
  <si>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基準</t>
    </r>
  </si>
  <si>
    <t xml:space="preserve">TK_NNV_Trn3_Hold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</si>
  <si>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</si>
  <si>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低</t>
    </r>
  </si>
  <si>
    <t xml:space="preserve">TK_NNV_Trn3_HoldLo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</si>
  <si>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</si>
  <si>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NonNV!AWS Trainium3!</t>
    </r>
    <r>
      <rPr>
        <sz val="10"/>
        <color rgb="FF000000"/>
        <rFont val="Noto Sans CJK SC"/>
        <family val="2"/>
      </rPr>
      <t xml:space="preserve">持有比 高</t>
    </r>
  </si>
  <si>
    <t xml:space="preserve">TK_NNV_Trn3_HoldHi</t>
  </si>
  <si>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</si>
  <si>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基準</t>
    </r>
  </si>
  <si>
    <t xml:space="preserve">TK_NNV_MI455X_Out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</si>
  <si>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NonNV!C5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</si>
  <si>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低</t>
    </r>
  </si>
  <si>
    <t xml:space="preserve">TK_NNV_MI455X_OutLo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</si>
  <si>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NonNV!B5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</si>
  <si>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產出比 高</t>
    </r>
  </si>
  <si>
    <t xml:space="preserve">TK_NNV_MI455X_OutHi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</si>
  <si>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）：產出比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NonNV!D5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</si>
  <si>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基準</t>
    </r>
  </si>
  <si>
    <t xml:space="preserve">TK_NNV_MI455X_Hold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</si>
  <si>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基準（相對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NonNV!F5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</si>
  <si>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低</t>
    </r>
  </si>
  <si>
    <t xml:space="preserve">TK_NNV_MI455X_HoldLo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</si>
  <si>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低（相對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NonNV!E5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</si>
  <si>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NonNV!AMD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持有比 高</t>
    </r>
  </si>
  <si>
    <t xml:space="preserve">TK_NNV_MI455X_HoldHi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</si>
  <si>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）：持有比 高（相對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NonNV!G5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</si>
  <si>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基準</t>
    </r>
  </si>
  <si>
    <t xml:space="preserve">TK_PUE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</si>
  <si>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：基準（</t>
    </r>
    <r>
      <rPr>
        <sz val="10"/>
        <color rgb="FF000000"/>
        <rFont val="Arial"/>
        <family val="0"/>
        <charset val="1"/>
      </rPr>
      <t xml:space="preserve">Tokenomics Inputs!E9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</si>
  <si>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（設施電力 </t>
    </r>
    <r>
      <rPr>
        <sz val="10"/>
        <color rgb="FF000000"/>
        <rFont val="Arial"/>
        <family val="0"/>
        <charset val="1"/>
      </rPr>
      <t xml:space="preserve">÷ IT </t>
    </r>
    <r>
      <rPr>
        <sz val="10"/>
        <color rgb="FF000000"/>
        <rFont val="Noto Sans CJK SC"/>
        <family val="2"/>
      </rPr>
      <t xml:space="preserve">電力）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</si>
  <si>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低成本</t>
    </r>
  </si>
  <si>
    <t xml:space="preserve">TK_PUE_Lo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</si>
  <si>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：低成本（</t>
    </r>
    <r>
      <rPr>
        <sz val="10"/>
        <color rgb="FF000000"/>
        <rFont val="Arial"/>
        <family val="0"/>
        <charset val="1"/>
      </rPr>
      <t xml:space="preserve">Tokenomics Inputs!D9</t>
    </r>
    <r>
      <rPr>
        <sz val="10"/>
        <color rgb="FF000000"/>
        <rFont val="Noto Sans CJK SC"/>
        <family val="2"/>
      </rPr>
      <t xml:space="preserve">；非具名）</t>
    </r>
  </si>
  <si>
    <r>
      <rPr>
        <sz val="10"/>
        <color rgb="FF000000"/>
        <rFont val="Arial"/>
        <family val="0"/>
        <charset val="1"/>
      </rPr>
      <t xml:space="preserve">Inputs!PUE!</t>
    </r>
    <r>
      <rPr>
        <sz val="10"/>
        <color rgb="FF000000"/>
        <rFont val="Noto Sans CJK SC"/>
        <family val="2"/>
      </rPr>
      <t xml:space="preserve">高成本</t>
    </r>
  </si>
  <si>
    <t xml:space="preserve">TK_PUE_Hi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</si>
  <si>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：高成本（</t>
    </r>
    <r>
      <rPr>
        <sz val="10"/>
        <color rgb="FF000000"/>
        <rFont val="Arial"/>
        <family val="0"/>
        <charset val="1"/>
      </rPr>
      <t xml:space="preserve">Tokenomics Inputs!F9</t>
    </r>
    <r>
      <rPr>
        <sz val="10"/>
        <color rgb="FF000000"/>
        <rFont val="Noto Sans CJK SC"/>
        <family val="2"/>
      </rPr>
      <t xml:space="preserve">；非具名）</t>
    </r>
  </si>
  <si>
    <t xml:space="preserve">IF_UtilActual</t>
  </si>
  <si>
    <t xml:space="preserve">TK_IF_UtilActual</t>
  </si>
  <si>
    <r>
      <rPr>
        <sz val="10"/>
        <color rgb="FF000000"/>
        <rFont val="Noto Sans CJK SC"/>
        <family val="2"/>
      </rPr>
      <t xml:space="preserve">實際利用率（營運口徑；實際產出＝產能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本列；基準／低／高）</t>
    </r>
  </si>
  <si>
    <t xml:space="preserve">IF_UtilActual_Lo</t>
  </si>
  <si>
    <t xml:space="preserve">TK_IF_UtilActual_Lo</t>
  </si>
  <si>
    <t xml:space="preserve">IF_UtilActual_Hi</t>
  </si>
  <si>
    <t xml:space="preserve">TK_IF_UtilActual_Hi</t>
  </si>
  <si>
    <t xml:space="preserve">L1_TokGW_PaidCap_VR200</t>
  </si>
  <si>
    <t xml:space="preserve">TK_L1_TokGW_PaidCap_VR200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</si>
  <si>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付費產能（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利用率、全部作付費服務；層級組合 </t>
    </r>
    <r>
      <rPr>
        <sz val="10"/>
        <color rgb="FF000000"/>
        <rFont val="Arial"/>
        <family val="0"/>
        <charset val="1"/>
      </rPr>
      <t xml:space="preserve">B4_MixPaid </t>
    </r>
    <r>
      <rPr>
        <sz val="10"/>
        <color rgb="FF000000"/>
        <rFont val="Noto Sans CJK SC"/>
        <family val="2"/>
      </rPr>
      <t xml:space="preserve">調和平均）（基準）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</si>
  <si>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</si>
  <si>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t xml:space="preserve">B4_MixPaid</t>
  </si>
  <si>
    <t xml:space="preserve">TK_B4_MixPaid</t>
  </si>
  <si>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API tokenMix 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）；三者合計須為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））</t>
    </r>
  </si>
  <si>
    <t xml:space="preserve">Assumed</t>
  </si>
  <si>
    <t xml:space="preserve">L1_GapPrompt</t>
  </si>
  <si>
    <t xml:space="preserve">TK_L1_GapPrompt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</si>
  <si>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比值）（基準）</t>
    </r>
  </si>
  <si>
    <t xml:space="preserve">L1_GapPrompt_Lo</t>
  </si>
  <si>
    <t xml:space="preserve">TK_L1_GapPrompt_Lo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</si>
  <si>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比值）（低）</t>
    </r>
  </si>
  <si>
    <t xml:space="preserve">L1_GapPrompt_Hi</t>
  </si>
  <si>
    <t xml:space="preserve">TK_L1_GapPrompt_Hi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</si>
  <si>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比值）（高）</t>
    </r>
  </si>
  <si>
    <t xml:space="preserve">L1_GapSpendBasis</t>
  </si>
  <si>
    <t xml:space="preserve">TK_L1_GapSpendBasis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</si>
  <si>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計價含利潤與資本回收）（基準）</t>
    </r>
  </si>
  <si>
    <t xml:space="preserve">L1_GapSpendBasis_Lo</t>
  </si>
  <si>
    <t xml:space="preserve">TK_L1_GapSpendBasis_Lo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</si>
  <si>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計價含利潤與資本回收）（低）</t>
    </r>
  </si>
  <si>
    <t xml:space="preserve">L1_GapSpendBasis_Hi</t>
  </si>
  <si>
    <t xml:space="preserve">TK_L1_GapSpendBasis_Hi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</si>
  <si>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計價含利潤與資本回收）（高）</t>
    </r>
  </si>
  <si>
    <t xml:space="preserve">L1_GapISL</t>
  </si>
  <si>
    <t xml:space="preserve">TK_L1_GapISL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</si>
  <si>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讀法）（基準）</t>
    </r>
  </si>
  <si>
    <t xml:space="preserve">L1_GapISL_Lo</t>
  </si>
  <si>
    <t xml:space="preserve">TK_L1_GapISL_Lo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</si>
  <si>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讀法）（低）</t>
    </r>
  </si>
  <si>
    <t xml:space="preserve">L1_GapISL_Hi</t>
  </si>
  <si>
    <t xml:space="preserve">TK_L1_GapISL_Hi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</si>
  <si>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讀法）（高）</t>
    </r>
  </si>
  <si>
    <t xml:space="preserve">L1_GapUtil</t>
  </si>
  <si>
    <t xml:space="preserve">TK_L1_GapUtil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</si>
  <si>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列同口徑）（基準）</t>
    </r>
  </si>
  <si>
    <t xml:space="preserve">L1_GapUtil_Lo</t>
  </si>
  <si>
    <t xml:space="preserve">TK_L1_GapUtil_Lo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</si>
  <si>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列同口徑）（低）</t>
    </r>
  </si>
  <si>
    <t xml:space="preserve">L1_GapUtil_Hi</t>
  </si>
  <si>
    <t xml:space="preserve">TK_L1_GapUtil_Hi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</si>
  <si>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列同口徑）（高）</t>
    </r>
  </si>
  <si>
    <t xml:space="preserve">L1_GapProduct</t>
  </si>
  <si>
    <t xml:space="preserve">TK_L1_GapProduct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</si>
  <si>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（本分解不是定義式）（基準）</t>
    </r>
  </si>
  <si>
    <t xml:space="preserve">L1_GapProduct_Lo</t>
  </si>
  <si>
    <t xml:space="preserve">TK_L1_GapProduct_Lo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</si>
  <si>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（本分解不是定義式）（低）</t>
    </r>
  </si>
  <si>
    <t xml:space="preserve">L1_GapProduct_Hi</t>
  </si>
  <si>
    <t xml:space="preserve">TK_L1_GapProduct_Hi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</si>
  <si>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（本分解不是定義式）（高）</t>
    </r>
  </si>
  <si>
    <t xml:space="preserve">L1_GapUnexplained</t>
  </si>
  <si>
    <t xml:space="preserve">TK_L1_GapUnexplained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</si>
  <si>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）；本分解不是定義式，未解釋部分的來源不可由本表得知（基準）</t>
    </r>
  </si>
  <si>
    <t xml:space="preserve">L1_GapUnexplained_Lo</t>
  </si>
  <si>
    <t xml:space="preserve">TK_L1_GapUnexplained_Lo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</si>
  <si>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）；本分解不是定義式，未解釋部分的來源不可由本表得知（低）</t>
    </r>
  </si>
  <si>
    <t xml:space="preserve">L1_GapUnexplained_Hi</t>
  </si>
  <si>
    <t xml:space="preserve">TK_L1_GapUnexplained_Hi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</si>
  <si>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）；本分解不是定義式，未解釋部分的來源不可由本表得知（高）</t>
    </r>
  </si>
  <si>
    <t xml:space="preserve">IF_ProdDerate</t>
  </si>
  <si>
    <t xml:space="preserve">TK_IF_ProdDerate</t>
  </si>
  <si>
    <r>
      <rPr>
        <sz val="10"/>
        <color rgb="FF000000"/>
        <rFont val="Noto Sans CJK SC"/>
        <family val="2"/>
      </rPr>
      <t xml:space="preserve">生產折減（線性；＝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；其他世代的重解比待補，下游暫用本列；基準）　</t>
    </r>
    <r>
      <rPr>
        <sz val="10"/>
        <color rgb="FF000000"/>
        <rFont val="Arial"/>
        <family val="0"/>
        <charset val="1"/>
      </rPr>
      <t xml:space="preserve">[IF_ProdDerate]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v20.0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欄＝效率區間 </t>
    </r>
    <r>
      <rPr>
        <sz val="10"/>
        <color rgb="FF000000"/>
        <rFont val="Arial"/>
        <family val="0"/>
        <charset val="1"/>
      </rPr>
      <t xml:space="preserve">AL_ProdDerate_Lo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欄不變）</t>
    </r>
  </si>
  <si>
    <r>
      <rPr>
        <b val="true"/>
        <sz val="13"/>
        <rFont val="Arial"/>
        <family val="0"/>
        <charset val="1"/>
      </rPr>
      <t xml:space="preserve">OAI_Link — OpenAI v0.6 </t>
    </r>
    <r>
      <rPr>
        <b val="true"/>
        <sz val="13"/>
        <rFont val="Noto Sans CJK SC"/>
        <family val="2"/>
      </rPr>
      <t xml:space="preserve">命題輸出快照（規格 </t>
    </r>
    <r>
      <rPr>
        <b val="true"/>
        <sz val="13"/>
        <rFont val="Arial"/>
        <family val="0"/>
        <charset val="1"/>
      </rPr>
      <t xml:space="preserve">D20</t>
    </r>
    <r>
      <rPr>
        <b val="true"/>
        <sz val="13"/>
        <rFont val="Noto Sans CJK SC"/>
        <family val="2"/>
      </rPr>
      <t xml:space="preserve">；只作並排對照）</t>
    </r>
  </si>
  <si>
    <r>
      <rPr>
        <sz val="9"/>
        <color rgb="FF595959"/>
        <rFont val="Noto Sans CJK SC"/>
        <family val="2"/>
      </rPr>
      <t xml:space="preserve">值由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活頁簿的快取值讀出寫入（藍字）。本頁只被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A5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）引用，任何計算頁不得引用（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掃描結果；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每次重驗）。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</si>
  <si>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為其實際校準年。注意：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Tokenomics v5.26 </t>
    </r>
    <r>
      <rPr>
        <sz val="9"/>
        <color rgb="FF595959"/>
        <rFont val="Noto Sans CJK SC"/>
        <family val="2"/>
      </rPr>
      <t xml:space="preserve">快照，本模型自 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起用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）；兩家的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、供給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產能口徑因此不同，並排對照時差異有一部分來自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版本，而非公司本身。</t>
    </r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</si>
  <si>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檔案</t>
    </r>
  </si>
  <si>
    <t xml:space="preserve">20261008_OpenAI_v0.6.xlsx</t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</si>
  <si>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SHA-256</t>
    </r>
  </si>
  <si>
    <t xml:space="preserve">34fc34a7ea2c18e8f608356ca462d8bd208496ca61780589b559fd2efc6597fe</t>
  </si>
  <si>
    <r>
      <rPr>
        <b val="true"/>
        <sz val="10"/>
        <rFont val="Arial"/>
        <family val="0"/>
        <charset val="1"/>
      </rPr>
      <t xml:space="preserve">git </t>
    </r>
    <r>
      <rPr>
        <b val="true"/>
        <sz val="10"/>
        <rFont val="Noto Sans CJK SC"/>
        <family val="2"/>
      </rPr>
      <t xml:space="preserve">提交（建置時）</t>
    </r>
  </si>
  <si>
    <t xml:space="preserve">f41bf685279cc96e84ca268df076001d02787663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</si>
  <si>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名稱</t>
    </r>
  </si>
  <si>
    <t xml:space="preserve">2027</t>
  </si>
  <si>
    <t xml:space="preserve">2029</t>
  </si>
  <si>
    <t xml:space="preserve">2030</t>
  </si>
  <si>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位置</t>
    </r>
  </si>
  <si>
    <t xml:space="preserve">REV_Gross</t>
  </si>
  <si>
    <t xml:space="preserve">OAI_REV_Gross</t>
  </si>
  <si>
    <t xml:space="preserve">營收總額</t>
  </si>
  <si>
    <t xml:space="preserve">Revenue!$D$38:$I$38</t>
  </si>
  <si>
    <t xml:space="preserve">REV_Net</t>
  </si>
  <si>
    <t xml:space="preserve">OAI_REV_Net</t>
  </si>
  <si>
    <r>
      <rPr>
        <sz val="10"/>
        <color rgb="FF000000"/>
        <rFont val="Noto Sans CJK SC"/>
        <family val="2"/>
      </rPr>
      <t xml:space="preserve">營收淨額（扣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</si>
  <si>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Revenue!$D$41:$I$41</t>
  </si>
  <si>
    <t xml:space="preserve">REV_NetCapped</t>
  </si>
  <si>
    <t xml:space="preserve">OAI_REV_NetCapped</t>
  </si>
  <si>
    <t xml:space="preserve">營收淨額（容量截頂後）</t>
  </si>
  <si>
    <t xml:space="preserve">Revenue!$D$77:$I$77</t>
  </si>
  <si>
    <t xml:space="preserve">REV_Sub</t>
  </si>
  <si>
    <t xml:space="preserve">OAI_REV_Sub</t>
  </si>
  <si>
    <t xml:space="preserve">訂閱營收</t>
  </si>
  <si>
    <t xml:space="preserve">Revenue!$D$27:$I$27</t>
  </si>
  <si>
    <t xml:space="preserve">REV_API</t>
  </si>
  <si>
    <t xml:space="preserve">OAI_REV_API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</si>
  <si>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</si>
  <si>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Revenue!$D$34:$I$34</t>
  </si>
  <si>
    <t xml:space="preserve">DEM_Tok_Total</t>
  </si>
  <si>
    <t xml:space="preserve">OAI_DEM_Tok_Total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</si>
  <si>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</si>
  <si>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T</t>
  </si>
  <si>
    <t xml:space="preserve">Demand!$D$51:$I$51</t>
  </si>
  <si>
    <t xml:space="preserve">CMP_SupplyGW</t>
  </si>
  <si>
    <t xml:space="preserve">OAI_CMP_SupplyGW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</si>
  <si>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</si>
  <si>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Compute!$D$87:$I$87</t>
  </si>
  <si>
    <t xml:space="preserve">CMP_Supply_VReq</t>
  </si>
  <si>
    <t xml:space="preserve">OAI_CMP_Supply_VReq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</si>
  <si>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</si>
  <si>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t xml:space="preserve">Compute!$D$99:$I$99</t>
  </si>
  <si>
    <t xml:space="preserve">COST_Compute</t>
  </si>
  <si>
    <t xml:space="preserve">OAI_COST_Compute</t>
  </si>
  <si>
    <t xml:space="preserve">算力成本（現金）</t>
  </si>
  <si>
    <t xml:space="preserve">Cost!$D$27:$I$27</t>
  </si>
  <si>
    <t xml:space="preserve">COST_FullCash</t>
  </si>
  <si>
    <t xml:space="preserve">OAI_COST_FullCash</t>
  </si>
  <si>
    <t xml:space="preserve">全成本（現金，含股權報酬）</t>
  </si>
  <si>
    <t xml:space="preserve">Cost!$D$87:$I$87</t>
  </si>
  <si>
    <t xml:space="preserve">COST_PropRev_VR</t>
  </si>
  <si>
    <t xml:space="preserve">OAI_COST_PropRev_VR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</si>
  <si>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</si>
  <si>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Cost!$D$90:$I$90</t>
  </si>
  <si>
    <t xml:space="preserve">COST_PropFull_VR</t>
  </si>
  <si>
    <t xml:space="preserve">OAI_COST_PropFull_VR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</si>
  <si>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全成本</t>
    </r>
  </si>
  <si>
    <t xml:space="preserve">Cost!$D$94:$I$94</t>
  </si>
  <si>
    <t xml:space="preserve">COST_PropGap_VR</t>
  </si>
  <si>
    <t xml:space="preserve">OAI_COST_PropGap_VR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</si>
  <si>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</si>
  <si>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Cost!$D$96:$I$96</t>
  </si>
  <si>
    <t xml:space="preserve">COST_Coverage</t>
  </si>
  <si>
    <t xml:space="preserve">OAI_COST_Coverage</t>
  </si>
  <si>
    <r>
      <rPr>
        <sz val="10"/>
        <color rgb="FF000000"/>
        <rFont val="Noto Sans CJK SC"/>
        <family val="2"/>
      </rPr>
      <t xml:space="preserve">覆蓋率（營收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</si>
  <si>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Cost!$D$98:$I$98</t>
  </si>
  <si>
    <t xml:space="preserve">FND_ExtNeed</t>
  </si>
  <si>
    <t xml:space="preserve">OAI_FND_ExtNeed</t>
  </si>
  <si>
    <t xml:space="preserve">外部資金需求（當年）</t>
  </si>
  <si>
    <t xml:space="preserve">Funding!$D$29:$I$29</t>
  </si>
  <si>
    <t xml:space="preserve">FND_ExtNeedCum</t>
  </si>
  <si>
    <t xml:space="preserve">OAI_FND_ExtNeedCum</t>
  </si>
  <si>
    <r>
      <rPr>
        <sz val="10"/>
        <color rgb="FF000000"/>
        <rFont val="Noto Sans CJK SC"/>
        <family val="2"/>
      </rPr>
      <t xml:space="preserve">累計外部資金需求（命題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</si>
  <si>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Funding!$D$31:$I$31</t>
  </si>
  <si>
    <t xml:space="preserve">FND_CashEnd</t>
  </si>
  <si>
    <t xml:space="preserve">OAI_FND_CashEnd</t>
  </si>
  <si>
    <t xml:space="preserve">年底現金</t>
  </si>
  <si>
    <t xml:space="preserve">Funding!$D$30:$I$30</t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</si>
  <si>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假設輸入（藍字）：值、低、高、標記、依據、區間理由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</si>
  <si>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一律附區間（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欄檢查）；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為定義常數或開關（低＝高＝值）。來源 </t>
    </r>
    <r>
      <rPr>
        <sz val="9"/>
        <color rgb="FF595959"/>
        <rFont val="Arial"/>
        <family val="0"/>
        <charset val="1"/>
      </rPr>
      <t xml:space="preserve">data/anthropic_inputs.yaml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固定。</t>
    </r>
  </si>
  <si>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同類參數作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者，依據欄寫明「</t>
    </r>
    <r>
      <rPr>
        <sz val="9"/>
        <color rgb="FF595959"/>
        <rFont val="Arial"/>
        <family val="0"/>
        <charset val="1"/>
      </rPr>
      <t xml:space="preserve">OpenAI v0.6 INP_nnn</t>
    </r>
    <r>
      <rPr>
        <sz val="9"/>
        <color rgb="FF595959"/>
        <rFont val="Noto Sans CJK SC"/>
        <family val="2"/>
      </rPr>
      <t xml:space="preserve">」與差異。</t>
    </r>
  </si>
  <si>
    <t xml:space="preserve">INP_ID</t>
  </si>
  <si>
    <t xml:space="preserve">參數</t>
  </si>
  <si>
    <t xml:space="preserve">依據</t>
  </si>
  <si>
    <t xml:space="preserve">區間理由</t>
  </si>
  <si>
    <t xml:space="preserve">用途／備註</t>
  </si>
  <si>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缺區間（公式）</t>
    </r>
  </si>
  <si>
    <t xml:space="preserve">INP_001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</si>
  <si>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</si>
  <si>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</si>
  <si>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Decision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</si>
  <si>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為實際校準年（規格 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）</t>
    </r>
  </si>
  <si>
    <t xml:space="preserve">定義值</t>
  </si>
  <si>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列年度</t>
    </r>
  </si>
  <si>
    <t xml:space="preserve">year_2025</t>
  </si>
  <si>
    <t xml:space="preserve">INP_002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</si>
  <si>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</si>
  <si>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為半校準年（規格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</si>
  <si>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year_2026</t>
  </si>
  <si>
    <t xml:space="preserve">INP_003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</si>
  <si>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</si>
  <si>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曆年制</t>
  </si>
  <si>
    <t xml:space="preserve">year_2027</t>
  </si>
  <si>
    <t xml:space="preserve">INP_004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</si>
  <si>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</si>
  <si>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year_2028</t>
  </si>
  <si>
    <t xml:space="preserve">INP_005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</si>
  <si>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</si>
  <si>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year_2029</t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</si>
  <si>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</si>
  <si>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</si>
  <si>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year_2030</t>
  </si>
  <si>
    <t xml:space="preserve">INP_007</t>
  </si>
  <si>
    <t xml:space="preserve">每年天數（定義常數）</t>
  </si>
  <si>
    <t xml:space="preserve">—</t>
  </si>
  <si>
    <t xml:space="preserve">天</t>
  </si>
  <si>
    <t xml:space="preserve">定義常數</t>
  </si>
  <si>
    <t xml:space="preserve">不適用</t>
  </si>
  <si>
    <r>
      <rPr>
        <sz val="10"/>
        <color rgb="FF000000"/>
        <rFont val="Noto Sans CJK SC"/>
        <family val="2"/>
      </rPr>
      <t xml:space="preserve">每日任務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天數 → 年 </t>
    </r>
    <r>
      <rPr>
        <sz val="10"/>
        <color rgb="FF000000"/>
        <rFont val="Arial"/>
        <family val="0"/>
        <charset val="1"/>
      </rPr>
      <t xml:space="preserve">token</t>
    </r>
  </si>
  <si>
    <t xml:space="preserve">days_per_year</t>
  </si>
  <si>
    <t xml:space="preserve">INP_008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</si>
  <si>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</si>
  <si>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</si>
  <si>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 → </t>
    </r>
    <r>
      <rPr>
        <sz val="10"/>
        <color rgb="FF000000"/>
        <rFont val="Noto Sans CJK SC"/>
        <family val="2"/>
      </rPr>
      <t xml:space="preserve">年營收</t>
    </r>
  </si>
  <si>
    <t xml:space="preserve">months_per_year</t>
  </si>
  <si>
    <t xml:space="preserve">INP_009</t>
  </si>
  <si>
    <t xml:space="preserve">下半年月數（定義常數）</t>
  </si>
  <si>
    <r>
      <rPr>
        <sz val="10"/>
        <color rgb="FF000000"/>
        <rFont val="Noto Sans CJK SC"/>
        <family val="2"/>
      </rPr>
      <t xml:space="preserve">定義常數；規格 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「下半年＝最新年化營收 </t>
    </r>
    <r>
      <rPr>
        <sz val="10"/>
        <color rgb="FF000000"/>
        <rFont val="Arial"/>
        <family val="0"/>
        <charset val="1"/>
      </rPr>
      <t xml:space="preserve">÷ 2</t>
    </r>
    <r>
      <rPr>
        <sz val="10"/>
        <color rgb="FF000000"/>
        <rFont val="Noto Sans CJK SC"/>
        <family val="2"/>
      </rPr>
      <t xml:space="preserve">」＝年化 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</si>
  <si>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</t>
    </r>
  </si>
  <si>
    <t xml:space="preserve">h2_months</t>
  </si>
  <si>
    <t xml:space="preserve">INP_010</t>
  </si>
  <si>
    <t xml:space="preserve">年度起始月（定義常數）</t>
  </si>
  <si>
    <r>
      <rPr>
        <sz val="10"/>
        <color rgb="FF000000"/>
        <rFont val="Arial"/>
        <family val="0"/>
        <charset val="1"/>
      </rPr>
      <t xml:space="preserve">DATE(</t>
    </r>
    <r>
      <rPr>
        <sz val="10"/>
        <color rgb="FF000000"/>
        <rFont val="Noto Sans CJK SC"/>
        <family val="2"/>
      </rPr>
      <t xml:space="preserve">年度</t>
    </r>
  </si>
  <si>
    <t xml:space="preserve">fy_start_month</t>
  </si>
  <si>
    <t xml:space="preserve">INP_011</t>
  </si>
  <si>
    <t xml:space="preserve">年度起始日（定義常數）</t>
  </si>
  <si>
    <t xml:space="preserve">日</t>
  </si>
  <si>
    <t xml:space="preserve">同上</t>
  </si>
  <si>
    <t xml:space="preserve">fy_start_day</t>
  </si>
  <si>
    <t xml:space="preserve">INP_012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</si>
  <si>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</si>
  <si>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</si>
  <si>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月費 </t>
    </r>
    <r>
      <rPr>
        <sz val="10"/>
        <color rgb="FF000000"/>
        <rFont val="Arial"/>
        <family val="0"/>
        <charset val="1"/>
      </rPr>
      <t xml:space="preserve">× 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</t>
    </r>
  </si>
  <si>
    <t xml:space="preserve">m_to_b</t>
  </si>
  <si>
    <t xml:space="preserve">INP_013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</si>
  <si>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</si>
  <si>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</si>
  <si>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K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token</t>
    </r>
  </si>
  <si>
    <t xml:space="preserve">b_to_t</t>
  </si>
  <si>
    <t xml:space="preserve">INP_014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</si>
  <si>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月費合約期間（月）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</si>
  <si>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期間「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」＝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個月（定義值）</t>
    </r>
  </si>
  <si>
    <t xml:space="preserve">由揭露期間換算，不另設區間</t>
  </si>
  <si>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</t>
    </r>
  </si>
  <si>
    <t xml:space="preserve">spacex_term_months</t>
  </si>
  <si>
    <t xml:space="preserve">INP_015</t>
  </si>
  <si>
    <t xml:space="preserve">價格彈性起算年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</si>
  <si>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校準年、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半校準年（</t>
    </r>
    <r>
      <rPr>
        <sz val="10"/>
        <color rgb="FF000000"/>
        <rFont val="Arial"/>
        <family val="0"/>
        <charset val="1"/>
      </rPr>
      <t xml:space="preserve">D14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）不套彈性；同 </t>
    </r>
    <r>
      <rPr>
        <sz val="10"/>
        <color rgb="FF000000"/>
        <rFont val="Arial"/>
        <family val="0"/>
        <charset val="1"/>
      </rPr>
      <t xml:space="preserve">OpenAI v0.6 INP_004</t>
    </r>
  </si>
  <si>
    <r>
      <rPr>
        <sz val="10"/>
        <color rgb="FF000000"/>
        <rFont val="Arial"/>
        <family val="0"/>
        <charset val="1"/>
      </rPr>
      <t xml:space="preserve">Demand API </t>
    </r>
    <r>
      <rPr>
        <sz val="10"/>
        <color rgb="FF000000"/>
        <rFont val="Noto Sans CJK SC"/>
        <family val="2"/>
      </rPr>
      <t xml:space="preserve">第三節</t>
    </r>
  </si>
  <si>
    <t xml:space="preserve">elasticity_start_year</t>
  </si>
  <si>
    <t xml:space="preserve">INP_017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</si>
  <si>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</si>
  <si>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公開承諾 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不放廣告，不設驅動</t>
    </r>
  </si>
  <si>
    <t xml:space="preserve">公司公開立場；若反轉再加驅動</t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</si>
  <si>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第八節</t>
    </r>
  </si>
  <si>
    <t xml:space="preserve">ads_revenue</t>
  </si>
  <si>
    <t xml:space="preserve">INP_018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</si>
  <si>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年營收對里程碑推估差距的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</si>
  <si>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2026 run-rate </t>
    </r>
    <r>
      <rPr>
        <sz val="10"/>
        <color rgb="FF000000"/>
        <rFont val="Noto Sans CJK SC"/>
        <family val="2"/>
      </rPr>
      <t xml:space="preserve">對照差距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（規格 </t>
    </r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）</t>
    </r>
  </si>
  <si>
    <t xml:space="preserve">工作單定值</t>
  </si>
  <si>
    <t xml:space="preserve">runrate_warn_threshold</t>
  </si>
  <si>
    <t xml:space="preserve">INP_180</t>
  </si>
  <si>
    <r>
      <rPr>
        <sz val="10"/>
        <color rgb="FF000000"/>
        <rFont val="Arial"/>
        <family val="0"/>
        <charset val="1"/>
      </rPr>
      <t xml:space="preserve">U1 D15 r2 </t>
    </r>
    <r>
      <rPr>
        <sz val="10"/>
        <color rgb="FF000000"/>
        <rFont val="Noto Sans CJK SC"/>
        <family val="2"/>
      </rPr>
      <t xml:space="preserve">半校準開關（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</si>
  <si>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開關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</si>
  <si>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U1</t>
    </r>
    <r>
      <rPr>
        <sz val="10"/>
        <color rgb="FF000000"/>
        <rFont val="Noto Sans CJK SC"/>
        <family val="2"/>
      </rPr>
      <t xml:space="preserve">；規格 </t>
    </r>
    <r>
      <rPr>
        <sz val="10"/>
        <color rgb="FF000000"/>
        <rFont val="Arial"/>
        <family val="0"/>
        <charset val="1"/>
      </rPr>
      <t xml:space="preserve">D15 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投資人簡報已給上半年與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實際）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</si>
  <si>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可逐位元重現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基準（回歸測試）</t>
    </r>
  </si>
  <si>
    <t xml:space="preserve">u1_switch</t>
  </si>
  <si>
    <t xml:space="preserve">INP_181</t>
  </si>
  <si>
    <r>
      <rPr>
        <sz val="10"/>
        <color rgb="FF000000"/>
        <rFont val="Arial"/>
        <family val="0"/>
        <charset val="1"/>
      </rPr>
      <t xml:space="preserve">U1 2026 Q4 </t>
    </r>
    <r>
      <rPr>
        <sz val="10"/>
        <color rgb="FF000000"/>
        <rFont val="Noto Sans CJK SC"/>
        <family val="2"/>
      </rPr>
      <t xml:space="preserve">營收相對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的成長率（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＝持平，保守）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</si>
  <si>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預設：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持平（保守；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）；替代 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）＝＋</t>
    </r>
    <r>
      <rPr>
        <sz val="10"/>
        <color rgb="FF000000"/>
        <rFont val="Arial"/>
        <family val="0"/>
        <charset val="1"/>
      </rPr>
      <t xml:space="preserve">44.8%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11.6 − 1</t>
    </r>
    <r>
      <rPr>
        <sz val="10"/>
        <color rgb="FF000000"/>
        <rFont val="Noto Sans CJK SC"/>
        <family val="2"/>
      </rPr>
      <t xml:space="preserve">）即區間上緣；替代『最新年化 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』在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年化口徑下亦等於持平</t>
    </r>
  </si>
  <si>
    <r>
      <rPr>
        <sz val="10"/>
        <color rgb="FF000000"/>
        <rFont val="Noto Sans CJK SC"/>
        <family val="2"/>
      </rPr>
      <t xml:space="preserve">下緣＝持平；上緣＝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季增幅（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Q2 − 1</t>
    </r>
    <r>
      <rPr>
        <sz val="10"/>
        <color rgb="FF000000"/>
        <rFont val="Noto Sans CJK SC"/>
        <family val="2"/>
      </rPr>
      <t xml:space="preserve">）延續一季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</si>
  <si>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</si>
  <si>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q4_growth</t>
  </si>
  <si>
    <t xml:space="preserve">INP_182</t>
  </si>
  <si>
    <r>
      <rPr>
        <sz val="10"/>
        <color rgb="FF000000"/>
        <rFont val="Arial"/>
        <family val="0"/>
        <charset val="1"/>
      </rPr>
      <t xml:space="preserve">U2 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 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$86B</t>
    </r>
    <r>
      <rPr>
        <sz val="10"/>
        <color rgb="FF000000"/>
        <rFont val="Noto Sans CJK SC"/>
        <family val="2"/>
      </rPr>
      <t xml:space="preserve">』開關（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＝兩約合計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，依既有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比例分攤、皆為金額型；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各自公告值 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</si>
  <si>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</si>
  <si>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的兩約口徑</t>
    </r>
  </si>
  <si>
    <t xml:space="preserve">u2_switch</t>
  </si>
  <si>
    <t xml:space="preserve">INP_183</t>
  </si>
  <si>
    <r>
      <rPr>
        <sz val="10"/>
        <color rgb="FF000000"/>
        <rFont val="Arial"/>
        <family val="0"/>
        <charset val="1"/>
      </rPr>
      <t xml:space="preserve">U4 2026 </t>
    </r>
    <r>
      <rPr>
        <sz val="10"/>
        <color rgb="FF000000"/>
        <rFont val="Noto Sans CJK SC"/>
        <family val="2"/>
      </rPr>
      <t xml:space="preserve">算力支出對照（報導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模型）差距的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</si>
  <si>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20261021 U4</t>
    </r>
    <r>
      <rPr>
        <sz val="10"/>
        <color rgb="FF000000"/>
        <rFont val="Noto Sans CJK SC"/>
        <family val="2"/>
      </rPr>
      <t xml:space="preserve">：差距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與共同規則的 </t>
    </r>
    <r>
      <rPr>
        <sz val="10"/>
        <color rgb="FF000000"/>
        <rFont val="Arial"/>
        <family val="0"/>
        <charset val="1"/>
      </rPr>
      <t xml:space="preserve">25%</t>
    </r>
    <r>
      <rPr>
        <sz val="10"/>
        <color rgb="FF000000"/>
        <rFont val="Noto Sans CJK SC"/>
        <family val="2"/>
      </rPr>
      <t xml:space="preserve">）</t>
    </r>
  </si>
  <si>
    <t xml:space="preserve">門檻</t>
  </si>
  <si>
    <t xml:space="preserve">spend_warn_threshold</t>
  </si>
  <si>
    <t xml:space="preserve">INP_019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</si>
  <si>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</si>
  <si>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判斷類預設（年付占比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年付月均 </t>
    </r>
    <r>
      <rPr>
        <sz val="10"/>
        <color rgb="FF000000"/>
        <rFont val="Arial"/>
        <family val="0"/>
        <charset val="1"/>
      </rPr>
      <t xml:space="preserve">$17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</si>
  <si>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工作單預設區間 </t>
    </r>
    <r>
      <rPr>
        <sz val="10"/>
        <color rgb="FF000000"/>
        <rFont val="Arial"/>
        <family val="0"/>
        <charset val="1"/>
      </rPr>
      <t xml:space="preserve">0.1–0.5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</si>
  <si>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實收月費＝月付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占比）＋年付月均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占比</t>
    </r>
  </si>
  <si>
    <t xml:space="preserve">pro_annual_share</t>
  </si>
  <si>
    <t xml:space="preserve">INP_020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</si>
  <si>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年付占比（標準與 </t>
    </r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</si>
  <si>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年付占比（工作單預設）；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年付 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 vs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SRC_ANT_146–149</t>
    </r>
    <r>
      <rPr>
        <sz val="10"/>
        <color rgb="FF000000"/>
        <rFont val="Noto Sans CJK SC"/>
        <family val="2"/>
      </rPr>
      <t xml:space="preserve">）</t>
    </r>
  </si>
  <si>
    <t xml:space="preserve">team_annual_share</t>
  </si>
  <si>
    <t xml:space="preserve">INP_021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</si>
  <si>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</si>
  <si>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方案別人數未揭露（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方案 </t>
    </r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才上市（</t>
    </r>
    <r>
      <rPr>
        <sz val="10"/>
        <color rgb="FF000000"/>
        <rFont val="Arial"/>
        <family val="0"/>
        <charset val="1"/>
      </rPr>
      <t xml:space="preserve">SRC_ANT_145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年均以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為主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</si>
  <si>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上市後占比未知，給 </t>
    </r>
    <r>
      <rPr>
        <sz val="10"/>
        <color rgb="FF000000"/>
        <rFont val="Arial"/>
        <family val="0"/>
        <charset val="1"/>
      </rPr>
      <t xml:space="preserve">±0.1</t>
    </r>
  </si>
  <si>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Pro − Max 5x</t>
    </r>
  </si>
  <si>
    <t xml:space="preserve">cons_mix_pro_2025</t>
  </si>
  <si>
    <t xml:space="preserve">INP_022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</si>
  <si>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占付費人數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</si>
  <si>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）多於 </t>
    </r>
    <r>
      <rPr>
        <sz val="10"/>
        <color rgb="FF000000"/>
        <rFont val="Arial"/>
        <family val="0"/>
        <charset val="1"/>
      </rPr>
      <t xml:space="preserve">Max 20x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）</t>
    </r>
  </si>
  <si>
    <t xml:space="preserve">上市首年占比低</t>
  </si>
  <si>
    <t xml:space="preserve">cons_mix_max5_2025</t>
  </si>
  <si>
    <t xml:space="preserve">INP_023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</si>
  <si>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</si>
  <si>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帶動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 </t>
    </r>
    <r>
      <rPr>
        <sz val="10"/>
        <color rgb="FF000000"/>
        <rFont val="Arial"/>
        <family val="0"/>
        <charset val="1"/>
      </rPr>
      <t xml:space="preserve">2025-08 $0.5B → 2026-02 $2.5B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；企業占一半 </t>
    </r>
    <r>
      <rPr>
        <sz val="10"/>
        <color rgb="FF000000"/>
        <rFont val="Arial"/>
        <family val="0"/>
        <charset val="1"/>
      </rPr>
      <t xml:space="preserve">SRC_ANT_059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</si>
  <si>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占比可能更高或回落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</si>
  <si>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起沿用</t>
    </r>
  </si>
  <si>
    <t xml:space="preserve">cons_mix_pro_2026</t>
  </si>
  <si>
    <t xml:space="preserve">INP_024</t>
  </si>
  <si>
    <t xml:space="preserve">cons_mix_max5_2026</t>
  </si>
  <si>
    <t xml:space="preserve">INP_025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</si>
  <si>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標準席位占席位數</t>
    </r>
  </si>
  <si>
    <r>
      <rPr>
        <sz val="10"/>
        <color rgb="FF000000"/>
        <rFont val="Noto Sans CJK SC"/>
        <family val="2"/>
      </rPr>
      <t xml:space="preserve">席位別數量未揭露；大單（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175</t>
    </r>
    <r>
      <rPr>
        <sz val="10"/>
        <color rgb="FF000000"/>
        <rFont val="Noto Sans CJK SC"/>
        <family val="2"/>
      </rPr>
      <t xml:space="preserve">）多為 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</si>
  <si>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±0.2</t>
  </si>
  <si>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標準 − </t>
    </r>
    <r>
      <rPr>
        <sz val="10"/>
        <color rgb="FF000000"/>
        <rFont val="Arial"/>
        <family val="0"/>
        <charset val="1"/>
      </rPr>
      <t xml:space="preserve">Premium</t>
    </r>
  </si>
  <si>
    <t xml:space="preserve">seat_mix_std_2025</t>
  </si>
  <si>
    <t xml:space="preserve">INP_026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</si>
  <si>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席位占席位數</t>
    </r>
  </si>
  <si>
    <r>
      <rPr>
        <sz val="10"/>
        <color rgb="FF000000"/>
        <rFont val="Arial"/>
        <family val="0"/>
        <charset val="1"/>
      </rPr>
      <t xml:space="preserve">Premium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）以開發者為主</t>
    </r>
  </si>
  <si>
    <t xml:space="preserve">seat_mix_prem_2025</t>
  </si>
  <si>
    <t xml:space="preserve">INP_027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</si>
  <si>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大型企業部署（</t>
    </r>
    <r>
      <rPr>
        <sz val="10"/>
        <color rgb="FF000000"/>
        <rFont val="Arial"/>
        <family val="0"/>
        <charset val="1"/>
      </rPr>
      <t xml:space="preserve">TCS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TELUS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Barclays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SRC_ANT_178–180</t>
    </r>
    <r>
      <rPr>
        <sz val="10"/>
        <color rgb="FF000000"/>
        <rFont val="Noto Sans CJK SC"/>
        <family val="2"/>
      </rPr>
      <t xml:space="preserve">）使 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占比上升</t>
    </r>
  </si>
  <si>
    <t xml:space="preserve">±0.15</t>
  </si>
  <si>
    <t xml:space="preserve">seat_mix_std_2026</t>
  </si>
  <si>
    <t xml:space="preserve">INP_028</t>
  </si>
  <si>
    <t xml:space="preserve">seat_mix_prem_2026</t>
  </si>
  <si>
    <t xml:space="preserve">INP_029</t>
  </si>
  <si>
    <r>
      <rPr>
        <sz val="10"/>
        <color rgb="FF000000"/>
        <rFont val="Noto Sans CJK SC"/>
        <family val="2"/>
      </rPr>
      <t xml:space="preserve">個人付費轉換率（付費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月活；只用於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未校準對照）</t>
    </r>
  </si>
  <si>
    <r>
      <rPr>
        <sz val="10"/>
        <color rgb="FF000000"/>
        <rFont val="Arial"/>
        <family val="0"/>
        <charset val="1"/>
      </rPr>
      <t xml:space="preserve">OpenAI ChatGPT </t>
    </r>
    <r>
      <rPr>
        <sz val="10"/>
        <color rgb="FF000000"/>
        <rFont val="Noto Sans CJK SC"/>
        <family val="2"/>
      </rPr>
      <t xml:space="preserve">付費約占週活 </t>
    </r>
    <r>
      <rPr>
        <sz val="10"/>
        <color rgb="FF000000"/>
        <rFont val="Arial"/>
        <family val="0"/>
        <charset val="1"/>
      </rPr>
      <t xml:space="preserve">4–5%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v0.6 SRC_OAI 35M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700–800M </t>
    </r>
    <r>
      <rPr>
        <sz val="10"/>
        <color rgb="FF000000"/>
        <rFont val="Noto Sans CJK SC"/>
        <family val="2"/>
      </rPr>
      <t xml:space="preserve">週活）；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付費人數不揭露（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</si>
  <si>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訂閱常見 </t>
    </r>
    <r>
      <rPr>
        <sz val="10"/>
        <color rgb="FF000000"/>
        <rFont val="Arial"/>
        <family val="0"/>
        <charset val="1"/>
      </rPr>
      <t xml:space="preserve">3–8%</t>
    </r>
  </si>
  <si>
    <r>
      <rPr>
        <sz val="10"/>
        <color rgb="FF000000"/>
        <rFont val="Noto Sans CJK SC"/>
        <family val="2"/>
      </rPr>
      <t xml:space="preserve">只進 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第十一節未校準列，不進基準</t>
    </r>
  </si>
  <si>
    <t xml:space="preserve">paid_conv_2025</t>
  </si>
  <si>
    <t xml:space="preserve">INP_030</t>
  </si>
  <si>
    <t xml:space="preserve">個人付費人數年增率</t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</si>
  <si>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</si>
  <si>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「付費訂閱今年以來已翻倍以上」（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SRC_ANT_169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月活年增 </t>
    </r>
    <r>
      <rPr>
        <sz val="10"/>
        <color rgb="FF000000"/>
        <rFont val="Arial"/>
        <family val="0"/>
        <charset val="1"/>
      </rPr>
      <t xml:space="preserve">640%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SRC_ANT_171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FY </t>
    </r>
    <r>
      <rPr>
        <sz val="10"/>
        <color rgb="FF000000"/>
        <rFont val="Noto Sans CJK SC"/>
        <family val="2"/>
      </rPr>
      <t xml:space="preserve">平均，年初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個月已 </t>
    </r>
    <r>
      <rPr>
        <sz val="10"/>
        <color rgb="FF000000"/>
        <rFont val="Arial"/>
        <family val="0"/>
        <charset val="1"/>
      </rPr>
      <t xml:space="preserve">×2</t>
    </r>
  </si>
  <si>
    <r>
      <rPr>
        <sz val="10"/>
        <color rgb="FF000000"/>
        <rFont val="Noto Sans CJK SC"/>
        <family val="2"/>
      </rPr>
      <t xml:space="preserve">下限＝全年只再小幅成長；上限＝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月活增速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</si>
  <si>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只影響訂閱與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的拆分（總額由 </t>
    </r>
    <r>
      <rPr>
        <sz val="10"/>
        <color rgb="FF000000"/>
        <rFont val="Arial"/>
        <family val="0"/>
        <charset val="1"/>
      </rPr>
      <t xml:space="preserve">D15 r1 </t>
    </r>
    <r>
      <rPr>
        <sz val="10"/>
        <color rgb="FF000000"/>
        <rFont val="Noto Sans CJK SC"/>
        <family val="2"/>
      </rPr>
      <t xml:space="preserve">半校準決定）</t>
    </r>
  </si>
  <si>
    <t xml:space="preserve">g_cons_2026</t>
  </si>
  <si>
    <t xml:space="preserve">INP_031</t>
  </si>
  <si>
    <t xml:space="preserve">成長遞減；不以公司目標反推</t>
  </si>
  <si>
    <t xml:space="preserve">±0.3–0.4</t>
  </si>
  <si>
    <t xml:space="preserve">g_cons_2027</t>
  </si>
  <si>
    <t xml:space="preserve">INP_032</t>
  </si>
  <si>
    <t xml:space="preserve">g_cons_2028</t>
  </si>
  <si>
    <t xml:space="preserve">INP_033</t>
  </si>
  <si>
    <t xml:space="preserve">g_cons_2029</t>
  </si>
  <si>
    <t xml:space="preserve">INP_034</t>
  </si>
  <si>
    <t xml:space="preserve">g_cons_2030</t>
  </si>
  <si>
    <t xml:space="preserve">INP_035</t>
  </si>
  <si>
    <t xml:space="preserve">免費人數年增率</t>
  </si>
  <si>
    <r>
      <rPr>
        <sz val="10"/>
        <color rgb="FF000000"/>
        <rFont val="Noto Sans CJK SC"/>
        <family val="2"/>
      </rPr>
      <t xml:space="preserve">消費者用戶 </t>
    </r>
    <r>
      <rPr>
        <sz val="10"/>
        <color rgb="FF000000"/>
        <rFont val="Arial"/>
        <family val="0"/>
        <charset val="1"/>
      </rPr>
      <t xml:space="preserve">1</t>
    </r>
  </si>
  <si>
    <t xml:space="preserve">第三方估計分歧大</t>
  </si>
  <si>
    <r>
      <rPr>
        <sz val="10"/>
        <color rgb="FF000000"/>
        <rFont val="Noto Sans CJK SC"/>
        <family val="2"/>
      </rPr>
      <t xml:space="preserve">免費只產生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算力），不產生營收</t>
    </r>
  </si>
  <si>
    <t xml:space="preserve">g_free_2026</t>
  </si>
  <si>
    <t xml:space="preserve">INP_036</t>
  </si>
  <si>
    <t xml:space="preserve">成長遞減</t>
  </si>
  <si>
    <t xml:space="preserve">±0.3</t>
  </si>
  <si>
    <t xml:space="preserve">g_free_2027</t>
  </si>
  <si>
    <t xml:space="preserve">INP_037</t>
  </si>
  <si>
    <t xml:space="preserve">g_free_2028</t>
  </si>
  <si>
    <t xml:space="preserve">INP_038</t>
  </si>
  <si>
    <t xml:space="preserve">g_free_2029</t>
  </si>
  <si>
    <t xml:space="preserve">INP_039</t>
  </si>
  <si>
    <t xml:space="preserve">g_free_2030</t>
  </si>
  <si>
    <t xml:space="preserve">INP_040</t>
  </si>
  <si>
    <t xml:space="preserve">企業席位數年增率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</si>
  <si>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起大單陸續部署（</t>
    </r>
    <r>
      <rPr>
        <sz val="10"/>
        <color rgb="FF000000"/>
        <rFont val="Arial"/>
        <family val="0"/>
        <charset val="1"/>
      </rPr>
      <t xml:space="preserve">Deloitte 47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Cognizant 35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TCS 5 </t>
    </r>
    <r>
      <rPr>
        <sz val="10"/>
        <color rgb="FF000000"/>
        <rFont val="Noto Sans CJK SC"/>
        <family val="2"/>
      </rPr>
      <t xml:space="preserve">萬、</t>
    </r>
    <r>
      <rPr>
        <sz val="10"/>
        <color rgb="FF000000"/>
        <rFont val="Arial"/>
        <family val="0"/>
        <charset val="1"/>
      </rPr>
      <t xml:space="preserve">TELUS 5.7 </t>
    </r>
    <r>
      <rPr>
        <sz val="10"/>
        <color rgb="FF000000"/>
        <rFont val="Noto Sans CJK SC"/>
        <family val="2"/>
      </rPr>
      <t xml:space="preserve">萬，</t>
    </r>
    <r>
      <rPr>
        <sz val="10"/>
        <color rgb="FF000000"/>
        <rFont val="Arial"/>
        <family val="0"/>
        <charset val="1"/>
      </rPr>
      <t xml:space="preserve">SRC_ANT_174–179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倒推席位約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萬</t>
    </r>
  </si>
  <si>
    <r>
      <rPr>
        <sz val="10"/>
        <color rgb="FF000000"/>
        <rFont val="Noto Sans CJK SC"/>
        <family val="2"/>
      </rPr>
      <t xml:space="preserve">大單部署時程與計費方式（席位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用量）不明</t>
    </r>
  </si>
  <si>
    <r>
      <rPr>
        <sz val="10"/>
        <color rgb="FF000000"/>
        <rFont val="Arial"/>
        <family val="0"/>
        <charset val="1"/>
      </rPr>
      <t xml:space="preserve">Enterprise 2026 </t>
    </r>
    <r>
      <rPr>
        <sz val="10"/>
        <color rgb="FF000000"/>
        <rFont val="Noto Sans CJK SC"/>
        <family val="2"/>
      </rPr>
      <t xml:space="preserve">起改「</t>
    </r>
    <r>
      <rPr>
        <sz val="10"/>
        <color rgb="FF000000"/>
        <rFont val="Arial"/>
        <family val="0"/>
        <charset val="1"/>
      </rPr>
      <t xml:space="preserve">$20 </t>
    </r>
    <r>
      <rPr>
        <sz val="10"/>
        <color rgb="FF000000"/>
        <rFont val="Noto Sans CJK SC"/>
        <family val="2"/>
      </rPr>
      <t xml:space="preserve">席位費＋用量按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計價」（</t>
    </r>
    <r>
      <rPr>
        <sz val="10"/>
        <color rgb="FF000000"/>
        <rFont val="Arial"/>
        <family val="0"/>
        <charset val="1"/>
      </rPr>
      <t xml:space="preserve">SRC_ANT_152</t>
    </r>
    <r>
      <rPr>
        <sz val="10"/>
        <color rgb="FF000000"/>
        <rFont val="Noto Sans CJK SC"/>
        <family val="2"/>
      </rPr>
      <t xml:space="preserve">），用量落在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</si>
  <si>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t xml:space="preserve">g_seats_2026</t>
  </si>
  <si>
    <t xml:space="preserve">INP_041</t>
  </si>
  <si>
    <t xml:space="preserve">±0.5</t>
  </si>
  <si>
    <t xml:space="preserve">g_seats_2027</t>
  </si>
  <si>
    <t xml:space="preserve">INP_042</t>
  </si>
  <si>
    <t xml:space="preserve">g_seats_2028</t>
  </si>
  <si>
    <t xml:space="preserve">INP_043</t>
  </si>
  <si>
    <t xml:space="preserve">g_seats_2029</t>
  </si>
  <si>
    <t xml:space="preserve">INP_044</t>
  </si>
  <si>
    <t xml:space="preserve">g_seats_2030</t>
  </si>
  <si>
    <t xml:space="preserve">INP_045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</si>
  <si>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</si>
  <si>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</si>
  <si>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OpenAI v0.6 INP_102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free 1.7</t>
    </r>
    <r>
      <rPr>
        <sz val="10"/>
        <color rgb="FF000000"/>
        <rFont val="Noto Sans CJK SC"/>
        <family val="2"/>
      </rPr>
      <t xml:space="preserve">）</t>
    </r>
  </si>
  <si>
    <t xml:space="preserve">×0.5–×2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</si>
  <si>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＋每日任務數年增率）</t>
    </r>
  </si>
  <si>
    <t xml:space="preserve">tasks_free</t>
  </si>
  <si>
    <t xml:space="preserve">INP_046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</si>
  <si>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</si>
  <si>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10"/>
        <color rgb="FF000000"/>
        <rFont val="Arial"/>
        <family val="0"/>
        <charset val="1"/>
      </rPr>
      <t xml:space="preserve">OpenAI v0.6 INP_106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 13.4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有用量上限（五小時窗）</t>
    </r>
  </si>
  <si>
    <t xml:space="preserve">tasks_pro</t>
  </si>
  <si>
    <t xml:space="preserve">INP_047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</si>
  <si>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5x</t>
    </r>
  </si>
  <si>
    <r>
      <rPr>
        <sz val="10"/>
        <color rgb="FF000000"/>
        <rFont val="Arial"/>
        <family val="0"/>
        <charset val="1"/>
      </rPr>
      <t xml:space="preserve">OpenAI v0.6 INP_108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 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</t>
    </r>
  </si>
  <si>
    <t xml:space="preserve">tasks_max5</t>
  </si>
  <si>
    <t xml:space="preserve">INP_048</t>
  </si>
  <si>
    <r>
      <rPr>
        <sz val="10"/>
        <color rgb="FF000000"/>
        <rFont val="Noto Sans CJK SC"/>
        <family val="2"/>
      </rPr>
      <t xml:space="preserve">每人每日任務數：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</si>
  <si>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用量上限為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倍</t>
    </r>
  </si>
  <si>
    <t xml:space="preserve">tasks_max20</t>
  </si>
  <si>
    <t xml:space="preserve">INP_049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</si>
  <si>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</si>
  <si>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）；企業席位使用率不均</t>
    </r>
  </si>
  <si>
    <t xml:space="preserve">tasks_team_std</t>
  </si>
  <si>
    <t xml:space="preserve">INP_050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</si>
  <si>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Team Premium</t>
    </r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</si>
  <si>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，開發者用量高於標準席位</t>
    </r>
  </si>
  <si>
    <t xml:space="preserve">tasks_team_prem</t>
  </si>
  <si>
    <t xml:space="preserve">INP_051</t>
  </si>
  <si>
    <r>
      <rPr>
        <sz val="10"/>
        <color rgb="FF000000"/>
        <rFont val="Noto Sans CJK SC"/>
        <family val="2"/>
      </rPr>
      <t xml:space="preserve">每席每日任務數：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</si>
  <si>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10"/>
        <color rgb="FF000000"/>
        <rFont val="Arial"/>
        <family val="0"/>
        <charset val="1"/>
      </rPr>
      <t xml:space="preserve">OpenAI v0.6 INP_110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seats 10.7</t>
    </r>
    <r>
      <rPr>
        <sz val="10"/>
        <color rgb="FF000000"/>
        <rFont val="Noto Sans CJK SC"/>
        <family val="2"/>
      </rPr>
      <t xml:space="preserve">）</t>
    </r>
  </si>
  <si>
    <t xml:space="preserve">tasks_ent</t>
  </si>
  <si>
    <t xml:space="preserve">INP_052</t>
  </si>
  <si>
    <t xml:space="preserve">每人每日任務數年增率</t>
  </si>
  <si>
    <r>
      <rPr>
        <sz val="10"/>
        <color rgb="FF000000"/>
        <rFont val="Arial"/>
        <family val="0"/>
        <charset val="1"/>
      </rPr>
      <t xml:space="preserve">OpenAI v0.6 INP_122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0.05–0.2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</si>
  <si>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</t>
    </r>
  </si>
  <si>
    <t xml:space="preserve">全部方案同一年增率</t>
  </si>
  <si>
    <t xml:space="preserve">g_tasks</t>
  </si>
  <si>
    <t xml:space="preserve">INP_053</t>
  </si>
  <si>
    <t xml:space="preserve">任務類別占比：對話</t>
  </si>
  <si>
    <t xml:space="preserve">Free</t>
  </si>
  <si>
    <r>
      <rPr>
        <sz val="10"/>
        <color rgb="FF000000"/>
        <rFont val="Noto Sans CJK SC"/>
        <family val="2"/>
      </rPr>
      <t xml:space="preserve">免費方案不含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</si>
  <si>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±0.1</t>
  </si>
  <si>
    <r>
      <rPr>
        <sz val="10"/>
        <color rgb="FF000000"/>
        <rFont val="Noto Sans CJK SC"/>
        <family val="2"/>
      </rPr>
      <t xml:space="preserve">其他代理＝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對話 − 程式代理</t>
    </r>
  </si>
  <si>
    <t xml:space="preserve">cat_chat_free</t>
  </si>
  <si>
    <t xml:space="preserve">INP_054</t>
  </si>
  <si>
    <t xml:space="preserve">任務類別占比：程式代理</t>
  </si>
  <si>
    <t xml:space="preserve">網頁版偶有程式任務</t>
  </si>
  <si>
    <t xml:space="preserve">cat_code_free</t>
  </si>
  <si>
    <t xml:space="preserve">INP_055</t>
  </si>
  <si>
    <t xml:space="preserve">Pro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</si>
  <si>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（有用量上限）</t>
    </r>
  </si>
  <si>
    <t xml:space="preserve">cat_chat_pro</t>
  </si>
  <si>
    <t xml:space="preserve">INP_056</t>
  </si>
  <si>
    <t xml:space="preserve">cat_code_pro</t>
  </si>
  <si>
    <t xml:space="preserve">INP_057</t>
  </si>
  <si>
    <t xml:space="preserve">Max 5x</t>
  </si>
  <si>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用戶以 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營收落在 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Team Premium</t>
    </r>
    <r>
      <rPr>
        <sz val="10"/>
        <color rgb="FF000000"/>
        <rFont val="Noto Sans CJK SC"/>
        <family val="2"/>
      </rPr>
      <t xml:space="preserve">）</t>
    </r>
  </si>
  <si>
    <t xml:space="preserve">±0.15–0.2</t>
  </si>
  <si>
    <t xml:space="preserve">cat_chat_max5</t>
  </si>
  <si>
    <t xml:space="preserve">INP_058</t>
  </si>
  <si>
    <t xml:space="preserve">cat_code_max5</t>
  </si>
  <si>
    <t xml:space="preserve">INP_059</t>
  </si>
  <si>
    <t xml:space="preserve">Max 20x</t>
  </si>
  <si>
    <t xml:space="preserve">cat_chat_max20</t>
  </si>
  <si>
    <t xml:space="preserve">INP_060</t>
  </si>
  <si>
    <t xml:space="preserve">cat_code_max20</t>
  </si>
  <si>
    <t xml:space="preserve">INP_061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</si>
  <si>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</si>
  <si>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標準席位以對話與文件為主</t>
  </si>
  <si>
    <t xml:space="preserve">cat_chat_team_std</t>
  </si>
  <si>
    <t xml:space="preserve">INP_062</t>
  </si>
  <si>
    <t xml:space="preserve">cat_code_team_std</t>
  </si>
  <si>
    <t xml:space="preserve">INP_063</t>
  </si>
  <si>
    <t xml:space="preserve">Team Premium</t>
  </si>
  <si>
    <r>
      <rPr>
        <sz val="10"/>
        <color rgb="FF000000"/>
        <rFont val="Arial"/>
        <family val="0"/>
        <charset val="1"/>
      </rPr>
      <t xml:space="preserve">Premium </t>
    </r>
    <r>
      <rPr>
        <sz val="10"/>
        <color rgb="FF000000"/>
        <rFont val="Noto Sans CJK SC"/>
        <family val="2"/>
      </rPr>
      <t xml:space="preserve">席位含 </t>
    </r>
    <r>
      <rPr>
        <sz val="10"/>
        <color rgb="FF000000"/>
        <rFont val="Arial"/>
        <family val="0"/>
        <charset val="1"/>
      </rPr>
      <t xml:space="preserve">Claude Code</t>
    </r>
  </si>
  <si>
    <t xml:space="preserve">cat_chat_team_prem</t>
  </si>
  <si>
    <t xml:space="preserve">INP_064</t>
  </si>
  <si>
    <t xml:space="preserve">cat_code_team_prem</t>
  </si>
  <si>
    <t xml:space="preserve">INP_065</t>
  </si>
  <si>
    <t xml:space="preserve">Enterprise</t>
  </si>
  <si>
    <t xml:space="preserve">企業部署含開發者與一般員工</t>
  </si>
  <si>
    <t xml:space="preserve">cat_chat_ent</t>
  </si>
  <si>
    <t xml:space="preserve">INP_066</t>
  </si>
  <si>
    <t xml:space="preserve">cat_code_ent</t>
  </si>
  <si>
    <t xml:space="preserve">INP_102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</si>
  <si>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任務：對話</t>
    </r>
  </si>
  <si>
    <t xml:space="preserve">對話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</si>
  <si>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的鍵）</t>
    </r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</si>
  <si>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技術資料，取自 </t>
    </r>
    <r>
      <rPr>
        <sz val="10"/>
        <color rgb="FF000000"/>
        <rFont val="Arial"/>
        <family val="0"/>
        <charset val="1"/>
      </rPr>
      <t xml:space="preserve">Tokenomics Interface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IF_TaskTokFresh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Cached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Dec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一般聊天 </t>
    </r>
    <r>
      <rPr>
        <sz val="10"/>
        <color rgb="FF000000"/>
        <rFont val="Arial"/>
        <family val="0"/>
        <charset val="1"/>
      </rPr>
      <t xml:space="preserve">3</t>
    </r>
  </si>
  <si>
    <t xml:space="preserve">對應關係，不設區間</t>
  </si>
  <si>
    <r>
      <rPr>
        <sz val="10"/>
        <color rgb="FF000000"/>
        <rFont val="Arial"/>
        <family val="0"/>
        <charset val="1"/>
      </rPr>
      <t xml:space="preserve">SUMIFS </t>
    </r>
    <r>
      <rPr>
        <sz val="10"/>
        <color rgb="FF000000"/>
        <rFont val="Noto Sans CJK SC"/>
        <family val="2"/>
      </rPr>
      <t xml:space="preserve">的鍵；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改名時 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轉 </t>
    </r>
    <r>
      <rPr>
        <sz val="10"/>
        <color rgb="FF000000"/>
        <rFont val="Arial"/>
        <family val="0"/>
        <charset val="1"/>
      </rPr>
      <t xml:space="preserve">ERR</t>
    </r>
  </si>
  <si>
    <t xml:space="preserve">tk_task_chat</t>
  </si>
  <si>
    <t xml:space="preserve">INP_103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</si>
  <si>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任務：程式代理</t>
    </r>
  </si>
  <si>
    <t xml:space="preserve">程式代理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</si>
  <si>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（長程）」每次嘗試約 </t>
    </r>
    <r>
      <rPr>
        <sz val="10"/>
        <color rgb="FF000000"/>
        <rFont val="Arial"/>
        <family val="0"/>
        <charset val="1"/>
      </rPr>
      <t xml:space="preserve">149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（任務長度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小時，</t>
    </r>
    <r>
      <rPr>
        <sz val="10"/>
        <color rgb="FF000000"/>
        <rFont val="Arial"/>
        <family val="0"/>
        <charset val="1"/>
      </rPr>
      <t xml:space="preserve">IF_TaskLen</t>
    </r>
    <r>
      <rPr>
        <sz val="10"/>
        <color rgb="FF000000"/>
        <rFont val="Noto Sans CJK SC"/>
        <family val="2"/>
      </rPr>
      <t xml:space="preserve">）</t>
    </r>
  </si>
  <si>
    <t xml:space="preserve">tk_task_code</t>
  </si>
  <si>
    <t xml:space="preserve">INP_104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</si>
  <si>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任務：其他代理</t>
    </r>
  </si>
  <si>
    <t xml:space="preserve">其他代理</t>
  </si>
  <si>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「單代理（工具迴圈）」每次嘗試約 </t>
    </r>
    <r>
      <rPr>
        <sz val="10"/>
        <color rgb="FF000000"/>
        <rFont val="Arial"/>
        <family val="0"/>
        <charset val="1"/>
      </rPr>
      <t xml:space="preserve">2.8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小時）</t>
    </r>
  </si>
  <si>
    <t xml:space="preserve">tk_task_other</t>
  </si>
  <si>
    <t xml:space="preserve">INP_105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</si>
  <si>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任務的倍數：對話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</si>
  <si>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對話與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標準一般聊天同量級（</t>
    </r>
    <r>
      <rPr>
        <sz val="10"/>
        <color rgb="FF000000"/>
        <rFont val="Arial"/>
        <family val="0"/>
        <charset val="1"/>
      </rPr>
      <t xml:space="preserve">OpenAI v0.6 INP_116 plus 4K </t>
    </r>
    <r>
      <rPr>
        <sz val="10"/>
        <color rgb="FF000000"/>
        <rFont val="Noto Sans CJK SC"/>
        <family val="2"/>
      </rPr>
      <t xml:space="preserve">為對照）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</si>
  <si>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起每任務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＋年增率）</t>
    </r>
  </si>
  <si>
    <t xml:space="preserve">k_ratio_chat</t>
  </si>
  <si>
    <t xml:space="preserve">INP_106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</si>
  <si>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任務的倍數：程式代理</t>
    </r>
  </si>
  <si>
    <r>
      <rPr>
        <sz val="10"/>
        <color rgb="FF000000"/>
        <rFont val="Noto Sans CJK SC"/>
        <family val="2"/>
      </rPr>
      <t xml:space="preserve">訂閱方案的程式代理任務（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一次工作階段）多為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小時上下，約為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長程任務（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小時）的 </t>
    </r>
    <r>
      <rPr>
        <sz val="10"/>
        <color rgb="FF000000"/>
        <rFont val="Arial"/>
        <family val="0"/>
        <charset val="1"/>
      </rPr>
      <t xml:space="preserve">1/8</t>
    </r>
    <r>
      <rPr>
        <sz val="10"/>
        <color rgb="FF000000"/>
        <rFont val="Noto Sans CJK SC"/>
        <family val="2"/>
      </rPr>
      <t xml:space="preserve">；取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</si>
  <si>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（短任務）–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小時以上長任務）</t>
    </r>
  </si>
  <si>
    <r>
      <rPr>
        <sz val="10"/>
        <color rgb="FF000000"/>
        <rFont val="Arial"/>
        <family val="0"/>
        <charset val="1"/>
      </rPr>
      <t xml:space="preserve">Anthropic token </t>
    </r>
    <r>
      <rPr>
        <sz val="10"/>
        <color rgb="FF000000"/>
        <rFont val="Noto Sans CJK SC"/>
        <family val="2"/>
      </rPr>
      <t xml:space="preserve">量未揭露（</t>
    </r>
    <r>
      <rPr>
        <sz val="10"/>
        <color rgb="FF000000"/>
        <rFont val="Arial"/>
        <family val="0"/>
        <charset val="1"/>
      </rPr>
      <t xml:space="preserve">SRC_ANT not_found</t>
    </r>
    <r>
      <rPr>
        <sz val="10"/>
        <color rgb="FF000000"/>
        <rFont val="Noto Sans CJK SC"/>
        <family val="2"/>
      </rPr>
      <t xml:space="preserve">）</t>
    </r>
  </si>
  <si>
    <t xml:space="preserve">k_ratio_code</t>
  </si>
  <si>
    <t xml:space="preserve">INP_107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</si>
  <si>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任務的倍數：其他代理</t>
    </r>
  </si>
  <si>
    <r>
      <rPr>
        <sz val="10"/>
        <color rgb="FF000000"/>
        <rFont val="Noto Sans CJK SC"/>
        <family val="2"/>
      </rPr>
      <t xml:space="preserve">研究、瀏覽、文件代理與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單代理（工具迴圈）同量級；多代理研究約為其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多代理研究）</t>
    </r>
  </si>
  <si>
    <t xml:space="preserve">上限＝多代理研究量級</t>
  </si>
  <si>
    <t xml:space="preserve">k_ratio_other</t>
  </si>
  <si>
    <t xml:space="preserve">INP_108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</si>
  <si>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token → K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</si>
  <si>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</si>
  <si>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）→ 本模型 </t>
    </r>
    <r>
      <rPr>
        <sz val="10"/>
        <color rgb="FF000000"/>
        <rFont val="Arial"/>
        <family val="0"/>
        <charset val="1"/>
      </rPr>
      <t xml:space="preserve">K token</t>
    </r>
  </si>
  <si>
    <t xml:space="preserve">tok_per_k</t>
  </si>
  <si>
    <t xml:space="preserve">INP_070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</si>
  <si>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年增率（訂閱與席位）</t>
    </r>
  </si>
  <si>
    <r>
      <rPr>
        <sz val="10"/>
        <color rgb="FF000000"/>
        <rFont val="Arial"/>
        <family val="0"/>
        <charset val="1"/>
      </rPr>
      <t xml:space="preserve">OpenAI v0.6 INP_123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下限放寬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</si>
  <si>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區間放寬</t>
    </r>
  </si>
  <si>
    <t xml:space="preserve">g_k</t>
  </si>
  <si>
    <t xml:space="preserve">INP_071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</si>
  <si>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</si>
  <si>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對話以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為預設、</t>
    </r>
    <r>
      <rPr>
        <sz val="10"/>
        <color rgb="FF000000"/>
        <rFont val="Arial"/>
        <family val="0"/>
        <charset val="1"/>
      </rPr>
      <t xml:space="preserve">Haiku </t>
    </r>
    <r>
      <rPr>
        <sz val="10"/>
        <color rgb="FF000000"/>
        <rFont val="Noto Sans CJK SC"/>
        <family val="2"/>
      </rPr>
      <t xml:space="preserve">為輕量；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未取得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模型別份額（資料缺口）</t>
    </r>
  </si>
  <si>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Haiku − Sonnet</t>
    </r>
  </si>
  <si>
    <t xml:space="preserve">tier_haiku_chat</t>
  </si>
  <si>
    <t xml:space="preserve">INP_072</t>
  </si>
  <si>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（中層）占 </t>
    </r>
    <r>
      <rPr>
        <sz val="10"/>
        <color rgb="FF000000"/>
        <rFont val="Arial"/>
        <family val="0"/>
        <charset val="1"/>
      </rPr>
      <t xml:space="preserve">token</t>
    </r>
  </si>
  <si>
    <t xml:space="preserve">tier_sonnet_chat</t>
  </si>
  <si>
    <t xml:space="preserve">INP_073</t>
  </si>
  <si>
    <r>
      <rPr>
        <sz val="10"/>
        <color rgb="FF000000"/>
        <rFont val="Noto Sans CJK SC"/>
        <family val="2"/>
      </rPr>
      <t xml:space="preserve">程式代理以 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為主（</t>
    </r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降價後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占比上升，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</t>
    </r>
  </si>
  <si>
    <t xml:space="preserve">tier_haiku_code</t>
  </si>
  <si>
    <t xml:space="preserve">INP_074</t>
  </si>
  <si>
    <t xml:space="preserve">tier_sonnet_code</t>
  </si>
  <si>
    <t xml:space="preserve">INP_075</t>
  </si>
  <si>
    <t xml:space="preserve">代理子任務常用輕量模型</t>
  </si>
  <si>
    <t xml:space="preserve">tier_haiku_other</t>
  </si>
  <si>
    <t xml:space="preserve">INP_076</t>
  </si>
  <si>
    <t xml:space="preserve">tier_sonnet_other</t>
  </si>
  <si>
    <t xml:space="preserve">INP_077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</si>
  <si>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Haiku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</si>
  <si>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層級別用量未揭露（資料缺口；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只給公司份額 </t>
    </r>
    <r>
      <rPr>
        <sz val="10"/>
        <color rgb="FF000000"/>
        <rFont val="Arial"/>
        <family val="0"/>
        <charset val="1"/>
      </rPr>
      <t xml:space="preserve">SRC_ANT_181</t>
    </r>
    <r>
      <rPr>
        <sz val="10"/>
        <color rgb="FF000000"/>
        <rFont val="Noto Sans CJK SC"/>
        <family val="2"/>
      </rPr>
      <t xml:space="preserve">）</t>
    </r>
  </si>
  <si>
    <t xml:space="preserve">±0.1–0.15</t>
  </si>
  <si>
    <t xml:space="preserve">api_mix_haiku_2025</t>
  </si>
  <si>
    <t xml:space="preserve">INP_078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</si>
  <si>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</t>
    </r>
    <r>
      <rPr>
        <sz val="10"/>
        <color rgb="FF000000"/>
        <rFont val="Arial"/>
        <family val="0"/>
        <charset val="1"/>
      </rPr>
      <t xml:space="preserve">Sonnet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</si>
  <si>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程式代理（</t>
    </r>
    <r>
      <rPr>
        <sz val="10"/>
        <color rgb="FF000000"/>
        <rFont val="Arial"/>
        <family val="0"/>
        <charset val="1"/>
      </rPr>
      <t xml:space="preserve">Cursor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GitHub Copilot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$1.2B </t>
    </r>
    <r>
      <rPr>
        <sz val="10"/>
        <color rgb="FF000000"/>
        <rFont val="Noto Sans CJK SC"/>
        <family val="2"/>
      </rPr>
      <t xml:space="preserve">年化，</t>
    </r>
    <r>
      <rPr>
        <sz val="10"/>
        <color rgb="FF000000"/>
        <rFont val="Arial"/>
        <family val="0"/>
        <charset val="1"/>
      </rPr>
      <t xml:space="preserve">SRC_ANT_040</t>
    </r>
    <r>
      <rPr>
        <sz val="10"/>
        <color rgb="FF000000"/>
        <rFont val="Noto Sans CJK SC"/>
        <family val="2"/>
      </rPr>
      <t xml:space="preserve">）以 </t>
    </r>
    <r>
      <rPr>
        <sz val="10"/>
        <color rgb="FF000000"/>
        <rFont val="Arial"/>
        <family val="0"/>
        <charset val="1"/>
      </rPr>
      <t xml:space="preserve">Sonnet </t>
    </r>
    <r>
      <rPr>
        <sz val="10"/>
        <color rgb="FF000000"/>
        <rFont val="Noto Sans CJK SC"/>
        <family val="2"/>
      </rPr>
      <t xml:space="preserve">為主</t>
    </r>
  </si>
  <si>
    <t xml:space="preserve">api_mix_sonnet_2025</t>
  </si>
  <si>
    <t xml:space="preserve">INP_079</t>
  </si>
  <si>
    <t xml:space="preserve">api_mix_haiku_2026</t>
  </si>
  <si>
    <t xml:space="preserve">INP_080</t>
  </si>
  <si>
    <r>
      <rPr>
        <sz val="10"/>
        <color rgb="FF000000"/>
        <rFont val="Arial"/>
        <family val="0"/>
        <charset val="1"/>
      </rPr>
      <t xml:space="preserve">Opus 4.5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Opus </t>
    </r>
    <r>
      <rPr>
        <sz val="10"/>
        <color rgb="FF000000"/>
        <rFont val="Noto Sans CJK SC"/>
        <family val="2"/>
      </rPr>
      <t xml:space="preserve">降價 </t>
    </r>
    <r>
      <rPr>
        <sz val="10"/>
        <color rgb="FF000000"/>
        <rFont val="Arial"/>
        <family val="0"/>
        <charset val="1"/>
      </rPr>
      <t xml:space="preserve">2/3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SRC_ANT_157</t>
    </r>
    <r>
      <rPr>
        <sz val="10"/>
        <color rgb="FF000000"/>
        <rFont val="Noto Sans CJK SC"/>
        <family val="2"/>
      </rPr>
      <t xml:space="preserve">），頂層占比上升</t>
    </r>
  </si>
  <si>
    <t xml:space="preserve">api_mix_sonnet_2026</t>
  </si>
  <si>
    <t xml:space="preserve">INP_081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</si>
  <si>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占比（含思考）</t>
    </r>
  </si>
  <si>
    <r>
      <rPr>
        <sz val="10"/>
        <color rgb="FF000000"/>
        <rFont val="Arial"/>
        <family val="0"/>
        <charset val="1"/>
      </rPr>
      <t xml:space="preserve">OpenAI v0.6 INP_028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0.1–0.35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</si>
  <si>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有效單價＝（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輸出占比）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快取倍數 ＋ 輸出占比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輸出價</t>
    </r>
  </si>
  <si>
    <t xml:space="preserve">api_out_share</t>
  </si>
  <si>
    <t xml:space="preserve">INP_082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</si>
  <si>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快取命中（讀取）占輸入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</si>
  <si>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OpenAI v0.6 INP_029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0.3–0.75</t>
    </r>
    <r>
      <rPr>
        <sz val="10"/>
        <color rgb="FF000000"/>
        <rFont val="Noto Sans CJK SC"/>
        <family val="2"/>
      </rPr>
      <t xml:space="preserve">）；差異：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程式代理比重高、長上下文重複讀取多，上限放寬至 </t>
    </r>
    <r>
      <rPr>
        <sz val="10"/>
        <color rgb="FF000000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</si>
  <si>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區間上限放寬</t>
    </r>
  </si>
  <si>
    <r>
      <rPr>
        <sz val="10"/>
        <color rgb="FF000000"/>
        <rFont val="Noto Sans CJK SC"/>
        <family val="2"/>
      </rPr>
      <t xml:space="preserve">讀取價＝輸入價 </t>
    </r>
    <r>
      <rPr>
        <sz val="10"/>
        <color rgb="FF000000"/>
        <rFont val="Arial"/>
        <family val="0"/>
        <charset val="1"/>
      </rPr>
      <t xml:space="preserve">× SRC_ANT_137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</si>
  <si>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t xml:space="preserve">api_cache_hit</t>
  </si>
  <si>
    <t xml:space="preserve">INP_083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</si>
  <si>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快取寫入占輸入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</si>
  <si>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快取寫入價＝輸入價 </t>
    </r>
    <r>
      <rPr>
        <sz val="10"/>
        <color rgb="FF000000"/>
        <rFont val="Arial"/>
        <family val="0"/>
        <charset val="1"/>
      </rPr>
      <t xml:space="preserve">× 1.25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TTL</t>
    </r>
    <r>
      <rPr>
        <sz val="10"/>
        <color rgb="FF000000"/>
        <rFont val="Noto Sans CJK SC"/>
        <family val="2"/>
      </rPr>
      <t xml:space="preserve">）</t>
    </r>
  </si>
  <si>
    <t xml:space="preserve">0–0.15</t>
  </si>
  <si>
    <t xml:space="preserve">api_cache_write</t>
  </si>
  <si>
    <t xml:space="preserve">INP_084</t>
  </si>
  <si>
    <r>
      <rPr>
        <sz val="10"/>
        <color rgb="FF000000"/>
        <rFont val="Arial"/>
        <family val="0"/>
        <charset val="1"/>
      </rPr>
      <t xml:space="preserve">API Batch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</si>
  <si>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SRC_ANT_138</t>
    </r>
    <r>
      <rPr>
        <sz val="10"/>
        <color rgb="FF000000"/>
        <rFont val="Noto Sans CJK SC"/>
        <family val="2"/>
      </rPr>
      <t xml:space="preserve">）；即時程式代理為主，批次占比低</t>
    </r>
  </si>
  <si>
    <t xml:space="preserve">0–0.2</t>
  </si>
  <si>
    <t xml:space="preserve">api_batch_share</t>
  </si>
  <si>
    <t xml:space="preserve">INP_085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</si>
  <si>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企業議價與承諾用量折扣</t>
    </r>
  </si>
  <si>
    <r>
      <rPr>
        <sz val="10"/>
        <color rgb="FF000000"/>
        <rFont val="Arial"/>
        <family val="0"/>
        <charset val="1"/>
      </rPr>
      <t xml:space="preserve">OpenAI v0.6 INP_030 </t>
    </r>
    <r>
      <rPr>
        <sz val="10"/>
        <color rgb="FF000000"/>
        <rFont val="Noto Sans CJK SC"/>
        <family val="2"/>
      </rPr>
      <t xml:space="preserve">加權折扣 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）；本模型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另列，議價部分取 </t>
    </r>
    <r>
      <rPr>
        <sz val="10"/>
        <color rgb="FF000000"/>
        <rFont val="Arial"/>
        <family val="0"/>
        <charset val="1"/>
      </rPr>
      <t xml:space="preserve">0.1</t>
    </r>
  </si>
  <si>
    <t xml:space="preserve">0–0.25</t>
  </si>
  <si>
    <t xml:space="preserve">api_neg_disc</t>
  </si>
  <si>
    <t xml:space="preserve">INP_086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</si>
  <si>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</si>
  <si>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</si>
  <si>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INP_031</t>
    </r>
    <r>
      <rPr>
        <sz val="10"/>
        <color rgb="FF000000"/>
        <rFont val="Noto Sans CJK SC"/>
        <family val="2"/>
      </rPr>
      <t xml:space="preserve">：只影響任務數與每任務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的水準拆分，不影響營收與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</si>
  <si>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正規化值</t>
  </si>
  <si>
    <t xml:space="preserve">api_k_base</t>
  </si>
  <si>
    <t xml:space="preserve">INP_087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</si>
  <si>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</si>
  <si>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r>
      <rPr>
        <sz val="10"/>
        <color rgb="FF000000"/>
        <rFont val="Arial"/>
        <family val="0"/>
        <charset val="1"/>
      </rPr>
      <t xml:space="preserve">OpenAI v0.6 INP_041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情境倍數 </t>
    </r>
    <r>
      <rPr>
        <sz val="10"/>
        <color rgb="FF000000"/>
        <rFont val="Arial"/>
        <family val="0"/>
        <charset val="1"/>
      </rPr>
      <t xml:space="preserve">INP_046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</si>
  <si>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只影響任務數與每任務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的拆分（總量由半校準決定）</t>
    </r>
  </si>
  <si>
    <t xml:space="preserve">api_gk_2026</t>
  </si>
  <si>
    <t xml:space="preserve">INP_088</t>
  </si>
  <si>
    <t xml:space="preserve">OpenAI v0.6 INP_042</t>
  </si>
  <si>
    <t xml:space="preserve">×0.5–×1.5</t>
  </si>
  <si>
    <t xml:space="preserve">api_gk_2027</t>
  </si>
  <si>
    <t xml:space="preserve">INP_089</t>
  </si>
  <si>
    <t xml:space="preserve">OpenAI v0.6 INP_043</t>
  </si>
  <si>
    <t xml:space="preserve">api_gk_2028</t>
  </si>
  <si>
    <t xml:space="preserve">INP_090</t>
  </si>
  <si>
    <t xml:space="preserve">OpenAI v0.6 INP_044</t>
  </si>
  <si>
    <t xml:space="preserve">api_gk_2029</t>
  </si>
  <si>
    <t xml:space="preserve">INP_091</t>
  </si>
  <si>
    <t xml:space="preserve">OpenAI v0.6 INP_045</t>
  </si>
  <si>
    <t xml:space="preserve">api_gk_2030</t>
  </si>
  <si>
    <t xml:space="preserve">INP_092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</si>
  <si>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任務數成長率（不含價格）</t>
    </r>
  </si>
  <si>
    <r>
      <rPr>
        <sz val="10"/>
        <color rgb="FF000000"/>
        <rFont val="Arial"/>
        <family val="0"/>
        <charset val="1"/>
      </rPr>
      <t xml:space="preserve">OpenAI v0.6 INP_034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0.45</t>
    </r>
    <r>
      <rPr>
        <sz val="10"/>
        <color rgb="FF000000"/>
        <rFont val="Noto Sans CJK SC"/>
        <family val="2"/>
      </rPr>
      <t xml:space="preserve">）；兩家同值以便並排（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）。差異：</t>
    </r>
    <r>
      <rPr>
        <sz val="10"/>
        <color rgb="FF000000"/>
        <rFont val="Arial"/>
        <family val="0"/>
        <charset val="1"/>
      </rPr>
      <t xml:space="preserve">Anthropic 2026 </t>
    </r>
    <r>
      <rPr>
        <sz val="10"/>
        <color rgb="FF000000"/>
        <rFont val="Noto Sans CJK SC"/>
        <family val="2"/>
      </rPr>
      <t xml:space="preserve">實際成長遠高於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，上限放寬至 </t>
    </r>
    <r>
      <rPr>
        <sz val="10"/>
        <color rgb="FF000000"/>
        <rFont val="Arial"/>
        <family val="0"/>
        <charset val="1"/>
      </rPr>
      <t xml:space="preserve">×2</t>
    </r>
    <r>
      <rPr>
        <sz val="10"/>
        <color rgb="FF000000"/>
        <rFont val="Noto Sans CJK SC"/>
        <family val="2"/>
      </rPr>
      <t xml:space="preserve">；不以公司目標反推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</si>
  <si>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起正向推導（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</t>
    </r>
  </si>
  <si>
    <t xml:space="preserve">api_gn_2027</t>
  </si>
  <si>
    <t xml:space="preserve">INP_093</t>
  </si>
  <si>
    <t xml:space="preserve">OpenAI v0.6 INP_035</t>
  </si>
  <si>
    <t xml:space="preserve">api_gn_2028</t>
  </si>
  <si>
    <t xml:space="preserve">INP_094</t>
  </si>
  <si>
    <t xml:space="preserve">OpenAI v0.6 INP_036</t>
  </si>
  <si>
    <t xml:space="preserve">api_gn_2029</t>
  </si>
  <si>
    <t xml:space="preserve">INP_095</t>
  </si>
  <si>
    <t xml:space="preserve">OpenAI v0.6 INP_037</t>
  </si>
  <si>
    <t xml:space="preserve">api_gn_2030</t>
  </si>
  <si>
    <t xml:space="preserve">INP_096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</si>
  <si>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</si>
  <si>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彈性</t>
  </si>
  <si>
    <r>
      <rPr>
        <sz val="10"/>
        <color rgb="FF000000"/>
        <rFont val="Arial"/>
        <family val="0"/>
        <charset val="1"/>
      </rPr>
      <t xml:space="preserve">OpenAI v0.6 INP_048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1.05</t>
    </r>
    <r>
      <rPr>
        <sz val="10"/>
        <color rgb="FF000000"/>
        <rFont val="Noto Sans CJK SC"/>
        <family val="2"/>
      </rPr>
      <t xml:space="preserve">～−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）；無法由公開資料分離（價格與能力同時變動）</t>
    </r>
  </si>
  <si>
    <r>
      <rPr>
        <sz val="10"/>
        <color rgb="FF000000"/>
        <rFont val="Noto Sans CJK SC"/>
        <family val="2"/>
      </rPr>
      <t xml:space="preserve">底數＝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前一年</t>
    </r>
  </si>
  <si>
    <t xml:space="preserve">api_elast_n</t>
  </si>
  <si>
    <t xml:space="preserve">INP_097</t>
  </si>
  <si>
    <r>
      <rPr>
        <sz val="10"/>
        <color rgb="FF000000"/>
        <rFont val="Noto Sans CJK SC"/>
        <family val="2"/>
      </rPr>
      <t xml:space="preserve">價格彈性：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</si>
  <si>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OpenAI v0.6 INP_049</t>
  </si>
  <si>
    <t xml:space="preserve">api_elast_k</t>
  </si>
  <si>
    <t xml:space="preserve">INP_098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</si>
  <si>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牌價年變動率（各層級；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</si>
  <si>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判斷類預設：每代新模型同價或降價（−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，−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）；已發生的價格事件在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Opus 4.5 −67%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5.5 −20%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Haiku 5.5 −90%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Sonnet 5 −33%</t>
    </r>
    <r>
      <rPr>
        <sz val="10"/>
        <color rgb="FF000000"/>
        <rFont val="Noto Sans CJK SC"/>
        <family val="2"/>
      </rPr>
      <t xml:space="preserve">）</t>
    </r>
  </si>
  <si>
    <t xml:space="preserve">工作單預設區間</t>
  </si>
  <si>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＋本列）；之後逐年</t>
    </r>
  </si>
  <si>
    <t xml:space="preserve">price_chg</t>
  </si>
  <si>
    <t xml:space="preserve">INP_099</t>
  </si>
  <si>
    <r>
      <rPr>
        <sz val="10"/>
        <color rgb="FF000000"/>
        <rFont val="Noto Sans CJK SC"/>
        <family val="2"/>
      </rPr>
      <t xml:space="preserve">雲端通路占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營收比例：相對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的變動</t>
    </r>
  </si>
  <si>
    <t xml:space="preserve">比例（百分點）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</si>
  <si>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通路占比由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推得（總營收 </t>
    </r>
    <r>
      <rPr>
        <sz val="10"/>
        <color rgb="FF000000"/>
        <rFont val="Arial"/>
        <family val="0"/>
        <charset val="1"/>
      </rPr>
      <t xml:space="preserve">47% </t>
    </r>
    <r>
      <rPr>
        <sz val="10"/>
        <color rgb="FF000000"/>
        <rFont val="Noto Sans CJK SC"/>
        <family val="2"/>
      </rPr>
      <t xml:space="preserve">經雲端，</t>
    </r>
    <r>
      <rPr>
        <sz val="10"/>
        <color rgb="FF000000"/>
        <rFont val="Arial"/>
        <family val="0"/>
        <charset val="1"/>
      </rPr>
      <t xml:space="preserve">SRC_ANT_027</t>
    </r>
    <r>
      <rPr>
        <sz val="10"/>
        <color rgb="FF000000"/>
        <rFont val="Noto Sans CJK SC"/>
        <family val="2"/>
      </rPr>
      <t xml:space="preserve">；全歸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2023 11% → 2024 32% → 2025 47%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SRC_ANT_027–029</t>
    </r>
    <r>
      <rPr>
        <sz val="10"/>
        <color rgb="FF000000"/>
        <rFont val="Noto Sans CJK SC"/>
        <family val="2"/>
      </rPr>
      <t xml:space="preserve">）上升中，</t>
    </r>
    <r>
      <rPr>
        <sz val="10"/>
        <color rgb="FF000000"/>
        <rFont val="Arial"/>
        <family val="0"/>
        <charset val="1"/>
      </rPr>
      <t xml:space="preserve">Microsoft Foundry 2026 </t>
    </r>
    <r>
      <rPr>
        <sz val="10"/>
        <color rgb="FF000000"/>
        <rFont val="Noto Sans CJK SC"/>
        <family val="2"/>
      </rPr>
      <t xml:space="preserve">加入；基準持平</t>
    </r>
  </si>
  <si>
    <r>
      <rPr>
        <sz val="10"/>
        <color rgb="FF000000"/>
        <rFont val="Arial"/>
        <family val="0"/>
        <charset val="1"/>
      </rPr>
      <t xml:space="preserve">±15 </t>
    </r>
    <r>
      <rPr>
        <sz val="10"/>
        <color rgb="FF000000"/>
        <rFont val="Noto Sans CJK SC"/>
        <family val="2"/>
      </rPr>
      <t xml:space="preserve">個百分點</t>
    </r>
  </si>
  <si>
    <r>
      <rPr>
        <sz val="10"/>
        <color rgb="FF000000"/>
        <rFont val="Noto Sans CJK SC"/>
        <family val="2"/>
      </rPr>
      <t xml:space="preserve">通路占比＝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值 ＋ 本列</t>
    </r>
  </si>
  <si>
    <t xml:space="preserve">channel_delta</t>
  </si>
  <si>
    <t xml:space="preserve">INP_100</t>
  </si>
  <si>
    <r>
      <rPr>
        <sz val="10"/>
        <color rgb="FF000000"/>
        <rFont val="Noto Sans CJK SC"/>
        <family val="2"/>
      </rPr>
      <t xml:space="preserve">雲端平台抽成率（每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</si>
  <si>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D5 r1</t>
    </r>
    <r>
      <rPr>
        <sz val="10"/>
        <color rgb="FF000000"/>
        <rFont val="Noto Sans CJK SC"/>
        <family val="2"/>
      </rPr>
      <t xml:space="preserve">：基準取說明書隱含約 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）；高值取 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估計 </t>
    </r>
    <r>
      <rPr>
        <sz val="10"/>
        <color rgb="FF000000"/>
        <rFont val="Arial"/>
        <family val="0"/>
        <charset val="1"/>
      </rPr>
      <t xml:space="preserve">$6.4B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SRC_ANT_034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通路營收約 </t>
    </r>
    <r>
      <rPr>
        <sz val="10"/>
        <color rgb="FF000000"/>
        <rFont val="Arial"/>
        <family val="0"/>
        <charset val="1"/>
      </rPr>
      <t xml:space="preserve">$23B ≈ 0.28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口徑可能含算力租金，故只作上緣；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另列即時隱含值）</t>
    </r>
  </si>
  <si>
    <r>
      <rPr>
        <sz val="10"/>
        <color rgb="FF000000"/>
        <rFont val="Noto Sans CJK SC"/>
        <family val="2"/>
      </rPr>
      <t xml:space="preserve">下緣＝說明書隱含值；上緣＝</t>
    </r>
    <r>
      <rPr>
        <sz val="10"/>
        <color rgb="FF000000"/>
        <rFont val="Arial"/>
        <family val="0"/>
        <charset val="1"/>
      </rPr>
      <t xml:space="preserve">BofA </t>
    </r>
    <r>
      <rPr>
        <sz val="10"/>
        <color rgb="FF000000"/>
        <rFont val="Noto Sans CJK SC"/>
        <family val="2"/>
      </rPr>
      <t xml:space="preserve">推得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</si>
  <si>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用報導實際通路費 </t>
    </r>
    <r>
      <rPr>
        <sz val="10"/>
        <color rgb="FF000000"/>
        <rFont val="Arial"/>
        <family val="0"/>
        <charset val="1"/>
      </rPr>
      <t xml:space="preserve">SRC_ANT_031</t>
    </r>
  </si>
  <si>
    <t xml:space="preserve">partner_fee_rate</t>
  </si>
  <si>
    <t xml:space="preserve">INP_101</t>
  </si>
  <si>
    <t xml:space="preserve">其他營收年增率（政府、授權等）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</si>
  <si>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其他＝認列營收 − 訂閱 − 用量計價（約 </t>
    </r>
    <r>
      <rPr>
        <sz val="10"/>
        <color rgb="FF000000"/>
        <rFont val="Arial"/>
        <family val="0"/>
        <charset val="1"/>
      </rPr>
      <t xml:space="preserve">$0.01B</t>
    </r>
    <r>
      <rPr>
        <sz val="10"/>
        <color rgb="FF000000"/>
        <rFont val="Noto Sans CJK SC"/>
        <family val="2"/>
      </rPr>
      <t xml:space="preserve">，含四捨五入）；無驅動</t>
    </r>
  </si>
  <si>
    <t xml:space="preserve">0–0.5</t>
  </si>
  <si>
    <t xml:space="preserve">金額小，不影響結論</t>
  </si>
  <si>
    <t xml:space="preserve">g_other</t>
  </si>
  <si>
    <t xml:space="preserve">INP_109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</si>
  <si>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</si>
  <si>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</si>
  <si>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Compute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 ＝ </t>
    </r>
    <r>
      <rPr>
        <sz val="10"/>
        <color rgb="FF000000"/>
        <rFont val="Arial"/>
        <family val="0"/>
        <charset val="1"/>
      </rPr>
      <t xml:space="preserve">M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產能單位 </t>
    </r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年）</t>
    </r>
  </si>
  <si>
    <t xml:space="preserve">t_to_m</t>
  </si>
  <si>
    <t xml:space="preserve">INP_110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</si>
  <si>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MW → GW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</si>
  <si>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</si>
  <si>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揭露的容量</t>
    </r>
  </si>
  <si>
    <t xml:space="preserve">mw_to_gw</t>
  </si>
  <si>
    <t xml:space="preserve">INP_111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</si>
  <si>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</si>
  <si>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</si>
  <si>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單位成本（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年產出（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$B</t>
    </r>
  </si>
  <si>
    <t xml:space="preserve">usd_to_b</t>
  </si>
  <si>
    <t xml:space="preserve">INP_112</t>
  </si>
  <si>
    <t xml:space="preserve">線性爬坡付款：等差級數和的除數（定義常數）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</si>
  <si>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）；爬坡權重和＝（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</si>
  <si>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逐合約實付</t>
    </r>
  </si>
  <si>
    <t xml:space="preserve">arith_k2</t>
  </si>
  <si>
    <t xml:space="preserve">INP_113</t>
  </si>
  <si>
    <r>
      <rPr>
        <sz val="10"/>
        <color rgb="FF000000"/>
        <rFont val="Noto Sans CJK SC"/>
        <family val="2"/>
      </rPr>
      <t xml:space="preserve">容量上限係數固定為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的最後一年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</si>
  <si>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端交接：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（實際）與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（半校準，</t>
    </r>
    <r>
      <rPr>
        <sz val="10"/>
        <color rgb="FF000000"/>
        <rFont val="Arial"/>
        <family val="0"/>
        <charset val="1"/>
      </rPr>
      <t xml:space="preserve">D15 r1</t>
    </r>
    <r>
      <rPr>
        <sz val="10"/>
        <color rgb="FF000000"/>
        <rFont val="Noto Sans CJK SC"/>
        <family val="2"/>
      </rPr>
      <t xml:space="preserve">）營收已校準到實際值，容量上限不得再截頂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</si>
  <si>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容量上限；</t>
    </r>
    <r>
      <rPr>
        <sz val="10"/>
        <color rgb="FF000000"/>
        <rFont val="Arial"/>
        <family val="0"/>
        <charset val="1"/>
      </rPr>
      <t xml:space="preserve">Revenue REV_CapFactor </t>
    </r>
    <r>
      <rPr>
        <sz val="10"/>
        <color rgb="FF000000"/>
        <rFont val="Noto Sans CJK SC"/>
        <family val="2"/>
      </rPr>
      <t xml:space="preserve">改接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A2 </t>
    </r>
    <r>
      <rPr>
        <sz val="10"/>
        <color rgb="FF000000"/>
        <rFont val="Noto Sans CJK SC"/>
        <family val="2"/>
      </rPr>
      <t xml:space="preserve">佔位 </t>
    </r>
    <r>
      <rPr>
        <sz val="10"/>
        <color rgb="FF000000"/>
        <rFont val="Arial"/>
        <family val="0"/>
        <charset val="1"/>
      </rPr>
      <t xml:space="preserve">INP_016</t>
    </r>
    <r>
      <rPr>
        <sz val="10"/>
        <color rgb="FF000000"/>
        <rFont val="Noto Sans CJK SC"/>
        <family val="2"/>
      </rPr>
      <t xml:space="preserve">，該號退役）</t>
    </r>
  </si>
  <si>
    <t xml:space="preserve">cap_fixed_year</t>
  </si>
  <si>
    <t xml:space="preserve">INP_114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</si>
  <si>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</si>
  <si>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再乘 </t>
    </r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持有比</t>
    </r>
  </si>
  <si>
    <r>
      <rPr>
        <sz val="10"/>
        <color rgb="FF000000"/>
        <rFont val="Noto Sans CJK SC"/>
        <family val="2"/>
      </rPr>
      <t xml:space="preserve">只揭露金額的合約：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＝付款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持有比）；只揭露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者：付款＝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持有比（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</si>
  <si>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contract_price</t>
  </si>
  <si>
    <t xml:space="preserve">INP_115</t>
  </si>
  <si>
    <t xml:space="preserve">閒置保留比例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</si>
  <si>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0.05–0.2 </t>
    </r>
    <r>
      <rPr>
        <sz val="10"/>
        <color rgb="FF000000"/>
        <rFont val="Noto Sans CJK SC"/>
        <family val="2"/>
      </rPr>
      <t xml:space="preserve">以符合共同規則第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</si>
  <si>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t xml:space="preserve">補區間：常見維運與冗餘保留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</si>
  <si>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本列）− 推論（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）</t>
    </r>
  </si>
  <si>
    <t xml:space="preserve">idle_share</t>
  </si>
  <si>
    <t xml:space="preserve">INP_116</t>
  </si>
  <si>
    <r>
      <rPr>
        <sz val="10"/>
        <color rgb="FF000000"/>
        <rFont val="Noto Sans CJK SC"/>
        <family val="2"/>
      </rPr>
      <t xml:space="preserve">訓練最低占比（推論可用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</si>
  <si>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未給區間，本模型補 </t>
    </r>
    <r>
      <rPr>
        <sz val="10"/>
        <color rgb="FF000000"/>
        <rFont val="Arial"/>
        <family val="0"/>
        <charset val="1"/>
      </rPr>
      <t xml:space="preserve">0.2–0.4</t>
    </r>
    <r>
      <rPr>
        <sz val="10"/>
        <color rgb="FF000000"/>
        <rFont val="Noto Sans CJK SC"/>
        <family val="2"/>
      </rPr>
      <t xml:space="preserve">）</t>
    </r>
  </si>
  <si>
    <t xml:space="preserve">補區間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</si>
  <si>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</t>
    </r>
  </si>
  <si>
    <t xml:space="preserve">train_min_share</t>
  </si>
  <si>
    <t xml:space="preserve">INP_117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</si>
  <si>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逐年路徑開關（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＝沿用 </t>
    </r>
    <r>
      <rPr>
        <sz val="10"/>
        <color rgb="FF000000"/>
        <rFont val="Arial"/>
        <family val="0"/>
        <charset val="1"/>
      </rPr>
      <t xml:space="preserve">2025 η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＝線性回升至目標）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</si>
  <si>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INP_258</t>
    </r>
  </si>
  <si>
    <t xml:space="preserve">Compute η</t>
  </si>
  <si>
    <t xml:space="preserve">eta_switch</t>
  </si>
  <si>
    <t xml:space="preserve">INP_118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</si>
  <si>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回升情境：目標值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</si>
  <si>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INP_259</t>
    </r>
  </si>
  <si>
    <t xml:space="preserve">eta_target</t>
  </si>
  <si>
    <t xml:space="preserve">INP_119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</si>
  <si>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回升情境：目標年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</si>
  <si>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OpenAI v0.6 INP_260</t>
    </r>
  </si>
  <si>
    <t xml:space="preserve">eta_target_year</t>
  </si>
  <si>
    <t xml:space="preserve">INP_120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</si>
  <si>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合理範圍下限（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</si>
  <si>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偏離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超過一倍即提示</t>
    </r>
  </si>
  <si>
    <t xml:space="preserve">eta_warn_lo</t>
  </si>
  <si>
    <t xml:space="preserve">INP_121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</si>
  <si>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合理範圍上限（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</si>
  <si>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t xml:space="preserve">eta_warn_hi</t>
  </si>
  <si>
    <t xml:space="preserve">INP_122</t>
  </si>
  <si>
    <t xml:space="preserve">合約爬坡年數（起始後線性爬坡至公告規模）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</si>
  <si>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判斷類預設：起始與爬坡無揭露者，公告後次季起線性爬坡至公告規模（</t>
    </r>
    <r>
      <rPr>
        <sz val="10"/>
        <color rgb="FF000000"/>
        <rFont val="Arial"/>
        <family val="0"/>
        <charset val="1"/>
      </rPr>
      <t xml:space="preserve">Assumed 2 </t>
    </r>
    <r>
      <rPr>
        <sz val="10"/>
        <color rgb="FF000000"/>
        <rFont val="Noto Sans CJK SC"/>
        <family val="2"/>
      </rPr>
      <t xml:space="preserve">年，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年）；本模型對全部爬坡型合約共用</t>
    </r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</si>
  <si>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年權重＝</t>
    </r>
    <r>
      <rPr>
        <sz val="10"/>
        <color rgb="FF000000"/>
        <rFont val="Arial"/>
        <family val="0"/>
        <charset val="1"/>
      </rPr>
      <t xml:space="preserve">MIN(r</t>
    </r>
  </si>
  <si>
    <t xml:space="preserve">ramp_years</t>
  </si>
  <si>
    <t xml:space="preserve">INP_123</t>
  </si>
  <si>
    <r>
      <rPr>
        <sz val="10"/>
        <color rgb="FF000000"/>
        <rFont val="Noto Sans CJK SC"/>
        <family val="2"/>
      </rPr>
      <t xml:space="preserve">「最高可達」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計入比例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</si>
  <si>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判斷類預設（</t>
    </r>
    <r>
      <rPr>
        <sz val="10"/>
        <color rgb="FF000000"/>
        <rFont val="Arial"/>
        <family val="0"/>
        <charset val="1"/>
      </rPr>
      <t xml:space="preserve">Assumed 0.8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0.5–1.0</t>
    </r>
    <r>
      <rPr>
        <sz val="10"/>
        <color rgb="FF000000"/>
        <rFont val="Noto Sans CJK SC"/>
        <family val="2"/>
      </rPr>
      <t xml:space="preserve">）；只用於只以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計的「最高可達」合約（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）；有承諾金額者以金額為準</t>
    </r>
  </si>
  <si>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逐合約</t>
    </r>
  </si>
  <si>
    <t xml:space="preserve">upto_share</t>
  </si>
  <si>
    <t xml:space="preserve">INP_124</t>
  </si>
  <si>
    <r>
      <rPr>
        <sz val="10"/>
        <color rgb="FF000000"/>
        <rFont val="Noto Sans CJK SC"/>
        <family val="2"/>
      </rPr>
      <t xml:space="preserve">口徑未明的揭露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視為設施口徑的比例</t>
    </r>
  </si>
  <si>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為準，設施口徑以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換算；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判斷多數合約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口徑未明；基準視同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慣例），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＝全部視為設施口徑 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</si>
  <si>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＝全為 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＝全為設施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</si>
  <si>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換算係數＝（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本列）＋ 本列 </t>
    </r>
    <r>
      <rPr>
        <sz val="10"/>
        <color rgb="FF000000"/>
        <rFont val="Arial"/>
        <family val="0"/>
        <charset val="1"/>
      </rPr>
      <t xml:space="preserve">÷ 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TK_PUE</t>
    </r>
    <r>
      <rPr>
        <sz val="10"/>
        <color rgb="FF000000"/>
        <rFont val="Noto Sans CJK SC"/>
        <family val="2"/>
      </rPr>
      <t xml:space="preserve">，取自 </t>
    </r>
    <r>
      <rPr>
        <sz val="10"/>
        <color rgb="FF000000"/>
        <rFont val="Arial"/>
        <family val="0"/>
        <charset val="1"/>
      </rPr>
      <t xml:space="preserve">Tokenomics</t>
    </r>
    <r>
      <rPr>
        <sz val="10"/>
        <color rgb="FF000000"/>
        <rFont val="Noto Sans CJK SC"/>
        <family val="2"/>
      </rPr>
      <t xml:space="preserve">）</t>
    </r>
  </si>
  <si>
    <t xml:space="preserve">unclear_facility_share</t>
  </si>
  <si>
    <t xml:space="preserve">INP_125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</si>
  <si>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Trainium2 </t>
    </r>
    <r>
      <rPr>
        <sz val="10"/>
        <color rgb="FF000000"/>
        <rFont val="Noto Sans CJK SC"/>
        <family val="2"/>
      </rPr>
      <t xml:space="preserve">占比</t>
    </r>
  </si>
  <si>
    <t xml:space="preserve">2025–2026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</si>
  <si>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為主）；外流帳單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1–9 </t>
    </r>
    <r>
      <rPr>
        <sz val="10"/>
        <color rgb="FF000000"/>
        <rFont val="Noto Sans CJK SC"/>
        <family val="2"/>
      </rPr>
      <t xml:space="preserve">月付 </t>
    </r>
    <r>
      <rPr>
        <sz val="10"/>
        <color rgb="FF000000"/>
        <rFont val="Arial"/>
        <family val="0"/>
        <charset val="1"/>
      </rPr>
      <t xml:space="preserve">AWS $2.66B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SRC_ANT_257</t>
    </r>
    <r>
      <rPr>
        <sz val="10"/>
        <color rgb="FF000000"/>
        <rFont val="Noto Sans CJK SC"/>
        <family val="2"/>
      </rPr>
      <t xml:space="preserve">）年化約占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$7.33B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48%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部分以 </t>
    </r>
    <r>
      <rPr>
        <sz val="10"/>
        <color rgb="FF000000"/>
        <rFont val="Arial"/>
        <family val="0"/>
        <charset val="1"/>
      </rPr>
      <t xml:space="preserve">Trainium2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Project Rainier</t>
    </r>
    <r>
      <rPr>
        <sz val="10"/>
        <color rgb="FF000000"/>
        <rFont val="Noto Sans CJK SC"/>
        <family val="2"/>
      </rPr>
      <t xml:space="preserve">）為主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</si>
  <si>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占比與其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比例未揭露</t>
    </r>
  </si>
  <si>
    <r>
      <rPr>
        <sz val="10"/>
        <color rgb="FF000000"/>
        <rFont val="Arial"/>
        <family val="0"/>
        <charset val="1"/>
      </rPr>
      <t xml:space="preserve">TPU v6e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1 − Trainium2 − Hopper</t>
    </r>
  </si>
  <si>
    <t xml:space="preserve">legacy_share_trn2</t>
  </si>
  <si>
    <t xml:space="preserve">INP_126</t>
  </si>
  <si>
    <r>
      <rPr>
        <sz val="10"/>
        <color rgb="FF000000"/>
        <rFont val="Noto Sans CJK SC"/>
        <family val="2"/>
      </rPr>
      <t xml:space="preserve">既有雲端算力（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前簽）組合：</t>
    </r>
    <r>
      <rPr>
        <sz val="10"/>
        <color rgb="FF000000"/>
        <rFont val="Arial"/>
        <family val="0"/>
        <charset val="1"/>
      </rPr>
      <t xml:space="preserve">NVIDIA Hopper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</si>
  <si>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NVIDIA GPU </t>
    </r>
    <r>
      <rPr>
        <sz val="10"/>
        <color rgb="FF000000"/>
        <rFont val="Noto Sans CJK SC"/>
        <family val="2"/>
      </rPr>
      <t xml:space="preserve">執行個體</t>
    </r>
  </si>
  <si>
    <t xml:space="preserve">legacy_share_hopper</t>
  </si>
  <si>
    <t xml:space="preserve">INP_127</t>
  </si>
  <si>
    <r>
      <rPr>
        <sz val="10"/>
        <color rgb="FF000000"/>
        <rFont val="Noto Sans CJK SC"/>
        <family val="2"/>
      </rPr>
      <t xml:space="preserve">既有雲端算力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延續比例（相對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年付款）</t>
    </r>
  </si>
  <si>
    <r>
      <rPr>
        <sz val="10"/>
        <color rgb="FF000000"/>
        <rFont val="Noto Sans CJK SC"/>
        <family val="2"/>
      </rPr>
      <t xml:space="preserve">招股書的 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起）、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起）承諾應已涵蓋既有用量；既有合約只延續至新約起算前約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4 ÷ 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</si>
  <si>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＝新約完全取代；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＝既有用量全年另計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</si>
  <si>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起＝</t>
    </r>
    <r>
      <rPr>
        <sz val="10"/>
        <color rgb="FF000000"/>
        <rFont val="Arial"/>
        <family val="0"/>
        <charset val="1"/>
      </rPr>
      <t xml:space="preserve">0</t>
    </r>
  </si>
  <si>
    <t xml:space="preserve">legacy_carry_2026</t>
  </si>
  <si>
    <t xml:space="preserve">INP_128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</si>
  <si>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容量採用值（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Broadcom 8-K 3.5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自述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</si>
  <si>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端預設：報導衝突時基準取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／較低值（</t>
    </r>
    <r>
      <rPr>
        <sz val="10"/>
        <color rgb="FF000000"/>
        <rFont val="Arial"/>
        <family val="0"/>
        <charset val="1"/>
      </rPr>
      <t xml:space="preserve">SRC_ANT_188 Broadcom 8-K</t>
    </r>
    <r>
      <rPr>
        <sz val="10"/>
        <color rgb="FF000000"/>
        <rFont val="Noto Sans CJK SC"/>
        <family val="2"/>
      </rPr>
      <t xml:space="preserve">），另一值（</t>
    </r>
    <r>
      <rPr>
        <sz val="10"/>
        <color rgb="FF000000"/>
        <rFont val="Arial"/>
        <family val="0"/>
        <charset val="1"/>
      </rPr>
      <t xml:space="preserve">SRC_ANT_189</t>
    </r>
    <r>
      <rPr>
        <sz val="10"/>
        <color rgb="FF000000"/>
        <rFont val="Noto Sans CJK SC"/>
        <family val="2"/>
      </rPr>
      <t xml:space="preserve">）作區間</t>
    </r>
  </si>
  <si>
    <t xml:space="preserve">兩個揭露值之間</t>
  </si>
  <si>
    <r>
      <rPr>
        <sz val="10"/>
        <color rgb="FF000000"/>
        <rFont val="Noto Sans CJK SC"/>
        <family val="2"/>
      </rPr>
      <t xml:space="preserve">容量＝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＋ 開關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5 − 3.5</t>
    </r>
    <r>
      <rPr>
        <sz val="10"/>
        <color rgb="FF000000"/>
        <rFont val="Noto Sans CJK SC"/>
        <family val="2"/>
      </rPr>
      <t xml:space="preserve">）</t>
    </r>
  </si>
  <si>
    <t xml:space="preserve">broadcom_gw_switch</t>
  </si>
  <si>
    <t xml:space="preserve">INP_129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</si>
  <si>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（招股書 ≥</t>
    </r>
    <r>
      <rPr>
        <sz val="10"/>
        <color rgb="FF000000"/>
        <rFont val="Arial"/>
        <family val="0"/>
        <charset val="1"/>
      </rPr>
      <t xml:space="preserve">$111.1B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</si>
  <si>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2033-07</t>
    </r>
  </si>
  <si>
    <t xml:space="preserve">揭露期間</t>
  </si>
  <si>
    <t xml:space="preserve">google_start</t>
  </si>
  <si>
    <t xml:space="preserve">INP_130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</si>
  <si>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 Cloud TPU</t>
    </r>
  </si>
  <si>
    <t xml:space="preserve">google_end</t>
  </si>
  <si>
    <t xml:space="preserve">INP_131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</si>
  <si>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</si>
  <si>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r>
      <rPr>
        <sz val="10"/>
        <color rgb="FF000000"/>
        <rFont val="Arial"/>
        <family val="0"/>
        <charset val="1"/>
      </rPr>
      <t xml:space="preserve">SRC_ANT_188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：容量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</t>
    </r>
  </si>
  <si>
    <t xml:space="preserve">broadcom_start</t>
  </si>
  <si>
    <t xml:space="preserve">INP_132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</si>
  <si>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租賃）</t>
    </r>
  </si>
  <si>
    <r>
      <rPr>
        <sz val="10"/>
        <color rgb="FF000000"/>
        <rFont val="Arial"/>
        <family val="0"/>
        <charset val="1"/>
      </rPr>
      <t xml:space="preserve">SRC_ANT_250 </t>
    </r>
    <r>
      <rPr>
        <sz val="10"/>
        <color rgb="FF000000"/>
        <rFont val="Noto Sans CJK SC"/>
        <family val="2"/>
      </rPr>
      <t xml:space="preserve">五年租賃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</si>
  <si>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broadcom_end</t>
  </si>
  <si>
    <t xml:space="preserve">INP_133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</si>
  <si>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</si>
  <si>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SRC_ANT_248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2036-04</t>
    </r>
  </si>
  <si>
    <t xml:space="preserve">aws_start</t>
  </si>
  <si>
    <t xml:space="preserve">INP_134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</si>
  <si>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</si>
  <si>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同上（十年；曆年整數化）</t>
  </si>
  <si>
    <t xml:space="preserve">aws_end</t>
  </si>
  <si>
    <t xml:space="preserve">INP_135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</si>
  <si>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</si>
  <si>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SRC_ANT_211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只有約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個月，取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為首個爬坡年</t>
    </r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</si>
  <si>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個月）–</t>
    </r>
    <r>
      <rPr>
        <sz val="10"/>
        <color rgb="FF000000"/>
        <rFont val="Arial"/>
        <family val="0"/>
        <charset val="1"/>
      </rPr>
      <t xml:space="preserve">2027</t>
    </r>
  </si>
  <si>
    <t xml:space="preserve">azure_start</t>
  </si>
  <si>
    <t xml:space="preserve">INP_136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</si>
  <si>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</si>
  <si>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azure_end</t>
  </si>
  <si>
    <t xml:space="preserve">INP_137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</si>
  <si>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</si>
  <si>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SRC_ANT_231 </t>
    </r>
    <r>
      <rPr>
        <sz val="10"/>
        <color rgb="FF000000"/>
        <rFont val="Noto Sans CJK SC"/>
        <family val="2"/>
      </rPr>
      <t xml:space="preserve">首 </t>
    </r>
    <r>
      <rPr>
        <sz val="10"/>
        <color rgb="FF000000"/>
        <rFont val="Arial"/>
        <family val="0"/>
        <charset val="1"/>
      </rPr>
      <t xml:space="preserve">1 GW 2027H1 </t>
    </r>
    <r>
      <rPr>
        <sz val="10"/>
        <color rgb="FF000000"/>
        <rFont val="Noto Sans CJK SC"/>
        <family val="2"/>
      </rPr>
      <t xml:space="preserve">起</t>
    </r>
  </si>
  <si>
    <t xml:space="preserve">amd_start</t>
  </si>
  <si>
    <t xml:space="preserve">INP_138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</si>
  <si>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</si>
  <si>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10"/>
        <color rgb="FF000000"/>
        <rFont val="Noto Sans CJK SC"/>
        <family val="2"/>
      </rPr>
      <t xml:space="preserve">期間未揭露（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租用常見 </t>
    </r>
    <r>
      <rPr>
        <sz val="10"/>
        <color rgb="FF000000"/>
        <rFont val="Arial"/>
        <family val="0"/>
        <charset val="1"/>
      </rPr>
      <t xml:space="preserve">3–7 </t>
    </r>
    <r>
      <rPr>
        <sz val="10"/>
        <color rgb="FF000000"/>
        <rFont val="Noto Sans CJK SC"/>
        <family val="2"/>
      </rPr>
      <t xml:space="preserve">年</t>
    </r>
  </si>
  <si>
    <t xml:space="preserve">常見租期</t>
  </si>
  <si>
    <r>
      <rPr>
        <sz val="10"/>
        <color rgb="FF000000"/>
        <rFont val="Noto Sans CJK SC"/>
        <family val="2"/>
      </rPr>
      <t xml:space="preserve">結束年＝起始 ＋ 期間 − </t>
    </r>
    <r>
      <rPr>
        <sz val="10"/>
        <color rgb="FF000000"/>
        <rFont val="Arial"/>
        <family val="0"/>
        <charset val="1"/>
      </rPr>
      <t xml:space="preserve">1</t>
    </r>
  </si>
  <si>
    <t xml:space="preserve">amd_term</t>
  </si>
  <si>
    <t xml:space="preserve">INP_139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</si>
  <si>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（月費）</t>
    </r>
  </si>
  <si>
    <r>
      <rPr>
        <sz val="10"/>
        <color rgb="FF000000"/>
        <rFont val="Arial"/>
        <family val="0"/>
        <charset val="1"/>
      </rPr>
      <t xml:space="preserve">SRC_ANT_227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SpaceX IPO </t>
    </r>
    <r>
      <rPr>
        <sz val="10"/>
        <color rgb="FF000000"/>
        <rFont val="Noto Sans CJK SC"/>
        <family val="2"/>
      </rPr>
      <t xml:space="preserve">申報，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</si>
  <si>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spacex_start</t>
  </si>
  <si>
    <t xml:space="preserve">INP_140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</si>
  <si>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</t>
    </r>
  </si>
  <si>
    <t xml:space="preserve">spacex_end</t>
  </si>
  <si>
    <t xml:space="preserve">INP_141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</si>
  <si>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首年計費月數（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</t>
    </r>
  </si>
  <si>
    <t xml:space="preserve">同上（定義值）</t>
  </si>
  <si>
    <r>
      <rPr>
        <sz val="10"/>
        <color rgb="FF000000"/>
        <rFont val="Noto Sans CJK SC"/>
        <family val="2"/>
      </rPr>
      <t xml:space="preserve">年付款＝月費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當年月數</t>
    </r>
  </si>
  <si>
    <t xml:space="preserve">spacex_m1</t>
  </si>
  <si>
    <t xml:space="preserve">INP_142</t>
  </si>
  <si>
    <r>
      <rPr>
        <sz val="10"/>
        <color rgb="FF000000"/>
        <rFont val="Arial"/>
        <family val="0"/>
        <charset val="1"/>
      </rPr>
      <t xml:space="preserve">SpaceX </t>
    </r>
    <r>
      <rPr>
        <sz val="10"/>
        <color rgb="FF000000"/>
        <rFont val="Noto Sans CJK SC"/>
        <family val="2"/>
      </rPr>
      <t xml:space="preserve">末年計費月數（</t>
    </r>
    <r>
      <rPr>
        <sz val="10"/>
        <color rgb="FF000000"/>
        <rFont val="Arial"/>
        <family val="0"/>
        <charset val="1"/>
      </rPr>
      <t xml:space="preserve">2029-01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</si>
  <si>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2029-05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個月（同 </t>
    </r>
    <r>
      <rPr>
        <sz val="10"/>
        <color rgb="FF000000"/>
        <rFont val="Arial"/>
        <family val="0"/>
        <charset val="1"/>
      </rPr>
      <t xml:space="preserve">SRC_ANT_230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× 36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Inputs spacex_term_months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個月、</t>
    </r>
    <r>
      <rPr>
        <sz val="10"/>
        <color rgb="FF000000"/>
        <rFont val="Arial"/>
        <family val="0"/>
        <charset val="1"/>
      </rPr>
      <t xml:space="preserve">2027–2028 </t>
    </r>
    <r>
      <rPr>
        <sz val="10"/>
        <color rgb="FF000000"/>
        <rFont val="Noto Sans CJK SC"/>
        <family val="2"/>
      </rPr>
      <t xml:space="preserve">各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個月</t>
    </r>
  </si>
  <si>
    <t xml:space="preserve">spacex_m2</t>
  </si>
  <si>
    <t xml:space="preserve">INP_143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</si>
  <si>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／六年）</t>
    </r>
  </si>
  <si>
    <r>
      <rPr>
        <sz val="10"/>
        <color rgb="FF000000"/>
        <rFont val="Arial"/>
        <family val="0"/>
        <charset val="1"/>
      </rPr>
      <t xml:space="preserve">SRC_ANT_221 </t>
    </r>
    <r>
      <rPr>
        <sz val="10"/>
        <color rgb="FF000000"/>
        <rFont val="Noto Sans CJK SC"/>
        <family val="2"/>
      </rPr>
      <t xml:space="preserve">六年、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年底起上線 → 首個爬坡年 </t>
    </r>
    <r>
      <rPr>
        <sz val="10"/>
        <color rgb="FF000000"/>
        <rFont val="Arial"/>
        <family val="0"/>
        <charset val="1"/>
      </rPr>
      <t xml:space="preserve">2028</t>
    </r>
  </si>
  <si>
    <t xml:space="preserve">nscale_start</t>
  </si>
  <si>
    <t xml:space="preserve">INP_144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</si>
  <si>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</si>
  <si>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同上（六年）</t>
  </si>
  <si>
    <t xml:space="preserve">nscale_end</t>
  </si>
  <si>
    <t xml:space="preserve">INP_145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</si>
  <si>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</si>
  <si>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期間未揭露；工作單預設「公告（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）後次季起」→ 首個完整爬坡年 </t>
    </r>
    <r>
      <rPr>
        <sz val="10"/>
        <color rgb="FF000000"/>
        <rFont val="Arial"/>
        <family val="0"/>
        <charset val="1"/>
      </rPr>
      <t xml:space="preserve">2027</t>
    </r>
  </si>
  <si>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年延後</t>
    </r>
  </si>
  <si>
    <t xml:space="preserve">lambda_start</t>
  </si>
  <si>
    <t xml:space="preserve">INP_146</t>
  </si>
  <si>
    <r>
      <rPr>
        <sz val="10"/>
        <color rgb="FF000000"/>
        <rFont val="Noto Sans CJK SC"/>
        <family val="2"/>
      </rPr>
      <t xml:space="preserve">合約期間（年）：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</si>
  <si>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10"/>
        <color rgb="FF000000"/>
        <rFont val="Noto Sans CJK SC"/>
        <family val="2"/>
      </rPr>
      <t xml:space="preserve">「多年」未揭露；比照同期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六年</t>
    </r>
  </si>
  <si>
    <t xml:space="preserve">lambda_term</t>
  </si>
  <si>
    <t xml:space="preserve">INP_184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</si>
  <si>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『至 </t>
    </r>
    <r>
      <rPr>
        <sz val="10"/>
        <color rgb="FF000000"/>
        <rFont val="Arial"/>
        <family val="0"/>
        <charset val="1"/>
      </rPr>
      <t xml:space="preserve">2034</t>
    </r>
    <r>
      <rPr>
        <sz val="10"/>
        <color rgb="FF000000"/>
        <rFont val="Noto Sans CJK SC"/>
        <family val="2"/>
      </rPr>
      <t xml:space="preserve">』）</t>
    </r>
  </si>
  <si>
    <r>
      <rPr>
        <sz val="10"/>
        <color rgb="FF000000"/>
        <rFont val="Arial"/>
        <family val="0"/>
        <charset val="1"/>
      </rPr>
      <t xml:space="preserve">Implicator </t>
    </r>
    <r>
      <rPr>
        <sz val="10"/>
        <color rgb="FF000000"/>
        <rFont val="Noto Sans CJK SC"/>
        <family val="2"/>
      </rPr>
      <t xml:space="preserve">轉述草擬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'through 2033 and 2034</t>
    </r>
  </si>
  <si>
    <t xml:space="preserve">揭露值</t>
  </si>
  <si>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時使用（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轉金額型，期間＝起始年至本列）；開關＝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時沿用 </t>
    </r>
    <r>
      <rPr>
        <sz val="10"/>
        <color rgb="FF000000"/>
        <rFont val="Arial"/>
        <family val="0"/>
        <charset val="1"/>
      </rPr>
      <t xml:space="preserve">lambda_term</t>
    </r>
  </si>
  <si>
    <t xml:space="preserve">lambda_end</t>
  </si>
  <si>
    <t xml:space="preserve">INP_147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</si>
  <si>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</si>
  <si>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SRC_ANT_236 </t>
    </r>
    <r>
      <rPr>
        <sz val="10"/>
        <color rgb="FF000000"/>
        <rFont val="Noto Sans CJK SC"/>
        <family val="2"/>
      </rPr>
      <t xml:space="preserve">分兩期至 </t>
    </r>
    <r>
      <rPr>
        <sz val="10"/>
        <color rgb="FF000000"/>
        <rFont val="Arial"/>
        <family val="0"/>
        <charset val="1"/>
      </rPr>
      <t xml:space="preserve">2027-03 </t>
    </r>
    <r>
      <rPr>
        <sz val="10"/>
        <color rgb="FF000000"/>
        <rFont val="Noto Sans CJK SC"/>
        <family val="2"/>
      </rPr>
      <t xml:space="preserve">交付</t>
    </r>
  </si>
  <si>
    <t xml:space="preserve">volta_start</t>
  </si>
  <si>
    <t xml:space="preserve">INP_148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</si>
  <si>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</si>
  <si>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volta_end</t>
  </si>
  <si>
    <t xml:space="preserve">INP_149</t>
  </si>
  <si>
    <r>
      <rPr>
        <sz val="10"/>
        <color rgb="FF000000"/>
        <rFont val="Noto Sans CJK SC"/>
        <family val="2"/>
      </rPr>
      <t xml:space="preserve">合約起始年：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／七年）</t>
    </r>
  </si>
  <si>
    <t xml:space="preserve">SRC_ANT_234 2026–2033</t>
  </si>
  <si>
    <t xml:space="preserve">akamai_start</t>
  </si>
  <si>
    <t xml:space="preserve">INP_150</t>
  </si>
  <si>
    <r>
      <rPr>
        <sz val="10"/>
        <color rgb="FF000000"/>
        <rFont val="Noto Sans CJK SC"/>
        <family val="2"/>
      </rPr>
      <t xml:space="preserve">合約結束年：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</si>
  <si>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同上（七年）</t>
  </si>
  <si>
    <t xml:space="preserve">akamai_end</t>
  </si>
  <si>
    <t xml:space="preserve">INP_151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</si>
  <si>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 $50B</t>
    </r>
    <r>
      <rPr>
        <sz val="10"/>
        <color rgb="FF000000"/>
        <rFont val="Noto Sans CJK SC"/>
        <family val="2"/>
      </rPr>
      <t xml:space="preserve">）資本支出起始年</t>
    </r>
  </si>
  <si>
    <r>
      <rPr>
        <sz val="10"/>
        <color rgb="FF000000"/>
        <rFont val="Arial"/>
        <family val="0"/>
        <charset val="1"/>
      </rPr>
      <t xml:space="preserve">SRC_ANT_212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起陸續上線」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</si>
  <si>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</si>
  <si>
    <t xml:space="preserve">fluid_start</t>
  </si>
  <si>
    <t xml:space="preserve">INP_152</t>
  </si>
  <si>
    <r>
      <rPr>
        <sz val="10"/>
        <color rgb="FF000000"/>
        <rFont val="Noto Sans CJK SC"/>
        <family val="2"/>
      </rPr>
      <t xml:space="preserve">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）資本支出均攤年數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</si>
  <si>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：無時程者按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均攤；首批站點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上線、其餘未揭露</t>
    </r>
  </si>
  <si>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</si>
  <si>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年資本支出＝總額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年數</t>
    </r>
  </si>
  <si>
    <t xml:space="preserve">fluid_years</t>
  </si>
  <si>
    <t xml:space="preserve">INP_153</t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</si>
  <si>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投產落後年數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</si>
  <si>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1–2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</si>
  <si>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自建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＝累計資本支出（至年 − 本列）</t>
    </r>
    <r>
      <rPr>
        <sz val="10"/>
        <color rgb="FF000000"/>
        <rFont val="Arial"/>
        <family val="0"/>
        <charset val="1"/>
      </rPr>
      <t xml:space="preserve">÷ TK IF_CapexTotal</t>
    </r>
  </si>
  <si>
    <t xml:space="preserve">own_lag</t>
  </si>
  <si>
    <t xml:space="preserve">INP_154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</si>
  <si>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對報導值差距的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</si>
  <si>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對報導約 </t>
    </r>
    <r>
      <rPr>
        <sz val="10"/>
        <color rgb="FF000000"/>
        <rFont val="Arial"/>
        <family val="0"/>
        <charset val="1"/>
      </rPr>
      <t xml:space="preserve">1.4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）、約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）只作對照（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，不校準）</t>
    </r>
  </si>
  <si>
    <t xml:space="preserve">gw_warn_threshold</t>
  </si>
  <si>
    <t xml:space="preserve">INP_155</t>
  </si>
  <si>
    <r>
      <rPr>
        <sz val="10"/>
        <color rgb="FF000000"/>
        <rFont val="Noto Sans CJK SC"/>
        <family val="2"/>
      </rPr>
      <t xml:space="preserve">逐合約金額加總對招股書總承諾差距的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</si>
  <si>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端預設：逐合約加總對招股書約 </t>
    </r>
    <r>
      <rPr>
        <sz val="10"/>
        <color rgb="FF000000"/>
        <rFont val="Arial"/>
        <family val="0"/>
        <charset val="1"/>
      </rPr>
      <t xml:space="preserve">$518B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）差距 </t>
    </r>
    <r>
      <rPr>
        <sz val="10"/>
        <color rgb="FF000000"/>
        <rFont val="Arial"/>
        <family val="0"/>
        <charset val="1"/>
      </rPr>
      <t xml:space="preserve">&gt;25%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</si>
  <si>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commit_warn_threshold</t>
  </si>
  <si>
    <t xml:space="preserve">INP_156</t>
  </si>
  <si>
    <t xml:space="preserve">員工人數年增率（年均人數）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</si>
  <si>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年均（</t>
    </r>
    <r>
      <rPr>
        <sz val="10"/>
        <color rgb="FF000000"/>
        <rFont val="Arial"/>
        <family val="0"/>
        <charset val="1"/>
      </rPr>
      <t xml:space="preserve">2024Q4 1</t>
    </r>
  </si>
  <si>
    <r>
      <rPr>
        <sz val="10"/>
        <color rgb="FF000000"/>
        <rFont val="Noto Sans CJK SC"/>
        <family val="2"/>
      </rPr>
      <t xml:space="preserve">第三方人數口徑不一（</t>
    </r>
    <r>
      <rPr>
        <sz val="10"/>
        <color rgb="FF000000"/>
        <rFont val="Arial"/>
        <family val="0"/>
        <charset val="1"/>
      </rPr>
      <t xml:space="preserve">SRC_ANT_287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</si>
  <si>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OpenAI v0.6 INP_263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0.55</t>
    </r>
  </si>
  <si>
    <t xml:space="preserve">hc_g_2026</t>
  </si>
  <si>
    <t xml:space="preserve">INP_157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</si>
  <si>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INP_264</t>
    </r>
  </si>
  <si>
    <t xml:space="preserve">hc_g_2027</t>
  </si>
  <si>
    <t xml:space="preserve">INP_158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</si>
  <si>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INP_265</t>
    </r>
  </si>
  <si>
    <t xml:space="preserve">hc_g_2028</t>
  </si>
  <si>
    <t xml:space="preserve">INP_159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</si>
  <si>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INP_266</t>
    </r>
  </si>
  <si>
    <t xml:space="preserve">hc_g_2029</t>
  </si>
  <si>
    <t xml:space="preserve">INP_160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</si>
  <si>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INP_267</t>
    </r>
  </si>
  <si>
    <t xml:space="preserve">hc_g_2030</t>
  </si>
  <si>
    <t xml:space="preserve">INP_161</t>
  </si>
  <si>
    <t xml:space="preserve">每人年成本（不含股權報酬）年變動率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</si>
  <si>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INP_268</t>
    </r>
  </si>
  <si>
    <t xml:space="preserve">pp_cost_g</t>
  </si>
  <si>
    <t xml:space="preserve">INP_162</t>
  </si>
  <si>
    <r>
      <rPr>
        <sz val="10"/>
        <color rgb="FF000000"/>
        <rFont val="Noto Sans CJK SC"/>
        <family val="2"/>
      </rPr>
      <t xml:space="preserve">每人股權報酬（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</si>
  <si>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</si>
  <si>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股權報酬未揭露（</t>
    </r>
    <r>
      <rPr>
        <sz val="10"/>
        <color rgb="FF000000"/>
        <rFont val="Arial"/>
        <family val="0"/>
        <charset val="1"/>
      </rPr>
      <t xml:space="preserve">A1 </t>
    </r>
    <r>
      <rPr>
        <sz val="10"/>
        <color rgb="FF000000"/>
        <rFont val="Noto Sans CJK SC"/>
        <family val="2"/>
      </rPr>
      <t xml:space="preserve">找不到）。上限：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／季（</t>
    </r>
    <r>
      <rPr>
        <sz val="10"/>
        <color rgb="FF000000"/>
        <rFont val="Arial"/>
        <family val="0"/>
        <charset val="1"/>
      </rPr>
      <t xml:space="preserve">SRC_ANT_297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÷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</si>
  <si>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（現金薪酬為主）–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（員工費用幾乎全為股權）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</si>
  <si>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：股權報酬單列；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營業費用視為含股權報酬（</t>
    </r>
    <r>
      <rPr>
        <sz val="10"/>
        <color rgb="FF000000"/>
        <rFont val="Arial"/>
        <family val="0"/>
        <charset val="1"/>
      </rPr>
      <t xml:space="preserve">GAAP </t>
    </r>
    <r>
      <rPr>
        <sz val="10"/>
        <color rgb="FF000000"/>
        <rFont val="Noto Sans CJK SC"/>
        <family val="2"/>
      </rPr>
      <t xml:space="preserve">常見口徑，同 </t>
    </r>
    <r>
      <rPr>
        <sz val="10"/>
        <color rgb="FF000000"/>
        <rFont val="Arial"/>
        <family val="0"/>
        <charset val="1"/>
      </rPr>
      <t xml:space="preserve">OpenAI v0.6 S4 </t>
    </r>
    <r>
      <rPr>
        <sz val="10"/>
        <color rgb="FF000000"/>
        <rFont val="Noto Sans CJK SC"/>
        <family val="2"/>
      </rPr>
      <t xml:space="preserve">預設）</t>
    </r>
  </si>
  <si>
    <t xml:space="preserve">sbc_pp_2025</t>
  </si>
  <si>
    <t xml:space="preserve">INP_163</t>
  </si>
  <si>
    <t xml:space="preserve">每人股權報酬年變動率</t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</si>
  <si>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OpenAI v0.6 INP_269</t>
    </r>
  </si>
  <si>
    <t xml:space="preserve">sbc_pp_g</t>
  </si>
  <si>
    <t xml:space="preserve">INP_164</t>
  </si>
  <si>
    <t xml:space="preserve">每年季數（定義常數）</t>
  </si>
  <si>
    <t xml:space="preserve">季</t>
  </si>
  <si>
    <t xml:space="preserve">季度對照列年化</t>
  </si>
  <si>
    <t xml:space="preserve">quarters_per_year</t>
  </si>
  <si>
    <t xml:space="preserve">INP_165</t>
  </si>
  <si>
    <t xml:space="preserve">最低現金＝次年非算力成本（不含股權報酬）的月數</t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</si>
  <si>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個月，區間 </t>
    </r>
    <r>
      <rPr>
        <sz val="10"/>
        <color rgb="FF000000"/>
        <rFont val="Arial"/>
        <family val="0"/>
        <charset val="1"/>
      </rPr>
      <t xml:space="preserve">3–12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不適用（規模不同）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</si>
  <si>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D17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</si>
  <si>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最低現金；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無次年 → 用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本年</t>
    </r>
  </si>
  <si>
    <t xml:space="preserve">min_cash_months</t>
  </si>
  <si>
    <t xml:space="preserve">INP_166</t>
  </si>
  <si>
    <r>
      <rPr>
        <sz val="10"/>
        <color rgb="FF000000"/>
        <rFont val="Arial"/>
        <family val="0"/>
        <charset val="1"/>
      </rPr>
      <t xml:space="preserve">Amazon 2026 Q2 Series G </t>
    </r>
    <r>
      <rPr>
        <sz val="10"/>
        <color rgb="FF000000"/>
        <rFont val="Noto Sans CJK SC"/>
        <family val="2"/>
      </rPr>
      <t xml:space="preserve">特別股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計入已到位（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＝視為已含於 </t>
    </r>
    <r>
      <rPr>
        <sz val="10"/>
        <color rgb="FF000000"/>
        <rFont val="Arial"/>
        <family val="0"/>
        <charset val="1"/>
      </rPr>
      <t xml:space="preserve">Series G $30B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</si>
  <si>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10-Q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無投票權特別股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2026-04-20 </t>
    </r>
    <r>
      <rPr>
        <sz val="10"/>
        <color rgb="FF000000"/>
        <rFont val="Noto Sans CJK SC"/>
        <family val="2"/>
      </rPr>
      <t xml:space="preserve">宣布），晚於 </t>
    </r>
    <r>
      <rPr>
        <sz val="10"/>
        <color rgb="FF000000"/>
        <rFont val="Arial"/>
        <family val="0"/>
        <charset val="1"/>
      </rPr>
      <t xml:space="preserve">Series G $30B </t>
    </r>
    <r>
      <rPr>
        <sz val="10"/>
        <color rgb="FF000000"/>
        <rFont val="Noto Sans CJK SC"/>
        <family val="2"/>
      </rPr>
      <t xml:space="preserve">交割（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預設「已宣布且已完成交割者計入」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</si>
  <si>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已到位融資</t>
    </r>
  </si>
  <si>
    <t xml:space="preserve">amzn_seriesg_switch</t>
  </si>
  <si>
    <t xml:space="preserve">INP_167</t>
  </si>
  <si>
    <r>
      <rPr>
        <sz val="10"/>
        <color rgb="FF000000"/>
        <rFont val="Arial"/>
        <family val="0"/>
        <charset val="1"/>
      </rPr>
      <t xml:space="preserve">Microsoft $5B </t>
    </r>
    <r>
      <rPr>
        <sz val="10"/>
        <color rgb="FF000000"/>
        <rFont val="Noto Sans CJK SC"/>
        <family val="2"/>
      </rPr>
      <t xml:space="preserve">另計為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流入（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＝已含於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年底現金或 </t>
    </r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</si>
  <si>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SRC_ANT_331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投資 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」→ 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Noto Sans CJK SC"/>
        <family val="2"/>
      </rPr>
      <t xml:space="preserve">內；</t>
    </r>
    <r>
      <rPr>
        <sz val="10"/>
        <color rgb="FF000000"/>
        <rFont val="Arial"/>
        <family val="0"/>
        <charset val="1"/>
      </rPr>
      <t xml:space="preserve">Series G </t>
    </r>
    <r>
      <rPr>
        <sz val="10"/>
        <color rgb="FF000000"/>
        <rFont val="Noto Sans CJK SC"/>
        <family val="2"/>
      </rPr>
      <t xml:space="preserve">新聞稿亦稱含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先前承諾的一部分 → 另計會重複（規格 </t>
    </r>
    <r>
      <rPr>
        <sz val="10"/>
        <color rgb="FF000000"/>
        <rFont val="Arial"/>
        <family val="0"/>
        <charset val="1"/>
      </rPr>
      <t xml:space="preserve">D16 r1 </t>
    </r>
    <r>
      <rPr>
        <sz val="10"/>
        <color rgb="FF000000"/>
        <rFont val="Noto Sans CJK SC"/>
        <family val="2"/>
      </rPr>
      <t xml:space="preserve">列為已到位，本模型以期初現金涵蓋）</t>
    </r>
  </si>
  <si>
    <t xml:space="preserve">避免重複計算</t>
  </si>
  <si>
    <t xml:space="preserve">msft_2026_switch</t>
  </si>
  <si>
    <t xml:space="preserve">INP_168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</si>
  <si>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另計（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＝另計；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$15B </t>
    </r>
    <r>
      <rPr>
        <sz val="10"/>
        <color rgb="FF000000"/>
        <rFont val="Noto Sans CJK SC"/>
        <family val="2"/>
      </rPr>
      <t xml:space="preserve">雲端業者部分）</t>
    </r>
  </si>
  <si>
    <r>
      <rPr>
        <sz val="10"/>
        <color rgb="FF000000"/>
        <rFont val="Arial"/>
        <family val="0"/>
        <charset val="1"/>
      </rPr>
      <t xml:space="preserve">Series H $65B </t>
    </r>
    <r>
      <rPr>
        <sz val="10"/>
        <color rgb="FF000000"/>
        <rFont val="Noto Sans CJK SC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先前承諾的雲端業者投資（其中 </t>
    </r>
    <r>
      <rPr>
        <sz val="10"/>
        <color rgb="FF000000"/>
        <rFont val="Arial"/>
        <family val="0"/>
        <charset val="1"/>
      </rPr>
      <t xml:space="preserve">Amazon $5B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SRC_ANT_300</t>
    </r>
    <r>
      <rPr>
        <sz val="10"/>
        <color rgb="FF000000"/>
        <rFont val="Noto Sans CJK SC"/>
        <family val="2"/>
      </rPr>
      <t xml:space="preserve">）；其餘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Google 2026-04 $10B </t>
    </r>
    <r>
      <rPr>
        <sz val="10"/>
        <color rgb="FF000000"/>
        <rFont val="Noto Sans CJK SC"/>
        <family val="2"/>
      </rPr>
      <t xml:space="preserve">同額（</t>
    </r>
    <r>
      <rPr>
        <sz val="10"/>
        <color rgb="FF000000"/>
        <rFont val="Arial"/>
        <family val="0"/>
        <charset val="1"/>
      </rPr>
      <t xml:space="preserve">SRC_ANT_328 </t>
    </r>
    <r>
      <rPr>
        <sz val="10"/>
        <color rgb="FF000000"/>
        <rFont val="Noto Sans CJK SC"/>
        <family val="2"/>
      </rPr>
      <t xml:space="preserve">未證實）→ 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「避免重複計」</t>
    </r>
  </si>
  <si>
    <t xml:space="preserve">googl_upfront_switch</t>
  </si>
  <si>
    <t xml:space="preserve">INP_169</t>
  </si>
  <si>
    <r>
      <rPr>
        <sz val="10"/>
        <color rgb="FF000000"/>
        <rFont val="Noto Sans CJK SC"/>
        <family val="2"/>
      </rPr>
      <t xml:space="preserve">條件式融資與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計入基準（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＝不計入，</t>
    </r>
    <r>
      <rPr>
        <sz val="10"/>
        <color rgb="FF000000"/>
        <rFont val="Arial"/>
        <family val="0"/>
        <charset val="1"/>
      </rPr>
      <t xml:space="preserve">D16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＝計入）</t>
    </r>
  </si>
  <si>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D16 r1</t>
    </r>
    <r>
      <rPr>
        <sz val="10"/>
        <color rgb="FF000000"/>
        <rFont val="Noto Sans CJK SC"/>
        <family val="2"/>
      </rPr>
      <t xml:space="preserve">：最高可達與條件式承諾、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不計入基準，列情境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</si>
  <si>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</t>
    </r>
  </si>
  <si>
    <t xml:space="preserve">cond_in_base_switch</t>
  </si>
  <si>
    <t xml:space="preserve">INP_170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</si>
  <si>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募資到位年</t>
    </r>
  </si>
  <si>
    <r>
      <rPr>
        <sz val="10"/>
        <color rgb="FF000000"/>
        <rFont val="Arial"/>
        <family val="0"/>
        <charset val="1"/>
      </rPr>
      <t xml:space="preserve">SRC_ANT_340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341</t>
    </r>
    <r>
      <rPr>
        <sz val="10"/>
        <color rgb="FF000000"/>
        <rFont val="Noto Sans CJK SC"/>
        <family val="2"/>
      </rPr>
      <t xml:space="preserve">：報導 </t>
    </r>
    <r>
      <rPr>
        <sz val="10"/>
        <color rgb="FF000000"/>
        <rFont val="Arial"/>
        <family val="0"/>
        <charset val="1"/>
      </rPr>
      <t xml:space="preserve">2026-11 </t>
    </r>
    <r>
      <rPr>
        <sz val="10"/>
        <color rgb="FF000000"/>
        <rFont val="Noto Sans CJK SC"/>
        <family val="2"/>
      </rPr>
      <t xml:space="preserve">掛牌、募資約 </t>
    </r>
    <r>
      <rPr>
        <sz val="10"/>
        <color rgb="FF000000"/>
        <rFont val="Arial"/>
        <family val="0"/>
        <charset val="1"/>
      </rPr>
      <t xml:space="preserve">$100B</t>
    </r>
  </si>
  <si>
    <t xml:space="preserve">延後一年</t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</si>
  <si>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</t>
    </r>
  </si>
  <si>
    <t xml:space="preserve">ipo_year</t>
  </si>
  <si>
    <t xml:space="preserve">INP_171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</si>
  <si>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（依算力交付里程碑）到位年</t>
    </r>
  </si>
  <si>
    <r>
      <rPr>
        <sz val="10"/>
        <color rgb="FF000000"/>
        <rFont val="Arial"/>
        <family val="0"/>
        <charset val="1"/>
      </rPr>
      <t xml:space="preserve">SRC_ANT_321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322</t>
    </r>
    <r>
      <rPr>
        <sz val="10"/>
        <color rgb="FF000000"/>
        <rFont val="Noto Sans CJK SC"/>
        <family val="2"/>
      </rPr>
      <t xml:space="preserve">：額度依算力交付里程碑提領；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新合約 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起爬坡（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年）</t>
    </r>
  </si>
  <si>
    <t xml:space="preserve">里程碑時點未揭露</t>
  </si>
  <si>
    <t xml:space="preserve">amzn_cond_year</t>
  </si>
  <si>
    <t xml:space="preserve">INP_172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</si>
  <si>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（績效目標）到位年</t>
    </r>
  </si>
  <si>
    <r>
      <rPr>
        <sz val="10"/>
        <color rgb="FF000000"/>
        <rFont val="Arial"/>
        <family val="0"/>
        <charset val="1"/>
      </rPr>
      <t xml:space="preserve">SRC_ANT_329</t>
    </r>
    <r>
      <rPr>
        <sz val="10"/>
        <color rgb="FF000000"/>
        <rFont val="Noto Sans CJK SC"/>
        <family val="2"/>
      </rPr>
      <t xml:space="preserve">：視績效目標達成；目標與時點未揭露</t>
    </r>
  </si>
  <si>
    <t xml:space="preserve">googl_cond_year</t>
  </si>
  <si>
    <t xml:space="preserve">INP_173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</si>
  <si>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 </t>
    </r>
    <r>
      <rPr>
        <sz val="10"/>
        <color rgb="FF000000"/>
        <rFont val="Noto Sans CJK SC"/>
        <family val="2"/>
      </rPr>
      <t xml:space="preserve">到位年</t>
    </r>
  </si>
  <si>
    <r>
      <rPr>
        <sz val="10"/>
        <color rgb="FF000000"/>
        <rFont val="Arial"/>
        <family val="0"/>
        <charset val="1"/>
      </rPr>
      <t xml:space="preserve">SRC_ANT_330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承諾最高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，已到位金額未揭露；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報導考慮作為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基石認購</t>
    </r>
  </si>
  <si>
    <r>
      <rPr>
        <sz val="10"/>
        <color rgb="FF000000"/>
        <rFont val="Noto Sans CJK SC"/>
        <family val="2"/>
      </rPr>
      <t xml:space="preserve">隨 </t>
    </r>
    <r>
      <rPr>
        <sz val="10"/>
        <color rgb="FF000000"/>
        <rFont val="Arial"/>
        <family val="0"/>
        <charset val="1"/>
      </rPr>
      <t xml:space="preserve">IPO</t>
    </r>
  </si>
  <si>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情境（與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合併情境時不另計）</t>
    </r>
  </si>
  <si>
    <t xml:space="preserve">nvda_cond_year</t>
  </si>
  <si>
    <t xml:space="preserve">INP_174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</si>
  <si>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認股到位年</t>
    </r>
  </si>
  <si>
    <r>
      <rPr>
        <sz val="10"/>
        <color rgb="FF000000"/>
        <rFont val="Arial"/>
        <family val="0"/>
        <charset val="1"/>
      </rPr>
      <t xml:space="preserve">SRC_ANT_332</t>
    </r>
    <r>
      <rPr>
        <sz val="10"/>
        <color rgb="FF000000"/>
        <rFont val="Noto Sans CJK SC"/>
        <family val="2"/>
      </rPr>
      <t xml:space="preserve">：招股書草稿「</t>
    </r>
    <r>
      <rPr>
        <sz val="10"/>
        <color rgb="FF000000"/>
        <rFont val="Arial"/>
        <family val="0"/>
        <charset val="1"/>
      </rPr>
      <t xml:space="preserve">committed to buy up to $5bn</t>
    </r>
    <r>
      <rPr>
        <sz val="10"/>
        <color rgb="FF000000"/>
        <rFont val="Noto Sans CJK SC"/>
        <family val="2"/>
      </rPr>
      <t xml:space="preserve">」；時點未揭露，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2027H1 </t>
    </r>
    <r>
      <rPr>
        <sz val="10"/>
        <color rgb="FF000000"/>
        <rFont val="Noto Sans CJK SC"/>
        <family val="2"/>
      </rPr>
      <t xml:space="preserve">起</t>
    </r>
  </si>
  <si>
    <t xml:space="preserve">amd_equity_year</t>
  </si>
  <si>
    <t xml:space="preserve">INP_175</t>
  </si>
  <si>
    <t xml:space="preserve">機房租約租金起算年（敏感度）</t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</si>
  <si>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TeraWulf 2027H2 </t>
    </r>
    <r>
      <rPr>
        <sz val="10"/>
        <color rgb="FF000000"/>
        <rFont val="Noto Sans CJK SC"/>
        <family val="2"/>
      </rPr>
      <t xml:space="preserve">初交付、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初全數；</t>
    </r>
    <r>
      <rPr>
        <sz val="10"/>
        <color rgb="FF000000"/>
        <rFont val="Arial"/>
        <family val="0"/>
        <charset val="1"/>
      </rPr>
      <t xml:space="preserve">Riot 2027-12 </t>
    </r>
    <r>
      <rPr>
        <sz val="10"/>
        <color rgb="FF000000"/>
        <rFont val="Noto Sans CJK SC"/>
        <family val="2"/>
      </rPr>
      <t xml:space="preserve">首期、</t>
    </r>
    <r>
      <rPr>
        <sz val="10"/>
        <color rgb="FF000000"/>
        <rFont val="Arial"/>
        <family val="0"/>
        <charset val="1"/>
      </rPr>
      <t xml:space="preserve">2028-06 </t>
    </r>
    <r>
      <rPr>
        <sz val="10"/>
        <color rgb="FF000000"/>
        <rFont val="Noto Sans CJK SC"/>
        <family val="2"/>
      </rPr>
      <t xml:space="preserve">全數；</t>
    </r>
    <r>
      <rPr>
        <sz val="10"/>
        <color rgb="FF000000"/>
        <rFont val="Arial"/>
        <family val="0"/>
        <charset val="1"/>
      </rPr>
      <t xml:space="preserve">Hut 8 2027Q2 </t>
    </r>
    <r>
      <rPr>
        <sz val="10"/>
        <color rgb="FF000000"/>
        <rFont val="Noto Sans CJK SC"/>
        <family val="2"/>
      </rPr>
      <t xml:space="preserve">完工</t>
    </r>
  </si>
  <si>
    <t xml:space="preserve">交付時點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</si>
  <si>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第十四節（基準不計租金）</t>
    </r>
  </si>
  <si>
    <t xml:space="preserve">lease_start_year</t>
  </si>
  <si>
    <t xml:space="preserve">INP_176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</si>
  <si>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TeraWulf Hawesville</t>
    </r>
  </si>
  <si>
    <r>
      <rPr>
        <sz val="10"/>
        <color rgb="FF000000"/>
        <rFont val="Arial"/>
        <family val="0"/>
        <charset val="1"/>
      </rPr>
      <t xml:space="preserve">SRC_ANT_217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 lease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$19B over the initial term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</si>
  <si>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年租金＝總值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</t>
    </r>
  </si>
  <si>
    <t xml:space="preserve">lease_term_terawulf</t>
  </si>
  <si>
    <t xml:space="preserve">INP_177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</si>
  <si>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Riot Rockdale</t>
    </r>
  </si>
  <si>
    <r>
      <rPr>
        <sz val="10"/>
        <color rgb="FF000000"/>
        <rFont val="Arial"/>
        <family val="0"/>
        <charset val="1"/>
      </rPr>
      <t xml:space="preserve">SRC_ANT_219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20-year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$9.1 billion</t>
    </r>
    <r>
      <rPr>
        <sz val="10"/>
        <color rgb="FF000000"/>
        <rFont val="Noto Sans CJK SC"/>
        <family val="2"/>
      </rPr>
      <t xml:space="preserve">」</t>
    </r>
  </si>
  <si>
    <t xml:space="preserve">lease_term_riot</t>
  </si>
  <si>
    <t xml:space="preserve">INP_178</t>
  </si>
  <si>
    <r>
      <rPr>
        <sz val="10"/>
        <color rgb="FF000000"/>
        <rFont val="Noto Sans CJK SC"/>
        <family val="2"/>
      </rPr>
      <t xml:space="preserve">租約期間（年）：</t>
    </r>
    <r>
      <rPr>
        <sz val="10"/>
        <color rgb="FF000000"/>
        <rFont val="Arial"/>
        <family val="0"/>
        <charset val="1"/>
      </rPr>
      <t xml:space="preserve">Hut 8 River Bend</t>
    </r>
  </si>
  <si>
    <r>
      <rPr>
        <sz val="10"/>
        <color rgb="FF000000"/>
        <rFont val="Arial"/>
        <family val="0"/>
        <charset val="1"/>
      </rPr>
      <t xml:space="preserve">SRC_ANT_214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15-year</t>
    </r>
    <r>
      <rPr>
        <sz val="10"/>
        <color rgb="FF000000"/>
        <rFont val="Noto Sans CJK SC"/>
        <family val="2"/>
      </rPr>
      <t xml:space="preserve">」「</t>
    </r>
    <r>
      <rPr>
        <sz val="10"/>
        <color rgb="FF000000"/>
        <rFont val="Arial"/>
        <family val="0"/>
        <charset val="1"/>
      </rPr>
      <t xml:space="preserve">$7 billion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</si>
  <si>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承租，可能已含於自建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（重複計算風險見報告）</t>
    </r>
  </si>
  <si>
    <t xml:space="preserve">lease_term_hut8</t>
  </si>
  <si>
    <t xml:space="preserve">INP_179</t>
  </si>
  <si>
    <r>
      <rPr>
        <sz val="10"/>
        <color rgb="FF000000"/>
        <rFont val="Noto Sans CJK SC"/>
        <family val="2"/>
      </rPr>
      <t xml:space="preserve">逐家合約總額（模型）對招股書逐家金額差距的 </t>
    </r>
    <r>
      <rPr>
        <sz val="10"/>
        <color rgb="FF000000"/>
        <rFont val="Arial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門檻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</si>
  <si>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審查：任一合作方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1| &gt; 25% </t>
    </r>
    <r>
      <rPr>
        <sz val="10"/>
        <color rgb="FF000000"/>
        <rFont val="Noto Sans CJK SC"/>
        <family val="2"/>
      </rPr>
      <t xml:space="preserve">立 </t>
    </r>
    <r>
      <rPr>
        <sz val="10"/>
        <color rgb="FF000000"/>
        <rFont val="Arial"/>
        <family val="0"/>
        <charset val="1"/>
      </rPr>
      <t xml:space="preserve">WARN</t>
    </r>
  </si>
  <si>
    <t xml:space="preserve">partner_warn_threshold</t>
  </si>
  <si>
    <t xml:space="preserve">INP_185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</si>
  <si>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談判中新協議起始年（情境）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</si>
  <si>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起爬坡（沿用 </t>
    </r>
    <r>
      <rPr>
        <sz val="10"/>
        <color rgb="FF000000"/>
        <rFont val="Arial"/>
        <family val="0"/>
        <charset val="1"/>
      </rPr>
      <t xml:space="preserve">A3 </t>
    </r>
    <r>
      <rPr>
        <sz val="10"/>
        <color rgb="FF000000"/>
        <rFont val="Noto Sans CJK SC"/>
        <family val="2"/>
      </rPr>
      <t xml:space="preserve">爬坡預設）』；談判中協議未簽、無日期</t>
    </r>
  </si>
  <si>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</si>
  <si>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第十六節情境；不進基準</t>
    </r>
  </si>
  <si>
    <t xml:space="preserve">neg_start_year</t>
  </si>
  <si>
    <t xml:space="preserve">INP_186</t>
  </si>
  <si>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談判中新協議付款期間（年）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</si>
  <si>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）；對照已揭露雲端義務『未來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年』（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cmp_s1_cloud_total_450</t>
    </r>
    <r>
      <rPr>
        <sz val="10"/>
        <color rgb="FF000000"/>
        <rFont val="Noto Sans CJK SC"/>
        <family val="2"/>
      </rPr>
      <t xml:space="preserve">）</t>
    </r>
  </si>
  <si>
    <t xml:space="preserve">工作單區間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</si>
  <si>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期間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合約價（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）</t>
    </r>
  </si>
  <si>
    <t xml:space="preserve">neg_term_years</t>
  </si>
  <si>
    <t xml:space="preserve">INP_187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</si>
  <si>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新法開關（</t>
    </r>
    <r>
      <rPr>
        <sz val="10"/>
        <color rgb="FF000000"/>
        <rFont val="Arial"/>
        <family val="0"/>
        <charset val="1"/>
      </rPr>
      <t xml:space="preserve">v0.1.3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取揭露容量 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；付款路徑不變＝『最高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比例分攤的年付款；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的金額回推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時本開關無作用）</t>
    </r>
  </si>
  <si>
    <r>
      <rPr>
        <sz val="10"/>
        <color rgb="FF000000"/>
        <rFont val="Arial"/>
        <family val="0"/>
        <charset val="1"/>
      </rPr>
      <t xml:space="preserve">Andy 2026-10-22 </t>
    </r>
    <r>
      <rPr>
        <sz val="10"/>
        <color rgb="FF000000"/>
        <rFont val="Noto Sans CJK SC"/>
        <family val="2"/>
      </rPr>
      <t xml:space="preserve">同意 </t>
    </r>
    <r>
      <rPr>
        <sz val="10"/>
        <color rgb="FF000000"/>
        <rFont val="Arial"/>
        <family val="0"/>
        <charset val="1"/>
      </rPr>
      <t xml:space="preserve">v0.1.1 </t>
    </r>
    <r>
      <rPr>
        <sz val="10"/>
        <color rgb="FF000000"/>
        <rFont val="Noto Sans CJK SC"/>
        <family val="2"/>
      </rPr>
      <t xml:space="preserve">時的預設改法；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端更正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段工作單步驟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（容量用揭露值、付款維持金額攤提）；</t>
    </r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cmp_nscale_mw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cmp_lambda_mw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cmp_s1_nscale_lambda_86</t>
    </r>
  </si>
  <si>
    <r>
      <rPr>
        <sz val="10"/>
        <color rgb="FF000000"/>
        <rFont val="Noto Sans CJK SC"/>
        <family val="2"/>
      </rPr>
      <t xml:space="preserve">設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且 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可重現 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v0.1.2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輸出</t>
    </r>
  </si>
  <si>
    <t xml:space="preserve">u2_method</t>
  </si>
  <si>
    <t xml:space="preserve">INP_188</t>
  </si>
  <si>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層（營運自由現金流自給）是否計入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＝不計，純營運現金流）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</si>
  <si>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：『不靠任何融資時的現金路徑』；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20.28 </t>
    </r>
    <r>
      <rPr>
        <sz val="10"/>
        <color rgb="FF000000"/>
        <rFont val="Noto Sans CJK SC"/>
        <family val="2"/>
      </rPr>
      <t xml:space="preserve">是過去融資所得，故第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層預設不計；替代＝計入（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第十節）</t>
    </r>
  </si>
  <si>
    <r>
      <rPr>
        <sz val="10"/>
        <color rgb="FF000000"/>
        <rFont val="Noto Sans CJK SC"/>
        <family val="2"/>
      </rPr>
      <t xml:space="preserve">只影響第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FND_L1_*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層一律從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年底現金起算</t>
    </r>
  </si>
  <si>
    <t xml:space="preserve">l1_incl_cash</t>
  </si>
  <si>
    <t xml:space="preserve">INP_189</t>
  </si>
  <si>
    <r>
      <rPr>
        <sz val="10"/>
        <color rgb="FF000000"/>
        <rFont val="Noto Sans CJK SC"/>
        <family val="2"/>
      </rPr>
      <t xml:space="preserve">持續擴張情境：每個追加年的追加金額＝當年基準合約付款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（本比例）</t>
    </r>
  </si>
  <si>
    <r>
      <rPr>
        <sz val="10"/>
        <color rgb="FF000000"/>
        <rFont val="Noto Sans CJK SC"/>
        <family val="2"/>
      </rPr>
      <t xml:space="preserve">外部驗收報告 </t>
    </r>
    <r>
      <rPr>
        <sz val="10"/>
        <color rgb="FF000000"/>
        <rFont val="Arial"/>
        <family val="0"/>
        <charset val="1"/>
      </rPr>
      <t xml:space="preserve">Priority 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2029–2030 </t>
    </r>
    <r>
      <rPr>
        <sz val="10"/>
        <color rgb="FF000000"/>
        <rFont val="Noto Sans CJK SC"/>
        <family val="2"/>
      </rPr>
      <t xml:space="preserve">每年追加算力）；工作單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各追加當年合約付款的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Noto Sans CJK SC"/>
        <family val="2"/>
      </rPr>
      <t xml:space="preserve">）；無公開依據</t>
    </r>
  </si>
  <si>
    <r>
      <rPr>
        <sz val="10"/>
        <color rgb="FF000000"/>
        <rFont val="Noto Sans CJK SC"/>
        <family val="2"/>
      </rPr>
      <t xml:space="preserve">工作單區間 </t>
    </r>
    <r>
      <rPr>
        <sz val="10"/>
        <color rgb="FF000000"/>
        <rFont val="Arial"/>
        <family val="0"/>
        <charset val="1"/>
      </rPr>
      <t xml:space="preserve">0–60%</t>
    </r>
    <r>
      <rPr>
        <sz val="10"/>
        <color rgb="FF000000"/>
        <rFont val="Noto Sans CJK SC"/>
        <family val="2"/>
      </rPr>
      <t xml:space="preserve">；基準模型不追加（只計已簽合約），本值只驅動情境列</t>
    </r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</si>
  <si>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第二十三節、</t>
    </r>
    <r>
      <rPr>
        <sz val="10"/>
        <color rgb="FF000000"/>
        <rFont val="Arial"/>
        <family val="0"/>
        <charset val="1"/>
      </rPr>
      <t xml:space="preserve">Funding </t>
    </r>
    <r>
      <rPr>
        <sz val="10"/>
        <color rgb="FF000000"/>
        <rFont val="Noto Sans CJK SC"/>
        <family val="2"/>
      </rPr>
      <t xml:space="preserve">第十節；追加金額為該批合約滿載的年付款，依既有爬坡年數（</t>
    </r>
    <r>
      <rPr>
        <sz val="10"/>
        <color rgb="FF000000"/>
        <rFont val="Arial"/>
        <family val="0"/>
        <charset val="1"/>
      </rPr>
      <t xml:space="preserve">INP ramp_years</t>
    </r>
    <r>
      <rPr>
        <sz val="10"/>
        <color rgb="FF000000"/>
        <rFont val="Noto Sans CJK SC"/>
        <family val="2"/>
      </rPr>
      <t xml:space="preserve">）爬坡</t>
    </r>
  </si>
  <si>
    <t xml:space="preserve">exp_pct</t>
  </si>
  <si>
    <t xml:space="preserve">INP_190</t>
  </si>
  <si>
    <t xml:space="preserve">持續擴張情境：第一個追加年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</si>
  <si>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</si>
  <si>
    <t xml:space="preserve">工作單指定</t>
  </si>
  <si>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第二十三節</t>
    </r>
  </si>
  <si>
    <t xml:space="preserve">exp_first_year</t>
  </si>
  <si>
    <t xml:space="preserve">INP_191</t>
  </si>
  <si>
    <t xml:space="preserve">持續擴張情境：最後一個追加年</t>
  </si>
  <si>
    <t xml:space="preserve">exp_last_year</t>
  </si>
  <si>
    <t xml:space="preserve">INP_192</t>
  </si>
  <si>
    <t xml:space="preserve">持續擴張情境：變現比例（無需求）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</si>
  <si>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（新增算力沒有對應營收）</t>
    </r>
  </si>
  <si>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的營收 ＝ 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</si>
  <si>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exp_mon_none</t>
  </si>
  <si>
    <t xml:space="preserve">INP_193</t>
  </si>
  <si>
    <t xml:space="preserve">持續擴張情境：變現比例（部分變現）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</si>
  <si>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；無實證依據</t>
    </r>
  </si>
  <si>
    <r>
      <rPr>
        <sz val="10"/>
        <color rgb="FF000000"/>
        <rFont val="Noto Sans CJK SC"/>
        <family val="2"/>
      </rPr>
      <t xml:space="preserve">中間檔 </t>
    </r>
    <r>
      <rPr>
        <sz val="10"/>
        <color rgb="FF000000"/>
        <rFont val="Arial"/>
        <family val="0"/>
        <charset val="1"/>
      </rPr>
      <t xml:space="preserve">±0.25</t>
    </r>
  </si>
  <si>
    <t xml:space="preserve">exp_mon_half</t>
  </si>
  <si>
    <t xml:space="preserve">INP_194</t>
  </si>
  <si>
    <t xml:space="preserve">持續擴張情境：變現比例（完全變現）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</si>
  <si>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20261022 A </t>
    </r>
    <r>
      <rPr>
        <sz val="10"/>
        <color rgb="FF000000"/>
        <rFont val="Noto Sans CJK SC"/>
        <family val="2"/>
      </rPr>
      <t xml:space="preserve">段步驟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：變現比例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檔之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＝ 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營收淨額）</t>
    </r>
  </si>
  <si>
    <t xml:space="preserve">exp_mon_full</t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</si>
  <si>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需求：個人方案人數、企業席位、任務類別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 × </t>
    </r>
    <r>
      <rPr>
        <b val="true"/>
        <sz val="13"/>
        <rFont val="Noto Sans CJK SC"/>
        <family val="2"/>
      </rPr>
      <t xml:space="preserve">層級組合；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</t>
    </r>
    <r>
      <rPr>
        <b val="true"/>
        <sz val="13"/>
        <rFont val="Arial"/>
        <family val="0"/>
        <charset val="1"/>
      </rPr>
      <t xml:space="preserve">DEM_Tok_*</t>
    </r>
    <r>
      <rPr>
        <b val="true"/>
        <sz val="13"/>
        <rFont val="Noto Sans CJK SC"/>
        <family val="2"/>
      </rPr>
      <t xml:space="preserve">：層級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</si>
  <si>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：個人付費人數＝個人訂閱營收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加權月費（</t>
    </r>
    <r>
      <rPr>
        <sz val="9"/>
        <color rgb="FF595959"/>
        <rFont val="Arial"/>
        <family val="0"/>
        <charset val="1"/>
      </rPr>
      <t xml:space="preserve">D14 </t>
    </r>
    <r>
      <rPr>
        <sz val="9"/>
        <color rgb="FF595959"/>
        <rFont val="Noto Sans CJK SC"/>
        <family val="2"/>
      </rPr>
      <t xml:space="preserve">校準）；企業席位同理；免費＝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組合有效單價（唯一倒推）。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由半校準總額倒推（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＝任務數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 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</si>
  <si>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</t>
    </r>
    <r>
      <rPr>
        <sz val="9"/>
        <color rgb="FF595959"/>
        <rFont val="Arial"/>
        <family val="0"/>
        <charset val="1"/>
      </rPr>
      <t xml:space="preserve">token 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；每任務 </t>
    </r>
    <r>
      <rPr>
        <sz val="9"/>
        <color rgb="FF595959"/>
        <rFont val="Arial"/>
        <family val="0"/>
        <charset val="1"/>
      </rPr>
      <t xml:space="preserve">K token</t>
    </r>
    <r>
      <rPr>
        <sz val="9"/>
        <color rgb="FF595959"/>
        <rFont val="Noto Sans CJK SC"/>
        <family val="2"/>
      </rPr>
      <t xml:space="preserve">＝千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任務數＝十億。訂閱與免費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不產生營收，只供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算力（推論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）。</t>
    </r>
  </si>
  <si>
    <t xml:space="preserve">編號</t>
  </si>
  <si>
    <t xml:space="preserve">年度</t>
  </si>
  <si>
    <r>
      <rPr>
        <b val="true"/>
        <sz val="10"/>
        <rFont val="Noto Sans CJK SC"/>
        <family val="2"/>
      </rPr>
      <t xml:space="preserve">一、方案組合與人數（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平均）</t>
    </r>
  </si>
  <si>
    <t xml:space="preserve">D01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</si>
  <si>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Pro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</si>
  <si>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一欄；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起一欄）</t>
    </r>
  </si>
  <si>
    <t xml:space="preserve">D02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</si>
  <si>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</si>
  <si>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D03</t>
  </si>
  <si>
    <r>
      <rPr>
        <sz val="10"/>
        <color rgb="FF000000"/>
        <rFont val="Noto Sans CJK SC"/>
        <family val="2"/>
      </rPr>
      <t xml:space="preserve">個人付費方案組合：</t>
    </r>
    <r>
      <rPr>
        <sz val="10"/>
        <color rgb="FF000000"/>
        <rFont val="Arial"/>
        <family val="0"/>
        <charset val="1"/>
      </rPr>
      <t xml:space="preserve">Max 20x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</si>
  <si>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Pro − Max 5x</t>
    </r>
  </si>
  <si>
    <t xml:space="preserve">D04</t>
  </si>
  <si>
    <t xml:space="preserve">個人付費人數合計</t>
  </si>
  <si>
    <t xml:space="preserve">M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</si>
  <si>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＝個人訂閱營收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）（工作單預設：付費人數無官方值時由營收倒推）；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</si>
  <si>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</si>
  <si>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</si>
  <si>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</si>
  <si>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人數</t>
    </r>
  </si>
  <si>
    <t xml:space="preserve">D07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</si>
  <si>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人數</t>
    </r>
  </si>
  <si>
    <t xml:space="preserve">D08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</si>
  <si>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</si>
  <si>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＝月活（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，第三方估計 </t>
    </r>
    <r>
      <rPr>
        <sz val="9"/>
        <color rgb="FF595959"/>
        <rFont val="Arial"/>
        <family val="0"/>
        <charset val="1"/>
      </rPr>
      <t xml:space="preserve">1,890 </t>
    </r>
    <r>
      <rPr>
        <sz val="9"/>
        <color rgb="FF595959"/>
        <rFont val="Noto Sans CJK SC"/>
        <family val="2"/>
      </rPr>
      <t xml:space="preserve">萬）−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</si>
  <si>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D09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</si>
  <si>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</si>
  <si>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D10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</si>
  <si>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</si>
  <si>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D11</t>
  </si>
  <si>
    <r>
      <rPr>
        <sz val="10"/>
        <color rgb="FF000000"/>
        <rFont val="Noto Sans CJK SC"/>
        <family val="2"/>
      </rPr>
      <t xml:space="preserve">企業席位組合：</t>
    </r>
    <r>
      <rPr>
        <sz val="10"/>
        <color rgb="FF000000"/>
        <rFont val="Arial"/>
        <family val="0"/>
        <charset val="1"/>
      </rPr>
      <t xml:space="preserve">Enterprise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</si>
  <si>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標準 − </t>
    </r>
    <r>
      <rPr>
        <sz val="9"/>
        <color rgb="FF595959"/>
        <rFont val="Arial"/>
        <family val="0"/>
        <charset val="1"/>
      </rPr>
      <t xml:space="preserve">Premium</t>
    </r>
  </si>
  <si>
    <t xml:space="preserve">D12</t>
  </si>
  <si>
    <t xml:space="preserve">企業席位數合計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</si>
  <si>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＝企業席位訂閱營收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（加權月費 </t>
    </r>
    <r>
      <rPr>
        <sz val="9"/>
        <color rgb="FF595959"/>
        <rFont val="Arial"/>
        <family val="0"/>
        <charset val="1"/>
      </rPr>
      <t xml:space="preserve">× 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</si>
  <si>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</si>
  <si>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席位數</t>
    </r>
  </si>
  <si>
    <t xml:space="preserve">D14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</si>
  <si>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席位數</t>
    </r>
  </si>
  <si>
    <t xml:space="preserve">D15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</si>
  <si>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席位數</t>
    </r>
  </si>
  <si>
    <r>
      <rPr>
        <b val="true"/>
        <sz val="10"/>
        <rFont val="Noto Sans CJK SC"/>
        <family val="2"/>
      </rPr>
      <t xml:space="preserve">二、訂閱與席位使用量：每日任務數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任務類別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起年增）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</si>
  <si>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</si>
  <si>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每人（席）每日任務數</t>
    </r>
  </si>
  <si>
    <r>
      <rPr>
        <sz val="9"/>
        <color rgb="FF595959"/>
        <rFont val="Arial"/>
        <family val="0"/>
        <charset val="1"/>
      </rPr>
      <t xml:space="preserve">Inputs 2025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</si>
  <si>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</si>
  <si>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</si>
  <si>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</si>
  <si>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</si>
  <si>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D19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</si>
  <si>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</si>
  <si>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</si>
  <si>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每人（席）每日任務數</t>
    </r>
  </si>
  <si>
    <t xml:space="preserve">D21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</si>
  <si>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</si>
  <si>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D22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</si>
  <si>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每人（席）每日任務數</t>
    </r>
  </si>
  <si>
    <t xml:space="preserve">D23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</si>
  <si>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</si>
  <si>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對應任務每次嘗試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Inputs </t>
    </r>
    <r>
      <rPr>
        <sz val="9"/>
        <color rgb="FF595959"/>
        <rFont val="Noto Sans CJK SC"/>
        <family val="2"/>
      </rPr>
      <t xml:space="preserve">倍數；之後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</si>
  <si>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D24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</si>
  <si>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</si>
  <si>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D25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</si>
  <si>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</si>
  <si>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D26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</si>
  <si>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</si>
  <si>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K token 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1000</t>
    </r>
  </si>
  <si>
    <t xml:space="preserve">D27</t>
  </si>
  <si>
    <t xml:space="preserve">Pro token</t>
  </si>
  <si>
    <t xml:space="preserve">D28</t>
  </si>
  <si>
    <t xml:space="preserve">Max 5x token</t>
  </si>
  <si>
    <t xml:space="preserve">D29</t>
  </si>
  <si>
    <t xml:space="preserve">Max 20x token</t>
  </si>
  <si>
    <t xml:space="preserve">D30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</si>
  <si>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token</t>
    </r>
  </si>
  <si>
    <t xml:space="preserve">D31</t>
  </si>
  <si>
    <t xml:space="preserve">Team Premium token</t>
  </si>
  <si>
    <t xml:space="preserve">D32</t>
  </si>
  <si>
    <t xml:space="preserve">Enterprise token</t>
  </si>
  <si>
    <t xml:space="preserve">D33</t>
  </si>
  <si>
    <r>
      <rPr>
        <sz val="10"/>
        <color rgb="FF000000"/>
        <rFont val="Noto Sans CJK SC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</si>
  <si>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t xml:space="preserve">D34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</si>
  <si>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</si>
  <si>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付費方案（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、席位）人數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類別占比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該類每任務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</si>
  <si>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D35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</si>
  <si>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</si>
  <si>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D36</t>
  </si>
  <si>
    <r>
      <rPr>
        <sz val="10"/>
        <color rgb="FF000000"/>
        <rFont val="Noto Sans CJK SC"/>
        <family val="2"/>
      </rPr>
      <t xml:space="preserve">付費方案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</si>
  <si>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D37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</si>
  <si>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：對話</t>
    </r>
  </si>
  <si>
    <t xml:space="preserve">D38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</si>
  <si>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：程式代理</t>
    </r>
  </si>
  <si>
    <t xml:space="preserve">D39</t>
  </si>
  <si>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：其他代理</t>
    </r>
  </si>
  <si>
    <t xml:space="preserve">D40</t>
  </si>
  <si>
    <r>
      <rPr>
        <sz val="10"/>
        <color rgb="FF000000"/>
        <rFont val="Noto Sans CJK SC"/>
        <family val="2"/>
      </rPr>
      <t xml:space="preserve">檢查：（類別合計 − 方案合計）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方案合計（應為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</si>
  <si>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以相對差表示，避免大數相減的浮點雜訊</t>
  </si>
  <si>
    <t xml:space="preserve">D41</t>
  </si>
  <si>
    <r>
      <rPr>
        <sz val="10"/>
        <color rgb="FF000000"/>
        <rFont val="Noto Sans CJK SC"/>
        <family val="2"/>
      </rPr>
      <t xml:space="preserve">程式代理占訂閱、席位與 </t>
    </r>
    <r>
      <rPr>
        <sz val="10"/>
        <color rgb="FF000000"/>
        <rFont val="Arial"/>
        <family val="0"/>
        <charset val="1"/>
      </rPr>
      <t xml:space="preserve">Free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</si>
  <si>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Arial"/>
        <family val="0"/>
        <charset val="1"/>
      </rPr>
      <t xml:space="preserve">Claude Code </t>
    </r>
    <r>
      <rPr>
        <sz val="9"/>
        <color rgb="FF595959"/>
        <rFont val="Noto Sans CJK SC"/>
        <family val="2"/>
      </rPr>
      <t xml:space="preserve">營收落在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</si>
  <si>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起任務成長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價格反應）</t>
    </r>
  </si>
  <si>
    <t xml:space="preserve">D42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</si>
  <si>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組合有效單價）</t>
    </r>
  </si>
  <si>
    <r>
      <rPr>
        <sz val="9"/>
        <color rgb="FF595959"/>
        <rFont val="Noto Sans CJK SC"/>
        <family val="2"/>
      </rPr>
      <t xml:space="preserve">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 ×</t>
    </r>
    <r>
      <rPr>
        <sz val="9"/>
        <color rgb="FF595959"/>
        <rFont val="Noto Sans CJK SC"/>
        <family val="2"/>
      </rPr>
      <t xml:space="preserve">（年度 ≥ 起算年））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</si>
  <si>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</si>
  <si>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</si>
  <si>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的拆分，不影響營收）；之後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</si>
  <si>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</si>
  <si>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</si>
  <si>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十億任務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</si>
  <si>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</si>
  <si>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D45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</si>
  <si>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</si>
  <si>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營收校準值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</si>
  <si>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</si>
  <si>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任務數年增率（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＝半校準隱含值）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</si>
  <si>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起含價格反應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</si>
  <si>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</si>
  <si>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</si>
  <si>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</si>
  <si>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</si>
  <si>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</si>
  <si>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D49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</si>
  <si>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</si>
  <si>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用）</t>
    </r>
  </si>
  <si>
    <t xml:space="preserve">D50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</si>
  <si>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</si>
  <si>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</si>
  <si>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D51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</si>
  <si>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</si>
  <si>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D52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</si>
  <si>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</si>
  <si>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D53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</si>
  <si>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</si>
  <si>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付費類別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</si>
  <si>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D54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</si>
  <si>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</si>
  <si>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D55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</si>
  <si>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</si>
  <si>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D56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</si>
  <si>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</si>
  <si>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</si>
  <si>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</si>
  <si>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D58</t>
  </si>
  <si>
    <t xml:space="preserve">D59</t>
  </si>
  <si>
    <r>
      <rPr>
        <sz val="10"/>
        <color rgb="FF000000"/>
        <rFont val="Noto Sans CJK SC"/>
        <family val="2"/>
      </rPr>
      <t xml:space="preserve">對照：訂閱、席位、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（層級拆分前；應＝合計）</t>
    </r>
  </si>
  <si>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比對</t>
    </r>
  </si>
  <si>
    <t xml:space="preserve">D60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</si>
  <si>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</si>
  <si>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五、對照（只列示）</t>
  </si>
  <si>
    <t xml:space="preserve">D61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</si>
  <si>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D4 </t>
    </r>
    <r>
      <rPr>
        <sz val="10"/>
        <color rgb="FF000000"/>
        <rFont val="Noto Sans CJK SC"/>
        <family val="2"/>
      </rPr>
      <t xml:space="preserve">不另立營收線）</t>
    </r>
  </si>
  <si>
    <r>
      <rPr>
        <sz val="9"/>
        <color rgb="FF595959"/>
        <rFont val="Noto Sans CJK SC"/>
        <family val="2"/>
      </rPr>
      <t xml:space="preserve">只對照；其營收已含在 </t>
    </r>
    <r>
      <rPr>
        <sz val="9"/>
        <color rgb="FF595959"/>
        <rFont val="Arial"/>
        <family val="0"/>
        <charset val="1"/>
      </rPr>
      <t xml:space="preserve">Max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Team Premium </t>
    </r>
    <r>
      <rPr>
        <sz val="9"/>
        <color rgb="FF595959"/>
        <rFont val="Noto Sans CJK SC"/>
        <family val="2"/>
      </rPr>
      <t xml:space="preserve">訂閱與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用量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</si>
  <si>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牌價（價格事件天數加權）與有效單價、訂閱方案別、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層級別、其他、廣告（＝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）、總額、雲端平台抽成、淨額、容量上限（</t>
    </r>
    <r>
      <rPr>
        <b val="true"/>
        <sz val="13"/>
        <rFont val="Arial"/>
        <family val="0"/>
        <charset val="1"/>
      </rPr>
      <t xml:space="preserve">A2 </t>
    </r>
    <r>
      <rPr>
        <b val="true"/>
        <sz val="13"/>
        <rFont val="Noto Sans CJK SC"/>
        <family val="2"/>
      </rPr>
      <t xml:space="preserve">佔位）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</si>
  <si>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）：訂閱＝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訂閱營收、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用量計價營收、其他＝殘差，總額＝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認列營收。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為半校準年（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）：總額＝上半年實際（草擬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實際（投資人簡報）＋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起正向推導（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的任務數與每任務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價格反應）。報導口徑為總額（雲端市集以總額認列），淨額＝總額 − 雲端平台抽成（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）；命題與現金流用淨額。</t>
    </r>
  </si>
  <si>
    <r>
      <rPr>
        <sz val="9"/>
        <color rgb="FF595959"/>
        <rFont val="Noto Sans CJK SC"/>
        <family val="2"/>
      </rPr>
      <t xml:space="preserve">單位：營收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；牌價與有效單價 </t>
    </r>
    <r>
      <rPr>
        <sz val="9"/>
        <color rgb="FF595959"/>
        <rFont val="Arial"/>
        <family val="0"/>
        <charset val="1"/>
      </rPr>
      <t xml:space="preserve">$/M token</t>
    </r>
    <r>
      <rPr>
        <sz val="9"/>
        <color rgb="FF595959"/>
        <rFont val="Noto Sans CJK SC"/>
        <family val="2"/>
      </rPr>
      <t xml:space="preserve">（百萬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）；月費 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月。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里程碑只作對照（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D23</t>
    </r>
    <r>
      <rPr>
        <sz val="9"/>
        <color rgb="FF595959"/>
        <rFont val="Noto Sans CJK SC"/>
        <family val="2"/>
      </rPr>
      <t xml:space="preserve">），不反推參數。</t>
    </r>
  </si>
  <si>
    <t xml:space="preserve">一、年度日期（價格事件天數加權用）</t>
  </si>
  <si>
    <t xml:space="preserve">R01</t>
  </si>
  <si>
    <t xml:space="preserve">年初日（日期序列值）</t>
  </si>
  <si>
    <r>
      <rPr>
        <sz val="9"/>
        <color rgb="FF595959"/>
        <rFont val="Arial"/>
        <family val="0"/>
        <charset val="1"/>
      </rPr>
      <t xml:space="preserve">DATE(</t>
    </r>
    <r>
      <rPr>
        <sz val="9"/>
        <color rgb="FF595959"/>
        <rFont val="Noto Sans CJK SC"/>
        <family val="2"/>
      </rPr>
      <t xml:space="preserve">年度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起始日</t>
    </r>
    <r>
      <rPr>
        <sz val="9"/>
        <color rgb="FF595959"/>
        <rFont val="Arial"/>
        <family val="0"/>
        <charset val="1"/>
      </rPr>
      <t xml:space="preserve">)</t>
    </r>
  </si>
  <si>
    <t xml:space="preserve">R02</t>
  </si>
  <si>
    <t xml:space="preserve">年底次日（日期序列值）</t>
  </si>
  <si>
    <t xml:space="preserve">下一年度的年初日</t>
  </si>
  <si>
    <r>
      <rPr>
        <b val="true"/>
        <sz val="10"/>
        <rFont val="Noto Sans CJK SC"/>
        <family val="2"/>
      </rPr>
      <t xml:space="preserve">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；層級以該層最新模型為準；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依價格事件公告日天數加權，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年底牌價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＋年變動率））</t>
    </r>
  </si>
  <si>
    <t xml:space="preserve">R03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</si>
  <si>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輸入牌價（價格事件天數加權）</t>
    </r>
  </si>
  <si>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（本事件價 − 前一事件價）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該事件之後占當年的比例（第十二節事件表）；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起各事件比例皆為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</t>
    </r>
  </si>
  <si>
    <t xml:space="preserve">R04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</si>
  <si>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</si>
  <si>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＝事件加權；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年底牌價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＋年變動率）；之後逐年</t>
    </r>
  </si>
  <si>
    <t xml:space="preserve">R05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</si>
  <si>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</si>
  <si>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R06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</si>
  <si>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</si>
  <si>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</si>
  <si>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</si>
  <si>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</si>
  <si>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</si>
  <si>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R09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</si>
  <si>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</si>
  <si>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R10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</si>
  <si>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</si>
  <si>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</si>
  <si>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輸入牌價（價格事件天數加權）</t>
    </r>
  </si>
  <si>
    <t xml:space="preserve">R12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</si>
  <si>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</si>
  <si>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R13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</si>
  <si>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輸出牌價（價格事件天數加權）</t>
    </r>
  </si>
  <si>
    <t xml:space="preserve">R14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</si>
  <si>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輸出牌價（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</si>
  <si>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有效單價（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；含輸出占比、快取讀寫、</t>
    </r>
    <r>
      <rPr>
        <b val="true"/>
        <sz val="10"/>
        <rFont val="Arial"/>
        <family val="0"/>
        <charset val="1"/>
      </rPr>
      <t xml:space="preserve">Batch </t>
    </r>
    <r>
      <rPr>
        <b val="true"/>
        <sz val="10"/>
        <rFont val="Noto Sans CJK SC"/>
        <family val="2"/>
      </rPr>
      <t xml:space="preserve">與議價折扣）</t>
    </r>
  </si>
  <si>
    <t xml:space="preserve">R15</t>
  </si>
  <si>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價格倍數（快取讀寫加權）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</si>
  <si>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讀 − 寫）</t>
    </r>
    <r>
      <rPr>
        <sz val="9"/>
        <color rgb="FF595959"/>
        <rFont val="Arial"/>
        <family val="0"/>
        <charset val="1"/>
      </rPr>
      <t xml:space="preserve">× 1 </t>
    </r>
    <r>
      <rPr>
        <sz val="9"/>
        <color rgb="FF595959"/>
        <rFont val="Noto Sans CJK SC"/>
        <family val="2"/>
      </rPr>
      <t xml:space="preserve">＋ 讀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讀取倍數（</t>
    </r>
    <r>
      <rPr>
        <sz val="9"/>
        <color rgb="FF595959"/>
        <rFont val="Arial"/>
        <family val="0"/>
        <charset val="1"/>
      </rPr>
      <t xml:space="preserve">SRC_ANT 0.1</t>
    </r>
    <r>
      <rPr>
        <sz val="9"/>
        <color rgb="FF595959"/>
        <rFont val="Noto Sans CJK SC"/>
        <family val="2"/>
      </rPr>
      <t xml:space="preserve">）＋ 寫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寫入倍數（</t>
    </r>
    <r>
      <rPr>
        <sz val="9"/>
        <color rgb="FF595959"/>
        <rFont val="Arial"/>
        <family val="0"/>
        <charset val="1"/>
      </rPr>
      <t xml:space="preserve">SRC_ANT 1.25</t>
    </r>
    <r>
      <rPr>
        <sz val="9"/>
        <color rgb="FF595959"/>
        <rFont val="Noto Sans CJK SC"/>
        <family val="2"/>
      </rPr>
      <t xml:space="preserve">）</t>
    </r>
  </si>
  <si>
    <t xml:space="preserve">R16</t>
  </si>
  <si>
    <r>
      <rPr>
        <sz val="10"/>
        <color rgb="FF000000"/>
        <rFont val="Noto Sans CJK SC"/>
        <family val="2"/>
      </rPr>
      <t xml:space="preserve">折扣係數（</t>
    </r>
    <r>
      <rPr>
        <sz val="10"/>
        <color rgb="FF000000"/>
        <rFont val="Arial"/>
        <family val="0"/>
        <charset val="1"/>
      </rPr>
      <t xml:space="preserve">Batch × </t>
    </r>
    <r>
      <rPr>
        <sz val="10"/>
        <color rgb="FF000000"/>
        <rFont val="Noto Sans CJK SC"/>
        <family val="2"/>
      </rPr>
      <t xml:space="preserve">議價）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</si>
  <si>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Batch </t>
    </r>
    <r>
      <rPr>
        <sz val="9"/>
        <color rgb="FF595959"/>
        <rFont val="Noto Sans CJK SC"/>
        <family val="2"/>
      </rPr>
      <t xml:space="preserve">占比 </t>
    </r>
    <r>
      <rPr>
        <sz val="9"/>
        <color rgb="FF595959"/>
        <rFont val="Arial"/>
        <family val="0"/>
        <charset val="1"/>
      </rPr>
      <t xml:space="preserve">× Batch 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議價折扣）</t>
    </r>
  </si>
  <si>
    <t xml:space="preserve">R17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</si>
  <si>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有效單價</t>
    </r>
  </si>
  <si>
    <r>
      <rPr>
        <sz val="9"/>
        <color rgb="FF595959"/>
        <rFont val="Noto Sans CJK SC"/>
        <family val="2"/>
      </rPr>
      <t xml:space="preserve">（（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快取倍數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折扣係數</t>
    </r>
  </si>
  <si>
    <t xml:space="preserve">R18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</si>
  <si>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有效單價</t>
    </r>
  </si>
  <si>
    <t xml:space="preserve">R19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</si>
  <si>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有效單價</t>
    </r>
  </si>
  <si>
    <t xml:space="preserve">R20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</si>
  <si>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</si>
  <si>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R21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</si>
  <si>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</si>
  <si>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</si>
  <si>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層級組合：頂層（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</si>
  <si>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中層 − 低層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</si>
  <si>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</si>
  <si>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</si>
  <si>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有效單價</t>
    </r>
  </si>
  <si>
    <r>
      <rPr>
        <b val="true"/>
        <sz val="10"/>
        <rFont val="Noto Sans CJK SC"/>
        <family val="2"/>
      </rPr>
      <t xml:space="preserve">四、訂閱實收月費（</t>
    </r>
    <r>
      <rPr>
        <b val="true"/>
        <sz val="10"/>
        <rFont val="Arial"/>
        <family val="0"/>
        <charset val="1"/>
      </rPr>
      <t xml:space="preserve">$/</t>
    </r>
    <r>
      <rPr>
        <b val="true"/>
        <sz val="10"/>
        <rFont val="Noto Sans CJK SC"/>
        <family val="2"/>
      </rPr>
      <t xml:space="preserve">月；個人方案與企業席位）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</si>
  <si>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</si>
  <si>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實收月費</t>
    </r>
  </si>
  <si>
    <r>
      <rPr>
        <sz val="9"/>
        <color rgb="FF595959"/>
        <rFont val="Noto Sans CJK SC"/>
        <family val="2"/>
      </rPr>
      <t xml:space="preserve">月付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年付占比）＋ 年付月均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年付占比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</si>
  <si>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</si>
  <si>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月費</t>
    </r>
  </si>
  <si>
    <t xml:space="preserve">只有月付</t>
  </si>
  <si>
    <t xml:space="preserve">R26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</si>
  <si>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月費</t>
    </r>
  </si>
  <si>
    <t xml:space="preserve">R27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</si>
  <si>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標準席位實收月費</t>
    </r>
  </si>
  <si>
    <t xml:space="preserve">同上（年付占比）</t>
  </si>
  <si>
    <t xml:space="preserve">R28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</si>
  <si>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席位實收月費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</si>
  <si>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</si>
  <si>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席位月費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</si>
  <si>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＝舊制（第三方指稱 </t>
    </r>
    <r>
      <rPr>
        <sz val="9"/>
        <color rgb="FF595959"/>
        <rFont val="Arial"/>
        <family val="0"/>
        <charset val="1"/>
      </rPr>
      <t xml:space="preserve">$60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席位費，用量另按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牌價計（落在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營收）</t>
    </r>
  </si>
  <si>
    <t xml:space="preserve">R30</t>
  </si>
  <si>
    <t xml:space="preserve">個人付費加權月費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</si>
  <si>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方案占比（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</si>
  <si>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t xml:space="preserve">R31</t>
  </si>
  <si>
    <t xml:space="preserve">企業席位加權月費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</si>
  <si>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席位占比（</t>
    </r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月費</t>
    </r>
  </si>
  <si>
    <r>
      <rPr>
        <b val="true"/>
        <sz val="10"/>
        <rFont val="Noto Sans CJK SC"/>
        <family val="2"/>
      </rPr>
      <t xml:space="preserve">五、校準基準（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實際：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半校準：</t>
    </r>
    <r>
      <rPr>
        <b val="true"/>
        <sz val="10"/>
        <rFont val="Arial"/>
        <family val="0"/>
        <charset val="1"/>
      </rPr>
      <t xml:space="preserve">D15 r2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〕）</t>
    </r>
  </si>
  <si>
    <t xml:space="preserve">R32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</si>
  <si>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個人訂閱營收＝消費者訂閱占營收（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</si>
  <si>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分析師估計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10–20%</t>
    </r>
    <r>
      <rPr>
        <sz val="9"/>
        <color rgb="FF595959"/>
        <rFont val="Noto Sans CJK SC"/>
        <family val="2"/>
      </rPr>
      <t xml:space="preserve">）；個人付費人數由此倒推（工作單預設）</t>
    </r>
  </si>
  <si>
    <t xml:space="preserve">R33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</si>
  <si>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企業席位訂閱營收＝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 − 個人訂閱</t>
    </r>
  </si>
  <si>
    <t xml:space="preserve">企業席位數由此倒推</t>
  </si>
  <si>
    <t xml:space="preserve">R34</t>
  </si>
  <si>
    <r>
      <rPr>
        <sz val="10"/>
        <color rgb="FF000000"/>
        <rFont val="Noto Sans CJK SC"/>
        <family val="2"/>
      </rPr>
      <t xml:space="preserve">營收總額基準（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〔</t>
    </r>
    <r>
      <rPr>
        <sz val="10"/>
        <color rgb="FF000000"/>
        <rFont val="Arial"/>
        <family val="0"/>
        <charset val="1"/>
      </rPr>
      <t xml:space="preserve">Q3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＋成長）〕；開關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</si>
  <si>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已有上半年與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實際，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持平（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成長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，保守；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的『下半年＝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÷ 2</t>
    </r>
    <r>
      <rPr>
        <sz val="9"/>
        <color rgb="FF595959"/>
        <rFont val="Noto Sans CJK SC"/>
        <family val="2"/>
      </rPr>
      <t xml:space="preserve">』僅在開關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時使用</t>
    </r>
  </si>
  <si>
    <r>
      <rPr>
        <b val="true"/>
        <sz val="10"/>
        <rFont val="Noto Sans CJK SC"/>
        <family val="2"/>
      </rPr>
      <t xml:space="preserve">六、訂閱營收（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實收月費 </t>
    </r>
    <r>
      <rPr>
        <b val="true"/>
        <sz val="10"/>
        <rFont val="Arial"/>
        <family val="0"/>
        <charset val="1"/>
      </rPr>
      <t xml:space="preserve">× 12 ÷ 1000</t>
    </r>
    <r>
      <rPr>
        <b val="true"/>
        <sz val="10"/>
        <rFont val="Noto Sans CJK SC"/>
        <family val="2"/>
      </rPr>
      <t xml:space="preserve">）</t>
    </r>
  </si>
  <si>
    <t xml:space="preserve">R35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</si>
  <si>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</si>
  <si>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R36</t>
  </si>
  <si>
    <r>
      <rPr>
        <sz val="10"/>
        <color rgb="FF000000"/>
        <rFont val="Arial"/>
        <family val="0"/>
        <charset val="1"/>
      </rPr>
      <t xml:space="preserve">Max 5x </t>
    </r>
    <r>
      <rPr>
        <sz val="10"/>
        <color rgb="FF000000"/>
        <rFont val="Noto Sans CJK SC"/>
        <family val="2"/>
      </rPr>
      <t xml:space="preserve">訂閱營收</t>
    </r>
  </si>
  <si>
    <t xml:space="preserve">R37</t>
  </si>
  <si>
    <r>
      <rPr>
        <sz val="10"/>
        <color rgb="FF000000"/>
        <rFont val="Arial"/>
        <family val="0"/>
        <charset val="1"/>
      </rPr>
      <t xml:space="preserve">Max 20x </t>
    </r>
    <r>
      <rPr>
        <sz val="10"/>
        <color rgb="FF000000"/>
        <rFont val="Noto Sans CJK SC"/>
        <family val="2"/>
      </rPr>
      <t xml:space="preserve">訂閱營收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</si>
  <si>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</si>
  <si>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 訂閱營收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</si>
  <si>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</si>
  <si>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Team Premium </t>
    </r>
    <r>
      <rPr>
        <sz val="10"/>
        <color rgb="FF000000"/>
        <rFont val="Noto Sans CJK SC"/>
        <family val="2"/>
      </rPr>
      <t xml:space="preserve">訂閱營收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</si>
  <si>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</si>
  <si>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訂閱營收</t>
    </r>
  </si>
  <si>
    <t xml:space="preserve">R41</t>
  </si>
  <si>
    <r>
      <rPr>
        <sz val="10"/>
        <color rgb="FF000000"/>
        <rFont val="Noto Sans CJK SC"/>
        <family val="2"/>
      </rPr>
      <t xml:space="preserve">個人訂閱合計（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</si>
  <si>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t xml:space="preserve">R42</t>
  </si>
  <si>
    <r>
      <rPr>
        <sz val="10"/>
        <color rgb="FF000000"/>
        <rFont val="Noto Sans CJK SC"/>
        <family val="2"/>
      </rPr>
      <t xml:space="preserve">企業席位訂閱合計（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</t>
    </r>
  </si>
  <si>
    <t xml:space="preserve">R43</t>
  </si>
  <si>
    <t xml:space="preserve">訂閱合計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</si>
  <si>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＝計費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組合有效單價 </t>
    </r>
    <r>
      <rPr>
        <b val="true"/>
        <sz val="10"/>
        <rFont val="Arial"/>
        <family val="0"/>
        <charset val="1"/>
      </rPr>
      <t xml:space="preserve">÷ 1000</t>
    </r>
    <r>
      <rPr>
        <b val="true"/>
        <sz val="10"/>
        <rFont val="Noto Sans CJK SC"/>
        <family val="2"/>
      </rPr>
      <t xml:space="preserve">）</t>
    </r>
  </si>
  <si>
    <t xml:space="preserve">R44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</si>
  <si>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營收校準值（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＝總額基準 − 訂閱 − 其他 − 廣告）</t>
    </r>
  </si>
  <si>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API token </t>
    </r>
    <r>
      <rPr>
        <sz val="9"/>
        <color rgb="FF595959"/>
        <rFont val="Noto Sans CJK SC"/>
        <family val="2"/>
      </rPr>
      <t xml:space="preserve">由此倒推（唯一倒推項）</t>
    </r>
  </si>
  <si>
    <t xml:space="preserve">R45</t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</si>
  <si>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</t>
    </r>
  </si>
  <si>
    <t xml:space="preserve">R46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</si>
  <si>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</si>
  <si>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t xml:space="preserve">R47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</si>
  <si>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</si>
  <si>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</si>
  <si>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</si>
  <si>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R49</t>
  </si>
  <si>
    <r>
      <rPr>
        <sz val="10"/>
        <color rgb="FF000000"/>
        <rFont val="Noto Sans CJK SC"/>
        <family val="2"/>
      </rPr>
      <t xml:space="preserve">檢查：層級合計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</si>
  <si>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八、其他與廣告</t>
  </si>
  <si>
    <t xml:space="preserve">R50</t>
  </si>
  <si>
    <r>
      <rPr>
        <sz val="10"/>
        <color rgb="FF000000"/>
        <rFont val="Noto Sans CJK SC"/>
        <family val="2"/>
      </rPr>
      <t xml:space="preserve">其他營收（政府、授權等；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＝認列營收 − 訂閱 − 用量計價）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</si>
  <si>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殘差（含四捨五入）；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＋年增率）</t>
    </r>
  </si>
  <si>
    <t xml:space="preserve">R51</t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</si>
  <si>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：不放廣告）</t>
    </r>
  </si>
  <si>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</si>
  <si>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九、總額、雲端平台抽成（</t>
    </r>
    <r>
      <rPr>
        <b val="true"/>
        <sz val="10"/>
        <rFont val="Arial"/>
        <family val="0"/>
        <charset val="1"/>
      </rPr>
      <t xml:space="preserve">D5 r1</t>
    </r>
    <r>
      <rPr>
        <b val="true"/>
        <sz val="10"/>
        <rFont val="Noto Sans CJK SC"/>
        <family val="2"/>
      </rPr>
      <t xml:space="preserve">）、淨額；個人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企業</t>
    </r>
  </si>
  <si>
    <t xml:space="preserve">R52</t>
  </si>
  <si>
    <t xml:space="preserve">營收總額（報導口徑：雲端市集以總額認列）</t>
  </si>
  <si>
    <t xml:space="preserve">R53</t>
  </si>
  <si>
    <r>
      <rPr>
        <sz val="10"/>
        <color rgb="FF000000"/>
        <rFont val="Noto Sans CJK SC"/>
        <family val="2"/>
      </rPr>
      <t xml:space="preserve">雲端通路（</t>
    </r>
    <r>
      <rPr>
        <sz val="10"/>
        <color rgb="FF000000"/>
        <rFont val="Arial"/>
        <family val="0"/>
        <charset val="1"/>
      </rPr>
      <t xml:space="preserve">AWS Bedrock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Vertex </t>
    </r>
    <r>
      <rPr>
        <sz val="10"/>
        <color rgb="FF000000"/>
        <rFont val="Noto Sans CJK SC"/>
        <family val="2"/>
      </rPr>
      <t xml:space="preserve">等）占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營收比例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</si>
  <si>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＝認列營收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雲端通路占比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用量計價營收（通路營收全歸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變動</t>
    </r>
  </si>
  <si>
    <t xml:space="preserve">R54</t>
  </si>
  <si>
    <t xml:space="preserve">雲端通路營收</t>
  </si>
  <si>
    <t xml:space="preserve">R55</t>
  </si>
  <si>
    <r>
      <rPr>
        <sz val="10"/>
        <color rgb="FF000000"/>
        <rFont val="Noto Sans CJK SC"/>
        <family val="2"/>
      </rPr>
      <t xml:space="preserve">平台抽成率（每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</si>
  <si>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＝報導通路費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通路營收（隱含值）；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16%</t>
    </r>
    <r>
      <rPr>
        <sz val="9"/>
        <color rgb="FF595959"/>
        <rFont val="Noto Sans CJK SC"/>
        <family val="2"/>
      </rPr>
      <t xml:space="preserve">，區間至 </t>
    </r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）</t>
    </r>
  </si>
  <si>
    <t xml:space="preserve">R56</t>
  </si>
  <si>
    <t xml:space="preserve">雲端平台抽成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</si>
  <si>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報導值 </t>
    </r>
    <r>
      <rPr>
        <sz val="9"/>
        <color rgb="FF595959"/>
        <rFont val="Arial"/>
        <family val="0"/>
        <charset val="1"/>
      </rPr>
      <t xml:space="preserve">$0.351B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起＝通路營收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抽成率。說明書將抽成記為行銷費用，本模型改自營收扣除（不再列入非算力費用，避免重複）</t>
    </r>
  </si>
  <si>
    <t xml:space="preserve">R57</t>
  </si>
  <si>
    <t xml:space="preserve">營收淨額（總額 − 平台抽成；命題與現金流用此）</t>
  </si>
  <si>
    <t xml:space="preserve">R58</t>
  </si>
  <si>
    <r>
      <rPr>
        <sz val="10"/>
        <color rgb="FF000000"/>
        <rFont val="Noto Sans CJK SC"/>
        <family val="2"/>
      </rPr>
      <t xml:space="preserve">個人（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訂閱；含廣告）</t>
    </r>
  </si>
  <si>
    <r>
      <rPr>
        <sz val="9"/>
        <color rgb="FF595959"/>
        <rFont val="Arial"/>
        <family val="0"/>
        <charset val="1"/>
      </rPr>
      <t xml:space="preserve">D2</t>
    </r>
    <r>
      <rPr>
        <sz val="9"/>
        <color rgb="FF595959"/>
        <rFont val="Noto Sans CJK SC"/>
        <family val="2"/>
      </rPr>
      <t xml:space="preserve">：個人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企業</t>
    </r>
  </si>
  <si>
    <t xml:space="preserve">R59</t>
  </si>
  <si>
    <r>
      <rPr>
        <sz val="10"/>
        <color rgb="FF000000"/>
        <rFont val="Noto Sans CJK SC"/>
        <family val="2"/>
      </rPr>
      <t xml:space="preserve">企業（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</si>
  <si>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R60</t>
  </si>
  <si>
    <t xml:space="preserve">企業占（個人＋企業）</t>
  </si>
  <si>
    <r>
      <rPr>
        <sz val="9"/>
        <color rgb="FF595959"/>
        <rFont val="Noto Sans CJK SC"/>
        <family val="2"/>
      </rPr>
      <t xml:space="preserve">對照：企業與商業客戶約占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SRC_ANT_036</t>
    </r>
    <r>
      <rPr>
        <sz val="9"/>
        <color rgb="FF595959"/>
        <rFont val="Noto Sans CJK SC"/>
        <family val="2"/>
      </rPr>
      <t xml:space="preserve">）</t>
    </r>
  </si>
  <si>
    <t xml:space="preserve">R61</t>
  </si>
  <si>
    <r>
      <rPr>
        <sz val="10"/>
        <color rgb="FF000000"/>
        <rFont val="Noto Sans CJK SC"/>
        <family val="2"/>
      </rPr>
      <t xml:space="preserve">檢查：個人＋企業＋其他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</si>
  <si>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R62</t>
  </si>
  <si>
    <t xml:space="preserve">總額年增率</t>
  </si>
  <si>
    <t xml:space="preserve">R63</t>
  </si>
  <si>
    <t xml:space="preserve">訂閱占總額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</si>
  <si>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17%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Sacra 2026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10–15%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</si>
  <si>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十、容量上限（</t>
    </r>
    <r>
      <rPr>
        <b val="true"/>
        <sz val="10"/>
        <rFont val="Arial"/>
        <family val="0"/>
        <charset val="1"/>
      </rPr>
      <t xml:space="preserve">Compute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CMP_CapFactor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</si>
  <si>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R64</t>
  </si>
  <si>
    <r>
      <rPr>
        <sz val="10"/>
        <color rgb="FF000000"/>
        <rFont val="Noto Sans CJK SC"/>
        <family val="2"/>
      </rPr>
      <t xml:space="preserve">容量上限係數（＝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CMP_CapFactor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</si>
  <si>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填入：＝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同欄（推論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截頂後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為校準年固定 </t>
    </r>
    <r>
      <rPr>
        <sz val="9"/>
        <color rgb="FF595959"/>
        <rFont val="Arial"/>
        <family val="0"/>
        <charset val="1"/>
      </rPr>
      <t xml:space="preserve">1</t>
    </r>
  </si>
  <si>
    <t xml:space="preserve">R65</t>
  </si>
  <si>
    <t xml:space="preserve">營收總額（截頂後）</t>
  </si>
  <si>
    <t xml:space="preserve">R66</t>
  </si>
  <si>
    <t xml:space="preserve">雲端平台抽成（截頂後）</t>
  </si>
  <si>
    <t xml:space="preserve">R67</t>
  </si>
  <si>
    <t xml:space="preserve">營收淨額（截頂後）</t>
  </si>
  <si>
    <r>
      <rPr>
        <b val="true"/>
        <sz val="10"/>
        <rFont val="Noto Sans CJK SC"/>
        <family val="2"/>
      </rPr>
      <t xml:space="preserve">十一、對照與差距（只列差距，不校準；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D15 r1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D23</t>
    </r>
    <r>
      <rPr>
        <b val="true"/>
        <sz val="10"/>
        <rFont val="Noto Sans CJK SC"/>
        <family val="2"/>
      </rPr>
      <t xml:space="preserve">）</t>
    </r>
  </si>
  <si>
    <t xml:space="preserve">R68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</si>
  <si>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認列營收（校準，應為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</si>
  <si>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R69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</si>
  <si>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半校準基準（應為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</si>
  <si>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R70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</si>
  <si>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未校準個人訂閱＝月活（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付費轉換率（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加權月費 </t>
    </r>
    <r>
      <rPr>
        <sz val="10"/>
        <color rgb="FF000000"/>
        <rFont val="Arial"/>
        <family val="0"/>
        <charset val="1"/>
      </rPr>
      <t xml:space="preserve">× 12</t>
    </r>
  </si>
  <si>
    <t xml:space="preserve">自下而上口徑</t>
  </si>
  <si>
    <t xml:space="preserve">R71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</si>
  <si>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</t>
    </r>
  </si>
  <si>
    <t xml:space="preserve">R72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</si>
  <si>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run-rate </t>
    </r>
    <r>
      <rPr>
        <sz val="10"/>
        <color rgb="FF000000"/>
        <rFont val="Noto Sans CJK SC"/>
        <family val="2"/>
      </rPr>
      <t xml:space="preserve">推估＝（</t>
    </r>
    <r>
      <rPr>
        <sz val="10"/>
        <color rgb="FF000000"/>
        <rFont val="Arial"/>
        <family val="0"/>
        <charset val="1"/>
      </rPr>
      <t xml:space="preserve">2025-12 − 2024-12 </t>
    </r>
    <r>
      <rPr>
        <sz val="10"/>
        <color rgb="FF000000"/>
        <rFont val="Noto Sans CJK SC"/>
        <family val="2"/>
      </rPr>
      <t xml:space="preserve">年化）</t>
    </r>
    <r>
      <rPr>
        <sz val="10"/>
        <color rgb="FF000000"/>
        <rFont val="Arial"/>
        <family val="0"/>
        <charset val="1"/>
      </rPr>
      <t xml:space="preserve">÷ ln</t>
    </r>
    <r>
      <rPr>
        <sz val="10"/>
        <color rgb="FF000000"/>
        <rFont val="Noto Sans CJK SC"/>
        <family val="2"/>
      </rPr>
      <t xml:space="preserve">（兩者比）</t>
    </r>
  </si>
  <si>
    <r>
      <rPr>
        <sz val="9"/>
        <color rgb="FF595959"/>
        <rFont val="Noto Sans CJK SC"/>
        <family val="2"/>
      </rPr>
      <t xml:space="preserve">年度營收≈當年各月年化營收的平均；年內等比成長時為對數平均（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：只作對照）</t>
    </r>
  </si>
  <si>
    <t xml:space="preserve">R73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</si>
  <si>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</si>
  <si>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為未明口徑，且月初／月底不一</t>
    </r>
  </si>
  <si>
    <t xml:space="preserve">R74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</si>
  <si>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里程碑推估＝上半年實際＋下半年（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年化 → 年底投資人預期中點的對數平均）</t>
    </r>
    <r>
      <rPr>
        <sz val="10"/>
        <color rgb="FF000000"/>
        <rFont val="Arial"/>
        <family val="0"/>
        <charset val="1"/>
      </rPr>
      <t xml:space="preserve">× 6 ÷ 12</t>
    </r>
  </si>
  <si>
    <r>
      <rPr>
        <sz val="9"/>
        <color rgb="FF595959"/>
        <rFont val="Noto Sans CJK SC"/>
        <family val="2"/>
      </rPr>
      <t xml:space="preserve">年底投資人預期 </t>
    </r>
    <r>
      <rPr>
        <sz val="9"/>
        <color rgb="FF595959"/>
        <rFont val="Arial"/>
        <family val="0"/>
        <charset val="1"/>
      </rPr>
      <t xml:space="preserve">$100–120B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SRC_ANT_373</t>
    </r>
    <r>
      <rPr>
        <sz val="9"/>
        <color rgb="FF595959"/>
        <rFont val="Noto Sans CJK SC"/>
        <family val="2"/>
      </rPr>
      <t xml:space="preserve">，非公司指引）只作對照</t>
    </r>
  </si>
  <si>
    <t xml:space="preserve">R75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</si>
  <si>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</si>
  <si>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：差距 </t>
    </r>
    <r>
      <rPr>
        <sz val="9"/>
        <color rgb="FF595959"/>
        <rFont val="Arial"/>
        <family val="0"/>
        <charset val="1"/>
      </rPr>
      <t xml:space="preserve">&gt;25% </t>
    </r>
    <r>
      <rPr>
        <sz val="9"/>
        <color rgb="FF595959"/>
        <rFont val="Noto Sans CJK SC"/>
        <family val="2"/>
      </rPr>
      <t xml:space="preserve">立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，不自動校準</t>
    </r>
  </si>
  <si>
    <t xml:space="preserve">R76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</si>
  <si>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下半年隱含年化（模型）＝（總額 − 上半年實際）</t>
    </r>
    <r>
      <rPr>
        <sz val="10"/>
        <color rgb="FF000000"/>
        <rFont val="Arial"/>
        <family val="0"/>
        <charset val="1"/>
      </rPr>
      <t xml:space="preserve">× 12 ÷ 6</t>
    </r>
  </si>
  <si>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年化（</t>
    </r>
    <r>
      <rPr>
        <sz val="9"/>
        <color rgb="FF595959"/>
        <rFont val="Arial"/>
        <family val="0"/>
        <charset val="1"/>
      </rPr>
      <t xml:space="preserve">D15 r1 </t>
    </r>
    <r>
      <rPr>
        <sz val="9"/>
        <color rgb="FF595959"/>
        <rFont val="Noto Sans CJK SC"/>
        <family val="2"/>
      </rPr>
      <t xml:space="preserve">持平假設）；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U1</t>
    </r>
    <r>
      <rPr>
        <sz val="9"/>
        <color rgb="FF595959"/>
        <rFont val="Noto Sans CJK SC"/>
        <family val="2"/>
      </rPr>
      <t xml:space="preserve">）＝（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2 </t>
    </r>
    <r>
      <rPr>
        <sz val="9"/>
        <color rgb="FF595959"/>
        <rFont val="Noto Sans CJK SC"/>
        <family val="2"/>
      </rPr>
      <t xml:space="preserve">的年化，約 </t>
    </r>
    <r>
      <rPr>
        <sz val="9"/>
        <color rgb="FF595959"/>
        <rFont val="Arial"/>
        <family val="0"/>
        <charset val="1"/>
      </rPr>
      <t xml:space="preserve">67.2</t>
    </r>
  </si>
  <si>
    <t xml:space="preserve">R77</t>
  </si>
  <si>
    <r>
      <rPr>
        <sz val="10"/>
        <color rgb="FF000000"/>
        <rFont val="Noto Sans CJK SC"/>
        <family val="2"/>
      </rPr>
      <t xml:space="preserve">管理層營收預測（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版；只對照，不驅動）</t>
    </r>
  </si>
  <si>
    <r>
      <rPr>
        <sz val="9"/>
        <color rgb="FF595959"/>
        <rFont val="Arial"/>
        <family val="0"/>
        <charset val="1"/>
      </rPr>
      <t xml:space="preserve">SRC_ANT_368–370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</si>
  <si>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R78</t>
  </si>
  <si>
    <t xml:space="preserve">模型總額 − 管理層預測</t>
  </si>
  <si>
    <t xml:space="preserve">R79</t>
  </si>
  <si>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通路營收（隱含抽成率上緣）</t>
    </r>
  </si>
  <si>
    <r>
      <rPr>
        <sz val="9"/>
        <color rgb="FF595959"/>
        <rFont val="Arial"/>
        <family val="0"/>
        <charset val="1"/>
      </rPr>
      <t xml:space="preserve">BofA </t>
    </r>
    <r>
      <rPr>
        <sz val="9"/>
        <color rgb="FF595959"/>
        <rFont val="Noto Sans CJK SC"/>
        <family val="2"/>
      </rPr>
      <t xml:space="preserve">口徑可能含算力租金（</t>
    </r>
    <r>
      <rPr>
        <sz val="9"/>
        <color rgb="FF595959"/>
        <rFont val="Arial"/>
        <family val="0"/>
        <charset val="1"/>
      </rPr>
      <t xml:space="preserve">SRC_ANT_033 </t>
    </r>
    <r>
      <rPr>
        <sz val="9"/>
        <color rgb="FF595959"/>
        <rFont val="Noto Sans CJK SC"/>
        <family val="2"/>
      </rPr>
      <t xml:space="preserve">註），只作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抽成率上緣的依據</t>
    </r>
  </si>
  <si>
    <r>
      <rPr>
        <b val="true"/>
        <sz val="10"/>
        <rFont val="Noto Sans CJK SC"/>
        <family val="2"/>
      </rPr>
      <t xml:space="preserve">十一之二、</t>
    </r>
    <r>
      <rPr>
        <b val="true"/>
        <sz val="10"/>
        <rFont val="Arial"/>
        <family val="0"/>
        <charset val="1"/>
      </rPr>
      <t xml:space="preserve">v0.1.1 U1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上半年實際基準（列放在本節，使既有列編號不變；上方『營收總額基準』『里程碑推估』『下半年隱含年化』引用）</t>
    </r>
  </si>
  <si>
    <t xml:space="preserve">R80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</si>
  <si>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上半年實際營收（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</si>
  <si>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：上半年實際改採草擬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Q1 4.73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11.6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16.33 </t>
    </r>
    <r>
      <rPr>
        <sz val="9"/>
        <color rgb="FF595959"/>
        <rFont val="Noto Sans CJK SC"/>
        <family val="2"/>
      </rPr>
      <t xml:space="preserve">與之相符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</si>
  <si>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價格事件（層級牌價序列；價格與公告日取自 </t>
    </r>
    <r>
      <rPr>
        <b val="true"/>
        <sz val="10"/>
        <rFont val="Arial"/>
        <family val="0"/>
        <charset val="1"/>
      </rPr>
      <t xml:space="preserve">SRC_ANT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D–I</t>
    </r>
    <r>
      <rPr>
        <b val="true"/>
        <sz val="10"/>
        <rFont val="Noto Sans CJK SC"/>
        <family val="2"/>
      </rPr>
      <t xml:space="preserve">＝該事件之後占當年的比例）</t>
    </r>
  </si>
  <si>
    <t xml:space="preserve">模型（層級／輸入輸出）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</si>
  <si>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牌價</t>
    </r>
  </si>
  <si>
    <t xml:space="preserve">公告日</t>
  </si>
  <si>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（本價 − 前價）</t>
    </r>
  </si>
  <si>
    <t xml:space="preserve">ETI1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</si>
  <si>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</si>
  <si>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序列起點（早於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，比例＝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</si>
  <si>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ETI2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</si>
  <si>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</si>
  <si>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ETI3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</si>
  <si>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</si>
  <si>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ETI4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</si>
  <si>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</si>
  <si>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ETI5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</si>
  <si>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</si>
  <si>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ETI6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</si>
  <si>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</si>
  <si>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ETI7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</si>
  <si>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</si>
  <si>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ETI8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</si>
  <si>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</si>
  <si>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ETI9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</si>
  <si>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</si>
  <si>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ETO1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</si>
  <si>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 Opus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2024-03-04</t>
    </r>
    <r>
      <rPr>
        <sz val="10"/>
        <color rgb="FF000000"/>
        <rFont val="Noto Sans CJK SC"/>
        <family val="2"/>
      </rPr>
      <t xml:space="preserve">）</t>
    </r>
  </si>
  <si>
    <t xml:space="preserve">ETO2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</si>
  <si>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</si>
  <si>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ETO3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</si>
  <si>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4.1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2025-08-05</t>
    </r>
    <r>
      <rPr>
        <sz val="10"/>
        <color rgb="FF000000"/>
        <rFont val="Noto Sans CJK SC"/>
        <family val="2"/>
      </rPr>
      <t xml:space="preserve">）</t>
    </r>
  </si>
  <si>
    <t xml:space="preserve">ETO4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</si>
  <si>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2025-11-24</t>
    </r>
    <r>
      <rPr>
        <sz val="10"/>
        <color rgb="FF000000"/>
        <rFont val="Noto Sans CJK SC"/>
        <family val="2"/>
      </rPr>
      <t xml:space="preserve">）</t>
    </r>
  </si>
  <si>
    <t xml:space="preserve">ETO5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</si>
  <si>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2026-02-05</t>
    </r>
    <r>
      <rPr>
        <sz val="10"/>
        <color rgb="FF000000"/>
        <rFont val="Noto Sans CJK SC"/>
        <family val="2"/>
      </rPr>
      <t xml:space="preserve">）</t>
    </r>
  </si>
  <si>
    <t xml:space="preserve">ETO6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</si>
  <si>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4.7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2026-04-16</t>
    </r>
    <r>
      <rPr>
        <sz val="10"/>
        <color rgb="FF000000"/>
        <rFont val="Noto Sans CJK SC"/>
        <family val="2"/>
      </rPr>
      <t xml:space="preserve">）</t>
    </r>
  </si>
  <si>
    <t xml:space="preserve">ETO7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</si>
  <si>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4.8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2026-05-28</t>
    </r>
    <r>
      <rPr>
        <sz val="10"/>
        <color rgb="FF000000"/>
        <rFont val="Noto Sans CJK SC"/>
        <family val="2"/>
      </rPr>
      <t xml:space="preserve">）</t>
    </r>
  </si>
  <si>
    <t xml:space="preserve">ETO8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</si>
  <si>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2026-07-24</t>
    </r>
    <r>
      <rPr>
        <sz val="10"/>
        <color rgb="FF000000"/>
        <rFont val="Noto Sans CJK SC"/>
        <family val="2"/>
      </rPr>
      <t xml:space="preserve">）</t>
    </r>
  </si>
  <si>
    <t xml:space="preserve">ETO9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</si>
  <si>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</t>
    </r>
  </si>
  <si>
    <t xml:space="preserve">EMI1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</si>
  <si>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</si>
  <si>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EMI2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</si>
  <si>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</si>
  <si>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EMI3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</si>
  <si>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</si>
  <si>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EMI4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</si>
  <si>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</si>
  <si>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EMI5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</si>
  <si>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</si>
  <si>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EMI6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</si>
  <si>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</si>
  <si>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EMI7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</si>
  <si>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</si>
  <si>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EMO1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</si>
  <si>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2024-06-20</t>
    </r>
    <r>
      <rPr>
        <sz val="10"/>
        <color rgb="FF000000"/>
        <rFont val="Noto Sans CJK SC"/>
        <family val="2"/>
      </rPr>
      <t xml:space="preserve">）</t>
    </r>
  </si>
  <si>
    <t xml:space="preserve">EMO2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</si>
  <si>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3.7 Sonnet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2025-02-24</t>
    </r>
    <r>
      <rPr>
        <sz val="10"/>
        <color rgb="FF000000"/>
        <rFont val="Noto Sans CJK SC"/>
        <family val="2"/>
      </rPr>
      <t xml:space="preserve">）</t>
    </r>
  </si>
  <si>
    <t xml:space="preserve">EMO3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</si>
  <si>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2025-05-22</t>
    </r>
    <r>
      <rPr>
        <sz val="10"/>
        <color rgb="FF000000"/>
        <rFont val="Noto Sans CJK SC"/>
        <family val="2"/>
      </rPr>
      <t xml:space="preserve">）</t>
    </r>
  </si>
  <si>
    <t xml:space="preserve">EMO4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</si>
  <si>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2025-09-29</t>
    </r>
    <r>
      <rPr>
        <sz val="10"/>
        <color rgb="FF000000"/>
        <rFont val="Noto Sans CJK SC"/>
        <family val="2"/>
      </rPr>
      <t xml:space="preserve">）</t>
    </r>
  </si>
  <si>
    <t xml:space="preserve">EMO5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</si>
  <si>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4.6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2026-02-17</t>
    </r>
    <r>
      <rPr>
        <sz val="10"/>
        <color rgb="FF000000"/>
        <rFont val="Noto Sans CJK SC"/>
        <family val="2"/>
      </rPr>
      <t xml:space="preserve">）</t>
    </r>
  </si>
  <si>
    <t xml:space="preserve">EMO6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</si>
  <si>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2026-06-30</t>
    </r>
    <r>
      <rPr>
        <sz val="10"/>
        <color rgb="FF000000"/>
        <rFont val="Noto Sans CJK SC"/>
        <family val="2"/>
      </rPr>
      <t xml:space="preserve">）</t>
    </r>
  </si>
  <si>
    <t xml:space="preserve">EMO7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</si>
  <si>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Sonnet 5.5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2026-09-28</t>
    </r>
    <r>
      <rPr>
        <sz val="10"/>
        <color rgb="FF000000"/>
        <rFont val="Noto Sans CJK SC"/>
        <family val="2"/>
      </rPr>
      <t xml:space="preserve">）</t>
    </r>
  </si>
  <si>
    <t xml:space="preserve">ELI1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</si>
  <si>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輸入（上市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</si>
  <si>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ELI2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</si>
  <si>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輸入（上市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</si>
  <si>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ELI3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</si>
  <si>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輸入：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輸入（上市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</si>
  <si>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t xml:space="preserve">ELO1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</si>
  <si>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3.5 Haiku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2024-12 </t>
    </r>
    <r>
      <rPr>
        <sz val="10"/>
        <color rgb="FF000000"/>
        <rFont val="Noto Sans CJK SC"/>
        <family val="2"/>
      </rPr>
      <t xml:space="preserve">降價後） 輸出（上市 </t>
    </r>
    <r>
      <rPr>
        <sz val="10"/>
        <color rgb="FF000000"/>
        <rFont val="Arial"/>
        <family val="0"/>
        <charset val="1"/>
      </rPr>
      <t xml:space="preserve">2024-12-03</t>
    </r>
    <r>
      <rPr>
        <sz val="10"/>
        <color rgb="FF000000"/>
        <rFont val="Noto Sans CJK SC"/>
        <family val="2"/>
      </rPr>
      <t xml:space="preserve">）</t>
    </r>
  </si>
  <si>
    <t xml:space="preserve">ELO2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</si>
  <si>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4.5 </t>
    </r>
    <r>
      <rPr>
        <sz val="10"/>
        <color rgb="FF000000"/>
        <rFont val="Noto Sans CJK SC"/>
        <family val="2"/>
      </rPr>
      <t xml:space="preserve">輸出（上市 </t>
    </r>
    <r>
      <rPr>
        <sz val="10"/>
        <color rgb="FF000000"/>
        <rFont val="Arial"/>
        <family val="0"/>
        <charset val="1"/>
      </rPr>
      <t xml:space="preserve">2025-10-15</t>
    </r>
    <r>
      <rPr>
        <sz val="10"/>
        <color rgb="FF000000"/>
        <rFont val="Noto Sans CJK SC"/>
        <family val="2"/>
      </rPr>
      <t xml:space="preserve">）</t>
    </r>
  </si>
  <si>
    <t xml:space="preserve">ELO3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</si>
  <si>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 輸出：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Claude Haiku 5.5</t>
    </r>
    <r>
      <rPr>
        <sz val="10"/>
        <color rgb="FF000000"/>
        <rFont val="Noto Sans CJK SC"/>
        <family val="2"/>
      </rPr>
      <t xml:space="preserve">（提示 ≤</t>
    </r>
    <r>
      <rPr>
        <sz val="10"/>
        <color rgb="FF000000"/>
        <rFont val="Arial"/>
        <family val="0"/>
        <charset val="1"/>
      </rPr>
      <t xml:space="preserve">100k</t>
    </r>
    <r>
      <rPr>
        <sz val="10"/>
        <color rgb="FF000000"/>
        <rFont val="Noto Sans CJK SC"/>
        <family val="2"/>
      </rPr>
      <t xml:space="preserve">） 輸出（上市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</si>
  <si>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Compute — </t>
    </r>
    <r>
      <rPr>
        <b val="true"/>
        <sz val="13"/>
        <rFont val="Noto Sans CJK SC"/>
        <family val="2"/>
      </rPr>
      <t xml:space="preserve">算力：加速器族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世代每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年產能、逐合約供給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、自建、加速器組合、推論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換算）、</t>
    </r>
    <r>
      <rPr>
        <b val="true"/>
        <sz val="13"/>
        <rFont val="Arial"/>
        <family val="0"/>
        <charset val="1"/>
      </rPr>
      <t xml:space="preserve">η</t>
    </r>
    <r>
      <rPr>
        <b val="true"/>
        <sz val="13"/>
        <rFont val="Noto Sans CJK SC"/>
        <family val="2"/>
      </rPr>
      <t xml:space="preserve">、研發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、容量上限、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等值、敏感度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</si>
  <si>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D6–D12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）：產能一律取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產出比），不重算物理量；供給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只由算力合約加總（</t>
    </r>
    <r>
      <rPr>
        <sz val="9"/>
        <color rgb="FF595959"/>
        <rFont val="Arial"/>
        <family val="0"/>
        <charset val="1"/>
      </rPr>
      <t xml:space="preserve">D10 r1</t>
    </r>
    <r>
      <rPr>
        <sz val="9"/>
        <color rgb="FF595959"/>
        <rFont val="Noto Sans CJK SC"/>
        <family val="2"/>
      </rPr>
      <t xml:space="preserve">），機房租約只列對照；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token </t>
    </r>
    <r>
      <rPr>
        <sz val="9"/>
        <color rgb="FF595959"/>
        <rFont val="Noto Sans CJK SC"/>
        <family val="2"/>
      </rPr>
      <t xml:space="preserve">換算推論 </t>
    </r>
    <r>
      <rPr>
        <sz val="9"/>
        <color rgb="FF595959"/>
        <rFont val="Arial"/>
        <family val="0"/>
        <charset val="1"/>
      </rPr>
      <t xml:space="preserve">GW ÷ 2025 </t>
    </r>
    <r>
      <rPr>
        <sz val="9"/>
        <color rgb="FF595959"/>
        <rFont val="Noto Sans CJK SC"/>
        <family val="2"/>
      </rPr>
      <t xml:space="preserve">推論支出換算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）；研發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</t>
    </r>
    <r>
      <rPr>
        <sz val="9"/>
        <color rgb="FF595959"/>
        <rFont val="Arial"/>
        <family val="0"/>
        <charset val="1"/>
      </rPr>
      <t xml:space="preserve">D12</t>
    </r>
    <r>
      <rPr>
        <sz val="9"/>
        <color rgb="FF595959"/>
        <rFont val="Noto Sans CJK SC"/>
        <family val="2"/>
      </rPr>
      <t xml:space="preserve">，殘差）；容量上限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</si>
  <si>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關鍵電力（口徑未明者依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換算比例處理，基準視同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）。標「參數」的列只在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欄有值（與年度無關）。逐合約付款在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頁第二節。</t>
    </r>
  </si>
  <si>
    <r>
      <rPr>
        <b val="true"/>
        <sz val="10"/>
        <rFont val="Noto Sans CJK SC"/>
        <family val="2"/>
      </rPr>
      <t xml:space="preserve">一、世代參數（只在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世代名稱與成本情境為 </t>
    </r>
    <r>
      <rPr>
        <b val="true"/>
        <sz val="10"/>
        <rFont val="Arial"/>
        <family val="0"/>
        <charset val="1"/>
      </rPr>
      <t xml:space="preserve">SUMIFS </t>
    </r>
    <r>
      <rPr>
        <b val="true"/>
        <sz val="10"/>
        <rFont val="Noto Sans CJK SC"/>
        <family val="2"/>
      </rPr>
      <t xml:space="preserve">的文字鍵，取自快照表頭）</t>
    </r>
  </si>
  <si>
    <t xml:space="preserve">C01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</si>
  <si>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</si>
  <si>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TK_HdrGen </t>
    </r>
    <r>
      <rPr>
        <sz val="9"/>
        <color rgb="FF595959"/>
        <rFont val="Noto Sans CJK SC"/>
        <family val="2"/>
      </rPr>
      <t xml:space="preserve">文字鍵</t>
    </r>
  </si>
  <si>
    <t xml:space="preserve">C02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</si>
  <si>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</si>
  <si>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C03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</si>
  <si>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</si>
  <si>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</si>
  <si>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世代名稱（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</si>
  <si>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C05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</si>
  <si>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成本情境（基準）</t>
    </r>
  </si>
  <si>
    <r>
      <rPr>
        <sz val="9"/>
        <color rgb="FF595959"/>
        <rFont val="Arial"/>
        <family val="0"/>
        <charset val="1"/>
      </rPr>
      <t xml:space="preserve">TK_HdrCost </t>
    </r>
    <r>
      <rPr>
        <sz val="9"/>
        <color rgb="FF595959"/>
        <rFont val="Noto Sans CJK SC"/>
        <family val="2"/>
      </rPr>
      <t xml:space="preserve">文字鍵；每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總產出三個成本情境同值</t>
    </r>
  </si>
  <si>
    <t xml:space="preserve">C06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</si>
  <si>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</si>
  <si>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</si>
  <si>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</si>
  <si>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</si>
  <si>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IF_TokGW_Sol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</si>
  <si>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</si>
  <si>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</si>
  <si>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TK IF_TokGW_Luna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層；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只計新鮮輸入、快取輸入仍算已服務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Demand </t>
    </r>
    <r>
      <rPr>
        <sz val="9"/>
        <color rgb="FF595959"/>
        <rFont val="Noto Sans CJK SC"/>
        <family val="2"/>
      </rPr>
      <t xml:space="preserve">的『新鮮＋快取＋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』同口徑；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§2</t>
    </r>
    <r>
      <rPr>
        <sz val="9"/>
        <color rgb="FF595959"/>
        <rFont val="Noto Sans CJK SC"/>
        <family val="2"/>
      </rPr>
      <t xml:space="preserve">：不得直接當生產環境產能，本模型以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校準吸收）</t>
    </r>
  </si>
  <si>
    <t xml:space="preserve">C09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</si>
  <si>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</si>
  <si>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</si>
  <si>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</si>
  <si>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</si>
  <si>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</si>
  <si>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</si>
  <si>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</si>
  <si>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</si>
  <si>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</si>
  <si>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</si>
  <si>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</si>
  <si>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</si>
  <si>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</si>
  <si>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</si>
  <si>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</si>
  <si>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t xml:space="preserve">C17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</si>
  <si>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</t>
    </r>
  </si>
  <si>
    <r>
      <rPr>
        <b val="true"/>
        <sz val="10"/>
        <rFont val="Noto Sans CJK SC"/>
        <family val="2"/>
      </rPr>
      <t xml:space="preserve">二、加速器族參數（各年同值；</t>
    </r>
    <r>
      <rPr>
        <b val="true"/>
        <sz val="10"/>
        <rFont val="Arial"/>
        <family val="0"/>
        <charset val="1"/>
      </rPr>
      <t xml:space="preserve">NonNV </t>
    </r>
    <r>
      <rPr>
        <b val="true"/>
        <sz val="10"/>
        <rFont val="Noto Sans CJK SC"/>
        <family val="2"/>
      </rPr>
      <t xml:space="preserve">比例相對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D6</t>
    </r>
    <r>
      <rPr>
        <b val="true"/>
        <sz val="10"/>
        <rFont val="Noto Sans CJK SC"/>
        <family val="2"/>
      </rPr>
      <t xml:space="preserve">；持有比 </t>
    </r>
    <r>
      <rPr>
        <b val="true"/>
        <sz val="10"/>
        <rFont val="Arial"/>
        <family val="0"/>
        <charset val="1"/>
      </rPr>
      <t xml:space="preserve">D9</t>
    </r>
    <r>
      <rPr>
        <b val="true"/>
        <sz val="10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</si>
  <si>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</si>
  <si>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</si>
  <si>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產出比（讀表）；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等值係數的定義單位（＝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</si>
  <si>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C19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</si>
  <si>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</si>
  <si>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NonNV </t>
    </r>
    <r>
      <rPr>
        <sz val="9"/>
        <color rgb="FF595959"/>
        <rFont val="Noto Sans CJK SC"/>
        <family val="2"/>
      </rPr>
      <t xml:space="preserve">持有比（讀表）；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</si>
  <si>
    <t xml:space="preserve">C20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</si>
  <si>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</si>
  <si>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</si>
  <si>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</si>
  <si>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</si>
  <si>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Noto Sans CJK SC"/>
        <family val="2"/>
      </rPr>
      <t xml:space="preserve">＝基準世代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÷ VR200 Sol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產出比（同 </t>
    </r>
    <r>
      <rPr>
        <sz val="9"/>
        <color rgb="FF595959"/>
        <rFont val="Arial"/>
        <family val="0"/>
        <charset val="1"/>
      </rPr>
      <t xml:space="preserve">OpenAI v0.6 VR </t>
    </r>
    <r>
      <rPr>
        <sz val="9"/>
        <color rgb="FF595959"/>
        <rFont val="Noto Sans CJK SC"/>
        <family val="2"/>
      </rPr>
      <t xml:space="preserve">等值口徑）</t>
    </r>
  </si>
  <si>
    <t xml:space="preserve">C22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</si>
  <si>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</si>
  <si>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</si>
  <si>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</si>
  <si>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</si>
  <si>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</si>
  <si>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</si>
  <si>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</si>
  <si>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C26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</si>
  <si>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</si>
  <si>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</si>
  <si>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</si>
  <si>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</si>
  <si>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</si>
  <si>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</si>
  <si>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</si>
  <si>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C30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</si>
  <si>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</si>
  <si>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</si>
  <si>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</si>
  <si>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</si>
  <si>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</si>
  <si>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</si>
  <si>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NVIDIA 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</si>
  <si>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</si>
  <si>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</si>
  <si>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C35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</si>
  <si>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</si>
  <si>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</si>
  <si>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</si>
  <si>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</si>
  <si>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</si>
  <si>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t xml:space="preserve">C38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</si>
  <si>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</si>
  <si>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C39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</si>
  <si>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</si>
  <si>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</si>
  <si>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</si>
  <si>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</si>
  <si>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TPU </t>
    </r>
    <r>
      <rPr>
        <sz val="10"/>
        <color rgb="FF000000"/>
        <rFont val="Noto Sans CJK SC"/>
        <family val="2"/>
      </rPr>
      <t xml:space="preserve">產出比）</t>
    </r>
  </si>
  <si>
    <t xml:space="preserve">C42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</si>
  <si>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</si>
  <si>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C43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</si>
  <si>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</si>
  <si>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C44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</si>
  <si>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</si>
  <si>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C45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</si>
  <si>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</si>
  <si>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C46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</si>
  <si>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</si>
  <si>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C47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</si>
  <si>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</si>
  <si>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</si>
  <si>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</si>
  <si>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C49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</si>
  <si>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AWS Trainium3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VR200 × Trainium </t>
    </r>
    <r>
      <rPr>
        <sz val="10"/>
        <color rgb="FF000000"/>
        <rFont val="Noto Sans CJK SC"/>
        <family val="2"/>
      </rPr>
      <t xml:space="preserve">產出比）</t>
    </r>
  </si>
  <si>
    <t xml:space="preserve">C50</t>
  </si>
  <si>
    <r>
      <rPr>
        <sz val="10"/>
        <color rgb="FF000000"/>
        <rFont val="Noto Sans CJK SC"/>
        <family val="2"/>
      </rPr>
      <t xml:space="preserve">產出比（相對同代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</si>
  <si>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C51</t>
  </si>
  <si>
    <r>
      <rPr>
        <sz val="10"/>
        <color rgb="FF000000"/>
        <rFont val="Noto Sans CJK SC"/>
        <family val="2"/>
      </rPr>
      <t xml:space="preserve">持有比（相對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</si>
  <si>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</si>
  <si>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</si>
  <si>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C53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</si>
  <si>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等值係數（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產能比）：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；＝</t>
    </r>
    <r>
      <rPr>
        <sz val="10"/>
        <color rgb="FF000000"/>
        <rFont val="Arial"/>
        <family val="0"/>
        <charset val="1"/>
      </rPr>
      <t xml:space="preserve">VR200 × AMD </t>
    </r>
    <r>
      <rPr>
        <sz val="10"/>
        <color rgb="FF000000"/>
        <rFont val="Noto Sans CJK SC"/>
        <family val="2"/>
      </rPr>
      <t xml:space="preserve">產出比）</t>
    </r>
  </si>
  <si>
    <t xml:space="preserve">C54</t>
  </si>
  <si>
    <r>
      <rPr>
        <sz val="10"/>
        <color rgb="FF000000"/>
        <rFont val="Noto Sans CJK SC"/>
        <family val="2"/>
      </rPr>
      <t xml:space="preserve">參數：單位（</t>
    </r>
    <r>
      <rPr>
        <sz val="10"/>
        <color rgb="FF000000"/>
        <rFont val="Arial"/>
        <family val="0"/>
        <charset val="1"/>
      </rPr>
      <t xml:space="preserve">VR200 Sol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自身）</t>
    </r>
  </si>
  <si>
    <r>
      <rPr>
        <sz val="9"/>
        <color rgb="FF595959"/>
        <rFont val="Noto Sans CJK SC"/>
        <family val="2"/>
      </rPr>
      <t xml:space="preserve">恆等於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族的產出比、持有比引用本格（</t>
    </r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</si>
  <si>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三、既有雲端算力（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前簽：</t>
    </r>
    <r>
      <rPr>
        <b val="true"/>
        <sz val="10"/>
        <rFont val="Arial"/>
        <family val="0"/>
        <charset val="1"/>
      </rPr>
      <t xml:space="preserve">AWS Trainium2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 TPU v6e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 Hopper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＝說明書實際算力支出，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</t>
    </r>
  </si>
  <si>
    <t xml:space="preserve">C55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</si>
  <si>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AWS Trainium2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Trainium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</si>
  <si>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D7</t>
    </r>
    <r>
      <rPr>
        <sz val="9"/>
        <color rgb="FF595959"/>
        <rFont val="Noto Sans CJK SC"/>
        <family val="2"/>
      </rPr>
      <t xml:space="preserve">）</t>
    </r>
  </si>
  <si>
    <t xml:space="preserve">C56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</si>
  <si>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</si>
  <si>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C57</t>
  </si>
  <si>
    <r>
      <rPr>
        <sz val="10"/>
        <color rgb="FF000000"/>
        <rFont val="Noto Sans CJK SC"/>
        <family val="2"/>
      </rPr>
      <t xml:space="preserve">既有雲端組合：</t>
    </r>
    <r>
      <rPr>
        <sz val="10"/>
        <color rgb="FF000000"/>
        <rFont val="Arial"/>
        <family val="0"/>
        <charset val="1"/>
      </rPr>
      <t xml:space="preserve">Google TPU v6e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Hopper × TPU </t>
    </r>
    <r>
      <rPr>
        <sz val="10"/>
        <color rgb="FF000000"/>
        <rFont val="Noto Sans CJK SC"/>
        <family val="2"/>
      </rPr>
      <t xml:space="preserve">產出比）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</si>
  <si>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Trainium2 − Hopper</t>
    </r>
  </si>
  <si>
    <t xml:space="preserve">C58</t>
  </si>
  <si>
    <t xml:space="preserve">既有雲端加權合約價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</si>
  <si>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各族合約價</t>
    </r>
  </si>
  <si>
    <t xml:space="preserve">C59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</si>
  <si>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：既有雲端</t>
    </r>
  </si>
  <si>
    <r>
      <rPr>
        <sz val="9"/>
        <color rgb="FF595959"/>
        <rFont val="Noto Sans CJK SC"/>
        <family val="2"/>
      </rPr>
      <t xml:space="preserve">付款（</t>
    </r>
    <r>
      <rPr>
        <sz val="9"/>
        <color rgb="FF595959"/>
        <rFont val="Arial"/>
        <family val="0"/>
        <charset val="1"/>
      </rPr>
      <t xml:space="preserve">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加權合約價</t>
    </r>
  </si>
  <si>
    <r>
      <rPr>
        <b val="true"/>
        <sz val="10"/>
        <rFont val="Noto Sans CJK SC"/>
        <family val="2"/>
      </rPr>
      <t xml:space="preserve">四、逐合約供給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：只計算力合約；金額型＝付款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型與雙揭露型＝揭露 </t>
    </r>
    <r>
      <rPr>
        <b val="true"/>
        <sz val="10"/>
        <rFont val="Arial"/>
        <family val="0"/>
        <charset val="1"/>
      </rPr>
      <t xml:space="preserve">GW × IT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爬坡）</t>
    </r>
  </si>
  <si>
    <t xml:space="preserve">C60</t>
  </si>
  <si>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Inputs </t>
    </r>
    <r>
      <rPr>
        <sz val="10"/>
        <color rgb="FF000000"/>
        <rFont val="Noto Sans CJK SC"/>
        <family val="2"/>
      </rPr>
      <t xml:space="preserve">頁；非具名讀表）</t>
    </r>
  </si>
  <si>
    <r>
      <rPr>
        <sz val="9"/>
        <color rgb="FF595959"/>
        <rFont val="Arial"/>
        <family val="0"/>
        <charset val="1"/>
      </rPr>
      <t xml:space="preserve">TK_PUE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）</t>
    </r>
  </si>
  <si>
    <t xml:space="preserve">C61</t>
  </si>
  <si>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 → IT GW 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</si>
  <si>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視為設施口徑比例）＋ 比例 </t>
    </r>
    <r>
      <rPr>
        <sz val="9"/>
        <color rgb="FF595959"/>
        <rFont val="Arial"/>
        <family val="0"/>
        <charset val="1"/>
      </rPr>
      <t xml:space="preserve">÷ PUE</t>
    </r>
    <r>
      <rPr>
        <sz val="9"/>
        <color rgb="FF595959"/>
        <rFont val="Noto Sans CJK SC"/>
        <family val="2"/>
      </rPr>
      <t xml:space="preserve">；基準比例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（視同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</si>
  <si>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C62</t>
  </si>
  <si>
    <r>
      <rPr>
        <sz val="10"/>
        <color rgb="FF000000"/>
        <rFont val="Noto Sans CJK SC"/>
        <family val="2"/>
      </rPr>
      <t xml:space="preserve">年度（同第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列；爬坡公式用）</t>
    </r>
  </si>
  <si>
    <t xml:space="preserve">C63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</si>
  <si>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2025-10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Google ≥$111.1B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</si>
  <si>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金額型：招股書 </t>
    </r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承諾；揭露的「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年上線遠超過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」與「最多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」只作對照（以承諾金額為準）；族＝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</si>
  <si>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C64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</si>
  <si>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8-K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3.5 GW</t>
    </r>
    <r>
      <rPr>
        <sz val="10"/>
        <color rgb="FF000000"/>
        <rFont val="Noto Sans CJK SC"/>
        <family val="2"/>
      </rPr>
      <t xml:space="preserve">；五年 </t>
    </r>
    <r>
      <rPr>
        <sz val="10"/>
        <color rgb="FF000000"/>
        <rFont val="Arial"/>
        <family val="0"/>
        <charset val="1"/>
      </rPr>
      <t xml:space="preserve">TPU </t>
    </r>
    <r>
      <rPr>
        <sz val="10"/>
        <color rgb="FF000000"/>
        <rFont val="Noto Sans CJK SC"/>
        <family val="2"/>
      </rPr>
      <t xml:space="preserve">租賃 </t>
    </r>
    <r>
      <rPr>
        <sz val="10"/>
        <color rgb="FF000000"/>
        <rFont val="Arial"/>
        <family val="0"/>
        <charset val="1"/>
      </rPr>
      <t xml:space="preserve">$125.2B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</si>
  <si>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3.5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Broadcom 8-K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；公司自述 </t>
    </r>
    <r>
      <rPr>
        <sz val="9"/>
        <color rgb="FF595959"/>
        <rFont val="Arial"/>
        <family val="0"/>
        <charset val="1"/>
      </rPr>
      <t xml:space="preserve">5 GW </t>
    </r>
    <r>
      <rPr>
        <sz val="9"/>
        <color rgb="FF595959"/>
        <rFont val="Noto Sans CJK SC"/>
        <family val="2"/>
      </rPr>
      <t xml:space="preserve">為區間）；付款＝五年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租賃 </t>
    </r>
    <r>
      <rPr>
        <sz val="9"/>
        <color rgb="FF595959"/>
        <rFont val="Arial"/>
        <family val="0"/>
        <charset val="1"/>
      </rPr>
      <t xml:space="preserve">$125.2B </t>
    </r>
    <r>
      <rPr>
        <sz val="9"/>
        <color rgb="FF595959"/>
        <rFont val="Noto Sans CJK SC"/>
        <family val="2"/>
      </rPr>
      <t xml:space="preserve">時程（招股書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 </t>
    </r>
    <r>
      <rPr>
        <sz val="9"/>
        <color rgb="FF595959"/>
        <rFont val="Arial"/>
        <family val="0"/>
        <charset val="1"/>
      </rPr>
      <t xml:space="preserve">$161.2B </t>
    </r>
    <r>
      <rPr>
        <sz val="9"/>
        <color rgb="FF595959"/>
        <rFont val="Noto Sans CJK SC"/>
        <family val="2"/>
      </rPr>
      <t xml:space="preserve">的其餘 </t>
    </r>
    <r>
      <rPr>
        <sz val="9"/>
        <color rgb="FF595959"/>
        <rFont val="Arial"/>
        <family val="0"/>
        <charset val="1"/>
      </rPr>
      <t xml:space="preserve">$36B </t>
    </r>
    <r>
      <rPr>
        <sz val="9"/>
        <color rgb="FF595959"/>
        <rFont val="Noto Sans CJK SC"/>
        <family val="2"/>
      </rPr>
      <t xml:space="preserve">未計，見報告）；族＝</t>
    </r>
    <r>
      <rPr>
        <sz val="9"/>
        <color rgb="FF595959"/>
        <rFont val="Arial"/>
        <family val="0"/>
        <charset val="1"/>
      </rPr>
      <t xml:space="preserve">Google TPU v7 Ironwood</t>
    </r>
    <r>
      <rPr>
        <sz val="9"/>
        <color rgb="FF595959"/>
        <rFont val="Noto Sans CJK SC"/>
        <family val="2"/>
      </rPr>
      <t xml:space="preserve">／次世代 </t>
    </r>
    <r>
      <rPr>
        <sz val="9"/>
        <color rgb="FF595959"/>
        <rFont val="Arial"/>
        <family val="0"/>
        <charset val="1"/>
      </rPr>
      <t xml:space="preserve">TPU</t>
    </r>
  </si>
  <si>
    <t xml:space="preserve">C65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</si>
  <si>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擴大協議（</t>
    </r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$110B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2036-04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</si>
  <si>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金額型：「最多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」為上限、只作對照；晶片 </t>
    </r>
    <r>
      <rPr>
        <sz val="9"/>
        <color rgb="FF595959"/>
        <rFont val="Arial"/>
        <family val="0"/>
        <charset val="1"/>
      </rPr>
      <t xml:space="preserve">Trainium2–4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AWS Trainium3</t>
    </r>
  </si>
  <si>
    <t xml:space="preserve">C66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</si>
  <si>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$31.4B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2033-05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</si>
  <si>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</t>
    </r>
    <r>
      <rPr>
        <sz val="9"/>
        <color rgb="FF595959"/>
        <rFont val="Arial"/>
        <family val="0"/>
        <charset val="1"/>
      </rPr>
      <t xml:space="preserve">Grace Blackwell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Vera Rubin</t>
    </r>
    <r>
      <rPr>
        <sz val="9"/>
        <color rgb="FF595959"/>
        <rFont val="Noto Sans CJK SC"/>
        <family val="2"/>
      </rPr>
      <t xml:space="preserve">，本模型歸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）；「最多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」只作對照；族＝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</si>
  <si>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C67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</si>
  <si>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；最多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；招股書 </t>
    </r>
    <r>
      <rPr>
        <sz val="10"/>
        <color rgb="FF000000"/>
        <rFont val="Arial"/>
        <family val="0"/>
        <charset val="1"/>
      </rPr>
      <t xml:space="preserve">&gt;$20B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</si>
  <si>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型：金額只有下限（</t>
    </r>
    <r>
      <rPr>
        <sz val="9"/>
        <color rgb="FF595959"/>
        <rFont val="Arial"/>
        <family val="0"/>
        <charset val="1"/>
      </rPr>
      <t xml:space="preserve">&gt;$20B</t>
    </r>
    <r>
      <rPr>
        <sz val="9"/>
        <color rgb="FF595959"/>
        <rFont val="Noto Sans CJK SC"/>
        <family val="2"/>
      </rPr>
      <t xml:space="preserve">）且期間未揭露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AMD </t>
    </r>
    <r>
      <rPr>
        <sz val="9"/>
        <color rgb="FF595959"/>
        <rFont val="Noto Sans CJK SC"/>
        <family val="2"/>
      </rPr>
      <t xml:space="preserve">持有比；「最多 </t>
    </r>
    <r>
      <rPr>
        <sz val="9"/>
        <color rgb="FF595959"/>
        <rFont val="Arial"/>
        <family val="0"/>
        <charset val="1"/>
      </rPr>
      <t xml:space="preserve">2 GW</t>
    </r>
    <r>
      <rPr>
        <sz val="9"/>
        <color rgb="FF595959"/>
        <rFont val="Noto Sans CJK SC"/>
        <family val="2"/>
      </rPr>
      <t xml:space="preserve">」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計入比例（工作單預設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AMD MI455X</t>
    </r>
  </si>
  <si>
    <t xml:space="preserve">C68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</si>
  <si>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／月至 </t>
    </r>
    <r>
      <rPr>
        <sz val="10"/>
        <color rgb="FF000000"/>
        <rFont val="Arial"/>
        <family val="0"/>
        <charset val="1"/>
      </rPr>
      <t xml:space="preserve">2029-05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SpaceX S-1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</si>
  <si>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金額型（月費，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Colossus 1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&gt;300 MW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&gt;22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」只作對照（月費應涵蓋擴大後容量）；招股書上限 </t>
    </r>
    <r>
      <rPr>
        <sz val="9"/>
        <color rgb="FF595959"/>
        <rFont val="Arial"/>
        <family val="0"/>
        <charset val="1"/>
      </rPr>
      <t xml:space="preserve">$84.5B </t>
    </r>
    <r>
      <rPr>
        <sz val="9"/>
        <color rgb="FF595959"/>
        <rFont val="Noto Sans CJK SC"/>
        <family val="2"/>
      </rPr>
      <t xml:space="preserve">為區間。晶片以 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為主 →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Hopper</t>
    </r>
  </si>
  <si>
    <t xml:space="preserve">C69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</si>
  <si>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$45B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460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</si>
  <si>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Noto Sans CJK SC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</si>
  <si>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</si>
  <si>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$35B</t>
    </r>
    <r>
      <rPr>
        <sz val="10"/>
        <color rgb="FF000000"/>
        <rFont val="Noto Sans CJK SC"/>
        <family val="2"/>
      </rPr>
      <t xml:space="preserve">，多年；</t>
    </r>
    <r>
      <rPr>
        <sz val="10"/>
        <color rgb="FF000000"/>
        <rFont val="Arial"/>
        <family val="0"/>
        <charset val="1"/>
      </rPr>
      <t xml:space="preserve">350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</si>
  <si>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Noto Sans CJK SC"/>
        <family val="2"/>
      </rPr>
      <t xml:space="preserve">新法）：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＝揭露容量（</t>
    </r>
    <r>
      <rPr>
        <sz val="9"/>
        <color rgb="FF595959"/>
        <rFont val="Arial"/>
        <family val="0"/>
        <charset val="1"/>
      </rPr>
      <t xml:space="preserve">MW ÷ 1000 × IT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爬坡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期間）；付款路徑不變（『最高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比例分攤的年付款，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金額型（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口徑。原註：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見對帳列；族＝</t>
    </r>
    <r>
      <rPr>
        <sz val="9"/>
        <color rgb="FF595959"/>
        <rFont val="Arial"/>
        <family val="0"/>
        <charset val="1"/>
      </rPr>
      <t xml:space="preserve">NVIDIA GB300</t>
    </r>
  </si>
  <si>
    <t xml:space="preserve">C71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</si>
  <si>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Volta Infra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／六年；</t>
    </r>
    <r>
      <rPr>
        <sz val="10"/>
        <color rgb="FF000000"/>
        <rFont val="Arial"/>
        <family val="0"/>
        <charset val="1"/>
      </rPr>
      <t xml:space="preserve">133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</si>
  <si>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雙揭露型：供給＝</t>
    </r>
    <r>
      <rPr>
        <sz val="9"/>
        <color rgb="FF595959"/>
        <rFont val="Arial"/>
        <family val="0"/>
        <charset val="1"/>
      </rPr>
      <t xml:space="preserve">133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時程；族＝</t>
    </r>
    <r>
      <rPr>
        <sz val="9"/>
        <color rgb="FF595959"/>
        <rFont val="Arial"/>
        <family val="0"/>
        <charset val="1"/>
      </rPr>
      <t xml:space="preserve">NVIDIA VR200</t>
    </r>
  </si>
  <si>
    <t xml:space="preserve">C72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</si>
  <si>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$1.8B</t>
    </r>
    <r>
      <rPr>
        <sz val="10"/>
        <color rgb="FF000000"/>
        <rFont val="Noto Sans CJK SC"/>
        <family val="2"/>
      </rPr>
      <t xml:space="preserve">／七年；</t>
    </r>
    <r>
      <rPr>
        <sz val="10"/>
        <color rgb="FF000000"/>
        <rFont val="Arial"/>
        <family val="0"/>
        <charset val="1"/>
      </rPr>
      <t xml:space="preserve">RTX PRO 6000 Blackwell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</si>
  <si>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金額型：容量未揭露；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推論卡以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代理（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）；族＝</t>
    </r>
    <r>
      <rPr>
        <sz val="9"/>
        <color rgb="FF595959"/>
        <rFont val="Arial"/>
        <family val="0"/>
        <charset val="1"/>
      </rPr>
      <t xml:space="preserve">NVIDIA GB200</t>
    </r>
  </si>
  <si>
    <t xml:space="preserve">C73</t>
  </si>
  <si>
    <r>
      <rPr>
        <sz val="10"/>
        <color rgb="FF000000"/>
        <rFont val="Noto Sans CJK SC"/>
        <family val="2"/>
      </rPr>
      <t xml:space="preserve">（未計入）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多年合約；金額、容量皆未揭露）</t>
    </r>
  </si>
  <si>
    <r>
      <rPr>
        <sz val="9"/>
        <color rgb="FF595959"/>
        <rFont val="Noto Sans CJK SC"/>
        <family val="2"/>
      </rPr>
      <t xml:space="preserve">找不到金額與容量（</t>
    </r>
    <r>
      <rPr>
        <sz val="9"/>
        <color rgb="FF595959"/>
        <rFont val="Arial"/>
        <family val="0"/>
        <charset val="1"/>
      </rPr>
      <t xml:space="preserve">A1 not_found</t>
    </r>
    <r>
      <rPr>
        <sz val="9"/>
        <color rgb="FF595959"/>
        <rFont val="Noto Sans CJK SC"/>
        <family val="2"/>
      </rPr>
      <t xml:space="preserve">）→ 不計入（不杜撰）；列入資料缺口</t>
    </r>
  </si>
  <si>
    <r>
      <rPr>
        <b val="true"/>
        <sz val="10"/>
        <rFont val="Noto Sans CJK SC"/>
        <family val="2"/>
      </rPr>
      <t xml:space="preserve">五、自建（</t>
    </r>
    <r>
      <rPr>
        <b val="true"/>
        <sz val="10"/>
        <rFont val="Arial"/>
        <family val="0"/>
        <charset val="1"/>
      </rPr>
      <t xml:space="preserve">Fluidstack $50B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：自有資本支出自投產年起計入供給與命題分母）</t>
    </r>
  </si>
  <si>
    <t xml:space="preserve">C74</t>
  </si>
  <si>
    <r>
      <rPr>
        <sz val="10"/>
        <color rgb="FF000000"/>
        <rFont val="Noto Sans CJK SC"/>
        <family val="2"/>
      </rPr>
      <t xml:space="preserve">自有資本支出（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；均攤）</t>
    </r>
  </si>
  <si>
    <r>
      <rPr>
        <sz val="9"/>
        <color rgb="FF595959"/>
        <rFont val="Arial"/>
        <family val="0"/>
        <charset val="1"/>
      </rPr>
      <t xml:space="preserve">SRC_ANT_212 $50B ÷ </t>
    </r>
    <r>
      <rPr>
        <sz val="9"/>
        <color rgb="FF595959"/>
        <rFont val="Noto Sans CJK SC"/>
        <family val="2"/>
      </rPr>
      <t xml:space="preserve">均攤年數（</t>
    </r>
    <r>
      <rPr>
        <sz val="9"/>
        <color rgb="FF595959"/>
        <rFont val="Arial"/>
        <family val="0"/>
        <charset val="1"/>
      </rPr>
      <t xml:space="preserve">Inputs 3 </t>
    </r>
    <r>
      <rPr>
        <sz val="9"/>
        <color rgb="FF595959"/>
        <rFont val="Noto Sans CJK SC"/>
        <family val="2"/>
      </rPr>
      <t xml:space="preserve">年，</t>
    </r>
    <r>
      <rPr>
        <sz val="9"/>
        <color rgb="FF595959"/>
        <rFont val="Arial"/>
        <family val="0"/>
        <charset val="1"/>
      </rPr>
      <t xml:space="preserve">2–5</t>
    </r>
    <r>
      <rPr>
        <sz val="9"/>
        <color rgb="FF595959"/>
        <rFont val="Noto Sans CJK SC"/>
        <family val="2"/>
      </rPr>
      <t xml:space="preserve">）；起始 </t>
    </r>
    <r>
      <rPr>
        <sz val="9"/>
        <color rgb="FF595959"/>
        <rFont val="Arial"/>
        <family val="0"/>
        <charset val="1"/>
      </rPr>
      <t xml:space="preserve">2026</t>
    </r>
  </si>
  <si>
    <t xml:space="preserve">C75</t>
  </si>
  <si>
    <t xml:space="preserve">累計自有資本支出（至 年 − 投產落後年數）</t>
  </si>
  <si>
    <r>
      <rPr>
        <sz val="9"/>
        <color rgb="FF595959"/>
        <rFont val="Noto Sans CJK SC"/>
        <family val="2"/>
      </rPr>
      <t xml:space="preserve">落後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，同 </t>
    </r>
    <r>
      <rPr>
        <sz val="9"/>
        <color rgb="FF595959"/>
        <rFont val="Arial"/>
        <family val="0"/>
        <charset val="1"/>
      </rPr>
      <t xml:space="preserve">OpenAI v0.6 INP_262</t>
    </r>
    <r>
      <rPr>
        <sz val="9"/>
        <color rgb="FF595959"/>
        <rFont val="Noto Sans CJK SC"/>
        <family val="2"/>
      </rPr>
      <t xml:space="preserve">）</t>
    </r>
  </si>
  <si>
    <t xml:space="preserve">C76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</si>
  <si>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TK IF_CapexTotal</t>
    </r>
    <r>
      <rPr>
        <sz val="10"/>
        <color rgb="FF00000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</si>
  <si>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</si>
  <si>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設備＋廠房）；第三方指 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站點用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族＝</t>
    </r>
    <r>
      <rPr>
        <sz val="9"/>
        <color rgb="FF595959"/>
        <rFont val="Arial"/>
        <family val="0"/>
        <charset val="1"/>
      </rPr>
      <t xml:space="preserve">TPU v7</t>
    </r>
  </si>
  <si>
    <t xml:space="preserve">C77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</si>
  <si>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：自建（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</si>
  <si>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累計資本支出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</t>
    </r>
  </si>
  <si>
    <r>
      <rPr>
        <b val="true"/>
        <sz val="10"/>
        <rFont val="Noto Sans CJK SC"/>
        <family val="2"/>
      </rPr>
      <t xml:space="preserve">六、供給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合計與加速器組合（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：由逐合約供給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加權，時變）</t>
    </r>
  </si>
  <si>
    <t xml:space="preserve">C78</t>
  </si>
  <si>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（既有雲端＋新合約；不含自建）</t>
    </r>
  </si>
  <si>
    <r>
      <rPr>
        <sz val="9"/>
        <color rgb="FF595959"/>
        <rFont val="Noto Sans CJK SC"/>
        <family val="2"/>
      </rPr>
      <t xml:space="preserve">供應商持有成本的 </t>
    </r>
    <r>
      <rPr>
        <sz val="9"/>
        <color rgb="FF595959"/>
        <rFont val="Arial"/>
        <family val="0"/>
        <charset val="1"/>
      </rPr>
      <t xml:space="preserve">GW</t>
    </r>
  </si>
  <si>
    <t xml:space="preserve">C79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</si>
  <si>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合計（合約＋自建）</t>
    </r>
  </si>
  <si>
    <r>
      <rPr>
        <sz val="9"/>
        <color rgb="FF595959"/>
        <rFont val="Noto Sans CJK SC"/>
        <family val="2"/>
      </rPr>
      <t xml:space="preserve">命題分母的實體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（不自動假設新增合約）</t>
    </r>
  </si>
  <si>
    <t xml:space="preserve">C80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</si>
  <si>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</si>
  <si>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該族合約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（既有雲端依組合拆分；自建歸 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）</t>
    </r>
  </si>
  <si>
    <t xml:space="preserve">C81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</si>
  <si>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</si>
  <si>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C82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</si>
  <si>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</si>
  <si>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C83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</si>
  <si>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</si>
  <si>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C84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</si>
  <si>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</si>
  <si>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C85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</si>
  <si>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</si>
  <si>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C86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</si>
  <si>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</si>
  <si>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C87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</si>
  <si>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</si>
  <si>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C88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</si>
  <si>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</si>
  <si>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C89</t>
  </si>
  <si>
    <r>
      <rPr>
        <sz val="10"/>
        <color rgb="FF000000"/>
        <rFont val="Noto Sans CJK SC"/>
        <family val="2"/>
      </rPr>
      <t xml:space="preserve">檢查：各族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</si>
  <si>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C90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</si>
  <si>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</si>
  <si>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C91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</si>
  <si>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</si>
  <si>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C92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</si>
  <si>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</si>
  <si>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C93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</si>
  <si>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</si>
  <si>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C94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</si>
  <si>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</si>
  <si>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C95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</si>
  <si>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</si>
  <si>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C96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</si>
  <si>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</si>
  <si>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C97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</si>
  <si>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</si>
  <si>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C98</t>
  </si>
  <si>
    <r>
      <rPr>
        <sz val="10"/>
        <color rgb="FF000000"/>
        <rFont val="Noto Sans CJK SC"/>
        <family val="2"/>
      </rPr>
      <t xml:space="preserve">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</si>
  <si>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C99</t>
  </si>
  <si>
    <r>
      <rPr>
        <sz val="10"/>
        <color rgb="FF000000"/>
        <rFont val="Noto Sans CJK SC"/>
        <family val="2"/>
      </rPr>
      <t xml:space="preserve">組合占比合計（應＝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</si>
  <si>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七、層級組合（</t>
    </r>
    <r>
      <rPr>
        <b val="true"/>
        <sz val="10"/>
        <rFont val="Arial"/>
        <family val="0"/>
        <charset val="1"/>
      </rPr>
      <t xml:space="preserve">Demand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合計；付費、免費分開）</t>
    </r>
  </si>
  <si>
    <t xml:space="preserve">C100</t>
  </si>
  <si>
    <r>
      <rPr>
        <sz val="10"/>
        <color rgb="FF000000"/>
        <rFont val="Noto Sans CJK SC"/>
        <family val="2"/>
      </rPr>
      <t xml:space="preserve">付費：頂層（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</si>
  <si>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C101</t>
  </si>
  <si>
    <r>
      <rPr>
        <sz val="10"/>
        <color rgb="FF000000"/>
        <rFont val="Noto Sans CJK SC"/>
        <family val="2"/>
      </rPr>
      <t xml:space="preserve">付費：中層（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</si>
  <si>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C102</t>
  </si>
  <si>
    <r>
      <rPr>
        <sz val="10"/>
        <color rgb="FF000000"/>
        <rFont val="Noto Sans CJK SC"/>
        <family val="2"/>
      </rPr>
      <t xml:space="preserve">付費：低層（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</si>
  <si>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t xml:space="preserve">C103</t>
  </si>
  <si>
    <r>
      <rPr>
        <sz val="10"/>
        <color rgb="FF000000"/>
        <rFont val="Noto Sans CJK SC"/>
        <family val="2"/>
      </rPr>
      <t xml:space="preserve">免費：頂層（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）占比</t>
    </r>
  </si>
  <si>
    <t xml:space="preserve">C104</t>
  </si>
  <si>
    <r>
      <rPr>
        <sz val="10"/>
        <color rgb="FF000000"/>
        <rFont val="Noto Sans CJK SC"/>
        <family val="2"/>
      </rPr>
      <t xml:space="preserve">免費：中層（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）占比</t>
    </r>
  </si>
  <si>
    <t xml:space="preserve">C105</t>
  </si>
  <si>
    <r>
      <rPr>
        <sz val="10"/>
        <color rgb="FF000000"/>
        <rFont val="Noto Sans CJK SC"/>
        <family val="2"/>
      </rPr>
      <t xml:space="preserve">免費：低層（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）占比</t>
    </r>
  </si>
  <si>
    <r>
      <rPr>
        <b val="true"/>
        <sz val="10"/>
        <rFont val="Noto Sans CJK SC"/>
        <family val="2"/>
      </rPr>
      <t xml:space="preserve">八、每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</t>
    </r>
    <r>
      <rPr>
        <b val="true"/>
        <sz val="10"/>
        <rFont val="Arial"/>
        <family val="0"/>
        <charset val="1"/>
      </rPr>
      <t xml:space="preserve">M tok/GW/</t>
    </r>
    <r>
      <rPr>
        <b val="true"/>
        <sz val="10"/>
        <rFont val="Noto Sans CJK SC"/>
        <family val="2"/>
      </rPr>
      <t xml:space="preserve">年；基準利用率 </t>
    </r>
    <r>
      <rPr>
        <b val="true"/>
        <sz val="10"/>
        <rFont val="Arial"/>
        <family val="0"/>
        <charset val="1"/>
      </rPr>
      <t xml:space="preserve">TK IF_Util</t>
    </r>
    <r>
      <rPr>
        <b val="true"/>
        <sz val="10"/>
        <rFont val="Noto Sans CJK SC"/>
        <family val="2"/>
      </rPr>
      <t xml:space="preserve">；式同 </t>
    </r>
    <r>
      <rPr>
        <b val="true"/>
        <sz val="10"/>
        <rFont val="Arial"/>
        <family val="0"/>
        <charset val="1"/>
      </rPr>
      <t xml:space="preserve">OpenAI v0.6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IF_Util ÷ Σ</t>
    </r>
    <r>
      <rPr>
        <b val="true"/>
        <sz val="10"/>
        <rFont val="Noto Sans CJK SC"/>
        <family val="2"/>
      </rPr>
      <t xml:space="preserve">（層級占比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該族該層級每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總產出））</t>
    </r>
  </si>
  <si>
    <t xml:space="preserve">C106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</si>
  <si>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</si>
  <si>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C107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</si>
  <si>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</si>
  <si>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C108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</si>
  <si>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</si>
  <si>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C109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</si>
  <si>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</si>
  <si>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C110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</si>
  <si>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v6e</t>
    </r>
  </si>
  <si>
    <r>
      <rPr>
        <sz val="9"/>
        <color rgb="FF595959"/>
        <rFont val="Noto Sans CJK SC"/>
        <family val="2"/>
      </rPr>
      <t xml:space="preserve">產出比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基準世代產能（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；比例與層級無關）</t>
    </r>
  </si>
  <si>
    <t xml:space="preserve">C111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</si>
  <si>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</si>
  <si>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C112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</si>
  <si>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</si>
  <si>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C113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</si>
  <si>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</si>
  <si>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C114</t>
  </si>
  <si>
    <r>
      <rPr>
        <sz val="10"/>
        <color rgb="FF000000"/>
        <rFont val="Noto Sans CJK SC"/>
        <family val="2"/>
      </rPr>
      <t xml:space="preserve">付費：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</si>
  <si>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C115</t>
  </si>
  <si>
    <r>
      <rPr>
        <sz val="10"/>
        <color rgb="FF000000"/>
        <rFont val="Noto Sans CJK SC"/>
        <family val="2"/>
      </rPr>
      <t xml:space="preserve">付費：組合後每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</si>
  <si>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各族產能</t>
    </r>
  </si>
  <si>
    <t xml:space="preserve">C116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</si>
  <si>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</si>
  <si>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C117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</si>
  <si>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GB200</t>
    </r>
  </si>
  <si>
    <t xml:space="preserve">C118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</si>
  <si>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GB300</t>
    </r>
  </si>
  <si>
    <t xml:space="preserve">C119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</si>
  <si>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VR200</t>
    </r>
  </si>
  <si>
    <t xml:space="preserve">C120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</si>
  <si>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</si>
  <si>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C121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</si>
  <si>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</si>
  <si>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C122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</si>
  <si>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</si>
  <si>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C123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</si>
  <si>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</si>
  <si>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C124</t>
  </si>
  <si>
    <r>
      <rPr>
        <sz val="10"/>
        <color rgb="FF000000"/>
        <rFont val="Noto Sans CJK SC"/>
        <family val="2"/>
      </rPr>
      <t xml:space="preserve">免費：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</si>
  <si>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C125</t>
  </si>
  <si>
    <r>
      <rPr>
        <sz val="10"/>
        <color rgb="FF000000"/>
        <rFont val="Noto Sans CJK SC"/>
        <family val="2"/>
      </rPr>
      <t xml:space="preserve">免費：組合後每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</t>
    </r>
  </si>
  <si>
    <r>
      <rPr>
        <b val="true"/>
        <sz val="10"/>
        <rFont val="Noto Sans CJK SC"/>
        <family val="2"/>
      </rPr>
      <t xml:space="preserve">九、推論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換算）＝</t>
    </r>
    <r>
      <rPr>
        <b val="true"/>
        <sz val="10"/>
        <rFont val="Arial"/>
        <family val="0"/>
        <charset val="1"/>
      </rPr>
      <t xml:space="preserve">token ÷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年產能（付費、免費分開）</t>
    </r>
  </si>
  <si>
    <t xml:space="preserve">C126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</si>
  <si>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</si>
  <si>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</si>
  <si>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C127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</si>
  <si>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</si>
  <si>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t xml:space="preserve">C128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</si>
  <si>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換算）：付費</t>
    </r>
  </si>
  <si>
    <t xml:space="preserve">C129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</si>
  <si>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換算）：免費</t>
    </r>
  </si>
  <si>
    <t xml:space="preserve">C130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</si>
  <si>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換算）：合計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</si>
  <si>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有效產出係數（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推論支出校準）與有效推論 </t>
    </r>
    <r>
      <rPr>
        <b val="true"/>
        <sz val="10"/>
        <rFont val="Arial"/>
        <family val="0"/>
        <charset val="1"/>
      </rPr>
      <t xml:space="preserve">GW</t>
    </r>
  </si>
  <si>
    <t xml:space="preserve">C131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</si>
  <si>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推論等非訓練算力支出（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＝說明書算力 </t>
    </r>
    <r>
      <rPr>
        <sz val="10"/>
        <color rgb="FF000000"/>
        <rFont val="Arial"/>
        <family val="0"/>
        <charset val="1"/>
      </rPr>
      <t xml:space="preserve">7.33 −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4.1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</si>
  <si>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SRC_ANT_255</t>
    </r>
    <r>
      <rPr>
        <sz val="9"/>
        <color rgb="FF595959"/>
        <rFont val="Noto Sans CJK SC"/>
        <family val="2"/>
      </rPr>
      <t xml:space="preserve">（公式）；訓練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），推論＝餘額（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</si>
  <si>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C132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</si>
  <si>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（支出換算）＝推論支出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既有雲端加權合約價</t>
    </r>
  </si>
  <si>
    <t xml:space="preserve">C133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</si>
  <si>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支出換算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</si>
  <si>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模型產能實際兌現的比例（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）</t>
    </r>
  </si>
  <si>
    <t xml:space="preserve">C134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</si>
  <si>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（逐年）</t>
    </r>
  </si>
  <si>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（基準）＝沿用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＝線性回升至目標（</t>
    </r>
    <r>
      <rPr>
        <sz val="9"/>
        <color rgb="FF595959"/>
        <rFont val="Arial"/>
        <family val="0"/>
        <charset val="1"/>
      </rPr>
      <t xml:space="preserve">D8 </t>
    </r>
    <r>
      <rPr>
        <sz val="9"/>
        <color rgb="FF595959"/>
        <rFont val="Noto Sans CJK SC"/>
        <family val="2"/>
      </rPr>
      <t xml:space="preserve">情境）</t>
    </r>
  </si>
  <si>
    <t xml:space="preserve">C135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</si>
  <si>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：付費</t>
    </r>
  </si>
  <si>
    <t xml:space="preserve">C136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</si>
  <si>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：免費</t>
    </r>
  </si>
  <si>
    <t xml:space="preserve">C137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</si>
  <si>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（未截頂）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</si>
  <si>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（校準恆等式）</t>
    </r>
  </si>
  <si>
    <r>
      <rPr>
        <b val="true"/>
        <sz val="10"/>
        <rFont val="Noto Sans CJK SC"/>
        <family val="2"/>
      </rPr>
      <t xml:space="preserve">十一、研發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：殘差）、閒置、容量上限（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固定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</si>
  <si>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C138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</si>
  <si>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</si>
  <si>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年底預測，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</si>
  <si>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C139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</si>
  <si>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（校準年後）</t>
    </r>
  </si>
  <si>
    <r>
      <rPr>
        <sz val="9"/>
        <color rgb="FF595959"/>
        <rFont val="Arial"/>
        <family val="0"/>
        <charset val="1"/>
      </rPr>
      <t xml:space="preserve">Inputs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</t>
    </r>
  </si>
  <si>
    <t xml:space="preserve">C140</t>
  </si>
  <si>
    <r>
      <rPr>
        <sz val="10"/>
        <color rgb="FF000000"/>
        <rFont val="Noto Sans CJK SC"/>
        <family val="2"/>
      </rPr>
      <t xml:space="preserve">推論可用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訓練最低占比）</t>
    </r>
  </si>
  <si>
    <t xml:space="preserve">C141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</si>
  <si>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</si>
  <si>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（≤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固定年）＝有效推論；之後＝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（可用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有效）</t>
    </r>
  </si>
  <si>
    <t xml:space="preserve">C142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</si>
  <si>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</si>
  <si>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既有雲端加權合約價；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起＝供給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閒置）− 推論（截頂後）</t>
    </r>
  </si>
  <si>
    <t xml:space="preserve">C143</t>
  </si>
  <si>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＝有效推論（未截頂）＋研發</t>
    </r>
  </si>
  <si>
    <t xml:space="preserve">C144</t>
  </si>
  <si>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＝未受限）</t>
    </r>
  </si>
  <si>
    <r>
      <rPr>
        <sz val="9"/>
        <color rgb="FF595959"/>
        <rFont val="Noto Sans CJK SC"/>
        <family val="2"/>
      </rPr>
      <t xml:space="preserve">接回 </t>
    </r>
    <r>
      <rPr>
        <sz val="9"/>
        <color rgb="FF595959"/>
        <rFont val="Arial"/>
        <family val="0"/>
        <charset val="1"/>
      </rPr>
      <t xml:space="preserve">Revenue REV_CapFactor</t>
    </r>
  </si>
  <si>
    <t xml:space="preserve">C145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</si>
  <si>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＝有效推論超過可用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；固定年後）</t>
    </r>
  </si>
  <si>
    <t xml:space="preserve">旗標</t>
  </si>
  <si>
    <t xml:space="preserve">不自動假設新增合約</t>
  </si>
  <si>
    <t xml:space="preserve">C146</t>
  </si>
  <si>
    <t xml:space="preserve">檢查：推論（截頂後）＋研發＋閒置 − 供給</t>
  </si>
  <si>
    <r>
      <rPr>
        <sz val="9"/>
        <color rgb="FF595959"/>
        <rFont val="Noto Sans CJK SC"/>
        <family val="2"/>
      </rPr>
      <t xml:space="preserve">各年應為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：說明書算力＝推論＋訓練）</t>
    </r>
  </si>
  <si>
    <t xml:space="preserve">C147</t>
  </si>
  <si>
    <t xml:space="preserve">研發占供給</t>
  </si>
  <si>
    <t xml:space="preserve">C148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</si>
  <si>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IF_AllocRDGW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計畫當量；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起按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研發世代組合加權，非單一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</si>
  <si>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並列；口徑為單一前沿實驗室的物理下限；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v12–v13</t>
    </r>
    <r>
      <rPr>
        <sz val="9"/>
        <color rgb="FF595959"/>
        <rFont val="Noto Sans CJK SC"/>
        <family val="2"/>
      </rPr>
      <t xml:space="preserve">：此值是區間（批次口徑倍數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），非點值；只對照，不回饋</t>
    </r>
  </si>
  <si>
    <r>
      <rPr>
        <b val="true"/>
        <sz val="10"/>
        <rFont val="Noto Sans CJK SC"/>
        <family val="2"/>
      </rPr>
      <t xml:space="preserve">十二、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等值換算（命題分母；各族 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產能比）</t>
    </r>
  </si>
  <si>
    <t xml:space="preserve">C149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</si>
  <si>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</si>
  <si>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t xml:space="preserve">C150</t>
  </si>
  <si>
    <t xml:space="preserve">C151</t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</si>
  <si>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</si>
  <si>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C152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</si>
  <si>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VR </t>
    </r>
    <r>
      <rPr>
        <sz val="10"/>
        <color rgb="FF000000"/>
        <rFont val="Noto Sans CJK SC"/>
        <family val="2"/>
      </rPr>
      <t xml:space="preserve">等值</t>
    </r>
  </si>
  <si>
    <t xml:space="preserve">C153</t>
  </si>
  <si>
    <r>
      <rPr>
        <sz val="10"/>
        <color rgb="FF000000"/>
        <rFont val="Noto Sans CJK SC"/>
        <family val="2"/>
      </rPr>
      <t xml:space="preserve">對照：依付費層級組合加權的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等值係數（付費組合後產能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付費產能）</t>
    </r>
  </si>
  <si>
    <t xml:space="preserve">替代口徑</t>
  </si>
  <si>
    <r>
      <rPr>
        <b val="true"/>
        <sz val="10"/>
        <rFont val="Noto Sans CJK SC"/>
        <family val="2"/>
      </rPr>
      <t xml:space="preserve">十三、對照（只列差距，不校準）：報導年底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、揭露容量、機房租約（</t>
    </r>
    <r>
      <rPr>
        <b val="true"/>
        <sz val="10"/>
        <rFont val="Arial"/>
        <family val="0"/>
        <charset val="1"/>
      </rPr>
      <t xml:space="preserve">D10 r1</t>
    </r>
    <r>
      <rPr>
        <b val="true"/>
        <sz val="10"/>
        <rFont val="Noto Sans CJK SC"/>
        <family val="2"/>
      </rPr>
      <t xml:space="preserve">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</si>
  <si>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C154</t>
  </si>
  <si>
    <r>
      <rPr>
        <sz val="10"/>
        <color rgb="FF000000"/>
        <rFont val="Noto Sans CJK SC"/>
        <family val="2"/>
      </rPr>
      <t xml:space="preserve">模型年底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近似＝（本年 ＋ 次年年均供給）</t>
    </r>
    <r>
      <rPr>
        <sz val="10"/>
        <color rgb="FF000000"/>
        <rFont val="Arial"/>
        <family val="0"/>
        <charset val="1"/>
      </rPr>
      <t xml:space="preserve">÷ 2</t>
    </r>
  </si>
  <si>
    <t xml:space="preserve">年均 → 年底的近似（線性）</t>
  </si>
  <si>
    <t xml:space="preserve">C155</t>
  </si>
  <si>
    <r>
      <rPr>
        <sz val="10"/>
        <color rgb="FF000000"/>
        <rFont val="Noto Sans CJK SC"/>
        <family val="2"/>
      </rPr>
      <t xml:space="preserve">報導年底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</si>
  <si>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268</t>
    </r>
    <r>
      <rPr>
        <sz val="9"/>
        <color rgb="FF595959"/>
        <rFont val="Noto Sans CJK SC"/>
        <family val="2"/>
      </rPr>
      <t xml:space="preserve">（媒體轉述投資人資料；口徑未明）</t>
    </r>
  </si>
  <si>
    <t xml:space="preserve">C156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</si>
  <si>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Checks WARN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</si>
  <si>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C157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</si>
  <si>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Measured AI </t>
    </r>
    <r>
      <rPr>
        <sz val="10"/>
        <color rgb="FF000000"/>
        <rFont val="Noto Sans CJK SC"/>
        <family val="2"/>
      </rPr>
      <t xml:space="preserve">年底估計（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</si>
  <si>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</si>
  <si>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t xml:space="preserve">C158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</si>
  <si>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起新簽容量（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彙整 ≥</t>
    </r>
    <r>
      <rPr>
        <sz val="10"/>
        <color rgb="FF000000"/>
        <rFont val="Arial"/>
        <family val="0"/>
        <charset val="1"/>
      </rPr>
      <t xml:space="preserve">14.8 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模型新合約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（不含既有雲端）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</si>
  <si>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14.8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SRC_ANT_242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E–I</t>
    </r>
    <r>
      <rPr>
        <sz val="9"/>
        <color rgb="FF595959"/>
        <rFont val="Noto Sans CJK SC"/>
        <family val="2"/>
      </rPr>
      <t xml:space="preserve">＝模型新合約＋自建</t>
    </r>
  </si>
  <si>
    <t xml:space="preserve">C159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</si>
  <si>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Google TPU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年上線遠超過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Google TPU 2026 </t>
    </r>
    <r>
      <rPr>
        <sz val="10"/>
        <color rgb="FF000000"/>
        <rFont val="Noto Sans CJK SC"/>
        <family val="2"/>
      </rPr>
      <t xml:space="preserve">年均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</si>
  <si>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＝揭露下限；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＝模型（金額型）</t>
    </r>
  </si>
  <si>
    <t xml:space="preserve">C160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</si>
  <si>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年底前新增近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」／「最多 </t>
    </r>
    <r>
      <rPr>
        <sz val="10"/>
        <color rgb="FF000000"/>
        <rFont val="Arial"/>
        <family val="0"/>
        <charset val="1"/>
      </rPr>
      <t xml:space="preserve">5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Amazon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</si>
  <si>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＝近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＝模型；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＝上限 </t>
    </r>
    <r>
      <rPr>
        <sz val="9"/>
        <color rgb="FF595959"/>
        <rFont val="Arial"/>
        <family val="0"/>
        <charset val="1"/>
      </rPr>
      <t xml:space="preserve">5 GW</t>
    </r>
  </si>
  <si>
    <t xml:space="preserve">C161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</si>
  <si>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「最多 </t>
    </r>
    <r>
      <rPr>
        <sz val="10"/>
        <color rgb="FF000000"/>
        <rFont val="Arial"/>
        <family val="0"/>
        <charset val="1"/>
      </rPr>
      <t xml:space="preserve">1 GW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Azure 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滿載）</t>
    </r>
  </si>
  <si>
    <t xml:space="preserve">C162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</si>
  <si>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SpaceX Colossus 1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&gt;300 MW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SpaceX GW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Hopper </t>
    </r>
    <r>
      <rPr>
        <sz val="10"/>
        <color rgb="FF000000"/>
        <rFont val="Noto Sans CJK SC"/>
        <family val="2"/>
      </rPr>
      <t xml:space="preserve">合約價）</t>
    </r>
  </si>
  <si>
    <r>
      <rPr>
        <sz val="9"/>
        <color rgb="FF595959"/>
        <rFont val="Noto Sans CJK SC"/>
        <family val="2"/>
      </rPr>
      <t xml:space="preserve">若以 </t>
    </r>
    <r>
      <rPr>
        <sz val="9"/>
        <color rgb="FF595959"/>
        <rFont val="Arial"/>
        <family val="0"/>
        <charset val="1"/>
      </rPr>
      <t xml:space="preserve">0.3 GW </t>
    </r>
    <r>
      <rPr>
        <sz val="9"/>
        <color rgb="FF595959"/>
        <rFont val="Noto Sans CJK SC"/>
        <family val="2"/>
      </rPr>
      <t xml:space="preserve">計，</t>
    </r>
    <r>
      <rPr>
        <sz val="9"/>
        <color rgb="FF595959"/>
        <rFont val="Arial"/>
        <family val="0"/>
        <charset val="1"/>
      </rPr>
      <t xml:space="preserve">SpaceX </t>
    </r>
    <r>
      <rPr>
        <sz val="9"/>
        <color rgb="FF595959"/>
        <rFont val="Noto Sans CJK SC"/>
        <family val="2"/>
      </rPr>
      <t xml:space="preserve">隱含每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年付款約 </t>
    </r>
    <r>
      <rPr>
        <sz val="9"/>
        <color rgb="FF595959"/>
        <rFont val="Arial"/>
        <family val="0"/>
        <charset val="1"/>
      </rPr>
      <t xml:space="preserve">$50B</t>
    </r>
    <r>
      <rPr>
        <sz val="9"/>
        <color rgb="FF595959"/>
        <rFont val="Noto Sans CJK SC"/>
        <family val="2"/>
      </rPr>
      <t xml:space="preserve">（見報告）</t>
    </r>
  </si>
  <si>
    <t xml:space="preserve">C163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</si>
  <si>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Project Rainier IT </t>
    </r>
    <r>
      <rPr>
        <sz val="10"/>
        <color rgb="FF000000"/>
        <rFont val="Noto Sans CJK SC"/>
        <family val="2"/>
      </rPr>
      <t xml:space="preserve">電力（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衛星估計 </t>
    </r>
    <r>
      <rPr>
        <sz val="10"/>
        <color rgb="FF000000"/>
        <rFont val="Arial"/>
        <family val="0"/>
        <charset val="1"/>
      </rPr>
      <t xml:space="preserve">910 MW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既有雲端 </t>
    </r>
    <r>
      <rPr>
        <sz val="10"/>
        <color rgb="FF000000"/>
        <rFont val="Arial"/>
        <family val="0"/>
        <charset val="1"/>
      </rPr>
      <t xml:space="preserve">Trainium2 GW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</si>
  <si>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 </t>
    </r>
    <r>
      <rPr>
        <sz val="9"/>
        <color rgb="FF595959"/>
        <rFont val="Noto Sans CJK SC"/>
        <family val="2"/>
      </rPr>
      <t xml:space="preserve">現況）；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年均</t>
    </r>
  </si>
  <si>
    <t xml:space="preserve">C164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</si>
  <si>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New Carlisle </t>
    </r>
    <r>
      <rPr>
        <sz val="10"/>
        <color rgb="FF000000"/>
        <rFont val="Noto Sans CJK SC"/>
        <family val="2"/>
      </rPr>
      <t xml:space="preserve">園區用電 </t>
    </r>
    <r>
      <rPr>
        <sz val="10"/>
        <color rgb="FF000000"/>
        <rFont val="Arial"/>
        <family val="0"/>
        <charset val="1"/>
      </rPr>
      <t xml:space="preserve">2.2 GW</t>
    </r>
    <r>
      <rPr>
        <sz val="10"/>
        <color rgb="FF000000"/>
        <rFont val="Noto Sans CJK SC"/>
        <family val="2"/>
      </rPr>
      <t xml:space="preserve">（設施）</t>
    </r>
    <r>
      <rPr>
        <sz val="10"/>
        <color rgb="FF000000"/>
        <rFont val="Arial"/>
        <family val="0"/>
        <charset val="1"/>
      </rPr>
      <t xml:space="preserve">÷ PUE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</si>
  <si>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自有園區（設施口徑）</t>
    </r>
  </si>
  <si>
    <t xml:space="preserve">C165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</si>
  <si>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401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；直接承租）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</si>
  <si>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Google TPU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</si>
  <si>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C166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</si>
  <si>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191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</si>
  <si>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硬體為 </t>
    </r>
    <r>
      <rPr>
        <sz val="9"/>
        <color rgb="FF595959"/>
        <rFont val="Arial"/>
        <family val="0"/>
        <charset val="1"/>
      </rPr>
      <t xml:space="preserve">AMD MI450</t>
    </r>
    <r>
      <rPr>
        <sz val="9"/>
        <color rgb="FF595959"/>
        <rFont val="Noto Sans CJK SC"/>
        <family val="2"/>
      </rPr>
      <t xml:space="preserve">（第三方）→ 容量已含於 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合約</t>
    </r>
  </si>
  <si>
    <t xml:space="preserve">C167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</si>
  <si>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245 MW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</si>
  <si>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；硬體 </t>
    </r>
    <r>
      <rPr>
        <sz val="9"/>
        <color rgb="FF595959"/>
        <rFont val="Arial"/>
        <family val="0"/>
        <charset val="1"/>
      </rPr>
      <t xml:space="preserve">Google TPU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</si>
  <si>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C168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</si>
  <si>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</si>
  <si>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擔保 → 容量已含於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</t>
    </r>
  </si>
  <si>
    <t xml:space="preserve">C169</t>
  </si>
  <si>
    <r>
      <rPr>
        <sz val="10"/>
        <color rgb="FF000000"/>
        <rFont val="Noto Sans CJK SC"/>
        <family val="2"/>
      </rPr>
      <t xml:space="preserve">機房租約（不計入供給）：</t>
    </r>
    <r>
      <rPr>
        <sz val="10"/>
        <color rgb="FF000000"/>
        <rFont val="Arial"/>
        <family val="0"/>
        <charset val="1"/>
      </rPr>
      <t xml:space="preserve">Cipher Barber Lake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IT 207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歸屬，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</si>
  <si>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Fluidstack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 → </t>
    </r>
    <r>
      <rPr>
        <sz val="9"/>
        <color rgb="FF595959"/>
        <rFont val="Noto Sans CJK SC"/>
        <family val="2"/>
      </rPr>
      <t xml:space="preserve">已含於 </t>
    </r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合約／自建</t>
    </r>
  </si>
  <si>
    <t xml:space="preserve">C170</t>
  </si>
  <si>
    <r>
      <rPr>
        <sz val="10"/>
        <color rgb="FF000000"/>
        <rFont val="Noto Sans CJK SC"/>
        <family val="2"/>
      </rPr>
      <t xml:space="preserve">機房租約容量合計（不計入供給；</t>
    </r>
    <r>
      <rPr>
        <sz val="10"/>
        <color rgb="FF000000"/>
        <rFont val="Arial"/>
        <family val="0"/>
        <charset val="1"/>
      </rPr>
      <t xml:space="preserve">D10 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</si>
  <si>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Noto Sans CJK SC"/>
        <family val="2"/>
      </rPr>
      <t xml:space="preserve">新合約＋自建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（模型）是否足以容納這些機房</t>
    </r>
  </si>
  <si>
    <r>
      <rPr>
        <b val="true"/>
        <sz val="10"/>
        <rFont val="Noto Sans CJK SC"/>
        <family val="2"/>
      </rPr>
      <t xml:space="preserve">十四、敏感度（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公式；引用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的值、低、高欄）：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合約價、</t>
    </r>
    <r>
      <rPr>
        <b val="true"/>
        <sz val="10"/>
        <rFont val="Arial"/>
        <family val="0"/>
        <charset val="1"/>
      </rPr>
      <t xml:space="preserve">B η </t>
    </r>
    <r>
      <rPr>
        <b val="true"/>
        <sz val="10"/>
        <rFont val="Noto Sans CJK SC"/>
        <family val="2"/>
      </rPr>
      <t xml:space="preserve">路徑、</t>
    </r>
    <r>
      <rPr>
        <b val="true"/>
        <sz val="10"/>
        <rFont val="Arial"/>
        <family val="0"/>
        <charset val="1"/>
      </rPr>
      <t xml:space="preserve">C TPU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Trainium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產出比</t>
    </r>
  </si>
  <si>
    <t xml:space="preserve">C171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</si>
  <si>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中隨合約價反比者（金額型＋既有雲端；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時為金額型）</t>
    </r>
  </si>
  <si>
    <t xml:space="preserve">C172</t>
  </si>
  <si>
    <r>
      <rPr>
        <sz val="10"/>
        <color rgb="FF000000"/>
        <rFont val="Noto Sans CJK SC"/>
        <family val="2"/>
      </rPr>
      <t xml:space="preserve">同上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</t>
    </r>
  </si>
  <si>
    <t xml:space="preserve">C173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</si>
  <si>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合約價（低端）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</si>
  <si>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的低端欄</t>
    </r>
  </si>
  <si>
    <t xml:space="preserve">C174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</si>
  <si>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</si>
  <si>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Noto Sans CJK SC"/>
        <family val="2"/>
      </rPr>
      <t xml:space="preserve">金額型與既有雲端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與合約價成反比；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型、雙揭露型、自建不變</t>
    </r>
  </si>
  <si>
    <t xml:space="preserve">C175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</si>
  <si>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</si>
  <si>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t xml:space="preserve">C176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</si>
  <si>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算力成本（合約價低端）</t>
    </r>
  </si>
  <si>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型付款與合約價成正比；金額型、雙揭露型、既有雲端、自建不變</t>
    </r>
  </si>
  <si>
    <t xml:space="preserve">C177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</si>
  <si>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（合約價低端）</t>
    </r>
  </si>
  <si>
    <r>
      <rPr>
        <sz val="9"/>
        <color rgb="FF595959"/>
        <rFont val="Arial"/>
        <family val="0"/>
        <charset val="1"/>
      </rPr>
      <t xml:space="preserve">η₂₀₂₅ </t>
    </r>
    <r>
      <rPr>
        <sz val="9"/>
        <color rgb="FF595959"/>
        <rFont val="Noto Sans CJK SC"/>
        <family val="2"/>
      </rPr>
      <t xml:space="preserve">與合約價成正比（支出換算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反比）</t>
    </r>
  </si>
  <si>
    <t xml:space="preserve">C178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</si>
  <si>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容量上限係數（合約價低端）</t>
    </r>
  </si>
  <si>
    <t xml:space="preserve">C179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</si>
  <si>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差額（含股權報酬；合約價低端）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</si>
  <si>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的敏感度</t>
    </r>
  </si>
  <si>
    <t xml:space="preserve">C180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</si>
  <si>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合約價（基準）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</si>
  <si>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的基準欄</t>
    </r>
  </si>
  <si>
    <t xml:space="preserve">C181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</si>
  <si>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</si>
  <si>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</si>
  <si>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</si>
  <si>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</si>
  <si>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算力成本（合約價基準）</t>
    </r>
  </si>
  <si>
    <t xml:space="preserve">C184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</si>
  <si>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（合約價基準）</t>
    </r>
  </si>
  <si>
    <t xml:space="preserve">C185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</si>
  <si>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容量上限係數（合約價基準）</t>
    </r>
  </si>
  <si>
    <t xml:space="preserve">C186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</si>
  <si>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差額（含股權報酬；合約價基準）</t>
    </r>
  </si>
  <si>
    <t xml:space="preserve">C187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</si>
  <si>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合約價（高端）</t>
    </r>
  </si>
  <si>
    <r>
      <rPr>
        <sz val="9"/>
        <color rgb="FF595959"/>
        <rFont val="Arial"/>
        <family val="0"/>
        <charset val="1"/>
      </rPr>
      <t xml:space="preserve">Inputs INP_114 </t>
    </r>
    <r>
      <rPr>
        <sz val="9"/>
        <color rgb="FF595959"/>
        <rFont val="Noto Sans CJK SC"/>
        <family val="2"/>
      </rPr>
      <t xml:space="preserve">的高端欄</t>
    </r>
  </si>
  <si>
    <t xml:space="preserve">C188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</si>
  <si>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</si>
  <si>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C189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</si>
  <si>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</si>
  <si>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C190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</si>
  <si>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算力成本（合約價高端）</t>
    </r>
  </si>
  <si>
    <t xml:space="preserve">C191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</si>
  <si>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（合約價高端）</t>
    </r>
  </si>
  <si>
    <t xml:space="preserve">C192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</si>
  <si>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容量上限係數（合約價高端）</t>
    </r>
  </si>
  <si>
    <t xml:space="preserve">C193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</si>
  <si>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差額（含股權報酬；合約價高端）</t>
    </r>
  </si>
  <si>
    <t xml:space="preserve">C194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</si>
  <si>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路徑：沿用（基準）</t>
    </r>
  </si>
  <si>
    <t xml:space="preserve">C195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</si>
  <si>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</si>
  <si>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C196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</si>
  <si>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沿用（基準））</t>
    </r>
  </si>
  <si>
    <t xml:space="preserve">供給不變</t>
  </si>
  <si>
    <t xml:space="preserve">C197</t>
  </si>
  <si>
    <r>
      <rPr>
        <sz val="10"/>
        <color rgb="FF000000"/>
        <rFont val="Arial"/>
        <family val="0"/>
        <charset val="1"/>
      </rPr>
      <t xml:space="preserve">B η </t>
    </r>
    <r>
      <rPr>
        <sz val="10"/>
        <color rgb="FF000000"/>
        <rFont val="Noto Sans CJK SC"/>
        <family val="2"/>
      </rPr>
      <t xml:space="preserve">路徑：線性回升至目標</t>
    </r>
  </si>
  <si>
    <t xml:space="preserve">C198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</si>
  <si>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</si>
  <si>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C199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</si>
  <si>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容量上限係數（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線性回升至目標）</t>
    </r>
  </si>
  <si>
    <t xml:space="preserve">C200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</si>
  <si>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</si>
  <si>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</si>
  <si>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產出比皆取低端）</t>
    </r>
  </si>
  <si>
    <t xml:space="preserve">C202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</si>
  <si>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換算；產出比低端）</t>
    </r>
  </si>
  <si>
    <t xml:space="preserve">C203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</si>
  <si>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（產出比低端）</t>
    </r>
  </si>
  <si>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以該情境 </t>
    </r>
    <r>
      <rPr>
        <sz val="9"/>
        <color rgb="FF595959"/>
        <rFont val="Arial"/>
        <family val="0"/>
        <charset val="1"/>
      </rPr>
      <t xml:space="preserve">2025 token GW </t>
    </r>
    <r>
      <rPr>
        <sz val="9"/>
        <color rgb="FF595959"/>
        <rFont val="Noto Sans CJK SC"/>
        <family val="2"/>
      </rPr>
      <t xml:space="preserve">重新校準（沿用路徑）</t>
    </r>
  </si>
  <si>
    <t xml:space="preserve">C204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</si>
  <si>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容量上限係數（產出比低端）</t>
    </r>
  </si>
  <si>
    <t xml:space="preserve">C205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</si>
  <si>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等值係數（產出比低端）</t>
    </r>
  </si>
  <si>
    <t xml:space="preserve">C206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</si>
  <si>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差額（含股權報酬；產出比低端）</t>
    </r>
  </si>
  <si>
    <t xml:space="preserve">C207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</si>
  <si>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</si>
  <si>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C208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</si>
  <si>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產出比皆取高端）</t>
    </r>
  </si>
  <si>
    <t xml:space="preserve">C209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</si>
  <si>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換算；產出比高端）</t>
    </r>
  </si>
  <si>
    <t xml:space="preserve">C210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</si>
  <si>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（產出比高端）</t>
    </r>
  </si>
  <si>
    <t xml:space="preserve">C211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</si>
  <si>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容量上限係數（產出比高端）</t>
    </r>
  </si>
  <si>
    <t xml:space="preserve">C212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</si>
  <si>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等值係數（產出比高端）</t>
    </r>
  </si>
  <si>
    <t xml:space="preserve">C213</t>
  </si>
  <si>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差額（含股權報酬；產出比高端）</t>
    </r>
  </si>
  <si>
    <t xml:space="preserve">C214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</si>
  <si>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</si>
  <si>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揭露 </t>
    </r>
    <r>
      <rPr>
        <sz val="9"/>
        <color rgb="FF595959"/>
        <rFont val="Arial"/>
        <family val="0"/>
        <charset val="1"/>
      </rPr>
      <t xml:space="preserve">GW ×</t>
    </r>
    <r>
      <rPr>
        <sz val="9"/>
        <color rgb="FF595959"/>
        <rFont val="Noto Sans CJK SC"/>
        <family val="2"/>
      </rPr>
      <t xml:space="preserve">（計入比例）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換算</t>
    </r>
  </si>
  <si>
    <t xml:space="preserve">C215</t>
  </si>
  <si>
    <r>
      <rPr>
        <sz val="10"/>
        <color rgb="FF000000"/>
        <rFont val="Noto Sans CJK SC"/>
        <family val="2"/>
      </rPr>
      <t xml:space="preserve">參數：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型合約滿載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</si>
  <si>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v0.1.1 U2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Noto Sans CJK SC"/>
        <family val="2"/>
      </rPr>
      <t xml:space="preserve">』（金額型）與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口徑（開關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</si>
  <si>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t xml:space="preserve">C216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</si>
  <si>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</si>
  <si>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口徑：雙揭露型：供給＝</t>
    </r>
    <r>
      <rPr>
        <sz val="9"/>
        <color rgb="FF595959"/>
        <rFont val="Arial"/>
        <family val="0"/>
        <charset val="1"/>
      </rPr>
      <t xml:space="preserve">460 MW</t>
    </r>
    <r>
      <rPr>
        <sz val="9"/>
        <color rgb="FF595959"/>
        <rFont val="Noto Sans CJK SC"/>
        <family val="2"/>
      </rPr>
      <t xml:space="preserve">；付款＝</t>
    </r>
    <r>
      <rPr>
        <sz val="9"/>
        <color rgb="FF595959"/>
        <rFont val="Arial"/>
        <family val="0"/>
        <charset val="1"/>
      </rPr>
      <t xml:space="preserve">$45B </t>
    </r>
    <r>
      <rPr>
        <sz val="9"/>
        <color rgb="FF595959"/>
        <rFont val="Noto Sans CJK SC"/>
        <family val="2"/>
      </rPr>
      <t xml:space="preserve">時程；只在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</si>
  <si>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C217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</si>
  <si>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口徑）供給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GW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</si>
  <si>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型：期間未揭露 → 付款＝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合約價；晶片未揭露，歸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）；隱含總額對 </t>
    </r>
    <r>
      <rPr>
        <sz val="9"/>
        <color rgb="FF595959"/>
        <rFont val="Arial"/>
        <family val="0"/>
        <charset val="1"/>
      </rPr>
      <t xml:space="preserve">$35B </t>
    </r>
    <r>
      <rPr>
        <sz val="9"/>
        <color rgb="FF595959"/>
        <rFont val="Noto Sans CJK SC"/>
        <family val="2"/>
      </rPr>
      <t xml:space="preserve">見對帳列；只在 </t>
    </r>
    <r>
      <rPr>
        <sz val="9"/>
        <color rgb="FF595959"/>
        <rFont val="Arial"/>
        <family val="0"/>
        <charset val="1"/>
      </rPr>
      <t xml:space="preserve">Inputs 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時進入供給</t>
    </r>
  </si>
  <si>
    <t xml:space="preserve">C218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</si>
  <si>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</si>
  <si>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由金額回推並與既有揭露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對照（不校準）</t>
    </r>
  </si>
  <si>
    <t xml:space="preserve">C219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</si>
  <si>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</si>
  <si>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＝金額回推的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大於揭露（合約價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偏低或『最高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』含未計容量）</t>
    </r>
  </si>
  <si>
    <t xml:space="preserve">C220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</si>
  <si>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MW ÷ 1000 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（金額回推；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欄＝揭露，</t>
    </r>
    <r>
      <rPr>
        <sz val="10"/>
        <color rgb="FF000000"/>
        <rFont val="Arial"/>
        <family val="0"/>
        <charset val="1"/>
      </rPr>
      <t xml:space="preserve">E–I</t>
    </r>
    <r>
      <rPr>
        <sz val="10"/>
        <color rgb="FF000000"/>
        <rFont val="Noto Sans CJK SC"/>
        <family val="2"/>
      </rPr>
      <t xml:space="preserve">＝模型）</t>
    </r>
  </si>
  <si>
    <t xml:space="preserve">C221</t>
  </si>
  <si>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GW</t>
    </r>
  </si>
  <si>
    <t xml:space="preserve">C222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</si>
  <si>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期間</t>
    </r>
  </si>
  <si>
    <r>
      <rPr>
        <sz val="9"/>
        <color rgb="FF595959"/>
        <rFont val="Noto Sans CJK SC"/>
        <family val="2"/>
      </rPr>
      <t xml:space="preserve">揭露容量（</t>
    </r>
    <r>
      <rPr>
        <sz val="9"/>
        <color rgb="FF595959"/>
        <rFont val="Arial"/>
        <family val="0"/>
        <charset val="1"/>
      </rPr>
      <t xml:space="preserve">SRC_ANT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）；期間＝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起始年至結束年（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u2_method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時進入供給</t>
    </r>
  </si>
  <si>
    <t xml:space="preserve">C223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</si>
  <si>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新法）：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＝揭露 </t>
    </r>
    <r>
      <rPr>
        <sz val="10"/>
        <color rgb="FF000000"/>
        <rFont val="Arial"/>
        <family val="0"/>
        <charset val="1"/>
      </rPr>
      <t xml:space="preserve">MW ÷ 1000 × IT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爬坡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期間</t>
    </r>
  </si>
  <si>
    <r>
      <rPr>
        <b val="true"/>
        <sz val="13"/>
        <rFont val="Arial"/>
        <family val="0"/>
        <charset val="1"/>
      </rPr>
      <t xml:space="preserve">Cost — </t>
    </r>
    <r>
      <rPr>
        <b val="true"/>
        <sz val="13"/>
        <rFont val="Noto Sans CJK SC"/>
        <family val="2"/>
      </rPr>
      <t xml:space="preserve">成本：逐合約實付＋自建資本支出（現金口徑）、供應商持有成本與雲端毛利、經濟口徑、非算力成本與股權報酬、推論／研發拆分、命題表（每 </t>
    </r>
    <r>
      <rPr>
        <b val="true"/>
        <sz val="13"/>
        <rFont val="Arial"/>
        <family val="0"/>
        <charset val="1"/>
      </rPr>
      <t xml:space="preserve">VR </t>
    </r>
    <r>
      <rPr>
        <b val="true"/>
        <sz val="13"/>
        <rFont val="Noto Sans CJK SC"/>
        <family val="2"/>
      </rPr>
      <t xml:space="preserve">等值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D22 </t>
    </r>
    <r>
      <rPr>
        <b val="true"/>
        <sz val="13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</si>
  <si>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D22</t>
    </r>
    <r>
      <rPr>
        <sz val="9"/>
        <color rgb="FF595959"/>
        <rFont val="Noto Sans CJK SC"/>
        <family val="2"/>
      </rPr>
      <t xml:space="preserve">：算力成本＝合約實付（既有雲端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＝說明書實際 </t>
    </r>
    <r>
      <rPr>
        <sz val="9"/>
        <color rgb="FF595959"/>
        <rFont val="Arial"/>
        <family val="0"/>
        <charset val="1"/>
      </rPr>
      <t xml:space="preserve">7.33</t>
    </r>
    <r>
      <rPr>
        <sz val="9"/>
        <color rgb="FF595959"/>
        <rFont val="Noto Sans CJK SC"/>
        <family val="2"/>
      </rPr>
      <t xml:space="preserve">）＋自建資本支出；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Noto Sans CJK SC"/>
        <family val="2"/>
      </rPr>
      <t xml:space="preserve">持有比只作供應商成本參考，差額＝雲端毛利；非算力：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＝說明書營業費用 </t>
    </r>
    <r>
      <rPr>
        <sz val="9"/>
        <color rgb="FF595959"/>
        <rFont val="Arial"/>
        <family val="0"/>
        <charset val="1"/>
      </rPr>
      <t xml:space="preserve">12.65 − </t>
    </r>
    <r>
      <rPr>
        <sz val="9"/>
        <color rgb="FF595959"/>
        <rFont val="Noto Sans CJK SC"/>
        <family val="2"/>
      </rPr>
      <t xml:space="preserve">算力 </t>
    </r>
    <r>
      <rPr>
        <sz val="9"/>
        <color rgb="FF595959"/>
        <rFont val="Arial"/>
        <family val="0"/>
        <charset val="1"/>
      </rPr>
      <t xml:space="preserve">7.33 − </t>
    </r>
    <r>
      <rPr>
        <sz val="9"/>
        <color rgb="FF595959"/>
        <rFont val="Noto Sans CJK SC"/>
        <family val="2"/>
      </rPr>
      <t xml:space="preserve">平台抽成 </t>
    </r>
    <r>
      <rPr>
        <sz val="9"/>
        <color rgb="FF595959"/>
        <rFont val="Arial"/>
        <family val="0"/>
        <charset val="1"/>
      </rPr>
      <t xml:space="preserve">0.351</t>
    </r>
    <r>
      <rPr>
        <sz val="9"/>
        <color rgb="FF595959"/>
        <rFont val="Noto Sans CJK SC"/>
        <family val="2"/>
      </rPr>
      <t xml:space="preserve">（抽成已自營收扣除，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），之後人數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每人成本；股權報酬單列（命題全成本含之）。</t>
    </r>
  </si>
  <si>
    <r>
      <rPr>
        <sz val="9"/>
        <color rgb="FF595959"/>
        <rFont val="Noto Sans CJK SC"/>
        <family val="2"/>
      </rPr>
      <t xml:space="preserve">命題表用營收淨額（截頂後）；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$42B </t>
    </r>
    <r>
      <rPr>
        <sz val="9"/>
        <color rgb="FF595959"/>
        <rFont val="Noto Sans CJK SC"/>
        <family val="2"/>
      </rPr>
      <t xml:space="preserve">中約 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非現金會計費用不在營業費用內（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），不進命題表。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＝十億美元；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實體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</si>
  <si>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一、加速器族每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年持有成本（經濟口徑；</t>
    </r>
    <r>
      <rPr>
        <b val="true"/>
        <sz val="10"/>
        <rFont val="Arial"/>
        <family val="0"/>
        <charset val="1"/>
      </rPr>
      <t xml:space="preserve">TK IF_HoldEcon × </t>
    </r>
    <r>
      <rPr>
        <b val="true"/>
        <sz val="10"/>
        <rFont val="Noto Sans CJK SC"/>
        <family val="2"/>
      </rPr>
      <t xml:space="preserve">持有比；只在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欄）</t>
    </r>
  </si>
  <si>
    <t xml:space="preserve">K01</t>
  </si>
  <si>
    <t xml:space="preserve">參數：成本情境鍵（低成本）</t>
  </si>
  <si>
    <t xml:space="preserve">K02</t>
  </si>
  <si>
    <t xml:space="preserve">參數：成本情境鍵（高成本）</t>
  </si>
  <si>
    <t xml:space="preserve">K03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</si>
  <si>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</si>
  <si>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TK IF_HoldEcon</t>
    </r>
    <r>
      <rPr>
        <sz val="9"/>
        <color rgb="FF595959"/>
        <rFont val="Noto Sans CJK SC"/>
        <family val="2"/>
      </rPr>
      <t xml:space="preserve">（基準世代；壽命期等值，已含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維護 </t>
    </r>
    <r>
      <rPr>
        <sz val="9"/>
        <color rgb="FF595959"/>
        <rFont val="Arial"/>
        <family val="0"/>
        <charset val="1"/>
      </rPr>
      <t xml:space="preserve">IF_MaintIT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v5.31 </t>
    </r>
    <r>
      <rPr>
        <sz val="9"/>
        <color rgb="FF595959"/>
        <rFont val="Noto Sans CJK SC"/>
        <family val="2"/>
      </rPr>
      <t xml:space="preserve">起；本模型不另加維護）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</si>
  <si>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K04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</si>
  <si>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</si>
  <si>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</si>
  <si>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Hopper</t>
    </r>
  </si>
  <si>
    <t xml:space="preserve">K06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</si>
  <si>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</si>
  <si>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</si>
  <si>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</si>
  <si>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</si>
  <si>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</si>
  <si>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K09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</si>
  <si>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</si>
  <si>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</si>
  <si>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</si>
  <si>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</si>
  <si>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</si>
  <si>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K12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</si>
  <si>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</si>
  <si>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</si>
  <si>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</si>
  <si>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</si>
  <si>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</si>
  <si>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K15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</si>
  <si>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</si>
  <si>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</si>
  <si>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</si>
  <si>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</si>
  <si>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</si>
  <si>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K18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</si>
  <si>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</si>
  <si>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K19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</si>
  <si>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</si>
  <si>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K20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</si>
  <si>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Google TPU v7 Ironwood</t>
    </r>
    <r>
      <rPr>
        <sz val="10"/>
        <color rgb="FF000000"/>
        <rFont val="Noto Sans CJK SC"/>
        <family val="2"/>
      </rPr>
      <t xml:space="preserve">／次世代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</si>
  <si>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K21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</si>
  <si>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</si>
  <si>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K22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</si>
  <si>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</si>
  <si>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K23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</si>
  <si>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</si>
  <si>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K24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</si>
  <si>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</si>
  <si>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K25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</si>
  <si>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</si>
  <si>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K26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</si>
  <si>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</si>
  <si>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K27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</si>
  <si>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年持有成本（基準）：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</si>
  <si>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K28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</si>
  <si>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年持有成本（低成本）：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</si>
  <si>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K29</t>
  </si>
  <si>
    <r>
      <rPr>
        <sz val="10"/>
        <color rgb="FF000000"/>
        <rFont val="Noto Sans CJK SC"/>
        <family val="2"/>
      </rPr>
      <t xml:space="preserve">參數：每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年持有成本（高成本）：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</si>
  <si>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b val="true"/>
        <sz val="10"/>
        <rFont val="Noto Sans CJK SC"/>
        <family val="2"/>
      </rPr>
      <t xml:space="preserve">二、算力成本（現金口徑）＝逐合約實付＋自建資本支出（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D11</t>
    </r>
    <r>
      <rPr>
        <b val="true"/>
        <sz val="10"/>
        <rFont val="Noto Sans CJK SC"/>
        <family val="2"/>
      </rPr>
      <t xml:space="preserve">）</t>
    </r>
  </si>
  <si>
    <t xml:space="preserve">K30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</si>
  <si>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實際算力與基礎設施支出（說明書，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</si>
  <si>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</si>
  <si>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K31</t>
  </si>
  <si>
    <r>
      <rPr>
        <sz val="10"/>
        <color rgb="FF000000"/>
        <rFont val="Noto Sans CJK SC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</si>
  <si>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＝實際算力支出 − 其他合約與自建（皆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：新合約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起）＝校準；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× </t>
    </r>
    <r>
      <rPr>
        <sz val="9"/>
        <color rgb="FF595959"/>
        <rFont val="Noto Sans CJK SC"/>
        <family val="2"/>
      </rPr>
      <t xml:space="preserve">延續比例（</t>
    </r>
    <r>
      <rPr>
        <sz val="9"/>
        <color rgb="FF595959"/>
        <rFont val="Arial"/>
        <family val="0"/>
        <charset val="1"/>
      </rPr>
      <t xml:space="preserve">Inputs 0.33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（併入招股書新承諾）</t>
    </r>
  </si>
  <si>
    <t xml:space="preserve">K32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</si>
  <si>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</si>
  <si>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</si>
  <si>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K33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</si>
  <si>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</si>
  <si>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K34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</si>
  <si>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</si>
  <si>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K35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</si>
  <si>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</si>
  <si>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K36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</si>
  <si>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AMD MI455X</t>
    </r>
  </si>
  <si>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</si>
  <si>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K37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</si>
  <si>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</si>
  <si>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當年計費月數</t>
    </r>
  </si>
  <si>
    <t xml:space="preserve">K38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</si>
  <si>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</si>
  <si>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Noto Sans CJK SC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：總額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當年權重（期間內；權重＝</t>
    </r>
    <r>
      <rPr>
        <sz val="9"/>
        <color rgb="FF595959"/>
        <rFont val="Arial"/>
        <family val="0"/>
        <charset val="1"/>
      </rPr>
      <t xml:space="preserve">MIN(r, k)÷r</t>
    </r>
    <r>
      <rPr>
        <sz val="9"/>
        <color rgb="FF595959"/>
        <rFont val="Noto Sans CJK SC"/>
        <family val="2"/>
      </rPr>
      <t xml:space="preserve">）</t>
    </r>
  </si>
  <si>
    <t xml:space="preserve">K39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</si>
  <si>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</si>
  <si>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比例分攤、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爬坡權重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第二十二節；</t>
    </r>
    <r>
      <rPr>
        <sz val="9"/>
        <color rgb="FF595959"/>
        <rFont val="Arial"/>
        <family val="0"/>
        <charset val="1"/>
      </rPr>
      <t xml:space="preserve">v0.1.1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的付款路徑，新法 </t>
    </r>
    <r>
      <rPr>
        <sz val="9"/>
        <color rgb="FF595959"/>
        <rFont val="Arial"/>
        <family val="0"/>
        <charset val="1"/>
      </rPr>
      <t xml:space="preserve">u2_method </t>
    </r>
    <r>
      <rPr>
        <sz val="9"/>
        <color rgb="FF595959"/>
        <rFont val="Noto Sans CJK SC"/>
        <family val="2"/>
      </rPr>
      <t xml:space="preserve">不改付款，只改供給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合約價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持有比</t>
    </r>
  </si>
  <si>
    <t xml:space="preserve">K40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</si>
  <si>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</si>
  <si>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K41</t>
  </si>
  <si>
    <r>
      <rPr>
        <sz val="10"/>
        <color rgb="FF000000"/>
        <rFont val="Noto Sans CJK SC"/>
        <family val="2"/>
      </rPr>
      <t xml:space="preserve">合約實付：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</si>
  <si>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K42</t>
  </si>
  <si>
    <t xml:space="preserve">合約實付合計</t>
  </si>
  <si>
    <t xml:space="preserve">K43</t>
  </si>
  <si>
    <r>
      <rPr>
        <sz val="10"/>
        <color rgb="FF000000"/>
        <rFont val="Noto Sans CJK SC"/>
        <family val="2"/>
      </rPr>
      <t xml:space="preserve">其中：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型合約付款（與合約價成正比；敏感度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</si>
  <si>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型）時計入</t>
    </r>
  </si>
  <si>
    <t xml:space="preserve">K44</t>
  </si>
  <si>
    <r>
      <rPr>
        <sz val="10"/>
        <color rgb="FF000000"/>
        <rFont val="Noto Sans CJK SC"/>
        <family val="2"/>
      </rPr>
      <t xml:space="preserve">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</si>
  <si>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第五節</t>
    </r>
  </si>
  <si>
    <t xml:space="preserve">K45</t>
  </si>
  <si>
    <t xml:space="preserve">算力成本（現金口徑）＝合約實付＋自建資本支出</t>
  </si>
  <si>
    <r>
      <rPr>
        <sz val="9"/>
        <color rgb="FF595959"/>
        <rFont val="Noto Sans CJK SC"/>
        <family val="2"/>
      </rPr>
      <t xml:space="preserve">命題輸出基準（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</si>
  <si>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K46</t>
  </si>
  <si>
    <r>
      <rPr>
        <sz val="10"/>
        <color rgb="FF000000"/>
        <rFont val="Noto Sans CJK SC"/>
        <family val="2"/>
      </rPr>
      <t xml:space="preserve">差距：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 − 說明書實際（應為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</si>
  <si>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校準（既有雲端列為餘額）</t>
    </r>
  </si>
  <si>
    <t xml:space="preserve">K47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</si>
  <si>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合約實付＝合約實付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合約供給 </t>
    </r>
    <r>
      <rPr>
        <sz val="10"/>
        <color rgb="FF000000"/>
        <rFont val="Arial"/>
        <family val="0"/>
        <charset val="1"/>
      </rPr>
      <t xml:space="preserve">GW</t>
    </r>
  </si>
  <si>
    <t xml:space="preserve">K48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</si>
  <si>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 Cloud TPU</t>
    </r>
  </si>
  <si>
    <r>
      <rPr>
        <sz val="9"/>
        <color rgb="FF595959"/>
        <rFont val="Noto Sans CJK SC"/>
        <family val="2"/>
      </rPr>
      <t xml:space="preserve">金額型、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型＝該族合約價；雙揭露型為揭露值的隱含價格</t>
    </r>
  </si>
  <si>
    <t xml:space="preserve">K49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</si>
  <si>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</si>
  <si>
    <t xml:space="preserve">K50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</si>
  <si>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</t>
    </r>
  </si>
  <si>
    <t xml:space="preserve">K51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</si>
  <si>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</si>
  <si>
    <t xml:space="preserve">K52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</si>
  <si>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</si>
  <si>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K53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</si>
  <si>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</si>
  <si>
    <t xml:space="preserve">K54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</si>
  <si>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</si>
  <si>
    <t xml:space="preserve">K55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</si>
  <si>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</si>
  <si>
    <t xml:space="preserve">K56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</si>
  <si>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</si>
  <si>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K57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</si>
  <si>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</si>
  <si>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K58</t>
  </si>
  <si>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</si>
  <si>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說明書約 </t>
    </r>
    <r>
      <rPr>
        <sz val="9"/>
        <color rgb="FF595959"/>
        <rFont val="Arial"/>
        <family val="0"/>
        <charset val="1"/>
      </rPr>
      <t xml:space="preserve">1.6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2026Q1 0.71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SRC_ANT_051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）</t>
    </r>
  </si>
  <si>
    <t xml:space="preserve">K59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</si>
  <si>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上半年算力支出（報導）＝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0.71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 0.56</t>
    </r>
  </si>
  <si>
    <r>
      <rPr>
        <sz val="9"/>
        <color rgb="FF595959"/>
        <rFont val="Noto Sans CJK SC"/>
        <family val="2"/>
      </rPr>
      <t xml:space="preserve">費用口徑（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為現金口徑（含自建資本支出）</t>
    </r>
  </si>
  <si>
    <t xml:space="preserve">K60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</si>
  <si>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÷ 2 − </t>
    </r>
    <r>
      <rPr>
        <sz val="10"/>
        <color rgb="FF000000"/>
        <rFont val="Noto Sans CJK SC"/>
        <family val="2"/>
      </rPr>
      <t xml:space="preserve">報導上半年</t>
    </r>
  </si>
  <si>
    <t xml:space="preserve">只列差距（年內爬坡，上半年應低於全年一半）</t>
  </si>
  <si>
    <r>
      <rPr>
        <b val="true"/>
        <sz val="10"/>
        <rFont val="Noto Sans CJK SC"/>
        <family val="2"/>
      </rPr>
      <t xml:space="preserve">三、供應商持有成本與雲端毛利（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：持有成本＝合約 </t>
    </r>
    <r>
      <rPr>
        <b val="true"/>
        <sz val="10"/>
        <rFont val="Arial"/>
        <family val="0"/>
        <charset val="1"/>
      </rPr>
      <t xml:space="preserve">GW × TK IF_HoldEcon × </t>
    </r>
    <r>
      <rPr>
        <b val="true"/>
        <sz val="10"/>
        <rFont val="Noto Sans CJK SC"/>
        <family val="2"/>
      </rPr>
      <t xml:space="preserve">持有比；只作參考）</t>
    </r>
  </si>
  <si>
    <t xml:space="preserve">K61</t>
  </si>
  <si>
    <t xml:space="preserve">供應商持有成本（基準）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</si>
  <si>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各族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 − 自建（自有，不付供應商）</t>
    </r>
  </si>
  <si>
    <t xml:space="preserve">K62</t>
  </si>
  <si>
    <t xml:space="preserve">供應商持有成本（低成本）</t>
  </si>
  <si>
    <t xml:space="preserve">K63</t>
  </si>
  <si>
    <t xml:space="preserve">供應商持有成本（高成本）</t>
  </si>
  <si>
    <t xml:space="preserve">K64</t>
  </si>
  <si>
    <t xml:space="preserve">雲端毛利＝合約實付 − 供應商持有成本</t>
  </si>
  <si>
    <t xml:space="preserve">K65</t>
  </si>
  <si>
    <t xml:space="preserve">雲端毛利率</t>
  </si>
  <si>
    <t xml:space="preserve">K66</t>
  </si>
  <si>
    <t xml:space="preserve">雲端毛利率（持有成本低成本）</t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</si>
  <si>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成本角落情境</t>
    </r>
  </si>
  <si>
    <t xml:space="preserve">K67</t>
  </si>
  <si>
    <t xml:space="preserve">雲端毛利率（持有成本高成本）</t>
  </si>
  <si>
    <r>
      <rPr>
        <b val="true"/>
        <sz val="10"/>
        <rFont val="Noto Sans CJK SC"/>
        <family val="2"/>
      </rPr>
      <t xml:space="preserve">四、經濟口徑（自建資本支出改以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持有成本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年化）</t>
    </r>
  </si>
  <si>
    <t xml:space="preserve">K68</t>
  </si>
  <si>
    <t xml:space="preserve">自建持有成本（經濟）</t>
  </si>
  <si>
    <t xml:space="preserve">K69</t>
  </si>
  <si>
    <t xml:space="preserve">算力成本（經濟口徑）＝合約實付＋自建持有成本</t>
  </si>
  <si>
    <t xml:space="preserve">K70</t>
  </si>
  <si>
    <t xml:space="preserve">現金口徑 − 經濟口徑</t>
  </si>
  <si>
    <t xml:space="preserve">資本支出與持有成本的時間差</t>
  </si>
  <si>
    <r>
      <rPr>
        <b val="true"/>
        <sz val="10"/>
        <rFont val="Noto Sans CJK SC"/>
        <family val="2"/>
      </rPr>
      <t xml:space="preserve">五、非算力成本（</t>
    </r>
    <r>
      <rPr>
        <b val="true"/>
        <sz val="10"/>
        <rFont val="Arial"/>
        <family val="0"/>
        <charset val="1"/>
      </rPr>
      <t xml:space="preserve">D13</t>
    </r>
    <r>
      <rPr>
        <b val="true"/>
        <sz val="10"/>
        <rFont val="Noto Sans CJK SC"/>
        <family val="2"/>
      </rPr>
      <t xml:space="preserve">）與股權報酬：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每人年成本</t>
    </r>
  </si>
  <si>
    <t xml:space="preserve">K71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</si>
  <si>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營業費用總額（說明書；含算力）</t>
    </r>
  </si>
  <si>
    <t xml:space="preserve">K72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</si>
  <si>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＝營業費用 − 算力）</t>
    </r>
  </si>
  <si>
    <r>
      <rPr>
        <sz val="9"/>
        <color rgb="FF595959"/>
        <rFont val="Arial"/>
        <family val="0"/>
        <charset val="1"/>
      </rPr>
      <t xml:space="preserve">SRC_ANT_277</t>
    </r>
    <r>
      <rPr>
        <sz val="9"/>
        <color rgb="FF595959"/>
        <rFont val="Noto Sans CJK SC"/>
        <family val="2"/>
      </rPr>
      <t xml:space="preserve">（公式）</t>
    </r>
  </si>
  <si>
    <t xml:space="preserve">K73</t>
  </si>
  <si>
    <t xml:space="preserve">其中：雲端平台抽成（說明書列行銷費用；本模型自營收扣除）</t>
  </si>
  <si>
    <r>
      <rPr>
        <sz val="9"/>
        <color rgb="FF595959"/>
        <rFont val="Arial"/>
        <family val="0"/>
        <charset val="1"/>
      </rPr>
      <t xml:space="preserve">SRC_ANT_031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D5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18</t>
    </r>
  </si>
  <si>
    <t xml:space="preserve">K74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</si>
  <si>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非算力營業費用（扣平台抽成；含股權報酬）</t>
    </r>
  </si>
  <si>
    <r>
      <rPr>
        <sz val="9"/>
        <color rgb="FF595959"/>
        <rFont val="Noto Sans CJK SC"/>
        <family val="2"/>
      </rPr>
      <t xml:space="preserve">避免與 </t>
    </r>
    <r>
      <rPr>
        <sz val="9"/>
        <color rgb="FF595959"/>
        <rFont val="Arial"/>
        <family val="0"/>
        <charset val="1"/>
      </rPr>
      <t xml:space="preserve">REV_Net </t>
    </r>
    <r>
      <rPr>
        <sz val="9"/>
        <color rgb="FF595959"/>
        <rFont val="Noto Sans CJK SC"/>
        <family val="2"/>
      </rPr>
      <t xml:space="preserve">重複扣除</t>
    </r>
  </si>
  <si>
    <t xml:space="preserve">K75</t>
  </si>
  <si>
    <t xml:space="preserve">員工人數（年均）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</si>
  <si>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2024Q4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2025Q4 </t>
    </r>
    <r>
      <rPr>
        <sz val="9"/>
        <color rgb="FF595959"/>
        <rFont val="Noto Sans CJK SC"/>
        <family val="2"/>
      </rPr>
      <t xml:space="preserve">平均（</t>
    </r>
    <r>
      <rPr>
        <sz val="9"/>
        <color rgb="FF595959"/>
        <rFont val="Arial"/>
        <family val="0"/>
        <charset val="1"/>
      </rPr>
      <t xml:space="preserve">Revelio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＋年增率，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</si>
  <si>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K76</t>
  </si>
  <si>
    <t xml:space="preserve">每人股權報酬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</si>
  <si>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；未揭露）</t>
    </r>
  </si>
  <si>
    <t xml:space="preserve">K77</t>
  </si>
  <si>
    <t xml:space="preserve">股權報酬（單列）</t>
  </si>
  <si>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每人股權報酬</t>
    </r>
  </si>
  <si>
    <t xml:space="preserve">K78</t>
  </si>
  <si>
    <t xml:space="preserve">非算力營運費用（不含股權報酬）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</si>
  <si>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＝說明書（扣抽成）− 股權報酬；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每人年成本</t>
    </r>
  </si>
  <si>
    <t xml:space="preserve">K79</t>
  </si>
  <si>
    <t xml:space="preserve">每人年成本（不含股權報酬）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</si>
  <si>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年變動率</t>
    </r>
  </si>
  <si>
    <t xml:space="preserve">K80</t>
  </si>
  <si>
    <t xml:space="preserve">非算力成本（含股權報酬）</t>
  </si>
  <si>
    <t xml:space="preserve">K81</t>
  </si>
  <si>
    <r>
      <rPr>
        <sz val="10"/>
        <color rgb="FF000000"/>
        <rFont val="Noto Sans CJK SC"/>
        <family val="2"/>
      </rPr>
      <t xml:space="preserve">非算力成本（含股權報酬）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</t>
    </r>
  </si>
  <si>
    <t xml:space="preserve">K82</t>
  </si>
  <si>
    <r>
      <rPr>
        <sz val="10"/>
        <color rgb="FF000000"/>
        <rFont val="Noto Sans CJK SC"/>
        <family val="2"/>
      </rPr>
      <t xml:space="preserve">對照：報導人數（</t>
    </r>
    <r>
      <rPr>
        <sz val="10"/>
        <color rgb="FF000000"/>
        <rFont val="Arial"/>
        <family val="0"/>
        <charset val="1"/>
      </rPr>
      <t xml:space="preserve">2026Q1 Revelio 3,950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2026-06 </t>
    </r>
    <r>
      <rPr>
        <sz val="10"/>
        <color rgb="FF000000"/>
        <rFont val="Noto Sans CJK SC"/>
        <family val="2"/>
      </rPr>
      <t xml:space="preserve">公司口述約 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</si>
  <si>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295</t>
    </r>
  </si>
  <si>
    <t xml:space="preserve">K83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</si>
  <si>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2026Q1 </t>
    </r>
    <r>
      <rPr>
        <sz val="10"/>
        <color rgb="FF000000"/>
        <rFont val="Noto Sans CJK SC"/>
        <family val="2"/>
      </rPr>
      <t xml:space="preserve">員工費用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Derived</t>
    </r>
    <r>
      <rPr>
        <sz val="10"/>
        <color rgb="FF000000"/>
        <rFont val="Noto Sans CJK SC"/>
        <family val="2"/>
      </rPr>
      <t xml:space="preserve">，約 </t>
    </r>
    <r>
      <rPr>
        <sz val="10"/>
        <color rgb="FF000000"/>
        <rFont val="Arial"/>
        <family val="0"/>
        <charset val="1"/>
      </rPr>
      <t xml:space="preserve">$1.25B</t>
    </r>
    <r>
      <rPr>
        <sz val="10"/>
        <color rgb="FF000000"/>
        <rFont val="Noto Sans CJK SC"/>
        <family val="2"/>
      </rPr>
      <t xml:space="preserve">／季）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非算力（含股權報酬）</t>
    </r>
  </si>
  <si>
    <t xml:space="preserve">員工費用只是非算力成本的一部分</t>
  </si>
  <si>
    <t xml:space="preserve">K84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</si>
  <si>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營業結果（模型）＝營收總額 − 算力 − 非算力（含抽成與股權報酬）</t>
    </r>
  </si>
  <si>
    <r>
      <rPr>
        <sz val="9"/>
        <color rgb="FF595959"/>
        <rFont val="Noto Sans CJK SC"/>
        <family val="2"/>
      </rPr>
      <t xml:space="preserve">說明書營業虧損 </t>
    </r>
    <r>
      <rPr>
        <sz val="9"/>
        <color rgb="FF595959"/>
        <rFont val="Arial"/>
        <family val="0"/>
        <charset val="1"/>
      </rPr>
      <t xml:space="preserve">8.06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SRC_ANT_278</t>
    </r>
    <r>
      <rPr>
        <sz val="9"/>
        <color rgb="FF595959"/>
        <rFont val="Noto Sans CJK SC"/>
        <family val="2"/>
      </rPr>
      <t xml:space="preserve">）；差額為四捨五入</t>
    </r>
  </si>
  <si>
    <t xml:space="preserve">K85</t>
  </si>
  <si>
    <r>
      <rPr>
        <sz val="10"/>
        <color rgb="FF000000"/>
        <rFont val="Noto Sans CJK SC"/>
        <family val="2"/>
      </rPr>
      <t xml:space="preserve">差距：模型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＋ 說明書營業虧損</t>
    </r>
  </si>
  <si>
    <r>
      <rPr>
        <sz val="9"/>
        <color rgb="FF595959"/>
        <rFont val="Noto Sans CJK SC"/>
        <family val="2"/>
      </rPr>
      <t xml:space="preserve">應接近 </t>
    </r>
    <r>
      <rPr>
        <sz val="9"/>
        <color rgb="FF595959"/>
        <rFont val="Arial"/>
        <family val="0"/>
        <charset val="1"/>
      </rPr>
      <t xml:space="preserve">0</t>
    </r>
  </si>
  <si>
    <r>
      <rPr>
        <b val="true"/>
        <sz val="10"/>
        <rFont val="Noto Sans CJK SC"/>
        <family val="2"/>
      </rPr>
      <t xml:space="preserve">六、推論／研發算力成本拆分（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＝說明書 </t>
    </r>
    <r>
      <rPr>
        <b val="true"/>
        <sz val="10"/>
        <rFont val="Arial"/>
        <family val="0"/>
        <charset val="1"/>
      </rPr>
      <t xml:space="preserve">D8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起依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比例）</t>
    </r>
  </si>
  <si>
    <t xml:space="preserve">K86</t>
  </si>
  <si>
    <t xml:space="preserve">推論算力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</si>
  <si>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3.23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</si>
  <si>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K87</t>
  </si>
  <si>
    <t xml:space="preserve">研發算力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</si>
  <si>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4.1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起＝算力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供給</t>
    </r>
  </si>
  <si>
    <t xml:space="preserve">K88</t>
  </si>
  <si>
    <t xml:space="preserve">閒置算力</t>
  </si>
  <si>
    <t xml:space="preserve">K89</t>
  </si>
  <si>
    <t xml:space="preserve">檢查：推論＋研發＋閒置 − 算力成本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</si>
  <si>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</si>
  <si>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K90</t>
  </si>
  <si>
    <r>
      <rPr>
        <sz val="10"/>
        <color rgb="FF000000"/>
        <rFont val="Noto Sans CJK SC"/>
        <family val="2"/>
      </rPr>
      <t xml:space="preserve">對照：公司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預測（訓練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</si>
  <si>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SRC_ANT_258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259</t>
    </r>
    <r>
      <rPr>
        <sz val="9"/>
        <color rgb="FF595959"/>
        <rFont val="Noto Sans CJK SC"/>
        <family val="2"/>
      </rPr>
      <t xml:space="preserve">；只對照（推論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已過時，見 </t>
    </r>
    <r>
      <rPr>
        <sz val="9"/>
        <color rgb="FF595959"/>
        <rFont val="Arial"/>
        <family val="0"/>
        <charset val="1"/>
      </rPr>
      <t xml:space="preserve">A1 </t>
    </r>
    <r>
      <rPr>
        <sz val="9"/>
        <color rgb="FF595959"/>
        <rFont val="Noto Sans CJK SC"/>
        <family val="2"/>
      </rPr>
      <t xml:space="preserve">筆記）</t>
    </r>
  </si>
  <si>
    <r>
      <rPr>
        <b val="true"/>
        <sz val="10"/>
        <rFont val="Noto Sans CJK SC"/>
        <family val="2"/>
      </rPr>
      <t xml:space="preserve">七、命題表（每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；分母＝供給 </t>
    </r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等值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，含自建）：營收淨額、算力、非算力、全成本（含／不含股權報酬）、差額、覆蓋率</t>
    </r>
  </si>
  <si>
    <t xml:space="preserve">K91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</si>
  <si>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（分母）</t>
    </r>
  </si>
  <si>
    <t xml:space="preserve">K92</t>
  </si>
  <si>
    <r>
      <rPr>
        <sz val="9"/>
        <color rgb="FF595959"/>
        <rFont val="Arial"/>
        <family val="0"/>
        <charset val="1"/>
      </rPr>
      <t xml:space="preserve">REV_NetCapped</t>
    </r>
    <r>
      <rPr>
        <sz val="9"/>
        <color rgb="FF595959"/>
        <rFont val="Noto Sans CJK SC"/>
        <family val="2"/>
      </rPr>
      <t xml:space="preserve">（扣雲端平台抽成）</t>
    </r>
  </si>
  <si>
    <t xml:space="preserve">K93</t>
  </si>
  <si>
    <t xml:space="preserve">全成本（含股權報酬；現金口徑）</t>
  </si>
  <si>
    <t xml:space="preserve">命題基準（較保守）</t>
  </si>
  <si>
    <t xml:space="preserve">K94</t>
  </si>
  <si>
    <t xml:space="preserve">全成本（不含股權報酬；現金口徑）</t>
  </si>
  <si>
    <t xml:space="preserve">K95</t>
  </si>
  <si>
    <t xml:space="preserve">差額＝營收淨額 − 全成本（含股權報酬）</t>
  </si>
  <si>
    <r>
      <rPr>
        <sz val="9"/>
        <color rgb="FF595959"/>
        <rFont val="Noto Sans CJK SC"/>
        <family val="2"/>
      </rPr>
      <t xml:space="preserve">負＝缺口（</t>
    </r>
    <r>
      <rPr>
        <sz val="9"/>
        <color rgb="FF595959"/>
        <rFont val="Arial"/>
        <family val="0"/>
        <charset val="1"/>
      </rPr>
      <t xml:space="preserve">A4 </t>
    </r>
    <r>
      <rPr>
        <sz val="9"/>
        <color rgb="FF595959"/>
        <rFont val="Noto Sans CJK SC"/>
        <family val="2"/>
      </rPr>
      <t xml:space="preserve">融資）</t>
    </r>
  </si>
  <si>
    <t xml:space="preserve">K96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</si>
  <si>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：營收淨額</t>
    </r>
  </si>
  <si>
    <t xml:space="preserve">K97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</si>
  <si>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：算力成本（現金）</t>
    </r>
  </si>
  <si>
    <t xml:space="preserve">K98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</si>
  <si>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：非算力成本（不含股權報酬）</t>
    </r>
  </si>
  <si>
    <t xml:space="preserve">K99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</si>
  <si>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：股權報酬</t>
    </r>
  </si>
  <si>
    <t xml:space="preserve">K100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</si>
  <si>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：全成本（含股權報酬）</t>
    </r>
  </si>
  <si>
    <t xml:space="preserve">K101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</si>
  <si>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：全成本（不含股權報酬）</t>
    </r>
  </si>
  <si>
    <t xml:space="preserve">K102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</si>
  <si>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</si>
  <si>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：負＝營收不足以覆蓋全成本</t>
    </r>
  </si>
  <si>
    <t xml:space="preserve">K103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</si>
  <si>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：差額（不含股權報酬）</t>
    </r>
  </si>
  <si>
    <t xml:space="preserve">K104</t>
  </si>
  <si>
    <r>
      <rPr>
        <sz val="10"/>
        <color rgb="FF000000"/>
        <rFont val="Noto Sans CJK SC"/>
        <family val="2"/>
      </rPr>
      <t xml:space="preserve">覆蓋率＝營收淨額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</si>
  <si>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K105</t>
  </si>
  <si>
    <t xml:space="preserve">覆蓋率（不含股權報酬）</t>
  </si>
  <si>
    <t xml:space="preserve">K106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</si>
  <si>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</si>
  <si>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9"/>
        <color rgb="FF595959"/>
        <rFont val="Noto Sans CJK SC"/>
        <family val="2"/>
      </rPr>
      <t xml:space="preserve">分母改用實體 </t>
    </r>
    <r>
      <rPr>
        <sz val="9"/>
        <color rgb="FF595959"/>
        <rFont val="Arial"/>
        <family val="0"/>
        <charset val="1"/>
      </rPr>
      <t xml:space="preserve">GW</t>
    </r>
  </si>
  <si>
    <t xml:space="preserve">K107</t>
  </si>
  <si>
    <r>
      <rPr>
        <sz val="10"/>
        <color rgb="FF000000"/>
        <rFont val="Noto Sans CJK SC"/>
        <family val="2"/>
      </rPr>
      <t xml:space="preserve">對照：每實體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</si>
  <si>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K108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</si>
  <si>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</t>
    </r>
  </si>
  <si>
    <t xml:space="preserve">K109</t>
  </si>
  <si>
    <r>
      <rPr>
        <sz val="10"/>
        <color rgb="FF000000"/>
        <rFont val="Noto Sans CJK SC"/>
        <family val="2"/>
      </rPr>
      <t xml:space="preserve">經濟口徑：每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差額（含股權報酬）</t>
    </r>
  </si>
  <si>
    <t xml:space="preserve">K110</t>
  </si>
  <si>
    <t xml:space="preserve">經濟口徑：差額（含股權報酬）</t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</si>
  <si>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單位成本參考（</t>
    </r>
    <r>
      <rPr>
        <b val="true"/>
        <sz val="10"/>
        <rFont val="Arial"/>
        <family val="0"/>
        <charset val="1"/>
      </rPr>
      <t xml:space="preserve">IF_FullCostDefault_Sol </t>
    </r>
    <r>
      <rPr>
        <b val="true"/>
        <sz val="10"/>
        <rFont val="Noto Sans CJK SC"/>
        <family val="2"/>
      </rPr>
      <t xml:space="preserve">為基準；只作參考，算力成本仍＝合約實付）</t>
    </r>
  </si>
  <si>
    <t xml:space="preserve">K111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</si>
  <si>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年全成本（下游預設 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；基準）</t>
    </r>
  </si>
  <si>
    <r>
      <rPr>
        <sz val="9"/>
        <color rgb="FF595959"/>
        <rFont val="Arial"/>
        <family val="0"/>
        <charset val="1"/>
      </rPr>
      <t xml:space="preserve">TK $/M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Sol </t>
    </r>
    <r>
      <rPr>
        <sz val="9"/>
        <color rgb="FF595959"/>
        <rFont val="Noto Sans CJK SC"/>
        <family val="2"/>
      </rPr>
      <t xml:space="preserve">基準欄）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年產出（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基準利用率 </t>
    </r>
    <r>
      <rPr>
        <sz val="9"/>
        <color rgb="FF595959"/>
        <rFont val="Arial"/>
        <family val="0"/>
        <charset val="1"/>
      </rPr>
      <t xml:space="preserve">÷ 10⁹</t>
    </r>
    <r>
      <rPr>
        <sz val="9"/>
        <color rgb="FF595959"/>
        <rFont val="Noto Sans CJK SC"/>
        <family val="2"/>
      </rPr>
      <t xml:space="preserve">；只作參考。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攤提溢價（</t>
    </r>
    <r>
      <rPr>
        <sz val="9"/>
        <color rgb="FF595959"/>
        <rFont val="Arial"/>
        <family val="0"/>
        <charset val="1"/>
      </rPr>
      <t xml:space="preserve">IF_AmortBU</t>
    </r>
    <r>
      <rPr>
        <sz val="9"/>
        <color rgb="FF595959"/>
        <rFont val="Noto Sans CJK SC"/>
        <family val="2"/>
      </rPr>
      <t xml:space="preserve">）的分母為付費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，本列以全部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產能乘，屬上緣</t>
    </r>
  </si>
  <si>
    <t xml:space="preserve">K112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</si>
  <si>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參考：每 </t>
    </r>
    <r>
      <rPr>
        <sz val="10"/>
        <color rgb="FF000000"/>
        <rFont val="Arial"/>
        <family val="0"/>
        <charset val="1"/>
      </rPr>
      <t xml:space="preserve">VR200 GW </t>
    </r>
    <r>
      <rPr>
        <sz val="10"/>
        <color rgb="FF000000"/>
        <rFont val="Noto Sans CJK SC"/>
        <family val="2"/>
      </rPr>
      <t xml:space="preserve">年全成本（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；並列）</t>
    </r>
  </si>
  <si>
    <t xml:space="preserve">K113</t>
  </si>
  <si>
    <r>
      <rPr>
        <sz val="10"/>
        <color rgb="FF000000"/>
        <rFont val="Noto Sans CJK SC"/>
        <family val="2"/>
      </rPr>
      <t xml:space="preserve">差距：每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算力成本（現金）−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參考（下游預設）</t>
    </r>
  </si>
  <si>
    <r>
      <rPr>
        <b val="true"/>
        <sz val="10"/>
        <rFont val="Noto Sans CJK SC"/>
        <family val="2"/>
      </rPr>
      <t xml:space="preserve">九、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首次調整後營業利益（說明書／報導；不校準）</t>
    </r>
  </si>
  <si>
    <t xml:space="preserve">K114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</si>
  <si>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調整後營業結果（近似）＝營收淨額 − 合約實付 − 非算力（不含股權報酬）</t>
    </r>
  </si>
  <si>
    <t xml:space="preserve">調整後口徑排除股權報酬；算力用合約實付（費用口徑近似，不含自建資本支出）</t>
  </si>
  <si>
    <t xml:space="preserve">K115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</si>
  <si>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</t>
    </r>
  </si>
  <si>
    <t xml:space="preserve">K116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</si>
  <si>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營業利益預測 </t>
    </r>
    <r>
      <rPr>
        <sz val="10"/>
        <color rgb="FF000000"/>
        <rFont val="Arial"/>
        <family val="0"/>
        <charset val="1"/>
      </rPr>
      <t xml:space="preserve">$0.559B ÷ Q2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$10.9B</t>
    </r>
    <r>
      <rPr>
        <sz val="10"/>
        <color rgb="FF000000"/>
        <rFont val="Noto Sans CJK SC"/>
        <family val="2"/>
      </rPr>
      <t xml:space="preserve">（實際營收 </t>
    </r>
    <r>
      <rPr>
        <sz val="10"/>
        <color rgb="FF000000"/>
        <rFont val="Arial"/>
        <family val="0"/>
        <charset val="1"/>
      </rPr>
      <t xml:space="preserve">&gt;$11.5B </t>
    </r>
    <r>
      <rPr>
        <sz val="10"/>
        <color rgb="FF000000"/>
        <rFont val="Noto Sans CJK SC"/>
        <family val="2"/>
      </rPr>
      <t xml:space="preserve">且調整後營業利益為正）</t>
    </r>
  </si>
  <si>
    <r>
      <rPr>
        <sz val="9"/>
        <color rgb="FF595959"/>
        <rFont val="Arial"/>
        <family val="0"/>
        <charset val="1"/>
      </rPr>
      <t xml:space="preserve">SRC_ANT_348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</si>
  <si>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十、檢查列（各年應為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取最大絕對值）</t>
    </r>
  </si>
  <si>
    <t xml:space="preserve">K117</t>
  </si>
  <si>
    <t xml:space="preserve">逐合約實付加總 − 合約實付合計</t>
  </si>
  <si>
    <t xml:space="preserve">K118</t>
  </si>
  <si>
    <r>
      <rPr>
        <sz val="10"/>
        <color rgb="FF000000"/>
        <rFont val="Noto Sans CJK SC"/>
        <family val="2"/>
      </rPr>
      <t xml:space="preserve">金額型合約：</t>
    </r>
    <r>
      <rPr>
        <sz val="10"/>
        <color rgb="FF000000"/>
        <rFont val="Arial"/>
        <family val="0"/>
        <charset val="1"/>
      </rPr>
      <t xml:space="preserve">|GW × </t>
    </r>
    <r>
      <rPr>
        <sz val="10"/>
        <color rgb="FF000000"/>
        <rFont val="Noto Sans CJK SC"/>
        <family val="2"/>
      </rPr>
      <t xml:space="preserve">合約價 − 實付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</si>
  <si>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合約價（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口徑計入；新法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＝揭露容量，由 </t>
    </r>
    <r>
      <rPr>
        <sz val="9"/>
        <color rgb="FF595959"/>
        <rFont val="Arial"/>
        <family val="0"/>
        <charset val="1"/>
      </rPr>
      <t xml:space="preserve">ck_u2 </t>
    </r>
    <r>
      <rPr>
        <sz val="9"/>
        <color rgb="FF595959"/>
        <rFont val="Noto Sans CJK SC"/>
        <family val="2"/>
      </rPr>
      <t xml:space="preserve">檢查）</t>
    </r>
  </si>
  <si>
    <t xml:space="preserve">K119</t>
  </si>
  <si>
    <t xml:space="preserve">算力成本（現金）−（合約實付＋自建資本支出）</t>
  </si>
  <si>
    <t xml:space="preserve">K120</t>
  </si>
  <si>
    <t xml:space="preserve">全成本 −（算力＋非算力（不含股權報酬）＋股權報酬）</t>
  </si>
  <si>
    <r>
      <rPr>
        <b val="true"/>
        <sz val="10"/>
        <rFont val="Noto Sans CJK SC"/>
        <family val="2"/>
      </rPr>
      <t xml:space="preserve">十一、合約總額對帳（約十年；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端預設：逐合約加總對招股書約 </t>
    </r>
    <r>
      <rPr>
        <b val="true"/>
        <sz val="10"/>
        <rFont val="Arial"/>
        <family val="0"/>
        <charset val="1"/>
      </rPr>
      <t xml:space="preserve">$518B</t>
    </r>
    <r>
      <rPr>
        <b val="true"/>
        <sz val="10"/>
        <rFont val="Noto Sans CJK SC"/>
        <family val="2"/>
      </rPr>
      <t xml:space="preserve">，差距 </t>
    </r>
    <r>
      <rPr>
        <b val="true"/>
        <sz val="10"/>
        <rFont val="Arial"/>
        <family val="0"/>
        <charset val="1"/>
      </rPr>
      <t xml:space="preserve">&gt;25% → WARN</t>
    </r>
    <r>
      <rPr>
        <b val="true"/>
        <sz val="10"/>
        <rFont val="Noto Sans CJK SC"/>
        <family val="2"/>
      </rPr>
      <t xml:space="preserve">）</t>
    </r>
  </si>
  <si>
    <t xml:space="preserve">K121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</si>
  <si>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 Cloud 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］</t>
    </r>
  </si>
  <si>
    <t xml:space="preserve">揭露總額</t>
  </si>
  <si>
    <t xml:space="preserve">K122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</si>
  <si>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次世代 </t>
    </r>
    <r>
      <rPr>
        <sz val="10"/>
        <color rgb="FF000000"/>
        <rFont val="Arial"/>
        <family val="0"/>
        <charset val="1"/>
      </rPr>
      <t xml:space="preserve">TPU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］</t>
    </r>
  </si>
  <si>
    <t xml:space="preserve">K123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</si>
  <si>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擴大協議［招股書：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］</t>
    </r>
  </si>
  <si>
    <t xml:space="preserve">K124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</si>
  <si>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］</t>
    </r>
  </si>
  <si>
    <t xml:space="preserve">K125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</si>
  <si>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</si>
  <si>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</si>
  <si>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K126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</si>
  <si>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xAI Colossus</t>
    </r>
    <r>
      <rPr>
        <sz val="10"/>
        <color rgb="FF000000"/>
        <rFont val="Noto Sans CJK SC"/>
        <family val="2"/>
      </rPr>
      <t xml:space="preserve">［招股書：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］</t>
    </r>
  </si>
  <si>
    <r>
      <rPr>
        <sz val="9"/>
        <color rgb="FF595959"/>
        <rFont val="Noto Sans CJK SC"/>
        <family val="2"/>
      </rPr>
      <t xml:space="preserve">月費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總月數（</t>
    </r>
    <r>
      <rPr>
        <sz val="9"/>
        <color rgb="FF595959"/>
        <rFont val="Arial"/>
        <family val="0"/>
        <charset val="1"/>
      </rPr>
      <t xml:space="preserve">S-1 </t>
    </r>
    <r>
      <rPr>
        <sz val="9"/>
        <color rgb="FF595959"/>
        <rFont val="Noto Sans CJK SC"/>
        <family val="2"/>
      </rPr>
      <t xml:space="preserve">期間）</t>
    </r>
  </si>
  <si>
    <t xml:space="preserve">K127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</si>
  <si>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Nscale Monarch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</si>
  <si>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：揭露總額</t>
    </r>
  </si>
  <si>
    <t xml:space="preserve">K128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</si>
  <si>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Lambda</t>
    </r>
  </si>
  <si>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＝錨定總額（兩約合計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按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：滿載年付款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爬坡權重（期間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</t>
    </r>
  </si>
  <si>
    <t xml:space="preserve">K129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</si>
  <si>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Volta Infra</t>
    </r>
  </si>
  <si>
    <t xml:space="preserve">K130</t>
  </si>
  <si>
    <r>
      <rPr>
        <sz val="10"/>
        <color rgb="FF000000"/>
        <rFont val="Noto Sans CJK SC"/>
        <family val="2"/>
      </rPr>
      <t xml:space="preserve">合約總額（模型）：</t>
    </r>
    <r>
      <rPr>
        <sz val="10"/>
        <color rgb="FF000000"/>
        <rFont val="Arial"/>
        <family val="0"/>
        <charset val="1"/>
      </rPr>
      <t xml:space="preserve">Akamai</t>
    </r>
  </si>
  <si>
    <t xml:space="preserve">K131</t>
  </si>
  <si>
    <t xml:space="preserve">模型：招股書六家合作方對應合約加總</t>
  </si>
  <si>
    <t xml:space="preserve">K132</t>
  </si>
  <si>
    <r>
      <rPr>
        <sz val="10"/>
        <color rgb="FF000000"/>
        <rFont val="Noto Sans CJK SC"/>
        <family val="2"/>
      </rPr>
      <t xml:space="preserve">模型：全部新合約加總（含 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Akamai</t>
    </r>
    <r>
      <rPr>
        <sz val="10"/>
        <color rgb="FF000000"/>
        <rFont val="Noto Sans CJK SC"/>
        <family val="2"/>
      </rPr>
      <t xml:space="preserve">）</t>
    </r>
  </si>
  <si>
    <t xml:space="preserve">K133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</si>
  <si>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Google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</si>
  <si>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</si>
  <si>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K134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</si>
  <si>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Amazon</t>
    </r>
  </si>
  <si>
    <t xml:space="preserve">K135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</si>
  <si>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</si>
  <si>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K136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</si>
  <si>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Broadcom</t>
    </r>
  </si>
  <si>
    <t xml:space="preserve">K137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</si>
  <si>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</si>
  <si>
    <t xml:space="preserve">K138</t>
  </si>
  <si>
    <r>
      <rPr>
        <sz val="10"/>
        <color rgb="FF000000"/>
        <rFont val="Noto Sans CJK SC"/>
        <family val="2"/>
      </rPr>
      <t xml:space="preserve">招股書：</t>
    </r>
    <r>
      <rPr>
        <sz val="10"/>
        <color rgb="FF000000"/>
        <rFont val="Arial"/>
        <family val="0"/>
        <charset val="1"/>
      </rPr>
      <t xml:space="preserve">AMD</t>
    </r>
  </si>
  <si>
    <t xml:space="preserve">K139</t>
  </si>
  <si>
    <t xml:space="preserve">招股書六家合計（逐項）</t>
  </si>
  <si>
    <t xml:space="preserve">K140</t>
  </si>
  <si>
    <r>
      <rPr>
        <sz val="10"/>
        <color rgb="FF000000"/>
        <rFont val="Noto Sans CJK SC"/>
        <family val="2"/>
      </rPr>
      <t xml:space="preserve">招股書總承諾（約，</t>
    </r>
    <r>
      <rPr>
        <sz val="10"/>
        <color rgb="FF000000"/>
        <rFont val="Arial"/>
        <family val="0"/>
        <charset val="1"/>
      </rPr>
      <t xml:space="preserve">SRC_ANT_245</t>
    </r>
    <r>
      <rPr>
        <sz val="10"/>
        <color rgb="FF000000"/>
        <rFont val="Noto Sans CJK SC"/>
        <family val="2"/>
      </rPr>
      <t xml:space="preserve">）</t>
    </r>
  </si>
  <si>
    <t xml:space="preserve">K141</t>
  </si>
  <si>
    <r>
      <rPr>
        <sz val="10"/>
        <color rgb="FF000000"/>
        <rFont val="Noto Sans CJK SC"/>
        <family val="2"/>
      </rPr>
      <t xml:space="preserve">差距：模型六家加總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招股書總承諾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</si>
  <si>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K142</t>
  </si>
  <si>
    <r>
      <rPr>
        <sz val="10"/>
        <color rgb="FF000000"/>
        <rFont val="Noto Sans CJK SC"/>
        <family val="2"/>
      </rPr>
      <t xml:space="preserve">對照：模型全部新合約 </t>
    </r>
    <r>
      <rPr>
        <sz val="10"/>
        <color rgb="FF000000"/>
        <rFont val="Arial"/>
        <family val="0"/>
        <charset val="1"/>
      </rPr>
      <t xml:space="preserve">÷ The Information </t>
    </r>
    <r>
      <rPr>
        <sz val="10"/>
        <color rgb="FF000000"/>
        <rFont val="Noto Sans CJK SC"/>
        <family val="2"/>
      </rPr>
      <t xml:space="preserve">彙整 </t>
    </r>
    <r>
      <rPr>
        <sz val="10"/>
        <color rgb="FF000000"/>
        <rFont val="Arial"/>
        <family val="0"/>
        <charset val="1"/>
      </rPr>
      <t xml:space="preserve">$517B − 1</t>
    </r>
  </si>
  <si>
    <r>
      <rPr>
        <b val="true"/>
        <sz val="10"/>
        <rFont val="Noto Sans CJK SC"/>
        <family val="2"/>
      </rPr>
      <t xml:space="preserve">十二、逐家合約總額對帳（</t>
    </r>
    <r>
      <rPr>
        <b val="true"/>
        <sz val="10"/>
        <rFont val="Arial"/>
        <family val="0"/>
        <charset val="1"/>
      </rPr>
      <t xml:space="preserve">U3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〔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轉述〕逐家 −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SpaceX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沿用 </t>
    </r>
    <r>
      <rPr>
        <b val="true"/>
        <sz val="10"/>
        <rFont val="Arial"/>
        <family val="0"/>
        <charset val="1"/>
      </rPr>
      <t xml:space="preserve">v0.1 </t>
    </r>
    <r>
      <rPr>
        <b val="true"/>
        <sz val="10"/>
        <rFont val="Noto Sans CJK SC"/>
        <family val="2"/>
      </rPr>
      <t xml:space="preserve">的招股書列；任一家 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  <r>
      <rPr>
        <b val="true"/>
        <sz val="10"/>
        <rFont val="Noto Sans CJK SC"/>
        <family val="2"/>
      </rPr>
      <t xml:space="preserve">）</t>
    </r>
  </si>
  <si>
    <t xml:space="preserve">K143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</si>
  <si>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</si>
  <si>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K144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</si>
  <si>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</si>
  <si>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</si>
  <si>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</si>
  <si>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</si>
  <si>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</si>
  <si>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K147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</si>
  <si>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</si>
  <si>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</si>
  <si>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（模型＝第十一節合約總額）</t>
    </r>
  </si>
  <si>
    <t xml:space="preserve">K149</t>
  </si>
  <si>
    <r>
      <rPr>
        <sz val="10"/>
        <color rgb="FF000000"/>
        <rFont val="Noto Sans CJK SC"/>
        <family val="2"/>
      </rPr>
      <t xml:space="preserve">逐家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</t>
    </r>
    <r>
      <rPr>
        <sz val="10"/>
        <color rgb="FF000000"/>
        <rFont val="Noto Sans CJK SC"/>
        <family val="2"/>
      </rPr>
      <t xml:space="preserve">最大值</t>
    </r>
  </si>
  <si>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門檻（</t>
    </r>
    <r>
      <rPr>
        <sz val="9"/>
        <color rgb="FF595959"/>
        <rFont val="Arial"/>
        <family val="0"/>
        <charset val="1"/>
      </rPr>
      <t xml:space="preserve">Inputs 0.25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；合計對得上是因為各家誤差互相抵銷</t>
    </r>
  </si>
  <si>
    <r>
      <rPr>
        <b val="true"/>
        <sz val="10"/>
        <rFont val="Noto Sans CJK SC"/>
        <family val="2"/>
      </rPr>
      <t xml:space="preserve">十三、敏感度：逐家合約錨定招股書金額（基準不變：</t>
    </r>
    <r>
      <rPr>
        <b val="true"/>
        <sz val="10"/>
        <rFont val="Arial"/>
        <family val="0"/>
        <charset val="1"/>
      </rPr>
      <t xml:space="preserve">GW × </t>
    </r>
    <r>
      <rPr>
        <b val="true"/>
        <sz val="10"/>
        <rFont val="Noto Sans CJK SC"/>
        <family val="2"/>
      </rPr>
      <t xml:space="preserve">合約價，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）。付款按同一時程等比例縮放；金額型、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型、月費型合約的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隨付款同比例（</t>
    </r>
    <r>
      <rPr>
        <b val="true"/>
        <sz val="10"/>
        <rFont val="Arial"/>
        <family val="0"/>
        <charset val="1"/>
      </rPr>
      <t xml:space="preserve">D10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合約價），</t>
    </r>
    <r>
      <rPr>
        <b val="true"/>
        <sz val="10"/>
        <rFont val="Arial"/>
        <family val="0"/>
        <charset val="1"/>
      </rPr>
      <t xml:space="preserve">Broadcom</t>
    </r>
    <r>
      <rPr>
        <b val="true"/>
        <sz val="10"/>
        <rFont val="Noto Sans CJK SC"/>
        <family val="2"/>
      </rPr>
      <t xml:space="preserve">（雙揭露）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不變</t>
    </r>
  </si>
  <si>
    <t xml:space="preserve">K150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</si>
  <si>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</si>
  <si>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K151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</si>
  <si>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</si>
  <si>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K152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</si>
  <si>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</si>
  <si>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K153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</si>
  <si>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</si>
  <si>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K154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</si>
  <si>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</si>
  <si>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K155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</si>
  <si>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草稿（或招股書）金額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</si>
  <si>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K156</t>
  </si>
  <si>
    <t xml:space="preserve">算力成本（現金；錨定招股書）</t>
  </si>
  <si>
    <t xml:space="preserve">K157</t>
  </si>
  <si>
    <t xml:space="preserve">差：錨定 − 基準（算力成本）</t>
  </si>
  <si>
    <t xml:space="preserve">K158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</si>
  <si>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</si>
  <si>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僅在 </t>
    </r>
    <r>
      <rPr>
        <sz val="9"/>
        <color rgb="FF595959"/>
        <rFont val="Arial"/>
        <family val="0"/>
        <charset val="1"/>
      </rPr>
      <t xml:space="preserve">U2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（金額型）時隨付款縮放</t>
    </r>
  </si>
  <si>
    <t xml:space="preserve">K159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</si>
  <si>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（錨定）</t>
    </r>
  </si>
  <si>
    <t xml:space="preserve">K160</t>
  </si>
  <si>
    <t xml:space="preserve">容量上限係數（錨定）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</si>
  <si>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不受影響）</t>
    </r>
  </si>
  <si>
    <t xml:space="preserve">K161</t>
  </si>
  <si>
    <t xml:space="preserve">營收淨額（錨定；截頂後）</t>
  </si>
  <si>
    <t xml:space="preserve">K162</t>
  </si>
  <si>
    <t xml:space="preserve">差額（含股權報酬；錨定）</t>
  </si>
  <si>
    <t xml:space="preserve">K163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</si>
  <si>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差額（含股權報酬；錨定）</t>
    </r>
  </si>
  <si>
    <t xml:space="preserve">K164</t>
  </si>
  <si>
    <r>
      <rPr>
        <sz val="10"/>
        <color rgb="FF000000"/>
        <rFont val="Noto Sans CJK SC"/>
        <family val="2"/>
      </rPr>
      <t xml:space="preserve">差：錨定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</si>
  <si>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K165</t>
  </si>
  <si>
    <t xml:space="preserve">自由現金流（錨定）＝營收淨額 − 算力 − 非算力（不含股權報酬）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</si>
  <si>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S4</t>
    </r>
  </si>
  <si>
    <r>
      <rPr>
        <b val="true"/>
        <sz val="10"/>
        <rFont val="Noto Sans CJK SC"/>
        <family val="2"/>
      </rPr>
      <t xml:space="preserve">十四、敏感度：機房租約租金（基準不計，</t>
    </r>
    <r>
      <rPr>
        <b val="true"/>
        <sz val="10"/>
        <rFont val="Arial"/>
        <family val="0"/>
        <charset val="1"/>
      </rPr>
      <t xml:space="preserve">D10 r1 </t>
    </r>
    <r>
      <rPr>
        <b val="true"/>
        <sz val="10"/>
        <rFont val="Noto Sans CJK SC"/>
        <family val="2"/>
      </rPr>
      <t xml:space="preserve">只規定不另計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；租金＝總值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期間，自 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起算年）</t>
    </r>
  </si>
  <si>
    <t xml:space="preserve">K166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</si>
  <si>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TeraWulf Hawesville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$19B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直接承租）</t>
    </r>
  </si>
  <si>
    <t xml:space="preserve">K167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</si>
  <si>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Riot Rockdale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$9.1B</t>
    </r>
    <r>
      <rPr>
        <sz val="10"/>
        <color rgb="FF000000"/>
        <rFont val="Noto Sans CJK SC"/>
        <family val="2"/>
      </rPr>
      <t xml:space="preserve">）</t>
    </r>
  </si>
  <si>
    <t xml:space="preserve">K168</t>
  </si>
  <si>
    <r>
      <rPr>
        <sz val="10"/>
        <color rgb="FF000000"/>
        <rFont val="Noto Sans CJK SC"/>
        <family val="2"/>
      </rPr>
      <t xml:space="preserve">年租金：</t>
    </r>
    <r>
      <rPr>
        <sz val="10"/>
        <color rgb="FF000000"/>
        <rFont val="Arial"/>
        <family val="0"/>
        <charset val="1"/>
      </rPr>
      <t xml:space="preserve">Hut 8 River Bend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$7B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，可能已含於自建 </t>
    </r>
    <r>
      <rPr>
        <sz val="10"/>
        <color rgb="FF000000"/>
        <rFont val="Arial"/>
        <family val="0"/>
        <charset val="1"/>
      </rPr>
      <t xml:space="preserve">$50B</t>
    </r>
    <r>
      <rPr>
        <sz val="10"/>
        <color rgb="FF000000"/>
        <rFont val="Noto Sans CJK SC"/>
        <family val="2"/>
      </rPr>
      <t xml:space="preserve">）</t>
    </r>
  </si>
  <si>
    <t xml:space="preserve">K169</t>
  </si>
  <si>
    <r>
      <rPr>
        <sz val="10"/>
        <color rgb="FF000000"/>
        <rFont val="Noto Sans CJK SC"/>
        <family val="2"/>
      </rPr>
      <t xml:space="preserve">（未計）</t>
    </r>
    <r>
      <rPr>
        <sz val="10"/>
        <color rgb="FF000000"/>
        <rFont val="Arial"/>
        <family val="0"/>
        <charset val="1"/>
      </rPr>
      <t xml:space="preserve">Nexus Hubbard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TX</t>
    </r>
    <r>
      <rPr>
        <sz val="10"/>
        <color rgb="FF000000"/>
        <rFont val="Noto Sans CJK SC"/>
        <family val="2"/>
      </rPr>
      <t xml:space="preserve">；首期 </t>
    </r>
    <r>
      <rPr>
        <sz val="10"/>
        <color rgb="FF000000"/>
        <rFont val="Arial"/>
        <family val="0"/>
        <charset val="1"/>
      </rPr>
      <t xml:space="preserve">500 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擔保）：租金未揭露</t>
    </r>
  </si>
  <si>
    <r>
      <rPr>
        <sz val="9"/>
        <color rgb="FF595959"/>
        <rFont val="Noto Sans CJK SC"/>
        <family val="2"/>
      </rPr>
      <t xml:space="preserve">只揭露園區融資 </t>
    </r>
    <r>
      <rPr>
        <sz val="9"/>
        <color rgb="FF595959"/>
        <rFont val="Arial"/>
        <family val="0"/>
        <charset val="1"/>
      </rPr>
      <t xml:space="preserve">$15B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SRC_ANT_239</t>
    </r>
    <r>
      <rPr>
        <sz val="9"/>
        <color rgb="FF595959"/>
        <rFont val="Noto Sans CJK SC"/>
        <family val="2"/>
      </rPr>
      <t xml:space="preserve">），租金找不到 → 不計（不杜撰）</t>
    </r>
  </si>
  <si>
    <t xml:space="preserve">K170</t>
  </si>
  <si>
    <t xml:space="preserve">機房租約租金合計（敏感度）</t>
  </si>
  <si>
    <t xml:space="preserve">K171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</si>
  <si>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差額（含股權報酬；加計租金）</t>
    </r>
  </si>
  <si>
    <t xml:space="preserve">K172</t>
  </si>
  <si>
    <t xml:space="preserve">差：加計租金 − 基準</t>
  </si>
  <si>
    <r>
      <rPr>
        <b val="true"/>
        <sz val="10"/>
        <rFont val="Noto Sans CJK SC"/>
        <family val="2"/>
      </rPr>
      <t xml:space="preserve">十五、</t>
    </r>
    <r>
      <rPr>
        <b val="true"/>
        <sz val="10"/>
        <rFont val="Arial"/>
        <family val="0"/>
        <charset val="1"/>
      </rPr>
      <t xml:space="preserve">D22 </t>
    </r>
    <r>
      <rPr>
        <b val="true"/>
        <sz val="10"/>
        <rFont val="Noto Sans CJK SC"/>
        <family val="2"/>
      </rPr>
      <t xml:space="preserve">量化：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非算力成本低估（報導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隱含調整後非算力費用年化 − 模型；不校準，只作敏感度）</t>
    </r>
  </si>
  <si>
    <t xml:space="preserve">K173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</si>
  <si>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隱含非算力費用（含平台抽成，不含股權報酬）＝營收預測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算力占營收）− 營業利益預測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</si>
  <si>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10.9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0.559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5 </t>
    </r>
    <r>
      <rPr>
        <sz val="9"/>
        <color rgb="FF595959"/>
        <rFont val="Noto Sans CJK SC"/>
        <family val="2"/>
      </rPr>
      <t xml:space="preserve">月預測；實際營收 </t>
    </r>
    <r>
      <rPr>
        <sz val="9"/>
        <color rgb="FF595959"/>
        <rFont val="Arial"/>
        <family val="0"/>
        <charset val="1"/>
      </rPr>
      <t xml:space="preserve">&gt;11.5</t>
    </r>
    <r>
      <rPr>
        <sz val="9"/>
        <color rgb="FF595959"/>
        <rFont val="Noto Sans CJK SC"/>
        <family val="2"/>
      </rPr>
      <t xml:space="preserve">、調整後營業利益為正）</t>
    </r>
  </si>
  <si>
    <t xml:space="preserve">K174</t>
  </si>
  <si>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季數）</t>
    </r>
  </si>
  <si>
    <t xml:space="preserve">K175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</si>
  <si>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：非算力（不含股權報酬）＋平台抽成</t>
    </r>
  </si>
  <si>
    <t xml:space="preserve">說明書把抽成列行銷費用；模型自營收扣除 → 比較時加回</t>
  </si>
  <si>
    <t xml:space="preserve">K176</t>
  </si>
  <si>
    <t xml:space="preserve">隱含低估＝年化 − 模型</t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</si>
  <si>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</t>
    </r>
  </si>
  <si>
    <t xml:space="preserve">K177</t>
  </si>
  <si>
    <r>
      <rPr>
        <sz val="10"/>
        <color rgb="FF000000"/>
        <rFont val="Noto Sans CJK SC"/>
        <family val="2"/>
      </rPr>
      <t xml:space="preserve">交叉對照：（模型調整後營業利益率 − 報導）</t>
    </r>
    <r>
      <rPr>
        <sz val="10"/>
        <color rgb="FF000000"/>
        <rFont val="Arial"/>
        <family val="0"/>
        <charset val="1"/>
      </rPr>
      <t xml:space="preserve">× 2026 </t>
    </r>
    <r>
      <rPr>
        <sz val="10"/>
        <color rgb="FF000000"/>
        <rFont val="Noto Sans CJK SC"/>
        <family val="2"/>
      </rPr>
      <t xml:space="preserve">營收淨額</t>
    </r>
  </si>
  <si>
    <t xml:space="preserve">利潤率法（同一差距的另一算法）</t>
  </si>
  <si>
    <t xml:space="preserve">K178</t>
  </si>
  <si>
    <r>
      <rPr>
        <sz val="10"/>
        <color rgb="FF000000"/>
        <rFont val="Noto Sans CJK SC"/>
        <family val="2"/>
      </rPr>
      <t xml:space="preserve">低估比例＝低估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</t>
    </r>
  </si>
  <si>
    <r>
      <rPr>
        <sz val="9"/>
        <color rgb="FF595959"/>
        <rFont val="Noto Sans CJK SC"/>
        <family val="2"/>
      </rPr>
      <t xml:space="preserve">敏感度：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起各年非算力成本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＋本比例）</t>
    </r>
  </si>
  <si>
    <t xml:space="preserve">K179</t>
  </si>
  <si>
    <t xml:space="preserve">非算力成本增加（敏感度）</t>
  </si>
  <si>
    <t xml:space="preserve">K180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</si>
  <si>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低估補足）</t>
    </r>
  </si>
  <si>
    <t xml:space="preserve">K181</t>
  </si>
  <si>
    <r>
      <rPr>
        <sz val="10"/>
        <color rgb="FF000000"/>
        <rFont val="Noto Sans CJK SC"/>
        <family val="2"/>
      </rPr>
      <t xml:space="preserve">差：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補足 − 基準</t>
    </r>
  </si>
  <si>
    <r>
      <rPr>
        <b val="true"/>
        <sz val="10"/>
        <rFont val="Noto Sans CJK SC"/>
        <family val="2"/>
      </rPr>
      <t xml:space="preserve">十六、</t>
    </r>
    <r>
      <rPr>
        <b val="true"/>
        <sz val="10"/>
        <rFont val="Arial"/>
        <family val="0"/>
        <charset val="1"/>
      </rPr>
      <t xml:space="preserve">U2 Nscale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兩約錨定『最高 </t>
    </r>
    <r>
      <rPr>
        <b val="true"/>
        <sz val="10"/>
        <rFont val="Arial"/>
        <family val="0"/>
        <charset val="1"/>
      </rPr>
      <t xml:space="preserve">$86B</t>
    </r>
    <r>
      <rPr>
        <b val="true"/>
        <sz val="10"/>
        <rFont val="Noto Sans CJK SC"/>
        <family val="2"/>
      </rPr>
      <t xml:space="preserve">』：按既有揭露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比例分攤（開關 </t>
    </r>
    <r>
      <rPr>
        <b val="true"/>
        <sz val="10"/>
        <rFont val="Arial"/>
        <family val="0"/>
        <charset val="1"/>
      </rPr>
      <t xml:space="preserve">u2_switch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；金額型：付款＝金額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期間，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＝付款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合約價）</t>
    </r>
  </si>
  <si>
    <t xml:space="preserve">K182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</si>
  <si>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占兩約合計的比例＝</t>
    </r>
    <r>
      <rPr>
        <sz val="10"/>
        <color rgb="FF000000"/>
        <rFont val="Arial"/>
        <family val="0"/>
        <charset val="1"/>
      </rPr>
      <t xml:space="preserve">Nscale MW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Nscale MW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Lambda MW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</si>
  <si>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依兩約既有揭露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比例分攤『最高 </t>
    </r>
    <r>
      <rPr>
        <sz val="9"/>
        <color rgb="FF595959"/>
        <rFont val="Arial"/>
        <family val="0"/>
        <charset val="1"/>
      </rPr>
      <t xml:space="preserve">86</t>
    </r>
    <r>
      <rPr>
        <sz val="9"/>
        <color rgb="FF595959"/>
        <rFont val="Noto Sans CJK SC"/>
        <family val="2"/>
      </rPr>
      <t xml:space="preserve">』（工作單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觀測值（</t>
    </r>
    <r>
      <rPr>
        <sz val="9"/>
        <color rgb="FF595959"/>
        <rFont val="Arial"/>
        <family val="0"/>
        <charset val="1"/>
      </rPr>
      <t xml:space="preserve">460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  <r>
      <rPr>
        <sz val="9"/>
        <color rgb="FF595959"/>
        <rFont val="Noto Sans CJK SC"/>
        <family val="2"/>
      </rPr>
      <t xml:space="preserve">）</t>
    </r>
  </si>
  <si>
    <t xml:space="preserve">K183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</si>
  <si>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占兩約合計的比例</t>
    </r>
  </si>
  <si>
    <t xml:space="preserve">K184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</si>
  <si>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</si>
  <si>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合計最高 </t>
    </r>
    <r>
      <rPr>
        <sz val="9"/>
        <color rgb="FF595959"/>
        <rFont val="Arial"/>
        <family val="0"/>
        <charset val="1"/>
      </rPr>
      <t xml:space="preserve">$86B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</t>
    </r>
  </si>
  <si>
    <t xml:space="preserve">K185</t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</si>
  <si>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錨定總額＝</t>
    </r>
    <r>
      <rPr>
        <sz val="10"/>
        <color rgb="FF000000"/>
        <rFont val="Arial"/>
        <family val="0"/>
        <charset val="1"/>
      </rPr>
      <t xml:space="preserve">86 × </t>
    </r>
    <r>
      <rPr>
        <sz val="10"/>
        <color rgb="FF000000"/>
        <rFont val="Noto Sans CJK SC"/>
        <family val="2"/>
      </rPr>
      <t xml:space="preserve">比例</t>
    </r>
  </si>
  <si>
    <t xml:space="preserve">K186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</si>
  <si>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</si>
  <si>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r>
      <rPr>
        <sz val="9"/>
        <color rgb="FF595959"/>
        <rFont val="Noto Sans CJK SC"/>
        <family val="2"/>
      </rPr>
      <t xml:space="preserve">逐家對帳補列（</t>
    </r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）</t>
    </r>
  </si>
  <si>
    <t xml:space="preserve">K187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</si>
  <si>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</si>
  <si>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t xml:space="preserve">敏感度（錨定）用</t>
  </si>
  <si>
    <t xml:space="preserve">K188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</si>
  <si>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S-1 </t>
    </r>
    <r>
      <rPr>
        <sz val="10"/>
        <color rgb="FF000000"/>
        <rFont val="Noto Sans CJK SC"/>
        <family val="2"/>
      </rPr>
      <t xml:space="preserve">草稿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分攤）（模型＝第十一節合約總額）</t>
    </r>
  </si>
  <si>
    <t xml:space="preserve">K189</t>
  </si>
  <si>
    <r>
      <rPr>
        <sz val="10"/>
        <color rgb="FF000000"/>
        <rFont val="Noto Sans CJK SC"/>
        <family val="2"/>
      </rPr>
      <t xml:space="preserve">錨定係數：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（兩約合計 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分攤）＝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草稿金額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模型合約總額</t>
    </r>
  </si>
  <si>
    <r>
      <rPr>
        <b val="true"/>
        <sz val="10"/>
        <rFont val="Noto Sans CJK SC"/>
        <family val="2"/>
      </rPr>
      <t xml:space="preserve">十七、</t>
    </r>
    <r>
      <rPr>
        <b val="true"/>
        <sz val="10"/>
        <rFont val="Arial"/>
        <family val="0"/>
        <charset val="1"/>
      </rPr>
      <t xml:space="preserve">U3 </t>
    </r>
    <r>
      <rPr>
        <b val="true"/>
        <sz val="10"/>
        <rFont val="Noto Sans CJK SC"/>
        <family val="2"/>
      </rPr>
      <t xml:space="preserve">承諾總額三口徑並列（草擬 </t>
    </r>
    <r>
      <rPr>
        <b val="true"/>
        <sz val="10"/>
        <rFont val="Arial"/>
        <family val="0"/>
        <charset val="1"/>
      </rPr>
      <t xml:space="preserve">S-1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WSJ </t>
    </r>
    <r>
      <rPr>
        <b val="true"/>
        <sz val="10"/>
        <rFont val="Noto Sans CJK SC"/>
        <family val="2"/>
      </rPr>
      <t xml:space="preserve">轉述）：雲端付款義務約 </t>
    </r>
    <r>
      <rPr>
        <b val="true"/>
        <sz val="10"/>
        <rFont val="Arial"/>
        <family val="0"/>
        <charset val="1"/>
      </rPr>
      <t xml:space="preserve">450</t>
    </r>
    <r>
      <rPr>
        <b val="true"/>
        <sz val="10"/>
        <rFont val="Noto Sans CJK SC"/>
        <family val="2"/>
      </rPr>
      <t xml:space="preserve">、已鎖定 </t>
    </r>
    <r>
      <rPr>
        <b val="true"/>
        <sz val="10"/>
        <rFont val="Arial"/>
        <family val="0"/>
        <charset val="1"/>
      </rPr>
      <t xml:space="preserve">&gt;600</t>
    </r>
    <r>
      <rPr>
        <b val="true"/>
        <sz val="10"/>
        <rFont val="Noto Sans CJK SC"/>
        <family val="2"/>
      </rPr>
      <t xml:space="preserve">（含 </t>
    </r>
    <r>
      <rPr>
        <b val="true"/>
        <sz val="10"/>
        <rFont val="Arial"/>
        <family val="0"/>
        <charset val="1"/>
      </rPr>
      <t xml:space="preserve">Broadcom </t>
    </r>
    <r>
      <rPr>
        <b val="true"/>
        <sz val="10"/>
        <rFont val="Noto Sans CJK SC"/>
        <family val="2"/>
      </rPr>
      <t xml:space="preserve">租賃）、含談判中約 </t>
    </r>
    <r>
      <rPr>
        <b val="true"/>
        <sz val="10"/>
        <rFont val="Arial"/>
        <family val="0"/>
        <charset val="1"/>
      </rPr>
      <t xml:space="preserve">750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</t>
    </r>
    <r>
      <rPr>
        <b val="true"/>
        <sz val="10"/>
        <rFont val="Noto Sans CJK SC"/>
        <family val="2"/>
      </rPr>
      <t xml:space="preserve">差距</t>
    </r>
    <r>
      <rPr>
        <b val="true"/>
        <sz val="10"/>
        <rFont val="Arial"/>
        <family val="0"/>
        <charset val="1"/>
      </rPr>
      <t xml:space="preserve">| 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Checks WARN</t>
    </r>
  </si>
  <si>
    <t xml:space="preserve">K190</t>
  </si>
  <si>
    <r>
      <rPr>
        <sz val="10"/>
        <color rgb="FF000000"/>
        <rFont val="Noto Sans CJK SC"/>
        <family val="2"/>
      </rPr>
      <t xml:space="preserve">模型：雲端付款義務口徑＝全部新合約加總 −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租賃（</t>
    </r>
    <r>
      <rPr>
        <sz val="10"/>
        <color rgb="FF000000"/>
        <rFont val="Arial"/>
        <family val="0"/>
        <charset val="1"/>
      </rPr>
      <t xml:space="preserve">Cost </t>
    </r>
    <r>
      <rPr>
        <sz val="10"/>
        <color rgb="FF000000"/>
        <rFont val="Noto Sans CJK SC"/>
        <family val="2"/>
      </rPr>
      <t xml:space="preserve">第十一節）</t>
    </r>
  </si>
  <si>
    <r>
      <rPr>
        <sz val="9"/>
        <color rgb="FF595959"/>
        <rFont val="Noto Sans CJK SC"/>
        <family val="2"/>
      </rPr>
      <t xml:space="preserve">雲端算力合約（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）；不含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設備租賃、</t>
    </r>
    <r>
      <rPr>
        <sz val="9"/>
        <color rgb="FF595959"/>
        <rFont val="Arial"/>
        <family val="0"/>
        <charset val="1"/>
      </rPr>
      <t xml:space="preserve">Fluidstack </t>
    </r>
    <r>
      <rPr>
        <sz val="9"/>
        <color rgb="FF595959"/>
        <rFont val="Noto Sans CJK SC"/>
        <family val="2"/>
      </rPr>
      <t xml:space="preserve">自建、機房租約</t>
    </r>
  </si>
  <si>
    <t xml:space="preserve">K191</t>
  </si>
  <si>
    <r>
      <rPr>
        <sz val="10"/>
        <color rgb="FF000000"/>
        <rFont val="Noto Sans CJK SC"/>
        <family val="2"/>
      </rPr>
      <t xml:space="preserve">報導：雲端運算付款義務（約；未來 </t>
    </r>
    <r>
      <rPr>
        <sz val="10"/>
        <color rgb="FF000000"/>
        <rFont val="Arial"/>
        <family val="0"/>
        <charset val="1"/>
      </rPr>
      <t xml:space="preserve">7–10 </t>
    </r>
    <r>
      <rPr>
        <sz val="10"/>
        <color rgb="FF000000"/>
        <rFont val="Noto Sans CJK SC"/>
        <family val="2"/>
      </rPr>
      <t xml:space="preserve">年，多數不可取消）</t>
    </r>
  </si>
  <si>
    <t xml:space="preserve">K192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</si>
  <si>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（雲端付款義務口徑）</t>
    </r>
  </si>
  <si>
    <t xml:space="preserve">K193</t>
  </si>
  <si>
    <r>
      <rPr>
        <sz val="10"/>
        <color rgb="FF000000"/>
        <rFont val="Noto Sans CJK SC"/>
        <family val="2"/>
      </rPr>
      <t xml:space="preserve">模型：已鎖定口徑＝全部新合約加總（含 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租賃）</t>
    </r>
  </si>
  <si>
    <t xml:space="preserve">K194</t>
  </si>
  <si>
    <r>
      <rPr>
        <sz val="10"/>
        <color rgb="FF000000"/>
        <rFont val="Noto Sans CJK SC"/>
        <family val="2"/>
      </rPr>
      <t xml:space="preserve">報導：已鎖定承諾（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；下限）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</si>
  <si>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）；已含雲端 </t>
    </r>
    <r>
      <rPr>
        <sz val="9"/>
        <color rgb="FF595959"/>
        <rFont val="Arial"/>
        <family val="0"/>
        <charset val="1"/>
      </rPr>
      <t xml:space="preserve">450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Broadcom &gt;160 </t>
    </r>
    <r>
      <rPr>
        <sz val="9"/>
        <color rgb="FF595959"/>
        <rFont val="Noto Sans CJK SC"/>
        <family val="2"/>
      </rPr>
      <t xml:space="preserve">之類</t>
    </r>
  </si>
  <si>
    <t xml:space="preserve">K195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</si>
  <si>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（已鎖定口徑）</t>
    </r>
  </si>
  <si>
    <t xml:space="preserve">K196</t>
  </si>
  <si>
    <r>
      <rPr>
        <sz val="10"/>
        <color rgb="FF000000"/>
        <rFont val="Noto Sans CJK SC"/>
        <family val="2"/>
      </rPr>
      <t xml:space="preserve">模型：含談判中口徑＝已鎖定口徑 ＋ 談判中新協議（</t>
    </r>
    <r>
      <rPr>
        <sz val="10"/>
        <color rgb="FF000000"/>
        <rFont val="Arial"/>
        <family val="0"/>
        <charset val="1"/>
      </rPr>
      <t xml:space="preserve">U6 </t>
    </r>
    <r>
      <rPr>
        <sz val="10"/>
        <color rgb="FF000000"/>
        <rFont val="Noto Sans CJK SC"/>
        <family val="2"/>
      </rPr>
      <t xml:space="preserve">情境金額）</t>
    </r>
  </si>
  <si>
    <t xml:space="preserve">K197</t>
  </si>
  <si>
    <t xml:space="preserve">報導：全數成交後的潛在承諾總額（約）</t>
  </si>
  <si>
    <t xml:space="preserve">K198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</si>
  <si>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（含談判中口徑）</t>
    </r>
  </si>
  <si>
    <t xml:space="preserve">K199</t>
  </si>
  <si>
    <r>
      <rPr>
        <sz val="10"/>
        <color rgb="FF000000"/>
        <rFont val="Noto Sans CJK SC"/>
        <family val="2"/>
      </rPr>
      <t xml:space="preserve">報導逐家可辨識：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Nscale/Lambda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</si>
  <si>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111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110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86</t>
    </r>
  </si>
  <si>
    <t xml:space="preserve">K200</t>
  </si>
  <si>
    <r>
      <rPr>
        <sz val="10"/>
        <color rgb="FF000000"/>
        <rFont val="Noto Sans CJK SC"/>
        <family val="2"/>
      </rPr>
      <t xml:space="preserve">報導隱含：雲端義務 </t>
    </r>
    <r>
      <rPr>
        <sz val="10"/>
        <color rgb="FF000000"/>
        <rFont val="Arial"/>
        <family val="0"/>
        <charset val="1"/>
      </rPr>
      <t xml:space="preserve">450 − </t>
    </r>
    <r>
      <rPr>
        <sz val="10"/>
        <color rgb="FF000000"/>
        <rFont val="Noto Sans CJK SC"/>
        <family val="2"/>
      </rPr>
      <t xml:space="preserve">逐家可辨識合計＝其他雲端義務（報導未點名）</t>
    </r>
  </si>
  <si>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殘差：可能含 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等（推論，報導未列）</t>
    </r>
  </si>
  <si>
    <t xml:space="preserve">K201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</si>
  <si>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SpaceX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Volta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Akamai </t>
    </r>
    <r>
      <rPr>
        <sz val="10"/>
        <color rgb="FF000000"/>
        <rFont val="Noto Sans CJK SC"/>
        <family val="2"/>
      </rPr>
      <t xml:space="preserve">合約總額</t>
    </r>
  </si>
  <si>
    <t xml:space="preserve">K202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</si>
  <si>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報導隱含殘差 − </t>
    </r>
    <r>
      <rPr>
        <sz val="10"/>
        <color rgb="FF000000"/>
        <rFont val="Arial"/>
        <family val="0"/>
        <charset val="1"/>
      </rPr>
      <t xml:space="preserve">1</t>
    </r>
  </si>
  <si>
    <t xml:space="preserve">只對照</t>
  </si>
  <si>
    <t xml:space="preserve">K203</t>
  </si>
  <si>
    <r>
      <rPr>
        <sz val="10"/>
        <color rgb="FF000000"/>
        <rFont val="Noto Sans CJK SC"/>
        <family val="2"/>
      </rPr>
      <t xml:space="preserve">報導隱含：已鎖定 − 雲端義務＝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及其他非雲端義務</t>
    </r>
  </si>
  <si>
    <r>
      <rPr>
        <sz val="9"/>
        <color rgb="FF595959"/>
        <rFont val="Noto Sans CJK SC"/>
        <family val="2"/>
      </rPr>
      <t xml:space="preserve">對照報導 </t>
    </r>
    <r>
      <rPr>
        <sz val="9"/>
        <color rgb="FF595959"/>
        <rFont val="Arial"/>
        <family val="0"/>
        <charset val="1"/>
      </rPr>
      <t xml:space="preserve">Broadcom &gt;160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</si>
  <si>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十八、</t>
    </r>
    <r>
      <rPr>
        <b val="true"/>
        <sz val="10"/>
        <rFont val="Arial"/>
        <family val="0"/>
        <charset val="1"/>
      </rPr>
      <t xml:space="preserve">U4 2026 </t>
    </r>
    <r>
      <rPr>
        <b val="true"/>
        <sz val="10"/>
        <rFont val="Noto Sans CJK SC"/>
        <family val="2"/>
      </rPr>
      <t xml:space="preserve">算力支出對照（報導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模型；不校準）：上半年實際近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隱含＝</t>
    </r>
    <r>
      <rPr>
        <b val="true"/>
        <sz val="10"/>
        <rFont val="Arial"/>
        <family val="0"/>
        <charset val="1"/>
      </rPr>
      <t xml:space="preserve">Q3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1.70</t>
    </r>
    <r>
      <rPr>
        <b val="true"/>
        <sz val="10"/>
        <rFont val="Noto Sans CJK SC"/>
        <family val="2"/>
      </rPr>
      <t xml:space="preserve">；差距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Noto Sans CJK SC"/>
        <family val="2"/>
      </rPr>
      <t xml:space="preserve">門檻 → </t>
    </r>
    <r>
      <rPr>
        <b val="true"/>
        <sz val="10"/>
        <rFont val="Arial"/>
        <family val="0"/>
        <charset val="1"/>
      </rPr>
      <t xml:space="preserve">WARN</t>
    </r>
  </si>
  <si>
    <t xml:space="preserve">K204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</si>
  <si>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上半年算力與基礎設施支出（近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</si>
  <si>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；口徑未明）</t>
    </r>
  </si>
  <si>
    <t xml:space="preserve">K205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</si>
  <si>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2026 Q3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$1 </t>
    </r>
    <r>
      <rPr>
        <sz val="10"/>
        <color rgb="FF000000"/>
        <rFont val="Noto Sans CJK SC"/>
        <family val="2"/>
      </rPr>
      <t xml:space="preserve">算力支出的營收</t>
    </r>
  </si>
  <si>
    <r>
      <rPr>
        <sz val="9"/>
        <color rgb="FF595959"/>
        <rFont val="Arial"/>
        <family val="0"/>
        <charset val="1"/>
      </rPr>
      <t xml:space="preserve">SRC Derived</t>
    </r>
    <r>
      <rPr>
        <sz val="9"/>
        <color rgb="FF595959"/>
        <rFont val="Noto Sans CJK SC"/>
        <family val="2"/>
      </rPr>
      <t xml:space="preserve">（公式）</t>
    </r>
  </si>
  <si>
    <t xml:space="preserve">K206</t>
  </si>
  <si>
    <r>
      <rPr>
        <sz val="10"/>
        <color rgb="FF000000"/>
        <rFont val="Noto Sans CJK SC"/>
        <family val="2"/>
      </rPr>
      <t xml:space="preserve">外推：</t>
    </r>
    <r>
      <rPr>
        <sz val="10"/>
        <color rgb="FF000000"/>
        <rFont val="Arial"/>
        <family val="0"/>
        <charset val="1"/>
      </rPr>
      <t xml:space="preserve">2026 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成長，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同一假設）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同一比率</t>
    </r>
  </si>
  <si>
    <t xml:space="preserve">假設算力占營收比持平</t>
  </si>
  <si>
    <t xml:space="preserve">K207</t>
  </si>
  <si>
    <r>
      <rPr>
        <sz val="10"/>
        <color rgb="FF000000"/>
        <rFont val="Noto Sans CJK SC"/>
        <family val="2"/>
      </rPr>
      <t xml:space="preserve">報導口徑外推：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全年算力與基礎設施支出＝上半年＋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</t>
    </r>
  </si>
  <si>
    <t xml:space="preserve">K208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</si>
  <si>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</t>
    </r>
  </si>
  <si>
    <t xml:space="preserve">COST_ContractPay</t>
  </si>
  <si>
    <t xml:space="preserve">K209</t>
  </si>
  <si>
    <r>
      <rPr>
        <sz val="10"/>
        <color rgb="FF000000"/>
        <rFont val="Noto Sans CJK SC"/>
        <family val="2"/>
      </rPr>
      <t xml:space="preserve">模型：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算力成本（含自建資本支出）</t>
    </r>
  </si>
  <si>
    <t xml:space="preserve">K210</t>
  </si>
  <si>
    <r>
      <rPr>
        <sz val="10"/>
        <color rgb="FF000000"/>
        <rFont val="Noto Sans CJK SC"/>
        <family val="2"/>
      </rPr>
      <t xml:space="preserve">　其中自建資本支出（</t>
    </r>
    <r>
      <rPr>
        <sz val="10"/>
        <color rgb="FF000000"/>
        <rFont val="Arial"/>
        <family val="0"/>
        <charset val="1"/>
      </rPr>
      <t xml:space="preserve">Fluidstack </t>
    </r>
    <r>
      <rPr>
        <sz val="10"/>
        <color rgb="FF000000"/>
        <rFont val="Noto Sans CJK SC"/>
        <family val="2"/>
      </rPr>
      <t xml:space="preserve">均攤）</t>
    </r>
  </si>
  <si>
    <r>
      <rPr>
        <sz val="9"/>
        <color rgb="FF595959"/>
        <rFont val="Noto Sans CJK SC"/>
        <family val="2"/>
      </rPr>
      <t xml:space="preserve">是否與報導的『算力與基礎設施支出』同口徑未明：報導像損益費用（對照 </t>
    </r>
    <r>
      <rPr>
        <sz val="9"/>
        <color rgb="FF595959"/>
        <rFont val="Arial"/>
        <family val="0"/>
        <charset val="1"/>
      </rPr>
      <t xml:space="preserve">1.70 </t>
    </r>
    <r>
      <rPr>
        <sz val="9"/>
        <color rgb="FF595959"/>
        <rFont val="Noto Sans CJK SC"/>
        <family val="2"/>
      </rPr>
      <t xml:space="preserve">營收比），自建資本支出是現金資本支出，折舊才進損益 → 以合約實付為主對照</t>
    </r>
  </si>
  <si>
    <t xml:space="preserve">K211</t>
  </si>
  <si>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</si>
  <si>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K212</t>
  </si>
  <si>
    <r>
      <rPr>
        <sz val="10"/>
        <color rgb="FF000000"/>
        <rFont val="Noto Sans CJK SC"/>
        <family val="2"/>
      </rPr>
      <t xml:space="preserve">模型算力成本（含自建）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</si>
  <si>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K213</t>
  </si>
  <si>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合約實付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上半年月數 </t>
    </r>
    <r>
      <rPr>
        <sz val="10"/>
        <color rgb="FF000000"/>
        <rFont val="Arial"/>
        <family val="0"/>
        <charset val="1"/>
      </rPr>
      <t xml:space="preserve">÷ 12 ÷ </t>
    </r>
    <r>
      <rPr>
        <sz val="10"/>
        <color rgb="FF000000"/>
        <rFont val="Noto Sans CJK SC"/>
        <family val="2"/>
      </rPr>
      <t xml:space="preserve">報導上半年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</si>
  <si>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年內爬坡，上半年應低於全年一半（同第二節 </t>
    </r>
    <r>
      <rPr>
        <sz val="9"/>
        <color rgb="FF595959"/>
        <rFont val="Arial"/>
        <family val="0"/>
        <charset val="1"/>
      </rPr>
      <t xml:space="preserve">h1_26m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</si>
  <si>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十九、</t>
    </r>
    <r>
      <rPr>
        <b val="true"/>
        <sz val="10"/>
        <rFont val="Arial"/>
        <family val="0"/>
        <charset val="1"/>
      </rPr>
      <t xml:space="preserve">U5 D22 </t>
    </r>
    <r>
      <rPr>
        <b val="true"/>
        <sz val="10"/>
        <rFont val="Noto Sans CJK SC"/>
        <family val="2"/>
      </rPr>
      <t xml:space="preserve">對照加 </t>
    </r>
    <r>
      <rPr>
        <b val="true"/>
        <sz val="10"/>
        <rFont val="Arial"/>
        <family val="0"/>
        <charset val="1"/>
      </rPr>
      <t xml:space="preserve">Q3</t>
    </r>
    <r>
      <rPr>
        <b val="true"/>
        <sz val="10"/>
        <rFont val="Noto Sans CJK SC"/>
        <family val="2"/>
      </rPr>
      <t xml:space="preserve">：調整後營業利益率 </t>
    </r>
    <r>
      <rPr>
        <b val="true"/>
        <sz val="10"/>
        <rFont val="Arial"/>
        <family val="0"/>
        <charset val="1"/>
      </rPr>
      <t xml:space="preserve">11%</t>
    </r>
    <r>
      <rPr>
        <b val="true"/>
        <sz val="10"/>
        <rFont val="Noto Sans CJK SC"/>
        <family val="2"/>
      </rPr>
      <t xml:space="preserve">；隱含非算力成本（承 </t>
    </r>
    <r>
      <rPr>
        <b val="true"/>
        <sz val="10"/>
        <rFont val="Arial"/>
        <family val="0"/>
        <charset val="1"/>
      </rPr>
      <t xml:space="preserve">v0.1 A4-17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版）</t>
    </r>
  </si>
  <si>
    <t xml:space="preserve">K214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</si>
  <si>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Q3 </t>
    </r>
    <r>
      <rPr>
        <sz val="10"/>
        <color rgb="FF000000"/>
        <rFont val="Noto Sans CJK SC"/>
        <family val="2"/>
      </rPr>
      <t xml:space="preserve">調整後營業利益率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</si>
  <si>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；第二個獲利季）</t>
    </r>
  </si>
  <si>
    <t xml:space="preserve">K215</t>
  </si>
  <si>
    <r>
      <rPr>
        <sz val="10"/>
        <color rgb="FF000000"/>
        <rFont val="Noto Sans CJK SC"/>
        <family val="2"/>
      </rPr>
      <t xml:space="preserve">報導：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對照）</t>
    </r>
  </si>
  <si>
    <t xml:space="preserve">K216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</si>
  <si>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報導（百分點）</t>
    </r>
  </si>
  <si>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單季；只對照、不校準</t>
    </r>
  </si>
  <si>
    <t xml:space="preserve">K217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</si>
  <si>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算力占營收＝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隱含算力支出 </t>
    </r>
    <r>
      <rPr>
        <sz val="10"/>
        <color rgb="FF000000"/>
        <rFont val="Arial"/>
        <family val="0"/>
        <charset val="1"/>
      </rPr>
      <t xml:space="preserve">÷ Q3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</si>
  <si>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1.70</t>
    </r>
  </si>
  <si>
    <t xml:space="preserve">K218</t>
  </si>
  <si>
    <r>
      <rPr>
        <sz val="10"/>
        <color rgb="FF000000"/>
        <rFont val="Noto Sans CJK SC"/>
        <family val="2"/>
      </rPr>
      <t xml:space="preserve">報導隱含：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非算力費用（含平台抽成，不含股權報酬）＝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算力占比 − 調整後營業利益率）</t>
    </r>
  </si>
  <si>
    <t xml:space="preserve">K219</t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</si>
  <si>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單季年化；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上半年營收較低，年化偏高 → 另列營收比例法</t>
    </r>
  </si>
  <si>
    <t xml:space="preserve">K220</t>
  </si>
  <si>
    <r>
      <rPr>
        <sz val="10"/>
        <color rgb="FF000000"/>
        <rFont val="Noto Sans CJK SC"/>
        <family val="2"/>
      </rPr>
      <t xml:space="preserve">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年化法）＝年化 − 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</t>
    </r>
  </si>
  <si>
    <r>
      <rPr>
        <sz val="9"/>
        <color rgb="FF595959"/>
        <rFont val="Noto Sans CJK SC"/>
        <family val="2"/>
      </rPr>
      <t xml:space="preserve">正＝模型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非算力成本偏低；對照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COST_D22Under</t>
    </r>
  </si>
  <si>
    <t xml:space="preserve">K221</t>
  </si>
  <si>
    <r>
      <rPr>
        <sz val="10"/>
        <color rgb="FF000000"/>
        <rFont val="Noto Sans CJK SC"/>
        <family val="2"/>
      </rPr>
      <t xml:space="preserve">報導隱含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非算力費用占營收</t>
    </r>
  </si>
  <si>
    <t xml:space="preserve">K222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</si>
  <si>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非算力（不含股權報酬）＋平台抽成 占營收總額</t>
    </r>
  </si>
  <si>
    <t xml:space="preserve">K223</t>
  </si>
  <si>
    <r>
      <rPr>
        <sz val="10"/>
        <color rgb="FF000000"/>
        <rFont val="Noto Sans CJK SC"/>
        <family val="2"/>
      </rPr>
      <t xml:space="preserve">隱含低估（營收比例法）＝（報導比例 − 模型比例）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</si>
  <si>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Noto Sans CJK SC"/>
        <family val="2"/>
      </rPr>
      <t xml:space="preserve">避免單季年化高估全年（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營收逐季上升）；與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年化法形成區間</t>
    </r>
  </si>
  <si>
    <r>
      <rPr>
        <b val="true"/>
        <sz val="10"/>
        <rFont val="Noto Sans CJK SC"/>
        <family val="2"/>
      </rPr>
      <t xml:space="preserve">二十、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Noto Sans CJK SC"/>
        <family val="2"/>
      </rPr>
      <t xml:space="preserve">情境：談判中新算力協議（最高約 </t>
    </r>
    <r>
      <rPr>
        <b val="true"/>
        <sz val="10"/>
        <rFont val="Arial"/>
        <family val="0"/>
        <charset val="1"/>
      </rPr>
      <t xml:space="preserve">$150B</t>
    </r>
    <r>
      <rPr>
        <b val="true"/>
        <sz val="10"/>
        <rFont val="Noto Sans CJK SC"/>
        <family val="2"/>
      </rPr>
      <t xml:space="preserve">；基準仍只計已簽合約，</t>
    </r>
    <r>
      <rPr>
        <b val="true"/>
        <sz val="10"/>
        <rFont val="Arial"/>
        <family val="0"/>
        <charset val="1"/>
      </rPr>
      <t xml:space="preserve">D16 </t>
    </r>
    <r>
      <rPr>
        <b val="true"/>
        <sz val="10"/>
        <rFont val="Noto Sans CJK SC"/>
        <family val="2"/>
      </rPr>
      <t xml:space="preserve">精神）。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＝金額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期間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合約價（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族），起始年起沿用 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爬坡</t>
    </r>
  </si>
  <si>
    <t xml:space="preserve">K224</t>
  </si>
  <si>
    <r>
      <rPr>
        <sz val="10"/>
        <color rgb="FF000000"/>
        <rFont val="Noto Sans CJK SC"/>
        <family val="2"/>
      </rPr>
      <t xml:space="preserve">談判中新協議金額（最高約；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</si>
  <si>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未簽約；全數成交＝已鎖定 </t>
    </r>
    <r>
      <rPr>
        <sz val="9"/>
        <color rgb="FF595959"/>
        <rFont val="Arial"/>
        <family val="0"/>
        <charset val="1"/>
      </rPr>
      <t xml:space="preserve">&gt;600 </t>
    </r>
    <r>
      <rPr>
        <sz val="9"/>
        <color rgb="FF595959"/>
        <rFont val="Noto Sans CJK SC"/>
        <family val="2"/>
      </rPr>
      <t xml:space="preserve">＋ 本列 ≈ </t>
    </r>
    <r>
      <rPr>
        <sz val="9"/>
        <color rgb="FF595959"/>
        <rFont val="Arial"/>
        <family val="0"/>
        <charset val="1"/>
      </rPr>
      <t xml:space="preserve">750</t>
    </r>
  </si>
  <si>
    <t xml:space="preserve">K225</t>
  </si>
  <si>
    <r>
      <rPr>
        <sz val="10"/>
        <color rgb="FF000000"/>
        <rFont val="Noto Sans CJK SC"/>
        <family val="2"/>
      </rPr>
      <t xml:space="preserve">起始年（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</si>
  <si>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K226</t>
  </si>
  <si>
    <r>
      <rPr>
        <sz val="10"/>
        <color rgb="FF000000"/>
        <rFont val="Noto Sans CJK SC"/>
        <family val="2"/>
      </rPr>
      <t xml:space="preserve">付款期間（年；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 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5–10</t>
    </r>
    <r>
      <rPr>
        <sz val="10"/>
        <color rgb="FF000000"/>
        <rFont val="Noto Sans CJK SC"/>
        <family val="2"/>
      </rPr>
      <t xml:space="preserve">）</t>
    </r>
  </si>
  <si>
    <t xml:space="preserve">K227</t>
  </si>
  <si>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爬坡權重＝（</t>
    </r>
    <r>
      <rPr>
        <sz val="10"/>
        <color rgb="FF000000"/>
        <rFont val="Arial"/>
        <family val="0"/>
        <charset val="1"/>
      </rPr>
      <t xml:space="preserve">2n − r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2</t>
    </r>
  </si>
  <si>
    <r>
      <rPr>
        <sz val="9"/>
        <color rgb="FF595959"/>
        <rFont val="Noto Sans CJK SC"/>
        <family val="2"/>
      </rPr>
      <t xml:space="preserve">需期間 ≥ 爬坡年數（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</si>
  <si>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t xml:space="preserve">K228</t>
  </si>
  <si>
    <t xml:space="preserve">新協議付款（情境）</t>
  </si>
  <si>
    <r>
      <rPr>
        <sz val="9"/>
        <color rgb="FF595959"/>
        <rFont val="Noto Sans CJK SC"/>
        <family val="2"/>
      </rPr>
      <t xml:space="preserve">金額 </t>
    </r>
    <r>
      <rPr>
        <sz val="9"/>
        <color rgb="FF595959"/>
        <rFont val="Arial"/>
        <family val="0"/>
        <charset val="1"/>
      </rPr>
      <t xml:space="preserve">÷ Σ </t>
    </r>
    <r>
      <rPr>
        <sz val="9"/>
        <color rgb="FF595959"/>
        <rFont val="Noto Sans CJK SC"/>
        <family val="2"/>
      </rPr>
      <t xml:space="preserve">權重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當年權重（同金額型合約）</t>
    </r>
  </si>
  <si>
    <t xml:space="preserve">K229</t>
  </si>
  <si>
    <r>
      <rPr>
        <sz val="10"/>
        <color rgb="FF000000"/>
        <rFont val="Noto Sans CJK SC"/>
        <family val="2"/>
      </rPr>
      <t xml:space="preserve">新增供給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（情境）＝付款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</si>
  <si>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世代（</t>
    </r>
    <r>
      <rPr>
        <sz val="9"/>
        <color rgb="FF595959"/>
        <rFont val="Arial"/>
        <family val="0"/>
        <charset val="1"/>
      </rPr>
      <t xml:space="preserve">Decision</t>
    </r>
    <r>
      <rPr>
        <sz val="9"/>
        <color rgb="FF595959"/>
        <rFont val="Noto Sans CJK SC"/>
        <family val="2"/>
      </rPr>
      <t xml:space="preserve">）</t>
    </r>
  </si>
  <si>
    <t xml:space="preserve">K230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</si>
  <si>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</si>
  <si>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K231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</si>
  <si>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（含新協議）</t>
    </r>
  </si>
  <si>
    <t xml:space="preserve">K232</t>
  </si>
  <si>
    <t xml:space="preserve">容量上限係數（含新協議）</t>
  </si>
  <si>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不變；基準容量未受限時，新增供給不增加營收</t>
    </r>
  </si>
  <si>
    <t xml:space="preserve">K233</t>
  </si>
  <si>
    <t xml:space="preserve">營收淨額（含新協議；截頂後）</t>
  </si>
  <si>
    <t xml:space="preserve">K234</t>
  </si>
  <si>
    <t xml:space="preserve">算力成本（含新協議）</t>
  </si>
  <si>
    <t xml:space="preserve">K235</t>
  </si>
  <si>
    <t xml:space="preserve">差額（含股權報酬；含新協議）</t>
  </si>
  <si>
    <t xml:space="preserve">K236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</si>
  <si>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差額（含股權報酬；含新協議）</t>
    </r>
  </si>
  <si>
    <t xml:space="preserve">K237</t>
  </si>
  <si>
    <r>
      <rPr>
        <sz val="10"/>
        <color rgb="FF000000"/>
        <rFont val="Noto Sans CJK SC"/>
        <family val="2"/>
      </rPr>
      <t xml:space="preserve">差：含新協議 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</si>
  <si>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K238</t>
  </si>
  <si>
    <r>
      <rPr>
        <sz val="10"/>
        <color rgb="FF000000"/>
        <rFont val="Noto Sans CJK SC"/>
        <family val="2"/>
      </rPr>
      <t xml:space="preserve">覆蓋率（含新協議）＝營收淨額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全成本（含股權報酬）</t>
    </r>
  </si>
  <si>
    <t xml:space="preserve">K239</t>
  </si>
  <si>
    <t xml:space="preserve">自由現金流（含新協議）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</si>
  <si>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情境 </t>
    </r>
    <r>
      <rPr>
        <sz val="9"/>
        <color rgb="FF595959"/>
        <rFont val="Arial"/>
        <family val="0"/>
        <charset val="1"/>
      </rPr>
      <t xml:space="preserve">S8</t>
    </r>
  </si>
  <si>
    <r>
      <rPr>
        <b val="true"/>
        <sz val="10"/>
        <rFont val="Noto Sans CJK SC"/>
        <family val="2"/>
      </rPr>
      <t xml:space="preserve">二十一、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Tokenomics v18.0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L1_RevGW_PQ_VR200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Noto Sans CJK SC"/>
        <family val="2"/>
      </rPr>
      <t xml:space="preserve">；只對照，不回饋任何計算；列放在本節，使既有列編號不變）</t>
    </r>
  </si>
  <si>
    <t xml:space="preserve">K240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</si>
  <si>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 — </t>
    </r>
    <r>
      <rPr>
        <sz val="10"/>
        <color rgb="FF000000"/>
        <rFont val="Noto Sans CJK SC"/>
        <family val="2"/>
      </rPr>
      <t xml:space="preserve">第一年（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年化；基準）</t>
    </r>
  </si>
  <si>
    <r>
      <rPr>
        <sz val="9"/>
        <color rgb="FF595959"/>
        <rFont val="Arial"/>
        <family val="0"/>
        <charset val="1"/>
      </rPr>
      <t xml:space="preserve">TK L1_RevGW_PQ_VR200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取實際利用率、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取需求面有效單價；契約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帳未閉合，本列是模型產能推算的 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Noto Sans CJK SC"/>
        <family val="2"/>
      </rPr>
      <t xml:space="preserve">需求面 </t>
    </r>
    <r>
      <rPr>
        <sz val="9"/>
        <color rgb="FF595959"/>
        <rFont val="Arial"/>
        <family val="0"/>
        <charset val="1"/>
      </rPr>
      <t xml:space="preserve">P</t>
    </r>
  </si>
  <si>
    <t xml:space="preserve">K241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</si>
  <si>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：同上，低（實際利用率 </t>
    </r>
    <r>
      <rPr>
        <sz val="10"/>
        <color rgb="FF000000"/>
        <rFont val="Arial"/>
        <family val="0"/>
        <charset val="1"/>
      </rPr>
      <t xml:space="preserve">0.30</t>
    </r>
    <r>
      <rPr>
        <sz val="10"/>
        <color rgb="FF000000"/>
        <rFont val="Noto Sans CJK SC"/>
        <family val="2"/>
      </rPr>
      <t xml:space="preserve">）</t>
    </r>
  </si>
  <si>
    <t xml:space="preserve">K242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</si>
  <si>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：同上，高（實際利用率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</si>
  <si>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t xml:space="preserve">K243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</si>
  <si>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：同上，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改用 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L1_M_FY2026</t>
    </r>
    <r>
      <rPr>
        <sz val="10"/>
        <color rgb="FF000000"/>
        <rFont val="Noto Sans CJK SC"/>
        <family val="2"/>
      </rPr>
      <t xml:space="preserve">）</t>
    </r>
  </si>
  <si>
    <t xml:space="preserve">K244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</si>
  <si>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：壽命期年均（第一年 </t>
    </r>
    <r>
      <rPr>
        <sz val="10"/>
        <color rgb="FF000000"/>
        <rFont val="Arial"/>
        <family val="0"/>
        <charset val="1"/>
      </rPr>
      <t xml:space="preserve">× L1_LTotalDisc</t>
    </r>
    <r>
      <rPr>
        <sz val="10"/>
        <color rgb="FF000000"/>
        <rFont val="Noto Sans CJK SC"/>
        <family val="2"/>
      </rPr>
      <t xml:space="preserve">；假設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不變）</t>
    </r>
  </si>
  <si>
    <t xml:space="preserve">K245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</si>
  <si>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帳未閉合倍數（模型付費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</si>
  <si>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：若誤差全在模型產能側，實際營收約為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本倍數</t>
    </r>
  </si>
  <si>
    <t xml:space="preserve">K246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</si>
  <si>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（有效推論，截頂後；與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Noto Sans CJK SC"/>
        <family val="2"/>
      </rPr>
      <t xml:space="preserve">最接近的口徑）</t>
    </r>
  </si>
  <si>
    <r>
      <rPr>
        <sz val="9"/>
        <color rgb="FF595959"/>
        <rFont val="Noto Sans CJK SC"/>
        <family val="2"/>
      </rPr>
      <t xml:space="preserve">分母只含付費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GW × VR </t>
    </r>
    <r>
      <rPr>
        <sz val="9"/>
        <color rgb="FF595959"/>
        <rFont val="Noto Sans CJK SC"/>
        <family val="2"/>
      </rPr>
      <t xml:space="preserve">等值係數；免費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占的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不計入</t>
    </r>
  </si>
  <si>
    <t xml:space="preserve">K247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</si>
  <si>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（付費＋免費）</t>
    </r>
  </si>
  <si>
    <t xml:space="preserve">K248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</si>
  <si>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</si>
  <si>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含閒置與研發 </t>
    </r>
    <r>
      <rPr>
        <sz val="9"/>
        <color rgb="FF595959"/>
        <rFont val="Arial"/>
        <family val="0"/>
        <charset val="1"/>
      </rPr>
      <t xml:space="preserve">GW</t>
    </r>
  </si>
  <si>
    <t xml:space="preserve">K249</t>
  </si>
  <si>
    <r>
      <rPr>
        <sz val="10"/>
        <color rgb="FF000000"/>
        <rFont val="Noto Sans CJK SC"/>
        <family val="2"/>
      </rPr>
      <t xml:space="preserve">本模型：營收淨額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（命題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的分子口徑；</t>
    </r>
    <r>
      <rPr>
        <sz val="10"/>
        <color rgb="FF000000"/>
        <rFont val="Arial"/>
        <family val="0"/>
        <charset val="1"/>
      </rPr>
      <t xml:space="preserve">COST_PropRev_VR</t>
    </r>
    <r>
      <rPr>
        <sz val="10"/>
        <color rgb="FF000000"/>
        <rFont val="Noto Sans CJK SC"/>
        <family val="2"/>
      </rPr>
      <t xml:space="preserve">）</t>
    </r>
  </si>
  <si>
    <t xml:space="preserve">K250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</si>
  <si>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</si>
  <si>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＝兩邊一致</t>
    </r>
  </si>
  <si>
    <t xml:space="preserve">K251</t>
  </si>
  <si>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本模型每供給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</si>
  <si>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口徑差大：供給含閒置、研發；僅供參考</t>
  </si>
  <si>
    <t xml:space="preserve">K252</t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</si>
  <si>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帳未閉合倍數）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</si>
  <si>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 </t>
    </r>
    <r>
      <rPr>
        <sz val="9"/>
        <color rgb="FF595959"/>
        <rFont val="Noto Sans CJK SC"/>
        <family val="2"/>
      </rPr>
      <t xml:space="preserve">的讀法：實際營收約為 </t>
    </r>
    <r>
      <rPr>
        <sz val="9"/>
        <color rgb="FF595959"/>
        <rFont val="Arial"/>
        <family val="0"/>
        <charset val="1"/>
      </rPr>
      <t xml:space="preserve">P × Q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帳未閉合倍數；此列為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表示模型與該讀法一致</t>
    </r>
  </si>
  <si>
    <t xml:space="preserve">K253</t>
  </si>
  <si>
    <r>
      <rPr>
        <sz val="10"/>
        <color rgb="FF000000"/>
        <rFont val="Noto Sans CJK SC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／年）</t>
    </r>
  </si>
  <si>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的模型端對應（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</si>
  <si>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K254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</si>
  <si>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</si>
  <si>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Noto Sans CJK SC"/>
        <family val="2"/>
      </rPr>
      <t xml:space="preserve">（低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</t>
    </r>
  </si>
  <si>
    <t xml:space="preserve">K255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</si>
  <si>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</si>
  <si>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的帳未閉合倍數 </t>
    </r>
    <r>
      <rPr>
        <sz val="9"/>
        <color rgb="FF595959"/>
        <rFont val="Arial"/>
        <family val="0"/>
        <charset val="1"/>
      </rPr>
      <t xml:space="preserve">L1_TokLedger_2026Q2</t>
    </r>
  </si>
  <si>
    <r>
      <rPr>
        <b val="true"/>
        <sz val="10"/>
        <rFont val="Noto Sans CJK SC"/>
        <family val="2"/>
      </rPr>
      <t xml:space="preserve">二十二、</t>
    </r>
    <r>
      <rPr>
        <b val="true"/>
        <sz val="10"/>
        <rFont val="Arial"/>
        <family val="0"/>
        <charset val="1"/>
      </rPr>
      <t xml:space="preserve">v0.1.3 U2 </t>
    </r>
    <r>
      <rPr>
        <b val="true"/>
        <sz val="10"/>
        <rFont val="Noto Sans CJK SC"/>
        <family val="2"/>
      </rPr>
      <t xml:space="preserve">新法（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端更正工作單公式）：</t>
    </r>
    <r>
      <rPr>
        <b val="true"/>
        <sz val="10"/>
        <rFont val="Arial"/>
        <family val="0"/>
        <charset val="1"/>
      </rPr>
      <t xml:space="preserve">Nscale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Lambda </t>
    </r>
    <r>
      <rPr>
        <b val="true"/>
        <sz val="10"/>
        <rFont val="Noto Sans CJK SC"/>
        <family val="2"/>
      </rPr>
      <t xml:space="preserve">年付款＝『最高 </t>
    </r>
    <r>
      <rPr>
        <b val="true"/>
        <sz val="10"/>
        <rFont val="Arial"/>
        <family val="0"/>
        <charset val="1"/>
      </rPr>
      <t xml:space="preserve">86</t>
    </r>
    <r>
      <rPr>
        <b val="true"/>
        <sz val="10"/>
        <rFont val="Noto Sans CJK SC"/>
        <family val="2"/>
      </rPr>
      <t xml:space="preserve">』按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比例分攤 </t>
    </r>
    <r>
      <rPr>
        <b val="true"/>
        <sz val="10"/>
        <rFont val="Arial"/>
        <family val="0"/>
        <charset val="1"/>
      </rPr>
      <t xml:space="preserve">÷ Σ </t>
    </r>
    <r>
      <rPr>
        <b val="true"/>
        <sz val="10"/>
        <rFont val="Noto Sans CJK SC"/>
        <family val="2"/>
      </rPr>
      <t xml:space="preserve">爬坡權重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當年權重（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v0.1.2 </t>
    </r>
    <r>
      <rPr>
        <b val="true"/>
        <sz val="10"/>
        <rFont val="Noto Sans CJK SC"/>
        <family val="2"/>
      </rPr>
      <t xml:space="preserve">的付款路徑不變）；</t>
    </r>
    <r>
      <rPr>
        <b val="true"/>
        <sz val="10"/>
        <rFont val="Arial"/>
        <family val="0"/>
        <charset val="1"/>
      </rPr>
      <t xml:space="preserve">u2_method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時供給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改取揭露容量；列放在本節，使既有列編號不變</t>
    </r>
  </si>
  <si>
    <t xml:space="preserve">K256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</si>
  <si>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Nscale Monarch</t>
    </r>
    <r>
      <rPr>
        <sz val="10"/>
        <color rgb="FF000000"/>
        <rFont val="Noto Sans CJK SC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Noto Sans CJK SC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當年權重</t>
    </r>
  </si>
  <si>
    <r>
      <rPr>
        <sz val="9"/>
        <color rgb="FF595959"/>
        <rFont val="Noto Sans CJK SC"/>
        <family val="2"/>
      </rPr>
      <t xml:space="preserve">即合約實付（</t>
    </r>
    <r>
      <rPr>
        <sz val="9"/>
        <color rgb="FF595959"/>
        <rFont val="Arial"/>
        <family val="0"/>
        <charset val="1"/>
      </rPr>
      <t xml:space="preserve">u2_switch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）；新舊法付款相同</t>
    </r>
  </si>
  <si>
    <t xml:space="preserve">K257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</si>
  <si>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年付款：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＝錨定總額 </t>
    </r>
    <r>
      <rPr>
        <sz val="10"/>
        <color rgb="FF000000"/>
        <rFont val="Arial"/>
        <family val="0"/>
        <charset val="1"/>
      </rPr>
      <t xml:space="preserve">÷ Σ </t>
    </r>
    <r>
      <rPr>
        <sz val="10"/>
        <color rgb="FF000000"/>
        <rFont val="Noto Sans CJK SC"/>
        <family val="2"/>
      </rPr>
      <t xml:space="preserve">爬坡權重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當年權重</t>
    </r>
  </si>
  <si>
    <t xml:space="preserve">K258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</si>
  <si>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Noto Sans CJK SC"/>
        <family val="2"/>
      </rPr>
      <t xml:space="preserve">持有比）</t>
    </r>
  </si>
  <si>
    <r>
      <rPr>
        <sz val="9"/>
        <color rgb="FF595959"/>
        <rFont val="Noto Sans CJK SC"/>
        <family val="2"/>
      </rPr>
      <t xml:space="preserve">對照用：高於通用合約價 → 金額 </t>
    </r>
    <r>
      <rPr>
        <sz val="9"/>
        <color rgb="FF595959"/>
        <rFont val="Arial"/>
        <family val="0"/>
        <charset val="1"/>
      </rPr>
      <t xml:space="preserve">86 </t>
    </r>
    <r>
      <rPr>
        <sz val="9"/>
        <color rgb="FF595959"/>
        <rFont val="Noto Sans CJK SC"/>
        <family val="2"/>
      </rPr>
      <t xml:space="preserve">含揭露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以外的容量或服務</t>
    </r>
  </si>
  <si>
    <t xml:space="preserve">K259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</si>
  <si>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Lambda</t>
    </r>
    <r>
      <rPr>
        <sz val="10"/>
        <color rgb="FF000000"/>
        <rFont val="Noto Sans CJK SC"/>
        <family val="2"/>
      </rPr>
      <t xml:space="preserve">）＝峰值年付款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揭露容量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（對照；通用合約價 </t>
    </r>
    <r>
      <rPr>
        <sz val="10"/>
        <color rgb="FF000000"/>
        <rFont val="Arial"/>
        <family val="0"/>
        <charset val="1"/>
      </rPr>
      <t xml:space="preserve">12 × </t>
    </r>
    <r>
      <rPr>
        <sz val="10"/>
        <color rgb="FF000000"/>
        <rFont val="Noto Sans CJK SC"/>
        <family val="2"/>
      </rPr>
      <t xml:space="preserve">持有比）</t>
    </r>
  </si>
  <si>
    <t xml:space="preserve">K260</t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</si>
  <si>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年付款（兩約合計）＝兩約峰值年付款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兩約揭露容量</t>
    </r>
  </si>
  <si>
    <t xml:space="preserve">K261</t>
  </si>
  <si>
    <r>
      <rPr>
        <sz val="10"/>
        <color rgb="FF000000"/>
        <rFont val="Arial"/>
        <family val="0"/>
        <charset val="1"/>
      </rPr>
      <t xml:space="preserve">U2 </t>
    </r>
    <r>
      <rPr>
        <sz val="10"/>
        <color rgb="FF000000"/>
        <rFont val="Noto Sans CJK SC"/>
        <family val="2"/>
      </rPr>
      <t xml:space="preserve">檢查：合約實付 − 年付款列（</t>
    </r>
    <r>
      <rPr>
        <sz val="10"/>
        <color rgb="FF000000"/>
        <rFont val="Arial"/>
        <family val="0"/>
        <charset val="1"/>
      </rPr>
      <t xml:space="preserve">u2_switch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時；各年絕對差合計；應為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</si>
  <si>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二十三、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Noto Sans CJK SC"/>
        <family val="2"/>
      </rPr>
      <t xml:space="preserve">持續擴張情境（外部驗收 </t>
    </r>
    <r>
      <rPr>
        <b val="true"/>
        <sz val="10"/>
        <rFont val="Arial"/>
        <family val="0"/>
        <charset val="1"/>
      </rPr>
      <t xml:space="preserve">Priority 3</t>
    </r>
    <r>
      <rPr>
        <b val="true"/>
        <sz val="10"/>
        <rFont val="Noto Sans CJK SC"/>
        <family val="2"/>
      </rPr>
      <t xml:space="preserve">；只作情境，基準仍只計已簽合約）：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Noto Sans CJK SC"/>
        <family val="2"/>
      </rPr>
      <t xml:space="preserve">每年追加算力，變現比例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檔（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無需求／</t>
    </r>
    <r>
      <rPr>
        <b val="true"/>
        <sz val="10"/>
        <rFont val="Arial"/>
        <family val="0"/>
        <charset val="1"/>
      </rPr>
      <t xml:space="preserve">0.5 </t>
    </r>
    <r>
      <rPr>
        <b val="true"/>
        <sz val="10"/>
        <rFont val="Noto Sans CJK SC"/>
        <family val="2"/>
      </rPr>
      <t xml:space="preserve">部分／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完全）</t>
    </r>
  </si>
  <si>
    <t xml:space="preserve">K262</t>
  </si>
  <si>
    <r>
      <rPr>
        <sz val="10"/>
        <color rgb="FF000000"/>
        <rFont val="Noto Sans CJK SC"/>
        <family val="2"/>
      </rPr>
      <t xml:space="preserve">追加合約滿載年付款＝比例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當年基準合約付款（追加年內；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</si>
  <si>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0–60%</t>
    </r>
    <r>
      <rPr>
        <sz val="9"/>
        <color rgb="FF595959"/>
        <rFont val="Noto Sans CJK SC"/>
        <family val="2"/>
      </rPr>
      <t xml:space="preserve">）；基準模型不追加</t>
    </r>
  </si>
  <si>
    <t xml:space="preserve">K263</t>
  </si>
  <si>
    <t xml:space="preserve">追加合約實付（各批依爬坡年數爬坡後加總）</t>
  </si>
  <si>
    <r>
      <rPr>
        <sz val="9"/>
        <color rgb="FF595959"/>
        <rFont val="Noto Sans CJK SC"/>
        <family val="2"/>
      </rPr>
      <t xml:space="preserve">各批付款 </t>
    </r>
    <r>
      <rPr>
        <sz val="9"/>
        <color rgb="FF595959"/>
        <rFont val="Arial"/>
        <family val="0"/>
        <charset val="1"/>
      </rPr>
      <t xml:space="preserve">× MIN(</t>
    </r>
    <r>
      <rPr>
        <sz val="9"/>
        <color rgb="FF595959"/>
        <rFont val="Noto Sans CJK SC"/>
        <family val="2"/>
      </rPr>
      <t xml:space="preserve">爬坡年數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已過年數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爬坡年數（同金額型合約）；合約價沿用既有</t>
    </r>
  </si>
  <si>
    <t xml:space="preserve">K264</t>
  </si>
  <si>
    <r>
      <rPr>
        <sz val="10"/>
        <color rgb="FF000000"/>
        <rFont val="Noto Sans CJK SC"/>
        <family val="2"/>
      </rPr>
      <t xml:space="preserve">追加供給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＝追加實付 </t>
    </r>
    <r>
      <rPr>
        <sz val="10"/>
        <color rgb="FF000000"/>
        <rFont val="Arial"/>
        <family val="0"/>
        <charset val="1"/>
      </rPr>
      <t xml:space="preserve">÷ VR200 </t>
    </r>
    <r>
      <rPr>
        <sz val="10"/>
        <color rgb="FF000000"/>
        <rFont val="Noto Sans CJK SC"/>
        <family val="2"/>
      </rPr>
      <t xml:space="preserve">族合約價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</si>
  <si>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合約價；新簽 →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世代（同 </t>
    </r>
    <r>
      <rPr>
        <sz val="9"/>
        <color rgb="FF595959"/>
        <rFont val="Arial"/>
        <family val="0"/>
        <charset val="1"/>
      </rPr>
      <t xml:space="preserve">U6</t>
    </r>
    <r>
      <rPr>
        <sz val="9"/>
        <color rgb="FF595959"/>
        <rFont val="Noto Sans CJK SC"/>
        <family val="2"/>
      </rPr>
      <t xml:space="preserve">）</t>
    </r>
  </si>
  <si>
    <t xml:space="preserve">K265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</si>
  <si>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（含追加）</t>
    </r>
  </si>
  <si>
    <t xml:space="preserve">K266</t>
  </si>
  <si>
    <t xml:space="preserve">算力成本（含追加）</t>
  </si>
  <si>
    <t xml:space="preserve">K267</t>
  </si>
  <si>
    <r>
      <rPr>
        <sz val="10"/>
        <color rgb="FF000000"/>
        <rFont val="Noto Sans CJK SC"/>
        <family val="2"/>
      </rPr>
      <t xml:space="preserve">追加營收（無需求）＝變現比例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</si>
  <si>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r>
      <rPr>
        <sz val="9"/>
        <color rgb="FF595959"/>
        <rFont val="Noto Sans CJK SC"/>
        <family val="2"/>
      </rPr>
      <t xml:space="preserve">完全變現＝新增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營收等於當年基準每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營收淨額（工作單）</t>
    </r>
  </si>
  <si>
    <t xml:space="preserve">K268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</si>
  <si>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差額（含股權報酬；追加情境：無需求）</t>
    </r>
  </si>
  <si>
    <r>
      <rPr>
        <sz val="9"/>
        <color rgb="FF595959"/>
        <rFont val="Noto Sans CJK SC"/>
        <family val="2"/>
      </rPr>
      <t xml:space="preserve">＝（基準差額 ＋ 追加營收 − 追加實付）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（基準＋追加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</si>
  <si>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K269</t>
  </si>
  <si>
    <r>
      <rPr>
        <sz val="10"/>
        <color rgb="FF000000"/>
        <rFont val="Noto Sans CJK SC"/>
        <family val="2"/>
      </rPr>
      <t xml:space="preserve">差：追加情境（無需求）−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</si>
  <si>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K270</t>
  </si>
  <si>
    <t xml:space="preserve">覆蓋率（追加情境：無需求）</t>
  </si>
  <si>
    <r>
      <rPr>
        <sz val="9"/>
        <color rgb="FF595959"/>
        <rFont val="Noto Sans CJK SC"/>
        <family val="2"/>
      </rPr>
      <t xml:space="preserve">營收淨額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全成本（含股權報酬）</t>
    </r>
  </si>
  <si>
    <t xml:space="preserve">K271</t>
  </si>
  <si>
    <t xml:space="preserve">自由現金流（追加情境：無需求）</t>
  </si>
  <si>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第十節</t>
    </r>
  </si>
  <si>
    <t xml:space="preserve">K272</t>
  </si>
  <si>
    <r>
      <rPr>
        <sz val="10"/>
        <color rgb="FF000000"/>
        <rFont val="Noto Sans CJK SC"/>
        <family val="2"/>
      </rPr>
      <t xml:space="preserve">追加營收（部分變現）＝變現比例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</si>
  <si>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K273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</si>
  <si>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差額（含股權報酬；追加情境：部分變現）</t>
    </r>
  </si>
  <si>
    <t xml:space="preserve">K274</t>
  </si>
  <si>
    <r>
      <rPr>
        <sz val="10"/>
        <color rgb="FF000000"/>
        <rFont val="Noto Sans CJK SC"/>
        <family val="2"/>
      </rPr>
      <t xml:space="preserve">差：追加情境（部分變現）−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</si>
  <si>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K275</t>
  </si>
  <si>
    <t xml:space="preserve">覆蓋率（追加情境：部分變現）</t>
  </si>
  <si>
    <t xml:space="preserve">K276</t>
  </si>
  <si>
    <t xml:space="preserve">自由現金流（追加情境：部分變現）</t>
  </si>
  <si>
    <t xml:space="preserve">K277</t>
  </si>
  <si>
    <r>
      <rPr>
        <sz val="10"/>
        <color rgb="FF000000"/>
        <rFont val="Noto Sans CJK SC"/>
        <family val="2"/>
      </rPr>
      <t xml:space="preserve">追加營收（完全變現）＝變現比例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當年基準每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營收淨額</t>
    </r>
  </si>
  <si>
    <t xml:space="preserve">K278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</si>
  <si>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差額（含股權報酬；追加情境：完全變現）</t>
    </r>
  </si>
  <si>
    <t xml:space="preserve">K279</t>
  </si>
  <si>
    <r>
      <rPr>
        <sz val="10"/>
        <color rgb="FF000000"/>
        <rFont val="Noto Sans CJK SC"/>
        <family val="2"/>
      </rPr>
      <t xml:space="preserve">差：追加情境（完全變現）− 基準（每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差額）</t>
    </r>
  </si>
  <si>
    <t xml:space="preserve">K280</t>
  </si>
  <si>
    <t xml:space="preserve">覆蓋率（追加情境：完全變現）</t>
  </si>
  <si>
    <t xml:space="preserve">K281</t>
  </si>
  <si>
    <t xml:space="preserve">自由現金流（追加情境：完全變現）</t>
  </si>
  <si>
    <r>
      <rPr>
        <b val="true"/>
        <sz val="13"/>
        <rFont val="Arial"/>
        <family val="0"/>
        <charset val="1"/>
      </rPr>
      <t xml:space="preserve">Bridge — </t>
    </r>
    <r>
      <rPr>
        <b val="true"/>
        <sz val="13"/>
        <rFont val="Noto Sans CJK SC"/>
        <family val="2"/>
      </rPr>
      <t xml:space="preserve">需求 → </t>
    </r>
    <r>
      <rPr>
        <b val="true"/>
        <sz val="13"/>
        <rFont val="Arial"/>
        <family val="0"/>
        <charset val="1"/>
      </rPr>
      <t xml:space="preserve">token → GW → </t>
    </r>
    <r>
      <rPr>
        <b val="true"/>
        <sz val="13"/>
        <rFont val="Noto Sans CJK SC"/>
        <family val="2"/>
      </rPr>
      <t xml:space="preserve">成本：逐層對照（唯讀；不被任何計算頁引用）</t>
    </r>
  </si>
  <si>
    <r>
      <rPr>
        <sz val="9"/>
        <color rgb="FF595959"/>
        <rFont val="Noto Sans CJK SC"/>
        <family val="2"/>
      </rPr>
      <t xml:space="preserve">由上而下：用戶與席位 → 任務 → 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IF_TaskTok*</t>
    </r>
    <r>
      <rPr>
        <sz val="9"/>
        <color rgb="FF595959"/>
        <rFont val="Noto Sans CJK SC"/>
        <family val="2"/>
      </rPr>
      <t xml:space="preserve">）→ 付費／免費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 </t>
    </r>
    <r>
      <rPr>
        <sz val="9"/>
        <color rgb="FF595959"/>
        <rFont val="Arial"/>
        <family val="0"/>
        <charset val="1"/>
      </rPr>
      <t xml:space="preserve">token → </t>
    </r>
    <r>
      <rPr>
        <sz val="9"/>
        <color rgb="FF595959"/>
        <rFont val="Noto Sans CJK SC"/>
        <family val="2"/>
      </rPr>
      <t xml:space="preserve">有效單價 → 營收；</t>
    </r>
    <r>
      <rPr>
        <sz val="9"/>
        <color rgb="FF595959"/>
        <rFont val="Arial"/>
        <family val="0"/>
        <charset val="1"/>
      </rPr>
      <t xml:space="preserve">token →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理論產能（</t>
    </r>
    <r>
      <rPr>
        <sz val="9"/>
        <color rgb="FF595959"/>
        <rFont val="Arial"/>
        <family val="0"/>
        <charset val="1"/>
      </rPr>
      <t xml:space="preserve">TK IF_TokGW_* × </t>
    </r>
    <r>
      <rPr>
        <sz val="9"/>
        <color rgb="FF595959"/>
        <rFont val="Noto Sans CJK SC"/>
        <family val="2"/>
      </rPr>
      <t xml:space="preserve">世代與加速器組合）→ </t>
    </r>
    <r>
      <rPr>
        <sz val="9"/>
        <color rgb="FF595959"/>
        <rFont val="Arial"/>
        <family val="0"/>
        <charset val="1"/>
      </rPr>
      <t xml:space="preserve">÷ η → </t>
    </r>
    <r>
      <rPr>
        <sz val="9"/>
        <color rgb="FF595959"/>
        <rFont val="Noto Sans CJK SC"/>
        <family val="2"/>
      </rPr>
      <t xml:space="preserve">有效推論 </t>
    </r>
    <r>
      <rPr>
        <sz val="9"/>
        <color rgb="FF595959"/>
        <rFont val="Arial"/>
        <family val="0"/>
        <charset val="1"/>
      </rPr>
      <t xml:space="preserve">GW → </t>
    </r>
    <r>
      <rPr>
        <sz val="9"/>
        <color rgb="FF595959"/>
        <rFont val="Noto Sans CJK SC"/>
        <family val="2"/>
      </rPr>
      <t xml:space="preserve">＋研發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殘差 → 供給 </t>
    </r>
    <r>
      <rPr>
        <sz val="9"/>
        <color rgb="FF595959"/>
        <rFont val="Arial"/>
        <family val="0"/>
        <charset val="1"/>
      </rPr>
      <t xml:space="preserve">GW → </t>
    </r>
    <r>
      <rPr>
        <sz val="9"/>
        <color rgb="FF595959"/>
        <rFont val="Noto Sans CJK SC"/>
        <family val="2"/>
      </rPr>
      <t xml:space="preserve">合約付款與自建 → 成本 → 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差額。</t>
    </r>
    <r>
      <rPr>
        <sz val="9"/>
        <color rgb="FF595959"/>
        <rFont val="Arial"/>
        <family val="0"/>
        <charset val="1"/>
      </rPr>
      <t xml:space="preserve">D–I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2025–2030 </t>
    </r>
    <r>
      <rPr>
        <sz val="9"/>
        <color rgb="FF595959"/>
        <rFont val="Noto Sans CJK SC"/>
        <family val="2"/>
      </rPr>
      <t xml:space="preserve">的同一公式（綠字＝引用他頁）；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欄標記；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欄＝公式來源（頁＋編號）；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欄＝低／高（依據見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欄）。</t>
    </r>
  </si>
  <si>
    <r>
      <rPr>
        <sz val="9"/>
        <color rgb="FF595959"/>
        <rFont val="Noto Sans CJK SC"/>
        <family val="2"/>
      </rPr>
      <t xml:space="preserve">本頁只列示與核對，不產生任何數值給其他頁。最後一節與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對照：差額若大，部分來自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帳未閉合（</t>
    </r>
    <r>
      <rPr>
        <sz val="9"/>
        <color rgb="FF595959"/>
        <rFont val="Arial"/>
        <family val="0"/>
        <charset val="1"/>
      </rPr>
      <t xml:space="preserve">L1_TokLedger_2026Q2</t>
    </r>
    <r>
      <rPr>
        <sz val="9"/>
        <color rgb="FF595959"/>
        <rFont val="Noto Sans CJK SC"/>
        <family val="2"/>
      </rPr>
      <t xml:space="preserve">），屬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範圍，不作為本模型的通過條件。</t>
    </r>
  </si>
  <si>
    <t xml:space="preserve">低／高依據</t>
  </si>
  <si>
    <r>
      <rPr>
        <b val="true"/>
        <sz val="10"/>
        <rFont val="Noto Sans CJK SC"/>
        <family val="2"/>
      </rPr>
      <t xml:space="preserve">一、用戶與席位（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平均）</t>
    </r>
  </si>
  <si>
    <t xml:space="preserve">B01</t>
  </si>
  <si>
    <r>
      <rPr>
        <sz val="10"/>
        <color rgb="FF000000"/>
        <rFont val="Noto Sans CJK SC"/>
        <family val="2"/>
      </rPr>
      <t xml:space="preserve">個人付費人數（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</si>
  <si>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由訂閱營收校準；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成長）</t>
    </r>
  </si>
  <si>
    <t xml:space="preserve">Demand D04</t>
  </si>
  <si>
    <t xml:space="preserve">B02</t>
  </si>
  <si>
    <r>
      <rPr>
        <sz val="10"/>
        <color rgb="FF000000"/>
        <rFont val="Noto Sans CJK SC"/>
        <family val="2"/>
      </rPr>
      <t xml:space="preserve">企業席位數（</t>
    </r>
    <r>
      <rPr>
        <sz val="10"/>
        <color rgb="FF000000"/>
        <rFont val="Arial"/>
        <family val="0"/>
        <charset val="1"/>
      </rPr>
      <t xml:space="preserve">Team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</si>
  <si>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（同上）</t>
    </r>
  </si>
  <si>
    <t xml:space="preserve">Demand D12</t>
  </si>
  <si>
    <t xml:space="preserve">B03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</si>
  <si>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月活 − 個人付費；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成長）</t>
    </r>
  </si>
  <si>
    <t xml:space="preserve">Demand D08</t>
  </si>
  <si>
    <t xml:space="preserve">二、任務（每日任務數 → 年任務數）</t>
  </si>
  <si>
    <t xml:space="preserve">B04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</si>
  <si>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</si>
  <si>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類比；區間 </t>
    </r>
    <r>
      <rPr>
        <sz val="9"/>
        <color rgb="FF595959"/>
        <rFont val="Arial"/>
        <family val="0"/>
        <charset val="1"/>
      </rPr>
      <t xml:space="preserve">×0.5–×2</t>
    </r>
    <r>
      <rPr>
        <sz val="9"/>
        <color rgb="FF595959"/>
        <rFont val="Noto Sans CJK SC"/>
        <family val="2"/>
      </rPr>
      <t xml:space="preserve">）</t>
    </r>
  </si>
  <si>
    <t xml:space="preserve">Demand D16</t>
  </si>
  <si>
    <t xml:space="preserve">B05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</si>
  <si>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</si>
  <si>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Demand D17</t>
  </si>
  <si>
    <t xml:space="preserve">B06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</si>
  <si>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Max 5x</t>
    </r>
  </si>
  <si>
    <t xml:space="preserve">Demand D18</t>
  </si>
  <si>
    <t xml:space="preserve">B07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</si>
  <si>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Max 20x</t>
    </r>
  </si>
  <si>
    <t xml:space="preserve">Demand D19</t>
  </si>
  <si>
    <t xml:space="preserve">B08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</si>
  <si>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SC"/>
        <family val="2"/>
      </rPr>
      <t xml:space="preserve">標準</t>
    </r>
  </si>
  <si>
    <t xml:space="preserve">Demand D20</t>
  </si>
  <si>
    <t xml:space="preserve">B09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</si>
  <si>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Team Premium</t>
    </r>
  </si>
  <si>
    <t xml:space="preserve">Demand D21</t>
  </si>
  <si>
    <t xml:space="preserve">B10</t>
  </si>
  <si>
    <r>
      <rPr>
        <sz val="10"/>
        <color rgb="FF000000"/>
        <rFont val="Noto Sans CJK SC"/>
        <family val="2"/>
      </rPr>
      <t xml:space="preserve">每人（席）每日任務數：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</si>
  <si>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Demand D22</t>
  </si>
  <si>
    <t xml:space="preserve">B11</t>
  </si>
  <si>
    <r>
      <rPr>
        <sz val="10"/>
        <color rgb="FF000000"/>
        <rFont val="Noto Sans CJK SC"/>
        <family val="2"/>
      </rPr>
      <t xml:space="preserve">訂閱、席位與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年任務數</t>
    </r>
  </si>
  <si>
    <r>
      <rPr>
        <sz val="10"/>
        <color rgb="FF000000"/>
        <rFont val="Noto Sans CJK SC"/>
        <family val="2"/>
      </rPr>
      <t xml:space="preserve">十億任務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</si>
  <si>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Demand D08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Demand D22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天數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單位換算</t>
    </r>
  </si>
  <si>
    <t xml:space="preserve">B12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</si>
  <si>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年任務數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</si>
  <si>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營收倒推；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起任務成長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價格反應）</t>
    </r>
  </si>
  <si>
    <t xml:space="preserve">Demand D44</t>
  </si>
  <si>
    <t xml:space="preserve">B13</t>
  </si>
  <si>
    <t xml:space="preserve">年任務數合計</t>
  </si>
  <si>
    <r>
      <rPr>
        <sz val="9"/>
        <color rgb="FF595959"/>
        <rFont val="Arial"/>
        <family val="0"/>
        <charset val="1"/>
      </rPr>
      <t xml:space="preserve">Bridge B11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B12</t>
    </r>
  </si>
  <si>
    <r>
      <rPr>
        <b val="true"/>
        <sz val="10"/>
        <rFont val="Noto Sans CJK SC"/>
        <family val="2"/>
      </rPr>
      <t xml:space="preserve">三、每任務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K token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取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任務模板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年增）</t>
    </r>
  </si>
  <si>
    <t xml:space="preserve">B14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</si>
  <si>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</si>
  <si>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任務模板；非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</si>
  <si>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INP_102</t>
    </r>
  </si>
  <si>
    <t xml:space="preserve">B15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</si>
  <si>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</si>
  <si>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INP_103</t>
    </r>
  </si>
  <si>
    <t xml:space="preserve">B16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</si>
  <si>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任務模板每次嘗試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：其他代理（新鮮＋快取＋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IF_TaskTok*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</si>
  <si>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對應鍵：</t>
    </r>
    <r>
      <rPr>
        <sz val="9"/>
        <color rgb="FF595959"/>
        <rFont val="Arial"/>
        <family val="0"/>
        <charset val="1"/>
      </rPr>
      <t xml:space="preserve">INP_104</t>
    </r>
  </si>
  <si>
    <t xml:space="preserve">B17</t>
  </si>
  <si>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任務模板）：對話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</si>
  <si>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</si>
  <si>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低／高欄</t>
    </r>
  </si>
  <si>
    <t xml:space="preserve">B18</t>
  </si>
  <si>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任務模板）：程式代理</t>
    </r>
  </si>
  <si>
    <t xml:space="preserve">B19</t>
  </si>
  <si>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÷ TK </t>
    </r>
    <r>
      <rPr>
        <sz val="10"/>
        <color rgb="FF000000"/>
        <rFont val="Noto Sans CJK SC"/>
        <family val="2"/>
      </rPr>
      <t xml:space="preserve">任務模板）：其他代理</t>
    </r>
  </si>
  <si>
    <t xml:space="preserve">B20</t>
  </si>
  <si>
    <r>
      <rPr>
        <sz val="10"/>
        <color rgb="FF000000"/>
        <rFont val="Noto Sans CJK SC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：對話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</si>
  <si>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模板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年增）</t>
    </r>
  </si>
  <si>
    <t xml:space="preserve">Demand D23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</si>
  <si>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模板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倍數低／高</t>
    </r>
  </si>
  <si>
    <t xml:space="preserve">B21</t>
  </si>
  <si>
    <r>
      <rPr>
        <sz val="10"/>
        <color rgb="FF000000"/>
        <rFont val="Noto Sans CJK SC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：程式代理</t>
    </r>
  </si>
  <si>
    <t xml:space="preserve">Demand D24</t>
  </si>
  <si>
    <t xml:space="preserve">B22</t>
  </si>
  <si>
    <r>
      <rPr>
        <sz val="10"/>
        <color rgb="FF000000"/>
        <rFont val="Noto Sans CJK SC"/>
        <family val="2"/>
      </rPr>
      <t xml:space="preserve">模型每任務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：其他代理</t>
    </r>
  </si>
  <si>
    <t xml:space="preserve">Demand D25</t>
  </si>
  <si>
    <t xml:space="preserve">B23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</si>
  <si>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起點；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年增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價格反應）</t>
    </r>
  </si>
  <si>
    <t xml:space="preserve">Demand D43</t>
  </si>
  <si>
    <r>
      <rPr>
        <b val="true"/>
        <sz val="10"/>
        <rFont val="Noto Sans CJK SC"/>
        <family val="2"/>
      </rPr>
      <t xml:space="preserve">四、付費／免費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</t>
    </r>
    <r>
      <rPr>
        <b val="true"/>
        <sz val="10"/>
        <rFont val="Noto Sans CJK SC"/>
        <family val="2"/>
      </rPr>
      <t xml:space="preserve">）</t>
    </r>
  </si>
  <si>
    <t xml:space="preserve">B24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</si>
  <si>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</si>
  <si>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Demand D53</t>
  </si>
  <si>
    <t xml:space="preserve">B25</t>
  </si>
  <si>
    <t xml:space="preserve">Demand D54</t>
  </si>
  <si>
    <t xml:space="preserve">B26</t>
  </si>
  <si>
    <t xml:space="preserve">Demand D55</t>
  </si>
  <si>
    <t xml:space="preserve">B27</t>
  </si>
  <si>
    <t xml:space="preserve">Demand D50</t>
  </si>
  <si>
    <t xml:space="preserve">B28</t>
  </si>
  <si>
    <t xml:space="preserve">Demand D51</t>
  </si>
  <si>
    <t xml:space="preserve">B29</t>
  </si>
  <si>
    <t xml:space="preserve">Demand D52</t>
  </si>
  <si>
    <t xml:space="preserve">B30</t>
  </si>
  <si>
    <t xml:space="preserve">Demand D57</t>
  </si>
  <si>
    <t xml:space="preserve">B31</t>
  </si>
  <si>
    <t xml:space="preserve">Demand D56</t>
  </si>
  <si>
    <t xml:space="preserve">B32</t>
  </si>
  <si>
    <t xml:space="preserve">Demand D58</t>
  </si>
  <si>
    <t xml:space="preserve">B33</t>
  </si>
  <si>
    <t xml:space="preserve">Demand D60</t>
  </si>
  <si>
    <r>
      <rPr>
        <b val="true"/>
        <sz val="10"/>
        <rFont val="Noto Sans CJK SC"/>
        <family val="2"/>
      </rPr>
      <t xml:space="preserve">五、有效單價與營收（單價 </t>
    </r>
    <r>
      <rPr>
        <b val="true"/>
        <sz val="10"/>
        <rFont val="Arial"/>
        <family val="0"/>
        <charset val="1"/>
      </rPr>
      <t xml:space="preserve">$/M token</t>
    </r>
    <r>
      <rPr>
        <b val="true"/>
        <sz val="10"/>
        <rFont val="Noto Sans CJK SC"/>
        <family val="2"/>
      </rPr>
      <t xml:space="preserve">；營收 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）</t>
    </r>
  </si>
  <si>
    <t xml:space="preserve">B34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</si>
  <si>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有效單價：頂層（</t>
    </r>
    <r>
      <rPr>
        <sz val="10"/>
        <color rgb="FF000000"/>
        <rFont val="Arial"/>
        <family val="0"/>
        <charset val="1"/>
      </rPr>
      <t xml:space="preserve">Opus→Astra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</si>
  <si>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（牌價 </t>
    </r>
    <r>
      <rPr>
        <sz val="9"/>
        <color rgb="FF595959"/>
        <rFont val="Arial"/>
        <family val="0"/>
        <charset val="1"/>
      </rPr>
      <t xml:space="preserve">Verified × </t>
    </r>
    <r>
      <rPr>
        <sz val="9"/>
        <color rgb="FF595959"/>
        <rFont val="Noto Sans CJK SC"/>
        <family val="2"/>
      </rPr>
      <t xml:space="preserve">輸出占比、快取、批次、折扣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</si>
  <si>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Revenue R17</t>
  </si>
  <si>
    <t xml:space="preserve">B35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</si>
  <si>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有效單價：中層（</t>
    </r>
    <r>
      <rPr>
        <sz val="10"/>
        <color rgb="FF000000"/>
        <rFont val="Arial"/>
        <family val="0"/>
        <charset val="1"/>
      </rPr>
      <t xml:space="preserve">Sonnet→Sol</t>
    </r>
    <r>
      <rPr>
        <sz val="10"/>
        <color rgb="FF000000"/>
        <rFont val="Noto Sans CJK SC"/>
        <family val="2"/>
      </rPr>
      <t xml:space="preserve">）</t>
    </r>
  </si>
  <si>
    <t xml:space="preserve">Revenue R18</t>
  </si>
  <si>
    <t xml:space="preserve">B36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</si>
  <si>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有效單價：低層（</t>
    </r>
    <r>
      <rPr>
        <sz val="10"/>
        <color rgb="FF000000"/>
        <rFont val="Arial"/>
        <family val="0"/>
        <charset val="1"/>
      </rPr>
      <t xml:space="preserve">Haiku→Luna</t>
    </r>
    <r>
      <rPr>
        <sz val="10"/>
        <color rgb="FF000000"/>
        <rFont val="Noto Sans CJK SC"/>
        <family val="2"/>
      </rPr>
      <t xml:space="preserve">）</t>
    </r>
  </si>
  <si>
    <t xml:space="preserve">Revenue R19</t>
  </si>
  <si>
    <t xml:space="preserve">B37</t>
  </si>
  <si>
    <t xml:space="preserve">Revenue R23</t>
  </si>
  <si>
    <t xml:space="preserve">B38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</si>
  <si>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營收（重算＝</t>
    </r>
    <r>
      <rPr>
        <sz val="10"/>
        <color rgb="FF000000"/>
        <rFont val="Arial"/>
        <family val="0"/>
        <charset val="1"/>
      </rPr>
      <t xml:space="preserve">API token × </t>
    </r>
    <r>
      <rPr>
        <sz val="10"/>
        <color rgb="FF000000"/>
        <rFont val="Noto Sans CJK SC"/>
        <family val="2"/>
      </rPr>
      <t xml:space="preserve">組合有效單價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單位換算）</t>
    </r>
  </si>
  <si>
    <r>
      <rPr>
        <sz val="9"/>
        <color rgb="FF595959"/>
        <rFont val="Arial"/>
        <family val="0"/>
        <charset val="1"/>
      </rPr>
      <t xml:space="preserve">Demand D45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｜與 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營收核對（下方差額列）</t>
    </r>
  </si>
  <si>
    <t xml:space="preserve">B39</t>
  </si>
  <si>
    <t xml:space="preserve">訂閱營收（個人＋席位）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</si>
  <si>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訂閱營收；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</si>
  <si>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Revenue R43</t>
  </si>
  <si>
    <t xml:space="preserve">B40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</si>
  <si>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</si>
  <si>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用量計價營收）</t>
    </r>
  </si>
  <si>
    <t xml:space="preserve">Revenue R45</t>
  </si>
  <si>
    <t xml:space="preserve">B41</t>
  </si>
  <si>
    <r>
      <rPr>
        <sz val="10"/>
        <color rgb="FF000000"/>
        <rFont val="Noto Sans CJK SC"/>
        <family val="2"/>
      </rPr>
      <t xml:space="preserve">其他營收（含廣告＝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</si>
  <si>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Revenue R50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 R51</t>
    </r>
  </si>
  <si>
    <t xml:space="preserve">B42</t>
  </si>
  <si>
    <t xml:space="preserve">營收總額（報導口徑）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</si>
  <si>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校準至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認列營收）</t>
    </r>
  </si>
  <si>
    <t xml:space="preserve">Revenue R52</t>
  </si>
  <si>
    <t xml:space="preserve">B43</t>
  </si>
  <si>
    <r>
      <rPr>
        <sz val="10"/>
        <color rgb="FF000000"/>
        <rFont val="Noto Sans CJK SC"/>
        <family val="2"/>
      </rPr>
      <t xml:space="preserve">核對：（訂閱＋重算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＋其他）− 營收總額（應為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</si>
  <si>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核對</t>
  </si>
  <si>
    <r>
      <rPr>
        <sz val="9"/>
        <color rgb="FF595959"/>
        <rFont val="Arial"/>
        <family val="0"/>
        <charset val="1"/>
      </rPr>
      <t xml:space="preserve">Bridge B39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B38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B42</t>
    </r>
  </si>
  <si>
    <t xml:space="preserve">B44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</si>
  <si>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（抽成率，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Noto Sans CJK SC"/>
        <family val="2"/>
      </rPr>
      <t xml:space="preserve">／報導）</t>
    </r>
  </si>
  <si>
    <t xml:space="preserve">Revenue R56</t>
  </si>
  <si>
    <t xml:space="preserve">B45</t>
  </si>
  <si>
    <t xml:space="preserve">營收淨額（截頂後；命題與現金流用）</t>
  </si>
  <si>
    <t xml:space="preserve">Revenue R67</t>
  </si>
  <si>
    <r>
      <rPr>
        <b val="true"/>
        <sz val="10"/>
        <rFont val="Noto Sans CJK SC"/>
        <family val="2"/>
      </rPr>
      <t xml:space="preserve">六、</t>
    </r>
    <r>
      <rPr>
        <b val="true"/>
        <sz val="10"/>
        <rFont val="Arial"/>
        <family val="0"/>
        <charset val="1"/>
      </rPr>
      <t xml:space="preserve">token →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理論產能 → 推論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供給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；產能 </t>
    </r>
    <r>
      <rPr>
        <b val="true"/>
        <sz val="10"/>
        <rFont val="Arial"/>
        <family val="0"/>
        <charset val="1"/>
      </rPr>
      <t xml:space="preserve">M token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／年）</t>
    </r>
  </si>
  <si>
    <t xml:space="preserve">B46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</si>
  <si>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</si>
  <si>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自下而上；非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實測）</t>
    </r>
  </si>
  <si>
    <t xml:space="preserve">Compute C15</t>
  </si>
  <si>
    <t xml:space="preserve">B47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</si>
  <si>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）</t>
    </r>
  </si>
  <si>
    <t xml:space="preserve">Compute C16</t>
  </si>
  <si>
    <t xml:space="preserve">B48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</si>
  <si>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利用率）：低層（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）</t>
    </r>
  </si>
  <si>
    <t xml:space="preserve">Compute C17</t>
  </si>
  <si>
    <t xml:space="preserve">B49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</si>
  <si>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基準利用率（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</si>
  <si>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；實際利用率 </t>
    </r>
    <r>
      <rPr>
        <sz val="9"/>
        <color rgb="FF595959"/>
        <rFont val="Arial"/>
        <family val="0"/>
        <charset val="1"/>
      </rPr>
      <t xml:space="preserve">TK_IF_UtilActual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EtaDiag</t>
    </r>
    <r>
      <rPr>
        <sz val="9"/>
        <color rgb="FF595959"/>
        <rFont val="Noto Sans CJK SC"/>
        <family val="2"/>
      </rPr>
      <t xml:space="preserve">）</t>
    </r>
  </si>
  <si>
    <t xml:space="preserve">B50</t>
  </si>
  <si>
    <t xml:space="preserve">付費層級占比：頂層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</si>
  <si>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層級組合）</t>
    </r>
  </si>
  <si>
    <t xml:space="preserve">Compute C100</t>
  </si>
  <si>
    <t xml:space="preserve">B51</t>
  </si>
  <si>
    <t xml:space="preserve">付費層級占比：中層</t>
  </si>
  <si>
    <t xml:space="preserve">Compute C101</t>
  </si>
  <si>
    <t xml:space="preserve">B52</t>
  </si>
  <si>
    <t xml:space="preserve">付費層級占比：低層</t>
  </si>
  <si>
    <t xml:space="preserve">Compute C102</t>
  </si>
  <si>
    <t xml:space="preserve">B53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</si>
  <si>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Hopper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</si>
  <si>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（由逐合約供給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加權；產出比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</si>
  <si>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t xml:space="preserve">Compute C90</t>
  </si>
  <si>
    <t xml:space="preserve">B54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</si>
  <si>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GB200</t>
    </r>
  </si>
  <si>
    <t xml:space="preserve">Compute C91</t>
  </si>
  <si>
    <t xml:space="preserve">B55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</si>
  <si>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GB300</t>
    </r>
  </si>
  <si>
    <t xml:space="preserve">Compute C92</t>
  </si>
  <si>
    <t xml:space="preserve">B56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</si>
  <si>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NVIDIA VR200</t>
    </r>
  </si>
  <si>
    <t xml:space="preserve">Compute C93</t>
  </si>
  <si>
    <t xml:space="preserve">B57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</si>
  <si>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Google TPU v6e</t>
    </r>
  </si>
  <si>
    <t xml:space="preserve">Compute C94</t>
  </si>
  <si>
    <t xml:space="preserve">B58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</si>
  <si>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Google TPU v7</t>
    </r>
    <r>
      <rPr>
        <sz val="10"/>
        <color rgb="FF000000"/>
        <rFont val="Noto Sans CJK SC"/>
        <family val="2"/>
      </rPr>
      <t xml:space="preserve">／次世代</t>
    </r>
  </si>
  <si>
    <t xml:space="preserve">Compute C95</t>
  </si>
  <si>
    <t xml:space="preserve">B59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</si>
  <si>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AWS Trainium2</t>
    </r>
  </si>
  <si>
    <t xml:space="preserve">Compute C96</t>
  </si>
  <si>
    <t xml:space="preserve">B60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</si>
  <si>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AWS Trainium3</t>
    </r>
  </si>
  <si>
    <t xml:space="preserve">Compute C97</t>
  </si>
  <si>
    <t xml:space="preserve">B61</t>
  </si>
  <si>
    <r>
      <rPr>
        <sz val="10"/>
        <color rgb="FF000000"/>
        <rFont val="Noto Sans CJK SC"/>
        <family val="2"/>
      </rPr>
      <t xml:space="preserve">加速器組合占比：</t>
    </r>
    <r>
      <rPr>
        <sz val="10"/>
        <color rgb="FF000000"/>
        <rFont val="Arial"/>
        <family val="0"/>
        <charset val="1"/>
      </rPr>
      <t xml:space="preserve">AMD MI455X</t>
    </r>
  </si>
  <si>
    <t xml:space="preserve">Compute C98</t>
  </si>
  <si>
    <t xml:space="preserve">B62</t>
  </si>
  <si>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</si>
  <si>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IF_TokGW × </t>
    </r>
    <r>
      <rPr>
        <sz val="9"/>
        <color rgb="FF595959"/>
        <rFont val="Noto Sans CJK SC"/>
        <family val="2"/>
      </rPr>
      <t xml:space="preserve">組合；區間見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＝產出比低／高）</t>
    </r>
  </si>
  <si>
    <t xml:space="preserve">Compute C115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</si>
  <si>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TPU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產出比低／高</t>
    </r>
  </si>
  <si>
    <t xml:space="preserve">B63</t>
  </si>
  <si>
    <r>
      <rPr>
        <sz val="10"/>
        <color rgb="FF000000"/>
        <rFont val="Noto Sans CJK SC"/>
        <family val="2"/>
      </rPr>
      <t xml:space="preserve">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</si>
  <si>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（同上）</t>
    </r>
  </si>
  <si>
    <t xml:space="preserve">Compute C125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</si>
  <si>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；同上</t>
    </r>
  </si>
  <si>
    <t xml:space="preserve">B64</t>
  </si>
  <si>
    <t xml:space="preserve">Compute C126</t>
  </si>
  <si>
    <t xml:space="preserve">B65</t>
  </si>
  <si>
    <t xml:space="preserve">Compute C127</t>
  </si>
  <si>
    <t xml:space="preserve">B66</t>
  </si>
  <si>
    <t xml:space="preserve">Compute C128</t>
  </si>
  <si>
    <t xml:space="preserve">B67</t>
  </si>
  <si>
    <t xml:space="preserve">Compute C129</t>
  </si>
  <si>
    <t xml:space="preserve">B68</t>
  </si>
  <si>
    <t xml:space="preserve">Compute C130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</si>
  <si>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；產出比低／高</t>
    </r>
  </si>
  <si>
    <t xml:space="preserve">B69</t>
  </si>
  <si>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（有效產出係數；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由推論支出校準，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起沿用）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</si>
  <si>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起沿用）</t>
    </r>
  </si>
  <si>
    <r>
      <rPr>
        <sz val="9"/>
        <color rgb="FF595959"/>
        <rFont val="Arial"/>
        <family val="0"/>
        <charset val="1"/>
      </rPr>
      <t xml:space="preserve">Compute C134</t>
    </r>
    <r>
      <rPr>
        <sz val="9"/>
        <color rgb="FF595959"/>
        <rFont val="Noto Sans CJK SC"/>
        <family val="2"/>
      </rPr>
      <t xml:space="preserve">｜拆解見 </t>
    </r>
    <r>
      <rPr>
        <sz val="9"/>
        <color rgb="FF595959"/>
        <rFont val="Arial"/>
        <family val="0"/>
        <charset val="1"/>
      </rPr>
      <t xml:space="preserve">EtaDiag </t>
    </r>
    <r>
      <rPr>
        <sz val="9"/>
        <color rgb="FF595959"/>
        <rFont val="Noto Sans CJK SC"/>
        <family val="2"/>
      </rPr>
      <t xml:space="preserve">頁</t>
    </r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</si>
  <si>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沿用（基準）／線性回升至目標（</t>
    </r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第十四節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</t>
    </r>
  </si>
  <si>
    <t xml:space="preserve">B70</t>
  </si>
  <si>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</t>
    </r>
    <r>
      <rPr>
        <sz val="10"/>
        <color rgb="FF000000"/>
        <rFont val="Noto Sans CJK SC"/>
        <family val="2"/>
      </rPr>
      <t xml:space="preserve">（未截頂）</t>
    </r>
  </si>
  <si>
    <t xml:space="preserve">Compute C137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</si>
  <si>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；三組敏感度（合約價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沿用／回升、產出比低／高）的最小／最大</t>
    </r>
  </si>
  <si>
    <t xml:space="preserve">B71</t>
  </si>
  <si>
    <r>
      <rPr>
        <sz val="10"/>
        <color rgb="FF000000"/>
        <rFont val="Noto Sans CJK SC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 −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</si>
  <si>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B70</t>
    </r>
  </si>
  <si>
    <t xml:space="preserve">B72</t>
  </si>
  <si>
    <t xml:space="preserve">Compute C141</t>
  </si>
  <si>
    <t xml:space="preserve">B73</t>
  </si>
  <si>
    <r>
      <rPr>
        <sz val="10"/>
        <color rgb="FF000000"/>
        <rFont val="Noto Sans CJK SC"/>
        <family val="2"/>
      </rPr>
      <t xml:space="preserve">閒置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</si>
  <si>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（閒置保留比例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低／高）</t>
    </r>
  </si>
  <si>
    <t xml:space="preserve">Compute C139</t>
  </si>
  <si>
    <t xml:space="preserve">B74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</si>
  <si>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（殘差）＝供給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閒置）− 推論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</si>
  <si>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（殘差；非獨立估計）</t>
    </r>
  </si>
  <si>
    <t xml:space="preserve">Compute C142</t>
  </si>
  <si>
    <t xml:space="preserve">B75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</si>
  <si>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：合約（既有雲端＋新合約）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</si>
  <si>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（公開合約揭露）＋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（金額型＝付款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合約價）</t>
    </r>
  </si>
  <si>
    <t xml:space="preserve">Compute C78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</si>
  <si>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20 $B/GW/</t>
    </r>
    <r>
      <rPr>
        <sz val="9"/>
        <color rgb="FF595959"/>
        <rFont val="Noto Sans CJK SC"/>
        <family val="2"/>
      </rPr>
      <t xml:space="preserve">年（含自建）</t>
    </r>
  </si>
  <si>
    <t xml:space="preserve">B76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</si>
  <si>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Noto Sans CJK SC"/>
        <family val="2"/>
      </rPr>
      <t xml:space="preserve">自有資本支出 </t>
    </r>
    <r>
      <rPr>
        <sz val="9"/>
        <color rgb="FF595959"/>
        <rFont val="Arial"/>
        <family val="0"/>
        <charset val="1"/>
      </rPr>
      <t xml:space="preserve">÷ TK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資本支出）</t>
    </r>
  </si>
  <si>
    <t xml:space="preserve">Compute C77</t>
  </si>
  <si>
    <t xml:space="preserve">B77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</si>
  <si>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</si>
  <si>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t xml:space="preserve">Compute C79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</si>
  <si>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</t>
    </r>
  </si>
  <si>
    <t xml:space="preserve">B78</t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</si>
  <si>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等值係數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</si>
  <si>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（各族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產能比；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產出比）</t>
    </r>
  </si>
  <si>
    <t xml:space="preserve">Compute C149</t>
  </si>
  <si>
    <t xml:space="preserve">B79</t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</si>
  <si>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（命題分母）</t>
    </r>
  </si>
  <si>
    <t xml:space="preserve">Compute C150</t>
  </si>
  <si>
    <r>
      <rPr>
        <b val="true"/>
        <sz val="10"/>
        <rFont val="Noto Sans CJK SC"/>
        <family val="2"/>
      </rPr>
      <t xml:space="preserve">七、合約付款與自建 → 成本（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）</t>
    </r>
  </si>
  <si>
    <t xml:space="preserve">B80</t>
  </si>
  <si>
    <r>
      <rPr>
        <sz val="10"/>
        <color rgb="FF000000"/>
        <rFont val="Noto Sans CJK SC"/>
        <family val="2"/>
      </rPr>
      <t xml:space="preserve">合約實付：既有雲端（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前簽）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</si>
  <si>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（金額、期間）＋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（爬坡）</t>
    </r>
  </si>
  <si>
    <t xml:space="preserve">Cost K31</t>
  </si>
  <si>
    <t xml:space="preserve">B81</t>
  </si>
  <si>
    <t xml:space="preserve">Cost K32</t>
  </si>
  <si>
    <t xml:space="preserve">B82</t>
  </si>
  <si>
    <t xml:space="preserve">Cost K33</t>
  </si>
  <si>
    <t xml:space="preserve">B83</t>
  </si>
  <si>
    <t xml:space="preserve">Cost K34</t>
  </si>
  <si>
    <t xml:space="preserve">B84</t>
  </si>
  <si>
    <t xml:space="preserve">Cost K35</t>
  </si>
  <si>
    <t xml:space="preserve">B85</t>
  </si>
  <si>
    <t xml:space="preserve">Cost K36</t>
  </si>
  <si>
    <t xml:space="preserve">B86</t>
  </si>
  <si>
    <t xml:space="preserve">Cost K37</t>
  </si>
  <si>
    <t xml:space="preserve">B87</t>
  </si>
  <si>
    <t xml:space="preserve">Cost K38</t>
  </si>
  <si>
    <t xml:space="preserve">B88</t>
  </si>
  <si>
    <t xml:space="preserve">Cost K39</t>
  </si>
  <si>
    <t xml:space="preserve">B89</t>
  </si>
  <si>
    <t xml:space="preserve">Cost K40</t>
  </si>
  <si>
    <t xml:space="preserve">B90</t>
  </si>
  <si>
    <t xml:space="preserve">Cost K41</t>
  </si>
  <si>
    <t xml:space="preserve">B91</t>
  </si>
  <si>
    <t xml:space="preserve">Cost K42</t>
  </si>
  <si>
    <t xml:space="preserve">B92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</si>
  <si>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$50B </t>
    </r>
    <r>
      <rPr>
        <sz val="9"/>
        <color rgb="FF595959"/>
        <rFont val="Noto Sans CJK SC"/>
        <family val="2"/>
      </rPr>
      <t xml:space="preserve">公告）</t>
    </r>
  </si>
  <si>
    <t xml:space="preserve">Cost K44</t>
  </si>
  <si>
    <t xml:space="preserve">B93</t>
  </si>
  <si>
    <t xml:space="preserve">算力成本（現金口徑）</t>
  </si>
  <si>
    <t xml:space="preserve">Cost K45</t>
  </si>
  <si>
    <t xml:space="preserve">B94</t>
  </si>
  <si>
    <t xml:space="preserve">非算力成本（不含股權報酬）</t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</si>
  <si>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說明書；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每人成本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</si>
  <si>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Cost K78</t>
  </si>
  <si>
    <t xml:space="preserve">B95</t>
  </si>
  <si>
    <t xml:space="preserve">股權報酬（非現金，單列）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</si>
  <si>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（每人 </t>
    </r>
    <r>
      <rPr>
        <sz val="9"/>
        <color rgb="FF595959"/>
        <rFont val="Arial"/>
        <family val="0"/>
        <charset val="1"/>
      </rPr>
      <t xml:space="preserve">$0.8M</t>
    </r>
    <r>
      <rPr>
        <sz val="9"/>
        <color rgb="FF595959"/>
        <rFont val="Noto Sans CJK SC"/>
        <family val="2"/>
      </rPr>
      <t xml:space="preserve">）</t>
    </r>
  </si>
  <si>
    <t xml:space="preserve">Cost K77</t>
  </si>
  <si>
    <t xml:space="preserve">B96</t>
  </si>
  <si>
    <t xml:space="preserve">全成本（含股權報酬）</t>
  </si>
  <si>
    <t xml:space="preserve">Cost K93</t>
  </si>
  <si>
    <t xml:space="preserve">B97</t>
  </si>
  <si>
    <t xml:space="preserve">Cost K96</t>
  </si>
  <si>
    <t xml:space="preserve">B98</t>
  </si>
  <si>
    <t xml:space="preserve">Cost K100</t>
  </si>
  <si>
    <t xml:space="preserve">B99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</si>
  <si>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：差額（含股權報酬；命題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</si>
  <si>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Cost K102</t>
  </si>
  <si>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；合約價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與產出比低／高的最小／最大</t>
    </r>
  </si>
  <si>
    <t xml:space="preserve">B100</t>
  </si>
  <si>
    <r>
      <rPr>
        <sz val="10"/>
        <color rgb="FF000000"/>
        <rFont val="Noto Sans CJK SC"/>
        <family val="2"/>
      </rPr>
      <t xml:space="preserve">覆蓋率（營收淨額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全成本）</t>
    </r>
  </si>
  <si>
    <t xml:space="preserve">Cost K104</t>
  </si>
  <si>
    <r>
      <rPr>
        <b val="true"/>
        <sz val="10"/>
        <rFont val="Noto Sans CJK SC"/>
        <family val="2"/>
      </rPr>
      <t xml:space="preserve">八、與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對照（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P × Q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帳診斷；只對照，不回饋）。</t>
    </r>
    <r>
      <rPr>
        <b val="true"/>
        <sz val="10"/>
        <rFont val="Arial"/>
        <family val="0"/>
        <charset val="1"/>
      </rPr>
      <t xml:space="preserve">TK token </t>
    </r>
    <r>
      <rPr>
        <b val="true"/>
        <sz val="10"/>
        <rFont val="Noto Sans CJK SC"/>
        <family val="2"/>
      </rPr>
      <t xml:space="preserve">帳未閉合（</t>
    </r>
    <r>
      <rPr>
        <b val="true"/>
        <sz val="10"/>
        <rFont val="Arial"/>
        <family val="0"/>
        <charset val="1"/>
      </rPr>
      <t xml:space="preserve">6.26 </t>
    </r>
    <r>
      <rPr>
        <b val="true"/>
        <sz val="10"/>
        <rFont val="Noto Sans CJK SC"/>
        <family val="2"/>
      </rPr>
      <t xml:space="preserve">倍）是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端待辦，差額大不代表本模型錯</t>
    </r>
  </si>
  <si>
    <t xml:space="preserve">B101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</si>
  <si>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L1_RevGW_PQ_VR200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年化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</si>
  <si>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口徑推導的機隊產出）</t>
    </r>
  </si>
  <si>
    <t xml:space="preserve">Cost K240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</si>
  <si>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實際利用率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</si>
  <si>
    <t xml:space="preserve">B102</t>
  </si>
  <si>
    <r>
      <rPr>
        <sz val="10"/>
        <color rgb="FF000000"/>
        <rFont val="Noto Sans CJK SC"/>
        <family val="2"/>
      </rPr>
      <t xml:space="preserve">本模型：營收總額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TK P × Q </t>
    </r>
    <r>
      <rPr>
        <sz val="10"/>
        <color rgb="FF000000"/>
        <rFont val="Noto Sans CJK SC"/>
        <family val="2"/>
      </rPr>
      <t xml:space="preserve">最接近的口徑）</t>
    </r>
  </si>
  <si>
    <t xml:space="preserve">Cost K246</t>
  </si>
  <si>
    <t xml:space="preserve">B103</t>
  </si>
  <si>
    <r>
      <rPr>
        <sz val="10"/>
        <color rgb="FF000000"/>
        <rFont val="Noto Sans CJK SC"/>
        <family val="2"/>
      </rPr>
      <t xml:space="preserve">差額（本模型 − </t>
    </r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</si>
  <si>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B102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B101</t>
    </r>
  </si>
  <si>
    <t xml:space="preserve">B104</t>
  </si>
  <si>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TK ÷ </t>
    </r>
    <r>
      <rPr>
        <sz val="10"/>
        <color rgb="FF000000"/>
        <rFont val="Noto Sans CJK SC"/>
        <family val="2"/>
      </rPr>
      <t xml:space="preserve">本模型）</t>
    </r>
  </si>
  <si>
    <r>
      <rPr>
        <sz val="9"/>
        <color rgb="FF595959"/>
        <rFont val="Arial"/>
        <family val="0"/>
        <charset val="1"/>
      </rPr>
      <t xml:space="preserve">Bridge B101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B102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＝一致</t>
    </r>
  </si>
  <si>
    <t xml:space="preserve">B105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</si>
  <si>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實際產出 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L1_TokGW_PaidPQ_VR200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</si>
  <si>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；實際利用率 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）</t>
    </r>
  </si>
  <si>
    <t xml:space="preserve">Cost K254</t>
  </si>
  <si>
    <t xml:space="preserve">B106</t>
  </si>
  <si>
    <r>
      <rPr>
        <sz val="10"/>
        <color rgb="FF000000"/>
        <rFont val="Noto Sans CJK SC"/>
        <family val="2"/>
      </rPr>
      <t xml:space="preserve">本模型：每付費推論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</si>
  <si>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校準後的有效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</si>
  <si>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Cost K253</t>
  </si>
  <si>
    <t xml:space="preserve">B107</t>
  </si>
  <si>
    <r>
      <rPr>
        <sz val="9"/>
        <color rgb="FF595959"/>
        <rFont val="Arial"/>
        <family val="0"/>
        <charset val="1"/>
      </rPr>
      <t xml:space="preserve">Bridge B106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B105</t>
    </r>
  </si>
  <si>
    <t xml:space="preserve">B108</t>
  </si>
  <si>
    <r>
      <rPr>
        <sz val="10"/>
        <color rgb="FF000000"/>
        <rFont val="Noto Sans CJK SC"/>
        <family val="2"/>
      </rPr>
      <t xml:space="preserve">比值（本模型 </t>
    </r>
    <r>
      <rPr>
        <sz val="10"/>
        <color rgb="FF000000"/>
        <rFont val="Arial"/>
        <family val="0"/>
        <charset val="1"/>
      </rPr>
      <t xml:space="preserve">÷ TK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</si>
  <si>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Bridge B106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Bridge B105</t>
    </r>
    <r>
      <rPr>
        <sz val="9"/>
        <color rgb="FF595959"/>
        <rFont val="Noto Sans CJK SC"/>
        <family val="2"/>
      </rPr>
      <t xml:space="preserve">｜對照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帳未閉合倍數</t>
    </r>
  </si>
  <si>
    <t xml:space="preserve">B109</t>
  </si>
  <si>
    <r>
      <rPr>
        <sz val="10"/>
        <color rgb="FF000000"/>
        <rFont val="Arial"/>
        <family val="0"/>
        <charset val="1"/>
      </rPr>
      <t xml:space="preserve">TK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模型付費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需求面付費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</si>
  <si>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診斷；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</si>
  <si>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Arial"/>
        <family val="0"/>
        <charset val="1"/>
      </rPr>
      <t xml:space="preserve">Cost K245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待辦；本模型不據以調整</t>
    </r>
  </si>
  <si>
    <r>
      <rPr>
        <b val="true"/>
        <sz val="13"/>
        <rFont val="Arial"/>
        <family val="0"/>
        <charset val="1"/>
      </rPr>
      <t xml:space="preserve">EtaDiag — η </t>
    </r>
    <r>
      <rPr>
        <b val="true"/>
        <sz val="13"/>
        <rFont val="Noto Sans CJK SC"/>
        <family val="2"/>
      </rPr>
      <t xml:space="preserve">診斷拆解（唯讀；只作診斷，不改 </t>
    </r>
    <r>
      <rPr>
        <b val="true"/>
        <sz val="13"/>
        <rFont val="Arial"/>
        <family val="0"/>
        <charset val="1"/>
      </rPr>
      <t xml:space="preserve">η </t>
    </r>
    <r>
      <rPr>
        <b val="true"/>
        <sz val="13"/>
        <rFont val="Noto Sans CJK SC"/>
        <family val="2"/>
      </rPr>
      <t xml:space="preserve">的值）</t>
    </r>
  </si>
  <si>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）＝計價口徑因子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工作負載組合因子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未解釋殘差。因子皆以 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的方向定義（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÷ </t>
    </r>
    <r>
      <rPr>
        <sz val="9"/>
        <color rgb="FF595959"/>
        <rFont val="Noto Sans CJK SC"/>
        <family val="2"/>
      </rPr>
      <t xml:space="preserve">支出換算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Noto Sans CJK SC"/>
        <family val="2"/>
      </rPr>
      <t xml:space="preserve">為相反方向（支出路線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路線），並列時取倒數對照。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</si>
  <si>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＝高（區間端點；依據見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欄）。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）：本模型的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數字與其只作並排，不得因拆分改變 </t>
    </r>
    <r>
      <rPr>
        <sz val="9"/>
        <color rgb="FF595959"/>
        <rFont val="Arial"/>
        <family val="0"/>
        <charset val="1"/>
      </rPr>
      <t xml:space="preserve">η</t>
    </r>
    <r>
      <rPr>
        <sz val="9"/>
        <color rgb="FF595959"/>
        <rFont val="Noto Sans CJK SC"/>
        <family val="2"/>
      </rPr>
      <t xml:space="preserve">。「輸入輸出組合」（</t>
    </r>
    <r>
      <rPr>
        <sz val="9"/>
        <color rgb="FF595959"/>
        <rFont val="Arial"/>
        <family val="0"/>
        <charset val="1"/>
      </rPr>
      <t xml:space="preserve">TK 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L1_GapISL</t>
    </r>
    <r>
      <rPr>
        <sz val="9"/>
        <color rgb="FF595959"/>
        <rFont val="Noto Sans CJK SC"/>
        <family val="2"/>
      </rPr>
      <t xml:space="preserve">）在本模型無法分離：每任務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已直接取自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任務模板（含輸入、快取、輸出），並入殘差。</t>
    </r>
  </si>
  <si>
    <t xml:space="preserve">說明／公式來源</t>
  </si>
  <si>
    <r>
      <rPr>
        <b val="true"/>
        <sz val="10"/>
        <rFont val="Noto Sans CJK SC"/>
        <family val="2"/>
      </rPr>
      <t xml:space="preserve">一、被拆解的量（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）</t>
    </r>
  </si>
  <si>
    <t xml:space="preserve">E01</t>
  </si>
  <si>
    <r>
      <rPr>
        <sz val="9"/>
        <color rgb="FF595959"/>
        <rFont val="Arial"/>
        <family val="0"/>
        <charset val="1"/>
      </rPr>
      <t xml:space="preserve">Compute C133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CMP_Eta2025</t>
    </r>
    <r>
      <rPr>
        <sz val="9"/>
        <color rgb="FF595959"/>
        <rFont val="Noto Sans CJK SC"/>
        <family val="2"/>
      </rPr>
      <t xml:space="preserve">）；本頁不改此值</t>
    </r>
  </si>
  <si>
    <t xml:space="preserve">E02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</si>
  <si>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；付費＋免費；以 </t>
    </r>
    <r>
      <rPr>
        <sz val="10"/>
        <color rgb="FF000000"/>
        <rFont val="Arial"/>
        <family val="0"/>
        <charset val="1"/>
      </rPr>
      <t xml:space="preserve">TK IF_Util </t>
    </r>
    <r>
      <rPr>
        <sz val="10"/>
        <color rgb="FF000000"/>
        <rFont val="Noto Sans CJK SC"/>
        <family val="2"/>
      </rPr>
      <t xml:space="preserve">為基準利用率）</t>
    </r>
  </si>
  <si>
    <t xml:space="preserve">E03</t>
  </si>
  <si>
    <r>
      <rPr>
        <sz val="10"/>
        <color rgb="FF000000"/>
        <rFont val="Noto Sans CJK SC"/>
        <family val="2"/>
      </rPr>
      <t xml:space="preserve">支出換算推論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既有雲端加權合約價</t>
    </r>
  </si>
  <si>
    <r>
      <rPr>
        <sz val="9"/>
        <color rgb="FF595959"/>
        <rFont val="Arial"/>
        <family val="0"/>
        <charset val="1"/>
      </rPr>
      <t xml:space="preserve">Compute C132</t>
    </r>
    <r>
      <rPr>
        <sz val="9"/>
        <color rgb="FF595959"/>
        <rFont val="Noto Sans CJK SC"/>
        <family val="2"/>
      </rPr>
      <t xml:space="preserve">（支出為說明書；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</si>
  <si>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t xml:space="preserve">E04</t>
  </si>
  <si>
    <r>
      <rPr>
        <sz val="10"/>
        <color rgb="FF000000"/>
        <rFont val="Noto Sans CJK SC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token GW ÷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GW − η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</si>
  <si>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二、計價口徑因子 </t>
    </r>
    <r>
      <rPr>
        <b val="true"/>
        <sz val="10"/>
        <rFont val="Arial"/>
        <family val="0"/>
        <charset val="1"/>
      </rPr>
      <t xml:space="preserve">f_P </t>
    </r>
    <r>
      <rPr>
        <b val="true"/>
        <sz val="10"/>
        <rFont val="Noto Sans CJK SC"/>
        <family val="2"/>
      </rPr>
      <t xml:space="preserve">＝ 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合約實付 </t>
    </r>
    <r>
      <rPr>
        <b val="true"/>
        <sz val="10"/>
        <rFont val="Arial"/>
        <family val="0"/>
        <charset val="1"/>
      </rPr>
      <t xml:space="preserve">÷ TK </t>
    </r>
    <r>
      <rPr>
        <b val="true"/>
        <sz val="10"/>
        <rFont val="Noto Sans CJK SC"/>
        <family val="2"/>
      </rPr>
      <t xml:space="preserve">持有成本（加權）。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用合約價把支出換成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；若改用持有成本換算，支出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會較大（價 </t>
    </r>
    <r>
      <rPr>
        <b val="true"/>
        <sz val="10"/>
        <rFont val="Arial"/>
        <family val="0"/>
        <charset val="1"/>
      </rPr>
      <t xml:space="preserve">&gt; </t>
    </r>
    <r>
      <rPr>
        <b val="true"/>
        <sz val="10"/>
        <rFont val="Noto Sans CJK SC"/>
        <family val="2"/>
      </rPr>
      <t xml:space="preserve">持有成本時）</t>
    </r>
  </si>
  <si>
    <t xml:space="preserve">E05</t>
  </si>
  <si>
    <r>
      <rPr>
        <sz val="10"/>
        <color rgb="FF000000"/>
        <rFont val="Noto Sans CJK SC"/>
        <family val="2"/>
      </rPr>
      <t xml:space="preserve">既有雲端加權每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合約實付（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</si>
  <si>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</si>
  <si>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Compute C58</t>
    </r>
    <r>
      <rPr>
        <sz val="9"/>
        <color rgb="FF595959"/>
        <rFont val="Noto Sans CJK SC"/>
        <family val="2"/>
      </rPr>
      <t xml:space="preserve">（合約價加權；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前簽之 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Google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</si>
  <si>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t xml:space="preserve">E06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</si>
  <si>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持有成本（經濟口徑）加權每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</si>
  <si>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 IF_HoldEcon × </t>
    </r>
    <r>
      <rPr>
        <sz val="9"/>
        <color rgb="FF595959"/>
        <rFont val="Noto Sans CJK SC"/>
        <family val="2"/>
      </rPr>
      <t xml:space="preserve">持有比；低／高＝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低／高成本情境）</t>
    </r>
  </si>
  <si>
    <r>
      <rPr>
        <sz val="9"/>
        <color rgb="FF595959"/>
        <rFont val="Arial"/>
        <family val="0"/>
        <charset val="1"/>
      </rPr>
      <t xml:space="preserve">Cost K61–K63 ÷ </t>
    </r>
    <r>
      <rPr>
        <sz val="9"/>
        <color rgb="FF595959"/>
        <rFont val="Noto Sans CJK SC"/>
        <family val="2"/>
      </rPr>
      <t xml:space="preserve">合約供給 </t>
    </r>
    <r>
      <rPr>
        <sz val="9"/>
        <color rgb="FF595959"/>
        <rFont val="Arial"/>
        <family val="0"/>
        <charset val="1"/>
      </rPr>
      <t xml:space="preserve">GW</t>
    </r>
  </si>
  <si>
    <t xml:space="preserve">E07</t>
  </si>
  <si>
    <r>
      <rPr>
        <sz val="10"/>
        <color rgb="FF000000"/>
        <rFont val="Arial"/>
        <family val="0"/>
        <charset val="1"/>
      </rPr>
      <t xml:space="preserve">f_P</t>
    </r>
    <r>
      <rPr>
        <sz val="10"/>
        <color rgb="FF000000"/>
        <rFont val="Noto Sans CJK SC"/>
        <family val="2"/>
      </rPr>
      <t xml:space="preserve">：計價口徑因子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</si>
  <si>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（以 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持有成本；區間＝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成本情境）</t>
    </r>
  </si>
  <si>
    <t xml:space="preserve">低＝除以高成本情境；高＝除以低成本情境</t>
  </si>
  <si>
    <r>
      <rPr>
        <b val="true"/>
        <sz val="10"/>
        <rFont val="Noto Sans CJK SC"/>
        <family val="2"/>
      </rPr>
      <t xml:space="preserve">三、利用率因子 </t>
    </r>
    <r>
      <rPr>
        <b val="true"/>
        <sz val="10"/>
        <rFont val="Arial"/>
        <family val="0"/>
        <charset val="1"/>
      </rPr>
      <t xml:space="preserve">f_U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實際利用率 </t>
    </r>
    <r>
      <rPr>
        <b val="true"/>
        <sz val="10"/>
        <rFont val="Arial"/>
        <family val="0"/>
        <charset val="1"/>
      </rPr>
      <t xml:space="preserve">÷ TK </t>
    </r>
    <r>
      <rPr>
        <b val="true"/>
        <sz val="10"/>
        <rFont val="Noto Sans CJK SC"/>
        <family val="2"/>
      </rPr>
      <t xml:space="preserve">基準利用率（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以基準利用率計；若實際較低，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換算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偏低，使 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偏低）</t>
    </r>
  </si>
  <si>
    <t xml:space="preserve">E08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</si>
  <si>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基準利用率（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；本模型每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產能的基準）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</si>
  <si>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</si>
  <si>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第八節</t>
    </r>
  </si>
  <si>
    <t xml:space="preserve">E09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</si>
  <si>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IF_UtilActual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機隊的估計）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</si>
  <si>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</si>
  <si>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本模型無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自己的利用率資料；以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區間作 </t>
    </r>
    <r>
      <rPr>
        <sz val="9"/>
        <color rgb="FF595959"/>
        <rFont val="Arial"/>
        <family val="0"/>
        <charset val="1"/>
      </rPr>
      <t xml:space="preserve">Analogy</t>
    </r>
  </si>
  <si>
    <t xml:space="preserve">E10</t>
  </si>
  <si>
    <r>
      <rPr>
        <sz val="10"/>
        <color rgb="FF000000"/>
        <rFont val="Arial"/>
        <family val="0"/>
        <charset val="1"/>
      </rPr>
      <t xml:space="preserve">f_U</t>
    </r>
    <r>
      <rPr>
        <sz val="10"/>
        <color rgb="FF000000"/>
        <rFont val="Noto Sans CJK SC"/>
        <family val="2"/>
      </rPr>
      <t xml:space="preserve">：利用率因子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</si>
  <si>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（以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</si>
  <si>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方向（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IF_Util ÷</t>
    </r>
    <r>
      <rPr>
        <sz val="9"/>
        <color rgb="FF595959"/>
        <rFont val="Noto Sans CJK SC"/>
        <family val="2"/>
      </rPr>
      <t xml:space="preserve">（實際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生產折減））約為本因子倒數再除以生產折減；本列（第二節）不計生產折減，計入者見第七節 </t>
    </r>
    <r>
      <rPr>
        <sz val="9"/>
        <color rgb="FF595959"/>
        <rFont val="Arial"/>
        <family val="0"/>
        <charset val="1"/>
      </rPr>
      <t xml:space="preserve">f_U×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</si>
  <si>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四、工作負載（層級）組合因子 </t>
    </r>
    <r>
      <rPr>
        <b val="true"/>
        <sz val="10"/>
        <rFont val="Arial"/>
        <family val="0"/>
        <charset val="1"/>
      </rPr>
      <t xml:space="preserve">f_W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參考層級組合下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本模型付費層級組合下的同一機隊每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付費產能（兩者同一基準利用率、同一機隊組成）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</si>
  <si>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</si>
  <si>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</si>
  <si>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口徑的付費層級組合）</t>
    </r>
  </si>
  <si>
    <r>
      <rPr>
        <sz val="9"/>
        <color rgb="FF595959"/>
        <rFont val="Arial"/>
        <family val="0"/>
        <charset val="1"/>
      </rPr>
      <t xml:space="preserve">Cap_In C31:E31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</si>
  <si>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</si>
  <si>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</si>
  <si>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</si>
  <si>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參考付費層級組合（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</si>
  <si>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E14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</si>
  <si>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</si>
  <si>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 ∝ </t>
    </r>
    <r>
      <rPr>
        <sz val="9"/>
        <color rgb="FF595959"/>
        <rFont val="Arial"/>
        <family val="0"/>
        <charset val="1"/>
      </rPr>
      <t xml:space="preserve">1 ÷ Σ</t>
    </r>
    <r>
      <rPr>
        <sz val="9"/>
        <color rgb="FF595959"/>
        <rFont val="Noto Sans CJK SC"/>
        <family val="2"/>
      </rPr>
      <t xml:space="preserve">（層級占比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該層每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總產出）；比值＝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參考組合的產能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本模型組合的產能</t>
    </r>
  </si>
  <si>
    <t xml:space="preserve">E15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</si>
  <si>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</si>
  <si>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t xml:space="preserve">E16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</si>
  <si>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</si>
  <si>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t xml:space="preserve">E17</t>
  </si>
  <si>
    <r>
      <rPr>
        <sz val="10"/>
        <color rgb="FF000000"/>
        <rFont val="Noto Sans CJK SC"/>
        <family val="2"/>
      </rPr>
      <t xml:space="preserve">層級組合換算比（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）＝（本模型組合的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占比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參考組合的同式）</t>
    </r>
  </si>
  <si>
    <t xml:space="preserve">E18</t>
  </si>
  <si>
    <r>
      <rPr>
        <sz val="10"/>
        <color rgb="FF000000"/>
        <rFont val="Noto Sans CJK SC"/>
        <family val="2"/>
      </rPr>
      <t xml:space="preserve">本模型付費層級組合下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付費產能（組合後）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</si>
  <si>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層級組合；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產能）</t>
    </r>
  </si>
  <si>
    <t xml:space="preserve">E19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</si>
  <si>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參考層級組合下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付費產能（逐族：本模型該族產能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該族所屬世代的換算比）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</si>
  <si>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（假設：</t>
    </r>
    <r>
      <rPr>
        <sz val="9"/>
        <color rgb="FF595959"/>
        <rFont val="Arial"/>
        <family val="0"/>
        <charset val="1"/>
      </rPr>
      <t xml:space="preserve">TPU v6e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Trainium2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MI455X </t>
    </r>
    <r>
      <rPr>
        <sz val="9"/>
        <color rgb="FF595959"/>
        <rFont val="Noto Sans CJK SC"/>
        <family val="2"/>
      </rPr>
      <t xml:space="preserve">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，同本模型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設定）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</si>
  <si>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組合占比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該族產能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換算比</t>
    </r>
  </si>
  <si>
    <t xml:space="preserve">E20</t>
  </si>
  <si>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Noto Sans CJK SC"/>
        <family val="2"/>
      </rPr>
      <t xml:space="preserve">：工作負載（層級）組合因子</t>
    </r>
  </si>
  <si>
    <r>
      <rPr>
        <sz val="9"/>
        <color rgb="FF595959"/>
        <rFont val="Noto Sans CJK SC"/>
        <family val="2"/>
      </rPr>
      <t xml:space="preserve">只含層級組合；本模型層級組合的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區間未接入此因子（無區間）。輸入輸出組合無法分離（並入殘差）</t>
    </r>
  </si>
  <si>
    <t xml:space="preserve">E21</t>
  </si>
  <si>
    <r>
      <rPr>
        <sz val="10"/>
        <color rgb="FF000000"/>
        <rFont val="Noto Sans CJK SC"/>
        <family val="2"/>
      </rPr>
      <t xml:space="preserve">對照：僅以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近似的 </t>
    </r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Noto Sans CJK SC"/>
        <family val="2"/>
      </rPr>
      <t xml:space="preserve">（舊口徑，</t>
    </r>
    <r>
      <rPr>
        <sz val="10"/>
        <color rgb="FF000000"/>
        <rFont val="Arial"/>
        <family val="0"/>
        <charset val="1"/>
      </rPr>
      <t xml:space="preserve">TK L1_TokGW_PaidCap_VR200 × IF_Util 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付費產能）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</si>
  <si>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機隊是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TPU v6e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，故正式口徑用機隊加權</t>
    </r>
  </si>
  <si>
    <t xml:space="preserve">E22</t>
  </si>
  <si>
    <r>
      <rPr>
        <sz val="10"/>
        <color rgb="FF000000"/>
        <rFont val="Noto Sans CJK SC"/>
        <family val="2"/>
      </rPr>
      <t xml:space="preserve">輸入輸出組合因子（請求形狀、每則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</t>
    </r>
  </si>
  <si>
    <t xml:space="preserve">無法分離</t>
  </si>
  <si>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已取自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任務模板（新鮮＋快取＋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）；無獨立可比的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參考請求組合 → 並入殘差</t>
    </r>
  </si>
  <si>
    <t xml:space="preserve">五、乘積與未解釋殘差</t>
  </si>
  <si>
    <t xml:space="preserve">E23</t>
  </si>
  <si>
    <r>
      <rPr>
        <sz val="10"/>
        <color rgb="FF000000"/>
        <rFont val="Noto Sans CJK SC"/>
        <family val="2"/>
      </rPr>
      <t xml:space="preserve">已解釋部分 </t>
    </r>
    <r>
      <rPr>
        <sz val="10"/>
        <color rgb="FF000000"/>
        <rFont val="Arial"/>
        <family val="0"/>
        <charset val="1"/>
      </rPr>
      <t xml:space="preserve">f_P × f_U × f_W</t>
    </r>
  </si>
  <si>
    <t xml:space="preserve">E24</t>
  </si>
  <si>
    <r>
      <rPr>
        <sz val="10"/>
        <color rgb="FF000000"/>
        <rFont val="Noto Sans CJK SC"/>
        <family val="2"/>
      </rPr>
      <t xml:space="preserve">未解釋殘差 ＝ </t>
    </r>
    <r>
      <rPr>
        <sz val="10"/>
        <color rgb="FF000000"/>
        <rFont val="Arial"/>
        <family val="0"/>
        <charset val="1"/>
      </rPr>
      <t xml:space="preserve">η ÷ </t>
    </r>
    <r>
      <rPr>
        <sz val="10"/>
        <color rgb="FF000000"/>
        <rFont val="Noto Sans CJK SC"/>
        <family val="2"/>
      </rPr>
      <t xml:space="preserve">已解釋部分</t>
    </r>
  </si>
  <si>
    <r>
      <rPr>
        <sz val="9"/>
        <color rgb="FF595959"/>
        <rFont val="Noto Sans CJK SC"/>
        <family val="2"/>
      </rPr>
      <t xml:space="preserve">含：輸入輸出組合、每任務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）、任務數與支出的口徑差、研發占比等；低＝除以高端乘積</t>
    </r>
  </si>
  <si>
    <t xml:space="preserve">E25</t>
  </si>
  <si>
    <r>
      <rPr>
        <sz val="10"/>
        <color rgb="FF000000"/>
        <rFont val="Noto Sans CJK SC"/>
        <family val="2"/>
      </rPr>
      <t xml:space="preserve">殘差倒數（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方向；支出路線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路線）</t>
    </r>
  </si>
  <si>
    <r>
      <rPr>
        <b val="true"/>
        <sz val="10"/>
        <rFont val="Noto Sans CJK SC"/>
        <family val="2"/>
      </rPr>
      <t xml:space="preserve">六、並列：</t>
    </r>
    <r>
      <rPr>
        <b val="true"/>
        <sz val="10"/>
        <rFont val="Arial"/>
        <family val="0"/>
        <charset val="1"/>
      </rPr>
      <t xml:space="preserve">TK L1_Gap*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口徑，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方向）與本模型各因子倒數（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方向）</t>
    </r>
  </si>
  <si>
    <t xml:space="preserve">E26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</si>
  <si>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數（對應本模型：無法分離）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</si>
  <si>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口徑）</t>
    </r>
  </si>
  <si>
    <t xml:space="preserve">E27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</si>
  <si>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</si>
  <si>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t xml:space="preserve">E28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</si>
  <si>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</si>
  <si>
    <t xml:space="preserve">E29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</si>
  <si>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</t>
    </r>
  </si>
  <si>
    <t xml:space="preserve">E30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</si>
  <si>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四項乘積（已解釋部分）</t>
    </r>
  </si>
  <si>
    <t xml:space="preserve">E31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</si>
  <si>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落差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</t>
    </r>
  </si>
  <si>
    <t xml:space="preserve">E32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</si>
  <si>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f_P</t>
    </r>
    <r>
      <rPr>
        <sz val="10"/>
        <color rgb="FF000000"/>
        <rFont val="Noto Sans CJK SC"/>
        <family val="2"/>
      </rPr>
      <t xml:space="preserve">（計價口徑，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</si>
  <si>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E33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</si>
  <si>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f_U</t>
    </r>
    <r>
      <rPr>
        <sz val="10"/>
        <color rgb="FF000000"/>
        <rFont val="Noto Sans CJK SC"/>
        <family val="2"/>
      </rPr>
      <t xml:space="preserve">（利用率，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方向；未計生產折減）</t>
    </r>
  </si>
  <si>
    <t xml:space="preserve">E34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</si>
  <si>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f_W</t>
    </r>
    <r>
      <rPr>
        <sz val="10"/>
        <color rgb="FF000000"/>
        <rFont val="Noto Sans CJK SC"/>
        <family val="2"/>
      </rPr>
      <t xml:space="preserve">（工作負載層級組合，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</si>
  <si>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E35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</si>
  <si>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殘差（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</si>
  <si>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E36</t>
  </si>
  <si>
    <r>
      <rPr>
        <sz val="10"/>
        <color rgb="FF000000"/>
        <rFont val="Noto Sans CJK SC"/>
        <family val="2"/>
      </rPr>
      <t xml:space="preserve">本模型：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已解釋乘積（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</si>
  <si>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t xml:space="preserve">E37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</si>
  <si>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1 ÷ 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方向的總落差；支出路線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</si>
  <si>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η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對應 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10.4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口徑）</t>
    </r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</si>
  <si>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v0.1.4 </t>
    </r>
    <r>
      <rPr>
        <b val="true"/>
        <sz val="10"/>
        <rFont val="Noto Sans CJK SC"/>
        <family val="2"/>
      </rPr>
      <t xml:space="preserve">補充：</t>
    </r>
    <r>
      <rPr>
        <b val="true"/>
        <sz val="10"/>
        <rFont val="Arial"/>
        <family val="0"/>
        <charset val="1"/>
      </rPr>
      <t xml:space="preserve">f_U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TK </t>
    </r>
    <r>
      <rPr>
        <b val="true"/>
        <sz val="10"/>
        <rFont val="Noto Sans CJK SC"/>
        <family val="2"/>
      </rPr>
      <t xml:space="preserve">生產折減（</t>
    </r>
    <r>
      <rPr>
        <b val="true"/>
        <sz val="10"/>
        <rFont val="Arial"/>
        <family val="0"/>
        <charset val="1"/>
      </rPr>
      <t xml:space="preserve">Andy 2026-10-22 </t>
    </r>
    <r>
      <rPr>
        <b val="true"/>
        <sz val="10"/>
        <rFont val="Noto Sans CJK SC"/>
        <family val="2"/>
      </rPr>
      <t xml:space="preserve">預設）；殘差隨之重算。</t>
    </r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值不變，第五節（不計生產折減）原列保留以供前後對照</t>
    </r>
  </si>
  <si>
    <t xml:space="preserve">E38</t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</si>
  <si>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生產折減（</t>
    </r>
    <r>
      <rPr>
        <sz val="10"/>
        <color rgb="FF000000"/>
        <rFont val="Arial"/>
        <family val="0"/>
        <charset val="1"/>
      </rPr>
      <t xml:space="preserve">IF_ProdDerate</t>
    </r>
    <r>
      <rPr>
        <sz val="10"/>
        <color rgb="FF000000"/>
        <rFont val="Noto Sans CJK SC"/>
        <family val="2"/>
      </rPr>
      <t xml:space="preserve">；具名範圍）</t>
    </r>
  </si>
  <si>
    <r>
      <rPr>
        <sz val="9"/>
        <color rgb="FF595959"/>
        <rFont val="Arial"/>
        <family val="0"/>
        <charset val="1"/>
      </rPr>
      <t xml:space="preserve">Interface C355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Serving CTL_ProdDerate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產能是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理論值，實際生產環境再打此折減</t>
    </r>
  </si>
  <si>
    <t xml:space="preserve">E39</t>
  </si>
  <si>
    <r>
      <rPr>
        <sz val="10"/>
        <color rgb="FF000000"/>
        <rFont val="Arial"/>
        <family val="0"/>
        <charset val="1"/>
      </rPr>
      <t xml:space="preserve">f_U'</t>
    </r>
    <r>
      <rPr>
        <sz val="10"/>
        <color rgb="FF000000"/>
        <rFont val="Noto Sans CJK SC"/>
        <family val="2"/>
      </rPr>
      <t xml:space="preserve">：利用率因子（計入生產折減）＝</t>
    </r>
    <r>
      <rPr>
        <sz val="10"/>
        <color rgb="FF000000"/>
        <rFont val="Arial"/>
        <family val="0"/>
        <charset val="1"/>
      </rPr>
      <t xml:space="preserve">f_U × </t>
    </r>
    <r>
      <rPr>
        <sz val="10"/>
        <color rgb="FF000000"/>
        <rFont val="Noto Sans CJK SC"/>
        <family val="2"/>
      </rPr>
      <t xml:space="preserve">生產折減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</si>
  <si>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方向 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IF_Util ÷</t>
    </r>
    <r>
      <rPr>
        <sz val="9"/>
        <color rgb="FF595959"/>
        <rFont val="Noto Sans CJK SC"/>
        <family val="2"/>
      </rPr>
      <t xml:space="preserve">（實際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生產折減）＝本因子倒數</t>
    </r>
  </si>
  <si>
    <t xml:space="preserve">E40</t>
  </si>
  <si>
    <r>
      <rPr>
        <sz val="10"/>
        <color rgb="FF000000"/>
        <rFont val="Noto Sans CJK SC"/>
        <family val="2"/>
      </rPr>
      <t xml:space="preserve">已解釋部分 </t>
    </r>
    <r>
      <rPr>
        <sz val="10"/>
        <color rgb="FF000000"/>
        <rFont val="Arial"/>
        <family val="0"/>
        <charset val="1"/>
      </rPr>
      <t xml:space="preserve">f_P × f_U' × f_W</t>
    </r>
  </si>
  <si>
    <t xml:space="preserve">E41</t>
  </si>
  <si>
    <r>
      <rPr>
        <sz val="10"/>
        <color rgb="FF000000"/>
        <rFont val="Noto Sans CJK SC"/>
        <family val="2"/>
      </rPr>
      <t xml:space="preserve">未解釋殘差（計入生產折減後）＝</t>
    </r>
    <r>
      <rPr>
        <sz val="10"/>
        <color rgb="FF000000"/>
        <rFont val="Arial"/>
        <family val="0"/>
        <charset val="1"/>
      </rPr>
      <t xml:space="preserve">η ÷ </t>
    </r>
    <r>
      <rPr>
        <sz val="10"/>
        <color rgb="FF000000"/>
        <rFont val="Noto Sans CJK SC"/>
        <family val="2"/>
      </rPr>
      <t xml:space="preserve">已解釋部分</t>
    </r>
  </si>
  <si>
    <t xml:space="preserve">低＝除以高端乘積；高＝除以低端乘積</t>
  </si>
  <si>
    <t xml:space="preserve">E42</t>
  </si>
  <si>
    <r>
      <rPr>
        <sz val="10"/>
        <color rgb="FF000000"/>
        <rFont val="Noto Sans CJK SC"/>
        <family val="2"/>
      </rPr>
      <t xml:space="preserve">殘差：計入生產折減後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前（第五節）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</si>
  <si>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生產折減</t>
    </r>
  </si>
  <si>
    <t xml:space="preserve">E43</t>
  </si>
  <si>
    <r>
      <rPr>
        <sz val="10"/>
        <color rgb="FF000000"/>
        <rFont val="Noto Sans CJK SC"/>
        <family val="2"/>
      </rPr>
      <t xml:space="preserve">殘差倒數（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方向；計入生產折減後）</t>
    </r>
  </si>
  <si>
    <t xml:space="preserve">E44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</si>
  <si>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TK 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口徑，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方向）</t>
    </r>
  </si>
  <si>
    <r>
      <rPr>
        <sz val="9"/>
        <color rgb="FF595959"/>
        <rFont val="Arial"/>
        <family val="0"/>
        <charset val="1"/>
      </rPr>
      <t xml:space="preserve">L1 D111</t>
    </r>
    <r>
      <rPr>
        <sz val="9"/>
        <color rgb="FF595959"/>
        <rFont val="Noto Sans CJK SC"/>
        <family val="2"/>
      </rPr>
      <t xml:space="preserve">；區間為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低／高</t>
    </r>
  </si>
  <si>
    <t xml:space="preserve">E45</t>
  </si>
  <si>
    <r>
      <rPr>
        <sz val="10"/>
        <color rgb="FF000000"/>
        <rFont val="Noto Sans CJK SC"/>
        <family val="2"/>
      </rPr>
      <t xml:space="preserve">比值：本模型殘差倒數（計入生產折減）</t>
    </r>
    <r>
      <rPr>
        <sz val="10"/>
        <color rgb="FF000000"/>
        <rFont val="Arial"/>
        <family val="0"/>
        <charset val="1"/>
      </rPr>
      <t xml:space="preserve">÷ TK L1_GapUnexplained</t>
    </r>
  </si>
  <si>
    <r>
      <rPr>
        <sz val="9"/>
        <color rgb="FF595959"/>
        <rFont val="Noto Sans CJK SC"/>
        <family val="2"/>
      </rPr>
      <t xml:space="preserve">＜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：本模型未解釋部分較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小；兩者口徑不同（</t>
    </r>
    <r>
      <rPr>
        <sz val="9"/>
        <color rgb="FF595959"/>
        <rFont val="Arial"/>
        <family val="0"/>
        <charset val="1"/>
      </rPr>
      <t xml:space="preserve">Anthropic vs OpenAI</t>
    </r>
    <r>
      <rPr>
        <sz val="9"/>
        <color rgb="FF595959"/>
        <rFont val="Noto Sans CJK SC"/>
        <family val="2"/>
      </rPr>
      <t xml:space="preserve">），只並排；基準對基準，區間端點不相除</t>
    </r>
  </si>
  <si>
    <t xml:space="preserve">E46</t>
  </si>
  <si>
    <r>
      <rPr>
        <sz val="10"/>
        <color rgb="FF000000"/>
        <rFont val="Noto Sans CJK SC"/>
        <family val="2"/>
      </rPr>
      <t xml:space="preserve">比值（前）：第五節殘差倒數（不計生產折減）</t>
    </r>
    <r>
      <rPr>
        <sz val="10"/>
        <color rgb="FF000000"/>
        <rFont val="Arial"/>
        <family val="0"/>
        <charset val="1"/>
      </rPr>
      <t xml:space="preserve">÷ TK L1_GapUnexplained</t>
    </r>
  </si>
  <si>
    <r>
      <rPr>
        <sz val="9"/>
        <color rgb="FF595959"/>
        <rFont val="Arial"/>
        <family val="0"/>
        <charset val="1"/>
      </rPr>
      <t xml:space="preserve">v0.1.3 </t>
    </r>
    <r>
      <rPr>
        <sz val="9"/>
        <color rgb="FF595959"/>
        <rFont val="Noto Sans CJK SC"/>
        <family val="2"/>
      </rPr>
      <t xml:space="preserve">口徑，供前後對照</t>
    </r>
  </si>
  <si>
    <t xml:space="preserve">E47</t>
  </si>
  <si>
    <r>
      <rPr>
        <sz val="10"/>
        <color rgb="FF000000"/>
        <rFont val="Noto Sans CJK SC"/>
        <family val="2"/>
      </rPr>
      <t xml:space="preserve">核對：</t>
    </r>
    <r>
      <rPr>
        <sz val="10"/>
        <color rgb="FF000000"/>
        <rFont val="Arial"/>
        <family val="0"/>
        <charset val="1"/>
      </rPr>
      <t xml:space="preserve">f_U' </t>
    </r>
    <r>
      <rPr>
        <sz val="10"/>
        <color rgb="FF000000"/>
        <rFont val="Noto Sans CJK SC"/>
        <family val="2"/>
      </rPr>
      <t xml:space="preserve">的倒數 − </t>
    </r>
    <r>
      <rPr>
        <sz val="10"/>
        <color rgb="FF000000"/>
        <rFont val="Arial"/>
        <family val="0"/>
        <charset val="1"/>
      </rPr>
      <t xml:space="preserve">TK L1_GapUtil</t>
    </r>
    <r>
      <rPr>
        <sz val="10"/>
        <color rgb="FF000000"/>
        <rFont val="Noto Sans CJK SC"/>
        <family val="2"/>
      </rPr>
      <t xml:space="preserve">（同一組輸入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；確認生產折減讀值與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一致）</t>
    </r>
  </si>
  <si>
    <r>
      <rPr>
        <sz val="9"/>
        <color rgb="FF595959"/>
        <rFont val="Noto Sans CJK SC"/>
        <family val="2"/>
      </rPr>
      <t xml:space="preserve">本模型借用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利用率輸入（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），故與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相同；若不為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改了定義</t>
    </r>
  </si>
  <si>
    <r>
      <rPr>
        <b val="true"/>
        <sz val="13"/>
        <rFont val="Arial"/>
        <family val="0"/>
        <charset val="1"/>
      </rPr>
      <t xml:space="preserve">Funding — </t>
    </r>
    <r>
      <rPr>
        <b val="true"/>
        <sz val="13"/>
        <rFont val="Noto Sans CJK SC"/>
        <family val="2"/>
      </rPr>
      <t xml:space="preserve">融資：自由現金流、已到位融資、最低現金與外部資金需求、條件式與 </t>
    </r>
    <r>
      <rPr>
        <b val="true"/>
        <sz val="13"/>
        <rFont val="Arial"/>
        <family val="0"/>
        <charset val="1"/>
      </rPr>
      <t xml:space="preserve">IPO </t>
    </r>
    <r>
      <rPr>
        <b val="true"/>
        <sz val="13"/>
        <rFont val="Noto Sans CJK SC"/>
        <family val="2"/>
      </rPr>
      <t xml:space="preserve">情境、敏感度情境、或有負債、回流對照（</t>
    </r>
    <r>
      <rPr>
        <b val="true"/>
        <sz val="13"/>
        <rFont val="Arial"/>
        <family val="0"/>
        <charset val="1"/>
      </rPr>
      <t xml:space="preserve">D18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</si>
  <si>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D16 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：自由現金流＝營收淨額（截頂後）− 算力成本（現金）− 非算力成本（不含股權報酬；股權報酬非現金，加回）。來源順序：①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→ ②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已宣布且已交割的股權 → ③外部資金（新股權、債務或延後承諾；補足至最低現金）。條件式與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不計入基準（情境）；循環信貸與表外融資只列或有。</t>
    </r>
  </si>
  <si>
    <r>
      <rPr>
        <sz val="9"/>
        <color rgb="FF595959"/>
        <rFont val="Arial"/>
        <family val="0"/>
        <charset val="1"/>
      </rPr>
      <t xml:space="preserve">D–I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2025–2030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為實際年：只列年底現金（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）與自由現金流對照，現金流自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起。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＝十億美元。</t>
    </r>
  </si>
  <si>
    <r>
      <rPr>
        <b val="true"/>
        <sz val="10"/>
        <rFont val="Noto Sans CJK SC"/>
        <family val="2"/>
      </rPr>
      <t xml:space="preserve">一、自由現金流（</t>
    </r>
    <r>
      <rPr>
        <b val="true"/>
        <sz val="10"/>
        <rFont val="Arial"/>
        <family val="0"/>
        <charset val="1"/>
      </rPr>
      <t xml:space="preserve">A3 </t>
    </r>
    <r>
      <rPr>
        <b val="true"/>
        <sz val="10"/>
        <rFont val="Noto Sans CJK SC"/>
        <family val="2"/>
      </rPr>
      <t xml:space="preserve">交接：</t>
    </r>
    <r>
      <rPr>
        <b val="true"/>
        <sz val="10"/>
        <rFont val="Arial"/>
        <family val="0"/>
        <charset val="1"/>
      </rPr>
      <t xml:space="preserve">COST_GapCash </t>
    </r>
    <r>
      <rPr>
        <b val="true"/>
        <sz val="10"/>
        <rFont val="Noto Sans CJK SC"/>
        <family val="2"/>
      </rPr>
      <t xml:space="preserve">＋ 股權報酬加回；</t>
    </r>
    <r>
      <rPr>
        <b val="true"/>
        <sz val="10"/>
        <rFont val="Arial"/>
        <family val="0"/>
        <charset val="1"/>
      </rPr>
      <t xml:space="preserve">D21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非現金費用不計）</t>
    </r>
  </si>
  <si>
    <t xml:space="preserve">F01</t>
  </si>
  <si>
    <t xml:space="preserve">營收淨額（截頂後；扣雲端平台抽成）</t>
  </si>
  <si>
    <t xml:space="preserve">F02</t>
  </si>
  <si>
    <t xml:space="preserve">算力成本（現金）＝合約實付＋自建資本支出</t>
  </si>
  <si>
    <t xml:space="preserve">F03</t>
  </si>
  <si>
    <r>
      <rPr>
        <sz val="10"/>
        <color rgb="FF000000"/>
        <rFont val="Noto Sans CJK SC"/>
        <family val="2"/>
      </rPr>
      <t xml:space="preserve">其中：自建資本支出（</t>
    </r>
    <r>
      <rPr>
        <sz val="10"/>
        <color rgb="FF000000"/>
        <rFont val="Arial"/>
        <family val="0"/>
        <charset val="1"/>
      </rPr>
      <t xml:space="preserve">Fluidstack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</si>
  <si>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COST_OwnedCapex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Noto Sans CJK SC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16.7</t>
    </r>
    <r>
      <rPr>
        <sz val="9"/>
        <color rgb="FF595959"/>
        <rFont val="Noto Sans CJK SC"/>
        <family val="2"/>
      </rPr>
      <t xml:space="preserve">）</t>
    </r>
  </si>
  <si>
    <t xml:space="preserve">F04</t>
  </si>
  <si>
    <t xml:space="preserve">COST_NonCompExSBC</t>
  </si>
  <si>
    <t xml:space="preserve">F05</t>
  </si>
  <si>
    <t xml:space="preserve">股權報酬（非現金；只列示）</t>
  </si>
  <si>
    <r>
      <rPr>
        <sz val="9"/>
        <color rgb="FF595959"/>
        <rFont val="Arial"/>
        <family val="0"/>
        <charset val="1"/>
      </rPr>
      <t xml:space="preserve">COST_SBC</t>
    </r>
    <r>
      <rPr>
        <sz val="9"/>
        <color rgb="FF595959"/>
        <rFont val="Noto Sans CJK SC"/>
        <family val="2"/>
      </rPr>
      <t xml:space="preserve">：不耗用現金</t>
    </r>
  </si>
  <si>
    <t xml:space="preserve">F06</t>
  </si>
  <si>
    <t xml:space="preserve">差額（含股權報酬；命題口徑）</t>
  </si>
  <si>
    <r>
      <rPr>
        <sz val="9"/>
        <color rgb="FF595959"/>
        <rFont val="Arial"/>
        <family val="0"/>
        <charset val="1"/>
      </rPr>
      <t xml:space="preserve">COST_GapCash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交接的融資缺口起點）</t>
    </r>
  </si>
  <si>
    <t xml:space="preserve">F07</t>
  </si>
  <si>
    <t xml:space="preserve">自由現金流＝差額＋股權報酬</t>
  </si>
  <si>
    <r>
      <rPr>
        <sz val="9"/>
        <color rgb="FF595959"/>
        <rFont val="Noto Sans CJK SC"/>
        <family val="2"/>
      </rPr>
      <t xml:space="preserve">＝營收淨額 − 算力成本 − 非算力成本（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恆等式）；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欄只對照</t>
    </r>
  </si>
  <si>
    <t xml:space="preserve">F08</t>
  </si>
  <si>
    <t xml:space="preserve">檢查：自由現金流 −（營收淨額 − 算力 − 非算力）</t>
  </si>
  <si>
    <t xml:space="preserve">F09</t>
  </si>
  <si>
    <r>
      <rPr>
        <sz val="10"/>
        <color rgb="FF000000"/>
        <rFont val="Noto Sans CJK SC"/>
        <family val="2"/>
      </rPr>
      <t xml:space="preserve">自由現金流率＝自由現金流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營收總額（截頂後）</t>
    </r>
  </si>
  <si>
    <r>
      <rPr>
        <sz val="9"/>
        <color rgb="FF595959"/>
        <rFont val="Noto Sans CJK SC"/>
        <family val="2"/>
      </rPr>
      <t xml:space="preserve">對照：管理層燒錢占營收預測 </t>
    </r>
    <r>
      <rPr>
        <sz val="9"/>
        <color rgb="FF595959"/>
        <rFont val="Arial"/>
        <family val="0"/>
        <charset val="1"/>
      </rPr>
      <t xml:space="preserve">2026 33%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Reverse </t>
    </r>
    <r>
      <rPr>
        <sz val="9"/>
        <color rgb="FF595959"/>
        <rFont val="Noto Sans CJK SC"/>
        <family val="2"/>
      </rPr>
      <t xml:space="preserve">第五節）</t>
    </r>
  </si>
  <si>
    <t xml:space="preserve">F10</t>
  </si>
  <si>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淨損中的非現金會計費用（可轉換融資重估；不進現金流）</t>
    </r>
  </si>
  <si>
    <r>
      <rPr>
        <sz val="9"/>
        <color rgb="FF595959"/>
        <rFont val="Arial"/>
        <family val="0"/>
        <charset val="1"/>
      </rPr>
      <t xml:space="preserve">SRC_ANT_281</t>
    </r>
    <r>
      <rPr>
        <sz val="9"/>
        <color rgb="FF595959"/>
        <rFont val="Noto Sans CJK SC"/>
        <family val="2"/>
      </rPr>
      <t xml:space="preserve">（說明書）</t>
    </r>
  </si>
  <si>
    <t xml:space="preserve">F11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</si>
  <si>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現金燃燒預測（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實際燃燒未揭露）</t>
    </r>
  </si>
  <si>
    <r>
      <rPr>
        <sz val="9"/>
        <color rgb="FF595959"/>
        <rFont val="Arial"/>
        <family val="0"/>
        <charset val="1"/>
      </rPr>
      <t xml:space="preserve">SRC_ANT_352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實際燃燒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SRC_ANT_290</t>
    </r>
    <r>
      <rPr>
        <sz val="9"/>
        <color rgb="FF595959"/>
        <rFont val="Noto Sans CJK SC"/>
        <family val="2"/>
      </rPr>
      <t xml:space="preserve">）；模型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自由現金流見上列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</t>
    </r>
  </si>
  <si>
    <r>
      <rPr>
        <b val="true"/>
        <sz val="10"/>
        <rFont val="Noto Sans CJK SC"/>
        <family val="2"/>
      </rPr>
      <t xml:space="preserve">二、已到位融資（來源順序 ②；工作單 </t>
    </r>
    <r>
      <rPr>
        <b val="true"/>
        <sz val="10"/>
        <rFont val="Arial"/>
        <family val="0"/>
        <charset val="1"/>
      </rPr>
      <t xml:space="preserve">A4 </t>
    </r>
    <r>
      <rPr>
        <b val="true"/>
        <sz val="10"/>
        <rFont val="Noto Sans CJK SC"/>
        <family val="2"/>
      </rPr>
      <t xml:space="preserve">預設：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已宣布且已完成交割者；避免與期初現金、</t>
    </r>
    <r>
      <rPr>
        <b val="true"/>
        <sz val="10"/>
        <rFont val="Arial"/>
        <family val="0"/>
        <charset val="1"/>
      </rPr>
      <t xml:space="preserve">Series H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$15B </t>
    </r>
    <r>
      <rPr>
        <b val="true"/>
        <sz val="10"/>
        <rFont val="Noto Sans CJK SC"/>
        <family val="2"/>
      </rPr>
      <t xml:space="preserve">重複）</t>
    </r>
  </si>
  <si>
    <t xml:space="preserve">F12</t>
  </si>
  <si>
    <r>
      <rPr>
        <sz val="10"/>
        <color rgb="FF000000"/>
        <rFont val="Arial"/>
        <family val="0"/>
        <charset val="1"/>
      </rPr>
      <t xml:space="preserve">Series 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Coatue </t>
    </r>
    <r>
      <rPr>
        <sz val="10"/>
        <color rgb="FF000000"/>
        <rFont val="Noto Sans CJK SC"/>
        <family val="2"/>
      </rPr>
      <t xml:space="preserve">領投）</t>
    </r>
  </si>
  <si>
    <r>
      <rPr>
        <sz val="9"/>
        <color rgb="FF595959"/>
        <rFont val="Arial"/>
        <family val="0"/>
        <charset val="1"/>
      </rPr>
      <t xml:space="preserve">SRC_ANT_302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先前承諾的一部分（金額未揭露）</t>
    </r>
  </si>
  <si>
    <t xml:space="preserve">F13</t>
  </si>
  <si>
    <r>
      <rPr>
        <sz val="10"/>
        <color rgb="FF000000"/>
        <rFont val="Arial"/>
        <family val="0"/>
        <charset val="1"/>
      </rPr>
      <t xml:space="preserve">Amazon Series G </t>
    </r>
    <r>
      <rPr>
        <sz val="10"/>
        <color rgb="FF000000"/>
        <rFont val="Noto Sans CJK SC"/>
        <family val="2"/>
      </rPr>
      <t xml:space="preserve">無投票權特別股（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；開關）</t>
    </r>
  </si>
  <si>
    <r>
      <rPr>
        <sz val="9"/>
        <color rgb="FF595959"/>
        <rFont val="Arial"/>
        <family val="0"/>
        <charset val="1"/>
      </rPr>
      <t xml:space="preserve">SRC_ANT_319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Amazon 10-Q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）；晚於 </t>
    </r>
    <r>
      <rPr>
        <sz val="9"/>
        <color rgb="FF595959"/>
        <rFont val="Arial"/>
        <family val="0"/>
        <charset val="1"/>
      </rPr>
      <t xml:space="preserve">Series G </t>
    </r>
    <r>
      <rPr>
        <sz val="9"/>
        <color rgb="FF595959"/>
        <rFont val="Noto Sans CJK SC"/>
        <family val="2"/>
      </rPr>
      <t xml:space="preserve">交割 → 另計（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開關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</si>
  <si>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F14</t>
  </si>
  <si>
    <r>
      <rPr>
        <sz val="10"/>
        <color rgb="FF000000"/>
        <rFont val="Arial"/>
        <family val="0"/>
        <charset val="1"/>
      </rPr>
      <t xml:space="preserve">Series 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$65B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先前承諾的雲端業者投資）</t>
    </r>
  </si>
  <si>
    <r>
      <rPr>
        <sz val="9"/>
        <color rgb="FF595959"/>
        <rFont val="Arial"/>
        <family val="0"/>
        <charset val="1"/>
      </rPr>
      <t xml:space="preserve">SRC_ANT_298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$15B </t>
    </r>
    <r>
      <rPr>
        <sz val="9"/>
        <color rgb="FF595959"/>
        <rFont val="Noto Sans CJK SC"/>
        <family val="2"/>
      </rPr>
      <t xml:space="preserve">中 </t>
    </r>
    <r>
      <rPr>
        <sz val="9"/>
        <color rgb="FF595959"/>
        <rFont val="Arial"/>
        <family val="0"/>
        <charset val="1"/>
      </rPr>
      <t xml:space="preserve">Amazon $5B </t>
    </r>
    <r>
      <rPr>
        <sz val="9"/>
        <color rgb="FF595959"/>
        <rFont val="Noto Sans CJK SC"/>
        <family val="2"/>
      </rPr>
      <t xml:space="preserve">經融資額度（</t>
    </r>
    <r>
      <rPr>
        <sz val="9"/>
        <color rgb="FF595959"/>
        <rFont val="Arial"/>
        <family val="0"/>
        <charset val="1"/>
      </rPr>
      <t xml:space="preserve">SRC_ANT_320</t>
    </r>
    <r>
      <rPr>
        <sz val="9"/>
        <color rgb="FF595959"/>
        <rFont val="Noto Sans CJK SC"/>
        <family val="2"/>
      </rPr>
      <t xml:space="preserve">），其餘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推定為 </t>
    </r>
    <r>
      <rPr>
        <sz val="9"/>
        <color rgb="FF595959"/>
        <rFont val="Arial"/>
        <family val="0"/>
        <charset val="1"/>
      </rPr>
      <t xml:space="preserve">Google 2026-04 </t>
    </r>
    <r>
      <rPr>
        <sz val="9"/>
        <color rgb="FF595959"/>
        <rFont val="Noto Sans CJK SC"/>
        <family val="2"/>
      </rPr>
      <t xml:space="preserve">即時投資</t>
    </r>
  </si>
  <si>
    <t xml:space="preserve">F15</t>
  </si>
  <si>
    <t xml:space="preserve">　其中：先前承諾的雲端業者投資（只列示）</t>
  </si>
  <si>
    <r>
      <rPr>
        <sz val="9"/>
        <color rgb="FF595959"/>
        <rFont val="Arial"/>
        <family val="0"/>
        <charset val="1"/>
      </rPr>
      <t xml:space="preserve">SRC_ANT_300</t>
    </r>
    <r>
      <rPr>
        <sz val="9"/>
        <color rgb="FF595959"/>
        <rFont val="Noto Sans CJK SC"/>
        <family val="2"/>
      </rPr>
      <t xml:space="preserve">；不另計</t>
    </r>
  </si>
  <si>
    <t xml:space="preserve">F16</t>
  </si>
  <si>
    <r>
      <rPr>
        <sz val="10"/>
        <color rgb="FF000000"/>
        <rFont val="Arial"/>
        <family val="0"/>
        <charset val="1"/>
      </rPr>
      <t xml:space="preserve">Microsoft $5B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；開關，基準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＝已在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年底現金內）</t>
    </r>
  </si>
  <si>
    <r>
      <rPr>
        <sz val="9"/>
        <color rgb="FF595959"/>
        <rFont val="Arial"/>
        <family val="0"/>
        <charset val="1"/>
      </rPr>
      <t xml:space="preserve">SRC_ANT_331</t>
    </r>
    <r>
      <rPr>
        <sz val="9"/>
        <color rgb="FF595959"/>
        <rFont val="Noto Sans CJK SC"/>
        <family val="2"/>
      </rPr>
      <t xml:space="preserve">；規格 </t>
    </r>
    <r>
      <rPr>
        <sz val="9"/>
        <color rgb="FF595959"/>
        <rFont val="Arial"/>
        <family val="0"/>
        <charset val="1"/>
      </rPr>
      <t xml:space="preserve">D16 r1 </t>
    </r>
    <r>
      <rPr>
        <sz val="9"/>
        <color rgb="FF595959"/>
        <rFont val="Noto Sans CJK SC"/>
        <family val="2"/>
      </rPr>
      <t xml:space="preserve">列為已到位 → 以期初現金涵蓋，避免重複</t>
    </r>
  </si>
  <si>
    <t xml:space="preserve">F17</t>
  </si>
  <si>
    <r>
      <rPr>
        <sz val="10"/>
        <color rgb="FF000000"/>
        <rFont val="Arial"/>
        <family val="0"/>
        <charset val="1"/>
      </rPr>
      <t xml:space="preserve">Google 2026-04 </t>
    </r>
    <r>
      <rPr>
        <sz val="10"/>
        <color rgb="FF000000"/>
        <rFont val="Noto Sans CJK SC"/>
        <family val="2"/>
      </rPr>
      <t xml:space="preserve">即時投資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（開關，基準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＝視為 </t>
    </r>
    <r>
      <rPr>
        <sz val="10"/>
        <color rgb="FF000000"/>
        <rFont val="Arial"/>
        <family val="0"/>
        <charset val="1"/>
      </rPr>
      <t xml:space="preserve">Series H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$15B </t>
    </r>
    <r>
      <rPr>
        <sz val="10"/>
        <color rgb="FF000000"/>
        <rFont val="Noto Sans CJK SC"/>
        <family val="2"/>
      </rPr>
      <t xml:space="preserve">之一）</t>
    </r>
  </si>
  <si>
    <r>
      <rPr>
        <sz val="9"/>
        <color rgb="FF595959"/>
        <rFont val="Arial"/>
        <family val="0"/>
        <charset val="1"/>
      </rPr>
      <t xml:space="preserve">SRC_ANT_328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雲端業者部分是否同一筆未證實</t>
    </r>
  </si>
  <si>
    <t xml:space="preserve">F18</t>
  </si>
  <si>
    <t xml:space="preserve">已到位融資合計</t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</si>
  <si>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</t>
    </r>
  </si>
  <si>
    <t xml:space="preserve">F19</t>
  </si>
  <si>
    <r>
      <rPr>
        <sz val="10"/>
        <color rgb="FF000000"/>
        <rFont val="Noto Sans CJK SC"/>
        <family val="2"/>
      </rPr>
      <t xml:space="preserve">員工股份出售（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$5–6B</t>
    </r>
    <r>
      <rPr>
        <sz val="10"/>
        <color rgb="FF000000"/>
        <rFont val="Noto Sans CJK SC"/>
        <family val="2"/>
      </rPr>
      <t xml:space="preserve">）：不計入（現金不進公司；工作單 </t>
    </r>
    <r>
      <rPr>
        <sz val="10"/>
        <color rgb="FF000000"/>
        <rFont val="Arial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預設）</t>
    </r>
  </si>
  <si>
    <r>
      <rPr>
        <sz val="9"/>
        <color rgb="FF595959"/>
        <rFont val="Arial"/>
        <family val="0"/>
        <charset val="1"/>
      </rPr>
      <t xml:space="preserve">SRC_ANT_335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336</t>
    </r>
  </si>
  <si>
    <t xml:space="preserve">F20</t>
  </si>
  <si>
    <r>
      <rPr>
        <sz val="10"/>
        <color rgb="FF000000"/>
        <rFont val="Noto Sans CJK SC"/>
        <family val="2"/>
      </rPr>
      <t xml:space="preserve">對照：成立以來私募累計 </t>
    </r>
    <r>
      <rPr>
        <sz val="10"/>
        <color rgb="FF000000"/>
        <rFont val="Arial"/>
        <family val="0"/>
        <charset val="1"/>
      </rPr>
      <t xml:space="preserve">&gt;$125B</t>
    </r>
    <r>
      <rPr>
        <sz val="10"/>
        <color rgb="FF000000"/>
        <rFont val="Noto Sans CJK SC"/>
        <family val="2"/>
      </rPr>
      <t xml:space="preserve">（招股書草稿）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已知各輪加總（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可轉債、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G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</si>
  <si>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＝招股書下限；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＝已知各輪（不含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年以前各輪，故應 ≥ 招股書下限附近）；只對照</t>
    </r>
  </si>
  <si>
    <r>
      <rPr>
        <b val="true"/>
        <sz val="10"/>
        <rFont val="Noto Sans CJK SC"/>
        <family val="2"/>
      </rPr>
      <t xml:space="preserve">三、條件式融資與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：不計入基準，列情境；開關＝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 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AMD </t>
    </r>
    <r>
      <rPr>
        <b val="true"/>
        <sz val="10"/>
        <rFont val="Noto Sans CJK SC"/>
        <family val="2"/>
      </rPr>
      <t xml:space="preserve">計入基準）</t>
    </r>
  </si>
  <si>
    <t xml:space="preserve">F21</t>
  </si>
  <si>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募資（報導約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2026-11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</si>
  <si>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）；含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可能的基石認購</t>
    </r>
  </si>
  <si>
    <t xml:space="preserve">F22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</si>
  <si>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剩餘融資額度（依算力交付里程碑；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</si>
  <si>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）；以新可轉債提領（屬債務性質）</t>
    </r>
  </si>
  <si>
    <t xml:space="preserve">F23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</si>
  <si>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條件式（績效目標；最高 </t>
    </r>
    <r>
      <rPr>
        <sz val="10"/>
        <color rgb="FF000000"/>
        <rFont val="Arial"/>
        <family val="0"/>
        <charset val="1"/>
      </rPr>
      <t xml:space="preserve">$30B</t>
    </r>
    <r>
      <rPr>
        <sz val="10"/>
        <color rgb="FF000000"/>
        <rFont val="Noto Sans CJK SC"/>
        <family val="2"/>
      </rPr>
      <t xml:space="preserve">）</t>
    </r>
  </si>
  <si>
    <t xml:space="preserve">F24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</si>
  <si>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（已到位金額未揭露）</t>
    </r>
  </si>
  <si>
    <r>
      <rPr>
        <sz val="9"/>
        <color rgb="FF595959"/>
        <rFont val="Arial"/>
        <family val="0"/>
        <charset val="1"/>
      </rPr>
      <t xml:space="preserve">SRC_ANT_330 − 331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Noto Sans CJK SC"/>
        <family val="2"/>
      </rPr>
      <t xml:space="preserve">基石（</t>
    </r>
    <r>
      <rPr>
        <sz val="9"/>
        <color rgb="FF595959"/>
        <rFont val="Arial"/>
        <family val="0"/>
        <charset val="1"/>
      </rPr>
      <t xml:space="preserve">SRC_ANT_333</t>
    </r>
    <r>
      <rPr>
        <sz val="9"/>
        <color rgb="FF595959"/>
        <rFont val="Noto Sans CJK SC"/>
        <family val="2"/>
      </rPr>
      <t xml:space="preserve">）可能同一筆</t>
    </r>
  </si>
  <si>
    <t xml:space="preserve">F25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</si>
  <si>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</t>
    </r>
  </si>
  <si>
    <t xml:space="preserve">F26</t>
  </si>
  <si>
    <r>
      <rPr>
        <sz val="10"/>
        <color rgb="FF000000"/>
        <rFont val="Noto Sans CJK SC"/>
        <family val="2"/>
      </rPr>
      <t xml:space="preserve">計入基準的條件式（開關 </t>
    </r>
    <r>
      <rPr>
        <sz val="10"/>
        <color rgb="FF000000"/>
        <rFont val="Arial"/>
        <family val="0"/>
        <charset val="1"/>
      </rPr>
      <t xml:space="preserve">× IPO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</si>
  <si>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基準開關 </t>
    </r>
    <r>
      <rPr>
        <sz val="9"/>
        <color rgb="FF595959"/>
        <rFont val="Arial"/>
        <family val="0"/>
        <charset val="1"/>
      </rPr>
      <t xml:space="preserve">0</t>
    </r>
  </si>
  <si>
    <t xml:space="preserve">F27</t>
  </si>
  <si>
    <t xml:space="preserve">計入基準的股權流入＝已到位＋計入基準的條件式</t>
  </si>
  <si>
    <r>
      <rPr>
        <b val="true"/>
        <sz val="10"/>
        <rFont val="Noto Sans CJK SC"/>
        <family val="2"/>
      </rPr>
      <t xml:space="preserve">四、現金與外部資金需求（基準；</t>
    </r>
    <r>
      <rPr>
        <b val="true"/>
        <sz val="10"/>
        <rFont val="Arial"/>
        <family val="0"/>
        <charset val="1"/>
      </rPr>
      <t xml:space="preserve">D17 </t>
    </r>
    <r>
      <rPr>
        <b val="true"/>
        <sz val="10"/>
        <rFont val="Noto Sans CJK SC"/>
        <family val="2"/>
      </rPr>
      <t xml:space="preserve">最低現金；外部資金需求＝年底現金低於最低現金的差額）</t>
    </r>
  </si>
  <si>
    <t xml:space="preserve">F28</t>
  </si>
  <si>
    <r>
      <rPr>
        <sz val="10"/>
        <color rgb="FF000000"/>
        <rFont val="Noto Sans CJK SC"/>
        <family val="2"/>
      </rPr>
      <t xml:space="preserve">最低現金＝次年非算力成本（不含股權報酬）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</si>
  <si>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6 </t>
    </r>
    <r>
      <rPr>
        <sz val="9"/>
        <color rgb="FF595959"/>
        <rFont val="Noto Sans CJK SC"/>
        <family val="2"/>
      </rPr>
      <t xml:space="preserve">個月（</t>
    </r>
    <r>
      <rPr>
        <sz val="9"/>
        <color rgb="FF595959"/>
        <rFont val="Arial"/>
        <family val="0"/>
        <charset val="1"/>
      </rPr>
      <t xml:space="preserve">3–12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無次年 → 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本年</t>
    </r>
  </si>
  <si>
    <t xml:space="preserve">F29</t>
  </si>
  <si>
    <t xml:space="preserve">期初現金（來源順序 ①）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</si>
  <si>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 </t>
    </r>
    <r>
      <rPr>
        <sz val="9"/>
        <color rgb="FF595959"/>
        <rFont val="Arial"/>
        <family val="0"/>
        <charset val="1"/>
      </rPr>
      <t xml:space="preserve">20.28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SRC_ANT_305</t>
    </r>
    <r>
      <rPr>
        <sz val="9"/>
        <color rgb="FF595959"/>
        <rFont val="Noto Sans CJK SC"/>
        <family val="2"/>
      </rPr>
      <t xml:space="preserve">）；之後＝前一年年底現金</t>
    </r>
  </si>
  <si>
    <t xml:space="preserve">F30</t>
  </si>
  <si>
    <t xml:space="preserve">補足前年底現金＝期初＋自由現金流＋股權流入</t>
  </si>
  <si>
    <t xml:space="preserve">F31</t>
  </si>
  <si>
    <t xml:space="preserve">當年外部資金需求（來源順序 ③）</t>
  </si>
  <si>
    <t xml:space="preserve">新股權、債務或延後承諾（不分種類）</t>
  </si>
  <si>
    <t xml:space="preserve">F32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</si>
  <si>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（實際）</t>
    </r>
  </si>
  <si>
    <t xml:space="preserve">F33</t>
  </si>
  <si>
    <t xml:space="preserve">F34</t>
  </si>
  <si>
    <t xml:space="preserve">檢查：年底現金 −（期初＋自由現金流＋股權流入＋外部資金）</t>
  </si>
  <si>
    <t xml:space="preserve">F35</t>
  </si>
  <si>
    <t xml:space="preserve">現金餘裕＝年底現金 − 最低現金</t>
  </si>
  <si>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值＝若額外支出（例如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起新簽算力）不早於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可再承擔而不需外部資金的上限（仍受各年餘裕約束）</t>
    </r>
  </si>
  <si>
    <t xml:space="preserve">F36</t>
  </si>
  <si>
    <r>
      <rPr>
        <sz val="10"/>
        <color rgb="FF000000"/>
        <rFont val="Noto Sans CJK SC"/>
        <family val="2"/>
      </rPr>
      <t xml:space="preserve">缺口旗標（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＝當年需要外部資金）</t>
    </r>
  </si>
  <si>
    <t xml:space="preserve">F37</t>
  </si>
  <si>
    <t xml:space="preserve">缺口年度標示</t>
  </si>
  <si>
    <t xml:space="preserve">F38</t>
  </si>
  <si>
    <t xml:space="preserve">只靠已到位融資（不另募）的年底現金</t>
  </si>
  <si>
    <t xml:space="preserve">已到位融資能撐到哪一年（可為負）</t>
  </si>
  <si>
    <t xml:space="preserve">F39</t>
  </si>
  <si>
    <t xml:space="preserve">只靠已到位融資：低於最低現金的年度標示</t>
  </si>
  <si>
    <t xml:space="preserve">F40</t>
  </si>
  <si>
    <r>
      <rPr>
        <sz val="10"/>
        <color rgb="FF000000"/>
        <rFont val="Noto Sans CJK SC"/>
        <family val="2"/>
      </rPr>
      <t xml:space="preserve">峰值年度標示（當年外部資金需求＝最大且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）</t>
    </r>
  </si>
  <si>
    <t xml:space="preserve">F41</t>
  </si>
  <si>
    <t xml:space="preserve">首次缺口年（無則「無」）</t>
  </si>
  <si>
    <t xml:space="preserve">F42</t>
  </si>
  <si>
    <t xml:space="preserve">單年外部資金需求峰值</t>
  </si>
  <si>
    <t xml:space="preserve">F43</t>
  </si>
  <si>
    <t xml:space="preserve">峰值年</t>
  </si>
  <si>
    <t xml:space="preserve">F44</t>
  </si>
  <si>
    <r>
      <rPr>
        <sz val="10"/>
        <color rgb="FF000000"/>
        <rFont val="Noto Sans CJK SC"/>
        <family val="2"/>
      </rPr>
      <t xml:space="preserve">只靠已到位融資的現金谷底（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</si>
  <si>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sz val="9"/>
        <color rgb="FF595959"/>
        <rFont val="Noto Sans CJK SC"/>
        <family val="2"/>
      </rPr>
      <t xml:space="preserve">負＝需外部資金補到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以上的金額（不含最低現金）</t>
    </r>
  </si>
  <si>
    <t xml:space="preserve">F45</t>
  </si>
  <si>
    <t xml:space="preserve">只靠已到位融資：首次低於最低現金年</t>
  </si>
  <si>
    <r>
      <rPr>
        <b val="true"/>
        <sz val="10"/>
        <rFont val="Noto Sans CJK SC"/>
        <family val="2"/>
      </rPr>
      <t xml:space="preserve">五、情境（同一規則；基準開關不影響情境列）：</t>
    </r>
    <r>
      <rPr>
        <b val="true"/>
        <sz val="10"/>
        <rFont val="Arial"/>
        <family val="0"/>
        <charset val="1"/>
      </rPr>
      <t xml:space="preserve">S1 IPO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S2 </t>
    </r>
    <r>
      <rPr>
        <b val="true"/>
        <sz val="10"/>
        <rFont val="Noto Sans CJK SC"/>
        <family val="2"/>
      </rPr>
      <t xml:space="preserve">條件式、</t>
    </r>
    <r>
      <rPr>
        <b val="true"/>
        <sz val="10"/>
        <rFont val="Arial"/>
        <family val="0"/>
        <charset val="1"/>
      </rPr>
      <t xml:space="preserve">S3 </t>
    </r>
    <r>
      <rPr>
        <b val="true"/>
        <sz val="10"/>
        <rFont val="Noto Sans CJK SC"/>
        <family val="2"/>
      </rPr>
      <t xml:space="preserve">全部、</t>
    </r>
    <r>
      <rPr>
        <b val="true"/>
        <sz val="10"/>
        <rFont val="Arial"/>
        <family val="0"/>
        <charset val="1"/>
      </rPr>
      <t xml:space="preserve">S4 </t>
    </r>
    <r>
      <rPr>
        <b val="true"/>
        <sz val="10"/>
        <rFont val="Noto Sans CJK SC"/>
        <family val="2"/>
      </rPr>
      <t xml:space="preserve">逐家錨定招股書／</t>
    </r>
    <r>
      <rPr>
        <b val="true"/>
        <sz val="10"/>
        <rFont val="Arial"/>
        <family val="0"/>
        <charset val="1"/>
      </rPr>
      <t xml:space="preserve">S-1 </t>
    </r>
    <r>
      <rPr>
        <b val="true"/>
        <sz val="10"/>
        <rFont val="Noto Sans CJK SC"/>
        <family val="2"/>
      </rPr>
      <t xml:space="preserve">草稿、</t>
    </r>
    <r>
      <rPr>
        <b val="true"/>
        <sz val="10"/>
        <rFont val="Arial"/>
        <family val="0"/>
        <charset val="1"/>
      </rPr>
      <t xml:space="preserve">S5 </t>
    </r>
    <r>
      <rPr>
        <b val="true"/>
        <sz val="10"/>
        <rFont val="Noto Sans CJK SC"/>
        <family val="2"/>
      </rPr>
      <t xml:space="preserve">機房租金、</t>
    </r>
    <r>
      <rPr>
        <b val="true"/>
        <sz val="10"/>
        <rFont val="Arial"/>
        <family val="0"/>
        <charset val="1"/>
      </rPr>
      <t xml:space="preserve">S6 D22 </t>
    </r>
    <r>
      <rPr>
        <b val="true"/>
        <sz val="10"/>
        <rFont val="Noto Sans CJK SC"/>
        <family val="2"/>
      </rPr>
      <t xml:space="preserve">非算力補足、</t>
    </r>
    <r>
      <rPr>
        <b val="true"/>
        <sz val="10"/>
        <rFont val="Arial"/>
        <family val="0"/>
        <charset val="1"/>
      </rPr>
      <t xml:space="preserve">S7 S4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S5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S6 </t>
    </r>
    <r>
      <rPr>
        <b val="true"/>
        <sz val="10"/>
        <rFont val="Noto Sans CJK SC"/>
        <family val="2"/>
      </rPr>
      <t xml:space="preserve">合併、</t>
    </r>
    <r>
      <rPr>
        <b val="true"/>
        <sz val="10"/>
        <rFont val="Arial"/>
        <family val="0"/>
        <charset val="1"/>
      </rPr>
      <t xml:space="preserve">S8 </t>
    </r>
    <r>
      <rPr>
        <b val="true"/>
        <sz val="10"/>
        <rFont val="Noto Sans CJK SC"/>
        <family val="2"/>
      </rPr>
      <t xml:space="preserve">談判中新協議（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）</t>
    </r>
  </si>
  <si>
    <t xml:space="preserve">F46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</si>
  <si>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</si>
  <si>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</si>
  <si>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</si>
  <si>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</si>
  <si>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</si>
  <si>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F49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</si>
  <si>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</si>
  <si>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</si>
  <si>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）</t>
    </r>
  </si>
  <si>
    <t xml:space="preserve">F51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</si>
  <si>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</si>
  <si>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</si>
  <si>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</si>
  <si>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</si>
  <si>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</si>
  <si>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</si>
  <si>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</si>
  <si>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</si>
  <si>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：＋條件式（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））</t>
    </r>
  </si>
  <si>
    <t xml:space="preserve">F56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</si>
  <si>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</si>
  <si>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</si>
  <si>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</si>
  <si>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</si>
  <si>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</si>
  <si>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F59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</si>
  <si>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</si>
  <si>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</si>
  <si>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：＋</t>
    </r>
    <r>
      <rPr>
        <sz val="10"/>
        <color rgb="FF000000"/>
        <rFont val="Arial"/>
        <family val="0"/>
        <charset val="1"/>
      </rPr>
      <t xml:space="preserve">IPO</t>
    </r>
    <r>
      <rPr>
        <sz val="10"/>
        <color rgb="FF000000"/>
        <rFont val="Noto Sans CJK SC"/>
        <family val="2"/>
      </rPr>
      <t xml:space="preserve">＋條件式（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視為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基石，不另計））</t>
    </r>
  </si>
  <si>
    <t xml:space="preserve">F61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</si>
  <si>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</si>
  <si>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r>
      <rPr>
        <sz val="9"/>
        <color rgb="FF595959"/>
        <rFont val="Noto Sans CJK SC"/>
        <family val="2"/>
      </rPr>
      <t xml:space="preserve">自由現金流改用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第十三節（算力成本、容量上限、營收連動）</t>
    </r>
  </si>
  <si>
    <t xml:space="preserve">F62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</si>
  <si>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</si>
  <si>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</si>
  <si>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</si>
  <si>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</si>
  <si>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</si>
  <si>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</si>
  <si>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：逐家錨定招股書金額）</t>
    </r>
  </si>
  <si>
    <t xml:space="preserve">F66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</si>
  <si>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</si>
  <si>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第十四節</t>
    </r>
  </si>
  <si>
    <t xml:space="preserve">F67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</si>
  <si>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</si>
  <si>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</si>
  <si>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</si>
  <si>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F69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</si>
  <si>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</si>
  <si>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</si>
  <si>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：加計機房租約租金）</t>
    </r>
  </si>
  <si>
    <t xml:space="preserve">F71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</si>
  <si>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</si>
  <si>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第十五節</t>
    </r>
  </si>
  <si>
    <t xml:space="preserve">F72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</si>
  <si>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</si>
  <si>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F73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</si>
  <si>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</si>
  <si>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F74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</si>
  <si>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</si>
  <si>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F75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</si>
  <si>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非算力成本補足）</t>
    </r>
  </si>
  <si>
    <t xml:space="preserve">F76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</si>
  <si>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</si>
  <si>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F77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</si>
  <si>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</si>
  <si>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F78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</si>
  <si>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</si>
  <si>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F79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</si>
  <si>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</si>
  <si>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t xml:space="preserve">F80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</si>
  <si>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S6 </t>
    </r>
    <r>
      <rPr>
        <sz val="10"/>
        <color rgb="FF000000"/>
        <rFont val="Noto Sans CJK SC"/>
        <family val="2"/>
      </rPr>
      <t xml:space="preserve">合併（不利））</t>
    </r>
  </si>
  <si>
    <r>
      <rPr>
        <b val="true"/>
        <sz val="10"/>
        <rFont val="Noto Sans CJK SC"/>
        <family val="2"/>
      </rPr>
      <t xml:space="preserve">六、或有負債與承諾（</t>
    </r>
    <r>
      <rPr>
        <b val="true"/>
        <sz val="10"/>
        <rFont val="Arial"/>
        <family val="0"/>
        <charset val="1"/>
      </rPr>
      <t xml:space="preserve">D16 r1</t>
    </r>
    <r>
      <rPr>
        <b val="true"/>
        <sz val="10"/>
        <rFont val="Noto Sans CJK SC"/>
        <family val="2"/>
      </rPr>
      <t xml:space="preserve">：只列示，不作資金來源）</t>
    </r>
  </si>
  <si>
    <t xml:space="preserve">F81</t>
  </si>
  <si>
    <r>
      <rPr>
        <sz val="10"/>
        <color rgb="FF000000"/>
        <rFont val="Noto Sans CJK SC"/>
        <family val="2"/>
      </rPr>
      <t xml:space="preserve">循環信貸額度（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；招股書稱已有／定案中）</t>
    </r>
  </si>
  <si>
    <r>
      <rPr>
        <sz val="9"/>
        <color rgb="FF595959"/>
        <rFont val="Arial"/>
        <family val="0"/>
        <charset val="1"/>
      </rPr>
      <t xml:space="preserve">SRC_ANT_306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344</t>
    </r>
  </si>
  <si>
    <t xml:space="preserve">F82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</si>
  <si>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租賃融資（可轉換票據，最高 </t>
    </r>
    <r>
      <rPr>
        <sz val="10"/>
        <color rgb="FF000000"/>
        <rFont val="Arial"/>
        <family val="0"/>
        <charset val="1"/>
      </rPr>
      <t xml:space="preserve">$42B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後）</t>
    </r>
  </si>
  <si>
    <r>
      <rPr>
        <sz val="9"/>
        <color rgb="FF595959"/>
        <rFont val="Arial"/>
        <family val="0"/>
        <charset val="1"/>
      </rPr>
      <t xml:space="preserve">SRC_ANT_251</t>
    </r>
    <r>
      <rPr>
        <sz val="9"/>
        <color rgb="FF595959"/>
        <rFont val="Noto Sans CJK SC"/>
        <family val="2"/>
      </rPr>
      <t xml:space="preserve">（招股書草稿經 </t>
    </r>
    <r>
      <rPr>
        <sz val="9"/>
        <color rgb="FF595959"/>
        <rFont val="Arial"/>
        <family val="0"/>
        <charset val="1"/>
      </rPr>
      <t xml:space="preserve">Reuters</t>
    </r>
    <r>
      <rPr>
        <sz val="9"/>
        <color rgb="FF595959"/>
        <rFont val="Noto Sans CJK SC"/>
        <family val="2"/>
      </rPr>
      <t xml:space="preserve">）</t>
    </r>
  </si>
  <si>
    <t xml:space="preserve">F83</t>
  </si>
  <si>
    <r>
      <rPr>
        <sz val="10"/>
        <color rgb="FF000000"/>
        <rFont val="Noto Sans CJK SC"/>
        <family val="2"/>
      </rPr>
      <t xml:space="preserve">表外 </t>
    </r>
    <r>
      <rPr>
        <sz val="10"/>
        <color rgb="FF000000"/>
        <rFont val="Arial"/>
        <family val="0"/>
        <charset val="1"/>
      </rPr>
      <t xml:space="preserve">Google TPU </t>
    </r>
    <r>
      <rPr>
        <sz val="10"/>
        <color rgb="FF000000"/>
        <rFont val="Noto Sans CJK SC"/>
        <family val="2"/>
      </rPr>
      <t xml:space="preserve">融資 </t>
    </r>
    <r>
      <rPr>
        <sz val="10"/>
        <color rgb="FF000000"/>
        <rFont val="Arial"/>
        <family val="0"/>
        <charset val="1"/>
      </rPr>
      <t xml:space="preserve">SPV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&gt;$71B</t>
    </r>
    <r>
      <rPr>
        <sz val="10"/>
        <color rgb="FF000000"/>
        <rFont val="Noto Sans CJK SC"/>
        <family val="2"/>
      </rPr>
      <t xml:space="preserve">；單一來源，未證實）</t>
    </r>
  </si>
  <si>
    <r>
      <rPr>
        <sz val="9"/>
        <color rgb="FF595959"/>
        <rFont val="Arial"/>
        <family val="0"/>
        <charset val="1"/>
      </rPr>
      <t xml:space="preserve">SRC_ANT_307</t>
    </r>
    <r>
      <rPr>
        <sz val="9"/>
        <color rgb="FF595959"/>
        <rFont val="Noto Sans CJK SC"/>
        <family val="2"/>
      </rPr>
      <t xml:space="preserve">（只有 </t>
    </r>
    <r>
      <rPr>
        <sz val="9"/>
        <color rgb="FF595959"/>
        <rFont val="Arial"/>
        <family val="0"/>
        <charset val="1"/>
      </rPr>
      <t xml:space="preserve">ZeroHedge </t>
    </r>
    <r>
      <rPr>
        <sz val="9"/>
        <color rgb="FF595959"/>
        <rFont val="Noto Sans CJK SC"/>
        <family val="2"/>
      </rPr>
      <t xml:space="preserve">轉述）</t>
    </r>
  </si>
  <si>
    <t xml:space="preserve">F84</t>
  </si>
  <si>
    <t xml:space="preserve">或有負債合計（只列示）</t>
  </si>
  <si>
    <t xml:space="preserve">不進現金流與外部資金需求</t>
  </si>
  <si>
    <t xml:space="preserve">F85</t>
  </si>
  <si>
    <r>
      <rPr>
        <sz val="10"/>
        <color rgb="FF000000"/>
        <rFont val="Noto Sans CJK SC"/>
        <family val="2"/>
      </rPr>
      <t xml:space="preserve">合約剩餘承諾（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年後應付）＝各新合約總額 −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實付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</si>
  <si>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第十一節總額（模型）；只列示</t>
    </r>
  </si>
  <si>
    <t xml:space="preserve">F86</t>
  </si>
  <si>
    <t xml:space="preserve">對照：招股書承諾中不可取消比例（約）</t>
  </si>
  <si>
    <r>
      <rPr>
        <sz val="9"/>
        <color rgb="FF595959"/>
        <rFont val="Arial"/>
        <family val="0"/>
        <charset val="1"/>
      </rPr>
      <t xml:space="preserve">SRC_ANT_246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xAI </t>
    </r>
    <r>
      <rPr>
        <sz val="9"/>
        <color rgb="FF595959"/>
        <rFont val="Noto Sans CJK SC"/>
        <family val="2"/>
      </rPr>
      <t xml:space="preserve">部分可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天取消</t>
    </r>
  </si>
  <si>
    <r>
      <rPr>
        <b val="true"/>
        <sz val="10"/>
        <rFont val="Noto Sans CJK SC"/>
        <family val="2"/>
      </rPr>
      <t xml:space="preserve">七、回流對照（</t>
    </r>
    <r>
      <rPr>
        <b val="true"/>
        <sz val="10"/>
        <rFont val="Arial"/>
        <family val="0"/>
        <charset val="1"/>
      </rPr>
      <t xml:space="preserve">D18</t>
    </r>
    <r>
      <rPr>
        <b val="true"/>
        <sz val="10"/>
        <rFont val="Noto Sans CJK SC"/>
        <family val="2"/>
      </rPr>
      <t xml:space="preserve">；只列對照、不沖銷）：欄位不是年度——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已到位投資、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條件式／最高可達（未到位）、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算力合約總額（招股書）、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2026–2030 </t>
    </r>
    <r>
      <rPr>
        <b val="true"/>
        <sz val="10"/>
        <rFont val="Noto Sans CJK SC"/>
        <family val="2"/>
      </rPr>
      <t xml:space="preserve">付款、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已到位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模型付款、</t>
    </r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（已到位＋條件式）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合約總額</t>
    </r>
  </si>
  <si>
    <t xml:space="preserve">F87</t>
  </si>
  <si>
    <t xml:space="preserve">表頭</t>
  </si>
  <si>
    <t xml:space="preserve">混合</t>
  </si>
  <si>
    <t xml:space="preserve">已到位投資</t>
  </si>
  <si>
    <t xml:space="preserve">條件式（未到位）</t>
  </si>
  <si>
    <t xml:space="preserve">合約總額（招股書）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</si>
  <si>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2026–30 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</si>
  <si>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已到位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付款</t>
    </r>
  </si>
  <si>
    <r>
      <rPr>
        <sz val="10"/>
        <color rgb="FF000000"/>
        <rFont val="Noto Sans CJK SC"/>
        <family val="2"/>
      </rPr>
      <t xml:space="preserve">（到位＋條件）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合約</t>
    </r>
  </si>
  <si>
    <t xml:space="preserve">F88</t>
  </si>
  <si>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（可轉債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G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Series H 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</si>
  <si>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前簽）中付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的部分未拆分，未計入</t>
    </r>
  </si>
  <si>
    <t xml:space="preserve">F89</t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</si>
  <si>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2025-03 </t>
    </r>
    <r>
      <rPr>
        <sz val="10"/>
        <color rgb="FF000000"/>
        <rFont val="Noto Sans CJK SC"/>
        <family val="2"/>
      </rPr>
      <t xml:space="preserve">前 ≥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即時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</si>
  <si>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Google </t>
    </r>
    <r>
      <rPr>
        <sz val="9"/>
        <color rgb="FF595959"/>
        <rFont val="Noto Sans CJK SC"/>
        <family val="2"/>
      </rPr>
      <t xml:space="preserve">即時 </t>
    </r>
    <r>
      <rPr>
        <sz val="9"/>
        <color rgb="FF595959"/>
        <rFont val="Arial"/>
        <family val="0"/>
        <charset val="1"/>
      </rPr>
      <t xml:space="preserve">$10B </t>
    </r>
    <r>
      <rPr>
        <sz val="9"/>
        <color rgb="FF595959"/>
        <rFont val="Noto Sans CJK SC"/>
        <family val="2"/>
      </rPr>
      <t xml:space="preserve">在基準中視為 </t>
    </r>
    <r>
      <rPr>
        <sz val="9"/>
        <color rgb="FF595959"/>
        <rFont val="Arial"/>
        <family val="0"/>
        <charset val="1"/>
      </rPr>
      <t xml:space="preserve">Series H </t>
    </r>
    <r>
      <rPr>
        <sz val="9"/>
        <color rgb="FF595959"/>
        <rFont val="Noto Sans CJK SC"/>
        <family val="2"/>
      </rPr>
      <t xml:space="preserve">的一部分（已到位）</t>
    </r>
  </si>
  <si>
    <t xml:space="preserve">F90</t>
  </si>
  <si>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（股權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；租賃融資最高 </t>
    </r>
    <r>
      <rPr>
        <sz val="10"/>
        <color rgb="FF000000"/>
        <rFont val="Arial"/>
        <family val="0"/>
        <charset val="1"/>
      </rPr>
      <t xml:space="preserve">42 </t>
    </r>
    <r>
      <rPr>
        <sz val="10"/>
        <color rgb="FF000000"/>
        <rFont val="Noto Sans CJK SC"/>
        <family val="2"/>
      </rPr>
      <t xml:space="preserve">屬債務）</t>
    </r>
  </si>
  <si>
    <r>
      <rPr>
        <sz val="9"/>
        <color rgb="FF595959"/>
        <rFont val="Arial"/>
        <family val="0"/>
        <charset val="1"/>
      </rPr>
      <t xml:space="preserve">TPU </t>
    </r>
    <r>
      <rPr>
        <sz val="9"/>
        <color rgb="FF595959"/>
        <rFont val="Noto Sans CJK SC"/>
        <family val="2"/>
      </rPr>
      <t xml:space="preserve">設備租賃；融資為可轉換票據</t>
    </r>
  </si>
  <si>
    <t xml:space="preserve">F91</t>
  </si>
  <si>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$5B</t>
    </r>
    <r>
      <rPr>
        <sz val="10"/>
        <color rgb="FF000000"/>
        <rFont val="Noto Sans CJK SC"/>
        <family val="2"/>
      </rPr>
      <t xml:space="preserve">）</t>
    </r>
  </si>
  <si>
    <t xml:space="preserve">F92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</si>
  <si>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$10B</t>
    </r>
    <r>
      <rPr>
        <sz val="10"/>
        <color rgb="FF000000"/>
        <rFont val="Noto Sans CJK SC"/>
        <family val="2"/>
      </rPr>
      <t xml:space="preserve">，已到位未揭露）</t>
    </r>
  </si>
  <si>
    <r>
      <rPr>
        <sz val="9"/>
        <color rgb="FF595959"/>
        <rFont val="Noto Sans CJK SC"/>
        <family val="2"/>
      </rPr>
      <t xml:space="preserve">無直接合約：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＝以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晶片為主的合約付款（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列重複 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）</t>
    </r>
  </si>
  <si>
    <t xml:space="preserve">F93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</si>
  <si>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（最高 </t>
    </r>
    <r>
      <rPr>
        <sz val="10"/>
        <color rgb="FF000000"/>
        <rFont val="Arial"/>
        <family val="0"/>
        <charset val="1"/>
      </rPr>
      <t xml:space="preserve">$5B </t>
    </r>
    <r>
      <rPr>
        <sz val="10"/>
        <color rgb="FF000000"/>
        <rFont val="Noto Sans CJK SC"/>
        <family val="2"/>
      </rPr>
      <t xml:space="preserve">認股）</t>
    </r>
  </si>
  <si>
    <t xml:space="preserve">F94</t>
  </si>
  <si>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不含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間接列）</t>
    </r>
  </si>
  <si>
    <r>
      <rPr>
        <sz val="9"/>
        <color rgb="FF595959"/>
        <rFont val="Noto Sans CJK SC"/>
        <family val="2"/>
      </rPr>
      <t xml:space="preserve">已到位策略投資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對同一方 </t>
    </r>
    <r>
      <rPr>
        <sz val="9"/>
        <color rgb="FF595959"/>
        <rFont val="Arial"/>
        <family val="0"/>
        <charset val="1"/>
      </rPr>
      <t xml:space="preserve">2026–2030 </t>
    </r>
    <r>
      <rPr>
        <sz val="9"/>
        <color rgb="FF595959"/>
        <rFont val="Noto Sans CJK SC"/>
        <family val="2"/>
      </rPr>
      <t xml:space="preserve">付款</t>
    </r>
  </si>
  <si>
    <r>
      <rPr>
        <b val="true"/>
        <sz val="10"/>
        <rFont val="Noto Sans CJK SC"/>
        <family val="2"/>
      </rPr>
      <t xml:space="preserve">八、</t>
    </r>
    <r>
      <rPr>
        <b val="true"/>
        <sz val="10"/>
        <rFont val="Arial"/>
        <family val="0"/>
        <charset val="1"/>
      </rPr>
      <t xml:space="preserve">v0.1.1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U7 2026 </t>
    </r>
    <r>
      <rPr>
        <b val="true"/>
        <sz val="10"/>
        <rFont val="Noto Sans CJK SC"/>
        <family val="2"/>
      </rPr>
      <t xml:space="preserve">上半年非現金費用列示（列放在本節，使既有列編號不變）</t>
    </r>
  </si>
  <si>
    <t xml:space="preserve">F95</t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</si>
  <si>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v0.1.1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為可轉換票據等融資工具重估的非現金費用（不進現金流；只列示）</t>
    </r>
  </si>
  <si>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同一處理：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一律用現金口徑</t>
    </r>
  </si>
  <si>
    <t xml:space="preserve">F96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</si>
  <si>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上半年淨損（草擬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）</t>
    </r>
  </si>
  <si>
    <t xml:space="preserve">SRC</t>
  </si>
  <si>
    <t xml:space="preserve">F97</t>
  </si>
  <si>
    <t xml:space="preserve">　淨損扣除非現金費用後的餘額（含股權報酬等；現金性約數）</t>
  </si>
  <si>
    <r>
      <rPr>
        <sz val="9"/>
        <color rgb="FF595959"/>
        <rFont val="Noto Sans CJK SC"/>
        <family val="2"/>
      </rPr>
      <t xml:space="preserve">只列示；模型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全年自由現金流見上列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</si>
  <si>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t xml:space="preserve">F98</t>
  </si>
  <si>
    <t xml:space="preserve">　非現金費用占淨損</t>
  </si>
  <si>
    <r>
      <rPr>
        <b val="true"/>
        <sz val="10"/>
        <rFont val="Noto Sans CJK SC"/>
        <family val="2"/>
      </rPr>
      <t xml:space="preserve">九、情境 </t>
    </r>
    <r>
      <rPr>
        <b val="true"/>
        <sz val="10"/>
        <rFont val="Arial"/>
        <family val="0"/>
        <charset val="1"/>
      </rPr>
      <t xml:space="preserve">S8</t>
    </r>
    <r>
      <rPr>
        <b val="true"/>
        <sz val="10"/>
        <rFont val="Noto Sans CJK SC"/>
        <family val="2"/>
      </rPr>
      <t xml:space="preserve">：談判中新協議約 </t>
    </r>
    <r>
      <rPr>
        <b val="true"/>
        <sz val="10"/>
        <rFont val="Arial"/>
        <family val="0"/>
        <charset val="1"/>
      </rPr>
      <t xml:space="preserve">$150B </t>
    </r>
    <r>
      <rPr>
        <b val="true"/>
        <sz val="10"/>
        <rFont val="Noto Sans CJK SC"/>
        <family val="2"/>
      </rPr>
      <t xml:space="preserve">全數成交（</t>
    </r>
    <r>
      <rPr>
        <b val="true"/>
        <sz val="10"/>
        <rFont val="Arial"/>
        <family val="0"/>
        <charset val="1"/>
      </rPr>
      <t xml:space="preserve">U6</t>
    </r>
    <r>
      <rPr>
        <b val="true"/>
        <sz val="10"/>
        <rFont val="Noto Sans CJK SC"/>
        <family val="2"/>
      </rPr>
      <t xml:space="preserve">；列放在本節，使既有列編號不變）。同一規則：基準股權流入、營收不因新增供給增加</t>
    </r>
  </si>
  <si>
    <t xml:space="preserve">F99</t>
  </si>
  <si>
    <r>
      <rPr>
        <sz val="10"/>
        <color rgb="FF000000"/>
        <rFont val="Noto Sans CJK SC"/>
        <family val="2"/>
      </rPr>
      <t xml:space="preserve">股權流入（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</si>
  <si>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第二十節（新增付款；營收不因新增供給增加）</t>
    </r>
  </si>
  <si>
    <t xml:space="preserve">F100</t>
  </si>
  <si>
    <r>
      <rPr>
        <sz val="10"/>
        <color rgb="FF000000"/>
        <rFont val="Noto Sans CJK SC"/>
        <family val="2"/>
      </rPr>
      <t xml:space="preserve">補足前年底現金（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</si>
  <si>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F101</t>
  </si>
  <si>
    <r>
      <rPr>
        <sz val="10"/>
        <color rgb="FF000000"/>
        <rFont val="Noto Sans CJK SC"/>
        <family val="2"/>
      </rPr>
      <t xml:space="preserve">當年外部資金需求（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</si>
  <si>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F102</t>
  </si>
  <si>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</si>
  <si>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t xml:space="preserve">F103</t>
  </si>
  <si>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S8</t>
    </r>
    <r>
      <rPr>
        <sz val="10"/>
        <color rgb="FF000000"/>
        <rFont val="Noto Sans CJK SC"/>
        <family val="2"/>
      </rPr>
      <t xml:space="preserve">：談判中新協議約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全數成交（</t>
    </r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</si>
  <si>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十、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Noto Sans CJK SC"/>
        <family val="2"/>
      </rPr>
      <t xml:space="preserve">資金三層（外部驗收 </t>
    </r>
    <r>
      <rPr>
        <b val="true"/>
        <sz val="10"/>
        <rFont val="Arial"/>
        <family val="0"/>
        <charset val="1"/>
      </rPr>
      <t xml:space="preserve">Priority 4</t>
    </r>
    <r>
      <rPr>
        <b val="true"/>
        <sz val="10"/>
        <rFont val="Noto Sans CJK SC"/>
        <family val="2"/>
      </rPr>
      <t xml:space="preserve">）：①營運自由現金流能否自給（不靠任何融資）②加已到位股權（現行基準）③再加條件式與談判中（</t>
    </r>
    <r>
      <rPr>
        <b val="true"/>
        <sz val="10"/>
        <rFont val="Arial"/>
        <family val="0"/>
        <charset val="1"/>
      </rPr>
      <t xml:space="preserve">IPO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Amazon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Google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NVIDIA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AMD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IPO </t>
    </r>
    <r>
      <rPr>
        <b val="true"/>
        <sz val="10"/>
        <rFont val="Noto Sans CJK SC"/>
        <family val="2"/>
      </rPr>
      <t xml:space="preserve">基石可能重複 → 上緣）。列放在本節，使既有列編號不變</t>
    </r>
  </si>
  <si>
    <t xml:space="preserve">F104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</si>
  <si>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層起算現金（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＝計入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年底現金；基準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＝純營運現金流）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</si>
  <si>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年底現金是過去融資所得 → 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層預設不計</t>
    </r>
  </si>
  <si>
    <t xml:space="preserve">F105</t>
  </si>
  <si>
    <r>
      <rPr>
        <sz val="10"/>
        <color rgb="FF000000"/>
        <rFont val="Noto Sans CJK SC"/>
        <family val="2"/>
      </rPr>
      <t xml:space="preserve">自由現金流累計（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起）</t>
    </r>
  </si>
  <si>
    <t xml:space="preserve">營運現金流本身的累計；轉正前的累計負值＝需靠外部提供的資金</t>
  </si>
  <si>
    <t xml:space="preserve">F106</t>
  </si>
  <si>
    <t xml:space="preserve">自由現金流轉正年標示（基準）</t>
  </si>
  <si>
    <t xml:space="preserve">F107</t>
  </si>
  <si>
    <t xml:space="preserve">營運自由現金流首次轉正年（基準；無則「無」）</t>
  </si>
  <si>
    <t xml:space="preserve">第一個自給年；不代表其後每年皆為正</t>
  </si>
  <si>
    <t xml:space="preserve">F108</t>
  </si>
  <si>
    <t xml:space="preserve">補足前年底現金（基準：①營運自給（無任何融資））</t>
  </si>
  <si>
    <t xml:space="preserve">F109</t>
  </si>
  <si>
    <t xml:space="preserve">當年外部資金需求（基準：①營運自給（無任何融資））</t>
  </si>
  <si>
    <t xml:space="preserve">F110</t>
  </si>
  <si>
    <t xml:space="preserve">年底現金（基準：①營運自給（無任何融資））</t>
  </si>
  <si>
    <t xml:space="preserve">F111</t>
  </si>
  <si>
    <t xml:space="preserve">累計外部資金需求（基準：①營運自給（無任何融資））</t>
  </si>
  <si>
    <t xml:space="preserve">F112</t>
  </si>
  <si>
    <t xml:space="preserve">補足前現金路徑（不補外部資金；基準：①營運自給（無任何融資））</t>
  </si>
  <si>
    <t xml:space="preserve">可為負；谷底＝最小值</t>
  </si>
  <si>
    <t xml:space="preserve">F113</t>
  </si>
  <si>
    <t xml:space="preserve">缺口年標示（基準：①營運自給（無任何融資））</t>
  </si>
  <si>
    <t xml:space="preserve">F114</t>
  </si>
  <si>
    <t xml:space="preserve">最低現金缺口首次出現年（基準：①營運自給（無任何融資）；無則「無」）</t>
  </si>
  <si>
    <t xml:space="preserve">F115</t>
  </si>
  <si>
    <r>
      <rPr>
        <sz val="10"/>
        <color rgb="FF000000"/>
        <rFont val="Noto Sans CJK SC"/>
        <family val="2"/>
      </rPr>
      <t xml:space="preserve">累計外部資金需求（基準：①營運自給（無任何融資）；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</si>
  <si>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F116</t>
  </si>
  <si>
    <r>
      <rPr>
        <sz val="10"/>
        <color rgb="FF000000"/>
        <rFont val="Noto Sans CJK SC"/>
        <family val="2"/>
      </rPr>
      <t xml:space="preserve">現金谷底（基準：①營運自給（無任何融資）；補足前路徑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</si>
  <si>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負＝需外部補足的金額（不含最低現金）</t>
  </si>
  <si>
    <t xml:space="preserve">F117</t>
  </si>
  <si>
    <t xml:space="preserve">股權流入（基準：②加已到位股權（基準））</t>
  </si>
  <si>
    <t xml:space="preserve">F118</t>
  </si>
  <si>
    <t xml:space="preserve">補足前年底現金（基準：②加已到位股權（基準））</t>
  </si>
  <si>
    <t xml:space="preserve">F119</t>
  </si>
  <si>
    <t xml:space="preserve">當年外部資金需求（基準：②加已到位股權（基準））</t>
  </si>
  <si>
    <t xml:space="preserve">F120</t>
  </si>
  <si>
    <t xml:space="preserve">年底現金（基準：②加已到位股權（基準））</t>
  </si>
  <si>
    <t xml:space="preserve">F121</t>
  </si>
  <si>
    <t xml:space="preserve">累計外部資金需求（基準：②加已到位股權（基準））</t>
  </si>
  <si>
    <t xml:space="preserve">F122</t>
  </si>
  <si>
    <t xml:space="preserve">補足前現金路徑（不補外部資金；基準：②加已到位股權（基準））</t>
  </si>
  <si>
    <t xml:space="preserve">F123</t>
  </si>
  <si>
    <t xml:space="preserve">缺口年標示（基準：②加已到位股權（基準））</t>
  </si>
  <si>
    <t xml:space="preserve">F124</t>
  </si>
  <si>
    <t xml:space="preserve">最低現金缺口首次出現年（基準：②加已到位股權（基準）；無則「無」）</t>
  </si>
  <si>
    <t xml:space="preserve">F125</t>
  </si>
  <si>
    <r>
      <rPr>
        <sz val="10"/>
        <color rgb="FF000000"/>
        <rFont val="Noto Sans CJK SC"/>
        <family val="2"/>
      </rPr>
      <t xml:space="preserve">累計外部資金需求（基準：②加已到位股權（基準）；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</si>
  <si>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F126</t>
  </si>
  <si>
    <r>
      <rPr>
        <sz val="10"/>
        <color rgb="FF000000"/>
        <rFont val="Noto Sans CJK SC"/>
        <family val="2"/>
      </rPr>
      <t xml:space="preserve">現金谷底（基準：②加已到位股權（基準）；補足前路徑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</si>
  <si>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F127</t>
  </si>
  <si>
    <t xml:space="preserve">股權流入（基準：③再加條件式與談判中）</t>
  </si>
  <si>
    <t xml:space="preserve">F128</t>
  </si>
  <si>
    <t xml:space="preserve">補足前年底現金（基準：③再加條件式與談判中）</t>
  </si>
  <si>
    <t xml:space="preserve">F129</t>
  </si>
  <si>
    <t xml:space="preserve">當年外部資金需求（基準：③再加條件式與談判中）</t>
  </si>
  <si>
    <t xml:space="preserve">F130</t>
  </si>
  <si>
    <t xml:space="preserve">年底現金（基準：③再加條件式與談判中）</t>
  </si>
  <si>
    <t xml:space="preserve">F131</t>
  </si>
  <si>
    <t xml:space="preserve">累計外部資金需求（基準：③再加條件式與談判中）</t>
  </si>
  <si>
    <t xml:space="preserve">F132</t>
  </si>
  <si>
    <t xml:space="preserve">補足前現金路徑（不補外部資金；基準：③再加條件式與談判中）</t>
  </si>
  <si>
    <t xml:space="preserve">F133</t>
  </si>
  <si>
    <t xml:space="preserve">缺口年標示（基準：③再加條件式與談判中）</t>
  </si>
  <si>
    <t xml:space="preserve">F134</t>
  </si>
  <si>
    <t xml:space="preserve">最低現金缺口首次出現年（基準：③再加條件式與談判中；無則「無」）</t>
  </si>
  <si>
    <t xml:space="preserve">F135</t>
  </si>
  <si>
    <r>
      <rPr>
        <sz val="10"/>
        <color rgb="FF000000"/>
        <rFont val="Noto Sans CJK SC"/>
        <family val="2"/>
      </rPr>
      <t xml:space="preserve">累計外部資金需求（基準：③再加條件式與談判中；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</si>
  <si>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F136</t>
  </si>
  <si>
    <r>
      <rPr>
        <sz val="10"/>
        <color rgb="FF000000"/>
        <rFont val="Noto Sans CJK SC"/>
        <family val="2"/>
      </rPr>
      <t xml:space="preserve">現金谷底（基準：③再加條件式與談判中；補足前路徑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</si>
  <si>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b val="true"/>
        <sz val="10"/>
        <rFont val="Noto Sans CJK SC"/>
        <family val="2"/>
      </rPr>
      <t xml:space="preserve">十一、</t>
    </r>
    <r>
      <rPr>
        <b val="true"/>
        <sz val="10"/>
        <rFont val="Arial"/>
        <family val="0"/>
        <charset val="1"/>
      </rPr>
      <t xml:space="preserve">v0.1.3 </t>
    </r>
    <r>
      <rPr>
        <b val="true"/>
        <sz val="10"/>
        <rFont val="Noto Sans CJK SC"/>
        <family val="2"/>
      </rPr>
      <t xml:space="preserve">持續擴張情境的資金三層（與 </t>
    </r>
    <r>
      <rPr>
        <b val="true"/>
        <sz val="10"/>
        <rFont val="Arial"/>
        <family val="0"/>
        <charset val="1"/>
      </rPr>
      <t xml:space="preserve">U6 </t>
    </r>
    <r>
      <rPr>
        <b val="true"/>
        <sz val="10"/>
        <rFont val="Noto Sans CJK SC"/>
        <family val="2"/>
      </rPr>
      <t xml:space="preserve">第八節並列；基準不變）：</t>
    </r>
    <r>
      <rPr>
        <b val="true"/>
        <sz val="10"/>
        <rFont val="Arial"/>
        <family val="0"/>
        <charset val="1"/>
      </rPr>
      <t xml:space="preserve">2029–2030 </t>
    </r>
    <r>
      <rPr>
        <b val="true"/>
        <sz val="10"/>
        <rFont val="Noto Sans CJK SC"/>
        <family val="2"/>
      </rPr>
      <t xml:space="preserve">每年追加算力，變現比例 無需求／部分／完全</t>
    </r>
  </si>
  <si>
    <t xml:space="preserve">F137</t>
  </si>
  <si>
    <t xml:space="preserve">自由現金流轉正年標示（擴張・無需求）</t>
  </si>
  <si>
    <t xml:space="preserve">F138</t>
  </si>
  <si>
    <t xml:space="preserve">營運自由現金流首次轉正年（擴張・無需求；無則「無」）</t>
  </si>
  <si>
    <t xml:space="preserve">F139</t>
  </si>
  <si>
    <t xml:space="preserve">補足前年底現金（擴張・無需求：①營運自給（無任何融資））</t>
  </si>
  <si>
    <t xml:space="preserve">F140</t>
  </si>
  <si>
    <t xml:space="preserve">當年外部資金需求（擴張・無需求：①營運自給（無任何融資））</t>
  </si>
  <si>
    <t xml:space="preserve">F141</t>
  </si>
  <si>
    <t xml:space="preserve">年底現金（擴張・無需求：①營運自給（無任何融資））</t>
  </si>
  <si>
    <t xml:space="preserve">F142</t>
  </si>
  <si>
    <t xml:space="preserve">累計外部資金需求（擴張・無需求：①營運自給（無任何融資））</t>
  </si>
  <si>
    <t xml:space="preserve">F143</t>
  </si>
  <si>
    <t xml:space="preserve">補足前現金路徑（不補外部資金；擴張・無需求：①營運自給（無任何融資））</t>
  </si>
  <si>
    <t xml:space="preserve">F144</t>
  </si>
  <si>
    <t xml:space="preserve">缺口年標示（擴張・無需求：①營運自給（無任何融資））</t>
  </si>
  <si>
    <t xml:space="preserve">F145</t>
  </si>
  <si>
    <t xml:space="preserve">最低現金缺口首次出現年（擴張・無需求：①營運自給（無任何融資）；無則「無」）</t>
  </si>
  <si>
    <t xml:space="preserve">F146</t>
  </si>
  <si>
    <r>
      <rPr>
        <sz val="10"/>
        <color rgb="FF000000"/>
        <rFont val="Noto Sans CJK SC"/>
        <family val="2"/>
      </rPr>
      <t xml:space="preserve">累計外部資金需求（擴張・無需求：①營運自給（無任何融資）；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</si>
  <si>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F147</t>
  </si>
  <si>
    <r>
      <rPr>
        <sz val="10"/>
        <color rgb="FF000000"/>
        <rFont val="Noto Sans CJK SC"/>
        <family val="2"/>
      </rPr>
      <t xml:space="preserve">現金谷底（擴張・無需求：①營運自給（無任何融資）；補足前路徑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</si>
  <si>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F148</t>
  </si>
  <si>
    <t xml:space="preserve">股權流入（擴張・無需求：②加已到位股權（基準））</t>
  </si>
  <si>
    <t xml:space="preserve">F149</t>
  </si>
  <si>
    <t xml:space="preserve">補足前年底現金（擴張・無需求：②加已到位股權（基準））</t>
  </si>
  <si>
    <t xml:space="preserve">F150</t>
  </si>
  <si>
    <t xml:space="preserve">當年外部資金需求（擴張・無需求：②加已到位股權（基準））</t>
  </si>
  <si>
    <t xml:space="preserve">F151</t>
  </si>
  <si>
    <t xml:space="preserve">年底現金（擴張・無需求：②加已到位股權（基準））</t>
  </si>
  <si>
    <t xml:space="preserve">F152</t>
  </si>
  <si>
    <t xml:space="preserve">累計外部資金需求（擴張・無需求：②加已到位股權（基準））</t>
  </si>
  <si>
    <t xml:space="preserve">F153</t>
  </si>
  <si>
    <t xml:space="preserve">補足前現金路徑（不補外部資金；擴張・無需求：②加已到位股權（基準））</t>
  </si>
  <si>
    <t xml:space="preserve">F154</t>
  </si>
  <si>
    <t xml:space="preserve">缺口年標示（擴張・無需求：②加已到位股權（基準））</t>
  </si>
  <si>
    <t xml:space="preserve">F155</t>
  </si>
  <si>
    <t xml:space="preserve">最低現金缺口首次出現年（擴張・無需求：②加已到位股權（基準）；無則「無」）</t>
  </si>
  <si>
    <t xml:space="preserve">F156</t>
  </si>
  <si>
    <r>
      <rPr>
        <sz val="10"/>
        <color rgb="FF000000"/>
        <rFont val="Noto Sans CJK SC"/>
        <family val="2"/>
      </rPr>
      <t xml:space="preserve">累計外部資金需求（擴張・無需求：②加已到位股權（基準）；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</si>
  <si>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F157</t>
  </si>
  <si>
    <r>
      <rPr>
        <sz val="10"/>
        <color rgb="FF000000"/>
        <rFont val="Noto Sans CJK SC"/>
        <family val="2"/>
      </rPr>
      <t xml:space="preserve">現金谷底（擴張・無需求：②加已到位股權（基準）；補足前路徑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</si>
  <si>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F158</t>
  </si>
  <si>
    <t xml:space="preserve">股權流入（擴張・無需求：③再加條件式與談判中）</t>
  </si>
  <si>
    <t xml:space="preserve">F159</t>
  </si>
  <si>
    <t xml:space="preserve">補足前年底現金（擴張・無需求：③再加條件式與談判中）</t>
  </si>
  <si>
    <t xml:space="preserve">F160</t>
  </si>
  <si>
    <t xml:space="preserve">當年外部資金需求（擴張・無需求：③再加條件式與談判中）</t>
  </si>
  <si>
    <t xml:space="preserve">F161</t>
  </si>
  <si>
    <t xml:space="preserve">年底現金（擴張・無需求：③再加條件式與談判中）</t>
  </si>
  <si>
    <t xml:space="preserve">F162</t>
  </si>
  <si>
    <t xml:space="preserve">累計外部資金需求（擴張・無需求：③再加條件式與談判中）</t>
  </si>
  <si>
    <t xml:space="preserve">F163</t>
  </si>
  <si>
    <t xml:space="preserve">補足前現金路徑（不補外部資金；擴張・無需求：③再加條件式與談判中）</t>
  </si>
  <si>
    <t xml:space="preserve">F164</t>
  </si>
  <si>
    <t xml:space="preserve">缺口年標示（擴張・無需求：③再加條件式與談判中）</t>
  </si>
  <si>
    <t xml:space="preserve">F165</t>
  </si>
  <si>
    <t xml:space="preserve">最低現金缺口首次出現年（擴張・無需求：③再加條件式與談判中；無則「無」）</t>
  </si>
  <si>
    <t xml:space="preserve">F166</t>
  </si>
  <si>
    <r>
      <rPr>
        <sz val="10"/>
        <color rgb="FF000000"/>
        <rFont val="Noto Sans CJK SC"/>
        <family val="2"/>
      </rPr>
      <t xml:space="preserve">累計外部資金需求（擴張・無需求：③再加條件式與談判中；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</si>
  <si>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F167</t>
  </si>
  <si>
    <r>
      <rPr>
        <sz val="10"/>
        <color rgb="FF000000"/>
        <rFont val="Noto Sans CJK SC"/>
        <family val="2"/>
      </rPr>
      <t xml:space="preserve">現金谷底（擴張・無需求：③再加條件式與談判中；補足前路徑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</si>
  <si>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F168</t>
  </si>
  <si>
    <t xml:space="preserve">自由現金流轉正年標示（擴張・部分變現）</t>
  </si>
  <si>
    <t xml:space="preserve">F169</t>
  </si>
  <si>
    <t xml:space="preserve">營運自由現金流首次轉正年（擴張・部分變現；無則「無」）</t>
  </si>
  <si>
    <t xml:space="preserve">F170</t>
  </si>
  <si>
    <t xml:space="preserve">補足前年底現金（擴張・部分變現：①營運自給（無任何融資））</t>
  </si>
  <si>
    <t xml:space="preserve">F171</t>
  </si>
  <si>
    <t xml:space="preserve">當年外部資金需求（擴張・部分變現：①營運自給（無任何融資））</t>
  </si>
  <si>
    <t xml:space="preserve">F172</t>
  </si>
  <si>
    <t xml:space="preserve">年底現金（擴張・部分變現：①營運自給（無任何融資））</t>
  </si>
  <si>
    <t xml:space="preserve">F173</t>
  </si>
  <si>
    <t xml:space="preserve">累計外部資金需求（擴張・部分變現：①營運自給（無任何融資））</t>
  </si>
  <si>
    <t xml:space="preserve">F174</t>
  </si>
  <si>
    <t xml:space="preserve">補足前現金路徑（不補外部資金；擴張・部分變現：①營運自給（無任何融資））</t>
  </si>
  <si>
    <t xml:space="preserve">F175</t>
  </si>
  <si>
    <t xml:space="preserve">缺口年標示（擴張・部分變現：①營運自給（無任何融資））</t>
  </si>
  <si>
    <t xml:space="preserve">F176</t>
  </si>
  <si>
    <t xml:space="preserve">最低現金缺口首次出現年（擴張・部分變現：①營運自給（無任何融資）；無則「無」）</t>
  </si>
  <si>
    <t xml:space="preserve">F177</t>
  </si>
  <si>
    <r>
      <rPr>
        <sz val="10"/>
        <color rgb="FF000000"/>
        <rFont val="Noto Sans CJK SC"/>
        <family val="2"/>
      </rPr>
      <t xml:space="preserve">累計外部資金需求（擴張・部分變現：①營運自給（無任何融資）；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</si>
  <si>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F178</t>
  </si>
  <si>
    <r>
      <rPr>
        <sz val="10"/>
        <color rgb="FF000000"/>
        <rFont val="Noto Sans CJK SC"/>
        <family val="2"/>
      </rPr>
      <t xml:space="preserve">現金谷底（擴張・部分變現：①營運自給（無任何融資）；補足前路徑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</si>
  <si>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F179</t>
  </si>
  <si>
    <t xml:space="preserve">股權流入（擴張・部分變現：②加已到位股權（基準））</t>
  </si>
  <si>
    <t xml:space="preserve">F180</t>
  </si>
  <si>
    <t xml:space="preserve">補足前年底現金（擴張・部分變現：②加已到位股權（基準））</t>
  </si>
  <si>
    <t xml:space="preserve">F181</t>
  </si>
  <si>
    <t xml:space="preserve">當年外部資金需求（擴張・部分變現：②加已到位股權（基準））</t>
  </si>
  <si>
    <t xml:space="preserve">F182</t>
  </si>
  <si>
    <t xml:space="preserve">年底現金（擴張・部分變現：②加已到位股權（基準））</t>
  </si>
  <si>
    <t xml:space="preserve">F183</t>
  </si>
  <si>
    <t xml:space="preserve">累計外部資金需求（擴張・部分變現：②加已到位股權（基準））</t>
  </si>
  <si>
    <t xml:space="preserve">F184</t>
  </si>
  <si>
    <t xml:space="preserve">補足前現金路徑（不補外部資金；擴張・部分變現：②加已到位股權（基準））</t>
  </si>
  <si>
    <t xml:space="preserve">F185</t>
  </si>
  <si>
    <t xml:space="preserve">缺口年標示（擴張・部分變現：②加已到位股權（基準））</t>
  </si>
  <si>
    <t xml:space="preserve">F186</t>
  </si>
  <si>
    <t xml:space="preserve">最低現金缺口首次出現年（擴張・部分變現：②加已到位股權（基準）；無則「無」）</t>
  </si>
  <si>
    <t xml:space="preserve">F187</t>
  </si>
  <si>
    <r>
      <rPr>
        <sz val="10"/>
        <color rgb="FF000000"/>
        <rFont val="Noto Sans CJK SC"/>
        <family val="2"/>
      </rPr>
      <t xml:space="preserve">累計外部資金需求（擴張・部分變現：②加已到位股權（基準）；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</si>
  <si>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F188</t>
  </si>
  <si>
    <r>
      <rPr>
        <sz val="10"/>
        <color rgb="FF000000"/>
        <rFont val="Noto Sans CJK SC"/>
        <family val="2"/>
      </rPr>
      <t xml:space="preserve">現金谷底（擴張・部分變現：②加已到位股權（基準）；補足前路徑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</si>
  <si>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F189</t>
  </si>
  <si>
    <t xml:space="preserve">股權流入（擴張・部分變現：③再加條件式與談判中）</t>
  </si>
  <si>
    <t xml:space="preserve">F190</t>
  </si>
  <si>
    <t xml:space="preserve">補足前年底現金（擴張・部分變現：③再加條件式與談判中）</t>
  </si>
  <si>
    <t xml:space="preserve">F191</t>
  </si>
  <si>
    <t xml:space="preserve">當年外部資金需求（擴張・部分變現：③再加條件式與談判中）</t>
  </si>
  <si>
    <t xml:space="preserve">F192</t>
  </si>
  <si>
    <t xml:space="preserve">年底現金（擴張・部分變現：③再加條件式與談判中）</t>
  </si>
  <si>
    <t xml:space="preserve">F193</t>
  </si>
  <si>
    <t xml:space="preserve">累計外部資金需求（擴張・部分變現：③再加條件式與談判中）</t>
  </si>
  <si>
    <t xml:space="preserve">F194</t>
  </si>
  <si>
    <t xml:space="preserve">補足前現金路徑（不補外部資金；擴張・部分變現：③再加條件式與談判中）</t>
  </si>
  <si>
    <t xml:space="preserve">F195</t>
  </si>
  <si>
    <t xml:space="preserve">缺口年標示（擴張・部分變現：③再加條件式與談判中）</t>
  </si>
  <si>
    <t xml:space="preserve">F196</t>
  </si>
  <si>
    <t xml:space="preserve">最低現金缺口首次出現年（擴張・部分變現：③再加條件式與談判中；無則「無」）</t>
  </si>
  <si>
    <t xml:space="preserve">F197</t>
  </si>
  <si>
    <r>
      <rPr>
        <sz val="10"/>
        <color rgb="FF000000"/>
        <rFont val="Noto Sans CJK SC"/>
        <family val="2"/>
      </rPr>
      <t xml:space="preserve">累計外部資金需求（擴張・部分變現：③再加條件式與談判中；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</si>
  <si>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F198</t>
  </si>
  <si>
    <r>
      <rPr>
        <sz val="10"/>
        <color rgb="FF000000"/>
        <rFont val="Noto Sans CJK SC"/>
        <family val="2"/>
      </rPr>
      <t xml:space="preserve">現金谷底（擴張・部分變現：③再加條件式與談判中；補足前路徑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</si>
  <si>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F199</t>
  </si>
  <si>
    <t xml:space="preserve">自由現金流轉正年標示（擴張・完全變現）</t>
  </si>
  <si>
    <t xml:space="preserve">F200</t>
  </si>
  <si>
    <t xml:space="preserve">營運自由現金流首次轉正年（擴張・完全變現；無則「無」）</t>
  </si>
  <si>
    <t xml:space="preserve">F201</t>
  </si>
  <si>
    <t xml:space="preserve">補足前年底現金（擴張・完全變現：①營運自給（無任何融資））</t>
  </si>
  <si>
    <t xml:space="preserve">F202</t>
  </si>
  <si>
    <t xml:space="preserve">當年外部資金需求（擴張・完全變現：①營運自給（無任何融資））</t>
  </si>
  <si>
    <t xml:space="preserve">F203</t>
  </si>
  <si>
    <t xml:space="preserve">年底現金（擴張・完全變現：①營運自給（無任何融資））</t>
  </si>
  <si>
    <t xml:space="preserve">F204</t>
  </si>
  <si>
    <t xml:space="preserve">累計外部資金需求（擴張・完全變現：①營運自給（無任何融資））</t>
  </si>
  <si>
    <t xml:space="preserve">F205</t>
  </si>
  <si>
    <t xml:space="preserve">補足前現金路徑（不補外部資金；擴張・完全變現：①營運自給（無任何融資））</t>
  </si>
  <si>
    <t xml:space="preserve">F206</t>
  </si>
  <si>
    <t xml:space="preserve">缺口年標示（擴張・完全變現：①營運自給（無任何融資））</t>
  </si>
  <si>
    <t xml:space="preserve">F207</t>
  </si>
  <si>
    <t xml:space="preserve">最低現金缺口首次出現年（擴張・完全變現：①營運自給（無任何融資）；無則「無」）</t>
  </si>
  <si>
    <t xml:space="preserve">F208</t>
  </si>
  <si>
    <r>
      <rPr>
        <sz val="10"/>
        <color rgb="FF000000"/>
        <rFont val="Noto Sans CJK SC"/>
        <family val="2"/>
      </rPr>
      <t xml:space="preserve">累計外部資金需求（擴張・完全變現：①營運自給（無任何融資）；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</si>
  <si>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F209</t>
  </si>
  <si>
    <r>
      <rPr>
        <sz val="10"/>
        <color rgb="FF000000"/>
        <rFont val="Noto Sans CJK SC"/>
        <family val="2"/>
      </rPr>
      <t xml:space="preserve">現金谷底（擴張・完全變現：①營運自給（無任何融資）；補足前路徑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</si>
  <si>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F210</t>
  </si>
  <si>
    <t xml:space="preserve">股權流入（擴張・完全變現：②加已到位股權（基準））</t>
  </si>
  <si>
    <t xml:space="preserve">F211</t>
  </si>
  <si>
    <t xml:space="preserve">補足前年底現金（擴張・完全變現：②加已到位股權（基準））</t>
  </si>
  <si>
    <t xml:space="preserve">F212</t>
  </si>
  <si>
    <t xml:space="preserve">當年外部資金需求（擴張・完全變現：②加已到位股權（基準））</t>
  </si>
  <si>
    <t xml:space="preserve">F213</t>
  </si>
  <si>
    <t xml:space="preserve">年底現金（擴張・完全變現：②加已到位股權（基準））</t>
  </si>
  <si>
    <t xml:space="preserve">F214</t>
  </si>
  <si>
    <t xml:space="preserve">累計外部資金需求（擴張・完全變現：②加已到位股權（基準））</t>
  </si>
  <si>
    <t xml:space="preserve">F215</t>
  </si>
  <si>
    <t xml:space="preserve">補足前現金路徑（不補外部資金；擴張・完全變現：②加已到位股權（基準））</t>
  </si>
  <si>
    <t xml:space="preserve">F216</t>
  </si>
  <si>
    <t xml:space="preserve">缺口年標示（擴張・完全變現：②加已到位股權（基準））</t>
  </si>
  <si>
    <t xml:space="preserve">F217</t>
  </si>
  <si>
    <t xml:space="preserve">最低現金缺口首次出現年（擴張・完全變現：②加已到位股權（基準）；無則「無」）</t>
  </si>
  <si>
    <t xml:space="preserve">F218</t>
  </si>
  <si>
    <r>
      <rPr>
        <sz val="10"/>
        <color rgb="FF000000"/>
        <rFont val="Noto Sans CJK SC"/>
        <family val="2"/>
      </rPr>
      <t xml:space="preserve">累計外部資金需求（擴張・完全變現：②加已到位股權（基準）；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</si>
  <si>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F219</t>
  </si>
  <si>
    <r>
      <rPr>
        <sz val="10"/>
        <color rgb="FF000000"/>
        <rFont val="Noto Sans CJK SC"/>
        <family val="2"/>
      </rPr>
      <t xml:space="preserve">現金谷底（擴張・完全變現：②加已到位股權（基準）；補足前路徑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</si>
  <si>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t xml:space="preserve">F220</t>
  </si>
  <si>
    <t xml:space="preserve">股權流入（擴張・完全變現：③再加條件式與談判中）</t>
  </si>
  <si>
    <t xml:space="preserve">F221</t>
  </si>
  <si>
    <t xml:space="preserve">補足前年底現金（擴張・完全變現：③再加條件式與談判中）</t>
  </si>
  <si>
    <t xml:space="preserve">F222</t>
  </si>
  <si>
    <t xml:space="preserve">當年外部資金需求（擴張・完全變現：③再加條件式與談判中）</t>
  </si>
  <si>
    <t xml:space="preserve">F223</t>
  </si>
  <si>
    <t xml:space="preserve">年底現金（擴張・完全變現：③再加條件式與談判中）</t>
  </si>
  <si>
    <t xml:space="preserve">F224</t>
  </si>
  <si>
    <t xml:space="preserve">累計外部資金需求（擴張・完全變現：③再加條件式與談判中）</t>
  </si>
  <si>
    <t xml:space="preserve">F225</t>
  </si>
  <si>
    <t xml:space="preserve">補足前現金路徑（不補外部資金；擴張・完全變現：③再加條件式與談判中）</t>
  </si>
  <si>
    <t xml:space="preserve">F226</t>
  </si>
  <si>
    <t xml:space="preserve">缺口年標示（擴張・完全變現：③再加條件式與談判中）</t>
  </si>
  <si>
    <t xml:space="preserve">F227</t>
  </si>
  <si>
    <t xml:space="preserve">最低現金缺口首次出現年（擴張・完全變現：③再加條件式與談判中；無則「無」）</t>
  </si>
  <si>
    <t xml:space="preserve">F228</t>
  </si>
  <si>
    <r>
      <rPr>
        <sz val="10"/>
        <color rgb="FF000000"/>
        <rFont val="Noto Sans CJK SC"/>
        <family val="2"/>
      </rPr>
      <t xml:space="preserve">累計外部資金需求（擴張・完全變現：③再加條件式與談判中；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）</t>
    </r>
  </si>
  <si>
    <t xml:space="preserve">F229</t>
  </si>
  <si>
    <r>
      <rPr>
        <sz val="10"/>
        <color rgb="FF000000"/>
        <rFont val="Noto Sans CJK SC"/>
        <family val="2"/>
      </rPr>
      <t xml:space="preserve">現金谷底（擴張・完全變現：③再加條件式與談判中；補足前路徑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最小值）</t>
    </r>
  </si>
  <si>
    <r>
      <rPr>
        <b val="true"/>
        <sz val="13"/>
        <rFont val="Arial"/>
        <family val="0"/>
        <charset val="1"/>
      </rPr>
      <t xml:space="preserve">Reverse — </t>
    </r>
    <r>
      <rPr>
        <b val="true"/>
        <sz val="13"/>
        <rFont val="Noto Sans CJK SC"/>
        <family val="2"/>
      </rPr>
      <t xml:space="preserve">反向模式（</t>
    </r>
    <r>
      <rPr>
        <b val="true"/>
        <sz val="13"/>
        <rFont val="Arial"/>
        <family val="0"/>
        <charset val="1"/>
      </rPr>
      <t xml:space="preserve">D19</t>
    </r>
    <r>
      <rPr>
        <b val="true"/>
        <sz val="13"/>
        <rFont val="Noto Sans CJK SC"/>
        <family val="2"/>
      </rPr>
      <t xml:space="preserve">）：假設管理層營收目標達成，反解所需倍數與反向資金（同一支出）；只作對照，不回饋基準</t>
    </r>
  </si>
  <si>
    <r>
      <rPr>
        <sz val="9"/>
        <color rgb="FF595959"/>
        <rFont val="Noto Sans CJK SC"/>
        <family val="2"/>
      </rPr>
      <t xml:space="preserve">目標＝各年最新一版公司預測（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The Information 2025-11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無公開目標 → 取正向值（倍數＝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）。本頁只被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</si>
  <si>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注意：這些目標都早於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年的實際成長（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上半年實際已超過 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版全年目標），所以多數年度目標低於本模型正向值——倍數 </t>
    </r>
    <r>
      <rPr>
        <sz val="9"/>
        <color rgb="FF595959"/>
        <rFont val="Arial"/>
        <family val="0"/>
        <charset val="1"/>
      </rPr>
      <t xml:space="preserve">&lt; 1 </t>
    </r>
    <r>
      <rPr>
        <sz val="9"/>
        <color rgb="FF595959"/>
        <rFont val="Noto Sans CJK SC"/>
        <family val="2"/>
      </rPr>
      <t xml:space="preserve">代表「管理層舊目標比模型保守」。</t>
    </r>
  </si>
  <si>
    <t xml:space="preserve">一、管理層營收目標（只驅動本頁）</t>
  </si>
  <si>
    <t xml:space="preserve">X01</t>
  </si>
  <si>
    <t xml:space="preserve">管理層營收目標（總額口徑）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</si>
  <si>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＝實際（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SRC_ANT_368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Noto Sans CJK SC"/>
        <family val="2"/>
      </rPr>
      <t xml:space="preserve">樂觀，</t>
    </r>
    <r>
      <rPr>
        <sz val="9"/>
        <color rgb="FF595959"/>
        <rFont val="Arial"/>
        <family val="0"/>
        <charset val="1"/>
      </rPr>
      <t xml:space="preserve">369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362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＝最高 </t>
    </r>
    <r>
      <rPr>
        <sz val="9"/>
        <color rgb="FF595959"/>
        <rFont val="Arial"/>
        <family val="0"/>
        <charset val="1"/>
      </rPr>
      <t xml:space="preserve">148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370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＝無目標，取正向值</t>
    </r>
  </si>
  <si>
    <t xml:space="preserve">X02</t>
  </si>
  <si>
    <t xml:space="preserve">目標年增率</t>
  </si>
  <si>
    <t xml:space="preserve">X03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</si>
  <si>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2025-02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營收（基準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／樂觀 </t>
    </r>
    <r>
      <rPr>
        <sz val="10"/>
        <color rgb="FF000000"/>
        <rFont val="Arial"/>
        <family val="0"/>
        <charset val="1"/>
      </rPr>
      <t xml:space="preserve">34.5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</si>
  <si>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SRC_ANT_359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360</t>
    </r>
  </si>
  <si>
    <t xml:space="preserve">X04</t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</si>
  <si>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年底年化營收（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20–26</t>
    </r>
    <r>
      <rPr>
        <sz val="10"/>
        <color rgb="FF000000"/>
        <rFont val="Noto Sans CJK SC"/>
        <family val="2"/>
      </rPr>
      <t xml:space="preserve">；投資人預期 </t>
    </r>
    <r>
      <rPr>
        <sz val="10"/>
        <color rgb="FF000000"/>
        <rFont val="Arial"/>
        <family val="0"/>
        <charset val="1"/>
      </rPr>
      <t xml:space="preserve">100–120 </t>
    </r>
    <r>
      <rPr>
        <sz val="10"/>
        <color rgb="FF000000"/>
        <rFont val="Noto Sans CJK SC"/>
        <family val="2"/>
      </rPr>
      <t xml:space="preserve">為下限）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</si>
  <si>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目標上緣；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＝投資人預期下限（年化，非年度營收）</t>
    </r>
  </si>
  <si>
    <t xml:space="preserve">二、正向對照（本模型基準；截頂後）</t>
  </si>
  <si>
    <t xml:space="preserve">X05</t>
  </si>
  <si>
    <t xml:space="preserve">正向營收總額（截頂後）</t>
  </si>
  <si>
    <t xml:space="preserve">REV_GrossCapped</t>
  </si>
  <si>
    <t xml:space="preserve">X06</t>
  </si>
  <si>
    <t xml:space="preserve">正向訂閱（截頂後）</t>
  </si>
  <si>
    <t xml:space="preserve">各營收線同比例截頂</t>
  </si>
  <si>
    <t xml:space="preserve">X07</t>
  </si>
  <si>
    <r>
      <rPr>
        <sz val="10"/>
        <color rgb="FF000000"/>
        <rFont val="Noto Sans CJK SC"/>
        <family val="2"/>
      </rPr>
      <t xml:space="preserve">正向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（截頂後）</t>
    </r>
  </si>
  <si>
    <t xml:space="preserve">X08</t>
  </si>
  <si>
    <t xml:space="preserve">正向其他（截頂後）</t>
  </si>
  <si>
    <t xml:space="preserve">X09</t>
  </si>
  <si>
    <t xml:space="preserve">差距（目標 − 正向）</t>
  </si>
  <si>
    <t xml:space="preserve">負＝目標低於正向</t>
  </si>
  <si>
    <r>
      <rPr>
        <b val="true"/>
        <sz val="10"/>
        <rFont val="Noto Sans CJK SC"/>
        <family val="2"/>
      </rPr>
      <t xml:space="preserve">三、所需倍數（相對正向；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＝正向剛好；</t>
    </r>
    <r>
      <rPr>
        <b val="true"/>
        <sz val="10"/>
        <rFont val="Arial"/>
        <family val="0"/>
        <charset val="1"/>
      </rPr>
      <t xml:space="preserve">&lt; 1</t>
    </r>
    <r>
      <rPr>
        <b val="true"/>
        <sz val="10"/>
        <rFont val="Noto Sans CJK SC"/>
        <family val="2"/>
      </rPr>
      <t xml:space="preserve">＝目標低於正向；廣告＝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D3</t>
    </r>
    <r>
      <rPr>
        <b val="true"/>
        <sz val="10"/>
        <rFont val="Noto Sans CJK SC"/>
        <family val="2"/>
      </rPr>
      <t xml:space="preserve">）</t>
    </r>
  </si>
  <si>
    <t xml:space="preserve">X10</t>
  </si>
  <si>
    <r>
      <rPr>
        <sz val="10"/>
        <color rgb="FF000000"/>
        <rFont val="Noto Sans CJK SC"/>
        <family val="2"/>
      </rPr>
      <t xml:space="preserve">只靠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營收所需倍數</t>
    </r>
  </si>
  <si>
    <t xml:space="preserve">X11</t>
  </si>
  <si>
    <t xml:space="preserve">只靠訂閱：訂閱營收所需倍數</t>
  </si>
  <si>
    <t xml:space="preserve">X12</t>
  </si>
  <si>
    <t xml:space="preserve">兩線等比例：共同倍數</t>
  </si>
  <si>
    <r>
      <rPr>
        <b val="true"/>
        <sz val="10"/>
        <rFont val="Noto Sans CJK SC"/>
        <family val="2"/>
      </rPr>
      <t xml:space="preserve">四、反向資金（目標營收＋同一支出；同 </t>
    </r>
    <r>
      <rPr>
        <b val="true"/>
        <sz val="10"/>
        <rFont val="Arial"/>
        <family val="0"/>
        <charset val="1"/>
      </rPr>
      <t xml:space="preserve">S7 </t>
    </r>
    <r>
      <rPr>
        <b val="true"/>
        <sz val="10"/>
        <rFont val="Noto Sans CJK SC"/>
        <family val="2"/>
      </rPr>
      <t xml:space="preserve">規則；只作對照）</t>
    </r>
  </si>
  <si>
    <t xml:space="preserve">X13</t>
  </si>
  <si>
    <t xml:space="preserve">營收淨額（目標；平台抽成占比同正向）</t>
  </si>
  <si>
    <t xml:space="preserve">X14</t>
  </si>
  <si>
    <t xml:space="preserve">算力成本（現金；同正向）</t>
  </si>
  <si>
    <t xml:space="preserve">X15</t>
  </si>
  <si>
    <t xml:space="preserve">非算力成本（不含股權報酬；同正向，不隨目標放大）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</si>
  <si>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OpenAI v0.6 S5 </t>
    </r>
    <r>
      <rPr>
        <sz val="9"/>
        <color rgb="FF595959"/>
        <rFont val="Noto Sans CJK SC"/>
        <family val="2"/>
      </rPr>
      <t xml:space="preserve">預設「同一支出」</t>
    </r>
  </si>
  <si>
    <t xml:space="preserve">X16</t>
  </si>
  <si>
    <t xml:space="preserve">自由現金流（反向）</t>
  </si>
  <si>
    <t xml:space="preserve">X17</t>
  </si>
  <si>
    <t xml:space="preserve">股權流入（反向）</t>
  </si>
  <si>
    <r>
      <rPr>
        <sz val="9"/>
        <color rgb="FF595959"/>
        <rFont val="Arial"/>
        <family val="0"/>
        <charset val="1"/>
      </rPr>
      <t xml:space="preserve">FND_EquityIn</t>
    </r>
    <r>
      <rPr>
        <sz val="9"/>
        <color rgb="FF595959"/>
        <rFont val="Noto Sans CJK SC"/>
        <family val="2"/>
      </rPr>
      <t xml:space="preserve">（同基準）；最低現金＝</t>
    </r>
    <r>
      <rPr>
        <sz val="9"/>
        <color rgb="FF595959"/>
        <rFont val="Arial"/>
        <family val="0"/>
        <charset val="1"/>
      </rPr>
      <t xml:space="preserve">FND_MinCash</t>
    </r>
  </si>
  <si>
    <t xml:space="preserve">X18</t>
  </si>
  <si>
    <t xml:space="preserve">補足前年底現金（反向）</t>
  </si>
  <si>
    <t xml:space="preserve">X19</t>
  </si>
  <si>
    <t xml:space="preserve">當年外部資金需求（反向）</t>
  </si>
  <si>
    <t xml:space="preserve">X20</t>
  </si>
  <si>
    <t xml:space="preserve">年底現金（反向）</t>
  </si>
  <si>
    <t xml:space="preserve">X21</t>
  </si>
  <si>
    <t xml:space="preserve">累計外部資金需求（反向）</t>
  </si>
  <si>
    <r>
      <rPr>
        <b val="true"/>
        <sz val="10"/>
        <rFont val="Noto Sans CJK SC"/>
        <family val="2"/>
      </rPr>
      <t xml:space="preserve">五、與管理層說法對照（現金流轉正年、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現金流、燒錢占營收）</t>
    </r>
  </si>
  <si>
    <t xml:space="preserve">X22</t>
  </si>
  <si>
    <r>
      <rPr>
        <sz val="10"/>
        <color rgb="FF000000"/>
        <rFont val="Noto Sans CJK SC"/>
        <family val="2"/>
      </rPr>
      <t xml:space="preserve">正向自由現金流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</si>
  <si>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X23</t>
  </si>
  <si>
    <r>
      <rPr>
        <sz val="10"/>
        <color rgb="FF000000"/>
        <rFont val="Noto Sans CJK SC"/>
        <family val="2"/>
      </rPr>
      <t xml:space="preserve">反向自由現金流 </t>
    </r>
    <r>
      <rPr>
        <sz val="10"/>
        <color rgb="FF000000"/>
        <rFont val="Arial"/>
        <family val="0"/>
        <charset val="1"/>
      </rPr>
      <t xml:space="preserve">&gt; 0 </t>
    </r>
    <r>
      <rPr>
        <sz val="10"/>
        <color rgb="FF000000"/>
        <rFont val="Noto Sans CJK SC"/>
        <family val="2"/>
      </rPr>
      <t xml:space="preserve">的年度標示</t>
    </r>
  </si>
  <si>
    <t xml:space="preserve">X24</t>
  </si>
  <si>
    <r>
      <rPr>
        <sz val="10"/>
        <color rgb="FF000000"/>
        <rFont val="Noto Sans CJK SC"/>
        <family val="2"/>
      </rPr>
      <t xml:space="preserve">現金流轉正年：管理層（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版）／正向首年／反向首年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</si>
  <si>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＝本模型正向；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＝反向</t>
    </r>
  </si>
  <si>
    <t xml:space="preserve">X25</t>
  </si>
  <si>
    <r>
      <rPr>
        <sz val="10"/>
        <color rgb="FF000000"/>
        <rFont val="Arial"/>
        <family val="0"/>
        <charset val="1"/>
      </rPr>
      <t xml:space="preserve">2028 </t>
    </r>
    <r>
      <rPr>
        <sz val="10"/>
        <color rgb="FF000000"/>
        <rFont val="Noto Sans CJK SC"/>
        <family val="2"/>
      </rPr>
      <t xml:space="preserve">自由現金流：管理層（</t>
    </r>
    <r>
      <rPr>
        <sz val="10"/>
        <color rgb="FF000000"/>
        <rFont val="Arial"/>
        <family val="0"/>
        <charset val="1"/>
      </rPr>
      <t xml:space="preserve">2025-11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）／正向／反向</t>
    </r>
  </si>
  <si>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SRC_ANT_365</t>
    </r>
  </si>
  <si>
    <t xml:space="preserve">X26</t>
  </si>
  <si>
    <r>
      <rPr>
        <sz val="10"/>
        <color rgb="FF000000"/>
        <rFont val="Noto Sans CJK SC"/>
        <family val="2"/>
      </rPr>
      <t xml:space="preserve">燒錢占營收：管理層預測（</t>
    </r>
    <r>
      <rPr>
        <sz val="10"/>
        <color rgb="FF000000"/>
        <rFont val="Arial"/>
        <family val="0"/>
        <charset val="1"/>
      </rPr>
      <t xml:space="preserve">2026 33%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2027 9%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正向（−自由現金流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營收總額）</t>
    </r>
  </si>
  <si>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＝管理層（</t>
    </r>
    <r>
      <rPr>
        <sz val="9"/>
        <color rgb="FF595959"/>
        <rFont val="Arial"/>
        <family val="0"/>
        <charset val="1"/>
      </rPr>
      <t xml:space="preserve">SRC_ANT_353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＝本模型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</si>
  <si>
    <r>
      <rPr>
        <b val="true"/>
        <sz val="13"/>
        <rFont val="Arial"/>
        <family val="0"/>
        <charset val="1"/>
      </rPr>
      <t xml:space="preserve">Checks — v0.1.5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，必須為 </t>
    </r>
    <r>
      <rPr>
        <b val="true"/>
        <sz val="13"/>
        <rFont val="Arial"/>
        <family val="0"/>
        <charset val="1"/>
      </rPr>
      <t xml:space="preserve">0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WARN </t>
    </r>
    <r>
      <rPr>
        <b val="true"/>
        <sz val="13"/>
        <rFont val="Noto Sans CJK SC"/>
        <family val="2"/>
      </rPr>
      <t xml:space="preserve">只提示）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</si>
  <si>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：超過門檻只提示（門檻在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固定：新檢查取下一個號碼，退役號碼不重用。</t>
    </r>
  </si>
  <si>
    <t xml:space="preserve">檢查項</t>
  </si>
  <si>
    <t xml:space="preserve">值（公式）</t>
  </si>
  <si>
    <t xml:space="preserve">期望</t>
  </si>
  <si>
    <t xml:space="preserve">結果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</si>
  <si>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列數</t>
    </r>
  </si>
  <si>
    <r>
      <rPr>
        <sz val="9"/>
        <color rgb="FF595959"/>
        <rFont val="Arial"/>
        <family val="0"/>
        <charset val="1"/>
      </rPr>
      <t xml:space="preserve">A1 376 </t>
    </r>
    <r>
      <rPr>
        <sz val="9"/>
        <color rgb="FF595959"/>
        <rFont val="Noto Sans CJK SC"/>
        <family val="2"/>
      </rPr>
      <t xml:space="preserve">列＋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SRC_ANT_377–379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SRC_ANT_380–409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</si>
  <si>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缺值列數</t>
    </r>
  </si>
  <si>
    <t xml:space="preserve">值、低、高皆空且非定性／文字／日期列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</si>
  <si>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缺出處或網址列數</t>
    </r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</si>
  <si>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</si>
  <si>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</si>
  <si>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r>
      <rPr>
        <sz val="10"/>
        <color rgb="FF000000"/>
        <rFont val="Arial"/>
        <family val="0"/>
        <charset val="1"/>
      </rPr>
      <t xml:space="preserve">SRC_ANT </t>
    </r>
    <r>
      <rPr>
        <sz val="10"/>
        <color rgb="FF000000"/>
        <rFont val="Noto Sans CJK SC"/>
        <family val="2"/>
      </rPr>
      <t xml:space="preserve">標記 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但未處理（仍為觀測）列數</t>
    </r>
  </si>
  <si>
    <r>
      <rPr>
        <sz val="9"/>
        <color rgb="FF595959"/>
        <rFont val="Arial"/>
        <family val="0"/>
        <charset val="1"/>
      </rPr>
      <t xml:space="preserve">yaml </t>
    </r>
    <r>
      <rPr>
        <sz val="9"/>
        <color rgb="FF595959"/>
        <rFont val="Noto Sans CJK SC"/>
        <family val="2"/>
      </rPr>
      <t xml:space="preserve">檔頭：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列改公式或移入 </t>
    </r>
    <r>
      <rPr>
        <sz val="9"/>
        <color rgb="FF595959"/>
        <rFont val="Arial"/>
        <family val="0"/>
        <charset val="1"/>
      </rPr>
      <t xml:space="preserve">Inputs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</si>
  <si>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</si>
  <si>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</si>
  <si>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</si>
  <si>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r>
      <rPr>
        <sz val="10"/>
        <color rgb="FF000000"/>
        <rFont val="Arial"/>
        <family val="0"/>
        <charset val="1"/>
      </rPr>
      <t xml:space="preserve">Inputs 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缺區間列數</t>
    </r>
  </si>
  <si>
    <r>
      <rPr>
        <sz val="9"/>
        <color rgb="FF595959"/>
        <rFont val="Noto Sans CJK SC"/>
        <family val="2"/>
      </rPr>
      <t xml:space="preserve">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一律給區間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</si>
  <si>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具名範圍已取值名稱數</t>
    </r>
  </si>
  <si>
    <r>
      <rPr>
        <sz val="9"/>
        <color rgb="FF595959"/>
        <rFont val="Arial"/>
        <family val="0"/>
        <charset val="1"/>
      </rPr>
      <t xml:space="preserve">OpenAI v0.6 </t>
    </r>
    <r>
      <rPr>
        <sz val="9"/>
        <color rgb="FF595959"/>
        <rFont val="Noto Sans CJK SC"/>
        <family val="2"/>
      </rPr>
      <t xml:space="preserve">同一組 </t>
    </r>
    <r>
      <rPr>
        <sz val="9"/>
        <color rgb="FF595959"/>
        <rFont val="Arial"/>
        <family val="0"/>
        <charset val="1"/>
      </rPr>
      <t xml:space="preserve">63 </t>
    </r>
    <r>
      <rPr>
        <sz val="9"/>
        <color rgb="FF595959"/>
        <rFont val="Noto Sans CJK SC"/>
        <family val="2"/>
      </rPr>
      <t xml:space="preserve">名＋</t>
    </r>
    <r>
      <rPr>
        <sz val="9"/>
        <color rgb="FF595959"/>
        <rFont val="Arial"/>
        <family val="0"/>
        <charset val="1"/>
      </rPr>
      <t xml:space="preserve">A2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IF_HdrTask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IF_TaskLen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IF_TaskTok*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v0.1.2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L1_RevGW_PQ_VR200 </t>
    </r>
    <r>
      <rPr>
        <sz val="9"/>
        <color rgb="FF595959"/>
        <rFont val="Noto Sans CJK SC"/>
        <family val="2"/>
      </rPr>
      <t xml:space="preserve">系列等對照名稱）＋</t>
    </r>
    <r>
      <rPr>
        <sz val="9"/>
        <color rgb="FF595959"/>
        <rFont val="Arial"/>
        <family val="0"/>
        <charset val="1"/>
      </rPr>
      <t xml:space="preserve">v0.1.3 B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23 </t>
    </r>
    <r>
      <rPr>
        <sz val="9"/>
        <color rgb="FF595959"/>
        <rFont val="Noto Sans CJK SC"/>
        <family val="2"/>
      </rPr>
      <t xml:space="preserve">名（</t>
    </r>
    <r>
      <rPr>
        <sz val="9"/>
        <color rgb="FF595959"/>
        <rFont val="Arial"/>
        <family val="0"/>
        <charset val="1"/>
      </rPr>
      <t xml:space="preserve">IF_UtilActual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L1_Gap* </t>
    </r>
    <r>
      <rPr>
        <sz val="9"/>
        <color rgb="FF595959"/>
        <rFont val="Noto Sans CJK SC"/>
        <family val="2"/>
      </rPr>
      <t xml:space="preserve">等，只對照）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</si>
  <si>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讀表（非具名）格數：</t>
    </r>
    <r>
      <rPr>
        <sz val="10"/>
        <color rgb="FF000000"/>
        <rFont val="Arial"/>
        <family val="0"/>
        <charset val="1"/>
      </rPr>
      <t xml:space="preserve">NonNV 18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PUE 3</t>
    </r>
  </si>
  <si>
    <r>
      <rPr>
        <sz val="9"/>
        <color rgb="FF595959"/>
        <rFont val="Arial"/>
        <family val="0"/>
        <charset val="1"/>
      </rPr>
      <t xml:space="preserve">TPU 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AMD MI455X × 6 </t>
    </r>
    <r>
      <rPr>
        <sz val="9"/>
        <color rgb="FF595959"/>
        <rFont val="Noto Sans CJK SC"/>
        <family val="2"/>
      </rPr>
      <t xml:space="preserve">值（規格 </t>
    </r>
    <r>
      <rPr>
        <sz val="9"/>
        <color rgb="FF595959"/>
        <rFont val="Arial"/>
        <family val="0"/>
        <charset val="1"/>
      </rPr>
      <t xml:space="preserve">D6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D6 r1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加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PUE</t>
    </r>
    <r>
      <rPr>
        <sz val="9"/>
        <color rgb="FF595959"/>
        <rFont val="Noto Sans CJK SC"/>
        <family val="2"/>
      </rPr>
      <t xml:space="preserve">（低／基準／高）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</si>
  <si>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</si>
  <si>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</si>
  <si>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r>
      <rPr>
        <sz val="10"/>
        <color rgb="FF000000"/>
        <rFont val="Arial"/>
        <family val="0"/>
        <charset val="1"/>
      </rPr>
      <t xml:space="preserve">TK NonNV </t>
    </r>
    <r>
      <rPr>
        <sz val="10"/>
        <color rgb="FF000000"/>
        <rFont val="Noto Sans CJK SC"/>
        <family val="2"/>
      </rPr>
      <t xml:space="preserve">產出比、持有比 低 ≤ 基準 ≤ 高 違反數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</si>
  <si>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快照被改寫時轉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</si>
  <si>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版本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</si>
  <si>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</si>
  <si>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check_tk_snapshot </t>
    </r>
    <r>
      <rPr>
        <sz val="9"/>
        <color rgb="FF595959"/>
        <rFont val="Noto Sans CJK SC"/>
        <family val="2"/>
      </rPr>
      <t xml:space="preserve">結果見報告</t>
    </r>
  </si>
  <si>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快照：</t>
    </r>
    <r>
      <rPr>
        <sz val="10"/>
        <color rgb="FF000000"/>
        <rFont val="Arial"/>
        <family val="0"/>
        <charset val="1"/>
      </rPr>
      <t xml:space="preserve">Tokenomics master </t>
    </r>
    <r>
      <rPr>
        <sz val="10"/>
        <color rgb="FF000000"/>
        <rFont val="Noto Sans CJK SC"/>
        <family val="2"/>
      </rPr>
      <t xml:space="preserve">提交</t>
    </r>
  </si>
  <si>
    <r>
      <rPr>
        <sz val="10"/>
        <color rgb="FF000000"/>
        <rFont val="Arial"/>
        <family val="0"/>
        <charset val="1"/>
      </rPr>
      <t xml:space="preserve">OAI_Link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</si>
  <si>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：只被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引用；本列為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建置時掃描結果，</t>
    </r>
    <r>
      <rPr>
        <sz val="9"/>
        <color rgb="FF595959"/>
        <rFont val="Arial"/>
        <family val="0"/>
        <charset val="1"/>
      </rPr>
      <t xml:space="preserve">tests/parity/test_builder.py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</si>
  <si>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OAI_Link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活頁簿 </t>
    </r>
    <r>
      <rPr>
        <sz val="10"/>
        <color rgb="FF000000"/>
        <rFont val="Arial"/>
        <family val="0"/>
        <charset val="1"/>
      </rPr>
      <t xml:space="preserve">SHA-256</t>
    </r>
  </si>
  <si>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：計算頁公式含常數的格數（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</si>
  <si>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起含 </t>
    </r>
    <r>
      <rPr>
        <sz val="9"/>
        <color rgb="FF595959"/>
        <rFont val="Arial"/>
        <family val="0"/>
        <charset val="1"/>
      </rPr>
      <t xml:space="preserve">Compute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Cost…</t>
    </r>
    <r>
      <rPr>
        <sz val="9"/>
        <color rgb="FF595959"/>
        <rFont val="Noto Sans CJK SC"/>
        <family val="2"/>
      </rPr>
      <t xml:space="preserve">）；本列為建置時掃描結果，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</si>
  <si>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營收校準：模型總額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認列營收（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</si>
  <si>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；訂閱、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、其他三項分別等於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，總額恆等於 </t>
    </r>
    <r>
      <rPr>
        <sz val="9"/>
        <color rgb="FF595959"/>
        <rFont val="Arial"/>
        <family val="0"/>
        <charset val="1"/>
      </rPr>
      <t xml:space="preserve">SRC_ANT_001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</si>
  <si>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訂閱：模型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訂閱營收（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</si>
  <si>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個人＋席位由營收倒推人數</t>
  </si>
  <si>
    <r>
      <rPr>
        <sz val="10"/>
        <color rgb="FF000000"/>
        <rFont val="Arial"/>
        <family val="0"/>
        <charset val="1"/>
      </rPr>
      <t xml:space="preserve">2025 API</t>
    </r>
    <r>
      <rPr>
        <sz val="10"/>
        <color rgb="FF000000"/>
        <rFont val="Noto Sans CJK SC"/>
        <family val="2"/>
      </rPr>
      <t xml:space="preserve">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用量計價營收（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</si>
  <si>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由營收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有效單價倒推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</si>
  <si>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雲端平台抽成：模型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報導通路費（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</si>
  <si>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D5 r1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</si>
  <si>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半校準：模型總額 − 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時為 </t>
    </r>
    <r>
      <rPr>
        <sz val="10"/>
        <color rgb="FF000000"/>
        <rFont val="Arial"/>
        <family val="0"/>
        <charset val="1"/>
      </rPr>
      <t xml:space="preserve">v0.1 </t>
    </r>
    <r>
      <rPr>
        <sz val="10"/>
        <color rgb="FF000000"/>
        <rFont val="Noto Sans CJK SC"/>
        <family val="2"/>
      </rPr>
      <t xml:space="preserve">基準）（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</si>
  <si>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為倒推項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</si>
  <si>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對照：模型總額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里程碑推估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</si>
  <si>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</t>
    </r>
    <r>
      <rPr>
        <sz val="9"/>
        <color rgb="FF595959"/>
        <rFont val="Noto Sans CJK SC"/>
        <family val="2"/>
      </rPr>
      <t xml:space="preserve">：只提示、不校準；推估＝上半年實際＋下半年由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年化至年底投資人預期中點的對數平均</t>
    </r>
  </si>
  <si>
    <r>
      <rPr>
        <sz val="10"/>
        <color rgb="FF000000"/>
        <rFont val="Noto Sans CJK SC"/>
        <family val="2"/>
      </rPr>
      <t xml:space="preserve">個人＋企業＋其他 − 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</si>
  <si>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層級合計 −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</si>
  <si>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</si>
  <si>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付費＋免費（層級）＝訂閱、席位、</t>
    </r>
    <r>
      <rPr>
        <sz val="9"/>
        <color rgb="FF595959"/>
        <rFont val="Arial"/>
        <family val="0"/>
        <charset val="1"/>
      </rPr>
      <t xml:space="preserve">Free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</si>
  <si>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任務類別合計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方案合計（違反年數）</t>
    </r>
  </si>
  <si>
    <t xml:space="preserve">相對差</t>
  </si>
  <si>
    <r>
      <rPr>
        <sz val="10"/>
        <color rgb="FF000000"/>
        <rFont val="Noto Sans CJK SC"/>
        <family val="2"/>
      </rPr>
      <t xml:space="preserve">組合占比 ∉ </t>
    </r>
    <r>
      <rPr>
        <sz val="10"/>
        <color rgb="FF000000"/>
        <rFont val="Arial"/>
        <family val="0"/>
        <charset val="1"/>
      </rPr>
      <t xml:space="preserve">[0,1] </t>
    </r>
    <r>
      <rPr>
        <sz val="10"/>
        <color rgb="FF000000"/>
        <rFont val="Noto Sans CJK SC"/>
        <family val="2"/>
      </rPr>
      <t xml:space="preserve">或餘項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的違反數（方案、席位、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層級、任務類別、層級組合）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</si>
  <si>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只設兩項、第三項＝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其餘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</si>
  <si>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倒推：個人付費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、席位 ≤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Free &lt;0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token ≤0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</si>
  <si>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Noto Sans CJK SC"/>
        <family val="2"/>
      </rPr>
      <t xml:space="preserve">例：消費者訂閱占營收（</t>
    </r>
    <r>
      <rPr>
        <sz val="9"/>
        <color rgb="FF595959"/>
        <rFont val="Arial"/>
        <family val="0"/>
        <charset val="1"/>
      </rPr>
      <t xml:space="preserve">SRC Analogy</t>
    </r>
    <r>
      <rPr>
        <sz val="9"/>
        <color rgb="FF595959"/>
        <rFont val="Noto Sans CJK SC"/>
        <family val="2"/>
      </rPr>
      <t xml:space="preserve">）取高值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Noto Sans CJK SC"/>
        <family val="2"/>
      </rPr>
      <t xml:space="preserve">時個人訂閱 </t>
    </r>
    <r>
      <rPr>
        <sz val="9"/>
        <color rgb="FF595959"/>
        <rFont val="Arial"/>
        <family val="0"/>
        <charset val="1"/>
      </rPr>
      <t xml:space="preserve">0.92 &gt; </t>
    </r>
    <r>
      <rPr>
        <sz val="9"/>
        <color rgb="FF595959"/>
        <rFont val="Noto Sans CJK SC"/>
        <family val="2"/>
      </rPr>
      <t xml:space="preserve">訂閱合計 </t>
    </r>
    <r>
      <rPr>
        <sz val="9"/>
        <color rgb="FF595959"/>
        <rFont val="Arial"/>
        <family val="0"/>
        <charset val="1"/>
      </rPr>
      <t xml:space="preserve">0.789</t>
    </r>
    <r>
      <rPr>
        <sz val="9"/>
        <color rgb="FF595959"/>
        <rFont val="Noto Sans CJK SC"/>
        <family val="2"/>
      </rPr>
      <t xml:space="preserve">，席位轉負</t>
    </r>
  </si>
  <si>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校準營收 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（半校準後訂閱＋其他已超過總額）</t>
    </r>
  </si>
  <si>
    <r>
      <rPr>
        <sz val="10"/>
        <color rgb="FF000000"/>
        <rFont val="Noto Sans CJK SC"/>
        <family val="2"/>
      </rPr>
      <t xml:space="preserve">容量上限係數 ∉ </t>
    </r>
    <r>
      <rPr>
        <sz val="10"/>
        <color rgb="FF000000"/>
        <rFont val="Arial"/>
        <family val="0"/>
        <charset val="1"/>
      </rPr>
      <t xml:space="preserve">(0,1]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</si>
  <si>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起＝</t>
    </r>
    <r>
      <rPr>
        <sz val="9"/>
        <color rgb="FF595959"/>
        <rFont val="Arial"/>
        <family val="0"/>
        <charset val="1"/>
      </rPr>
      <t xml:space="preserve">Compute CMP_CapFactor</t>
    </r>
  </si>
  <si>
    <r>
      <rPr>
        <sz val="10"/>
        <color rgb="FF000000"/>
        <rFont val="Noto Sans CJK SC"/>
        <family val="2"/>
      </rPr>
      <t xml:space="preserve">廣告營收 ≠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的年數（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</si>
  <si>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公開承諾不放廣告</t>
    </r>
  </si>
  <si>
    <t xml:space="preserve">價格事件公告日順序違反數（各層級序列須依日期遞增）</t>
  </si>
  <si>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日期被改錯時轉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</si>
  <si>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營收兩筆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之差（</t>
    </r>
    <r>
      <rPr>
        <sz val="10"/>
        <color rgb="FF000000"/>
        <rFont val="Arial"/>
        <family val="0"/>
        <charset val="1"/>
      </rPr>
      <t xml:space="preserve">4.6 − 4.59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</si>
  <si>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基準用 </t>
    </r>
    <r>
      <rPr>
        <sz val="9"/>
        <color rgb="FF595959"/>
        <rFont val="Arial"/>
        <family val="0"/>
        <charset val="1"/>
      </rPr>
      <t xml:space="preserve">SRC_ANT_001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Reuters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Fortune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</si>
  <si>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未校準個人訂閱 − 校準值（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</si>
  <si>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月活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付費轉換率（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加權月費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</si>
  <si>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模型總額 </t>
    </r>
    <r>
      <rPr>
        <sz val="10"/>
        <color rgb="FF000000"/>
        <rFont val="Arial"/>
        <family val="0"/>
        <charset val="1"/>
      </rPr>
      <t xml:space="preserve">÷ run-rate </t>
    </r>
    <r>
      <rPr>
        <sz val="10"/>
        <color rgb="FF000000"/>
        <rFont val="Noto Sans CJK SC"/>
        <family val="2"/>
      </rPr>
      <t xml:space="preserve">對數平均推估 −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</si>
  <si>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run-rate </t>
    </r>
    <r>
      <rPr>
        <sz val="9"/>
        <color rgb="FF595959"/>
        <rFont val="Noto Sans CJK SC"/>
        <family val="2"/>
      </rPr>
      <t xml:space="preserve">只作對照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</si>
  <si>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隱含平台抽成率（報導通路費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通路營收）</t>
    </r>
  </si>
  <si>
    <r>
      <rPr>
        <sz val="9"/>
        <color rgb="FF595959"/>
        <rFont val="Arial"/>
        <family val="0"/>
        <charset val="1"/>
      </rPr>
      <t xml:space="preserve">Inputs 2026 </t>
    </r>
    <r>
      <rPr>
        <sz val="9"/>
        <color rgb="FF595959"/>
        <rFont val="Noto Sans CJK SC"/>
        <family val="2"/>
      </rPr>
      <t xml:space="preserve">起基準 </t>
    </r>
    <r>
      <rPr>
        <sz val="9"/>
        <color rgb="FF595959"/>
        <rFont val="Arial"/>
        <family val="0"/>
        <charset val="1"/>
      </rPr>
      <t xml:space="preserve">0.16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</si>
  <si>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BofA 2026 </t>
    </r>
    <r>
      <rPr>
        <sz val="10"/>
        <color rgb="FF000000"/>
        <rFont val="Noto Sans CJK SC"/>
        <family val="2"/>
      </rPr>
      <t xml:space="preserve">付給雲端金額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通路營收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</si>
  <si>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抽成率上緣 </t>
    </r>
    <r>
      <rPr>
        <sz val="9"/>
        <color rgb="FF595959"/>
        <rFont val="Arial"/>
        <family val="0"/>
        <charset val="1"/>
      </rPr>
      <t xml:space="preserve">0.30 </t>
    </r>
    <r>
      <rPr>
        <sz val="9"/>
        <color rgb="FF595959"/>
        <rFont val="Noto Sans CJK SC"/>
        <family val="2"/>
      </rPr>
      <t xml:space="preserve">的依據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</si>
  <si>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訂閱占總額（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估 </t>
    </r>
    <r>
      <rPr>
        <sz val="10"/>
        <color rgb="FF000000"/>
        <rFont val="Arial"/>
        <family val="0"/>
        <charset val="1"/>
      </rPr>
      <t xml:space="preserve">10–15%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</si>
  <si>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SRC_ANT_062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</si>
  <si>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API </t>
    </r>
    <r>
      <rPr>
        <sz val="10"/>
        <color rgb="FF000000"/>
        <rFont val="Noto Sans CJK SC"/>
        <family val="2"/>
      </rPr>
      <t xml:space="preserve">任務數隱含年增率（半校準）</t>
    </r>
  </si>
  <si>
    <r>
      <rPr>
        <sz val="9"/>
        <color rgb="FF595959"/>
        <rFont val="Arial"/>
        <family val="0"/>
        <charset val="1"/>
      </rPr>
      <t xml:space="preserve">D15 r1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由實際值倒推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</si>
  <si>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模型總額 − 管理層預測 </t>
    </r>
    <r>
      <rPr>
        <sz val="10"/>
        <color rgb="FF000000"/>
        <rFont val="Arial"/>
        <family val="0"/>
        <charset val="1"/>
      </rPr>
      <t xml:space="preserve">$55B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2026-01 </t>
    </r>
    <r>
      <rPr>
        <sz val="10"/>
        <color rgb="FF000000"/>
        <rFont val="Noto Sans CJK SC"/>
        <family val="2"/>
      </rPr>
      <t xml:space="preserve">版）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</si>
  <si>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：只對照、不回饋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</si>
  <si>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</si>
  <si>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總額 − 雲端平台抽成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</si>
  <si>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營收總額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</si>
  <si>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9"/>
        <color rgb="FF595959"/>
        <rFont val="Arial"/>
        <family val="0"/>
        <charset val="1"/>
      </rPr>
      <t xml:space="preserve">OAI_Link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</si>
  <si>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營收淨額 </t>
    </r>
    <r>
      <rPr>
        <sz val="10"/>
        <color rgb="FF000000"/>
        <rFont val="Arial"/>
        <family val="0"/>
        <charset val="1"/>
      </rPr>
      <t xml:space="preserve">Anthropic ÷ OpenAI</t>
    </r>
    <r>
      <rPr>
        <sz val="10"/>
        <color rgb="FF000000"/>
        <rFont val="Noto Sans CJK SC"/>
        <family val="2"/>
      </rPr>
      <t xml:space="preserve">（未截頂；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為截頂前淨額）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</si>
  <si>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Anthropic ÷ OpenAI</t>
    </r>
  </si>
  <si>
    <t xml:space="preserve">需求口徑不同，只並列</t>
  </si>
  <si>
    <r>
      <rPr>
        <sz val="10"/>
        <color rgb="FF000000"/>
        <rFont val="Noto Sans CJK SC"/>
        <family val="2"/>
      </rPr>
      <t xml:space="preserve">任務類別對應的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任務名稱在 </t>
    </r>
    <r>
      <rPr>
        <sz val="10"/>
        <color rgb="FF000000"/>
        <rFont val="Arial"/>
        <family val="0"/>
        <charset val="1"/>
      </rPr>
      <t xml:space="preserve">TK_IF_HdrTask </t>
    </r>
    <r>
      <rPr>
        <sz val="10"/>
        <color rgb="FF000000"/>
        <rFont val="Noto Sans CJK SC"/>
        <family val="2"/>
      </rPr>
      <t xml:space="preserve">找不到的數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</si>
  <si>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改任務名稱時轉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</si>
  <si>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程式代理任務的快取輸入占輸入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vs Inputs API </t>
    </r>
    <r>
      <rPr>
        <sz val="10"/>
        <color rgb="FF000000"/>
        <rFont val="Noto Sans CJK SC"/>
        <family val="2"/>
      </rPr>
      <t xml:space="preserve">快取命中）</t>
    </r>
  </si>
  <si>
    <r>
      <rPr>
        <sz val="9"/>
        <color rgb="FF595959"/>
        <rFont val="Arial"/>
        <family val="0"/>
        <charset val="1"/>
      </rPr>
      <t xml:space="preserve">Inputs INP_082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全體）</t>
    </r>
  </si>
  <si>
    <r>
      <rPr>
        <sz val="10"/>
        <color rgb="FF000000"/>
        <rFont val="Arial"/>
        <family val="0"/>
        <charset val="1"/>
      </rPr>
      <t xml:space="preserve">TK PUE </t>
    </r>
    <r>
      <rPr>
        <sz val="10"/>
        <color rgb="FF000000"/>
        <rFont val="Noto Sans CJK SC"/>
        <family val="2"/>
      </rPr>
      <t xml:space="preserve">低 ≤ 基準 ≤ 高 違反數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</si>
  <si>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PUE </t>
    </r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Inputs </t>
    </r>
    <r>
      <rPr>
        <sz val="9"/>
        <color rgb="FF595959"/>
        <rFont val="Noto Sans CJK SC"/>
        <family val="2"/>
      </rPr>
      <t xml:space="preserve">頁（非具名）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</si>
  <si>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算力成本：模型 − 說明書實際 </t>
    </r>
    <r>
      <rPr>
        <sz val="10"/>
        <color rgb="FF000000"/>
        <rFont val="Arial"/>
        <family val="0"/>
        <charset val="1"/>
      </rPr>
      <t xml:space="preserve">$7.33B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</si>
  <si>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既有雲端列為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餘額（校準）；其餘合約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</si>
  <si>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3.23 </t>
    </r>
    <r>
      <rPr>
        <sz val="10"/>
        <color rgb="FF000000"/>
        <rFont val="Noto Sans CJK SC"/>
        <family val="2"/>
      </rPr>
      <t xml:space="preserve">＋ 訓練 </t>
    </r>
    <r>
      <rPr>
        <sz val="10"/>
        <color rgb="FF000000"/>
        <rFont val="Arial"/>
        <family val="0"/>
        <charset val="1"/>
      </rPr>
      <t xml:space="preserve">4.1 −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7.33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</si>
  <si>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η </t>
    </r>
    <r>
      <rPr>
        <sz val="9"/>
        <color rgb="FF595959"/>
        <rFont val="Noto Sans CJK SC"/>
        <family val="2"/>
      </rPr>
      <t xml:space="preserve">校準用的推論支出＝實際 − 訓練（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</si>
  <si>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GW &lt;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（截頂後）的年數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</si>
  <si>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步：供給 ≥ 推論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</si>
  <si>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&lt; 0 </t>
    </r>
    <r>
      <rPr>
        <sz val="10"/>
        <color rgb="FF000000"/>
        <rFont val="Noto Sans CJK SC"/>
        <family val="2"/>
      </rPr>
      <t xml:space="preserve">的年數（推論吃掉研發；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</si>
  <si>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D12 </t>
    </r>
    <r>
      <rPr>
        <sz val="9"/>
        <color rgb="FF595959"/>
        <rFont val="Noto Sans CJK SC"/>
        <family val="2"/>
      </rPr>
      <t xml:space="preserve">殘差：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容量上限固定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時可能發生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</si>
  <si>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超出合理範圍（</t>
    </r>
    <r>
      <rPr>
        <sz val="10"/>
        <color rgb="FF000000"/>
        <rFont val="Arial"/>
        <family val="0"/>
        <charset val="1"/>
      </rPr>
      <t xml:space="preserve">Inputs 0.5–2</t>
    </r>
    <r>
      <rPr>
        <sz val="10"/>
        <color rgb="FF000000"/>
        <rFont val="Noto Sans CJK SC"/>
        <family val="2"/>
      </rPr>
      <t xml:space="preserve">）的年數（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</si>
  <si>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</t>
    </r>
  </si>
  <si>
    <r>
      <rPr>
        <sz val="10"/>
        <color rgb="FF000000"/>
        <rFont val="Noto Sans CJK SC"/>
        <family val="2"/>
      </rPr>
      <t xml:space="preserve">推論（截頂後）＋研發＋閒置 − 供給（各年最大絕對差，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</si>
  <si>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：說明書算力＝推論＋訓練；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起：研發為殘差</t>
    </r>
  </si>
  <si>
    <r>
      <rPr>
        <sz val="10"/>
        <color rgb="FF000000"/>
        <rFont val="Noto Sans CJK SC"/>
        <family val="2"/>
      </rPr>
      <t xml:space="preserve">各族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供給（各年最大絕對差）</t>
    </r>
  </si>
  <si>
    <r>
      <rPr>
        <sz val="10"/>
        <color rgb="FF000000"/>
        <rFont val="Noto Sans CJK SC"/>
        <family val="2"/>
      </rPr>
      <t xml:space="preserve">組合占比合計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（各年最大絕對差）</t>
    </r>
  </si>
  <si>
    <r>
      <rPr>
        <sz val="9"/>
        <color rgb="FF595959"/>
        <rFont val="Noto Sans CJK SC"/>
        <family val="2"/>
      </rPr>
      <t xml:space="preserve">合計恆為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（本列＝最大值 −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，只列示）</t>
    </r>
  </si>
  <si>
    <r>
      <rPr>
        <sz val="10"/>
        <color rgb="FF000000"/>
        <rFont val="Noto Sans CJK SC"/>
        <family val="2"/>
      </rPr>
      <t xml:space="preserve">既有雲端組合占比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或餘額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的違反數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</si>
  <si>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只設 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</si>
  <si>
    <t xml:space="preserve">爬坡型合約期間短於爬坡年數的合約數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</si>
  <si>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權重公式（</t>
    </r>
    <r>
      <rPr>
        <sz val="9"/>
        <color rgb="FF595959"/>
        <rFont val="Arial"/>
        <family val="0"/>
        <charset val="1"/>
      </rPr>
      <t xml:space="preserve">2n − r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2 </t>
    </r>
    <r>
      <rPr>
        <sz val="9"/>
        <color rgb="FF595959"/>
        <rFont val="Noto Sans CJK SC"/>
        <family val="2"/>
      </rPr>
      <t xml:space="preserve">需 </t>
    </r>
    <r>
      <rPr>
        <sz val="9"/>
        <color rgb="FF595959"/>
        <rFont val="Arial"/>
        <family val="0"/>
        <charset val="1"/>
      </rPr>
      <t xml:space="preserve">n ≥ r</t>
    </r>
  </si>
  <si>
    <r>
      <rPr>
        <sz val="10"/>
        <color rgb="FF000000"/>
        <rFont val="Noto Sans CJK SC"/>
        <family val="2"/>
      </rPr>
      <t xml:space="preserve">容量上限係數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≠ 1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</si>
  <si>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端交接：校準年不截頂</t>
    </r>
  </si>
  <si>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容量上限係數 ≠ </t>
    </r>
    <r>
      <rPr>
        <sz val="10"/>
        <color rgb="FF000000"/>
        <rFont val="Arial"/>
        <family val="0"/>
        <charset val="1"/>
      </rPr>
      <t xml:space="preserve">Compute </t>
    </r>
    <r>
      <rPr>
        <sz val="10"/>
        <color rgb="FF000000"/>
        <rFont val="Noto Sans CJK SC"/>
        <family val="2"/>
      </rPr>
      <t xml:space="preserve">的年數</t>
    </r>
  </si>
  <si>
    <t xml:space="preserve">逐合約實付加總 − 合計（各年最大絕對差）</t>
  </si>
  <si>
    <r>
      <rPr>
        <sz val="10"/>
        <color rgb="FF000000"/>
        <rFont val="Noto Sans CJK SC"/>
        <family val="2"/>
      </rPr>
      <t xml:space="preserve">金額型合約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合約價 − 實付（各年最大）</t>
    </r>
  </si>
  <si>
    <t xml:space="preserve">算力成本 −（合約實付＋自建）（各年最大）</t>
  </si>
  <si>
    <t xml:space="preserve">全成本 − 各項合計（各年最大）</t>
  </si>
  <si>
    <t xml:space="preserve">推論＋研發＋閒置算力 − 算力成本（各年最大）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</si>
  <si>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非算力（不含股權報酬）≤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（股權報酬假設超過費用）</t>
    </r>
  </si>
  <si>
    <r>
      <rPr>
        <sz val="9"/>
        <color rgb="FF595959"/>
        <rFont val="Noto Sans CJK SC"/>
        <family val="2"/>
      </rPr>
      <t xml:space="preserve">每人股權報酬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人數 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說明書非算力費用時轉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</si>
  <si>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逐合約加總（招股書六家對應）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</t>
    </r>
    <r>
      <rPr>
        <sz val="10"/>
        <color rgb="FF000000"/>
        <rFont val="Arial"/>
        <family val="0"/>
        <charset val="1"/>
      </rPr>
      <t xml:space="preserve">$518B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</t>
    </r>
    <r>
      <rPr>
        <sz val="10"/>
        <color rgb="FF000000"/>
        <rFont val="Noto Sans CJK SC"/>
        <family val="2"/>
      </rPr>
      <t xml:space="preserve">門檻 →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</si>
  <si>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端預設；機房租約與 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Volta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Akamai </t>
    </r>
    <r>
      <rPr>
        <sz val="9"/>
        <color rgb="FF595959"/>
        <rFont val="Noto Sans CJK SC"/>
        <family val="2"/>
      </rPr>
      <t xml:space="preserve">不在招股書六家之內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</si>
  <si>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1.4 − 1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</si>
  <si>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t xml:space="preserve">只對照、不校準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</si>
  <si>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5 − 1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</si>
  <si>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年底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模型近似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報導約 </t>
    </r>
    <r>
      <rPr>
        <sz val="10"/>
        <color rgb="FF000000"/>
        <rFont val="Arial"/>
        <family val="0"/>
        <charset val="1"/>
      </rPr>
      <t xml:space="preserve">10 − 1</t>
    </r>
  </si>
  <si>
    <r>
      <rPr>
        <sz val="9"/>
        <color rgb="FF595959"/>
        <rFont val="Arial"/>
        <family val="0"/>
        <charset val="1"/>
      </rPr>
      <t xml:space="preserve">NYT</t>
    </r>
    <r>
      <rPr>
        <sz val="9"/>
        <color rgb="FF595959"/>
        <rFont val="Noto Sans CJK SC"/>
        <family val="2"/>
      </rPr>
      <t xml:space="preserve">「再倍增」（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</si>
  <si>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營業結果 模型 − 說明書（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</si>
  <si>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Arial"/>
        <family val="0"/>
        <charset val="1"/>
      </rPr>
      <t xml:space="preserve">D21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$34B </t>
    </r>
    <r>
      <rPr>
        <sz val="9"/>
        <color rgb="FF595959"/>
        <rFont val="Noto Sans CJK SC"/>
        <family val="2"/>
      </rPr>
      <t xml:space="preserve">非現金費用不在營業費用內</t>
    </r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</si>
  <si>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調整後營業利益率（近似）</t>
    </r>
  </si>
  <si>
    <t xml:space="preserve">不校準</t>
  </si>
  <si>
    <r>
      <rPr>
        <sz val="10"/>
        <color rgb="FF000000"/>
        <rFont val="Arial"/>
        <family val="0"/>
        <charset val="1"/>
      </rPr>
      <t xml:space="preserve">D22 </t>
    </r>
    <r>
      <rPr>
        <sz val="10"/>
        <color rgb="FF000000"/>
        <rFont val="Noto Sans CJK SC"/>
        <family val="2"/>
      </rPr>
      <t xml:space="preserve">對照：報導 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營業利益率（預測 </t>
    </r>
    <r>
      <rPr>
        <sz val="10"/>
        <color rgb="FF000000"/>
        <rFont val="Arial"/>
        <family val="0"/>
        <charset val="1"/>
      </rPr>
      <t xml:space="preserve">0.559 ÷ 10.9</t>
    </r>
    <r>
      <rPr>
        <sz val="10"/>
        <color rgb="FF000000"/>
        <rFont val="Noto Sans CJK SC"/>
        <family val="2"/>
      </rPr>
      <t xml:space="preserve">；實際為正）</t>
    </r>
  </si>
  <si>
    <r>
      <rPr>
        <sz val="9"/>
        <color rgb="FF595959"/>
        <rFont val="Arial"/>
        <family val="0"/>
        <charset val="1"/>
      </rPr>
      <t xml:space="preserve">SRC_ANT_347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350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</si>
  <si>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上半年算力支出（報導比率推得，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</si>
  <si>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費用口徑；模型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合約實付見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第二節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</si>
  <si>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</si>
  <si>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D8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</si>
  <si>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差額（含股權報酬，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</si>
  <si>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</si>
  <si>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覆蓋率（含股權報酬）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</si>
  <si>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 </t>
    </r>
    <r>
      <rPr>
        <sz val="10"/>
        <color rgb="FF000000"/>
        <rFont val="Arial"/>
        <family val="0"/>
        <charset val="1"/>
      </rPr>
      <t xml:space="preserve">Anthropic −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</si>
  <si>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覆蓋率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</si>
  <si>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供給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Anthropic ÷ OpenAI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</si>
  <si>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算力成本 </t>
    </r>
    <r>
      <rPr>
        <sz val="10"/>
        <color rgb="FF000000"/>
        <rFont val="Arial"/>
        <family val="0"/>
        <charset val="1"/>
      </rPr>
      <t xml:space="preserve">Anthropic ÷ OpenAI</t>
    </r>
  </si>
  <si>
    <r>
      <rPr>
        <sz val="10"/>
        <color rgb="FF000000"/>
        <rFont val="Noto Sans CJK SC"/>
        <family val="2"/>
      </rPr>
      <t xml:space="preserve">自由現金流 −（營收淨額 − 算力 − 非算力）（各年最大絕對差，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</si>
  <si>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 </t>
    </r>
    <r>
      <rPr>
        <sz val="9"/>
        <color rgb="FF595959"/>
        <rFont val="Noto Sans CJK SC"/>
        <family val="2"/>
      </rPr>
      <t xml:space="preserve">交接：股權報酬加回</t>
    </r>
  </si>
  <si>
    <r>
      <rPr>
        <sz val="10"/>
        <color rgb="FF000000"/>
        <rFont val="Noto Sans CJK SC"/>
        <family val="2"/>
      </rPr>
      <t xml:space="preserve">年底現金 −（期初＋自由現金流＋股權流入＋外部資金）（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最大絕對差）</t>
    </r>
  </si>
  <si>
    <t xml:space="preserve">來源順序恆等式</t>
  </si>
  <si>
    <r>
      <rPr>
        <sz val="10"/>
        <color rgb="FF000000"/>
        <rFont val="Noto Sans CJK SC"/>
        <family val="2"/>
      </rPr>
      <t xml:space="preserve">外部資金需求 </t>
    </r>
    <r>
      <rPr>
        <sz val="10"/>
        <color rgb="FF000000"/>
        <rFont val="Arial"/>
        <family val="0"/>
        <charset val="1"/>
      </rPr>
      <t xml:space="preserve">&lt; 0 </t>
    </r>
    <r>
      <rPr>
        <sz val="10"/>
        <color rgb="FF000000"/>
        <rFont val="Noto Sans CJK SC"/>
        <family val="2"/>
      </rPr>
      <t xml:space="preserve">的年數</t>
    </r>
  </si>
  <si>
    <r>
      <rPr>
        <sz val="10"/>
        <color rgb="FF000000"/>
        <rFont val="Noto Sans CJK SC"/>
        <family val="2"/>
      </rPr>
      <t xml:space="preserve">最低現金 ≤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的年數</t>
    </r>
  </si>
  <si>
    <r>
      <rPr>
        <sz val="9"/>
        <color rgb="FF595959"/>
        <rFont val="Arial"/>
        <family val="0"/>
        <charset val="1"/>
      </rPr>
      <t xml:space="preserve">D17</t>
    </r>
    <r>
      <rPr>
        <sz val="9"/>
        <color rgb="FF595959"/>
        <rFont val="Noto Sans CJK SC"/>
        <family val="2"/>
      </rPr>
      <t xml:space="preserve">：月數或非算力成本為負時轉 </t>
    </r>
    <r>
      <rPr>
        <sz val="9"/>
        <color rgb="FF595959"/>
        <rFont val="Arial"/>
        <family val="0"/>
        <charset val="1"/>
      </rPr>
      <t xml:space="preserve">ERR</t>
    </r>
  </si>
  <si>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2030 − Σ </t>
    </r>
    <r>
      <rPr>
        <sz val="10"/>
        <color rgb="FF000000"/>
        <rFont val="Noto Sans CJK SC"/>
        <family val="2"/>
      </rPr>
      <t xml:space="preserve">當年需求</t>
    </r>
  </si>
  <si>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被基準頁引用的公式格數（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</si>
  <si>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D19</t>
    </r>
    <r>
      <rPr>
        <sz val="9"/>
        <color rgb="FF595959"/>
        <rFont val="Noto Sans CJK SC"/>
        <family val="2"/>
      </rPr>
      <t xml:space="preserve">：只作對照、不回饋；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test_reverse_not_fed_back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</si>
  <si>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逐家合約總額：模型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招股書 −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 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</si>
  <si>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U3</t>
    </r>
    <r>
      <rPr>
        <sz val="9"/>
        <color rgb="FF595959"/>
        <rFont val="Noto Sans CJK SC"/>
        <family val="2"/>
      </rPr>
      <t xml:space="preserve">：逐家改對照草擬 </t>
    </r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Noto Sans CJK SC"/>
        <family val="2"/>
      </rPr>
      <t xml:space="preserve">轉述）；</t>
    </r>
    <r>
      <rPr>
        <sz val="9"/>
        <color rgb="FF595959"/>
        <rFont val="Arial"/>
        <family val="0"/>
        <charset val="1"/>
      </rPr>
      <t xml:space="preserve">AMD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77.8 vs 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SpaceX 45 vs 84.5</t>
    </r>
    <r>
      <rPr>
        <sz val="9"/>
        <color rgb="FF595959"/>
        <rFont val="Noto Sans CJK SC"/>
        <family val="2"/>
      </rPr>
      <t xml:space="preserve">（沿用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招股書列）、</t>
    </r>
    <r>
      <rPr>
        <sz val="9"/>
        <color rgb="FF595959"/>
        <rFont val="Arial"/>
        <family val="0"/>
        <charset val="1"/>
      </rPr>
      <t xml:space="preserve">Broadcom 125.2 vs 160</t>
    </r>
    <r>
      <rPr>
        <sz val="9"/>
        <color rgb="FF595959"/>
        <rFont val="Noto Sans CJK SC"/>
        <family val="2"/>
      </rPr>
      <t xml:space="preserve">；基準不改（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），見 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第十三節錨定敏感度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</si>
  <si>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已到位融資（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</si>
  <si>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Series G 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Amazon G 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Series H 65</t>
    </r>
  </si>
  <si>
    <t xml:space="preserve">結果：首次缺口年</t>
  </si>
  <si>
    <r>
      <rPr>
        <sz val="9"/>
        <color rgb="FF595959"/>
        <rFont val="Noto Sans CJK SC"/>
        <family val="2"/>
      </rPr>
      <t xml:space="preserve">命題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</si>
  <si>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10"/>
        <color rgb="FF000000"/>
        <rFont val="Noto Sans CJK SC"/>
        <family val="2"/>
      </rPr>
      <t xml:space="preserve">結果：單年外部資金需求峰值（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</si>
  <si>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結果：峰值年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</si>
  <si>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；命題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</si>
  <si>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</si>
  <si>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結果：只靠已到位融資的現金谷底（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</si>
  <si>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敏感度：逐家錨定招股書的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− 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</si>
  <si>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；報導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年化 − 模型）</t>
    </r>
  </si>
  <si>
    <r>
      <rPr>
        <sz val="10"/>
        <color rgb="FF000000"/>
        <rFont val="Noto Sans CJK SC"/>
        <family val="2"/>
      </rPr>
      <t xml:space="preserve">敏感度：機房租約年租金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</si>
  <si>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TeraWulf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Riot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Hut 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Nexus </t>
    </r>
    <r>
      <rPr>
        <sz val="9"/>
        <color rgb="FF595959"/>
        <rFont val="Noto Sans CJK SC"/>
        <family val="2"/>
      </rPr>
      <t xml:space="preserve">未揭露</t>
    </r>
  </si>
  <si>
    <r>
      <rPr>
        <sz val="10"/>
        <color rgb="FF000000"/>
        <rFont val="Arial"/>
        <family val="0"/>
        <charset val="1"/>
      </rPr>
      <t xml:space="preserve">D18</t>
    </r>
    <r>
      <rPr>
        <sz val="10"/>
        <color rgb="FF000000"/>
        <rFont val="Noto Sans CJK SC"/>
        <family val="2"/>
      </rPr>
      <t xml:space="preserve">：已到位策略投資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對同一方 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付款</t>
    </r>
  </si>
  <si>
    <t xml:space="preserve">只對照、不沖銷</t>
  </si>
  <si>
    <r>
      <rPr>
        <sz val="10"/>
        <color rgb="FF000000"/>
        <rFont val="Noto Sans CJK SC"/>
        <family val="2"/>
      </rPr>
      <t xml:space="preserve">對照：已知各輪加總 − 招股書私募累計下限 </t>
    </r>
    <r>
      <rPr>
        <sz val="10"/>
        <color rgb="FF000000"/>
        <rFont val="Arial"/>
        <family val="0"/>
        <charset val="1"/>
      </rPr>
      <t xml:space="preserve">$125B</t>
    </r>
  </si>
  <si>
    <r>
      <rPr>
        <sz val="9"/>
        <color rgb="FF595959"/>
        <rFont val="Noto Sans CJK SC"/>
        <family val="2"/>
      </rPr>
      <t xml:space="preserve">不含 </t>
    </r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年以前各輪</t>
    </r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</si>
  <si>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反向累計外部資金需求（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</si>
  <si>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管理層目標營收＋同一支出</t>
  </si>
  <si>
    <r>
      <rPr>
        <sz val="10"/>
        <color rgb="FF000000"/>
        <rFont val="Arial"/>
        <family val="0"/>
        <charset val="1"/>
      </rPr>
      <t xml:space="preserve">Reverse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2029 </t>
    </r>
    <r>
      <rPr>
        <sz val="10"/>
        <color rgb="FF000000"/>
        <rFont val="Noto Sans CJK SC"/>
        <family val="2"/>
      </rPr>
      <t xml:space="preserve">兩線等比例所需倍數</t>
    </r>
  </si>
  <si>
    <r>
      <rPr>
        <sz val="9"/>
        <color rgb="FF595959"/>
        <rFont val="Arial"/>
        <family val="0"/>
        <charset val="1"/>
      </rPr>
      <t xml:space="preserve">&lt; 1</t>
    </r>
    <r>
      <rPr>
        <sz val="9"/>
        <color rgb="FF595959"/>
        <rFont val="Noto Sans CJK SC"/>
        <family val="2"/>
      </rPr>
      <t xml:space="preserve">＝管理層目標低於正向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</si>
  <si>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</si>
  <si>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並排：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年底現金 </t>
    </r>
    <r>
      <rPr>
        <sz val="10"/>
        <color rgb="FF000000"/>
        <rFont val="Arial"/>
        <family val="0"/>
        <charset val="1"/>
      </rPr>
      <t xml:space="preserve">Anthropic −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</si>
  <si>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營收基準（上半年實際＋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實際＋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；開關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v0.1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</si>
  <si>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D15 r2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16.3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16.8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49.9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</si>
  <si>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實際（</t>
    </r>
    <r>
      <rPr>
        <sz val="10"/>
        <color rgb="FF000000"/>
        <rFont val="Arial"/>
        <family val="0"/>
        <charset val="1"/>
      </rPr>
      <t xml:space="preserve">4.73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）− 草擬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上半年 </t>
    </r>
    <r>
      <rPr>
        <sz val="10"/>
        <color rgb="FF000000"/>
        <rFont val="Arial"/>
        <family val="0"/>
        <charset val="1"/>
      </rPr>
      <t xml:space="preserve">16.3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；四捨五入差）</t>
    </r>
  </si>
  <si>
    <r>
      <rPr>
        <sz val="9"/>
        <color rgb="FF595959"/>
        <rFont val="Noto Sans CJK SC"/>
        <family val="2"/>
      </rPr>
      <t xml:space="preserve">兩份來源互相核對：差 </t>
    </r>
    <r>
      <rPr>
        <sz val="9"/>
        <color rgb="FF595959"/>
        <rFont val="Arial"/>
        <family val="0"/>
        <charset val="1"/>
      </rPr>
      <t xml:space="preserve">0.03 </t>
    </r>
    <r>
      <rPr>
        <sz val="9"/>
        <color rgb="FF595959"/>
        <rFont val="Noto Sans CJK SC"/>
        <family val="2"/>
      </rPr>
      <t xml:space="preserve">屬進位</t>
    </r>
  </si>
  <si>
    <r>
      <rPr>
        <sz val="10"/>
        <color rgb="FF000000"/>
        <rFont val="Arial"/>
        <family val="0"/>
        <charset val="1"/>
      </rPr>
      <t xml:space="preserve">U1 </t>
    </r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11.6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Implicator</t>
    </r>
    <r>
      <rPr>
        <sz val="10"/>
        <color rgb="FF000000"/>
        <rFont val="Noto Sans CJK SC"/>
        <family val="2"/>
      </rPr>
      <t xml:space="preserve">）− </t>
    </r>
    <r>
      <rPr>
        <sz val="10"/>
        <color rgb="FF000000"/>
        <rFont val="Arial"/>
        <family val="0"/>
        <charset val="1"/>
      </rPr>
      <t xml:space="preserve">Euronews 11.5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</si>
  <si>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兩個報導值並列登錄，校準採 </t>
    </r>
    <r>
      <rPr>
        <sz val="9"/>
        <color rgb="FF595959"/>
        <rFont val="Arial"/>
        <family val="0"/>
        <charset val="1"/>
      </rPr>
      <t xml:space="preserve">11.6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</si>
  <si>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模型合約總額 − 草擬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』（開關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</si>
  <si>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U2</t>
    </r>
    <r>
      <rPr>
        <sz val="9"/>
        <color rgb="FF595959"/>
        <rFont val="Noto Sans CJK SC"/>
        <family val="2"/>
      </rPr>
      <t xml:space="preserve">：兩約合計錨定 </t>
    </r>
    <r>
      <rPr>
        <sz val="9"/>
        <color rgb="FF595959"/>
        <rFont val="Arial"/>
        <family val="0"/>
        <charset val="1"/>
      </rPr>
      <t xml:space="preserve">86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</si>
  <si>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460 MW</t>
    </r>
  </si>
  <si>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由金額回推並與揭露對照（不校準）</t>
    </r>
  </si>
  <si>
    <r>
      <rPr>
        <sz val="10"/>
        <color rgb="FF000000"/>
        <rFont val="Arial"/>
        <family val="0"/>
        <charset val="1"/>
      </rPr>
      <t xml:space="preserve">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模型峰值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350 MW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</si>
  <si>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：雲端付款義務口徑（約 </t>
    </r>
    <r>
      <rPr>
        <sz val="10"/>
        <color rgb="FF000000"/>
        <rFont val="Arial"/>
        <family val="0"/>
        <charset val="1"/>
      </rPr>
      <t xml:space="preserve">450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</si>
  <si>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 − </t>
    </r>
    <r>
      <rPr>
        <sz val="9"/>
        <color rgb="FF595959"/>
        <rFont val="Arial"/>
        <family val="0"/>
        <charset val="1"/>
      </rPr>
      <t xml:space="preserve">Broadcom </t>
    </r>
    <r>
      <rPr>
        <sz val="9"/>
        <color rgb="FF595959"/>
        <rFont val="Noto Sans CJK SC"/>
        <family val="2"/>
      </rPr>
      <t xml:space="preserve">租賃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</si>
  <si>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：已鎖定口徑（</t>
    </r>
    <r>
      <rPr>
        <sz val="10"/>
        <color rgb="FF000000"/>
        <rFont val="Arial"/>
        <family val="0"/>
        <charset val="1"/>
      </rPr>
      <t xml:space="preserve">&gt;600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</si>
  <si>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模型＝全部新合約（含 </t>
    </r>
    <r>
      <rPr>
        <sz val="9"/>
        <color rgb="FF595959"/>
        <rFont val="Arial"/>
        <family val="0"/>
        <charset val="1"/>
      </rPr>
      <t xml:space="preserve">Broadcom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</si>
  <si>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U3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：含談判中口徑（約 </t>
    </r>
    <r>
      <rPr>
        <sz val="10"/>
        <color rgb="FF000000"/>
        <rFont val="Arial"/>
        <family val="0"/>
        <charset val="1"/>
      </rPr>
      <t xml:space="preserve">750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</si>
  <si>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模型＝已鎖定口徑 ＋ 談判中 </t>
    </r>
    <r>
      <rPr>
        <sz val="9"/>
        <color rgb="FF595959"/>
        <rFont val="Arial"/>
        <family val="0"/>
        <charset val="1"/>
      </rPr>
      <t xml:space="preserve">150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</si>
  <si>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模型合約實付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報導外推全年算力支出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|</t>
    </r>
    <r>
      <rPr>
        <sz val="10"/>
        <color rgb="FF000000"/>
        <rFont val="Noto Sans CJK SC"/>
        <family val="2"/>
      </rPr>
      <t xml:space="preserve">差距</t>
    </r>
    <r>
      <rPr>
        <sz val="10"/>
        <color rgb="FF000000"/>
        <rFont val="Arial"/>
        <family val="0"/>
        <charset val="1"/>
      </rPr>
      <t xml:space="preserve">| &gt; 25% → WARN</t>
    </r>
    <r>
      <rPr>
        <sz val="10"/>
        <color rgb="FF000000"/>
        <rFont val="Noto Sans CJK SC"/>
        <family val="2"/>
      </rPr>
      <t xml:space="preserve">；不校準）</t>
    </r>
  </si>
  <si>
    <r>
      <rPr>
        <sz val="9"/>
        <color rgb="FF595959"/>
        <rFont val="Noto Sans CJK SC"/>
        <family val="2"/>
      </rPr>
      <t xml:space="preserve">報導：上半年近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Noto Sans CJK SC"/>
        <family val="2"/>
      </rPr>
      <t xml:space="preserve">隱含（營收 </t>
    </r>
    <r>
      <rPr>
        <sz val="9"/>
        <color rgb="FF595959"/>
        <rFont val="Arial"/>
        <family val="0"/>
        <charset val="1"/>
      </rPr>
      <t xml:space="preserve">÷ 1.70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Q3</t>
    </r>
  </si>
  <si>
    <r>
      <rPr>
        <sz val="10"/>
        <color rgb="FF000000"/>
        <rFont val="Arial"/>
        <family val="0"/>
        <charset val="1"/>
      </rPr>
      <t xml:space="preserve">U4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模型算力成本（含自建資本支出）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報導外推全年 −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</si>
  <si>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自建資本支出 </t>
    </r>
    <r>
      <rPr>
        <sz val="9"/>
        <color rgb="FF595959"/>
        <rFont val="Arial"/>
        <family val="0"/>
        <charset val="1"/>
      </rPr>
      <t xml:space="preserve">16.7 </t>
    </r>
    <r>
      <rPr>
        <sz val="9"/>
        <color rgb="FF595959"/>
        <rFont val="Noto Sans CJK SC"/>
        <family val="2"/>
      </rPr>
      <t xml:space="preserve">是現金資本支出，與報導『算力與基礎設施支出』是否同口徑未明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</si>
  <si>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全年調整後營業利益率 − 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報導 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（百分點）</t>
    </r>
  </si>
  <si>
    <r>
      <rPr>
        <sz val="9"/>
        <color rgb="FF595959"/>
        <rFont val="Arial"/>
        <family val="0"/>
        <charset val="1"/>
      </rPr>
      <t xml:space="preserve">D22 </t>
    </r>
    <r>
      <rPr>
        <sz val="9"/>
        <color rgb="FF595959"/>
        <rFont val="Noto Sans CJK SC"/>
        <family val="2"/>
      </rPr>
      <t xml:space="preserve">對照，不校準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</si>
  <si>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年化法，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v0.1 Q2 </t>
    </r>
    <r>
      <rPr>
        <sz val="10"/>
        <color rgb="FF000000"/>
        <rFont val="Noto Sans CJK SC"/>
        <family val="2"/>
      </rPr>
      <t xml:space="preserve">版見 </t>
    </r>
    <r>
      <rPr>
        <sz val="10"/>
        <color rgb="FF000000"/>
        <rFont val="Arial"/>
        <family val="0"/>
        <charset val="1"/>
      </rPr>
      <t xml:space="preserve">a4_d22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</si>
  <si>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承 </t>
    </r>
    <r>
      <rPr>
        <sz val="9"/>
        <color rgb="FF595959"/>
        <rFont val="Arial"/>
        <family val="0"/>
        <charset val="1"/>
      </rPr>
      <t xml:space="preserve">v0.1 A4-17</t>
    </r>
  </si>
  <si>
    <r>
      <rPr>
        <sz val="10"/>
        <color rgb="FF000000"/>
        <rFont val="Arial"/>
        <family val="0"/>
        <charset val="1"/>
      </rPr>
      <t xml:space="preserve">U5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非算力成本隱含低估（營收比例法，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</si>
  <si>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與年化法形成區間</t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</si>
  <si>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：談判中協議付款期間 </t>
    </r>
    <r>
      <rPr>
        <sz val="10"/>
        <color rgb="FF000000"/>
        <rFont val="Arial"/>
        <family val="0"/>
        <charset val="1"/>
      </rPr>
      <t xml:space="preserve">&lt; </t>
    </r>
    <r>
      <rPr>
        <sz val="10"/>
        <color rgb="FF000000"/>
        <rFont val="Noto Sans CJK SC"/>
        <family val="2"/>
      </rPr>
      <t xml:space="preserve">爬坡年數（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權重公式需 </t>
    </r>
    <r>
      <rPr>
        <sz val="10"/>
        <color rgb="FF000000"/>
        <rFont val="Arial"/>
        <family val="0"/>
        <charset val="1"/>
      </rPr>
      <t xml:space="preserve">n ≥ 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</si>
  <si>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</si>
  <si>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a3_gap30</t>
    </r>
  </si>
  <si>
    <r>
      <rPr>
        <sz val="10"/>
        <color rgb="FF000000"/>
        <rFont val="Arial"/>
        <family val="0"/>
        <charset val="1"/>
      </rPr>
      <t xml:space="preserve">U6</t>
    </r>
    <r>
      <rPr>
        <sz val="10"/>
        <color rgb="FF000000"/>
        <rFont val="Noto Sans CJK SC"/>
        <family val="2"/>
      </rPr>
      <t xml:space="preserve">：含談判中 </t>
    </r>
    <r>
      <rPr>
        <sz val="10"/>
        <color rgb="FF000000"/>
        <rFont val="Arial"/>
        <family val="0"/>
        <charset val="1"/>
      </rPr>
      <t xml:space="preserve">$150B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</si>
  <si>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a4_cum30</t>
    </r>
  </si>
  <si>
    <r>
      <rPr>
        <sz val="10"/>
        <color rgb="FF000000"/>
        <rFont val="Arial"/>
        <family val="0"/>
        <charset val="1"/>
      </rPr>
      <t xml:space="preserve">U7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上半年淨損中非現金費用（不進現金流；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</si>
  <si>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D21 </t>
    </r>
    <r>
      <rPr>
        <sz val="9"/>
        <color rgb="FF595959"/>
        <rFont val="Noto Sans CJK SC"/>
        <family val="2"/>
      </rPr>
      <t xml:space="preserve">同一處理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</si>
  <si>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L1_RevGW_PQ_VR200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P × Q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第一年；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</si>
  <si>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t xml:space="preserve">只對照，不回饋計算</t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</si>
  <si>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P × Q 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每付費推論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營收總額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</si>
  <si>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＝一致；</t>
    </r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第二十一節</t>
    </r>
  </si>
  <si>
    <r>
      <rPr>
        <sz val="10"/>
        <color rgb="FF000000"/>
        <rFont val="Arial"/>
        <family val="0"/>
        <charset val="1"/>
      </rPr>
      <t xml:space="preserve">v0.1.2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TK token </t>
    </r>
    <r>
      <rPr>
        <sz val="10"/>
        <color rgb="FF000000"/>
        <rFont val="Noto Sans CJK SC"/>
        <family val="2"/>
      </rPr>
      <t xml:space="preserve">帳未閉合倍數（</t>
    </r>
    <r>
      <rPr>
        <sz val="10"/>
        <color rgb="FF000000"/>
        <rFont val="Arial"/>
        <family val="0"/>
        <charset val="1"/>
      </rPr>
      <t xml:space="preserve">L1_TokLedger_2026Q2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</si>
  <si>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 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6.26</t>
    </r>
  </si>
  <si>
    <r>
      <rPr>
        <sz val="10"/>
        <color rgb="FF000000"/>
        <rFont val="Arial"/>
        <family val="0"/>
        <charset val="1"/>
      </rPr>
      <t xml:space="preserve">v0.1.3 U2 </t>
    </r>
    <r>
      <rPr>
        <sz val="10"/>
        <color rgb="FF000000"/>
        <rFont val="Noto Sans CJK SC"/>
        <family val="2"/>
      </rPr>
      <t xml:space="preserve">新法：合約實付與『最高 </t>
    </r>
    <r>
      <rPr>
        <sz val="10"/>
        <color rgb="FF000000"/>
        <rFont val="Arial"/>
        <family val="0"/>
        <charset val="1"/>
      </rPr>
      <t xml:space="preserve">86</t>
    </r>
    <r>
      <rPr>
        <sz val="10"/>
        <color rgb="FF000000"/>
        <rFont val="Noto Sans CJK SC"/>
        <family val="2"/>
      </rPr>
      <t xml:space="preserve">』年付款列的差（各年最大；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</si>
  <si>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Cost </t>
    </r>
    <r>
      <rPr>
        <sz val="9"/>
        <color rgb="FF595959"/>
        <rFont val="Noto Sans CJK SC"/>
        <family val="2"/>
      </rPr>
      <t xml:space="preserve">第二十二節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</si>
  <si>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資金第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層累計外部資金需求 − 基準 </t>
    </r>
    <r>
      <rPr>
        <sz val="10"/>
        <color rgb="FF000000"/>
        <rFont val="Arial"/>
        <family val="0"/>
        <charset val="1"/>
      </rPr>
      <t xml:space="preserve">FND_ExtNeedCum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</si>
  <si>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層即現行基準；</t>
    </r>
    <r>
      <rPr>
        <sz val="9"/>
        <color rgb="FF595959"/>
        <rFont val="Arial"/>
        <family val="0"/>
        <charset val="1"/>
      </rPr>
      <t xml:space="preserve">Funding </t>
    </r>
    <r>
      <rPr>
        <sz val="9"/>
        <color rgb="FF595959"/>
        <rFont val="Noto Sans CJK SC"/>
        <family val="2"/>
      </rPr>
      <t xml:space="preserve">第十節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</si>
  <si>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資金三層累計外部資金需求不遞增的違反數（①≥②≥③）</t>
    </r>
  </si>
  <si>
    <t xml:space="preserve">層越多，需補的外部資金越少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</si>
  <si>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營運自由現金流首次轉正年（基準）</t>
    </r>
  </si>
  <si>
    <t xml:space="preserve">報告 ① 句使用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</si>
  <si>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層（營運自給）累計外部資金需求 </t>
    </r>
    <r>
      <rPr>
        <sz val="10"/>
        <color rgb="FF000000"/>
        <rFont val="Arial"/>
        <family val="0"/>
        <charset val="1"/>
      </rPr>
      <t xml:space="preserve">2026–2030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</si>
  <si>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不靠任何融資（含不計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年底現金）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</si>
  <si>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</si>
  <si>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</si>
  <si>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只靠已到位融資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</si>
  <si>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層現金谷底（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</si>
  <si>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t xml:space="preserve">含條件式（上緣）</t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</si>
  <si>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持續擴張・無需求：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</si>
  <si>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持續擴張・部分變現：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</si>
  <si>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持續擴張・完全變現：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等值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差額</t>
    </r>
  </si>
  <si>
    <r>
      <rPr>
        <sz val="10"/>
        <color rgb="FF000000"/>
        <rFont val="Arial"/>
        <family val="0"/>
        <charset val="1"/>
      </rPr>
      <t xml:space="preserve">v0.1.3 </t>
    </r>
    <r>
      <rPr>
        <sz val="10"/>
        <color rgb="FF000000"/>
        <rFont val="Noto Sans CJK SC"/>
        <family val="2"/>
      </rPr>
      <t xml:space="preserve">持續擴張・無需求：第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層累計外部資金需求（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</si>
  <si>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</si>
  <si>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Nscale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年；對照通用合約價）</t>
    </r>
  </si>
  <si>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端預期約 </t>
    </r>
    <r>
      <rPr>
        <sz val="9"/>
        <color rgb="FF595959"/>
        <rFont val="Arial"/>
        <family val="0"/>
        <charset val="1"/>
      </rPr>
      <t xml:space="preserve">15–18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</si>
  <si>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Lambda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</si>
  <si>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v0.1.3 U2</t>
    </r>
    <r>
      <rPr>
        <sz val="10"/>
        <color rgb="FF000000"/>
        <rFont val="Noto Sans CJK SC"/>
        <family val="2"/>
      </rPr>
      <t xml:space="preserve">：兩約合計隱含每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年付款（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</si>
  <si>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EtaDiag </t>
    </r>
    <r>
      <rPr>
        <sz val="10"/>
        <color rgb="FF000000"/>
        <rFont val="Noto Sans CJK SC"/>
        <family val="2"/>
      </rPr>
      <t xml:space="preserve">被計算頁引用的公式格數（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掃描）</t>
    </r>
  </si>
  <si>
    <r>
      <rPr>
        <sz val="9"/>
        <color rgb="FF595959"/>
        <rFont val="Arial"/>
        <family val="0"/>
        <charset val="1"/>
      </rPr>
      <t xml:space="preserve">v0.1.3 B</t>
    </r>
    <r>
      <rPr>
        <sz val="9"/>
        <color rgb="FF595959"/>
        <rFont val="Noto Sans CJK SC"/>
        <family val="2"/>
      </rPr>
      <t xml:space="preserve">：兩頁唯讀；</t>
    </r>
    <r>
      <rPr>
        <sz val="9"/>
        <color rgb="FF595959"/>
        <rFont val="Arial"/>
        <family val="0"/>
        <charset val="1"/>
      </rPr>
      <t xml:space="preserve">tests </t>
    </r>
    <r>
      <rPr>
        <sz val="9"/>
        <color rgb="FF595959"/>
        <rFont val="Noto Sans CJK SC"/>
        <family val="2"/>
      </rPr>
      <t xml:space="preserve">每次重驗（</t>
    </r>
    <r>
      <rPr>
        <sz val="9"/>
        <color rgb="FF595959"/>
        <rFont val="Arial"/>
        <family val="0"/>
        <charset val="1"/>
      </rPr>
      <t xml:space="preserve">test_bridge_not_fed_back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</si>
  <si>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：（訂閱＋重算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＋其他）− 營收總額（各年最大絕對差，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</si>
  <si>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 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營收的重算核對</t>
    </r>
  </si>
  <si>
    <r>
      <rPr>
        <sz val="10"/>
        <color rgb="FF000000"/>
        <rFont val="Arial"/>
        <family val="0"/>
        <charset val="1"/>
      </rPr>
      <t xml:space="preserve">Bridge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換算 </t>
    </r>
    <r>
      <rPr>
        <sz val="10"/>
        <color rgb="FF000000"/>
        <rFont val="Arial"/>
        <family val="0"/>
        <charset val="1"/>
      </rPr>
      <t xml:space="preserve">GW ÷ η − </t>
    </r>
    <r>
      <rPr>
        <sz val="10"/>
        <color rgb="FF000000"/>
        <rFont val="Noto Sans CJK SC"/>
        <family val="2"/>
      </rPr>
      <t xml:space="preserve">有效推論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（各年最大絕對差，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</si>
  <si>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Compute </t>
    </r>
    <r>
      <rPr>
        <sz val="9"/>
        <color rgb="FF595959"/>
        <rFont val="Noto Sans CJK SC"/>
        <family val="2"/>
      </rPr>
      <t xml:space="preserve">第十節恆等式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</si>
  <si>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：被拆解的 </t>
    </r>
    <r>
      <rPr>
        <sz val="10"/>
        <color rgb="FF000000"/>
        <rFont val="Arial"/>
        <family val="0"/>
        <charset val="1"/>
      </rPr>
      <t xml:space="preserve">η − Compute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</si>
  <si>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拆解不改 </t>
    </r>
    <r>
      <rPr>
        <sz val="9"/>
        <color rgb="FF595959"/>
        <rFont val="Arial"/>
        <family val="0"/>
        <charset val="1"/>
      </rPr>
      <t xml:space="preserve">η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</si>
  <si>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f_P × f_U × f_W × </t>
    </r>
    <r>
      <rPr>
        <sz val="10"/>
        <color rgb="FF000000"/>
        <rFont val="Noto Sans CJK SC"/>
        <family val="2"/>
      </rPr>
      <t xml:space="preserve">殘差 − </t>
    </r>
    <r>
      <rPr>
        <sz val="10"/>
        <color rgb="FF000000"/>
        <rFont val="Arial"/>
        <family val="0"/>
        <charset val="1"/>
      </rPr>
      <t xml:space="preserve">η</t>
    </r>
  </si>
  <si>
    <t xml:space="preserve">拆解恆等式</t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</si>
  <si>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f_P</t>
    </r>
    <r>
      <rPr>
        <sz val="10"/>
        <color rgb="FF000000"/>
        <rFont val="Noto Sans CJK SC"/>
        <family val="2"/>
      </rPr>
      <t xml:space="preserve">（計價口徑）</t>
    </r>
  </si>
  <si>
    <r>
      <rPr>
        <sz val="9"/>
        <color rgb="FF595959"/>
        <rFont val="Noto Sans CJK SC"/>
        <family val="2"/>
      </rPr>
      <t xml:space="preserve">合約實付 </t>
    </r>
    <r>
      <rPr>
        <sz val="9"/>
        <color rgb="FF595959"/>
        <rFont val="Arial"/>
        <family val="0"/>
        <charset val="1"/>
      </rPr>
      <t xml:space="preserve">÷ TK </t>
    </r>
    <r>
      <rPr>
        <sz val="9"/>
        <color rgb="FF595959"/>
        <rFont val="Noto Sans CJK SC"/>
        <family val="2"/>
      </rPr>
      <t xml:space="preserve">持有成本（加權）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</si>
  <si>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f_U</t>
    </r>
    <r>
      <rPr>
        <sz val="10"/>
        <color rgb="FF000000"/>
        <rFont val="Noto Sans CJK SC"/>
        <family val="2"/>
      </rPr>
      <t xml:space="preserve">（利用率；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</si>
  <si>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f_W</t>
    </r>
    <r>
      <rPr>
        <sz val="10"/>
        <color rgb="FF000000"/>
        <rFont val="Noto Sans CJK SC"/>
        <family val="2"/>
      </rPr>
      <t xml:space="preserve">（層級組合）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</si>
  <si>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拆解未解釋殘差</t>
    </r>
  </si>
  <si>
    <r>
      <rPr>
        <sz val="9"/>
        <color rgb="FF595959"/>
        <rFont val="Noto Sans CJK SC"/>
        <family val="2"/>
      </rPr>
      <t xml:space="preserve">含輸入輸出組合、每任務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倍數等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</si>
  <si>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Bridge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Q ÷ TK Q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</si>
  <si>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 </t>
    </r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帳未閉合倍數（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待辦）</t>
    </r>
  </si>
  <si>
    <r>
      <rPr>
        <sz val="10"/>
        <color rgb="FF000000"/>
        <rFont val="Noto Sans CJK SC"/>
        <family val="2"/>
      </rPr>
      <t xml:space="preserve">結果：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 </t>
    </r>
    <r>
      <rPr>
        <sz val="10"/>
        <color rgb="FF000000"/>
        <rFont val="Arial"/>
        <family val="0"/>
        <charset val="1"/>
      </rPr>
      <t xml:space="preserve">f_U'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TK </t>
    </r>
    <r>
      <rPr>
        <sz val="10"/>
        <color rgb="FF000000"/>
        <rFont val="Noto Sans CJK SC"/>
        <family val="2"/>
      </rPr>
      <t xml:space="preserve">生產折減）</t>
    </r>
  </si>
  <si>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f_U × IF_ProdDerate</t>
    </r>
  </si>
  <si>
    <t xml:space="preserve">結果：未解釋殘差（計入生產折減後）</t>
  </si>
  <si>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；前值見 </t>
    </r>
    <r>
      <rPr>
        <sz val="9"/>
        <color rgb="FF595959"/>
        <rFont val="Arial"/>
        <family val="0"/>
        <charset val="1"/>
      </rPr>
      <t xml:space="preserve">e1_res</t>
    </r>
  </si>
  <si>
    <r>
      <rPr>
        <sz val="10"/>
        <color rgb="FF000000"/>
        <rFont val="Arial"/>
        <family val="0"/>
        <charset val="1"/>
      </rPr>
      <t xml:space="preserve">EtaDiag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f_P × f_U' × f_W × </t>
    </r>
    <r>
      <rPr>
        <sz val="10"/>
        <color rgb="FF000000"/>
        <rFont val="Noto Sans CJK SC"/>
        <family val="2"/>
      </rPr>
      <t xml:space="preserve">殘差</t>
    </r>
    <r>
      <rPr>
        <sz val="10"/>
        <color rgb="FF000000"/>
        <rFont val="Arial"/>
        <family val="0"/>
        <charset val="1"/>
      </rPr>
      <t xml:space="preserve">' − η</t>
    </r>
  </si>
  <si>
    <r>
      <rPr>
        <sz val="9"/>
        <color rgb="FF595959"/>
        <rFont val="Arial"/>
        <family val="0"/>
        <charset val="1"/>
      </rPr>
      <t xml:space="preserve">v0.1.4 </t>
    </r>
    <r>
      <rPr>
        <sz val="9"/>
        <color rgb="FF595959"/>
        <rFont val="Noto Sans CJK SC"/>
        <family val="2"/>
      </rPr>
      <t xml:space="preserve">拆解恆等式</t>
    </r>
  </si>
  <si>
    <r>
      <rPr>
        <sz val="10"/>
        <color rgb="FF000000"/>
        <rFont val="Noto Sans CJK SC"/>
        <family val="2"/>
      </rPr>
      <t xml:space="preserve">結果：本模型殘差倒數 </t>
    </r>
    <r>
      <rPr>
        <sz val="10"/>
        <color rgb="FF000000"/>
        <rFont val="Arial"/>
        <family val="0"/>
        <charset val="1"/>
      </rPr>
      <t xml:space="preserve">÷ TK L1_GapUnexplained</t>
    </r>
  </si>
  <si>
    <r>
      <rPr>
        <sz val="9"/>
        <color rgb="FF595959"/>
        <rFont val="Arial"/>
        <family val="0"/>
        <charset val="1"/>
      </rPr>
      <t xml:space="preserve">v0.1.4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，只並排</t>
    </r>
  </si>
  <si>
    <t xml:space="preserve">CHK_Errors</t>
  </si>
  <si>
    <t xml:space="preserve">CHK_Warnings</t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</si>
  <si>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</si>
  <si>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</si>
  <si>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</si>
  <si>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</si>
  <si>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r>
      <rPr>
        <sz val="11"/>
        <color theme="1"/>
        <rFont val="Calibri"/>
        <family val="2"/>
        <charset val="1"/>
      </rPr>
      <t xml:space="preserve">Coding agent</t>
    </r>
    <r>
      <rPr>
        <sz val="11"/>
        <color theme="1"/>
        <rFont val="Noto Sans CJK SC"/>
        <family val="2"/>
      </rPr>
      <t xml:space="preserve">（長程）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</si>
</sst>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.0%"/>
    <numFmt numFmtId="167" formatCode="#,##0.000"/>
    <numFmt numFmtId="168" formatCode="0.00"/>
    <numFmt numFmtId="169" formatCode="#,##0.0"/>
    <numFmt numFmtId="170" formatCode="#,##0"/>
    <numFmt numFmtId="171" formatCode="0.000"/>
    <numFmt numFmtId="172" formatCode="#,##0.00"/>
    <numFmt numFmtId="173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8.2" hidden="false" customHeight="false" outlineLevel="0" collapsed="false">
      <c r="A4" s="3" t="s">
        <v>2</v>
      </c>
      <c r="B4" s="4" t="s">
        <v>3</v>
      </c>
    </row>
    <row r="5" customFormat="false" ht="58.2" hidden="false" customHeight="false" outlineLevel="0" collapsed="false">
      <c r="A5" s="5" t="s">
        <v>4</v>
      </c>
      <c r="B5" s="6" t="s">
        <v>5</v>
      </c>
    </row>
    <row r="6" customFormat="false" ht="58.2" hidden="false" customHeight="false" outlineLevel="0" collapsed="false">
      <c r="A6" s="5" t="s">
        <v>6</v>
      </c>
      <c r="B6" s="4" t="s">
        <v>7</v>
      </c>
    </row>
    <row r="7" customFormat="false" ht="29.85" hidden="false" customHeight="false" outlineLevel="0" collapsed="false">
      <c r="A7" s="5" t="s">
        <v>8</v>
      </c>
      <c r="B7" s="4" t="s">
        <v>9</v>
      </c>
    </row>
    <row r="8" customFormat="false" ht="44" hidden="false" customHeight="false" outlineLevel="0" collapsed="false">
      <c r="A8" s="5" t="s">
        <v>10</v>
      </c>
      <c r="B8" s="6" t="s">
        <v>11</v>
      </c>
    </row>
    <row r="9" customFormat="false" ht="44" hidden="false" customHeight="false" outlineLevel="0" collapsed="false">
      <c r="A9" s="5" t="s">
        <v>12</v>
      </c>
      <c r="B9" s="6" t="s">
        <v>13</v>
      </c>
    </row>
    <row r="10" customFormat="false" ht="44" hidden="false" customHeight="false" outlineLevel="0" collapsed="false">
      <c r="A10" s="5" t="s">
        <v>14</v>
      </c>
      <c r="B10" s="6" t="s">
        <v>15</v>
      </c>
    </row>
    <row r="11" customFormat="false" ht="44" hidden="false" customHeight="false" outlineLevel="0" collapsed="false">
      <c r="A11" s="5" t="s">
        <v>16</v>
      </c>
      <c r="B11" s="6" t="s">
        <v>17</v>
      </c>
    </row>
    <row r="12" customFormat="false" ht="29.85" hidden="false" customHeight="false" outlineLevel="0" collapsed="false">
      <c r="A12" s="5" t="s">
        <v>18</v>
      </c>
      <c r="B12" s="6" t="s">
        <v>19</v>
      </c>
    </row>
    <row r="13" customFormat="false" ht="29.85" hidden="false" customHeight="false" outlineLevel="0" collapsed="false">
      <c r="A13" s="5" t="s">
        <v>20</v>
      </c>
      <c r="B13" s="6" t="s">
        <v>21</v>
      </c>
    </row>
    <row r="14" customFormat="false" ht="29.85" hidden="false" customHeight="false" outlineLevel="0" collapsed="false">
      <c r="A14" s="5" t="s">
        <v>22</v>
      </c>
      <c r="B14" s="4" t="s">
        <v>23</v>
      </c>
    </row>
    <row r="15" customFormat="false" ht="29.85" hidden="false" customHeight="false" outlineLevel="0" collapsed="false">
      <c r="A15" s="5" t="s">
        <v>24</v>
      </c>
      <c r="B15" s="4" t="s">
        <v>25</v>
      </c>
    </row>
    <row r="16" customFormat="false" ht="15" hidden="false" customHeight="false" outlineLevel="0" collapsed="false">
      <c r="A16" s="5" t="s">
        <v>26</v>
      </c>
      <c r="B16" s="4" t="s">
        <v>27</v>
      </c>
    </row>
    <row r="17" customFormat="false" ht="15" hidden="false" customHeight="false" outlineLevel="0" collapsed="false">
      <c r="A17" s="5" t="s">
        <v>28</v>
      </c>
      <c r="B17" s="4" t="s">
        <v>29</v>
      </c>
    </row>
    <row r="18" customFormat="false" ht="44" hidden="false" customHeight="false" outlineLevel="0" collapsed="false">
      <c r="A18" s="5" t="s">
        <v>30</v>
      </c>
      <c r="B18" s="6" t="s">
        <v>31</v>
      </c>
    </row>
    <row r="19" customFormat="false" ht="29.85" hidden="false" customHeight="false" outlineLevel="0" collapsed="false">
      <c r="A19" s="5" t="s">
        <v>32</v>
      </c>
      <c r="B19" s="4" t="s">
        <v>33</v>
      </c>
    </row>
    <row r="20" customFormat="false" ht="15" hidden="false" customHeight="false" outlineLevel="0" collapsed="false">
      <c r="A20" s="5" t="s">
        <v>34</v>
      </c>
      <c r="B20" s="4" t="s">
        <v>35</v>
      </c>
    </row>
    <row r="21" customFormat="false" ht="15" hidden="false" customHeight="false" outlineLevel="0" collapsed="false">
      <c r="A21" s="3" t="s">
        <v>36</v>
      </c>
      <c r="B21" s="4" t="s">
        <v>37</v>
      </c>
    </row>
    <row r="22" customFormat="false" ht="15" hidden="false" customHeight="false" outlineLevel="0" collapsed="false">
      <c r="A22" s="3" t="s">
        <v>38</v>
      </c>
      <c r="B22" s="4" t="s">
        <v>39</v>
      </c>
    </row>
    <row r="23" customFormat="false" ht="15" hidden="false" customHeight="false" outlineLevel="0" collapsed="false">
      <c r="A23" s="3" t="s">
        <v>40</v>
      </c>
      <c r="B23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2" min="12" style="0" width="50"/>
    <col collapsed="false" customWidth="true" hidden="false" outlineLevel="0" max="13" min="13" style="0" width="30"/>
    <col collapsed="false" customWidth="true" hidden="false" outlineLevel="0" max="17" min="17" style="0" width="30"/>
    <col collapsed="false" customWidth="true" hidden="false" outlineLevel="0" max="20" min="20" style="0" width="30"/>
    <col collapsed="false" customWidth="true" hidden="false" outlineLevel="0" max="22" min="22" style="0" width="16"/>
    <col collapsed="false" customWidth="true" hidden="false" outlineLevel="0" max="23" min="23" style="0" width="60"/>
  </cols>
  <sheetData>
    <row r="1" customFormat="false" ht="20.1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3" customFormat="false" ht="15" hidden="false" customHeight="false" outlineLevel="0" collapsed="false">
      <c r="A3" s="2" t="s">
        <v>44</v>
      </c>
    </row>
    <row r="4" customFormat="false" ht="44" hidden="false" customHeight="false" outlineLevel="0" collapsed="false">
      <c r="A4" s="7" t="s">
        <v>45</v>
      </c>
      <c r="B4" s="7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56</v>
      </c>
      <c r="M4" s="8" t="s">
        <v>57</v>
      </c>
      <c r="N4" s="8" t="s">
        <v>58</v>
      </c>
      <c r="O4" s="8" t="s">
        <v>59</v>
      </c>
      <c r="P4" s="8" t="s">
        <v>38</v>
      </c>
      <c r="Q4" s="8" t="s">
        <v>60</v>
      </c>
      <c r="R4" s="8" t="s">
        <v>61</v>
      </c>
      <c r="S4" s="8" t="s">
        <v>62</v>
      </c>
      <c r="T4" s="8" t="s">
        <v>63</v>
      </c>
      <c r="U4" s="8" t="s">
        <v>64</v>
      </c>
      <c r="V4" s="8" t="s">
        <v>65</v>
      </c>
      <c r="W4" s="8" t="s">
        <v>66</v>
      </c>
      <c r="X4" s="8" t="s">
        <v>67</v>
      </c>
      <c r="Y4" s="8" t="s">
        <v>68</v>
      </c>
      <c r="Z4" s="8" t="s">
        <v>69</v>
      </c>
      <c r="AA4" s="7" t="s">
        <v>70</v>
      </c>
      <c r="AB4" s="8" t="s">
        <v>71</v>
      </c>
    </row>
    <row r="5" customFormat="false" ht="15" hidden="false" customHeight="false" outlineLevel="0" collapsed="false">
      <c r="A5" s="9" t="s">
        <v>72</v>
      </c>
      <c r="B5" s="9" t="s">
        <v>73</v>
      </c>
      <c r="C5" s="9" t="s">
        <v>74</v>
      </c>
      <c r="D5" s="9" t="s">
        <v>75</v>
      </c>
      <c r="E5" s="10" t="n">
        <v>4.6</v>
      </c>
      <c r="F5" s="9"/>
      <c r="G5" s="9"/>
      <c r="H5" s="9" t="s">
        <v>76</v>
      </c>
      <c r="I5" s="9" t="s">
        <v>77</v>
      </c>
      <c r="J5" s="9"/>
      <c r="K5" s="11" t="s">
        <v>78</v>
      </c>
      <c r="L5" s="9" t="s">
        <v>79</v>
      </c>
      <c r="M5" s="9" t="s">
        <v>80</v>
      </c>
      <c r="N5" s="9" t="s">
        <v>81</v>
      </c>
      <c r="O5" s="9" t="s">
        <v>82</v>
      </c>
      <c r="P5" s="9" t="s">
        <v>83</v>
      </c>
      <c r="Q5" s="9" t="s">
        <v>84</v>
      </c>
      <c r="R5" s="9" t="s">
        <v>85</v>
      </c>
      <c r="S5" s="11" t="s">
        <v>86</v>
      </c>
      <c r="T5" s="9" t="s">
        <v>84</v>
      </c>
      <c r="U5" s="11" t="s">
        <v>87</v>
      </c>
      <c r="V5" s="11" t="s">
        <v>88</v>
      </c>
      <c r="W5" s="11" t="s">
        <v>89</v>
      </c>
      <c r="X5" s="9" t="n">
        <f aca="false">IF(AND(COUNT($E5:$G5)=0,LEFT($H5,2)&lt;&gt;"定性",LEFT($H5,2)&lt;&gt;"文字",LEFT($H5,2)&lt;&gt;"日期"),1,0)</f>
        <v>0</v>
      </c>
      <c r="Y5" s="9" t="n">
        <f aca="false">IF(OR($L5="",$M5=""),1,0)</f>
        <v>0</v>
      </c>
      <c r="Z5" s="9" t="n">
        <f aca="false">IF(AND(ISNUMBER($E5),ISNUMBER($F5)),IF($F5&gt;$E5,1,0),0)+IF(AND(ISNUMBER($E5),ISNUMBER($G5)),IF($E5&gt;$G5,1,0),0)+IF(AND(ISNUMBER($F5),ISNUMBER($G5)),IF($F5&gt;$G5,1,0),0)</f>
        <v>0</v>
      </c>
      <c r="AA5" s="9" t="n">
        <f aca="false">IF(AND($P5="Derived",$V5="觀測"),1,0)</f>
        <v>0</v>
      </c>
      <c r="AB5" s="12" t="s">
        <v>90</v>
      </c>
    </row>
    <row r="6" customFormat="false" ht="15" hidden="false" customHeight="false" outlineLevel="0" collapsed="false">
      <c r="A6" s="9" t="s">
        <v>91</v>
      </c>
      <c r="B6" s="9" t="s">
        <v>92</v>
      </c>
      <c r="C6" s="9" t="s">
        <v>74</v>
      </c>
      <c r="D6" s="9" t="s">
        <v>75</v>
      </c>
      <c r="E6" s="10" t="n">
        <v>4.59</v>
      </c>
      <c r="F6" s="9"/>
      <c r="G6" s="9"/>
      <c r="H6" s="9" t="s">
        <v>76</v>
      </c>
      <c r="I6" s="9" t="s">
        <v>77</v>
      </c>
      <c r="J6" s="9"/>
      <c r="K6" s="11" t="s">
        <v>78</v>
      </c>
      <c r="L6" s="9" t="s">
        <v>93</v>
      </c>
      <c r="M6" s="9" t="s">
        <v>94</v>
      </c>
      <c r="N6" s="9" t="s">
        <v>81</v>
      </c>
      <c r="O6" s="9" t="s">
        <v>82</v>
      </c>
      <c r="P6" s="9" t="s">
        <v>83</v>
      </c>
      <c r="Q6" s="9" t="s">
        <v>95</v>
      </c>
      <c r="R6" s="9" t="s">
        <v>85</v>
      </c>
      <c r="S6" s="11" t="s">
        <v>86</v>
      </c>
      <c r="T6" s="9" t="s">
        <v>95</v>
      </c>
      <c r="U6" s="11" t="s">
        <v>87</v>
      </c>
      <c r="V6" s="11" t="s">
        <v>88</v>
      </c>
      <c r="W6" s="11" t="s">
        <v>96</v>
      </c>
      <c r="X6" s="9" t="n">
        <f aca="false">IF(AND(COUNT($E6:$G6)=0,LEFT($H6,2)&lt;&gt;"定性",LEFT($H6,2)&lt;&gt;"文字",LEFT($H6,2)&lt;&gt;"日期"),1,0)</f>
        <v>0</v>
      </c>
      <c r="Y6" s="9" t="n">
        <f aca="false">IF(OR($L6="",$M6=""),1,0)</f>
        <v>0</v>
      </c>
      <c r="Z6" s="9" t="n">
        <f aca="false">IF(AND(ISNUMBER($E6),ISNUMBER($F6)),IF($F6&gt;$E6,1,0),0)+IF(AND(ISNUMBER($E6),ISNUMBER($G6)),IF($E6&gt;$G6,1,0),0)+IF(AND(ISNUMBER($F6),ISNUMBER($G6)),IF($F6&gt;$G6,1,0),0)</f>
        <v>0</v>
      </c>
      <c r="AA6" s="9" t="n">
        <f aca="false">IF(AND($P6="Derived",$V6="觀測"),1,0)</f>
        <v>0</v>
      </c>
      <c r="AB6" s="12" t="s">
        <v>90</v>
      </c>
    </row>
    <row r="7" customFormat="false" ht="15" hidden="false" customHeight="false" outlineLevel="0" collapsed="false">
      <c r="A7" s="9" t="s">
        <v>97</v>
      </c>
      <c r="B7" s="9" t="s">
        <v>98</v>
      </c>
      <c r="C7" s="9" t="s">
        <v>74</v>
      </c>
      <c r="D7" s="9" t="s">
        <v>99</v>
      </c>
      <c r="E7" s="9" t="n">
        <f aca="false">SRC_ANT_002/(1+SRC_ANT_377)</f>
        <v>0.386363636363636</v>
      </c>
      <c r="F7" s="9"/>
      <c r="G7" s="9"/>
      <c r="H7" s="9" t="s">
        <v>76</v>
      </c>
      <c r="I7" s="9" t="s">
        <v>100</v>
      </c>
      <c r="J7" s="9"/>
      <c r="K7" s="11" t="s">
        <v>78</v>
      </c>
      <c r="L7" s="11" t="s">
        <v>101</v>
      </c>
      <c r="M7" s="9" t="s">
        <v>94</v>
      </c>
      <c r="N7" s="9" t="s">
        <v>81</v>
      </c>
      <c r="O7" s="9" t="s">
        <v>82</v>
      </c>
      <c r="P7" s="9" t="s">
        <v>102</v>
      </c>
      <c r="Q7" s="9"/>
      <c r="R7" s="11" t="s">
        <v>103</v>
      </c>
      <c r="S7" s="11" t="s">
        <v>104</v>
      </c>
      <c r="T7" s="11" t="s">
        <v>105</v>
      </c>
      <c r="U7" s="11" t="s">
        <v>104</v>
      </c>
      <c r="V7" s="9" t="s">
        <v>106</v>
      </c>
      <c r="W7" s="9" t="s">
        <v>107</v>
      </c>
      <c r="X7" s="9" t="n">
        <f aca="false">IF(AND(COUNT($E7:$G7)=0,LEFT($H7,2)&lt;&gt;"定性",LEFT($H7,2)&lt;&gt;"文字",LEFT($H7,2)&lt;&gt;"日期"),1,0)</f>
        <v>0</v>
      </c>
      <c r="Y7" s="9" t="n">
        <f aca="false">IF(OR($L7="",$M7=""),1,0)</f>
        <v>0</v>
      </c>
      <c r="Z7" s="9" t="n">
        <f aca="false">IF(AND(ISNUMBER($E7),ISNUMBER($F7)),IF($F7&gt;$E7,1,0),0)+IF(AND(ISNUMBER($E7),ISNUMBER($G7)),IF($E7&gt;$G7,1,0),0)+IF(AND(ISNUMBER($F7),ISNUMBER($G7)),IF($F7&gt;$G7,1,0),0)</f>
        <v>0</v>
      </c>
      <c r="AA7" s="9" t="n">
        <f aca="false">IF(AND($P7="Derived",$V7="觀測"),1,0)</f>
        <v>0</v>
      </c>
      <c r="AB7" s="12" t="s">
        <v>90</v>
      </c>
    </row>
    <row r="8" customFormat="false" ht="15" hidden="false" customHeight="false" outlineLevel="0" collapsed="false">
      <c r="A8" s="9" t="s">
        <v>108</v>
      </c>
      <c r="B8" s="9" t="s">
        <v>109</v>
      </c>
      <c r="C8" s="9" t="s">
        <v>74</v>
      </c>
      <c r="D8" s="9" t="s">
        <v>110</v>
      </c>
      <c r="E8" s="10" t="n">
        <v>4.73</v>
      </c>
      <c r="F8" s="9"/>
      <c r="G8" s="9"/>
      <c r="H8" s="9" t="s">
        <v>111</v>
      </c>
      <c r="I8" s="9" t="s">
        <v>112</v>
      </c>
      <c r="J8" s="9"/>
      <c r="K8" s="11" t="s">
        <v>78</v>
      </c>
      <c r="L8" s="9" t="s">
        <v>113</v>
      </c>
      <c r="M8" s="9" t="s">
        <v>114</v>
      </c>
      <c r="N8" s="9" t="s">
        <v>115</v>
      </c>
      <c r="O8" s="9" t="s">
        <v>82</v>
      </c>
      <c r="P8" s="9" t="s">
        <v>83</v>
      </c>
      <c r="Q8" s="9" t="s">
        <v>116</v>
      </c>
      <c r="R8" s="9" t="s">
        <v>85</v>
      </c>
      <c r="S8" s="11" t="s">
        <v>86</v>
      </c>
      <c r="T8" s="9" t="s">
        <v>116</v>
      </c>
      <c r="U8" s="11" t="s">
        <v>87</v>
      </c>
      <c r="V8" s="11" t="s">
        <v>88</v>
      </c>
      <c r="W8" s="11" t="s">
        <v>117</v>
      </c>
      <c r="X8" s="9" t="n">
        <f aca="false">IF(AND(COUNT($E8:$G8)=0,LEFT($H8,2)&lt;&gt;"定性",LEFT($H8,2)&lt;&gt;"文字",LEFT($H8,2)&lt;&gt;"日期"),1,0)</f>
        <v>0</v>
      </c>
      <c r="Y8" s="9" t="n">
        <f aca="false">IF(OR($L8="",$M8=""),1,0)</f>
        <v>0</v>
      </c>
      <c r="Z8" s="9" t="n">
        <f aca="false">IF(AND(ISNUMBER($E8),ISNUMBER($F8)),IF($F8&gt;$E8,1,0),0)+IF(AND(ISNUMBER($E8),ISNUMBER($G8)),IF($E8&gt;$G8,1,0),0)+IF(AND(ISNUMBER($F8),ISNUMBER($G8)),IF($F8&gt;$G8,1,0),0)</f>
        <v>0</v>
      </c>
      <c r="AA8" s="9" t="n">
        <f aca="false">IF(AND($P8="Derived",$V8="觀測"),1,0)</f>
        <v>0</v>
      </c>
      <c r="AB8" s="12" t="s">
        <v>90</v>
      </c>
    </row>
    <row r="9" customFormat="false" ht="15" hidden="false" customHeight="false" outlineLevel="0" collapsed="false">
      <c r="A9" s="9" t="s">
        <v>118</v>
      </c>
      <c r="B9" s="9" t="s">
        <v>119</v>
      </c>
      <c r="C9" s="9" t="s">
        <v>74</v>
      </c>
      <c r="D9" s="9" t="s">
        <v>120</v>
      </c>
      <c r="E9" s="10" t="n">
        <v>11.5</v>
      </c>
      <c r="F9" s="9"/>
      <c r="G9" s="9"/>
      <c r="H9" s="9" t="s">
        <v>111</v>
      </c>
      <c r="I9" s="9" t="s">
        <v>121</v>
      </c>
      <c r="J9" s="9"/>
      <c r="K9" s="11" t="s">
        <v>78</v>
      </c>
      <c r="L9" s="9" t="s">
        <v>122</v>
      </c>
      <c r="M9" s="9" t="s">
        <v>114</v>
      </c>
      <c r="N9" s="9" t="s">
        <v>115</v>
      </c>
      <c r="O9" s="9" t="s">
        <v>82</v>
      </c>
      <c r="P9" s="9" t="s">
        <v>83</v>
      </c>
      <c r="Q9" s="9" t="s">
        <v>123</v>
      </c>
      <c r="R9" s="9" t="s">
        <v>85</v>
      </c>
      <c r="S9" s="11" t="s">
        <v>86</v>
      </c>
      <c r="T9" s="9" t="s">
        <v>123</v>
      </c>
      <c r="U9" s="11" t="s">
        <v>87</v>
      </c>
      <c r="V9" s="11" t="s">
        <v>88</v>
      </c>
      <c r="W9" s="11" t="s">
        <v>124</v>
      </c>
      <c r="X9" s="9" t="n">
        <f aca="false">IF(AND(COUNT($E9:$G9)=0,LEFT($H9,2)&lt;&gt;"定性",LEFT($H9,2)&lt;&gt;"文字",LEFT($H9,2)&lt;&gt;"日期"),1,0)</f>
        <v>0</v>
      </c>
      <c r="Y9" s="9" t="n">
        <f aca="false">IF(OR($L9="",$M9=""),1,0)</f>
        <v>0</v>
      </c>
      <c r="Z9" s="9" t="n">
        <f aca="false">IF(AND(ISNUMBER($E9),ISNUMBER($F9)),IF($F9&gt;$E9,1,0),0)+IF(AND(ISNUMBER($E9),ISNUMBER($G9)),IF($E9&gt;$G9,1,0),0)+IF(AND(ISNUMBER($F9),ISNUMBER($G9)),IF($F9&gt;$G9,1,0),0)</f>
        <v>0</v>
      </c>
      <c r="AA9" s="9" t="n">
        <f aca="false">IF(AND($P9="Derived",$V9="觀測"),1,0)</f>
        <v>0</v>
      </c>
      <c r="AB9" s="12" t="s">
        <v>90</v>
      </c>
    </row>
    <row r="10" customFormat="false" ht="15" hidden="false" customHeight="false" outlineLevel="0" collapsed="false">
      <c r="A10" s="9" t="s">
        <v>125</v>
      </c>
      <c r="B10" s="9" t="s">
        <v>126</v>
      </c>
      <c r="C10" s="9" t="s">
        <v>74</v>
      </c>
      <c r="D10" s="9" t="s">
        <v>127</v>
      </c>
      <c r="E10" s="10" t="n">
        <v>0.787</v>
      </c>
      <c r="F10" s="9"/>
      <c r="G10" s="9"/>
      <c r="H10" s="9" t="s">
        <v>111</v>
      </c>
      <c r="I10" s="9" t="s">
        <v>128</v>
      </c>
      <c r="J10" s="9"/>
      <c r="K10" s="11" t="s">
        <v>78</v>
      </c>
      <c r="L10" s="9" t="s">
        <v>129</v>
      </c>
      <c r="M10" s="9" t="s">
        <v>130</v>
      </c>
      <c r="N10" s="9" t="s">
        <v>131</v>
      </c>
      <c r="O10" s="9" t="s">
        <v>82</v>
      </c>
      <c r="P10" s="9" t="s">
        <v>83</v>
      </c>
      <c r="Q10" s="9" t="s">
        <v>132</v>
      </c>
      <c r="R10" s="9" t="s">
        <v>85</v>
      </c>
      <c r="S10" s="11" t="s">
        <v>86</v>
      </c>
      <c r="T10" s="9" t="s">
        <v>132</v>
      </c>
      <c r="U10" s="11" t="s">
        <v>87</v>
      </c>
      <c r="V10" s="11" t="s">
        <v>88</v>
      </c>
      <c r="W10" s="11" t="s">
        <v>133</v>
      </c>
      <c r="X10" s="9" t="n">
        <f aca="false">IF(AND(COUNT($E10:$G10)=0,LEFT($H10,2)&lt;&gt;"定性",LEFT($H10,2)&lt;&gt;"文字",LEFT($H10,2)&lt;&gt;"日期"),1,0)</f>
        <v>0</v>
      </c>
      <c r="Y10" s="9" t="n">
        <f aca="false">IF(OR($L10="",$M10=""),1,0)</f>
        <v>0</v>
      </c>
      <c r="Z10" s="9" t="n">
        <f aca="false">IF(AND(ISNUMBER($E10),ISNUMBER($F10)),IF($F10&gt;$E10,1,0),0)+IF(AND(ISNUMBER($E10),ISNUMBER($G10)),IF($E10&gt;$G10,1,0),0)+IF(AND(ISNUMBER($F10),ISNUMBER($G10)),IF($F10&gt;$G10,1,0),0)</f>
        <v>0</v>
      </c>
      <c r="AA10" s="9" t="n">
        <f aca="false">IF(AND($P10="Derived",$V10="觀測"),1,0)</f>
        <v>0</v>
      </c>
      <c r="AB10" s="12" t="s">
        <v>90</v>
      </c>
    </row>
    <row r="11" customFormat="false" ht="15" hidden="false" customHeight="false" outlineLevel="0" collapsed="false">
      <c r="A11" s="9" t="s">
        <v>134</v>
      </c>
      <c r="B11" s="9" t="s">
        <v>135</v>
      </c>
      <c r="C11" s="9" t="s">
        <v>74</v>
      </c>
      <c r="D11" s="9" t="s">
        <v>136</v>
      </c>
      <c r="E11" s="9" t="n">
        <f aca="false">SRC_ANT_004+SRC_ANT_005</f>
        <v>16.23</v>
      </c>
      <c r="F11" s="9"/>
      <c r="G11" s="9"/>
      <c r="H11" s="9" t="s">
        <v>137</v>
      </c>
      <c r="I11" s="9" t="s">
        <v>138</v>
      </c>
      <c r="J11" s="9"/>
      <c r="K11" s="11" t="s">
        <v>78</v>
      </c>
      <c r="L11" s="11" t="s">
        <v>139</v>
      </c>
      <c r="M11" s="9" t="s">
        <v>140</v>
      </c>
      <c r="N11" s="9" t="s">
        <v>81</v>
      </c>
      <c r="O11" s="9" t="s">
        <v>82</v>
      </c>
      <c r="P11" s="9" t="s">
        <v>102</v>
      </c>
      <c r="Q11" s="9"/>
      <c r="R11" s="11" t="s">
        <v>103</v>
      </c>
      <c r="S11" s="11" t="s">
        <v>104</v>
      </c>
      <c r="T11" s="11" t="s">
        <v>105</v>
      </c>
      <c r="U11" s="11" t="s">
        <v>104</v>
      </c>
      <c r="V11" s="9" t="s">
        <v>106</v>
      </c>
      <c r="W11" s="9" t="s">
        <v>141</v>
      </c>
      <c r="X11" s="9" t="n">
        <f aca="false">IF(AND(COUNT($E11:$G11)=0,LEFT($H11,2)&lt;&gt;"定性",LEFT($H11,2)&lt;&gt;"文字",LEFT($H11,2)&lt;&gt;"日期"),1,0)</f>
        <v>0</v>
      </c>
      <c r="Y11" s="9" t="n">
        <f aca="false">IF(OR($L11="",$M11=""),1,0)</f>
        <v>0</v>
      </c>
      <c r="Z11" s="9" t="n">
        <f aca="false">IF(AND(ISNUMBER($E11),ISNUMBER($F11)),IF($F11&gt;$E11,1,0),0)+IF(AND(ISNUMBER($E11),ISNUMBER($G11)),IF($E11&gt;$G11,1,0),0)+IF(AND(ISNUMBER($F11),ISNUMBER($G11)),IF($F11&gt;$G11,1,0),0)</f>
        <v>0</v>
      </c>
      <c r="AA11" s="9" t="n">
        <f aca="false">IF(AND($P11="Derived",$V11="觀測"),1,0)</f>
        <v>0</v>
      </c>
      <c r="AB11" s="12" t="s">
        <v>90</v>
      </c>
    </row>
    <row r="12" customFormat="false" ht="15" hidden="false" customHeight="false" outlineLevel="0" collapsed="false">
      <c r="A12" s="9" t="s">
        <v>142</v>
      </c>
      <c r="B12" s="9" t="s">
        <v>143</v>
      </c>
      <c r="C12" s="9" t="s">
        <v>74</v>
      </c>
      <c r="D12" s="11" t="s">
        <v>144</v>
      </c>
      <c r="E12" s="10" t="n">
        <v>1</v>
      </c>
      <c r="F12" s="9"/>
      <c r="G12" s="9"/>
      <c r="H12" s="9" t="s">
        <v>76</v>
      </c>
      <c r="I12" s="9" t="s">
        <v>145</v>
      </c>
      <c r="J12" s="9"/>
      <c r="K12" s="11" t="s">
        <v>146</v>
      </c>
      <c r="L12" s="9" t="s">
        <v>147</v>
      </c>
      <c r="M12" s="9" t="s">
        <v>148</v>
      </c>
      <c r="N12" s="9" t="s">
        <v>149</v>
      </c>
      <c r="O12" s="9" t="s">
        <v>82</v>
      </c>
      <c r="P12" s="9" t="s">
        <v>83</v>
      </c>
      <c r="Q12" s="9" t="s">
        <v>150</v>
      </c>
      <c r="R12" s="9" t="s">
        <v>151</v>
      </c>
      <c r="S12" s="11" t="s">
        <v>86</v>
      </c>
      <c r="T12" s="9" t="s">
        <v>150</v>
      </c>
      <c r="U12" s="11" t="s">
        <v>152</v>
      </c>
      <c r="V12" s="11" t="s">
        <v>88</v>
      </c>
      <c r="W12" s="11" t="s">
        <v>153</v>
      </c>
      <c r="X12" s="9" t="n">
        <f aca="false">IF(AND(COUNT($E12:$G12)=0,LEFT($H12,2)&lt;&gt;"定性",LEFT($H12,2)&lt;&gt;"文字",LEFT($H12,2)&lt;&gt;"日期"),1,0)</f>
        <v>0</v>
      </c>
      <c r="Y12" s="9" t="n">
        <f aca="false">IF(OR($L12="",$M12=""),1,0)</f>
        <v>0</v>
      </c>
      <c r="Z12" s="9" t="n">
        <f aca="false">IF(AND(ISNUMBER($E12),ISNUMBER($F12)),IF($F12&gt;$E12,1,0),0)+IF(AND(ISNUMBER($E12),ISNUMBER($G12)),IF($E12&gt;$G12,1,0),0)+IF(AND(ISNUMBER($F12),ISNUMBER($G12)),IF($F12&gt;$G12,1,0),0)</f>
        <v>0</v>
      </c>
      <c r="AA12" s="9" t="n">
        <f aca="false">IF(AND($P12="Derived",$V12="觀測"),1,0)</f>
        <v>0</v>
      </c>
      <c r="AB12" s="12" t="s">
        <v>90</v>
      </c>
    </row>
    <row r="13" customFormat="false" ht="15" hidden="false" customHeight="false" outlineLevel="0" collapsed="false">
      <c r="A13" s="9" t="s">
        <v>154</v>
      </c>
      <c r="B13" s="9" t="s">
        <v>155</v>
      </c>
      <c r="C13" s="9" t="s">
        <v>74</v>
      </c>
      <c r="D13" s="11" t="s">
        <v>144</v>
      </c>
      <c r="E13" s="10" t="n">
        <v>1</v>
      </c>
      <c r="F13" s="9"/>
      <c r="G13" s="9"/>
      <c r="H13" s="9" t="s">
        <v>76</v>
      </c>
      <c r="I13" s="9" t="s">
        <v>145</v>
      </c>
      <c r="J13" s="9"/>
      <c r="K13" s="11" t="s">
        <v>146</v>
      </c>
      <c r="L13" s="9" t="s">
        <v>156</v>
      </c>
      <c r="M13" s="9" t="s">
        <v>157</v>
      </c>
      <c r="N13" s="9" t="s">
        <v>158</v>
      </c>
      <c r="O13" s="9" t="s">
        <v>82</v>
      </c>
      <c r="P13" s="9" t="s">
        <v>83</v>
      </c>
      <c r="Q13" s="9" t="s">
        <v>159</v>
      </c>
      <c r="R13" s="9" t="s">
        <v>85</v>
      </c>
      <c r="S13" s="11" t="s">
        <v>86</v>
      </c>
      <c r="T13" s="9" t="s">
        <v>159</v>
      </c>
      <c r="U13" s="11" t="s">
        <v>87</v>
      </c>
      <c r="V13" s="11" t="s">
        <v>88</v>
      </c>
      <c r="W13" s="11" t="s">
        <v>160</v>
      </c>
      <c r="X13" s="9" t="n">
        <f aca="false">IF(AND(COUNT($E13:$G13)=0,LEFT($H13,2)&lt;&gt;"定性",LEFT($H13,2)&lt;&gt;"文字",LEFT($H13,2)&lt;&gt;"日期"),1,0)</f>
        <v>0</v>
      </c>
      <c r="Y13" s="9" t="n">
        <f aca="false">IF(OR($L13="",$M13=""),1,0)</f>
        <v>0</v>
      </c>
      <c r="Z13" s="9" t="n">
        <f aca="false">IF(AND(ISNUMBER($E13),ISNUMBER($F13)),IF($F13&gt;$E13,1,0),0)+IF(AND(ISNUMBER($E13),ISNUMBER($G13)),IF($E13&gt;$G13,1,0),0)+IF(AND(ISNUMBER($F13),ISNUMBER($G13)),IF($F13&gt;$G13,1,0),0)</f>
        <v>0</v>
      </c>
      <c r="AA13" s="9" t="n">
        <f aca="false">IF(AND($P13="Derived",$V13="觀測"),1,0)</f>
        <v>0</v>
      </c>
      <c r="AB13" s="12" t="s">
        <v>90</v>
      </c>
    </row>
    <row r="14" customFormat="false" ht="15" hidden="false" customHeight="false" outlineLevel="0" collapsed="false">
      <c r="A14" s="9" t="s">
        <v>161</v>
      </c>
      <c r="B14" s="9" t="s">
        <v>162</v>
      </c>
      <c r="C14" s="9" t="s">
        <v>74</v>
      </c>
      <c r="D14" s="11" t="s">
        <v>144</v>
      </c>
      <c r="E14" s="10" t="n">
        <v>1.4</v>
      </c>
      <c r="F14" s="9"/>
      <c r="G14" s="9"/>
      <c r="H14" s="9" t="s">
        <v>76</v>
      </c>
      <c r="I14" s="9" t="s">
        <v>163</v>
      </c>
      <c r="J14" s="9"/>
      <c r="K14" s="11" t="s">
        <v>146</v>
      </c>
      <c r="L14" s="9" t="s">
        <v>164</v>
      </c>
      <c r="M14" s="9" t="s">
        <v>165</v>
      </c>
      <c r="N14" s="9" t="s">
        <v>166</v>
      </c>
      <c r="O14" s="9" t="s">
        <v>82</v>
      </c>
      <c r="P14" s="9" t="s">
        <v>83</v>
      </c>
      <c r="Q14" s="9" t="s">
        <v>159</v>
      </c>
      <c r="R14" s="9" t="s">
        <v>85</v>
      </c>
      <c r="S14" s="11" t="s">
        <v>86</v>
      </c>
      <c r="T14" s="9" t="s">
        <v>159</v>
      </c>
      <c r="U14" s="11" t="s">
        <v>87</v>
      </c>
      <c r="V14" s="11" t="s">
        <v>88</v>
      </c>
      <c r="W14" s="11" t="s">
        <v>167</v>
      </c>
      <c r="X14" s="9" t="n">
        <f aca="false">IF(AND(COUNT($E14:$G14)=0,LEFT($H14,2)&lt;&gt;"定性",LEFT($H14,2)&lt;&gt;"文字",LEFT($H14,2)&lt;&gt;"日期"),1,0)</f>
        <v>0</v>
      </c>
      <c r="Y14" s="9" t="n">
        <f aca="false">IF(OR($L14="",$M14=""),1,0)</f>
        <v>0</v>
      </c>
      <c r="Z14" s="9" t="n">
        <f aca="false">IF(AND(ISNUMBER($E14),ISNUMBER($F14)),IF($F14&gt;$E14,1,0),0)+IF(AND(ISNUMBER($E14),ISNUMBER($G14)),IF($E14&gt;$G14,1,0),0)+IF(AND(ISNUMBER($F14),ISNUMBER($G14)),IF($F14&gt;$G14,1,0),0)</f>
        <v>0</v>
      </c>
      <c r="AA14" s="9" t="n">
        <f aca="false">IF(AND($P14="Derived",$V14="觀測"),1,0)</f>
        <v>0</v>
      </c>
      <c r="AB14" s="12" t="s">
        <v>90</v>
      </c>
    </row>
    <row r="15" customFormat="false" ht="15" hidden="false" customHeight="false" outlineLevel="0" collapsed="false">
      <c r="A15" s="9" t="s">
        <v>168</v>
      </c>
      <c r="B15" s="9" t="s">
        <v>169</v>
      </c>
      <c r="C15" s="9" t="s">
        <v>74</v>
      </c>
      <c r="D15" s="11" t="s">
        <v>144</v>
      </c>
      <c r="E15" s="10" t="n">
        <v>2</v>
      </c>
      <c r="F15" s="9"/>
      <c r="G15" s="9"/>
      <c r="H15" s="9" t="s">
        <v>76</v>
      </c>
      <c r="I15" s="9" t="s">
        <v>170</v>
      </c>
      <c r="J15" s="9"/>
      <c r="K15" s="11" t="s">
        <v>146</v>
      </c>
      <c r="L15" s="9" t="s">
        <v>156</v>
      </c>
      <c r="M15" s="9" t="s">
        <v>157</v>
      </c>
      <c r="N15" s="9" t="s">
        <v>158</v>
      </c>
      <c r="O15" s="9" t="s">
        <v>82</v>
      </c>
      <c r="P15" s="9" t="s">
        <v>83</v>
      </c>
      <c r="Q15" s="9" t="s">
        <v>159</v>
      </c>
      <c r="R15" s="9" t="s">
        <v>85</v>
      </c>
      <c r="S15" s="11" t="s">
        <v>86</v>
      </c>
      <c r="T15" s="9" t="s">
        <v>159</v>
      </c>
      <c r="U15" s="11" t="s">
        <v>87</v>
      </c>
      <c r="V15" s="11" t="s">
        <v>88</v>
      </c>
      <c r="W15" s="11" t="s">
        <v>171</v>
      </c>
      <c r="X15" s="9" t="n">
        <f aca="false">IF(AND(COUNT($E15:$G15)=0,LEFT($H15,2)&lt;&gt;"定性",LEFT($H15,2)&lt;&gt;"文字",LEFT($H15,2)&lt;&gt;"日期"),1,0)</f>
        <v>0</v>
      </c>
      <c r="Y15" s="9" t="n">
        <f aca="false">IF(OR($L15="",$M15=""),1,0)</f>
        <v>0</v>
      </c>
      <c r="Z15" s="9" t="n">
        <f aca="false">IF(AND(ISNUMBER($E15),ISNUMBER($F15)),IF($F15&gt;$E15,1,0),0)+IF(AND(ISNUMBER($E15),ISNUMBER($G15)),IF($E15&gt;$G15,1,0),0)+IF(AND(ISNUMBER($F15),ISNUMBER($G15)),IF($F15&gt;$G15,1,0),0)</f>
        <v>0</v>
      </c>
      <c r="AA15" s="9" t="n">
        <f aca="false">IF(AND($P15="Derived",$V15="觀測"),1,0)</f>
        <v>0</v>
      </c>
      <c r="AB15" s="12" t="s">
        <v>90</v>
      </c>
    </row>
    <row r="16" customFormat="false" ht="15" hidden="false" customHeight="false" outlineLevel="0" collapsed="false">
      <c r="A16" s="9" t="s">
        <v>172</v>
      </c>
      <c r="B16" s="9" t="s">
        <v>173</v>
      </c>
      <c r="C16" s="9" t="s">
        <v>74</v>
      </c>
      <c r="D16" s="11" t="s">
        <v>144</v>
      </c>
      <c r="E16" s="10" t="n">
        <v>3</v>
      </c>
      <c r="F16" s="9"/>
      <c r="G16" s="9"/>
      <c r="H16" s="9" t="s">
        <v>76</v>
      </c>
      <c r="I16" s="9" t="s">
        <v>174</v>
      </c>
      <c r="J16" s="9"/>
      <c r="K16" s="11" t="s">
        <v>146</v>
      </c>
      <c r="L16" s="9" t="s">
        <v>175</v>
      </c>
      <c r="M16" s="9" t="s">
        <v>157</v>
      </c>
      <c r="N16" s="9" t="s">
        <v>158</v>
      </c>
      <c r="O16" s="9" t="s">
        <v>82</v>
      </c>
      <c r="P16" s="9" t="s">
        <v>83</v>
      </c>
      <c r="Q16" s="9" t="s">
        <v>159</v>
      </c>
      <c r="R16" s="9" t="s">
        <v>85</v>
      </c>
      <c r="S16" s="11" t="s">
        <v>86</v>
      </c>
      <c r="T16" s="9" t="s">
        <v>159</v>
      </c>
      <c r="U16" s="11" t="s">
        <v>87</v>
      </c>
      <c r="V16" s="11" t="s">
        <v>88</v>
      </c>
      <c r="W16" s="11" t="s">
        <v>176</v>
      </c>
      <c r="X16" s="9" t="n">
        <f aca="false">IF(AND(COUNT($E16:$G16)=0,LEFT($H16,2)&lt;&gt;"定性",LEFT($H16,2)&lt;&gt;"文字",LEFT($H16,2)&lt;&gt;"日期"),1,0)</f>
        <v>0</v>
      </c>
      <c r="Y16" s="9" t="n">
        <f aca="false">IF(OR($L16="",$M16=""),1,0)</f>
        <v>0</v>
      </c>
      <c r="Z16" s="9" t="n">
        <f aca="false">IF(AND(ISNUMBER($E16),ISNUMBER($F16)),IF($F16&gt;$E16,1,0),0)+IF(AND(ISNUMBER($E16),ISNUMBER($G16)),IF($E16&gt;$G16,1,0),0)+IF(AND(ISNUMBER($F16),ISNUMBER($G16)),IF($F16&gt;$G16,1,0),0)</f>
        <v>0</v>
      </c>
      <c r="AA16" s="9" t="n">
        <f aca="false">IF(AND($P16="Derived",$V16="觀測"),1,0)</f>
        <v>0</v>
      </c>
      <c r="AB16" s="12" t="s">
        <v>90</v>
      </c>
    </row>
    <row r="17" customFormat="false" ht="15" hidden="false" customHeight="false" outlineLevel="0" collapsed="false">
      <c r="A17" s="9" t="s">
        <v>177</v>
      </c>
      <c r="B17" s="9" t="s">
        <v>178</v>
      </c>
      <c r="C17" s="9" t="s">
        <v>74</v>
      </c>
      <c r="D17" s="11" t="s">
        <v>144</v>
      </c>
      <c r="E17" s="10" t="n">
        <v>4</v>
      </c>
      <c r="F17" s="9"/>
      <c r="G17" s="9"/>
      <c r="H17" s="9" t="s">
        <v>76</v>
      </c>
      <c r="I17" s="9" t="s">
        <v>179</v>
      </c>
      <c r="J17" s="9"/>
      <c r="K17" s="11" t="s">
        <v>146</v>
      </c>
      <c r="L17" s="9" t="s">
        <v>164</v>
      </c>
      <c r="M17" s="9" t="s">
        <v>180</v>
      </c>
      <c r="N17" s="9" t="s">
        <v>181</v>
      </c>
      <c r="O17" s="9" t="s">
        <v>82</v>
      </c>
      <c r="P17" s="9" t="s">
        <v>83</v>
      </c>
      <c r="Q17" s="9" t="s">
        <v>159</v>
      </c>
      <c r="R17" s="9" t="s">
        <v>85</v>
      </c>
      <c r="S17" s="11" t="s">
        <v>86</v>
      </c>
      <c r="T17" s="9" t="s">
        <v>159</v>
      </c>
      <c r="U17" s="11" t="s">
        <v>87</v>
      </c>
      <c r="V17" s="11" t="s">
        <v>88</v>
      </c>
      <c r="W17" s="11" t="s">
        <v>182</v>
      </c>
      <c r="X17" s="9" t="n">
        <f aca="false">IF(AND(COUNT($E17:$G17)=0,LEFT($H17,2)&lt;&gt;"定性",LEFT($H17,2)&lt;&gt;"文字",LEFT($H17,2)&lt;&gt;"日期"),1,0)</f>
        <v>0</v>
      </c>
      <c r="Y17" s="9" t="n">
        <f aca="false">IF(OR($L17="",$M17=""),1,0)</f>
        <v>0</v>
      </c>
      <c r="Z17" s="9" t="n">
        <f aca="false">IF(AND(ISNUMBER($E17),ISNUMBER($F17)),IF($F17&gt;$E17,1,0),0)+IF(AND(ISNUMBER($E17),ISNUMBER($G17)),IF($E17&gt;$G17,1,0),0)+IF(AND(ISNUMBER($F17),ISNUMBER($G17)),IF($F17&gt;$G17,1,0),0)</f>
        <v>0</v>
      </c>
      <c r="AA17" s="9" t="n">
        <f aca="false">IF(AND($P17="Derived",$V17="觀測"),1,0)</f>
        <v>0</v>
      </c>
      <c r="AB17" s="12" t="s">
        <v>90</v>
      </c>
    </row>
    <row r="18" customFormat="false" ht="15" hidden="false" customHeight="false" outlineLevel="0" collapsed="false">
      <c r="A18" s="9" t="s">
        <v>183</v>
      </c>
      <c r="B18" s="9" t="s">
        <v>184</v>
      </c>
      <c r="C18" s="9" t="s">
        <v>74</v>
      </c>
      <c r="D18" s="11" t="s">
        <v>144</v>
      </c>
      <c r="E18" s="10" t="n">
        <v>4</v>
      </c>
      <c r="F18" s="9"/>
      <c r="G18" s="9"/>
      <c r="H18" s="9" t="s">
        <v>76</v>
      </c>
      <c r="I18" s="9" t="s">
        <v>185</v>
      </c>
      <c r="J18" s="9"/>
      <c r="K18" s="11" t="s">
        <v>146</v>
      </c>
      <c r="L18" s="9" t="s">
        <v>186</v>
      </c>
      <c r="M18" s="9" t="s">
        <v>187</v>
      </c>
      <c r="N18" s="9" t="s">
        <v>188</v>
      </c>
      <c r="O18" s="9" t="s">
        <v>82</v>
      </c>
      <c r="P18" s="9" t="s">
        <v>83</v>
      </c>
      <c r="Q18" s="9" t="s">
        <v>159</v>
      </c>
      <c r="R18" s="9" t="s">
        <v>85</v>
      </c>
      <c r="S18" s="11" t="s">
        <v>86</v>
      </c>
      <c r="T18" s="9" t="s">
        <v>159</v>
      </c>
      <c r="U18" s="11" t="s">
        <v>87</v>
      </c>
      <c r="V18" s="11" t="s">
        <v>88</v>
      </c>
      <c r="W18" s="11" t="s">
        <v>189</v>
      </c>
      <c r="X18" s="9" t="n">
        <f aca="false">IF(AND(COUNT($E18:$G18)=0,LEFT($H18,2)&lt;&gt;"定性",LEFT($H18,2)&lt;&gt;"文字",LEFT($H18,2)&lt;&gt;"日期"),1,0)</f>
        <v>0</v>
      </c>
      <c r="Y18" s="9" t="n">
        <f aca="false">IF(OR($L18="",$M18=""),1,0)</f>
        <v>0</v>
      </c>
      <c r="Z18" s="9" t="n">
        <f aca="false">IF(AND(ISNUMBER($E18),ISNUMBER($F18)),IF($F18&gt;$E18,1,0),0)+IF(AND(ISNUMBER($E18),ISNUMBER($G18)),IF($E18&gt;$G18,1,0),0)+IF(AND(ISNUMBER($F18),ISNUMBER($G18)),IF($F18&gt;$G18,1,0),0)</f>
        <v>0</v>
      </c>
      <c r="AA18" s="9" t="n">
        <f aca="false">IF(AND($P18="Derived",$V18="觀測"),1,0)</f>
        <v>0</v>
      </c>
      <c r="AB18" s="12" t="s">
        <v>90</v>
      </c>
    </row>
    <row r="19" customFormat="false" ht="15" hidden="false" customHeight="false" outlineLevel="0" collapsed="false">
      <c r="A19" s="9" t="s">
        <v>190</v>
      </c>
      <c r="B19" s="9" t="s">
        <v>191</v>
      </c>
      <c r="C19" s="9" t="s">
        <v>74</v>
      </c>
      <c r="D19" s="11" t="s">
        <v>144</v>
      </c>
      <c r="E19" s="10" t="n">
        <v>5</v>
      </c>
      <c r="F19" s="9"/>
      <c r="G19" s="9"/>
      <c r="H19" s="9" t="s">
        <v>76</v>
      </c>
      <c r="I19" s="9" t="s">
        <v>192</v>
      </c>
      <c r="J19" s="9"/>
      <c r="K19" s="11" t="s">
        <v>146</v>
      </c>
      <c r="L19" s="9" t="s">
        <v>147</v>
      </c>
      <c r="M19" s="9" t="s">
        <v>148</v>
      </c>
      <c r="N19" s="9" t="s">
        <v>149</v>
      </c>
      <c r="O19" s="9" t="s">
        <v>82</v>
      </c>
      <c r="P19" s="9" t="s">
        <v>83</v>
      </c>
      <c r="Q19" s="9" t="s">
        <v>150</v>
      </c>
      <c r="R19" s="9" t="s">
        <v>151</v>
      </c>
      <c r="S19" s="11" t="s">
        <v>86</v>
      </c>
      <c r="T19" s="9" t="s">
        <v>150</v>
      </c>
      <c r="U19" s="11" t="s">
        <v>152</v>
      </c>
      <c r="V19" s="11" t="s">
        <v>88</v>
      </c>
      <c r="W19" s="11" t="s">
        <v>193</v>
      </c>
      <c r="X19" s="9" t="n">
        <f aca="false">IF(AND(COUNT($E19:$G19)=0,LEFT($H19,2)&lt;&gt;"定性",LEFT($H19,2)&lt;&gt;"文字",LEFT($H19,2)&lt;&gt;"日期"),1,0)</f>
        <v>0</v>
      </c>
      <c r="Y19" s="9" t="n">
        <f aca="false">IF(OR($L19="",$M19=""),1,0)</f>
        <v>0</v>
      </c>
      <c r="Z19" s="9" t="n">
        <f aca="false">IF(AND(ISNUMBER($E19),ISNUMBER($F19)),IF($F19&gt;$E19,1,0),0)+IF(AND(ISNUMBER($E19),ISNUMBER($G19)),IF($E19&gt;$G19,1,0),0)+IF(AND(ISNUMBER($F19),ISNUMBER($G19)),IF($F19&gt;$G19,1,0),0)</f>
        <v>0</v>
      </c>
      <c r="AA19" s="9" t="n">
        <f aca="false">IF(AND($P19="Derived",$V19="觀測"),1,0)</f>
        <v>0</v>
      </c>
      <c r="AB19" s="12" t="s">
        <v>90</v>
      </c>
    </row>
    <row r="20" customFormat="false" ht="15" hidden="false" customHeight="false" outlineLevel="0" collapsed="false">
      <c r="A20" s="9" t="s">
        <v>194</v>
      </c>
      <c r="B20" s="9" t="s">
        <v>195</v>
      </c>
      <c r="C20" s="9" t="s">
        <v>74</v>
      </c>
      <c r="D20" s="11" t="s">
        <v>144</v>
      </c>
      <c r="E20" s="10" t="n">
        <v>7</v>
      </c>
      <c r="F20" s="9"/>
      <c r="G20" s="10" t="n">
        <v>7</v>
      </c>
      <c r="H20" s="9" t="s">
        <v>76</v>
      </c>
      <c r="I20" s="9" t="s">
        <v>196</v>
      </c>
      <c r="J20" s="9"/>
      <c r="K20" s="11" t="s">
        <v>146</v>
      </c>
      <c r="L20" s="9" t="s">
        <v>197</v>
      </c>
      <c r="M20" s="9" t="s">
        <v>198</v>
      </c>
      <c r="N20" s="9" t="s">
        <v>199</v>
      </c>
      <c r="O20" s="9" t="s">
        <v>82</v>
      </c>
      <c r="P20" s="9" t="s">
        <v>83</v>
      </c>
      <c r="Q20" s="9" t="s">
        <v>200</v>
      </c>
      <c r="R20" s="9" t="s">
        <v>85</v>
      </c>
      <c r="S20" s="11" t="s">
        <v>86</v>
      </c>
      <c r="T20" s="9" t="s">
        <v>200</v>
      </c>
      <c r="U20" s="11" t="s">
        <v>87</v>
      </c>
      <c r="V20" s="11" t="s">
        <v>88</v>
      </c>
      <c r="W20" s="11" t="s">
        <v>201</v>
      </c>
      <c r="X20" s="9" t="n">
        <f aca="false">IF(AND(COUNT($E20:$G20)=0,LEFT($H20,2)&lt;&gt;"定性",LEFT($H20,2)&lt;&gt;"文字",LEFT($H20,2)&lt;&gt;"日期"),1,0)</f>
        <v>0</v>
      </c>
      <c r="Y20" s="9" t="n">
        <f aca="false">IF(OR($L20="",$M20=""),1,0)</f>
        <v>0</v>
      </c>
      <c r="Z20" s="9" t="n">
        <f aca="false">IF(AND(ISNUMBER($E20),ISNUMBER($F20)),IF($F20&gt;$E20,1,0),0)+IF(AND(ISNUMBER($E20),ISNUMBER($G20)),IF($E20&gt;$G20,1,0),0)+IF(AND(ISNUMBER($F20),ISNUMBER($G20)),IF($F20&gt;$G20,1,0),0)</f>
        <v>0</v>
      </c>
      <c r="AA20" s="9" t="n">
        <f aca="false">IF(AND($P20="Derived",$V20="觀測"),1,0)</f>
        <v>0</v>
      </c>
      <c r="AB20" s="12" t="s">
        <v>90</v>
      </c>
    </row>
    <row r="21" customFormat="false" ht="15" hidden="false" customHeight="false" outlineLevel="0" collapsed="false">
      <c r="A21" s="9" t="s">
        <v>202</v>
      </c>
      <c r="B21" s="9" t="s">
        <v>203</v>
      </c>
      <c r="C21" s="9" t="s">
        <v>74</v>
      </c>
      <c r="D21" s="11" t="s">
        <v>144</v>
      </c>
      <c r="E21" s="10" t="n">
        <v>9</v>
      </c>
      <c r="F21" s="9"/>
      <c r="G21" s="9"/>
      <c r="H21" s="9" t="s">
        <v>76</v>
      </c>
      <c r="I21" s="9" t="s">
        <v>204</v>
      </c>
      <c r="J21" s="9"/>
      <c r="K21" s="11" t="s">
        <v>146</v>
      </c>
      <c r="L21" s="9" t="s">
        <v>205</v>
      </c>
      <c r="M21" s="9" t="s">
        <v>206</v>
      </c>
      <c r="N21" s="9" t="s">
        <v>207</v>
      </c>
      <c r="O21" s="9" t="s">
        <v>82</v>
      </c>
      <c r="P21" s="9" t="s">
        <v>83</v>
      </c>
      <c r="Q21" s="9" t="s">
        <v>208</v>
      </c>
      <c r="R21" s="9" t="s">
        <v>151</v>
      </c>
      <c r="S21" s="11" t="s">
        <v>86</v>
      </c>
      <c r="T21" s="9" t="s">
        <v>208</v>
      </c>
      <c r="U21" s="11" t="s">
        <v>152</v>
      </c>
      <c r="V21" s="11" t="s">
        <v>88</v>
      </c>
      <c r="W21" s="11" t="s">
        <v>209</v>
      </c>
      <c r="X21" s="9" t="n">
        <f aca="false">IF(AND(COUNT($E21:$G21)=0,LEFT($H21,2)&lt;&gt;"定性",LEFT($H21,2)&lt;&gt;"文字",LEFT($H21,2)&lt;&gt;"日期"),1,0)</f>
        <v>0</v>
      </c>
      <c r="Y21" s="9" t="n">
        <f aca="false">IF(OR($L21="",$M21=""),1,0)</f>
        <v>0</v>
      </c>
      <c r="Z21" s="9" t="n">
        <f aca="false">IF(AND(ISNUMBER($E21),ISNUMBER($F21)),IF($F21&gt;$E21,1,0),0)+IF(AND(ISNUMBER($E21),ISNUMBER($G21)),IF($E21&gt;$G21,1,0),0)+IF(AND(ISNUMBER($F21),ISNUMBER($G21)),IF($F21&gt;$G21,1,0),0)</f>
        <v>0</v>
      </c>
      <c r="AA21" s="9" t="n">
        <f aca="false">IF(AND($P21="Derived",$V21="觀測"),1,0)</f>
        <v>0</v>
      </c>
      <c r="AB21" s="12" t="s">
        <v>90</v>
      </c>
    </row>
    <row r="22" customFormat="false" ht="15" hidden="false" customHeight="false" outlineLevel="0" collapsed="false">
      <c r="A22" s="9" t="s">
        <v>210</v>
      </c>
      <c r="B22" s="9" t="s">
        <v>211</v>
      </c>
      <c r="C22" s="9" t="s">
        <v>74</v>
      </c>
      <c r="D22" s="11" t="s">
        <v>144</v>
      </c>
      <c r="E22" s="10" t="n">
        <v>9</v>
      </c>
      <c r="F22" s="9"/>
      <c r="G22" s="9"/>
      <c r="H22" s="9" t="s">
        <v>76</v>
      </c>
      <c r="I22" s="9" t="s">
        <v>204</v>
      </c>
      <c r="J22" s="9"/>
      <c r="K22" s="11" t="s">
        <v>146</v>
      </c>
      <c r="L22" s="9" t="s">
        <v>186</v>
      </c>
      <c r="M22" s="9" t="s">
        <v>187</v>
      </c>
      <c r="N22" s="9" t="s">
        <v>188</v>
      </c>
      <c r="O22" s="9" t="s">
        <v>82</v>
      </c>
      <c r="P22" s="9" t="s">
        <v>83</v>
      </c>
      <c r="Q22" s="9" t="s">
        <v>159</v>
      </c>
      <c r="R22" s="9" t="s">
        <v>85</v>
      </c>
      <c r="S22" s="11" t="s">
        <v>86</v>
      </c>
      <c r="T22" s="9" t="s">
        <v>159</v>
      </c>
      <c r="U22" s="11" t="s">
        <v>87</v>
      </c>
      <c r="V22" s="11" t="s">
        <v>88</v>
      </c>
      <c r="W22" s="11" t="s">
        <v>212</v>
      </c>
      <c r="X22" s="9" t="n">
        <f aca="false">IF(AND(COUNT($E22:$G22)=0,LEFT($H22,2)&lt;&gt;"定性",LEFT($H22,2)&lt;&gt;"文字",LEFT($H22,2)&lt;&gt;"日期"),1,0)</f>
        <v>0</v>
      </c>
      <c r="Y22" s="9" t="n">
        <f aca="false">IF(OR($L22="",$M22=""),1,0)</f>
        <v>0</v>
      </c>
      <c r="Z22" s="9" t="n">
        <f aca="false">IF(AND(ISNUMBER($E22),ISNUMBER($F22)),IF($F22&gt;$E22,1,0),0)+IF(AND(ISNUMBER($E22),ISNUMBER($G22)),IF($E22&gt;$G22,1,0),0)+IF(AND(ISNUMBER($F22),ISNUMBER($G22)),IF($F22&gt;$G22,1,0),0)</f>
        <v>0</v>
      </c>
      <c r="AA22" s="9" t="n">
        <f aca="false">IF(AND($P22="Derived",$V22="觀測"),1,0)</f>
        <v>0</v>
      </c>
      <c r="AB22" s="12" t="s">
        <v>90</v>
      </c>
    </row>
    <row r="23" customFormat="false" ht="15" hidden="false" customHeight="false" outlineLevel="0" collapsed="false">
      <c r="A23" s="9" t="s">
        <v>213</v>
      </c>
      <c r="B23" s="9" t="s">
        <v>214</v>
      </c>
      <c r="C23" s="9" t="s">
        <v>74</v>
      </c>
      <c r="D23" s="11" t="s">
        <v>144</v>
      </c>
      <c r="E23" s="10" t="n">
        <v>14</v>
      </c>
      <c r="F23" s="9"/>
      <c r="G23" s="9"/>
      <c r="H23" s="9" t="s">
        <v>76</v>
      </c>
      <c r="I23" s="9" t="s">
        <v>215</v>
      </c>
      <c r="J23" s="9"/>
      <c r="K23" s="11" t="s">
        <v>146</v>
      </c>
      <c r="L23" s="9" t="s">
        <v>216</v>
      </c>
      <c r="M23" s="9" t="s">
        <v>217</v>
      </c>
      <c r="N23" s="9" t="s">
        <v>218</v>
      </c>
      <c r="O23" s="9" t="s">
        <v>82</v>
      </c>
      <c r="P23" s="9" t="s">
        <v>83</v>
      </c>
      <c r="Q23" s="9" t="s">
        <v>150</v>
      </c>
      <c r="R23" s="9" t="s">
        <v>151</v>
      </c>
      <c r="S23" s="11" t="s">
        <v>86</v>
      </c>
      <c r="T23" s="9" t="s">
        <v>150</v>
      </c>
      <c r="U23" s="11" t="s">
        <v>152</v>
      </c>
      <c r="V23" s="11" t="s">
        <v>88</v>
      </c>
      <c r="W23" s="11" t="s">
        <v>219</v>
      </c>
      <c r="X23" s="9" t="n">
        <f aca="false">IF(AND(COUNT($E23:$G23)=0,LEFT($H23,2)&lt;&gt;"定性",LEFT($H23,2)&lt;&gt;"文字",LEFT($H23,2)&lt;&gt;"日期"),1,0)</f>
        <v>0</v>
      </c>
      <c r="Y23" s="9" t="n">
        <f aca="false">IF(OR($L23="",$M23=""),1,0)</f>
        <v>0</v>
      </c>
      <c r="Z23" s="9" t="n">
        <f aca="false">IF(AND(ISNUMBER($E23),ISNUMBER($F23)),IF($F23&gt;$E23,1,0),0)+IF(AND(ISNUMBER($E23),ISNUMBER($G23)),IF($E23&gt;$G23,1,0),0)+IF(AND(ISNUMBER($F23),ISNUMBER($G23)),IF($F23&gt;$G23,1,0),0)</f>
        <v>0</v>
      </c>
      <c r="AA23" s="9" t="n">
        <f aca="false">IF(AND($P23="Derived",$V23="觀測"),1,0)</f>
        <v>0</v>
      </c>
      <c r="AB23" s="12" t="s">
        <v>90</v>
      </c>
    </row>
    <row r="24" customFormat="false" ht="15" hidden="false" customHeight="false" outlineLevel="0" collapsed="false">
      <c r="A24" s="9" t="s">
        <v>220</v>
      </c>
      <c r="B24" s="9" t="s">
        <v>221</v>
      </c>
      <c r="C24" s="9" t="s">
        <v>74</v>
      </c>
      <c r="D24" s="11" t="s">
        <v>144</v>
      </c>
      <c r="E24" s="10" t="n">
        <v>19</v>
      </c>
      <c r="F24" s="9"/>
      <c r="G24" s="9"/>
      <c r="H24" s="9" t="s">
        <v>76</v>
      </c>
      <c r="I24" s="9" t="s">
        <v>222</v>
      </c>
      <c r="J24" s="9"/>
      <c r="K24" s="11" t="s">
        <v>146</v>
      </c>
      <c r="L24" s="9" t="s">
        <v>223</v>
      </c>
      <c r="M24" s="9" t="s">
        <v>224</v>
      </c>
      <c r="N24" s="9" t="s">
        <v>225</v>
      </c>
      <c r="O24" s="9" t="s">
        <v>82</v>
      </c>
      <c r="P24" s="9" t="s">
        <v>83</v>
      </c>
      <c r="Q24" s="9" t="s">
        <v>159</v>
      </c>
      <c r="R24" s="9" t="s">
        <v>85</v>
      </c>
      <c r="S24" s="11" t="s">
        <v>86</v>
      </c>
      <c r="T24" s="9" t="s">
        <v>159</v>
      </c>
      <c r="U24" s="11" t="s">
        <v>87</v>
      </c>
      <c r="V24" s="11" t="s">
        <v>88</v>
      </c>
      <c r="W24" s="11" t="s">
        <v>226</v>
      </c>
      <c r="X24" s="9" t="n">
        <f aca="false">IF(AND(COUNT($E24:$G24)=0,LEFT($H24,2)&lt;&gt;"定性",LEFT($H24,2)&lt;&gt;"文字",LEFT($H24,2)&lt;&gt;"日期"),1,0)</f>
        <v>0</v>
      </c>
      <c r="Y24" s="9" t="n">
        <f aca="false">IF(OR($L24="",$M24=""),1,0)</f>
        <v>0</v>
      </c>
      <c r="Z24" s="9" t="n">
        <f aca="false">IF(AND(ISNUMBER($E24),ISNUMBER($F24)),IF($F24&gt;$E24,1,0),0)+IF(AND(ISNUMBER($E24),ISNUMBER($G24)),IF($E24&gt;$G24,1,0),0)+IF(AND(ISNUMBER($F24),ISNUMBER($G24)),IF($F24&gt;$G24,1,0),0)</f>
        <v>0</v>
      </c>
      <c r="AA24" s="9" t="n">
        <f aca="false">IF(AND($P24="Derived",$V24="觀測"),1,0)</f>
        <v>0</v>
      </c>
      <c r="AB24" s="12" t="s">
        <v>90</v>
      </c>
    </row>
    <row r="25" customFormat="false" ht="15" hidden="false" customHeight="false" outlineLevel="0" collapsed="false">
      <c r="A25" s="9" t="s">
        <v>227</v>
      </c>
      <c r="B25" s="9" t="s">
        <v>228</v>
      </c>
      <c r="C25" s="9" t="s">
        <v>74</v>
      </c>
      <c r="D25" s="11" t="s">
        <v>144</v>
      </c>
      <c r="E25" s="10" t="n">
        <v>30</v>
      </c>
      <c r="F25" s="9"/>
      <c r="G25" s="9"/>
      <c r="H25" s="9" t="s">
        <v>76</v>
      </c>
      <c r="I25" s="9" t="s">
        <v>229</v>
      </c>
      <c r="J25" s="9"/>
      <c r="K25" s="11" t="s">
        <v>146</v>
      </c>
      <c r="L25" s="9" t="s">
        <v>205</v>
      </c>
      <c r="M25" s="9" t="s">
        <v>206</v>
      </c>
      <c r="N25" s="9" t="s">
        <v>207</v>
      </c>
      <c r="O25" s="9" t="s">
        <v>82</v>
      </c>
      <c r="P25" s="9" t="s">
        <v>83</v>
      </c>
      <c r="Q25" s="9" t="s">
        <v>208</v>
      </c>
      <c r="R25" s="9" t="s">
        <v>151</v>
      </c>
      <c r="S25" s="11" t="s">
        <v>86</v>
      </c>
      <c r="T25" s="9" t="s">
        <v>208</v>
      </c>
      <c r="U25" s="11" t="s">
        <v>152</v>
      </c>
      <c r="V25" s="11" t="s">
        <v>88</v>
      </c>
      <c r="W25" s="11" t="s">
        <v>230</v>
      </c>
      <c r="X25" s="9" t="n">
        <f aca="false">IF(AND(COUNT($E25:$G25)=0,LEFT($H25,2)&lt;&gt;"定性",LEFT($H25,2)&lt;&gt;"文字",LEFT($H25,2)&lt;&gt;"日期"),1,0)</f>
        <v>0</v>
      </c>
      <c r="Y25" s="9" t="n">
        <f aca="false">IF(OR($L25="",$M25=""),1,0)</f>
        <v>0</v>
      </c>
      <c r="Z25" s="9" t="n">
        <f aca="false">IF(AND(ISNUMBER($E25),ISNUMBER($F25)),IF($F25&gt;$E25,1,0),0)+IF(AND(ISNUMBER($E25),ISNUMBER($G25)),IF($E25&gt;$G25,1,0),0)+IF(AND(ISNUMBER($F25),ISNUMBER($G25)),IF($F25&gt;$G25,1,0),0)</f>
        <v>0</v>
      </c>
      <c r="AA25" s="9" t="n">
        <f aca="false">IF(AND($P25="Derived",$V25="觀測"),1,0)</f>
        <v>0</v>
      </c>
      <c r="AB25" s="12" t="s">
        <v>90</v>
      </c>
    </row>
    <row r="26" customFormat="false" ht="15" hidden="false" customHeight="false" outlineLevel="0" collapsed="false">
      <c r="A26" s="9" t="s">
        <v>231</v>
      </c>
      <c r="B26" s="9" t="s">
        <v>232</v>
      </c>
      <c r="C26" s="9" t="s">
        <v>74</v>
      </c>
      <c r="D26" s="11" t="s">
        <v>144</v>
      </c>
      <c r="E26" s="10" t="n">
        <v>47</v>
      </c>
      <c r="F26" s="9"/>
      <c r="G26" s="9"/>
      <c r="H26" s="9" t="s">
        <v>76</v>
      </c>
      <c r="I26" s="9" t="s">
        <v>233</v>
      </c>
      <c r="J26" s="9"/>
      <c r="K26" s="11" t="s">
        <v>146</v>
      </c>
      <c r="L26" s="9" t="s">
        <v>234</v>
      </c>
      <c r="M26" s="9" t="s">
        <v>235</v>
      </c>
      <c r="N26" s="9" t="s">
        <v>236</v>
      </c>
      <c r="O26" s="9" t="s">
        <v>82</v>
      </c>
      <c r="P26" s="9" t="s">
        <v>83</v>
      </c>
      <c r="Q26" s="9" t="s">
        <v>150</v>
      </c>
      <c r="R26" s="9" t="s">
        <v>151</v>
      </c>
      <c r="S26" s="11" t="s">
        <v>86</v>
      </c>
      <c r="T26" s="9" t="s">
        <v>150</v>
      </c>
      <c r="U26" s="11" t="s">
        <v>152</v>
      </c>
      <c r="V26" s="11" t="s">
        <v>88</v>
      </c>
      <c r="W26" s="11" t="s">
        <v>237</v>
      </c>
      <c r="X26" s="9" t="n">
        <f aca="false">IF(AND(COUNT($E26:$G26)=0,LEFT($H26,2)&lt;&gt;"定性",LEFT($H26,2)&lt;&gt;"文字",LEFT($H26,2)&lt;&gt;"日期"),1,0)</f>
        <v>0</v>
      </c>
      <c r="Y26" s="9" t="n">
        <f aca="false">IF(OR($L26="",$M26=""),1,0)</f>
        <v>0</v>
      </c>
      <c r="Z26" s="9" t="n">
        <f aca="false">IF(AND(ISNUMBER($E26),ISNUMBER($F26)),IF($F26&gt;$E26,1,0),0)+IF(AND(ISNUMBER($E26),ISNUMBER($G26)),IF($E26&gt;$G26,1,0),0)+IF(AND(ISNUMBER($F26),ISNUMBER($G26)),IF($F26&gt;$G26,1,0),0)</f>
        <v>0</v>
      </c>
      <c r="AA26" s="9" t="n">
        <f aca="false">IF(AND($P26="Derived",$V26="觀測"),1,0)</f>
        <v>0</v>
      </c>
      <c r="AB26" s="12" t="s">
        <v>90</v>
      </c>
    </row>
    <row r="27" customFormat="false" ht="15" hidden="false" customHeight="false" outlineLevel="0" collapsed="false">
      <c r="A27" s="9" t="s">
        <v>238</v>
      </c>
      <c r="B27" s="9" t="s">
        <v>239</v>
      </c>
      <c r="C27" s="9" t="s">
        <v>74</v>
      </c>
      <c r="D27" s="11" t="s">
        <v>144</v>
      </c>
      <c r="E27" s="10" t="n">
        <v>65</v>
      </c>
      <c r="F27" s="9"/>
      <c r="G27" s="9"/>
      <c r="H27" s="9" t="s">
        <v>76</v>
      </c>
      <c r="I27" s="9" t="s">
        <v>240</v>
      </c>
      <c r="J27" s="9"/>
      <c r="K27" s="11" t="s">
        <v>146</v>
      </c>
      <c r="L27" s="9" t="s">
        <v>241</v>
      </c>
      <c r="M27" s="9" t="s">
        <v>242</v>
      </c>
      <c r="N27" s="9" t="s">
        <v>115</v>
      </c>
      <c r="O27" s="9" t="s">
        <v>82</v>
      </c>
      <c r="P27" s="9" t="s">
        <v>83</v>
      </c>
      <c r="Q27" s="9" t="s">
        <v>243</v>
      </c>
      <c r="R27" s="9" t="s">
        <v>85</v>
      </c>
      <c r="S27" s="11" t="s">
        <v>86</v>
      </c>
      <c r="T27" s="9" t="s">
        <v>243</v>
      </c>
      <c r="U27" s="11" t="s">
        <v>87</v>
      </c>
      <c r="V27" s="11" t="s">
        <v>88</v>
      </c>
      <c r="W27" s="11" t="s">
        <v>244</v>
      </c>
      <c r="X27" s="9" t="n">
        <f aca="false">IF(AND(COUNT($E27:$G27)=0,LEFT($H27,2)&lt;&gt;"定性",LEFT($H27,2)&lt;&gt;"文字",LEFT($H27,2)&lt;&gt;"日期"),1,0)</f>
        <v>0</v>
      </c>
      <c r="Y27" s="9" t="n">
        <f aca="false">IF(OR($L27="",$M27=""),1,0)</f>
        <v>0</v>
      </c>
      <c r="Z27" s="9" t="n">
        <f aca="false">IF(AND(ISNUMBER($E27),ISNUMBER($F27)),IF($F27&gt;$E27,1,0),0)+IF(AND(ISNUMBER($E27),ISNUMBER($G27)),IF($E27&gt;$G27,1,0),0)+IF(AND(ISNUMBER($F27),ISNUMBER($G27)),IF($F27&gt;$G27,1,0),0)</f>
        <v>0</v>
      </c>
      <c r="AA27" s="9" t="n">
        <f aca="false">IF(AND($P27="Derived",$V27="觀測"),1,0)</f>
        <v>0</v>
      </c>
      <c r="AB27" s="12" t="s">
        <v>90</v>
      </c>
    </row>
    <row r="28" customFormat="false" ht="15" hidden="false" customHeight="false" outlineLevel="0" collapsed="false">
      <c r="A28" s="9" t="s">
        <v>245</v>
      </c>
      <c r="B28" s="9" t="s">
        <v>246</v>
      </c>
      <c r="C28" s="9" t="s">
        <v>74</v>
      </c>
      <c r="D28" s="11" t="s">
        <v>144</v>
      </c>
      <c r="E28" s="10" t="n">
        <v>65</v>
      </c>
      <c r="F28" s="9"/>
      <c r="G28" s="9"/>
      <c r="H28" s="9" t="s">
        <v>76</v>
      </c>
      <c r="I28" s="9" t="s">
        <v>247</v>
      </c>
      <c r="J28" s="9"/>
      <c r="K28" s="11" t="s">
        <v>146</v>
      </c>
      <c r="L28" s="9" t="s">
        <v>248</v>
      </c>
      <c r="M28" s="9" t="s">
        <v>249</v>
      </c>
      <c r="N28" s="9" t="s">
        <v>250</v>
      </c>
      <c r="O28" s="9" t="s">
        <v>82</v>
      </c>
      <c r="P28" s="9" t="s">
        <v>83</v>
      </c>
      <c r="Q28" s="9" t="s">
        <v>251</v>
      </c>
      <c r="R28" s="9" t="s">
        <v>85</v>
      </c>
      <c r="S28" s="11" t="s">
        <v>86</v>
      </c>
      <c r="T28" s="9" t="s">
        <v>251</v>
      </c>
      <c r="U28" s="11" t="s">
        <v>87</v>
      </c>
      <c r="V28" s="11" t="s">
        <v>88</v>
      </c>
      <c r="W28" s="11" t="s">
        <v>252</v>
      </c>
      <c r="X28" s="9" t="n">
        <f aca="false">IF(AND(COUNT($E28:$G28)=0,LEFT($H28,2)&lt;&gt;"定性",LEFT($H28,2)&lt;&gt;"文字",LEFT($H28,2)&lt;&gt;"日期"),1,0)</f>
        <v>0</v>
      </c>
      <c r="Y28" s="9" t="n">
        <f aca="false">IF(OR($L28="",$M28=""),1,0)</f>
        <v>0</v>
      </c>
      <c r="Z28" s="9" t="n">
        <f aca="false">IF(AND(ISNUMBER($E28),ISNUMBER($F28)),IF($F28&gt;$E28,1,0),0)+IF(AND(ISNUMBER($E28),ISNUMBER($G28)),IF($E28&gt;$G28,1,0),0)+IF(AND(ISNUMBER($F28),ISNUMBER($G28)),IF($F28&gt;$G28,1,0),0)</f>
        <v>0</v>
      </c>
      <c r="AA28" s="9" t="n">
        <f aca="false">IF(AND($P28="Derived",$V28="觀測"),1,0)</f>
        <v>0</v>
      </c>
      <c r="AB28" s="12" t="s">
        <v>90</v>
      </c>
    </row>
    <row r="29" customFormat="false" ht="15" hidden="false" customHeight="false" outlineLevel="0" collapsed="false">
      <c r="A29" s="9" t="s">
        <v>253</v>
      </c>
      <c r="B29" s="9" t="s">
        <v>254</v>
      </c>
      <c r="C29" s="9" t="s">
        <v>74</v>
      </c>
      <c r="D29" s="9" t="s">
        <v>255</v>
      </c>
      <c r="E29" s="10" t="n">
        <v>0.789</v>
      </c>
      <c r="F29" s="9"/>
      <c r="G29" s="9"/>
      <c r="H29" s="9" t="s">
        <v>76</v>
      </c>
      <c r="I29" s="9" t="s">
        <v>77</v>
      </c>
      <c r="J29" s="9"/>
      <c r="K29" s="11" t="s">
        <v>78</v>
      </c>
      <c r="L29" s="9" t="s">
        <v>256</v>
      </c>
      <c r="M29" s="9" t="s">
        <v>257</v>
      </c>
      <c r="N29" s="9" t="s">
        <v>258</v>
      </c>
      <c r="O29" s="9" t="s">
        <v>82</v>
      </c>
      <c r="P29" s="9" t="s">
        <v>83</v>
      </c>
      <c r="Q29" s="9" t="s">
        <v>259</v>
      </c>
      <c r="R29" s="9" t="s">
        <v>85</v>
      </c>
      <c r="S29" s="11" t="s">
        <v>86</v>
      </c>
      <c r="T29" s="9" t="s">
        <v>259</v>
      </c>
      <c r="U29" s="11" t="s">
        <v>87</v>
      </c>
      <c r="V29" s="11" t="s">
        <v>88</v>
      </c>
      <c r="W29" s="11" t="s">
        <v>260</v>
      </c>
      <c r="X29" s="9" t="n">
        <f aca="false">IF(AND(COUNT($E29:$G29)=0,LEFT($H29,2)&lt;&gt;"定性",LEFT($H29,2)&lt;&gt;"文字",LEFT($H29,2)&lt;&gt;"日期"),1,0)</f>
        <v>0</v>
      </c>
      <c r="Y29" s="9" t="n">
        <f aca="false">IF(OR($L29="",$M29=""),1,0)</f>
        <v>0</v>
      </c>
      <c r="Z29" s="9" t="n">
        <f aca="false">IF(AND(ISNUMBER($E29),ISNUMBER($F29)),IF($F29&gt;$E29,1,0),0)+IF(AND(ISNUMBER($E29),ISNUMBER($G29)),IF($E29&gt;$G29,1,0),0)+IF(AND(ISNUMBER($F29),ISNUMBER($G29)),IF($F29&gt;$G29,1,0),0)</f>
        <v>0</v>
      </c>
      <c r="AA29" s="9" t="n">
        <f aca="false">IF(AND($P29="Derived",$V29="觀測"),1,0)</f>
        <v>0</v>
      </c>
      <c r="AB29" s="12" t="s">
        <v>90</v>
      </c>
    </row>
    <row r="30" customFormat="false" ht="15" hidden="false" customHeight="false" outlineLevel="0" collapsed="false">
      <c r="A30" s="9" t="s">
        <v>261</v>
      </c>
      <c r="B30" s="9" t="s">
        <v>262</v>
      </c>
      <c r="C30" s="9" t="s">
        <v>74</v>
      </c>
      <c r="D30" s="9" t="s">
        <v>263</v>
      </c>
      <c r="E30" s="10" t="n">
        <v>3.8</v>
      </c>
      <c r="F30" s="9"/>
      <c r="G30" s="9"/>
      <c r="H30" s="9" t="s">
        <v>76</v>
      </c>
      <c r="I30" s="9" t="s">
        <v>77</v>
      </c>
      <c r="J30" s="9"/>
      <c r="K30" s="11" t="s">
        <v>78</v>
      </c>
      <c r="L30" s="9" t="s">
        <v>264</v>
      </c>
      <c r="M30" s="9" t="s">
        <v>257</v>
      </c>
      <c r="N30" s="9" t="s">
        <v>258</v>
      </c>
      <c r="O30" s="9" t="s">
        <v>82</v>
      </c>
      <c r="P30" s="9" t="s">
        <v>83</v>
      </c>
      <c r="Q30" s="9" t="s">
        <v>259</v>
      </c>
      <c r="R30" s="9" t="s">
        <v>85</v>
      </c>
      <c r="S30" s="11" t="s">
        <v>86</v>
      </c>
      <c r="T30" s="9" t="s">
        <v>259</v>
      </c>
      <c r="U30" s="11" t="s">
        <v>87</v>
      </c>
      <c r="V30" s="11" t="s">
        <v>88</v>
      </c>
      <c r="W30" s="11" t="s">
        <v>265</v>
      </c>
      <c r="X30" s="9" t="n">
        <f aca="false">IF(AND(COUNT($E30:$G30)=0,LEFT($H30,2)&lt;&gt;"定性",LEFT($H30,2)&lt;&gt;"文字",LEFT($H30,2)&lt;&gt;"日期"),1,0)</f>
        <v>0</v>
      </c>
      <c r="Y30" s="9" t="n">
        <f aca="false">IF(OR($L30="",$M30=""),1,0)</f>
        <v>0</v>
      </c>
      <c r="Z30" s="9" t="n">
        <f aca="false">IF(AND(ISNUMBER($E30),ISNUMBER($F30)),IF($F30&gt;$E30,1,0),0)+IF(AND(ISNUMBER($E30),ISNUMBER($G30)),IF($E30&gt;$G30,1,0),0)+IF(AND(ISNUMBER($F30),ISNUMBER($G30)),IF($F30&gt;$G30,1,0),0)</f>
        <v>0</v>
      </c>
      <c r="AA30" s="9" t="n">
        <f aca="false">IF(AND($P30="Derived",$V30="觀測"),1,0)</f>
        <v>0</v>
      </c>
      <c r="AB30" s="12" t="s">
        <v>90</v>
      </c>
    </row>
    <row r="31" customFormat="false" ht="15" hidden="false" customHeight="false" outlineLevel="0" collapsed="false">
      <c r="A31" s="9" t="s">
        <v>266</v>
      </c>
      <c r="B31" s="9" t="s">
        <v>267</v>
      </c>
      <c r="C31" s="9" t="s">
        <v>74</v>
      </c>
      <c r="D31" s="11" t="s">
        <v>268</v>
      </c>
      <c r="E31" s="10" t="n">
        <v>0.47</v>
      </c>
      <c r="F31" s="9"/>
      <c r="G31" s="9"/>
      <c r="H31" s="11" t="s">
        <v>269</v>
      </c>
      <c r="I31" s="9" t="s">
        <v>77</v>
      </c>
      <c r="J31" s="9"/>
      <c r="K31" s="11" t="s">
        <v>78</v>
      </c>
      <c r="L31" s="9" t="s">
        <v>264</v>
      </c>
      <c r="M31" s="9" t="s">
        <v>257</v>
      </c>
      <c r="N31" s="9" t="s">
        <v>258</v>
      </c>
      <c r="O31" s="9" t="s">
        <v>82</v>
      </c>
      <c r="P31" s="9" t="s">
        <v>83</v>
      </c>
      <c r="Q31" s="9" t="s">
        <v>259</v>
      </c>
      <c r="R31" s="9" t="s">
        <v>85</v>
      </c>
      <c r="S31" s="11" t="s">
        <v>86</v>
      </c>
      <c r="T31" s="9" t="s">
        <v>259</v>
      </c>
      <c r="U31" s="11" t="s">
        <v>87</v>
      </c>
      <c r="V31" s="11" t="s">
        <v>88</v>
      </c>
      <c r="W31" s="11" t="s">
        <v>270</v>
      </c>
      <c r="X31" s="9" t="n">
        <f aca="false">IF(AND(COUNT($E31:$G31)=0,LEFT($H31,2)&lt;&gt;"定性",LEFT($H31,2)&lt;&gt;"文字",LEFT($H31,2)&lt;&gt;"日期"),1,0)</f>
        <v>0</v>
      </c>
      <c r="Y31" s="9" t="n">
        <f aca="false">IF(OR($L31="",$M31=""),1,0)</f>
        <v>0</v>
      </c>
      <c r="Z31" s="9" t="n">
        <f aca="false">IF(AND(ISNUMBER($E31),ISNUMBER($F31)),IF($F31&gt;$E31,1,0),0)+IF(AND(ISNUMBER($E31),ISNUMBER($G31)),IF($E31&gt;$G31,1,0),0)+IF(AND(ISNUMBER($F31),ISNUMBER($G31)),IF($F31&gt;$G31,1,0),0)</f>
        <v>0</v>
      </c>
      <c r="AA31" s="9" t="n">
        <f aca="false">IF(AND($P31="Derived",$V31="觀測"),1,0)</f>
        <v>0</v>
      </c>
      <c r="AB31" s="12" t="s">
        <v>90</v>
      </c>
    </row>
    <row r="32" customFormat="false" ht="15" hidden="false" customHeight="false" outlineLevel="0" collapsed="false">
      <c r="A32" s="9" t="s">
        <v>271</v>
      </c>
      <c r="B32" s="9" t="s">
        <v>272</v>
      </c>
      <c r="C32" s="9" t="s">
        <v>74</v>
      </c>
      <c r="D32" s="11" t="s">
        <v>268</v>
      </c>
      <c r="E32" s="10" t="n">
        <v>0.32</v>
      </c>
      <c r="F32" s="9"/>
      <c r="G32" s="9"/>
      <c r="H32" s="11" t="s">
        <v>269</v>
      </c>
      <c r="I32" s="9" t="s">
        <v>100</v>
      </c>
      <c r="J32" s="9"/>
      <c r="K32" s="11" t="s">
        <v>78</v>
      </c>
      <c r="L32" s="9" t="s">
        <v>264</v>
      </c>
      <c r="M32" s="9" t="s">
        <v>257</v>
      </c>
      <c r="N32" s="9" t="s">
        <v>258</v>
      </c>
      <c r="O32" s="9" t="s">
        <v>82</v>
      </c>
      <c r="P32" s="9" t="s">
        <v>83</v>
      </c>
      <c r="Q32" s="9" t="s">
        <v>259</v>
      </c>
      <c r="R32" s="9" t="s">
        <v>85</v>
      </c>
      <c r="S32" s="11" t="s">
        <v>86</v>
      </c>
      <c r="T32" s="9" t="s">
        <v>259</v>
      </c>
      <c r="U32" s="11" t="s">
        <v>87</v>
      </c>
      <c r="V32" s="11" t="s">
        <v>88</v>
      </c>
      <c r="W32" s="11" t="s">
        <v>273</v>
      </c>
      <c r="X32" s="9" t="n">
        <f aca="false">IF(AND(COUNT($E32:$G32)=0,LEFT($H32,2)&lt;&gt;"定性",LEFT($H32,2)&lt;&gt;"文字",LEFT($H32,2)&lt;&gt;"日期"),1,0)</f>
        <v>0</v>
      </c>
      <c r="Y32" s="9" t="n">
        <f aca="false">IF(OR($L32="",$M32=""),1,0)</f>
        <v>0</v>
      </c>
      <c r="Z32" s="9" t="n">
        <f aca="false">IF(AND(ISNUMBER($E32),ISNUMBER($F32)),IF($F32&gt;$E32,1,0),0)+IF(AND(ISNUMBER($E32),ISNUMBER($G32)),IF($E32&gt;$G32,1,0),0)+IF(AND(ISNUMBER($F32),ISNUMBER($G32)),IF($F32&gt;$G32,1,0),0)</f>
        <v>0</v>
      </c>
      <c r="AA32" s="9" t="n">
        <f aca="false">IF(AND($P32="Derived",$V32="觀測"),1,0)</f>
        <v>0</v>
      </c>
      <c r="AB32" s="12" t="s">
        <v>90</v>
      </c>
    </row>
    <row r="33" customFormat="false" ht="15" hidden="false" customHeight="false" outlineLevel="0" collapsed="false">
      <c r="A33" s="9" t="s">
        <v>274</v>
      </c>
      <c r="B33" s="9" t="s">
        <v>275</v>
      </c>
      <c r="C33" s="9" t="s">
        <v>74</v>
      </c>
      <c r="D33" s="11" t="s">
        <v>268</v>
      </c>
      <c r="E33" s="10" t="n">
        <v>0.11</v>
      </c>
      <c r="F33" s="9"/>
      <c r="G33" s="9"/>
      <c r="H33" s="11" t="s">
        <v>269</v>
      </c>
      <c r="I33" s="9" t="s">
        <v>276</v>
      </c>
      <c r="J33" s="9"/>
      <c r="K33" s="11" t="s">
        <v>78</v>
      </c>
      <c r="L33" s="9" t="s">
        <v>264</v>
      </c>
      <c r="M33" s="9" t="s">
        <v>257</v>
      </c>
      <c r="N33" s="9" t="s">
        <v>258</v>
      </c>
      <c r="O33" s="9" t="s">
        <v>82</v>
      </c>
      <c r="P33" s="9" t="s">
        <v>83</v>
      </c>
      <c r="Q33" s="9" t="s">
        <v>259</v>
      </c>
      <c r="R33" s="9" t="s">
        <v>85</v>
      </c>
      <c r="S33" s="11" t="s">
        <v>86</v>
      </c>
      <c r="T33" s="9" t="s">
        <v>259</v>
      </c>
      <c r="U33" s="11" t="s">
        <v>87</v>
      </c>
      <c r="V33" s="11" t="s">
        <v>88</v>
      </c>
      <c r="W33" s="11" t="s">
        <v>277</v>
      </c>
      <c r="X33" s="9" t="n">
        <f aca="false">IF(AND(COUNT($E33:$G33)=0,LEFT($H33,2)&lt;&gt;"定性",LEFT($H33,2)&lt;&gt;"文字",LEFT($H33,2)&lt;&gt;"日期"),1,0)</f>
        <v>0</v>
      </c>
      <c r="Y33" s="9" t="n">
        <f aca="false">IF(OR($L33="",$M33=""),1,0)</f>
        <v>0</v>
      </c>
      <c r="Z33" s="9" t="n">
        <f aca="false">IF(AND(ISNUMBER($E33),ISNUMBER($F33)),IF($F33&gt;$E33,1,0),0)+IF(AND(ISNUMBER($E33),ISNUMBER($G33)),IF($E33&gt;$G33,1,0),0)+IF(AND(ISNUMBER($F33),ISNUMBER($G33)),IF($F33&gt;$G33,1,0),0)</f>
        <v>0</v>
      </c>
      <c r="AA33" s="9" t="n">
        <f aca="false">IF(AND($P33="Derived",$V33="觀測"),1,0)</f>
        <v>0</v>
      </c>
      <c r="AB33" s="12" t="s">
        <v>90</v>
      </c>
    </row>
    <row r="34" customFormat="false" ht="15" hidden="false" customHeight="false" outlineLevel="0" collapsed="false">
      <c r="A34" s="9" t="s">
        <v>278</v>
      </c>
      <c r="B34" s="9" t="s">
        <v>279</v>
      </c>
      <c r="C34" s="9" t="s">
        <v>74</v>
      </c>
      <c r="D34" s="11" t="s">
        <v>280</v>
      </c>
      <c r="E34" s="9"/>
      <c r="F34" s="9"/>
      <c r="G34" s="9"/>
      <c r="H34" s="11" t="s">
        <v>281</v>
      </c>
      <c r="I34" s="9" t="s">
        <v>77</v>
      </c>
      <c r="J34" s="9"/>
      <c r="K34" s="11" t="s">
        <v>78</v>
      </c>
      <c r="L34" s="9" t="s">
        <v>264</v>
      </c>
      <c r="M34" s="9" t="s">
        <v>257</v>
      </c>
      <c r="N34" s="9" t="s">
        <v>258</v>
      </c>
      <c r="O34" s="9" t="s">
        <v>82</v>
      </c>
      <c r="P34" s="9" t="s">
        <v>83</v>
      </c>
      <c r="Q34" s="9" t="s">
        <v>259</v>
      </c>
      <c r="R34" s="9" t="s">
        <v>85</v>
      </c>
      <c r="S34" s="11" t="s">
        <v>86</v>
      </c>
      <c r="T34" s="9" t="s">
        <v>259</v>
      </c>
      <c r="U34" s="11" t="s">
        <v>87</v>
      </c>
      <c r="V34" s="11" t="s">
        <v>88</v>
      </c>
      <c r="W34" s="11" t="s">
        <v>282</v>
      </c>
      <c r="X34" s="9" t="n">
        <f aca="false">IF(AND(COUNT($E34:$G34)=0,LEFT($H34,2)&lt;&gt;"定性",LEFT($H34,2)&lt;&gt;"文字",LEFT($H34,2)&lt;&gt;"日期"),1,0)</f>
        <v>0</v>
      </c>
      <c r="Y34" s="9" t="n">
        <f aca="false">IF(OR($L34="",$M34=""),1,0)</f>
        <v>0</v>
      </c>
      <c r="Z34" s="9" t="n">
        <f aca="false">IF(AND(ISNUMBER($E34),ISNUMBER($F34)),IF($F34&gt;$E34,1,0),0)+IF(AND(ISNUMBER($E34),ISNUMBER($G34)),IF($E34&gt;$G34,1,0),0)+IF(AND(ISNUMBER($F34),ISNUMBER($G34)),IF($F34&gt;$G34,1,0),0)</f>
        <v>0</v>
      </c>
      <c r="AA34" s="9" t="n">
        <f aca="false">IF(AND($P34="Derived",$V34="觀測"),1,0)</f>
        <v>0</v>
      </c>
      <c r="AB34" s="12" t="s">
        <v>90</v>
      </c>
    </row>
    <row r="35" customFormat="false" ht="15" hidden="false" customHeight="false" outlineLevel="0" collapsed="false">
      <c r="A35" s="9" t="s">
        <v>283</v>
      </c>
      <c r="B35" s="9" t="s">
        <v>284</v>
      </c>
      <c r="C35" s="9" t="s">
        <v>74</v>
      </c>
      <c r="D35" s="9" t="s">
        <v>285</v>
      </c>
      <c r="E35" s="10" t="n">
        <v>0.351</v>
      </c>
      <c r="F35" s="9"/>
      <c r="G35" s="9"/>
      <c r="H35" s="9" t="s">
        <v>76</v>
      </c>
      <c r="I35" s="9" t="s">
        <v>77</v>
      </c>
      <c r="J35" s="9"/>
      <c r="K35" s="11" t="s">
        <v>78</v>
      </c>
      <c r="L35" s="9" t="s">
        <v>286</v>
      </c>
      <c r="M35" s="9" t="s">
        <v>257</v>
      </c>
      <c r="N35" s="9" t="s">
        <v>258</v>
      </c>
      <c r="O35" s="9" t="s">
        <v>82</v>
      </c>
      <c r="P35" s="9" t="s">
        <v>102</v>
      </c>
      <c r="Q35" s="9"/>
      <c r="R35" s="11" t="s">
        <v>103</v>
      </c>
      <c r="S35" s="11" t="s">
        <v>104</v>
      </c>
      <c r="T35" s="11" t="s">
        <v>105</v>
      </c>
      <c r="U35" s="11" t="s">
        <v>104</v>
      </c>
      <c r="V35" s="9" t="s">
        <v>287</v>
      </c>
      <c r="W35" s="11" t="s">
        <v>288</v>
      </c>
      <c r="X35" s="9" t="n">
        <f aca="false">IF(AND(COUNT($E35:$G35)=0,LEFT($H35,2)&lt;&gt;"定性",LEFT($H35,2)&lt;&gt;"文字",LEFT($H35,2)&lt;&gt;"日期"),1,0)</f>
        <v>0</v>
      </c>
      <c r="Y35" s="9" t="n">
        <f aca="false">IF(OR($L35="",$M35=""),1,0)</f>
        <v>0</v>
      </c>
      <c r="Z35" s="9" t="n">
        <f aca="false">IF(AND(ISNUMBER($E35),ISNUMBER($F35)),IF($F35&gt;$E35,1,0),0)+IF(AND(ISNUMBER($E35),ISNUMBER($G35)),IF($E35&gt;$G35,1,0),0)+IF(AND(ISNUMBER($F35),ISNUMBER($G35)),IF($F35&gt;$G35,1,0),0)</f>
        <v>0</v>
      </c>
      <c r="AA35" s="9" t="n">
        <f aca="false">IF(AND($P35="Derived",$V35="觀測"),1,0)</f>
        <v>0</v>
      </c>
      <c r="AB35" s="12" t="s">
        <v>90</v>
      </c>
    </row>
    <row r="36" customFormat="false" ht="15" hidden="false" customHeight="false" outlineLevel="0" collapsed="false">
      <c r="A36" s="9" t="s">
        <v>289</v>
      </c>
      <c r="B36" s="9" t="s">
        <v>290</v>
      </c>
      <c r="C36" s="9" t="s">
        <v>74</v>
      </c>
      <c r="D36" s="11" t="s">
        <v>291</v>
      </c>
      <c r="E36" s="9" t="n">
        <f aca="false">SRC_ANT_031/(SRC_ANT_002*SRC_ANT_027)</f>
        <v>0.16270337922403</v>
      </c>
      <c r="F36" s="9"/>
      <c r="G36" s="9"/>
      <c r="H36" s="11" t="s">
        <v>269</v>
      </c>
      <c r="I36" s="9" t="s">
        <v>77</v>
      </c>
      <c r="J36" s="9"/>
      <c r="K36" s="11" t="s">
        <v>78</v>
      </c>
      <c r="L36" s="9" t="s">
        <v>286</v>
      </c>
      <c r="M36" s="9" t="s">
        <v>257</v>
      </c>
      <c r="N36" s="9" t="s">
        <v>258</v>
      </c>
      <c r="O36" s="9" t="s">
        <v>82</v>
      </c>
      <c r="P36" s="9" t="s">
        <v>102</v>
      </c>
      <c r="Q36" s="9"/>
      <c r="R36" s="11" t="s">
        <v>103</v>
      </c>
      <c r="S36" s="11" t="s">
        <v>104</v>
      </c>
      <c r="T36" s="11" t="s">
        <v>105</v>
      </c>
      <c r="U36" s="11" t="s">
        <v>104</v>
      </c>
      <c r="V36" s="9" t="s">
        <v>106</v>
      </c>
      <c r="W36" s="11" t="s">
        <v>292</v>
      </c>
      <c r="X36" s="9" t="n">
        <f aca="false">IF(AND(COUNT($E36:$G36)=0,LEFT($H36,2)&lt;&gt;"定性",LEFT($H36,2)&lt;&gt;"文字",LEFT($H36,2)&lt;&gt;"日期"),1,0)</f>
        <v>0</v>
      </c>
      <c r="Y36" s="9" t="n">
        <f aca="false">IF(OR($L36="",$M36=""),1,0)</f>
        <v>0</v>
      </c>
      <c r="Z36" s="9" t="n">
        <f aca="false">IF(AND(ISNUMBER($E36),ISNUMBER($F36)),IF($F36&gt;$E36,1,0),0)+IF(AND(ISNUMBER($E36),ISNUMBER($G36)),IF($E36&gt;$G36,1,0),0)+IF(AND(ISNUMBER($F36),ISNUMBER($G36)),IF($F36&gt;$G36,1,0),0)</f>
        <v>0</v>
      </c>
      <c r="AA36" s="9" t="n">
        <f aca="false">IF(AND($P36="Derived",$V36="觀測"),1,0)</f>
        <v>0</v>
      </c>
      <c r="AB36" s="12" t="s">
        <v>90</v>
      </c>
    </row>
    <row r="37" customFormat="false" ht="15" hidden="false" customHeight="false" outlineLevel="0" collapsed="false">
      <c r="A37" s="9" t="s">
        <v>293</v>
      </c>
      <c r="B37" s="9" t="s">
        <v>294</v>
      </c>
      <c r="C37" s="9" t="s">
        <v>74</v>
      </c>
      <c r="D37" s="9" t="s">
        <v>295</v>
      </c>
      <c r="E37" s="10" t="n">
        <v>1.9</v>
      </c>
      <c r="F37" s="9"/>
      <c r="G37" s="9"/>
      <c r="H37" s="9" t="s">
        <v>76</v>
      </c>
      <c r="I37" s="9" t="s">
        <v>77</v>
      </c>
      <c r="J37" s="9"/>
      <c r="K37" s="11" t="s">
        <v>78</v>
      </c>
      <c r="L37" s="9" t="s">
        <v>296</v>
      </c>
      <c r="M37" s="9" t="s">
        <v>297</v>
      </c>
      <c r="N37" s="9" t="s">
        <v>298</v>
      </c>
      <c r="O37" s="9" t="s">
        <v>82</v>
      </c>
      <c r="P37" s="9" t="s">
        <v>299</v>
      </c>
      <c r="Q37" s="9"/>
      <c r="R37" s="9" t="s">
        <v>85</v>
      </c>
      <c r="S37" s="11" t="s">
        <v>300</v>
      </c>
      <c r="T37" s="11" t="s">
        <v>301</v>
      </c>
      <c r="U37" s="11" t="s">
        <v>87</v>
      </c>
      <c r="V37" s="11" t="s">
        <v>88</v>
      </c>
      <c r="W37" s="11" t="s">
        <v>302</v>
      </c>
      <c r="X37" s="9" t="n">
        <f aca="false">IF(AND(COUNT($E37:$G37)=0,LEFT($H37,2)&lt;&gt;"定性",LEFT($H37,2)&lt;&gt;"文字",LEFT($H37,2)&lt;&gt;"日期"),1,0)</f>
        <v>0</v>
      </c>
      <c r="Y37" s="9" t="n">
        <f aca="false">IF(OR($L37="",$M37=""),1,0)</f>
        <v>0</v>
      </c>
      <c r="Z37" s="9" t="n">
        <f aca="false">IF(AND(ISNUMBER($E37),ISNUMBER($F37)),IF($F37&gt;$E37,1,0),0)+IF(AND(ISNUMBER($E37),ISNUMBER($G37)),IF($E37&gt;$G37,1,0),0)+IF(AND(ISNUMBER($F37),ISNUMBER($G37)),IF($F37&gt;$G37,1,0),0)</f>
        <v>0</v>
      </c>
      <c r="AA37" s="9" t="n">
        <f aca="false">IF(AND($P37="Derived",$V37="觀測"),1,0)</f>
        <v>0</v>
      </c>
      <c r="AB37" s="12" t="s">
        <v>90</v>
      </c>
    </row>
    <row r="38" customFormat="false" ht="15" hidden="false" customHeight="false" outlineLevel="0" collapsed="false">
      <c r="A38" s="9" t="s">
        <v>303</v>
      </c>
      <c r="B38" s="9" t="s">
        <v>304</v>
      </c>
      <c r="C38" s="9" t="s">
        <v>74</v>
      </c>
      <c r="D38" s="9" t="s">
        <v>305</v>
      </c>
      <c r="E38" s="10" t="n">
        <v>6.4</v>
      </c>
      <c r="F38" s="9"/>
      <c r="G38" s="10" t="n">
        <v>6.4</v>
      </c>
      <c r="H38" s="9" t="s">
        <v>76</v>
      </c>
      <c r="I38" s="9" t="s">
        <v>306</v>
      </c>
      <c r="J38" s="9"/>
      <c r="K38" s="11" t="s">
        <v>78</v>
      </c>
      <c r="L38" s="9" t="s">
        <v>307</v>
      </c>
      <c r="M38" s="9" t="s">
        <v>297</v>
      </c>
      <c r="N38" s="9" t="s">
        <v>298</v>
      </c>
      <c r="O38" s="9" t="s">
        <v>82</v>
      </c>
      <c r="P38" s="9" t="s">
        <v>299</v>
      </c>
      <c r="Q38" s="9"/>
      <c r="R38" s="9" t="s">
        <v>85</v>
      </c>
      <c r="S38" s="11" t="s">
        <v>300</v>
      </c>
      <c r="T38" s="11" t="s">
        <v>301</v>
      </c>
      <c r="U38" s="11" t="s">
        <v>87</v>
      </c>
      <c r="V38" s="11" t="s">
        <v>88</v>
      </c>
      <c r="W38" s="11" t="s">
        <v>308</v>
      </c>
      <c r="X38" s="9" t="n">
        <f aca="false">IF(AND(COUNT($E38:$G38)=0,LEFT($H38,2)&lt;&gt;"定性",LEFT($H38,2)&lt;&gt;"文字",LEFT($H38,2)&lt;&gt;"日期"),1,0)</f>
        <v>0</v>
      </c>
      <c r="Y38" s="9" t="n">
        <f aca="false">IF(OR($L38="",$M38=""),1,0)</f>
        <v>0</v>
      </c>
      <c r="Z38" s="9" t="n">
        <f aca="false">IF(AND(ISNUMBER($E38),ISNUMBER($F38)),IF($F38&gt;$E38,1,0),0)+IF(AND(ISNUMBER($E38),ISNUMBER($G38)),IF($E38&gt;$G38,1,0),0)+IF(AND(ISNUMBER($F38),ISNUMBER($G38)),IF($F38&gt;$G38,1,0),0)</f>
        <v>0</v>
      </c>
      <c r="AA38" s="9" t="n">
        <f aca="false">IF(AND($P38="Derived",$V38="觀測"),1,0)</f>
        <v>0</v>
      </c>
      <c r="AB38" s="12" t="s">
        <v>90</v>
      </c>
    </row>
    <row r="39" customFormat="false" ht="15" hidden="false" customHeight="false" outlineLevel="0" collapsed="false">
      <c r="A39" s="9" t="s">
        <v>309</v>
      </c>
      <c r="B39" s="9" t="s">
        <v>310</v>
      </c>
      <c r="C39" s="9" t="s">
        <v>74</v>
      </c>
      <c r="D39" s="9" t="s">
        <v>311</v>
      </c>
      <c r="E39" s="10" t="n">
        <v>22</v>
      </c>
      <c r="F39" s="9"/>
      <c r="G39" s="9"/>
      <c r="H39" s="9" t="s">
        <v>76</v>
      </c>
      <c r="I39" s="9" t="s">
        <v>229</v>
      </c>
      <c r="J39" s="9"/>
      <c r="K39" s="11" t="s">
        <v>312</v>
      </c>
      <c r="L39" s="9" t="s">
        <v>313</v>
      </c>
      <c r="M39" s="9" t="s">
        <v>314</v>
      </c>
      <c r="N39" s="9" t="s">
        <v>315</v>
      </c>
      <c r="O39" s="9" t="s">
        <v>82</v>
      </c>
      <c r="P39" s="9" t="s">
        <v>83</v>
      </c>
      <c r="Q39" s="9" t="s">
        <v>316</v>
      </c>
      <c r="R39" s="9" t="s">
        <v>85</v>
      </c>
      <c r="S39" s="11" t="s">
        <v>86</v>
      </c>
      <c r="T39" s="9" t="s">
        <v>316</v>
      </c>
      <c r="U39" s="11" t="s">
        <v>87</v>
      </c>
      <c r="V39" s="11" t="s">
        <v>88</v>
      </c>
      <c r="W39" s="11" t="s">
        <v>317</v>
      </c>
      <c r="X39" s="9" t="n">
        <f aca="false">IF(AND(COUNT($E39:$G39)=0,LEFT($H39,2)&lt;&gt;"定性",LEFT($H39,2)&lt;&gt;"文字",LEFT($H39,2)&lt;&gt;"日期"),1,0)</f>
        <v>0</v>
      </c>
      <c r="Y39" s="9" t="n">
        <f aca="false">IF(OR($L39="",$M39=""),1,0)</f>
        <v>0</v>
      </c>
      <c r="Z39" s="9" t="n">
        <f aca="false">IF(AND(ISNUMBER($E39),ISNUMBER($F39)),IF($F39&gt;$E39,1,0),0)+IF(AND(ISNUMBER($E39),ISNUMBER($G39)),IF($E39&gt;$G39,1,0),0)+IF(AND(ISNUMBER($F39),ISNUMBER($G39)),IF($F39&gt;$G39,1,0),0)</f>
        <v>0</v>
      </c>
      <c r="AA39" s="9" t="n">
        <f aca="false">IF(AND($P39="Derived",$V39="觀測"),1,0)</f>
        <v>0</v>
      </c>
      <c r="AB39" s="12" t="s">
        <v>90</v>
      </c>
    </row>
    <row r="40" customFormat="false" ht="15" hidden="false" customHeight="false" outlineLevel="0" collapsed="false">
      <c r="A40" s="9" t="s">
        <v>318</v>
      </c>
      <c r="B40" s="9" t="s">
        <v>319</v>
      </c>
      <c r="C40" s="9" t="s">
        <v>74</v>
      </c>
      <c r="D40" s="11" t="s">
        <v>320</v>
      </c>
      <c r="E40" s="10" t="n">
        <v>0.8</v>
      </c>
      <c r="F40" s="9"/>
      <c r="G40" s="9"/>
      <c r="H40" s="11" t="s">
        <v>269</v>
      </c>
      <c r="I40" s="9" t="s">
        <v>196</v>
      </c>
      <c r="J40" s="9"/>
      <c r="K40" s="11" t="s">
        <v>146</v>
      </c>
      <c r="L40" s="9" t="s">
        <v>321</v>
      </c>
      <c r="M40" s="9" t="s">
        <v>198</v>
      </c>
      <c r="N40" s="9" t="s">
        <v>199</v>
      </c>
      <c r="O40" s="9" t="s">
        <v>82</v>
      </c>
      <c r="P40" s="9" t="s">
        <v>83</v>
      </c>
      <c r="Q40" s="9" t="s">
        <v>150</v>
      </c>
      <c r="R40" s="9" t="s">
        <v>85</v>
      </c>
      <c r="S40" s="11" t="s">
        <v>86</v>
      </c>
      <c r="T40" s="9" t="s">
        <v>150</v>
      </c>
      <c r="U40" s="11" t="s">
        <v>87</v>
      </c>
      <c r="V40" s="11" t="s">
        <v>88</v>
      </c>
      <c r="W40" s="11" t="s">
        <v>322</v>
      </c>
      <c r="X40" s="9" t="n">
        <f aca="false">IF(AND(COUNT($E40:$G40)=0,LEFT($H40,2)&lt;&gt;"定性",LEFT($H40,2)&lt;&gt;"文字",LEFT($H40,2)&lt;&gt;"日期"),1,0)</f>
        <v>0</v>
      </c>
      <c r="Y40" s="9" t="n">
        <f aca="false">IF(OR($L40="",$M40=""),1,0)</f>
        <v>0</v>
      </c>
      <c r="Z40" s="9" t="n">
        <f aca="false">IF(AND(ISNUMBER($E40),ISNUMBER($F40)),IF($F40&gt;$E40,1,0),0)+IF(AND(ISNUMBER($E40),ISNUMBER($G40)),IF($E40&gt;$G40,1,0),0)+IF(AND(ISNUMBER($F40),ISNUMBER($G40)),IF($F40&gt;$G40,1,0),0)</f>
        <v>0</v>
      </c>
      <c r="AA40" s="9" t="n">
        <f aca="false">IF(AND($P40="Derived",$V40="觀測"),1,0)</f>
        <v>0</v>
      </c>
      <c r="AB40" s="12" t="s">
        <v>90</v>
      </c>
    </row>
    <row r="41" customFormat="false" ht="15" hidden="false" customHeight="false" outlineLevel="0" collapsed="false">
      <c r="A41" s="9" t="s">
        <v>323</v>
      </c>
      <c r="B41" s="9" t="s">
        <v>324</v>
      </c>
      <c r="C41" s="9" t="s">
        <v>74</v>
      </c>
      <c r="D41" s="11" t="s">
        <v>325</v>
      </c>
      <c r="E41" s="10" t="n">
        <v>0.65</v>
      </c>
      <c r="F41" s="10" t="n">
        <v>0.6</v>
      </c>
      <c r="G41" s="10" t="n">
        <v>0.67</v>
      </c>
      <c r="H41" s="11" t="s">
        <v>269</v>
      </c>
      <c r="I41" s="9" t="s">
        <v>77</v>
      </c>
      <c r="J41" s="9"/>
      <c r="K41" s="11" t="s">
        <v>78</v>
      </c>
      <c r="L41" s="9" t="s">
        <v>264</v>
      </c>
      <c r="M41" s="9" t="s">
        <v>257</v>
      </c>
      <c r="N41" s="9" t="s">
        <v>258</v>
      </c>
      <c r="O41" s="9" t="s">
        <v>82</v>
      </c>
      <c r="P41" s="9" t="s">
        <v>83</v>
      </c>
      <c r="Q41" s="9" t="s">
        <v>326</v>
      </c>
      <c r="R41" s="9" t="s">
        <v>85</v>
      </c>
      <c r="S41" s="11" t="s">
        <v>86</v>
      </c>
      <c r="T41" s="9" t="s">
        <v>326</v>
      </c>
      <c r="U41" s="11" t="s">
        <v>87</v>
      </c>
      <c r="V41" s="11" t="s">
        <v>88</v>
      </c>
      <c r="W41" s="11" t="s">
        <v>327</v>
      </c>
      <c r="X41" s="9" t="n">
        <f aca="false">IF(AND(COUNT($E41:$G41)=0,LEFT($H41,2)&lt;&gt;"定性",LEFT($H41,2)&lt;&gt;"文字",LEFT($H41,2)&lt;&gt;"日期"),1,0)</f>
        <v>0</v>
      </c>
      <c r="Y41" s="9" t="n">
        <f aca="false">IF(OR($L41="",$M41=""),1,0)</f>
        <v>0</v>
      </c>
      <c r="Z41" s="9" t="n">
        <f aca="false">IF(AND(ISNUMBER($E41),ISNUMBER($F41)),IF($F41&gt;$E41,1,0),0)+IF(AND(ISNUMBER($E41),ISNUMBER($G41)),IF($E41&gt;$G41,1,0),0)+IF(AND(ISNUMBER($F41),ISNUMBER($G41)),IF($F41&gt;$G41,1,0),0)</f>
        <v>0</v>
      </c>
      <c r="AA41" s="9" t="n">
        <f aca="false">IF(AND($P41="Derived",$V41="觀測"),1,0)</f>
        <v>0</v>
      </c>
      <c r="AB41" s="12" t="s">
        <v>90</v>
      </c>
    </row>
    <row r="42" customFormat="false" ht="15" hidden="false" customHeight="false" outlineLevel="0" collapsed="false">
      <c r="A42" s="9" t="s">
        <v>328</v>
      </c>
      <c r="B42" s="9" t="s">
        <v>329</v>
      </c>
      <c r="C42" s="9" t="s">
        <v>74</v>
      </c>
      <c r="D42" s="11" t="s">
        <v>330</v>
      </c>
      <c r="E42" s="10" t="n">
        <v>0.24</v>
      </c>
      <c r="F42" s="9"/>
      <c r="G42" s="9"/>
      <c r="H42" s="11" t="s">
        <v>269</v>
      </c>
      <c r="I42" s="9" t="s">
        <v>77</v>
      </c>
      <c r="J42" s="9"/>
      <c r="K42" s="11" t="s">
        <v>78</v>
      </c>
      <c r="L42" s="9" t="s">
        <v>264</v>
      </c>
      <c r="M42" s="9" t="s">
        <v>257</v>
      </c>
      <c r="N42" s="9" t="s">
        <v>258</v>
      </c>
      <c r="O42" s="9" t="s">
        <v>82</v>
      </c>
      <c r="P42" s="9" t="s">
        <v>83</v>
      </c>
      <c r="Q42" s="9" t="s">
        <v>326</v>
      </c>
      <c r="R42" s="9" t="s">
        <v>85</v>
      </c>
      <c r="S42" s="11" t="s">
        <v>86</v>
      </c>
      <c r="T42" s="9" t="s">
        <v>326</v>
      </c>
      <c r="U42" s="11" t="s">
        <v>87</v>
      </c>
      <c r="V42" s="11" t="s">
        <v>88</v>
      </c>
      <c r="W42" s="11" t="s">
        <v>331</v>
      </c>
      <c r="X42" s="9" t="n">
        <f aca="false">IF(AND(COUNT($E42:$G42)=0,LEFT($H42,2)&lt;&gt;"定性",LEFT($H42,2)&lt;&gt;"文字",LEFT($H42,2)&lt;&gt;"日期"),1,0)</f>
        <v>0</v>
      </c>
      <c r="Y42" s="9" t="n">
        <f aca="false">IF(OR($L42="",$M42=""),1,0)</f>
        <v>0</v>
      </c>
      <c r="Z42" s="9" t="n">
        <f aca="false">IF(AND(ISNUMBER($E42),ISNUMBER($F42)),IF($F42&gt;$E42,1,0),0)+IF(AND(ISNUMBER($E42),ISNUMBER($G42)),IF($E42&gt;$G42,1,0),0)+IF(AND(ISNUMBER($F42),ISNUMBER($G42)),IF($F42&gt;$G42,1,0),0)</f>
        <v>0</v>
      </c>
      <c r="AA42" s="9" t="n">
        <f aca="false">IF(AND($P42="Derived",$V42="觀測"),1,0)</f>
        <v>0</v>
      </c>
      <c r="AB42" s="12" t="s">
        <v>90</v>
      </c>
    </row>
    <row r="43" customFormat="false" ht="15" hidden="false" customHeight="false" outlineLevel="0" collapsed="false">
      <c r="A43" s="9" t="s">
        <v>332</v>
      </c>
      <c r="B43" s="9" t="s">
        <v>333</v>
      </c>
      <c r="C43" s="9" t="s">
        <v>74</v>
      </c>
      <c r="D43" s="11" t="s">
        <v>334</v>
      </c>
      <c r="E43" s="10" t="n">
        <v>0.24</v>
      </c>
      <c r="F43" s="9"/>
      <c r="G43" s="9"/>
      <c r="H43" s="11" t="s">
        <v>269</v>
      </c>
      <c r="I43" s="9" t="s">
        <v>77</v>
      </c>
      <c r="J43" s="9"/>
      <c r="K43" s="11" t="s">
        <v>78</v>
      </c>
      <c r="L43" s="9" t="s">
        <v>335</v>
      </c>
      <c r="M43" s="9" t="s">
        <v>336</v>
      </c>
      <c r="N43" s="9" t="s">
        <v>81</v>
      </c>
      <c r="O43" s="9" t="s">
        <v>82</v>
      </c>
      <c r="P43" s="9" t="s">
        <v>83</v>
      </c>
      <c r="Q43" s="9" t="s">
        <v>337</v>
      </c>
      <c r="R43" s="11" t="s">
        <v>103</v>
      </c>
      <c r="S43" s="11" t="s">
        <v>86</v>
      </c>
      <c r="T43" s="9" t="s">
        <v>337</v>
      </c>
      <c r="U43" s="11" t="s">
        <v>103</v>
      </c>
      <c r="V43" s="11" t="s">
        <v>88</v>
      </c>
      <c r="W43" s="11" t="s">
        <v>338</v>
      </c>
      <c r="X43" s="9" t="n">
        <f aca="false">IF(AND(COUNT($E43:$G43)=0,LEFT($H43,2)&lt;&gt;"定性",LEFT($H43,2)&lt;&gt;"文字",LEFT($H43,2)&lt;&gt;"日期"),1,0)</f>
        <v>0</v>
      </c>
      <c r="Y43" s="9" t="n">
        <f aca="false">IF(OR($L43="",$M43=""),1,0)</f>
        <v>0</v>
      </c>
      <c r="Z43" s="9" t="n">
        <f aca="false">IF(AND(ISNUMBER($E43),ISNUMBER($F43)),IF($F43&gt;$E43,1,0),0)+IF(AND(ISNUMBER($E43),ISNUMBER($G43)),IF($E43&gt;$G43,1,0),0)+IF(AND(ISNUMBER($F43),ISNUMBER($G43)),IF($F43&gt;$G43,1,0),0)</f>
        <v>0</v>
      </c>
      <c r="AA43" s="9" t="n">
        <f aca="false">IF(AND($P43="Derived",$V43="觀測"),1,0)</f>
        <v>0</v>
      </c>
      <c r="AB43" s="12" t="s">
        <v>90</v>
      </c>
    </row>
    <row r="44" customFormat="false" ht="15" hidden="false" customHeight="false" outlineLevel="0" collapsed="false">
      <c r="A44" s="9" t="s">
        <v>339</v>
      </c>
      <c r="B44" s="9" t="s">
        <v>340</v>
      </c>
      <c r="C44" s="9" t="s">
        <v>74</v>
      </c>
      <c r="D44" s="9" t="s">
        <v>341</v>
      </c>
      <c r="E44" s="10" t="n">
        <v>1.2</v>
      </c>
      <c r="F44" s="9"/>
      <c r="G44" s="9"/>
      <c r="H44" s="9" t="s">
        <v>76</v>
      </c>
      <c r="I44" s="9" t="s">
        <v>185</v>
      </c>
      <c r="J44" s="9"/>
      <c r="K44" s="11" t="s">
        <v>146</v>
      </c>
      <c r="L44" s="9" t="s">
        <v>342</v>
      </c>
      <c r="M44" s="9" t="s">
        <v>343</v>
      </c>
      <c r="N44" s="9" t="s">
        <v>344</v>
      </c>
      <c r="O44" s="9" t="s">
        <v>82</v>
      </c>
      <c r="P44" s="9" t="s">
        <v>83</v>
      </c>
      <c r="Q44" s="9" t="s">
        <v>345</v>
      </c>
      <c r="R44" s="11" t="s">
        <v>103</v>
      </c>
      <c r="S44" s="11" t="s">
        <v>86</v>
      </c>
      <c r="T44" s="9" t="s">
        <v>345</v>
      </c>
      <c r="U44" s="11" t="s">
        <v>103</v>
      </c>
      <c r="V44" s="11" t="s">
        <v>88</v>
      </c>
      <c r="W44" s="11" t="s">
        <v>346</v>
      </c>
      <c r="X44" s="9" t="n">
        <f aca="false">IF(AND(COUNT($E44:$G44)=0,LEFT($H44,2)&lt;&gt;"定性",LEFT($H44,2)&lt;&gt;"文字",LEFT($H44,2)&lt;&gt;"日期"),1,0)</f>
        <v>0</v>
      </c>
      <c r="Y44" s="9" t="n">
        <f aca="false">IF(OR($L44="",$M44=""),1,0)</f>
        <v>0</v>
      </c>
      <c r="Z44" s="9" t="n">
        <f aca="false">IF(AND(ISNUMBER($E44),ISNUMBER($F44)),IF($F44&gt;$E44,1,0),0)+IF(AND(ISNUMBER($E44),ISNUMBER($G44)),IF($E44&gt;$G44,1,0),0)+IF(AND(ISNUMBER($F44),ISNUMBER($G44)),IF($F44&gt;$G44,1,0),0)</f>
        <v>0</v>
      </c>
      <c r="AA44" s="9" t="n">
        <f aca="false">IF(AND($P44="Derived",$V44="觀測"),1,0)</f>
        <v>0</v>
      </c>
      <c r="AB44" s="12" t="s">
        <v>90</v>
      </c>
    </row>
    <row r="45" customFormat="false" ht="15" hidden="false" customHeight="false" outlineLevel="0" collapsed="false">
      <c r="A45" s="9" t="s">
        <v>347</v>
      </c>
      <c r="B45" s="9" t="s">
        <v>348</v>
      </c>
      <c r="C45" s="9" t="s">
        <v>74</v>
      </c>
      <c r="D45" s="9" t="s">
        <v>349</v>
      </c>
      <c r="E45" s="10" t="n">
        <v>0.5</v>
      </c>
      <c r="F45" s="9"/>
      <c r="G45" s="10" t="n">
        <v>0.5</v>
      </c>
      <c r="H45" s="9" t="s">
        <v>76</v>
      </c>
      <c r="I45" s="9" t="s">
        <v>77</v>
      </c>
      <c r="J45" s="9"/>
      <c r="K45" s="11" t="s">
        <v>146</v>
      </c>
      <c r="L45" s="9" t="s">
        <v>350</v>
      </c>
      <c r="M45" s="9" t="s">
        <v>351</v>
      </c>
      <c r="N45" s="9"/>
      <c r="O45" s="9" t="s">
        <v>82</v>
      </c>
      <c r="P45" s="9" t="s">
        <v>83</v>
      </c>
      <c r="Q45" s="9" t="s">
        <v>352</v>
      </c>
      <c r="R45" s="9" t="s">
        <v>85</v>
      </c>
      <c r="S45" s="11" t="s">
        <v>86</v>
      </c>
      <c r="T45" s="9" t="s">
        <v>352</v>
      </c>
      <c r="U45" s="11" t="s">
        <v>87</v>
      </c>
      <c r="V45" s="11" t="s">
        <v>88</v>
      </c>
      <c r="W45" s="11" t="s">
        <v>353</v>
      </c>
      <c r="X45" s="9" t="n">
        <f aca="false">IF(AND(COUNT($E45:$G45)=0,LEFT($H45,2)&lt;&gt;"定性",LEFT($H45,2)&lt;&gt;"文字",LEFT($H45,2)&lt;&gt;"日期"),1,0)</f>
        <v>0</v>
      </c>
      <c r="Y45" s="9" t="n">
        <f aca="false">IF(OR($L45="",$M45=""),1,0)</f>
        <v>0</v>
      </c>
      <c r="Z45" s="9" t="n">
        <f aca="false">IF(AND(ISNUMBER($E45),ISNUMBER($F45)),IF($F45&gt;$E45,1,0),0)+IF(AND(ISNUMBER($E45),ISNUMBER($G45)),IF($E45&gt;$G45,1,0),0)+IF(AND(ISNUMBER($F45),ISNUMBER($G45)),IF($F45&gt;$G45,1,0),0)</f>
        <v>0</v>
      </c>
      <c r="AA45" s="9" t="n">
        <f aca="false">IF(AND($P45="Derived",$V45="觀測"),1,0)</f>
        <v>0</v>
      </c>
      <c r="AB45" s="12" t="s">
        <v>90</v>
      </c>
    </row>
    <row r="46" customFormat="false" ht="15" hidden="false" customHeight="false" outlineLevel="0" collapsed="false">
      <c r="A46" s="9" t="s">
        <v>354</v>
      </c>
      <c r="B46" s="9" t="s">
        <v>355</v>
      </c>
      <c r="C46" s="9" t="s">
        <v>74</v>
      </c>
      <c r="D46" s="9" t="s">
        <v>356</v>
      </c>
      <c r="E46" s="10" t="n">
        <v>0.5</v>
      </c>
      <c r="F46" s="9"/>
      <c r="G46" s="9"/>
      <c r="H46" s="11" t="s">
        <v>269</v>
      </c>
      <c r="I46" s="9" t="s">
        <v>77</v>
      </c>
      <c r="J46" s="9"/>
      <c r="K46" s="11" t="s">
        <v>146</v>
      </c>
      <c r="L46" s="9" t="s">
        <v>357</v>
      </c>
      <c r="M46" s="9" t="s">
        <v>297</v>
      </c>
      <c r="N46" s="9" t="s">
        <v>298</v>
      </c>
      <c r="O46" s="9" t="s">
        <v>82</v>
      </c>
      <c r="P46" s="9" t="s">
        <v>83</v>
      </c>
      <c r="Q46" s="9" t="s">
        <v>358</v>
      </c>
      <c r="R46" s="9" t="s">
        <v>85</v>
      </c>
      <c r="S46" s="11" t="s">
        <v>86</v>
      </c>
      <c r="T46" s="9" t="s">
        <v>358</v>
      </c>
      <c r="U46" s="11" t="s">
        <v>87</v>
      </c>
      <c r="V46" s="11" t="s">
        <v>88</v>
      </c>
      <c r="W46" s="11" t="s">
        <v>359</v>
      </c>
      <c r="X46" s="9" t="n">
        <f aca="false">IF(AND(COUNT($E46:$G46)=0,LEFT($H46,2)&lt;&gt;"定性",LEFT($H46,2)&lt;&gt;"文字",LEFT($H46,2)&lt;&gt;"日期"),1,0)</f>
        <v>0</v>
      </c>
      <c r="Y46" s="9" t="n">
        <f aca="false">IF(OR($L46="",$M46=""),1,0)</f>
        <v>0</v>
      </c>
      <c r="Z46" s="9" t="n">
        <f aca="false">IF(AND(ISNUMBER($E46),ISNUMBER($F46)),IF($F46&gt;$E46,1,0),0)+IF(AND(ISNUMBER($E46),ISNUMBER($G46)),IF($E46&gt;$G46,1,0),0)+IF(AND(ISNUMBER($F46),ISNUMBER($G46)),IF($F46&gt;$G46,1,0),0)</f>
        <v>0</v>
      </c>
      <c r="AA46" s="9" t="n">
        <f aca="false">IF(AND($P46="Derived",$V46="觀測"),1,0)</f>
        <v>0</v>
      </c>
      <c r="AB46" s="12" t="s">
        <v>90</v>
      </c>
    </row>
    <row r="47" customFormat="false" ht="15" hidden="false" customHeight="false" outlineLevel="0" collapsed="false">
      <c r="A47" s="9" t="s">
        <v>360</v>
      </c>
      <c r="B47" s="9" t="s">
        <v>361</v>
      </c>
      <c r="C47" s="9" t="s">
        <v>74</v>
      </c>
      <c r="D47" s="9" t="s">
        <v>362</v>
      </c>
      <c r="E47" s="10" t="n">
        <v>0.4</v>
      </c>
      <c r="F47" s="9"/>
      <c r="G47" s="9"/>
      <c r="H47" s="11" t="s">
        <v>269</v>
      </c>
      <c r="I47" s="9" t="s">
        <v>77</v>
      </c>
      <c r="J47" s="9"/>
      <c r="K47" s="11" t="s">
        <v>146</v>
      </c>
      <c r="L47" s="9" t="s">
        <v>363</v>
      </c>
      <c r="M47" s="9" t="s">
        <v>364</v>
      </c>
      <c r="N47" s="9" t="s">
        <v>188</v>
      </c>
      <c r="O47" s="9" t="s">
        <v>82</v>
      </c>
      <c r="P47" s="9" t="s">
        <v>83</v>
      </c>
      <c r="Q47" s="9" t="s">
        <v>365</v>
      </c>
      <c r="R47" s="9" t="s">
        <v>85</v>
      </c>
      <c r="S47" s="11" t="s">
        <v>86</v>
      </c>
      <c r="T47" s="9" t="s">
        <v>365</v>
      </c>
      <c r="U47" s="11" t="s">
        <v>87</v>
      </c>
      <c r="V47" s="11" t="s">
        <v>88</v>
      </c>
      <c r="W47" s="11" t="s">
        <v>366</v>
      </c>
      <c r="X47" s="9" t="n">
        <f aca="false">IF(AND(COUNT($E47:$G47)=0,LEFT($H47,2)&lt;&gt;"定性",LEFT($H47,2)&lt;&gt;"文字",LEFT($H47,2)&lt;&gt;"日期"),1,0)</f>
        <v>0</v>
      </c>
      <c r="Y47" s="9" t="n">
        <f aca="false">IF(OR($L47="",$M47=""),1,0)</f>
        <v>0</v>
      </c>
      <c r="Z47" s="9" t="n">
        <f aca="false">IF(AND(ISNUMBER($E47),ISNUMBER($F47)),IF($F47&gt;$E47,1,0),0)+IF(AND(ISNUMBER($E47),ISNUMBER($G47)),IF($E47&gt;$G47,1,0),0)+IF(AND(ISNUMBER($F47),ISNUMBER($G47)),IF($F47&gt;$G47,1,0),0)</f>
        <v>0</v>
      </c>
      <c r="AA47" s="9" t="n">
        <f aca="false">IF(AND($P47="Derived",$V47="觀測"),1,0)</f>
        <v>0</v>
      </c>
      <c r="AB47" s="12" t="s">
        <v>90</v>
      </c>
    </row>
    <row r="48" customFormat="false" ht="15" hidden="false" customHeight="false" outlineLevel="0" collapsed="false">
      <c r="A48" s="9" t="s">
        <v>367</v>
      </c>
      <c r="B48" s="9" t="s">
        <v>368</v>
      </c>
      <c r="C48" s="9" t="s">
        <v>74</v>
      </c>
      <c r="D48" s="9" t="s">
        <v>369</v>
      </c>
      <c r="E48" s="10" t="n">
        <v>0.38</v>
      </c>
      <c r="F48" s="9"/>
      <c r="G48" s="9"/>
      <c r="H48" s="11" t="s">
        <v>269</v>
      </c>
      <c r="I48" s="9" t="s">
        <v>77</v>
      </c>
      <c r="J48" s="9"/>
      <c r="K48" s="11" t="s">
        <v>146</v>
      </c>
      <c r="L48" s="11" t="s">
        <v>370</v>
      </c>
      <c r="M48" s="9" t="s">
        <v>371</v>
      </c>
      <c r="N48" s="9" t="s">
        <v>372</v>
      </c>
      <c r="O48" s="9" t="s">
        <v>82</v>
      </c>
      <c r="P48" s="9" t="s">
        <v>83</v>
      </c>
      <c r="Q48" s="9" t="s">
        <v>365</v>
      </c>
      <c r="R48" s="9" t="s">
        <v>85</v>
      </c>
      <c r="S48" s="11" t="s">
        <v>86</v>
      </c>
      <c r="T48" s="9" t="s">
        <v>365</v>
      </c>
      <c r="U48" s="11" t="s">
        <v>87</v>
      </c>
      <c r="V48" s="11" t="s">
        <v>88</v>
      </c>
      <c r="W48" s="11" t="s">
        <v>373</v>
      </c>
      <c r="X48" s="9" t="n">
        <f aca="false">IF(AND(COUNT($E48:$G48)=0,LEFT($H48,2)&lt;&gt;"定性",LEFT($H48,2)&lt;&gt;"文字",LEFT($H48,2)&lt;&gt;"日期"),1,0)</f>
        <v>0</v>
      </c>
      <c r="Y48" s="9" t="n">
        <f aca="false">IF(OR($L48="",$M48=""),1,0)</f>
        <v>0</v>
      </c>
      <c r="Z48" s="9" t="n">
        <f aca="false">IF(AND(ISNUMBER($E48),ISNUMBER($F48)),IF($F48&gt;$E48,1,0),0)+IF(AND(ISNUMBER($E48),ISNUMBER($G48)),IF($E48&gt;$G48,1,0),0)+IF(AND(ISNUMBER($F48),ISNUMBER($G48)),IF($F48&gt;$G48,1,0),0)</f>
        <v>0</v>
      </c>
      <c r="AA48" s="9" t="n">
        <f aca="false">IF(AND($P48="Derived",$V48="觀測"),1,0)</f>
        <v>0</v>
      </c>
      <c r="AB48" s="12" t="s">
        <v>90</v>
      </c>
    </row>
    <row r="49" customFormat="false" ht="15" hidden="false" customHeight="false" outlineLevel="0" collapsed="false">
      <c r="A49" s="9" t="s">
        <v>374</v>
      </c>
      <c r="B49" s="9" t="s">
        <v>375</v>
      </c>
      <c r="C49" s="9" t="s">
        <v>74</v>
      </c>
      <c r="D49" s="9" t="s">
        <v>376</v>
      </c>
      <c r="E49" s="10" t="n">
        <v>0.23</v>
      </c>
      <c r="F49" s="9"/>
      <c r="G49" s="9"/>
      <c r="H49" s="11" t="s">
        <v>269</v>
      </c>
      <c r="I49" s="9" t="s">
        <v>77</v>
      </c>
      <c r="J49" s="9"/>
      <c r="K49" s="11" t="s">
        <v>146</v>
      </c>
      <c r="L49" s="11" t="s">
        <v>370</v>
      </c>
      <c r="M49" s="9" t="s">
        <v>371</v>
      </c>
      <c r="N49" s="9" t="s">
        <v>372</v>
      </c>
      <c r="O49" s="9" t="s">
        <v>82</v>
      </c>
      <c r="P49" s="9" t="s">
        <v>83</v>
      </c>
      <c r="Q49" s="9" t="s">
        <v>365</v>
      </c>
      <c r="R49" s="9" t="s">
        <v>85</v>
      </c>
      <c r="S49" s="11" t="s">
        <v>86</v>
      </c>
      <c r="T49" s="9" t="s">
        <v>365</v>
      </c>
      <c r="U49" s="11" t="s">
        <v>87</v>
      </c>
      <c r="V49" s="11" t="s">
        <v>88</v>
      </c>
      <c r="W49" s="11" t="s">
        <v>377</v>
      </c>
      <c r="X49" s="9" t="n">
        <f aca="false">IF(AND(COUNT($E49:$G49)=0,LEFT($H49,2)&lt;&gt;"定性",LEFT($H49,2)&lt;&gt;"文字",LEFT($H49,2)&lt;&gt;"日期"),1,0)</f>
        <v>0</v>
      </c>
      <c r="Y49" s="9" t="n">
        <f aca="false">IF(OR($L49="",$M49=""),1,0)</f>
        <v>0</v>
      </c>
      <c r="Z49" s="9" t="n">
        <f aca="false">IF(AND(ISNUMBER($E49),ISNUMBER($F49)),IF($F49&gt;$E49,1,0),0)+IF(AND(ISNUMBER($E49),ISNUMBER($G49)),IF($E49&gt;$G49,1,0),0)+IF(AND(ISNUMBER($F49),ISNUMBER($G49)),IF($F49&gt;$G49,1,0),0)</f>
        <v>0</v>
      </c>
      <c r="AA49" s="9" t="n">
        <f aca="false">IF(AND($P49="Derived",$V49="觀測"),1,0)</f>
        <v>0</v>
      </c>
      <c r="AB49" s="12" t="s">
        <v>90</v>
      </c>
    </row>
    <row r="50" customFormat="false" ht="15" hidden="false" customHeight="false" outlineLevel="0" collapsed="false">
      <c r="A50" s="9" t="s">
        <v>378</v>
      </c>
      <c r="B50" s="9" t="s">
        <v>379</v>
      </c>
      <c r="C50" s="9" t="s">
        <v>74</v>
      </c>
      <c r="D50" s="9" t="s">
        <v>380</v>
      </c>
      <c r="E50" s="10" t="n">
        <v>4.1</v>
      </c>
      <c r="F50" s="9"/>
      <c r="G50" s="9"/>
      <c r="H50" s="9" t="s">
        <v>76</v>
      </c>
      <c r="I50" s="9" t="s">
        <v>77</v>
      </c>
      <c r="J50" s="9"/>
      <c r="K50" s="11" t="s">
        <v>146</v>
      </c>
      <c r="L50" s="11" t="s">
        <v>370</v>
      </c>
      <c r="M50" s="9" t="s">
        <v>371</v>
      </c>
      <c r="N50" s="9" t="s">
        <v>372</v>
      </c>
      <c r="O50" s="9" t="s">
        <v>82</v>
      </c>
      <c r="P50" s="9" t="s">
        <v>83</v>
      </c>
      <c r="Q50" s="9" t="s">
        <v>365</v>
      </c>
      <c r="R50" s="9" t="s">
        <v>85</v>
      </c>
      <c r="S50" s="11" t="s">
        <v>86</v>
      </c>
      <c r="T50" s="9" t="s">
        <v>365</v>
      </c>
      <c r="U50" s="11" t="s">
        <v>87</v>
      </c>
      <c r="V50" s="11" t="s">
        <v>88</v>
      </c>
      <c r="W50" s="11" t="s">
        <v>381</v>
      </c>
      <c r="X50" s="9" t="n">
        <f aca="false">IF(AND(COUNT($E50:$G50)=0,LEFT($H50,2)&lt;&gt;"定性",LEFT($H50,2)&lt;&gt;"文字",LEFT($H50,2)&lt;&gt;"日期"),1,0)</f>
        <v>0</v>
      </c>
      <c r="Y50" s="9" t="n">
        <f aca="false">IF(OR($L50="",$M50=""),1,0)</f>
        <v>0</v>
      </c>
      <c r="Z50" s="9" t="n">
        <f aca="false">IF(AND(ISNUMBER($E50),ISNUMBER($F50)),IF($F50&gt;$E50,1,0),0)+IF(AND(ISNUMBER($E50),ISNUMBER($G50)),IF($E50&gt;$G50,1,0),0)+IF(AND(ISNUMBER($F50),ISNUMBER($G50)),IF($F50&gt;$G50,1,0),0)</f>
        <v>0</v>
      </c>
      <c r="AA50" s="9" t="n">
        <f aca="false">IF(AND($P50="Derived",$V50="觀測"),1,0)</f>
        <v>0</v>
      </c>
      <c r="AB50" s="12" t="s">
        <v>90</v>
      </c>
    </row>
    <row r="51" customFormat="false" ht="15" hidden="false" customHeight="false" outlineLevel="0" collapsed="false">
      <c r="A51" s="9" t="s">
        <v>382</v>
      </c>
      <c r="B51" s="9" t="s">
        <v>383</v>
      </c>
      <c r="C51" s="9" t="s">
        <v>74</v>
      </c>
      <c r="D51" s="9" t="s">
        <v>384</v>
      </c>
      <c r="E51" s="10" t="n">
        <v>4.5</v>
      </c>
      <c r="F51" s="9"/>
      <c r="G51" s="9"/>
      <c r="H51" s="9" t="s">
        <v>76</v>
      </c>
      <c r="I51" s="9" t="s">
        <v>77</v>
      </c>
      <c r="J51" s="9"/>
      <c r="K51" s="11" t="s">
        <v>146</v>
      </c>
      <c r="L51" s="11" t="s">
        <v>370</v>
      </c>
      <c r="M51" s="9" t="s">
        <v>371</v>
      </c>
      <c r="N51" s="9" t="s">
        <v>372</v>
      </c>
      <c r="O51" s="9" t="s">
        <v>82</v>
      </c>
      <c r="P51" s="9" t="s">
        <v>83</v>
      </c>
      <c r="Q51" s="9" t="s">
        <v>365</v>
      </c>
      <c r="R51" s="9" t="s">
        <v>85</v>
      </c>
      <c r="S51" s="11" t="s">
        <v>86</v>
      </c>
      <c r="T51" s="9" t="s">
        <v>365</v>
      </c>
      <c r="U51" s="11" t="s">
        <v>87</v>
      </c>
      <c r="V51" s="11" t="s">
        <v>88</v>
      </c>
      <c r="W51" s="11" t="s">
        <v>385</v>
      </c>
      <c r="X51" s="9" t="n">
        <f aca="false">IF(AND(COUNT($E51:$G51)=0,LEFT($H51,2)&lt;&gt;"定性",LEFT($H51,2)&lt;&gt;"文字",LEFT($H51,2)&lt;&gt;"日期"),1,0)</f>
        <v>0</v>
      </c>
      <c r="Y51" s="9" t="n">
        <f aca="false">IF(OR($L51="",$M51=""),1,0)</f>
        <v>0</v>
      </c>
      <c r="Z51" s="9" t="n">
        <f aca="false">IF(AND(ISNUMBER($E51),ISNUMBER($F51)),IF($F51&gt;$E51,1,0),0)+IF(AND(ISNUMBER($E51),ISNUMBER($G51)),IF($E51&gt;$G51,1,0),0)+IF(AND(ISNUMBER($F51),ISNUMBER($G51)),IF($F51&gt;$G51,1,0),0)</f>
        <v>0</v>
      </c>
      <c r="AA51" s="9" t="n">
        <f aca="false">IF(AND($P51="Derived",$V51="觀測"),1,0)</f>
        <v>0</v>
      </c>
      <c r="AB51" s="12" t="s">
        <v>90</v>
      </c>
    </row>
    <row r="52" customFormat="false" ht="15" hidden="false" customHeight="false" outlineLevel="0" collapsed="false">
      <c r="A52" s="9" t="s">
        <v>386</v>
      </c>
      <c r="B52" s="9" t="s">
        <v>387</v>
      </c>
      <c r="C52" s="9" t="s">
        <v>74</v>
      </c>
      <c r="D52" s="9" t="s">
        <v>388</v>
      </c>
      <c r="E52" s="10" t="n">
        <v>10</v>
      </c>
      <c r="F52" s="9"/>
      <c r="G52" s="9"/>
      <c r="H52" s="9" t="s">
        <v>76</v>
      </c>
      <c r="I52" s="9" t="s">
        <v>77</v>
      </c>
      <c r="J52" s="9"/>
      <c r="K52" s="11" t="s">
        <v>146</v>
      </c>
      <c r="L52" s="9" t="s">
        <v>389</v>
      </c>
      <c r="M52" s="9" t="s">
        <v>390</v>
      </c>
      <c r="N52" s="9" t="s">
        <v>372</v>
      </c>
      <c r="O52" s="9" t="s">
        <v>82</v>
      </c>
      <c r="P52" s="9" t="s">
        <v>83</v>
      </c>
      <c r="Q52" s="9" t="s">
        <v>391</v>
      </c>
      <c r="R52" s="11" t="s">
        <v>103</v>
      </c>
      <c r="S52" s="11" t="s">
        <v>86</v>
      </c>
      <c r="T52" s="9" t="s">
        <v>391</v>
      </c>
      <c r="U52" s="11" t="s">
        <v>103</v>
      </c>
      <c r="V52" s="11" t="s">
        <v>88</v>
      </c>
      <c r="W52" s="11" t="s">
        <v>392</v>
      </c>
      <c r="X52" s="9" t="n">
        <f aca="false">IF(AND(COUNT($E52:$G52)=0,LEFT($H52,2)&lt;&gt;"定性",LEFT($H52,2)&lt;&gt;"文字",LEFT($H52,2)&lt;&gt;"日期"),1,0)</f>
        <v>0</v>
      </c>
      <c r="Y52" s="9" t="n">
        <f aca="false">IF(OR($L52="",$M52=""),1,0)</f>
        <v>0</v>
      </c>
      <c r="Z52" s="9" t="n">
        <f aca="false">IF(AND(ISNUMBER($E52),ISNUMBER($F52)),IF($F52&gt;$E52,1,0),0)+IF(AND(ISNUMBER($E52),ISNUMBER($G52)),IF($E52&gt;$G52,1,0),0)+IF(AND(ISNUMBER($F52),ISNUMBER($G52)),IF($F52&gt;$G52,1,0),0)</f>
        <v>0</v>
      </c>
      <c r="AA52" s="9" t="n">
        <f aca="false">IF(AND($P52="Derived",$V52="觀測"),1,0)</f>
        <v>0</v>
      </c>
      <c r="AB52" s="12" t="s">
        <v>90</v>
      </c>
    </row>
    <row r="53" customFormat="false" ht="15" hidden="false" customHeight="false" outlineLevel="0" collapsed="false">
      <c r="A53" s="9" t="s">
        <v>393</v>
      </c>
      <c r="B53" s="9" t="s">
        <v>394</v>
      </c>
      <c r="C53" s="9" t="s">
        <v>74</v>
      </c>
      <c r="D53" s="11" t="s">
        <v>395</v>
      </c>
      <c r="E53" s="10" t="n">
        <v>0.8</v>
      </c>
      <c r="F53" s="10" t="n">
        <v>0.8</v>
      </c>
      <c r="G53" s="9"/>
      <c r="H53" s="11" t="s">
        <v>269</v>
      </c>
      <c r="I53" s="9" t="s">
        <v>396</v>
      </c>
      <c r="J53" s="9"/>
      <c r="K53" s="11" t="s">
        <v>78</v>
      </c>
      <c r="L53" s="9" t="s">
        <v>397</v>
      </c>
      <c r="M53" s="9" t="s">
        <v>398</v>
      </c>
      <c r="N53" s="9" t="s">
        <v>399</v>
      </c>
      <c r="O53" s="9" t="s">
        <v>82</v>
      </c>
      <c r="P53" s="9" t="s">
        <v>83</v>
      </c>
      <c r="Q53" s="9" t="s">
        <v>243</v>
      </c>
      <c r="R53" s="9" t="s">
        <v>85</v>
      </c>
      <c r="S53" s="11" t="s">
        <v>86</v>
      </c>
      <c r="T53" s="9" t="s">
        <v>243</v>
      </c>
      <c r="U53" s="11" t="s">
        <v>87</v>
      </c>
      <c r="V53" s="11" t="s">
        <v>88</v>
      </c>
      <c r="W53" s="11" t="s">
        <v>400</v>
      </c>
      <c r="X53" s="9" t="n">
        <f aca="false">IF(AND(COUNT($E53:$G53)=0,LEFT($H53,2)&lt;&gt;"定性",LEFT($H53,2)&lt;&gt;"文字",LEFT($H53,2)&lt;&gt;"日期"),1,0)</f>
        <v>0</v>
      </c>
      <c r="Y53" s="9" t="n">
        <f aca="false">IF(OR($L53="",$M53=""),1,0)</f>
        <v>0</v>
      </c>
      <c r="Z53" s="9" t="n">
        <f aca="false">IF(AND(ISNUMBER($E53),ISNUMBER($F53)),IF($F53&gt;$E53,1,0),0)+IF(AND(ISNUMBER($E53),ISNUMBER($G53)),IF($E53&gt;$G53,1,0),0)+IF(AND(ISNUMBER($F53),ISNUMBER($G53)),IF($F53&gt;$G53,1,0),0)</f>
        <v>0</v>
      </c>
      <c r="AA53" s="9" t="n">
        <f aca="false">IF(AND($P53="Derived",$V53="觀測"),1,0)</f>
        <v>0</v>
      </c>
      <c r="AB53" s="12" t="s">
        <v>90</v>
      </c>
    </row>
    <row r="54" customFormat="false" ht="15" hidden="false" customHeight="false" outlineLevel="0" collapsed="false">
      <c r="A54" s="9" t="s">
        <v>401</v>
      </c>
      <c r="B54" s="9" t="s">
        <v>402</v>
      </c>
      <c r="C54" s="9" t="s">
        <v>74</v>
      </c>
      <c r="D54" s="9" t="s">
        <v>403</v>
      </c>
      <c r="E54" s="10" t="n">
        <v>0.44</v>
      </c>
      <c r="F54" s="10" t="n">
        <v>0.4</v>
      </c>
      <c r="G54" s="10" t="n">
        <v>0.5</v>
      </c>
      <c r="H54" s="11" t="s">
        <v>269</v>
      </c>
      <c r="I54" s="9" t="s">
        <v>306</v>
      </c>
      <c r="J54" s="9"/>
      <c r="K54" s="11" t="s">
        <v>146</v>
      </c>
      <c r="L54" s="9" t="s">
        <v>404</v>
      </c>
      <c r="M54" s="9" t="s">
        <v>405</v>
      </c>
      <c r="N54" s="9" t="s">
        <v>406</v>
      </c>
      <c r="O54" s="9" t="s">
        <v>82</v>
      </c>
      <c r="P54" s="9" t="s">
        <v>299</v>
      </c>
      <c r="Q54" s="9"/>
      <c r="R54" s="9" t="s">
        <v>85</v>
      </c>
      <c r="S54" s="11" t="s">
        <v>300</v>
      </c>
      <c r="T54" s="11" t="s">
        <v>301</v>
      </c>
      <c r="U54" s="11" t="s">
        <v>87</v>
      </c>
      <c r="V54" s="11" t="s">
        <v>88</v>
      </c>
      <c r="W54" s="11" t="s">
        <v>407</v>
      </c>
      <c r="X54" s="9" t="n">
        <f aca="false">IF(AND(COUNT($E54:$G54)=0,LEFT($H54,2)&lt;&gt;"定性",LEFT($H54,2)&lt;&gt;"文字",LEFT($H54,2)&lt;&gt;"日期"),1,0)</f>
        <v>0</v>
      </c>
      <c r="Y54" s="9" t="n">
        <f aca="false">IF(OR($L54="",$M54=""),1,0)</f>
        <v>0</v>
      </c>
      <c r="Z54" s="9" t="n">
        <f aca="false">IF(AND(ISNUMBER($E54),ISNUMBER($F54)),IF($F54&gt;$E54,1,0),0)+IF(AND(ISNUMBER($E54),ISNUMBER($G54)),IF($E54&gt;$G54,1,0),0)+IF(AND(ISNUMBER($F54),ISNUMBER($G54)),IF($F54&gt;$G54,1,0),0)</f>
        <v>0</v>
      </c>
      <c r="AA54" s="9" t="n">
        <f aca="false">IF(AND($P54="Derived",$V54="觀測"),1,0)</f>
        <v>0</v>
      </c>
      <c r="AB54" s="12" t="s">
        <v>90</v>
      </c>
    </row>
    <row r="55" customFormat="false" ht="15" hidden="false" customHeight="false" outlineLevel="0" collapsed="false">
      <c r="A55" s="9" t="s">
        <v>408</v>
      </c>
      <c r="B55" s="9" t="s">
        <v>409</v>
      </c>
      <c r="C55" s="9" t="s">
        <v>74</v>
      </c>
      <c r="D55" s="11" t="s">
        <v>410</v>
      </c>
      <c r="E55" s="10" t="n">
        <v>0.71</v>
      </c>
      <c r="F55" s="9"/>
      <c r="G55" s="9"/>
      <c r="H55" s="9" t="s">
        <v>411</v>
      </c>
      <c r="I55" s="9" t="s">
        <v>112</v>
      </c>
      <c r="J55" s="9"/>
      <c r="K55" s="11" t="s">
        <v>146</v>
      </c>
      <c r="L55" s="9" t="s">
        <v>412</v>
      </c>
      <c r="M55" s="9" t="s">
        <v>413</v>
      </c>
      <c r="N55" s="9" t="s">
        <v>414</v>
      </c>
      <c r="O55" s="9" t="s">
        <v>82</v>
      </c>
      <c r="P55" s="9" t="s">
        <v>83</v>
      </c>
      <c r="Q55" s="9" t="s">
        <v>415</v>
      </c>
      <c r="R55" s="9" t="s">
        <v>85</v>
      </c>
      <c r="S55" s="11" t="s">
        <v>86</v>
      </c>
      <c r="T55" s="9" t="s">
        <v>415</v>
      </c>
      <c r="U55" s="11" t="s">
        <v>87</v>
      </c>
      <c r="V55" s="11" t="s">
        <v>88</v>
      </c>
      <c r="W55" s="11" t="s">
        <v>416</v>
      </c>
      <c r="X55" s="9" t="n">
        <f aca="false">IF(AND(COUNT($E55:$G55)=0,LEFT($H55,2)&lt;&gt;"定性",LEFT($H55,2)&lt;&gt;"文字",LEFT($H55,2)&lt;&gt;"日期"),1,0)</f>
        <v>0</v>
      </c>
      <c r="Y55" s="9" t="n">
        <f aca="false">IF(OR($L55="",$M55=""),1,0)</f>
        <v>0</v>
      </c>
      <c r="Z55" s="9" t="n">
        <f aca="false">IF(AND(ISNUMBER($E55),ISNUMBER($F55)),IF($F55&gt;$E55,1,0),0)+IF(AND(ISNUMBER($E55),ISNUMBER($G55)),IF($E55&gt;$G55,1,0),0)+IF(AND(ISNUMBER($F55),ISNUMBER($G55)),IF($F55&gt;$G55,1,0),0)</f>
        <v>0</v>
      </c>
      <c r="AA55" s="9" t="n">
        <f aca="false">IF(AND($P55="Derived",$V55="觀測"),1,0)</f>
        <v>0</v>
      </c>
      <c r="AB55" s="12" t="s">
        <v>90</v>
      </c>
    </row>
    <row r="56" customFormat="false" ht="15" hidden="false" customHeight="false" outlineLevel="0" collapsed="false">
      <c r="A56" s="9" t="s">
        <v>417</v>
      </c>
      <c r="B56" s="9" t="s">
        <v>418</v>
      </c>
      <c r="C56" s="9" t="s">
        <v>74</v>
      </c>
      <c r="D56" s="11" t="s">
        <v>419</v>
      </c>
      <c r="E56" s="10" t="n">
        <v>0.56</v>
      </c>
      <c r="F56" s="9"/>
      <c r="G56" s="9"/>
      <c r="H56" s="9" t="s">
        <v>411</v>
      </c>
      <c r="I56" s="9" t="s">
        <v>121</v>
      </c>
      <c r="J56" s="9"/>
      <c r="K56" s="11" t="s">
        <v>146</v>
      </c>
      <c r="L56" s="9" t="s">
        <v>420</v>
      </c>
      <c r="M56" s="9" t="s">
        <v>413</v>
      </c>
      <c r="N56" s="9" t="s">
        <v>414</v>
      </c>
      <c r="O56" s="9" t="s">
        <v>82</v>
      </c>
      <c r="P56" s="9" t="s">
        <v>83</v>
      </c>
      <c r="Q56" s="9" t="s">
        <v>421</v>
      </c>
      <c r="R56" s="9" t="s">
        <v>85</v>
      </c>
      <c r="S56" s="11" t="s">
        <v>86</v>
      </c>
      <c r="T56" s="9" t="s">
        <v>421</v>
      </c>
      <c r="U56" s="11" t="s">
        <v>87</v>
      </c>
      <c r="V56" s="11" t="s">
        <v>88</v>
      </c>
      <c r="W56" s="11" t="s">
        <v>422</v>
      </c>
      <c r="X56" s="9" t="n">
        <f aca="false">IF(AND(COUNT($E56:$G56)=0,LEFT($H56,2)&lt;&gt;"定性",LEFT($H56,2)&lt;&gt;"文字",LEFT($H56,2)&lt;&gt;"日期"),1,0)</f>
        <v>0</v>
      </c>
      <c r="Y56" s="9" t="n">
        <f aca="false">IF(OR($L56="",$M56=""),1,0)</f>
        <v>0</v>
      </c>
      <c r="Z56" s="9" t="n">
        <f aca="false">IF(AND(ISNUMBER($E56),ISNUMBER($F56)),IF($F56&gt;$E56,1,0),0)+IF(AND(ISNUMBER($E56),ISNUMBER($G56)),IF($E56&gt;$G56,1,0),0)+IF(AND(ISNUMBER($F56),ISNUMBER($G56)),IF($F56&gt;$G56,1,0),0)</f>
        <v>0</v>
      </c>
      <c r="AA56" s="9" t="n">
        <f aca="false">IF(AND($P56="Derived",$V56="觀測"),1,0)</f>
        <v>0</v>
      </c>
      <c r="AB56" s="12" t="s">
        <v>90</v>
      </c>
    </row>
    <row r="57" customFormat="false" ht="15" hidden="false" customHeight="false" outlineLevel="0" collapsed="false">
      <c r="A57" s="9" t="s">
        <v>423</v>
      </c>
      <c r="B57" s="9" t="s">
        <v>424</v>
      </c>
      <c r="C57" s="9" t="s">
        <v>74</v>
      </c>
      <c r="D57" s="9" t="s">
        <v>110</v>
      </c>
      <c r="E57" s="10" t="n">
        <v>4.8</v>
      </c>
      <c r="F57" s="9"/>
      <c r="G57" s="9"/>
      <c r="H57" s="9" t="s">
        <v>111</v>
      </c>
      <c r="I57" s="9" t="s">
        <v>112</v>
      </c>
      <c r="J57" s="9"/>
      <c r="K57" s="11" t="s">
        <v>78</v>
      </c>
      <c r="L57" s="9" t="s">
        <v>420</v>
      </c>
      <c r="M57" s="9" t="s">
        <v>413</v>
      </c>
      <c r="N57" s="9" t="s">
        <v>414</v>
      </c>
      <c r="O57" s="9" t="s">
        <v>82</v>
      </c>
      <c r="P57" s="9" t="s">
        <v>83</v>
      </c>
      <c r="Q57" s="9" t="s">
        <v>358</v>
      </c>
      <c r="R57" s="9" t="s">
        <v>85</v>
      </c>
      <c r="S57" s="11" t="s">
        <v>86</v>
      </c>
      <c r="T57" s="9" t="s">
        <v>358</v>
      </c>
      <c r="U57" s="11" t="s">
        <v>87</v>
      </c>
      <c r="V57" s="11" t="s">
        <v>88</v>
      </c>
      <c r="W57" s="11" t="s">
        <v>425</v>
      </c>
      <c r="X57" s="9" t="n">
        <f aca="false">IF(AND(COUNT($E57:$G57)=0,LEFT($H57,2)&lt;&gt;"定性",LEFT($H57,2)&lt;&gt;"文字",LEFT($H57,2)&lt;&gt;"日期"),1,0)</f>
        <v>0</v>
      </c>
      <c r="Y57" s="9" t="n">
        <f aca="false">IF(OR($L57="",$M57=""),1,0)</f>
        <v>0</v>
      </c>
      <c r="Z57" s="9" t="n">
        <f aca="false">IF(AND(ISNUMBER($E57),ISNUMBER($F57)),IF($F57&gt;$E57,1,0),0)+IF(AND(ISNUMBER($E57),ISNUMBER($G57)),IF($E57&gt;$G57,1,0),0)+IF(AND(ISNUMBER($F57),ISNUMBER($G57)),IF($F57&gt;$G57,1,0),0)</f>
        <v>0</v>
      </c>
      <c r="AA57" s="9" t="n">
        <f aca="false">IF(AND($P57="Derived",$V57="觀測"),1,0)</f>
        <v>0</v>
      </c>
      <c r="AB57" s="12" t="s">
        <v>90</v>
      </c>
    </row>
    <row r="58" customFormat="false" ht="15" hidden="false" customHeight="false" outlineLevel="0" collapsed="false">
      <c r="A58" s="9" t="s">
        <v>426</v>
      </c>
      <c r="B58" s="9" t="s">
        <v>427</v>
      </c>
      <c r="C58" s="9" t="s">
        <v>74</v>
      </c>
      <c r="D58" s="9" t="s">
        <v>428</v>
      </c>
      <c r="E58" s="10" t="n">
        <v>10.9</v>
      </c>
      <c r="F58" s="9"/>
      <c r="G58" s="9"/>
      <c r="H58" s="9" t="s">
        <v>111</v>
      </c>
      <c r="I58" s="9" t="s">
        <v>121</v>
      </c>
      <c r="J58" s="9"/>
      <c r="K58" s="11" t="s">
        <v>78</v>
      </c>
      <c r="L58" s="9" t="s">
        <v>420</v>
      </c>
      <c r="M58" s="9" t="s">
        <v>413</v>
      </c>
      <c r="N58" s="9" t="s">
        <v>414</v>
      </c>
      <c r="O58" s="9" t="s">
        <v>82</v>
      </c>
      <c r="P58" s="9" t="s">
        <v>83</v>
      </c>
      <c r="Q58" s="9" t="s">
        <v>421</v>
      </c>
      <c r="R58" s="9" t="s">
        <v>85</v>
      </c>
      <c r="S58" s="11" t="s">
        <v>86</v>
      </c>
      <c r="T58" s="9" t="s">
        <v>421</v>
      </c>
      <c r="U58" s="11" t="s">
        <v>87</v>
      </c>
      <c r="V58" s="11" t="s">
        <v>88</v>
      </c>
      <c r="W58" s="11" t="s">
        <v>429</v>
      </c>
      <c r="X58" s="9" t="n">
        <f aca="false">IF(AND(COUNT($E58:$G58)=0,LEFT($H58,2)&lt;&gt;"定性",LEFT($H58,2)&lt;&gt;"文字",LEFT($H58,2)&lt;&gt;"日期"),1,0)</f>
        <v>0</v>
      </c>
      <c r="Y58" s="9" t="n">
        <f aca="false">IF(OR($L58="",$M58=""),1,0)</f>
        <v>0</v>
      </c>
      <c r="Z58" s="9" t="n">
        <f aca="false">IF(AND(ISNUMBER($E58),ISNUMBER($F58)),IF($F58&gt;$E58,1,0),0)+IF(AND(ISNUMBER($E58),ISNUMBER($G58)),IF($E58&gt;$G58,1,0),0)+IF(AND(ISNUMBER($F58),ISNUMBER($G58)),IF($F58&gt;$G58,1,0),0)</f>
        <v>0</v>
      </c>
      <c r="AA58" s="9" t="n">
        <f aca="false">IF(AND($P58="Derived",$V58="觀測"),1,0)</f>
        <v>0</v>
      </c>
      <c r="AB58" s="12" t="s">
        <v>90</v>
      </c>
    </row>
    <row r="59" customFormat="false" ht="15" hidden="false" customHeight="false" outlineLevel="0" collapsed="false">
      <c r="A59" s="9" t="s">
        <v>430</v>
      </c>
      <c r="B59" s="9" t="s">
        <v>431</v>
      </c>
      <c r="C59" s="9" t="s">
        <v>74</v>
      </c>
      <c r="D59" s="9" t="s">
        <v>432</v>
      </c>
      <c r="E59" s="10" t="n">
        <v>0.5</v>
      </c>
      <c r="F59" s="9"/>
      <c r="G59" s="9"/>
      <c r="H59" s="9" t="s">
        <v>76</v>
      </c>
      <c r="I59" s="9" t="s">
        <v>192</v>
      </c>
      <c r="J59" s="9"/>
      <c r="K59" s="9"/>
      <c r="L59" s="9" t="s">
        <v>433</v>
      </c>
      <c r="M59" s="9" t="s">
        <v>148</v>
      </c>
      <c r="N59" s="9" t="s">
        <v>149</v>
      </c>
      <c r="O59" s="9" t="s">
        <v>82</v>
      </c>
      <c r="P59" s="9" t="s">
        <v>83</v>
      </c>
      <c r="Q59" s="9" t="s">
        <v>434</v>
      </c>
      <c r="R59" s="9" t="s">
        <v>151</v>
      </c>
      <c r="S59" s="11" t="s">
        <v>86</v>
      </c>
      <c r="T59" s="9" t="s">
        <v>434</v>
      </c>
      <c r="U59" s="11" t="s">
        <v>152</v>
      </c>
      <c r="V59" s="11" t="s">
        <v>88</v>
      </c>
      <c r="W59" s="11" t="s">
        <v>435</v>
      </c>
      <c r="X59" s="9" t="n">
        <f aca="false">IF(AND(COUNT($E59:$G59)=0,LEFT($H59,2)&lt;&gt;"定性",LEFT($H59,2)&lt;&gt;"文字",LEFT($H59,2)&lt;&gt;"日期"),1,0)</f>
        <v>0</v>
      </c>
      <c r="Y59" s="9" t="n">
        <f aca="false">IF(OR($L59="",$M59=""),1,0)</f>
        <v>0</v>
      </c>
      <c r="Z59" s="9" t="n">
        <f aca="false">IF(AND(ISNUMBER($E59),ISNUMBER($F59)),IF($F59&gt;$E59,1,0),0)+IF(AND(ISNUMBER($E59),ISNUMBER($G59)),IF($E59&gt;$G59,1,0),0)+IF(AND(ISNUMBER($F59),ISNUMBER($G59)),IF($F59&gt;$G59,1,0),0)</f>
        <v>0</v>
      </c>
      <c r="AA59" s="9" t="n">
        <f aca="false">IF(AND($P59="Derived",$V59="觀測"),1,0)</f>
        <v>0</v>
      </c>
      <c r="AB59" s="12" t="s">
        <v>90</v>
      </c>
    </row>
    <row r="60" customFormat="false" ht="15" hidden="false" customHeight="false" outlineLevel="0" collapsed="false">
      <c r="A60" s="9" t="s">
        <v>436</v>
      </c>
      <c r="B60" s="9" t="s">
        <v>437</v>
      </c>
      <c r="C60" s="9" t="s">
        <v>74</v>
      </c>
      <c r="D60" s="9" t="s">
        <v>432</v>
      </c>
      <c r="E60" s="10" t="n">
        <v>1</v>
      </c>
      <c r="F60" s="9"/>
      <c r="G60" s="10" t="n">
        <v>1</v>
      </c>
      <c r="H60" s="9" t="s">
        <v>76</v>
      </c>
      <c r="I60" s="9" t="s">
        <v>196</v>
      </c>
      <c r="J60" s="9"/>
      <c r="K60" s="9"/>
      <c r="L60" s="9" t="s">
        <v>321</v>
      </c>
      <c r="M60" s="9" t="s">
        <v>198</v>
      </c>
      <c r="N60" s="9" t="s">
        <v>199</v>
      </c>
      <c r="O60" s="9" t="s">
        <v>82</v>
      </c>
      <c r="P60" s="9" t="s">
        <v>83</v>
      </c>
      <c r="Q60" s="9" t="s">
        <v>434</v>
      </c>
      <c r="R60" s="9" t="s">
        <v>85</v>
      </c>
      <c r="S60" s="11" t="s">
        <v>86</v>
      </c>
      <c r="T60" s="9" t="s">
        <v>434</v>
      </c>
      <c r="U60" s="11" t="s">
        <v>87</v>
      </c>
      <c r="V60" s="11" t="s">
        <v>88</v>
      </c>
      <c r="W60" s="11" t="s">
        <v>438</v>
      </c>
      <c r="X60" s="9" t="n">
        <f aca="false">IF(AND(COUNT($E60:$G60)=0,LEFT($H60,2)&lt;&gt;"定性",LEFT($H60,2)&lt;&gt;"文字",LEFT($H60,2)&lt;&gt;"日期"),1,0)</f>
        <v>0</v>
      </c>
      <c r="Y60" s="9" t="n">
        <f aca="false">IF(OR($L60="",$M60=""),1,0)</f>
        <v>0</v>
      </c>
      <c r="Z60" s="9" t="n">
        <f aca="false">IF(AND(ISNUMBER($E60),ISNUMBER($F60)),IF($F60&gt;$E60,1,0),0)+IF(AND(ISNUMBER($E60),ISNUMBER($G60)),IF($E60&gt;$G60,1,0),0)+IF(AND(ISNUMBER($F60),ISNUMBER($G60)),IF($F60&gt;$G60,1,0),0)</f>
        <v>0</v>
      </c>
      <c r="AA60" s="9" t="n">
        <f aca="false">IF(AND($P60="Derived",$V60="觀測"),1,0)</f>
        <v>0</v>
      </c>
      <c r="AB60" s="12" t="s">
        <v>90</v>
      </c>
    </row>
    <row r="61" customFormat="false" ht="15" hidden="false" customHeight="false" outlineLevel="0" collapsed="false">
      <c r="A61" s="9" t="s">
        <v>439</v>
      </c>
      <c r="B61" s="9" t="s">
        <v>440</v>
      </c>
      <c r="C61" s="9" t="s">
        <v>74</v>
      </c>
      <c r="D61" s="9" t="s">
        <v>432</v>
      </c>
      <c r="E61" s="10" t="n">
        <v>1</v>
      </c>
      <c r="F61" s="9"/>
      <c r="G61" s="9"/>
      <c r="H61" s="9" t="s">
        <v>76</v>
      </c>
      <c r="I61" s="9" t="s">
        <v>441</v>
      </c>
      <c r="J61" s="9"/>
      <c r="K61" s="9"/>
      <c r="L61" s="9" t="s">
        <v>442</v>
      </c>
      <c r="M61" s="9" t="s">
        <v>443</v>
      </c>
      <c r="N61" s="9" t="s">
        <v>444</v>
      </c>
      <c r="O61" s="9" t="s">
        <v>82</v>
      </c>
      <c r="P61" s="9" t="s">
        <v>83</v>
      </c>
      <c r="Q61" s="9" t="s">
        <v>434</v>
      </c>
      <c r="R61" s="9" t="s">
        <v>151</v>
      </c>
      <c r="S61" s="11" t="s">
        <v>86</v>
      </c>
      <c r="T61" s="9" t="s">
        <v>434</v>
      </c>
      <c r="U61" s="11" t="s">
        <v>152</v>
      </c>
      <c r="V61" s="11" t="s">
        <v>88</v>
      </c>
      <c r="W61" s="11" t="s">
        <v>445</v>
      </c>
      <c r="X61" s="9" t="n">
        <f aca="false">IF(AND(COUNT($E61:$G61)=0,LEFT($H61,2)&lt;&gt;"定性",LEFT($H61,2)&lt;&gt;"文字",LEFT($H61,2)&lt;&gt;"日期"),1,0)</f>
        <v>0</v>
      </c>
      <c r="Y61" s="9" t="n">
        <f aca="false">IF(OR($L61="",$M61=""),1,0)</f>
        <v>0</v>
      </c>
      <c r="Z61" s="9" t="n">
        <f aca="false">IF(AND(ISNUMBER($E61),ISNUMBER($F61)),IF($F61&gt;$E61,1,0),0)+IF(AND(ISNUMBER($E61),ISNUMBER($G61)),IF($E61&gt;$G61,1,0),0)+IF(AND(ISNUMBER($F61),ISNUMBER($G61)),IF($F61&gt;$G61,1,0),0)</f>
        <v>0</v>
      </c>
      <c r="AA61" s="9" t="n">
        <f aca="false">IF(AND($P61="Derived",$V61="觀測"),1,0)</f>
        <v>0</v>
      </c>
      <c r="AB61" s="12" t="s">
        <v>90</v>
      </c>
    </row>
    <row r="62" customFormat="false" ht="15" hidden="false" customHeight="false" outlineLevel="0" collapsed="false">
      <c r="A62" s="9" t="s">
        <v>446</v>
      </c>
      <c r="B62" s="9" t="s">
        <v>447</v>
      </c>
      <c r="C62" s="9" t="s">
        <v>74</v>
      </c>
      <c r="D62" s="9" t="s">
        <v>432</v>
      </c>
      <c r="E62" s="10" t="n">
        <v>2.5</v>
      </c>
      <c r="F62" s="9"/>
      <c r="G62" s="9"/>
      <c r="H62" s="9" t="s">
        <v>76</v>
      </c>
      <c r="I62" s="9" t="s">
        <v>215</v>
      </c>
      <c r="J62" s="9"/>
      <c r="K62" s="9"/>
      <c r="L62" s="9" t="s">
        <v>448</v>
      </c>
      <c r="M62" s="9" t="s">
        <v>217</v>
      </c>
      <c r="N62" s="9" t="s">
        <v>218</v>
      </c>
      <c r="O62" s="9" t="s">
        <v>82</v>
      </c>
      <c r="P62" s="9" t="s">
        <v>83</v>
      </c>
      <c r="Q62" s="9" t="s">
        <v>434</v>
      </c>
      <c r="R62" s="9" t="s">
        <v>151</v>
      </c>
      <c r="S62" s="11" t="s">
        <v>86</v>
      </c>
      <c r="T62" s="9" t="s">
        <v>434</v>
      </c>
      <c r="U62" s="11" t="s">
        <v>152</v>
      </c>
      <c r="V62" s="11" t="s">
        <v>88</v>
      </c>
      <c r="W62" s="11" t="s">
        <v>449</v>
      </c>
      <c r="X62" s="9" t="n">
        <f aca="false">IF(AND(COUNT($E62:$G62)=0,LEFT($H62,2)&lt;&gt;"定性",LEFT($H62,2)&lt;&gt;"文字",LEFT($H62,2)&lt;&gt;"日期"),1,0)</f>
        <v>0</v>
      </c>
      <c r="Y62" s="9" t="n">
        <f aca="false">IF(OR($L62="",$M62=""),1,0)</f>
        <v>0</v>
      </c>
      <c r="Z62" s="9" t="n">
        <f aca="false">IF(AND(ISNUMBER($E62),ISNUMBER($F62)),IF($F62&gt;$E62,1,0),0)+IF(AND(ISNUMBER($E62),ISNUMBER($G62)),IF($E62&gt;$G62,1,0),0)+IF(AND(ISNUMBER($F62),ISNUMBER($G62)),IF($F62&gt;$G62,1,0),0)</f>
        <v>0</v>
      </c>
      <c r="AA62" s="9" t="n">
        <f aca="false">IF(AND($P62="Derived",$V62="觀測"),1,0)</f>
        <v>0</v>
      </c>
      <c r="AB62" s="12" t="s">
        <v>90</v>
      </c>
    </row>
    <row r="63" customFormat="false" ht="15" hidden="false" customHeight="false" outlineLevel="0" collapsed="false">
      <c r="A63" s="9" t="s">
        <v>450</v>
      </c>
      <c r="B63" s="9" t="s">
        <v>451</v>
      </c>
      <c r="C63" s="9" t="s">
        <v>74</v>
      </c>
      <c r="D63" s="11" t="s">
        <v>452</v>
      </c>
      <c r="E63" s="10" t="n">
        <v>0.5</v>
      </c>
      <c r="F63" s="10" t="n">
        <v>0.5</v>
      </c>
      <c r="G63" s="9"/>
      <c r="H63" s="11" t="s">
        <v>269</v>
      </c>
      <c r="I63" s="9" t="s">
        <v>215</v>
      </c>
      <c r="J63" s="9"/>
      <c r="K63" s="9"/>
      <c r="L63" s="9" t="s">
        <v>448</v>
      </c>
      <c r="M63" s="9" t="s">
        <v>217</v>
      </c>
      <c r="N63" s="9" t="s">
        <v>218</v>
      </c>
      <c r="O63" s="9" t="s">
        <v>82</v>
      </c>
      <c r="P63" s="9" t="s">
        <v>83</v>
      </c>
      <c r="Q63" s="9" t="s">
        <v>434</v>
      </c>
      <c r="R63" s="9" t="s">
        <v>151</v>
      </c>
      <c r="S63" s="11" t="s">
        <v>86</v>
      </c>
      <c r="T63" s="9" t="s">
        <v>434</v>
      </c>
      <c r="U63" s="11" t="s">
        <v>152</v>
      </c>
      <c r="V63" s="11" t="s">
        <v>88</v>
      </c>
      <c r="W63" s="11" t="s">
        <v>453</v>
      </c>
      <c r="X63" s="9" t="n">
        <f aca="false">IF(AND(COUNT($E63:$G63)=0,LEFT($H63,2)&lt;&gt;"定性",LEFT($H63,2)&lt;&gt;"文字",LEFT($H63,2)&lt;&gt;"日期"),1,0)</f>
        <v>0</v>
      </c>
      <c r="Y63" s="9" t="n">
        <f aca="false">IF(OR($L63="",$M63=""),1,0)</f>
        <v>0</v>
      </c>
      <c r="Z63" s="9" t="n">
        <f aca="false">IF(AND(ISNUMBER($E63),ISNUMBER($F63)),IF($F63&gt;$E63,1,0),0)+IF(AND(ISNUMBER($E63),ISNUMBER($G63)),IF($E63&gt;$G63,1,0),0)+IF(AND(ISNUMBER($F63),ISNUMBER($G63)),IF($F63&gt;$G63,1,0),0)</f>
        <v>0</v>
      </c>
      <c r="AA63" s="9" t="n">
        <f aca="false">IF(AND($P63="Derived",$V63="觀測"),1,0)</f>
        <v>0</v>
      </c>
      <c r="AB63" s="12" t="s">
        <v>90</v>
      </c>
    </row>
    <row r="64" customFormat="false" ht="15" hidden="false" customHeight="false" outlineLevel="0" collapsed="false">
      <c r="A64" s="9" t="s">
        <v>454</v>
      </c>
      <c r="B64" s="9" t="s">
        <v>455</v>
      </c>
      <c r="C64" s="9" t="s">
        <v>74</v>
      </c>
      <c r="D64" s="9" t="s">
        <v>456</v>
      </c>
      <c r="E64" s="10" t="n">
        <v>8</v>
      </c>
      <c r="F64" s="10" t="n">
        <v>5</v>
      </c>
      <c r="G64" s="10" t="n">
        <v>10</v>
      </c>
      <c r="H64" s="9" t="s">
        <v>76</v>
      </c>
      <c r="I64" s="9" t="s">
        <v>233</v>
      </c>
      <c r="J64" s="9"/>
      <c r="K64" s="9"/>
      <c r="L64" s="9" t="s">
        <v>457</v>
      </c>
      <c r="M64" s="9" t="s">
        <v>458</v>
      </c>
      <c r="N64" s="9" t="s">
        <v>233</v>
      </c>
      <c r="O64" s="9" t="s">
        <v>82</v>
      </c>
      <c r="P64" s="9" t="s">
        <v>299</v>
      </c>
      <c r="Q64" s="9"/>
      <c r="R64" s="9" t="s">
        <v>85</v>
      </c>
      <c r="S64" s="11" t="s">
        <v>300</v>
      </c>
      <c r="T64" s="11" t="s">
        <v>301</v>
      </c>
      <c r="U64" s="11" t="s">
        <v>87</v>
      </c>
      <c r="V64" s="11" t="s">
        <v>88</v>
      </c>
      <c r="W64" s="11" t="s">
        <v>459</v>
      </c>
      <c r="X64" s="9" t="n">
        <f aca="false">IF(AND(COUNT($E64:$G64)=0,LEFT($H64,2)&lt;&gt;"定性",LEFT($H64,2)&lt;&gt;"文字",LEFT($H64,2)&lt;&gt;"日期"),1,0)</f>
        <v>0</v>
      </c>
      <c r="Y64" s="9" t="n">
        <f aca="false">IF(OR($L64="",$M64=""),1,0)</f>
        <v>0</v>
      </c>
      <c r="Z64" s="9" t="n">
        <f aca="false">IF(AND(ISNUMBER($E64),ISNUMBER($F64)),IF($F64&gt;$E64,1,0),0)+IF(AND(ISNUMBER($E64),ISNUMBER($G64)),IF($E64&gt;$G64,1,0),0)+IF(AND(ISNUMBER($F64),ISNUMBER($G64)),IF($F64&gt;$G64,1,0),0)</f>
        <v>0</v>
      </c>
      <c r="AA64" s="9" t="n">
        <f aca="false">IF(AND($P64="Derived",$V64="觀測"),1,0)</f>
        <v>0</v>
      </c>
      <c r="AB64" s="12" t="s">
        <v>90</v>
      </c>
    </row>
    <row r="65" customFormat="false" ht="15" hidden="false" customHeight="false" outlineLevel="0" collapsed="false">
      <c r="A65" s="9" t="s">
        <v>460</v>
      </c>
      <c r="B65" s="9" t="s">
        <v>461</v>
      </c>
      <c r="C65" s="9" t="s">
        <v>74</v>
      </c>
      <c r="D65" s="9" t="s">
        <v>462</v>
      </c>
      <c r="E65" s="10" t="n">
        <v>0.725</v>
      </c>
      <c r="F65" s="10" t="n">
        <v>0.7</v>
      </c>
      <c r="G65" s="10" t="n">
        <v>0.75</v>
      </c>
      <c r="H65" s="11" t="s">
        <v>269</v>
      </c>
      <c r="I65" s="9" t="s">
        <v>306</v>
      </c>
      <c r="J65" s="9"/>
      <c r="K65" s="9"/>
      <c r="L65" s="9" t="s">
        <v>463</v>
      </c>
      <c r="M65" s="9" t="s">
        <v>464</v>
      </c>
      <c r="N65" s="9" t="s">
        <v>465</v>
      </c>
      <c r="O65" s="9" t="s">
        <v>82</v>
      </c>
      <c r="P65" s="9" t="s">
        <v>299</v>
      </c>
      <c r="Q65" s="9"/>
      <c r="R65" s="9" t="s">
        <v>85</v>
      </c>
      <c r="S65" s="11" t="s">
        <v>300</v>
      </c>
      <c r="T65" s="11" t="s">
        <v>301</v>
      </c>
      <c r="U65" s="11" t="s">
        <v>87</v>
      </c>
      <c r="V65" s="11" t="s">
        <v>88</v>
      </c>
      <c r="W65" s="11" t="s">
        <v>466</v>
      </c>
      <c r="X65" s="9" t="n">
        <f aca="false">IF(AND(COUNT($E65:$G65)=0,LEFT($H65,2)&lt;&gt;"定性",LEFT($H65,2)&lt;&gt;"文字",LEFT($H65,2)&lt;&gt;"日期"),1,0)</f>
        <v>0</v>
      </c>
      <c r="Y65" s="9" t="n">
        <f aca="false">IF(OR($L65="",$M65=""),1,0)</f>
        <v>0</v>
      </c>
      <c r="Z65" s="9" t="n">
        <f aca="false">IF(AND(ISNUMBER($E65),ISNUMBER($F65)),IF($F65&gt;$E65,1,0),0)+IF(AND(ISNUMBER($E65),ISNUMBER($G65)),IF($E65&gt;$G65,1,0),0)+IF(AND(ISNUMBER($F65),ISNUMBER($G65)),IF($F65&gt;$G65,1,0),0)</f>
        <v>0</v>
      </c>
      <c r="AA65" s="9" t="n">
        <f aca="false">IF(AND($P65="Derived",$V65="觀測"),1,0)</f>
        <v>0</v>
      </c>
      <c r="AB65" s="12" t="s">
        <v>90</v>
      </c>
    </row>
    <row r="66" customFormat="false" ht="15" hidden="false" customHeight="false" outlineLevel="0" collapsed="false">
      <c r="A66" s="9" t="s">
        <v>467</v>
      </c>
      <c r="B66" s="9" t="s">
        <v>468</v>
      </c>
      <c r="C66" s="9" t="s">
        <v>74</v>
      </c>
      <c r="D66" s="11" t="s">
        <v>469</v>
      </c>
      <c r="E66" s="10" t="n">
        <v>0.125</v>
      </c>
      <c r="F66" s="10" t="n">
        <v>0.1</v>
      </c>
      <c r="G66" s="10" t="n">
        <v>0.15</v>
      </c>
      <c r="H66" s="11" t="s">
        <v>269</v>
      </c>
      <c r="I66" s="9" t="s">
        <v>306</v>
      </c>
      <c r="J66" s="9"/>
      <c r="K66" s="9"/>
      <c r="L66" s="9" t="s">
        <v>470</v>
      </c>
      <c r="M66" s="9" t="s">
        <v>464</v>
      </c>
      <c r="N66" s="9" t="s">
        <v>465</v>
      </c>
      <c r="O66" s="9" t="s">
        <v>82</v>
      </c>
      <c r="P66" s="9" t="s">
        <v>299</v>
      </c>
      <c r="Q66" s="9"/>
      <c r="R66" s="9" t="s">
        <v>85</v>
      </c>
      <c r="S66" s="11" t="s">
        <v>300</v>
      </c>
      <c r="T66" s="11" t="s">
        <v>301</v>
      </c>
      <c r="U66" s="11" t="s">
        <v>87</v>
      </c>
      <c r="V66" s="11" t="s">
        <v>88</v>
      </c>
      <c r="W66" s="11" t="s">
        <v>471</v>
      </c>
      <c r="X66" s="9" t="n">
        <f aca="false">IF(AND(COUNT($E66:$G66)=0,LEFT($H66,2)&lt;&gt;"定性",LEFT($H66,2)&lt;&gt;"文字",LEFT($H66,2)&lt;&gt;"日期"),1,0)</f>
        <v>0</v>
      </c>
      <c r="Y66" s="9" t="n">
        <f aca="false">IF(OR($L66="",$M66=""),1,0)</f>
        <v>0</v>
      </c>
      <c r="Z66" s="9" t="n">
        <f aca="false">IF(AND(ISNUMBER($E66),ISNUMBER($F66)),IF($F66&gt;$E66,1,0),0)+IF(AND(ISNUMBER($E66),ISNUMBER($G66)),IF($E66&gt;$G66,1,0),0)+IF(AND(ISNUMBER($F66),ISNUMBER($G66)),IF($F66&gt;$G66,1,0),0)</f>
        <v>0</v>
      </c>
      <c r="AA66" s="9" t="n">
        <f aca="false">IF(AND($P66="Derived",$V66="觀測"),1,0)</f>
        <v>0</v>
      </c>
      <c r="AB66" s="12" t="s">
        <v>90</v>
      </c>
    </row>
    <row r="67" customFormat="false" ht="15" hidden="false" customHeight="false" outlineLevel="0" collapsed="false">
      <c r="A67" s="9" t="s">
        <v>472</v>
      </c>
      <c r="B67" s="9" t="s">
        <v>473</v>
      </c>
      <c r="C67" s="9" t="s">
        <v>74</v>
      </c>
      <c r="D67" s="11" t="s">
        <v>474</v>
      </c>
      <c r="E67" s="10" t="n">
        <v>0.15</v>
      </c>
      <c r="F67" s="10" t="n">
        <v>0.1</v>
      </c>
      <c r="G67" s="10" t="n">
        <v>0.2</v>
      </c>
      <c r="H67" s="11" t="s">
        <v>269</v>
      </c>
      <c r="I67" s="9" t="s">
        <v>77</v>
      </c>
      <c r="J67" s="9"/>
      <c r="K67" s="9"/>
      <c r="L67" s="9" t="s">
        <v>475</v>
      </c>
      <c r="M67" s="9" t="s">
        <v>476</v>
      </c>
      <c r="N67" s="9" t="s">
        <v>477</v>
      </c>
      <c r="O67" s="9" t="s">
        <v>82</v>
      </c>
      <c r="P67" s="9" t="s">
        <v>299</v>
      </c>
      <c r="Q67" s="9"/>
      <c r="R67" s="9" t="s">
        <v>85</v>
      </c>
      <c r="S67" s="11" t="s">
        <v>300</v>
      </c>
      <c r="T67" s="11" t="s">
        <v>301</v>
      </c>
      <c r="U67" s="11" t="s">
        <v>87</v>
      </c>
      <c r="V67" s="11" t="s">
        <v>88</v>
      </c>
      <c r="W67" s="11" t="s">
        <v>478</v>
      </c>
      <c r="X67" s="9" t="n">
        <f aca="false">IF(AND(COUNT($E67:$G67)=0,LEFT($H67,2)&lt;&gt;"定性",LEFT($H67,2)&lt;&gt;"文字",LEFT($H67,2)&lt;&gt;"日期"),1,0)</f>
        <v>0</v>
      </c>
      <c r="Y67" s="9" t="n">
        <f aca="false">IF(OR($L67="",$M67=""),1,0)</f>
        <v>0</v>
      </c>
      <c r="Z67" s="9" t="n">
        <f aca="false">IF(AND(ISNUMBER($E67),ISNUMBER($F67)),IF($F67&gt;$E67,1,0),0)+IF(AND(ISNUMBER($E67),ISNUMBER($G67)),IF($E67&gt;$G67,1,0),0)+IF(AND(ISNUMBER($F67),ISNUMBER($G67)),IF($F67&gt;$G67,1,0),0)</f>
        <v>0</v>
      </c>
      <c r="AA67" s="9" t="n">
        <f aca="false">IF(AND($P67="Derived",$V67="觀測"),1,0)</f>
        <v>0</v>
      </c>
      <c r="AB67" s="12" t="s">
        <v>90</v>
      </c>
    </row>
    <row r="68" customFormat="false" ht="15" hidden="false" customHeight="false" outlineLevel="0" collapsed="false">
      <c r="A68" s="9" t="s">
        <v>479</v>
      </c>
      <c r="B68" s="9" t="s">
        <v>480</v>
      </c>
      <c r="C68" s="9" t="s">
        <v>74</v>
      </c>
      <c r="D68" s="9" t="s">
        <v>481</v>
      </c>
      <c r="E68" s="10" t="n">
        <v>0.909</v>
      </c>
      <c r="F68" s="9"/>
      <c r="G68" s="9"/>
      <c r="H68" s="9" t="s">
        <v>482</v>
      </c>
      <c r="I68" s="9" t="s">
        <v>483</v>
      </c>
      <c r="J68" s="13" t="n">
        <v>46022</v>
      </c>
      <c r="K68" s="11" t="s">
        <v>78</v>
      </c>
      <c r="L68" s="9" t="s">
        <v>264</v>
      </c>
      <c r="M68" s="9" t="s">
        <v>257</v>
      </c>
      <c r="N68" s="9" t="s">
        <v>258</v>
      </c>
      <c r="O68" s="9" t="s">
        <v>82</v>
      </c>
      <c r="P68" s="9" t="s">
        <v>83</v>
      </c>
      <c r="Q68" s="9" t="s">
        <v>326</v>
      </c>
      <c r="R68" s="9" t="s">
        <v>85</v>
      </c>
      <c r="S68" s="11" t="s">
        <v>86</v>
      </c>
      <c r="T68" s="9" t="s">
        <v>326</v>
      </c>
      <c r="U68" s="11" t="s">
        <v>87</v>
      </c>
      <c r="V68" s="11" t="s">
        <v>88</v>
      </c>
      <c r="W68" s="11" t="s">
        <v>484</v>
      </c>
      <c r="X68" s="9" t="n">
        <f aca="false">IF(AND(COUNT($E68:$G68)=0,LEFT($H68,2)&lt;&gt;"定性",LEFT($H68,2)&lt;&gt;"文字",LEFT($H68,2)&lt;&gt;"日期"),1,0)</f>
        <v>0</v>
      </c>
      <c r="Y68" s="9" t="n">
        <f aca="false">IF(OR($L68="",$M68=""),1,0)</f>
        <v>0</v>
      </c>
      <c r="Z68" s="9" t="n">
        <f aca="false">IF(AND(ISNUMBER($E68),ISNUMBER($F68)),IF($F68&gt;$E68,1,0),0)+IF(AND(ISNUMBER($E68),ISNUMBER($G68)),IF($E68&gt;$G68,1,0),0)+IF(AND(ISNUMBER($F68),ISNUMBER($G68)),IF($F68&gt;$G68,1,0),0)</f>
        <v>0</v>
      </c>
      <c r="AA68" s="9" t="n">
        <f aca="false">IF(AND($P68="Derived",$V68="觀測"),1,0)</f>
        <v>0</v>
      </c>
      <c r="AB68" s="12" t="s">
        <v>90</v>
      </c>
    </row>
    <row r="69" customFormat="false" ht="15" hidden="false" customHeight="false" outlineLevel="0" collapsed="false">
      <c r="A69" s="9" t="s">
        <v>485</v>
      </c>
      <c r="B69" s="9" t="s">
        <v>486</v>
      </c>
      <c r="C69" s="9" t="s">
        <v>487</v>
      </c>
      <c r="D69" s="9" t="s">
        <v>488</v>
      </c>
      <c r="E69" s="10" t="n">
        <v>15</v>
      </c>
      <c r="F69" s="9"/>
      <c r="G69" s="9"/>
      <c r="H69" s="9" t="s">
        <v>489</v>
      </c>
      <c r="I69" s="9" t="s">
        <v>490</v>
      </c>
      <c r="J69" s="13" t="n">
        <v>45355</v>
      </c>
      <c r="K69" s="9"/>
      <c r="L69" s="9" t="s">
        <v>491</v>
      </c>
      <c r="M69" s="9" t="s">
        <v>492</v>
      </c>
      <c r="N69" s="9" t="s">
        <v>490</v>
      </c>
      <c r="O69" s="9" t="s">
        <v>82</v>
      </c>
      <c r="P69" s="9" t="s">
        <v>83</v>
      </c>
      <c r="Q69" s="9" t="s">
        <v>493</v>
      </c>
      <c r="R69" s="9" t="s">
        <v>151</v>
      </c>
      <c r="S69" s="11" t="s">
        <v>86</v>
      </c>
      <c r="T69" s="9" t="s">
        <v>493</v>
      </c>
      <c r="U69" s="11" t="s">
        <v>152</v>
      </c>
      <c r="V69" s="11" t="s">
        <v>88</v>
      </c>
      <c r="W69" s="11" t="s">
        <v>494</v>
      </c>
      <c r="X69" s="9" t="n">
        <f aca="false">IF(AND(COUNT($E69:$G69)=0,LEFT($H69,2)&lt;&gt;"定性",LEFT($H69,2)&lt;&gt;"文字",LEFT($H69,2)&lt;&gt;"日期"),1,0)</f>
        <v>0</v>
      </c>
      <c r="Y69" s="9" t="n">
        <f aca="false">IF(OR($L69="",$M69=""),1,0)</f>
        <v>0</v>
      </c>
      <c r="Z69" s="9" t="n">
        <f aca="false">IF(AND(ISNUMBER($E69),ISNUMBER($F69)),IF($F69&gt;$E69,1,0),0)+IF(AND(ISNUMBER($E69),ISNUMBER($G69)),IF($E69&gt;$G69,1,0),0)+IF(AND(ISNUMBER($F69),ISNUMBER($G69)),IF($F69&gt;$G69,1,0),0)</f>
        <v>0</v>
      </c>
      <c r="AA69" s="9" t="n">
        <f aca="false">IF(AND($P69="Derived",$V69="觀測"),1,0)</f>
        <v>0</v>
      </c>
      <c r="AB69" s="12" t="s">
        <v>90</v>
      </c>
    </row>
    <row r="70" customFormat="false" ht="15" hidden="false" customHeight="false" outlineLevel="0" collapsed="false">
      <c r="A70" s="9" t="s">
        <v>495</v>
      </c>
      <c r="B70" s="9" t="s">
        <v>496</v>
      </c>
      <c r="C70" s="9" t="s">
        <v>487</v>
      </c>
      <c r="D70" s="9" t="s">
        <v>497</v>
      </c>
      <c r="E70" s="10" t="n">
        <v>75</v>
      </c>
      <c r="F70" s="9"/>
      <c r="G70" s="9"/>
      <c r="H70" s="9" t="s">
        <v>489</v>
      </c>
      <c r="I70" s="9" t="s">
        <v>490</v>
      </c>
      <c r="J70" s="13" t="n">
        <v>45355</v>
      </c>
      <c r="K70" s="9"/>
      <c r="L70" s="9" t="s">
        <v>491</v>
      </c>
      <c r="M70" s="9" t="s">
        <v>492</v>
      </c>
      <c r="N70" s="9" t="s">
        <v>490</v>
      </c>
      <c r="O70" s="9" t="s">
        <v>82</v>
      </c>
      <c r="P70" s="9" t="s">
        <v>83</v>
      </c>
      <c r="Q70" s="9" t="s">
        <v>493</v>
      </c>
      <c r="R70" s="9" t="s">
        <v>151</v>
      </c>
      <c r="S70" s="11" t="s">
        <v>86</v>
      </c>
      <c r="T70" s="9" t="s">
        <v>493</v>
      </c>
      <c r="U70" s="11" t="s">
        <v>152</v>
      </c>
      <c r="V70" s="11" t="s">
        <v>88</v>
      </c>
      <c r="W70" s="11" t="s">
        <v>494</v>
      </c>
      <c r="X70" s="9" t="n">
        <f aca="false">IF(AND(COUNT($E70:$G70)=0,LEFT($H70,2)&lt;&gt;"定性",LEFT($H70,2)&lt;&gt;"文字",LEFT($H70,2)&lt;&gt;"日期"),1,0)</f>
        <v>0</v>
      </c>
      <c r="Y70" s="9" t="n">
        <f aca="false">IF(OR($L70="",$M70=""),1,0)</f>
        <v>0</v>
      </c>
      <c r="Z70" s="9" t="n">
        <f aca="false">IF(AND(ISNUMBER($E70),ISNUMBER($F70)),IF($F70&gt;$E70,1,0),0)+IF(AND(ISNUMBER($E70),ISNUMBER($G70)),IF($E70&gt;$G70,1,0),0)+IF(AND(ISNUMBER($F70),ISNUMBER($G70)),IF($F70&gt;$G70,1,0),0)</f>
        <v>0</v>
      </c>
      <c r="AA70" s="9" t="n">
        <f aca="false">IF(AND($P70="Derived",$V70="觀測"),1,0)</f>
        <v>0</v>
      </c>
      <c r="AB70" s="12" t="s">
        <v>90</v>
      </c>
    </row>
    <row r="71" customFormat="false" ht="15" hidden="false" customHeight="false" outlineLevel="0" collapsed="false">
      <c r="A71" s="9" t="s">
        <v>498</v>
      </c>
      <c r="B71" s="9" t="s">
        <v>499</v>
      </c>
      <c r="C71" s="9" t="s">
        <v>487</v>
      </c>
      <c r="D71" s="9" t="s">
        <v>500</v>
      </c>
      <c r="E71" s="10" t="n">
        <v>3</v>
      </c>
      <c r="F71" s="9"/>
      <c r="G71" s="9"/>
      <c r="H71" s="9" t="s">
        <v>489</v>
      </c>
      <c r="I71" s="9" t="s">
        <v>490</v>
      </c>
      <c r="J71" s="13" t="n">
        <v>45355</v>
      </c>
      <c r="K71" s="9"/>
      <c r="L71" s="9" t="s">
        <v>491</v>
      </c>
      <c r="M71" s="9" t="s">
        <v>492</v>
      </c>
      <c r="N71" s="9" t="s">
        <v>490</v>
      </c>
      <c r="O71" s="9" t="s">
        <v>82</v>
      </c>
      <c r="P71" s="9" t="s">
        <v>83</v>
      </c>
      <c r="Q71" s="9" t="s">
        <v>493</v>
      </c>
      <c r="R71" s="9" t="s">
        <v>151</v>
      </c>
      <c r="S71" s="11" t="s">
        <v>86</v>
      </c>
      <c r="T71" s="9" t="s">
        <v>493</v>
      </c>
      <c r="U71" s="11" t="s">
        <v>152</v>
      </c>
      <c r="V71" s="11" t="s">
        <v>88</v>
      </c>
      <c r="W71" s="11" t="s">
        <v>501</v>
      </c>
      <c r="X71" s="9" t="n">
        <f aca="false">IF(AND(COUNT($E71:$G71)=0,LEFT($H71,2)&lt;&gt;"定性",LEFT($H71,2)&lt;&gt;"文字",LEFT($H71,2)&lt;&gt;"日期"),1,0)</f>
        <v>0</v>
      </c>
      <c r="Y71" s="9" t="n">
        <f aca="false">IF(OR($L71="",$M71=""),1,0)</f>
        <v>0</v>
      </c>
      <c r="Z71" s="9" t="n">
        <f aca="false">IF(AND(ISNUMBER($E71),ISNUMBER($F71)),IF($F71&gt;$E71,1,0),0)+IF(AND(ISNUMBER($E71),ISNUMBER($G71)),IF($E71&gt;$G71,1,0),0)+IF(AND(ISNUMBER($F71),ISNUMBER($G71)),IF($F71&gt;$G71,1,0),0)</f>
        <v>0</v>
      </c>
      <c r="AA71" s="9" t="n">
        <f aca="false">IF(AND($P71="Derived",$V71="觀測"),1,0)</f>
        <v>0</v>
      </c>
      <c r="AB71" s="12" t="s">
        <v>90</v>
      </c>
    </row>
    <row r="72" customFormat="false" ht="15" hidden="false" customHeight="false" outlineLevel="0" collapsed="false">
      <c r="A72" s="9" t="s">
        <v>502</v>
      </c>
      <c r="B72" s="9" t="s">
        <v>503</v>
      </c>
      <c r="C72" s="9" t="s">
        <v>487</v>
      </c>
      <c r="D72" s="9" t="s">
        <v>504</v>
      </c>
      <c r="E72" s="10" t="n">
        <v>15</v>
      </c>
      <c r="F72" s="9"/>
      <c r="G72" s="9"/>
      <c r="H72" s="9" t="s">
        <v>489</v>
      </c>
      <c r="I72" s="9" t="s">
        <v>490</v>
      </c>
      <c r="J72" s="13" t="n">
        <v>45355</v>
      </c>
      <c r="K72" s="9"/>
      <c r="L72" s="9" t="s">
        <v>491</v>
      </c>
      <c r="M72" s="9" t="s">
        <v>492</v>
      </c>
      <c r="N72" s="9" t="s">
        <v>490</v>
      </c>
      <c r="O72" s="9" t="s">
        <v>82</v>
      </c>
      <c r="P72" s="9" t="s">
        <v>83</v>
      </c>
      <c r="Q72" s="9" t="s">
        <v>493</v>
      </c>
      <c r="R72" s="9" t="s">
        <v>151</v>
      </c>
      <c r="S72" s="11" t="s">
        <v>86</v>
      </c>
      <c r="T72" s="9" t="s">
        <v>493</v>
      </c>
      <c r="U72" s="11" t="s">
        <v>152</v>
      </c>
      <c r="V72" s="11" t="s">
        <v>88</v>
      </c>
      <c r="W72" s="11" t="s">
        <v>501</v>
      </c>
      <c r="X72" s="9" t="n">
        <f aca="false">IF(AND(COUNT($E72:$G72)=0,LEFT($H72,2)&lt;&gt;"定性",LEFT($H72,2)&lt;&gt;"文字",LEFT($H72,2)&lt;&gt;"日期"),1,0)</f>
        <v>0</v>
      </c>
      <c r="Y72" s="9" t="n">
        <f aca="false">IF(OR($L72="",$M72=""),1,0)</f>
        <v>0</v>
      </c>
      <c r="Z72" s="9" t="n">
        <f aca="false">IF(AND(ISNUMBER($E72),ISNUMBER($F72)),IF($F72&gt;$E72,1,0),0)+IF(AND(ISNUMBER($E72),ISNUMBER($G72)),IF($E72&gt;$G72,1,0),0)+IF(AND(ISNUMBER($F72),ISNUMBER($G72)),IF($F72&gt;$G72,1,0),0)</f>
        <v>0</v>
      </c>
      <c r="AA72" s="9" t="n">
        <f aca="false">IF(AND($P72="Derived",$V72="觀測"),1,0)</f>
        <v>0</v>
      </c>
      <c r="AB72" s="12" t="s">
        <v>90</v>
      </c>
    </row>
    <row r="73" customFormat="false" ht="15" hidden="false" customHeight="false" outlineLevel="0" collapsed="false">
      <c r="A73" s="9" t="s">
        <v>505</v>
      </c>
      <c r="B73" s="9" t="s">
        <v>506</v>
      </c>
      <c r="C73" s="9" t="s">
        <v>487</v>
      </c>
      <c r="D73" s="9" t="s">
        <v>507</v>
      </c>
      <c r="E73" s="10" t="n">
        <v>0.25</v>
      </c>
      <c r="F73" s="9"/>
      <c r="G73" s="9"/>
      <c r="H73" s="9" t="s">
        <v>489</v>
      </c>
      <c r="I73" s="9" t="s">
        <v>490</v>
      </c>
      <c r="J73" s="13" t="n">
        <v>45355</v>
      </c>
      <c r="K73" s="9"/>
      <c r="L73" s="9" t="s">
        <v>491</v>
      </c>
      <c r="M73" s="9" t="s">
        <v>492</v>
      </c>
      <c r="N73" s="9" t="s">
        <v>490</v>
      </c>
      <c r="O73" s="9" t="s">
        <v>82</v>
      </c>
      <c r="P73" s="9" t="s">
        <v>83</v>
      </c>
      <c r="Q73" s="9" t="s">
        <v>493</v>
      </c>
      <c r="R73" s="9" t="s">
        <v>151</v>
      </c>
      <c r="S73" s="11" t="s">
        <v>86</v>
      </c>
      <c r="T73" s="9" t="s">
        <v>493</v>
      </c>
      <c r="U73" s="11" t="s">
        <v>152</v>
      </c>
      <c r="V73" s="11" t="s">
        <v>88</v>
      </c>
      <c r="W73" s="11" t="s">
        <v>508</v>
      </c>
      <c r="X73" s="9" t="n">
        <f aca="false">IF(AND(COUNT($E73:$G73)=0,LEFT($H73,2)&lt;&gt;"定性",LEFT($H73,2)&lt;&gt;"文字",LEFT($H73,2)&lt;&gt;"日期"),1,0)</f>
        <v>0</v>
      </c>
      <c r="Y73" s="9" t="n">
        <f aca="false">IF(OR($L73="",$M73=""),1,0)</f>
        <v>0</v>
      </c>
      <c r="Z73" s="9" t="n">
        <f aca="false">IF(AND(ISNUMBER($E73),ISNUMBER($F73)),IF($F73&gt;$E73,1,0),0)+IF(AND(ISNUMBER($E73),ISNUMBER($G73)),IF($E73&gt;$G73,1,0),0)+IF(AND(ISNUMBER($F73),ISNUMBER($G73)),IF($F73&gt;$G73,1,0),0)</f>
        <v>0</v>
      </c>
      <c r="AA73" s="9" t="n">
        <f aca="false">IF(AND($P73="Derived",$V73="觀測"),1,0)</f>
        <v>0</v>
      </c>
      <c r="AB73" s="12" t="s">
        <v>90</v>
      </c>
    </row>
    <row r="74" customFormat="false" ht="15" hidden="false" customHeight="false" outlineLevel="0" collapsed="false">
      <c r="A74" s="9" t="s">
        <v>509</v>
      </c>
      <c r="B74" s="9" t="s">
        <v>510</v>
      </c>
      <c r="C74" s="9" t="s">
        <v>487</v>
      </c>
      <c r="D74" s="9" t="s">
        <v>511</v>
      </c>
      <c r="E74" s="10" t="n">
        <v>1.25</v>
      </c>
      <c r="F74" s="9"/>
      <c r="G74" s="9"/>
      <c r="H74" s="9" t="s">
        <v>489</v>
      </c>
      <c r="I74" s="9" t="s">
        <v>490</v>
      </c>
      <c r="J74" s="13" t="n">
        <v>45355</v>
      </c>
      <c r="K74" s="9"/>
      <c r="L74" s="9" t="s">
        <v>491</v>
      </c>
      <c r="M74" s="9" t="s">
        <v>492</v>
      </c>
      <c r="N74" s="9" t="s">
        <v>490</v>
      </c>
      <c r="O74" s="9" t="s">
        <v>82</v>
      </c>
      <c r="P74" s="9" t="s">
        <v>83</v>
      </c>
      <c r="Q74" s="9" t="s">
        <v>493</v>
      </c>
      <c r="R74" s="9" t="s">
        <v>151</v>
      </c>
      <c r="S74" s="11" t="s">
        <v>86</v>
      </c>
      <c r="T74" s="9" t="s">
        <v>493</v>
      </c>
      <c r="U74" s="11" t="s">
        <v>152</v>
      </c>
      <c r="V74" s="11" t="s">
        <v>88</v>
      </c>
      <c r="W74" s="11" t="s">
        <v>508</v>
      </c>
      <c r="X74" s="9" t="n">
        <f aca="false">IF(AND(COUNT($E74:$G74)=0,LEFT($H74,2)&lt;&gt;"定性",LEFT($H74,2)&lt;&gt;"文字",LEFT($H74,2)&lt;&gt;"日期"),1,0)</f>
        <v>0</v>
      </c>
      <c r="Y74" s="9" t="n">
        <f aca="false">IF(OR($L74="",$M74=""),1,0)</f>
        <v>0</v>
      </c>
      <c r="Z74" s="9" t="n">
        <f aca="false">IF(AND(ISNUMBER($E74),ISNUMBER($F74)),IF($F74&gt;$E74,1,0),0)+IF(AND(ISNUMBER($E74),ISNUMBER($G74)),IF($E74&gt;$G74,1,0),0)+IF(AND(ISNUMBER($F74),ISNUMBER($G74)),IF($F74&gt;$G74,1,0),0)</f>
        <v>0</v>
      </c>
      <c r="AA74" s="9" t="n">
        <f aca="false">IF(AND($P74="Derived",$V74="觀測"),1,0)</f>
        <v>0</v>
      </c>
      <c r="AB74" s="12" t="s">
        <v>90</v>
      </c>
    </row>
    <row r="75" customFormat="false" ht="15" hidden="false" customHeight="false" outlineLevel="0" collapsed="false">
      <c r="A75" s="9" t="s">
        <v>512</v>
      </c>
      <c r="B75" s="9" t="s">
        <v>513</v>
      </c>
      <c r="C75" s="9" t="s">
        <v>487</v>
      </c>
      <c r="D75" s="9" t="s">
        <v>514</v>
      </c>
      <c r="E75" s="10" t="n">
        <v>3</v>
      </c>
      <c r="F75" s="9"/>
      <c r="G75" s="9"/>
      <c r="H75" s="9" t="s">
        <v>489</v>
      </c>
      <c r="I75" s="9" t="s">
        <v>515</v>
      </c>
      <c r="J75" s="13" t="n">
        <v>45463</v>
      </c>
      <c r="K75" s="9"/>
      <c r="L75" s="9" t="s">
        <v>516</v>
      </c>
      <c r="M75" s="9" t="s">
        <v>517</v>
      </c>
      <c r="N75" s="9" t="s">
        <v>518</v>
      </c>
      <c r="O75" s="9" t="s">
        <v>82</v>
      </c>
      <c r="P75" s="9" t="s">
        <v>83</v>
      </c>
      <c r="Q75" s="9" t="s">
        <v>493</v>
      </c>
      <c r="R75" s="9" t="s">
        <v>151</v>
      </c>
      <c r="S75" s="11" t="s">
        <v>86</v>
      </c>
      <c r="T75" s="9" t="s">
        <v>493</v>
      </c>
      <c r="U75" s="11" t="s">
        <v>152</v>
      </c>
      <c r="V75" s="11" t="s">
        <v>88</v>
      </c>
      <c r="W75" s="11" t="s">
        <v>519</v>
      </c>
      <c r="X75" s="9" t="n">
        <f aca="false">IF(AND(COUNT($E75:$G75)=0,LEFT($H75,2)&lt;&gt;"定性",LEFT($H75,2)&lt;&gt;"文字",LEFT($H75,2)&lt;&gt;"日期"),1,0)</f>
        <v>0</v>
      </c>
      <c r="Y75" s="9" t="n">
        <f aca="false">IF(OR($L75="",$M75=""),1,0)</f>
        <v>0</v>
      </c>
      <c r="Z75" s="9" t="n">
        <f aca="false">IF(AND(ISNUMBER($E75),ISNUMBER($F75)),IF($F75&gt;$E75,1,0),0)+IF(AND(ISNUMBER($E75),ISNUMBER($G75)),IF($E75&gt;$G75,1,0),0)+IF(AND(ISNUMBER($F75),ISNUMBER($G75)),IF($F75&gt;$G75,1,0),0)</f>
        <v>0</v>
      </c>
      <c r="AA75" s="9" t="n">
        <f aca="false">IF(AND($P75="Derived",$V75="觀測"),1,0)</f>
        <v>0</v>
      </c>
      <c r="AB75" s="12" t="s">
        <v>90</v>
      </c>
    </row>
    <row r="76" customFormat="false" ht="15" hidden="false" customHeight="false" outlineLevel="0" collapsed="false">
      <c r="A76" s="9" t="s">
        <v>520</v>
      </c>
      <c r="B76" s="9" t="s">
        <v>521</v>
      </c>
      <c r="C76" s="9" t="s">
        <v>487</v>
      </c>
      <c r="D76" s="9" t="s">
        <v>522</v>
      </c>
      <c r="E76" s="10" t="n">
        <v>15</v>
      </c>
      <c r="F76" s="9"/>
      <c r="G76" s="9"/>
      <c r="H76" s="9" t="s">
        <v>489</v>
      </c>
      <c r="I76" s="9" t="s">
        <v>515</v>
      </c>
      <c r="J76" s="13" t="n">
        <v>45463</v>
      </c>
      <c r="K76" s="9"/>
      <c r="L76" s="9" t="s">
        <v>516</v>
      </c>
      <c r="M76" s="9" t="s">
        <v>517</v>
      </c>
      <c r="N76" s="9" t="s">
        <v>518</v>
      </c>
      <c r="O76" s="9" t="s">
        <v>82</v>
      </c>
      <c r="P76" s="9" t="s">
        <v>83</v>
      </c>
      <c r="Q76" s="9" t="s">
        <v>493</v>
      </c>
      <c r="R76" s="9" t="s">
        <v>151</v>
      </c>
      <c r="S76" s="11" t="s">
        <v>86</v>
      </c>
      <c r="T76" s="9" t="s">
        <v>493</v>
      </c>
      <c r="U76" s="11" t="s">
        <v>152</v>
      </c>
      <c r="V76" s="11" t="s">
        <v>88</v>
      </c>
      <c r="W76" s="11" t="s">
        <v>519</v>
      </c>
      <c r="X76" s="9" t="n">
        <f aca="false">IF(AND(COUNT($E76:$G76)=0,LEFT($H76,2)&lt;&gt;"定性",LEFT($H76,2)&lt;&gt;"文字",LEFT($H76,2)&lt;&gt;"日期"),1,0)</f>
        <v>0</v>
      </c>
      <c r="Y76" s="9" t="n">
        <f aca="false">IF(OR($L76="",$M76=""),1,0)</f>
        <v>0</v>
      </c>
      <c r="Z76" s="9" t="n">
        <f aca="false">IF(AND(ISNUMBER($E76),ISNUMBER($F76)),IF($F76&gt;$E76,1,0),0)+IF(AND(ISNUMBER($E76),ISNUMBER($G76)),IF($E76&gt;$G76,1,0),0)+IF(AND(ISNUMBER($F76),ISNUMBER($G76)),IF($F76&gt;$G76,1,0),0)</f>
        <v>0</v>
      </c>
      <c r="AA76" s="9" t="n">
        <f aca="false">IF(AND($P76="Derived",$V76="觀測"),1,0)</f>
        <v>0</v>
      </c>
      <c r="AB76" s="12" t="s">
        <v>90</v>
      </c>
    </row>
    <row r="77" customFormat="false" ht="15" hidden="false" customHeight="false" outlineLevel="0" collapsed="false">
      <c r="A77" s="9" t="s">
        <v>523</v>
      </c>
      <c r="B77" s="9" t="s">
        <v>524</v>
      </c>
      <c r="C77" s="9" t="s">
        <v>487</v>
      </c>
      <c r="D77" s="9" t="s">
        <v>525</v>
      </c>
      <c r="E77" s="10" t="n">
        <v>1</v>
      </c>
      <c r="F77" s="9"/>
      <c r="G77" s="9"/>
      <c r="H77" s="9" t="s">
        <v>489</v>
      </c>
      <c r="I77" s="9" t="s">
        <v>526</v>
      </c>
      <c r="J77" s="13" t="n">
        <v>45600</v>
      </c>
      <c r="K77" s="9"/>
      <c r="L77" s="9" t="s">
        <v>527</v>
      </c>
      <c r="M77" s="9" t="s">
        <v>528</v>
      </c>
      <c r="N77" s="9" t="s">
        <v>526</v>
      </c>
      <c r="O77" s="9" t="s">
        <v>82</v>
      </c>
      <c r="P77" s="9" t="s">
        <v>83</v>
      </c>
      <c r="Q77" s="9" t="s">
        <v>529</v>
      </c>
      <c r="R77" s="9" t="s">
        <v>85</v>
      </c>
      <c r="S77" s="11" t="s">
        <v>86</v>
      </c>
      <c r="T77" s="9" t="s">
        <v>529</v>
      </c>
      <c r="U77" s="11" t="s">
        <v>87</v>
      </c>
      <c r="V77" s="11" t="s">
        <v>88</v>
      </c>
      <c r="W77" s="11" t="s">
        <v>530</v>
      </c>
      <c r="X77" s="9" t="n">
        <f aca="false">IF(AND(COUNT($E77:$G77)=0,LEFT($H77,2)&lt;&gt;"定性",LEFT($H77,2)&lt;&gt;"文字",LEFT($H77,2)&lt;&gt;"日期"),1,0)</f>
        <v>0</v>
      </c>
      <c r="Y77" s="9" t="n">
        <f aca="false">IF(OR($L77="",$M77=""),1,0)</f>
        <v>0</v>
      </c>
      <c r="Z77" s="9" t="n">
        <f aca="false">IF(AND(ISNUMBER($E77),ISNUMBER($F77)),IF($F77&gt;$E77,1,0),0)+IF(AND(ISNUMBER($E77),ISNUMBER($G77)),IF($E77&gt;$G77,1,0),0)+IF(AND(ISNUMBER($F77),ISNUMBER($G77)),IF($F77&gt;$G77,1,0),0)</f>
        <v>0</v>
      </c>
      <c r="AA77" s="9" t="n">
        <f aca="false">IF(AND($P77="Derived",$V77="觀測"),1,0)</f>
        <v>0</v>
      </c>
      <c r="AB77" s="12" t="s">
        <v>90</v>
      </c>
    </row>
    <row r="78" customFormat="false" ht="15" hidden="false" customHeight="false" outlineLevel="0" collapsed="false">
      <c r="A78" s="9" t="s">
        <v>531</v>
      </c>
      <c r="B78" s="9" t="s">
        <v>532</v>
      </c>
      <c r="C78" s="9" t="s">
        <v>487</v>
      </c>
      <c r="D78" s="9" t="s">
        <v>533</v>
      </c>
      <c r="E78" s="10" t="n">
        <v>5</v>
      </c>
      <c r="F78" s="9"/>
      <c r="G78" s="9"/>
      <c r="H78" s="9" t="s">
        <v>489</v>
      </c>
      <c r="I78" s="9" t="s">
        <v>526</v>
      </c>
      <c r="J78" s="13" t="n">
        <v>45600</v>
      </c>
      <c r="K78" s="9"/>
      <c r="L78" s="9" t="s">
        <v>527</v>
      </c>
      <c r="M78" s="9" t="s">
        <v>528</v>
      </c>
      <c r="N78" s="9" t="s">
        <v>526</v>
      </c>
      <c r="O78" s="9" t="s">
        <v>82</v>
      </c>
      <c r="P78" s="9" t="s">
        <v>83</v>
      </c>
      <c r="Q78" s="9" t="s">
        <v>529</v>
      </c>
      <c r="R78" s="9" t="s">
        <v>85</v>
      </c>
      <c r="S78" s="11" t="s">
        <v>86</v>
      </c>
      <c r="T78" s="9" t="s">
        <v>529</v>
      </c>
      <c r="U78" s="11" t="s">
        <v>87</v>
      </c>
      <c r="V78" s="11" t="s">
        <v>88</v>
      </c>
      <c r="W78" s="11" t="s">
        <v>530</v>
      </c>
      <c r="X78" s="9" t="n">
        <f aca="false">IF(AND(COUNT($E78:$G78)=0,LEFT($H78,2)&lt;&gt;"定性",LEFT($H78,2)&lt;&gt;"文字",LEFT($H78,2)&lt;&gt;"日期"),1,0)</f>
        <v>0</v>
      </c>
      <c r="Y78" s="9" t="n">
        <f aca="false">IF(OR($L78="",$M78=""),1,0)</f>
        <v>0</v>
      </c>
      <c r="Z78" s="9" t="n">
        <f aca="false">IF(AND(ISNUMBER($E78),ISNUMBER($F78)),IF($F78&gt;$E78,1,0),0)+IF(AND(ISNUMBER($E78),ISNUMBER($G78)),IF($E78&gt;$G78,1,0),0)+IF(AND(ISNUMBER($F78),ISNUMBER($G78)),IF($F78&gt;$G78,1,0),0)</f>
        <v>0</v>
      </c>
      <c r="AA78" s="9" t="n">
        <f aca="false">IF(AND($P78="Derived",$V78="觀測"),1,0)</f>
        <v>0</v>
      </c>
      <c r="AB78" s="12" t="s">
        <v>90</v>
      </c>
    </row>
    <row r="79" customFormat="false" ht="15" hidden="false" customHeight="false" outlineLevel="0" collapsed="false">
      <c r="A79" s="9" t="s">
        <v>534</v>
      </c>
      <c r="B79" s="9" t="s">
        <v>535</v>
      </c>
      <c r="C79" s="9" t="s">
        <v>487</v>
      </c>
      <c r="D79" s="9" t="s">
        <v>536</v>
      </c>
      <c r="E79" s="10" t="n">
        <v>0.8</v>
      </c>
      <c r="F79" s="9"/>
      <c r="G79" s="9"/>
      <c r="H79" s="9" t="s">
        <v>489</v>
      </c>
      <c r="I79" s="9" t="s">
        <v>537</v>
      </c>
      <c r="J79" s="13" t="n">
        <v>45629</v>
      </c>
      <c r="K79" s="9"/>
      <c r="L79" s="9" t="s">
        <v>538</v>
      </c>
      <c r="M79" s="9" t="s">
        <v>539</v>
      </c>
      <c r="N79" s="9" t="s">
        <v>537</v>
      </c>
      <c r="O79" s="9" t="s">
        <v>82</v>
      </c>
      <c r="P79" s="9" t="s">
        <v>83</v>
      </c>
      <c r="Q79" s="9" t="s">
        <v>493</v>
      </c>
      <c r="R79" s="9" t="s">
        <v>151</v>
      </c>
      <c r="S79" s="11" t="s">
        <v>86</v>
      </c>
      <c r="T79" s="9" t="s">
        <v>493</v>
      </c>
      <c r="U79" s="11" t="s">
        <v>152</v>
      </c>
      <c r="V79" s="11" t="s">
        <v>88</v>
      </c>
      <c r="W79" s="11" t="s">
        <v>540</v>
      </c>
      <c r="X79" s="9" t="n">
        <f aca="false">IF(AND(COUNT($E79:$G79)=0,LEFT($H79,2)&lt;&gt;"定性",LEFT($H79,2)&lt;&gt;"文字",LEFT($H79,2)&lt;&gt;"日期"),1,0)</f>
        <v>0</v>
      </c>
      <c r="Y79" s="9" t="n">
        <f aca="false">IF(OR($L79="",$M79=""),1,0)</f>
        <v>0</v>
      </c>
      <c r="Z79" s="9" t="n">
        <f aca="false">IF(AND(ISNUMBER($E79),ISNUMBER($F79)),IF($F79&gt;$E79,1,0),0)+IF(AND(ISNUMBER($E79),ISNUMBER($G79)),IF($E79&gt;$G79,1,0),0)+IF(AND(ISNUMBER($F79),ISNUMBER($G79)),IF($F79&gt;$G79,1,0),0)</f>
        <v>0</v>
      </c>
      <c r="AA79" s="9" t="n">
        <f aca="false">IF(AND($P79="Derived",$V79="觀測"),1,0)</f>
        <v>0</v>
      </c>
      <c r="AB79" s="12" t="s">
        <v>90</v>
      </c>
    </row>
    <row r="80" customFormat="false" ht="15" hidden="false" customHeight="false" outlineLevel="0" collapsed="false">
      <c r="A80" s="9" t="s">
        <v>541</v>
      </c>
      <c r="B80" s="9" t="s">
        <v>542</v>
      </c>
      <c r="C80" s="9" t="s">
        <v>487</v>
      </c>
      <c r="D80" s="9" t="s">
        <v>543</v>
      </c>
      <c r="E80" s="10" t="n">
        <v>4</v>
      </c>
      <c r="F80" s="9"/>
      <c r="G80" s="9"/>
      <c r="H80" s="9" t="s">
        <v>489</v>
      </c>
      <c r="I80" s="9" t="s">
        <v>537</v>
      </c>
      <c r="J80" s="13" t="n">
        <v>45629</v>
      </c>
      <c r="K80" s="9"/>
      <c r="L80" s="9" t="s">
        <v>538</v>
      </c>
      <c r="M80" s="9" t="s">
        <v>539</v>
      </c>
      <c r="N80" s="9" t="s">
        <v>537</v>
      </c>
      <c r="O80" s="9" t="s">
        <v>82</v>
      </c>
      <c r="P80" s="9" t="s">
        <v>83</v>
      </c>
      <c r="Q80" s="9" t="s">
        <v>493</v>
      </c>
      <c r="R80" s="9" t="s">
        <v>151</v>
      </c>
      <c r="S80" s="11" t="s">
        <v>86</v>
      </c>
      <c r="T80" s="9" t="s">
        <v>493</v>
      </c>
      <c r="U80" s="11" t="s">
        <v>152</v>
      </c>
      <c r="V80" s="11" t="s">
        <v>88</v>
      </c>
      <c r="W80" s="11" t="s">
        <v>540</v>
      </c>
      <c r="X80" s="9" t="n">
        <f aca="false">IF(AND(COUNT($E80:$G80)=0,LEFT($H80,2)&lt;&gt;"定性",LEFT($H80,2)&lt;&gt;"文字",LEFT($H80,2)&lt;&gt;"日期"),1,0)</f>
        <v>0</v>
      </c>
      <c r="Y80" s="9" t="n">
        <f aca="false">IF(OR($L80="",$M80=""),1,0)</f>
        <v>0</v>
      </c>
      <c r="Z80" s="9" t="n">
        <f aca="false">IF(AND(ISNUMBER($E80),ISNUMBER($F80)),IF($F80&gt;$E80,1,0),0)+IF(AND(ISNUMBER($E80),ISNUMBER($G80)),IF($E80&gt;$G80,1,0),0)+IF(AND(ISNUMBER($F80),ISNUMBER($G80)),IF($F80&gt;$G80,1,0),0)</f>
        <v>0</v>
      </c>
      <c r="AA80" s="9" t="n">
        <f aca="false">IF(AND($P80="Derived",$V80="觀測"),1,0)</f>
        <v>0</v>
      </c>
      <c r="AB80" s="12" t="s">
        <v>90</v>
      </c>
    </row>
    <row r="81" customFormat="false" ht="15" hidden="false" customHeight="false" outlineLevel="0" collapsed="false">
      <c r="A81" s="9" t="s">
        <v>544</v>
      </c>
      <c r="B81" s="9" t="s">
        <v>545</v>
      </c>
      <c r="C81" s="9" t="s">
        <v>487</v>
      </c>
      <c r="D81" s="9" t="s">
        <v>546</v>
      </c>
      <c r="E81" s="10" t="n">
        <v>3</v>
      </c>
      <c r="F81" s="9"/>
      <c r="G81" s="9"/>
      <c r="H81" s="9" t="s">
        <v>489</v>
      </c>
      <c r="I81" s="9" t="s">
        <v>547</v>
      </c>
      <c r="J81" s="13" t="n">
        <v>45712</v>
      </c>
      <c r="K81" s="9"/>
      <c r="L81" s="9" t="s">
        <v>548</v>
      </c>
      <c r="M81" s="9" t="s">
        <v>549</v>
      </c>
      <c r="N81" s="9" t="s">
        <v>547</v>
      </c>
      <c r="O81" s="9" t="s">
        <v>82</v>
      </c>
      <c r="P81" s="9" t="s">
        <v>83</v>
      </c>
      <c r="Q81" s="9" t="s">
        <v>493</v>
      </c>
      <c r="R81" s="9" t="s">
        <v>151</v>
      </c>
      <c r="S81" s="11" t="s">
        <v>86</v>
      </c>
      <c r="T81" s="9" t="s">
        <v>493</v>
      </c>
      <c r="U81" s="11" t="s">
        <v>152</v>
      </c>
      <c r="V81" s="11" t="s">
        <v>88</v>
      </c>
      <c r="W81" s="11" t="s">
        <v>550</v>
      </c>
      <c r="X81" s="9" t="n">
        <f aca="false">IF(AND(COUNT($E81:$G81)=0,LEFT($H81,2)&lt;&gt;"定性",LEFT($H81,2)&lt;&gt;"文字",LEFT($H81,2)&lt;&gt;"日期"),1,0)</f>
        <v>0</v>
      </c>
      <c r="Y81" s="9" t="n">
        <f aca="false">IF(OR($L81="",$M81=""),1,0)</f>
        <v>0</v>
      </c>
      <c r="Z81" s="9" t="n">
        <f aca="false">IF(AND(ISNUMBER($E81),ISNUMBER($F81)),IF($F81&gt;$E81,1,0),0)+IF(AND(ISNUMBER($E81),ISNUMBER($G81)),IF($E81&gt;$G81,1,0),0)+IF(AND(ISNUMBER($F81),ISNUMBER($G81)),IF($F81&gt;$G81,1,0),0)</f>
        <v>0</v>
      </c>
      <c r="AA81" s="9" t="n">
        <f aca="false">IF(AND($P81="Derived",$V81="觀測"),1,0)</f>
        <v>0</v>
      </c>
      <c r="AB81" s="12" t="s">
        <v>90</v>
      </c>
    </row>
    <row r="82" customFormat="false" ht="15" hidden="false" customHeight="false" outlineLevel="0" collapsed="false">
      <c r="A82" s="9" t="s">
        <v>551</v>
      </c>
      <c r="B82" s="9" t="s">
        <v>552</v>
      </c>
      <c r="C82" s="9" t="s">
        <v>487</v>
      </c>
      <c r="D82" s="9" t="s">
        <v>553</v>
      </c>
      <c r="E82" s="10" t="n">
        <v>15</v>
      </c>
      <c r="F82" s="9"/>
      <c r="G82" s="9"/>
      <c r="H82" s="9" t="s">
        <v>489</v>
      </c>
      <c r="I82" s="9" t="s">
        <v>547</v>
      </c>
      <c r="J82" s="13" t="n">
        <v>45712</v>
      </c>
      <c r="K82" s="9"/>
      <c r="L82" s="9" t="s">
        <v>548</v>
      </c>
      <c r="M82" s="9" t="s">
        <v>549</v>
      </c>
      <c r="N82" s="9" t="s">
        <v>547</v>
      </c>
      <c r="O82" s="9" t="s">
        <v>82</v>
      </c>
      <c r="P82" s="9" t="s">
        <v>83</v>
      </c>
      <c r="Q82" s="9" t="s">
        <v>493</v>
      </c>
      <c r="R82" s="9" t="s">
        <v>151</v>
      </c>
      <c r="S82" s="11" t="s">
        <v>86</v>
      </c>
      <c r="T82" s="9" t="s">
        <v>493</v>
      </c>
      <c r="U82" s="11" t="s">
        <v>152</v>
      </c>
      <c r="V82" s="11" t="s">
        <v>88</v>
      </c>
      <c r="W82" s="11" t="s">
        <v>550</v>
      </c>
      <c r="X82" s="9" t="n">
        <f aca="false">IF(AND(COUNT($E82:$G82)=0,LEFT($H82,2)&lt;&gt;"定性",LEFT($H82,2)&lt;&gt;"文字",LEFT($H82,2)&lt;&gt;"日期"),1,0)</f>
        <v>0</v>
      </c>
      <c r="Y82" s="9" t="n">
        <f aca="false">IF(OR($L82="",$M82=""),1,0)</f>
        <v>0</v>
      </c>
      <c r="Z82" s="9" t="n">
        <f aca="false">IF(AND(ISNUMBER($E82),ISNUMBER($F82)),IF($F82&gt;$E82,1,0),0)+IF(AND(ISNUMBER($E82),ISNUMBER($G82)),IF($E82&gt;$G82,1,0),0)+IF(AND(ISNUMBER($F82),ISNUMBER($G82)),IF($F82&gt;$G82,1,0),0)</f>
        <v>0</v>
      </c>
      <c r="AA82" s="9" t="n">
        <f aca="false">IF(AND($P82="Derived",$V82="觀測"),1,0)</f>
        <v>0</v>
      </c>
      <c r="AB82" s="12" t="s">
        <v>90</v>
      </c>
    </row>
    <row r="83" customFormat="false" ht="15" hidden="false" customHeight="false" outlineLevel="0" collapsed="false">
      <c r="A83" s="9" t="s">
        <v>554</v>
      </c>
      <c r="B83" s="9" t="s">
        <v>555</v>
      </c>
      <c r="C83" s="9" t="s">
        <v>487</v>
      </c>
      <c r="D83" s="9" t="s">
        <v>556</v>
      </c>
      <c r="E83" s="10" t="n">
        <v>15</v>
      </c>
      <c r="F83" s="9"/>
      <c r="G83" s="9"/>
      <c r="H83" s="9" t="s">
        <v>489</v>
      </c>
      <c r="I83" s="9" t="s">
        <v>557</v>
      </c>
      <c r="J83" s="13" t="n">
        <v>45799</v>
      </c>
      <c r="K83" s="9"/>
      <c r="L83" s="9" t="s">
        <v>558</v>
      </c>
      <c r="M83" s="9" t="s">
        <v>559</v>
      </c>
      <c r="N83" s="9" t="s">
        <v>557</v>
      </c>
      <c r="O83" s="9" t="s">
        <v>82</v>
      </c>
      <c r="P83" s="9" t="s">
        <v>83</v>
      </c>
      <c r="Q83" s="9" t="s">
        <v>493</v>
      </c>
      <c r="R83" s="9" t="s">
        <v>151</v>
      </c>
      <c r="S83" s="11" t="s">
        <v>86</v>
      </c>
      <c r="T83" s="9" t="s">
        <v>493</v>
      </c>
      <c r="U83" s="11" t="s">
        <v>152</v>
      </c>
      <c r="V83" s="11" t="s">
        <v>88</v>
      </c>
      <c r="W83" s="11" t="s">
        <v>560</v>
      </c>
      <c r="X83" s="9" t="n">
        <f aca="false">IF(AND(COUNT($E83:$G83)=0,LEFT($H83,2)&lt;&gt;"定性",LEFT($H83,2)&lt;&gt;"文字",LEFT($H83,2)&lt;&gt;"日期"),1,0)</f>
        <v>0</v>
      </c>
      <c r="Y83" s="9" t="n">
        <f aca="false">IF(OR($L83="",$M83=""),1,0)</f>
        <v>0</v>
      </c>
      <c r="Z83" s="9" t="n">
        <f aca="false">IF(AND(ISNUMBER($E83),ISNUMBER($F83)),IF($F83&gt;$E83,1,0),0)+IF(AND(ISNUMBER($E83),ISNUMBER($G83)),IF($E83&gt;$G83,1,0),0)+IF(AND(ISNUMBER($F83),ISNUMBER($G83)),IF($F83&gt;$G83,1,0),0)</f>
        <v>0</v>
      </c>
      <c r="AA83" s="9" t="n">
        <f aca="false">IF(AND($P83="Derived",$V83="觀測"),1,0)</f>
        <v>0</v>
      </c>
      <c r="AB83" s="12" t="s">
        <v>90</v>
      </c>
    </row>
    <row r="84" customFormat="false" ht="15" hidden="false" customHeight="false" outlineLevel="0" collapsed="false">
      <c r="A84" s="9" t="s">
        <v>561</v>
      </c>
      <c r="B84" s="9" t="s">
        <v>562</v>
      </c>
      <c r="C84" s="9" t="s">
        <v>487</v>
      </c>
      <c r="D84" s="9" t="s">
        <v>563</v>
      </c>
      <c r="E84" s="10" t="n">
        <v>75</v>
      </c>
      <c r="F84" s="9"/>
      <c r="G84" s="9"/>
      <c r="H84" s="9" t="s">
        <v>489</v>
      </c>
      <c r="I84" s="9" t="s">
        <v>557</v>
      </c>
      <c r="J84" s="13" t="n">
        <v>45799</v>
      </c>
      <c r="K84" s="9"/>
      <c r="L84" s="9" t="s">
        <v>558</v>
      </c>
      <c r="M84" s="9" t="s">
        <v>559</v>
      </c>
      <c r="N84" s="9" t="s">
        <v>557</v>
      </c>
      <c r="O84" s="9" t="s">
        <v>82</v>
      </c>
      <c r="P84" s="9" t="s">
        <v>83</v>
      </c>
      <c r="Q84" s="9" t="s">
        <v>493</v>
      </c>
      <c r="R84" s="9" t="s">
        <v>151</v>
      </c>
      <c r="S84" s="11" t="s">
        <v>86</v>
      </c>
      <c r="T84" s="9" t="s">
        <v>493</v>
      </c>
      <c r="U84" s="11" t="s">
        <v>152</v>
      </c>
      <c r="V84" s="11" t="s">
        <v>88</v>
      </c>
      <c r="W84" s="11" t="s">
        <v>560</v>
      </c>
      <c r="X84" s="9" t="n">
        <f aca="false">IF(AND(COUNT($E84:$G84)=0,LEFT($H84,2)&lt;&gt;"定性",LEFT($H84,2)&lt;&gt;"文字",LEFT($H84,2)&lt;&gt;"日期"),1,0)</f>
        <v>0</v>
      </c>
      <c r="Y84" s="9" t="n">
        <f aca="false">IF(OR($L84="",$M84=""),1,0)</f>
        <v>0</v>
      </c>
      <c r="Z84" s="9" t="n">
        <f aca="false">IF(AND(ISNUMBER($E84),ISNUMBER($F84)),IF($F84&gt;$E84,1,0),0)+IF(AND(ISNUMBER($E84),ISNUMBER($G84)),IF($E84&gt;$G84,1,0),0)+IF(AND(ISNUMBER($F84),ISNUMBER($G84)),IF($F84&gt;$G84,1,0),0)</f>
        <v>0</v>
      </c>
      <c r="AA84" s="9" t="n">
        <f aca="false">IF(AND($P84="Derived",$V84="觀測"),1,0)</f>
        <v>0</v>
      </c>
      <c r="AB84" s="12" t="s">
        <v>90</v>
      </c>
    </row>
    <row r="85" customFormat="false" ht="15" hidden="false" customHeight="false" outlineLevel="0" collapsed="false">
      <c r="A85" s="9" t="s">
        <v>564</v>
      </c>
      <c r="B85" s="9" t="s">
        <v>565</v>
      </c>
      <c r="C85" s="9" t="s">
        <v>487</v>
      </c>
      <c r="D85" s="9" t="s">
        <v>566</v>
      </c>
      <c r="E85" s="10" t="n">
        <v>3</v>
      </c>
      <c r="F85" s="9"/>
      <c r="G85" s="9"/>
      <c r="H85" s="9" t="s">
        <v>489</v>
      </c>
      <c r="I85" s="9" t="s">
        <v>557</v>
      </c>
      <c r="J85" s="13" t="n">
        <v>45799</v>
      </c>
      <c r="K85" s="9"/>
      <c r="L85" s="9" t="s">
        <v>558</v>
      </c>
      <c r="M85" s="9" t="s">
        <v>559</v>
      </c>
      <c r="N85" s="9" t="s">
        <v>557</v>
      </c>
      <c r="O85" s="9" t="s">
        <v>82</v>
      </c>
      <c r="P85" s="9" t="s">
        <v>83</v>
      </c>
      <c r="Q85" s="9" t="s">
        <v>493</v>
      </c>
      <c r="R85" s="9" t="s">
        <v>151</v>
      </c>
      <c r="S85" s="11" t="s">
        <v>86</v>
      </c>
      <c r="T85" s="9" t="s">
        <v>493</v>
      </c>
      <c r="U85" s="11" t="s">
        <v>152</v>
      </c>
      <c r="V85" s="11" t="s">
        <v>88</v>
      </c>
      <c r="W85" s="11" t="s">
        <v>567</v>
      </c>
      <c r="X85" s="9" t="n">
        <f aca="false">IF(AND(COUNT($E85:$G85)=0,LEFT($H85,2)&lt;&gt;"定性",LEFT($H85,2)&lt;&gt;"文字",LEFT($H85,2)&lt;&gt;"日期"),1,0)</f>
        <v>0</v>
      </c>
      <c r="Y85" s="9" t="n">
        <f aca="false">IF(OR($L85="",$M85=""),1,0)</f>
        <v>0</v>
      </c>
      <c r="Z85" s="9" t="n">
        <f aca="false">IF(AND(ISNUMBER($E85),ISNUMBER($F85)),IF($F85&gt;$E85,1,0),0)+IF(AND(ISNUMBER($E85),ISNUMBER($G85)),IF($E85&gt;$G85,1,0),0)+IF(AND(ISNUMBER($F85),ISNUMBER($G85)),IF($F85&gt;$G85,1,0),0)</f>
        <v>0</v>
      </c>
      <c r="AA85" s="9" t="n">
        <f aca="false">IF(AND($P85="Derived",$V85="觀測"),1,0)</f>
        <v>0</v>
      </c>
      <c r="AB85" s="12" t="s">
        <v>90</v>
      </c>
    </row>
    <row r="86" customFormat="false" ht="15" hidden="false" customHeight="false" outlineLevel="0" collapsed="false">
      <c r="A86" s="9" t="s">
        <v>568</v>
      </c>
      <c r="B86" s="9" t="s">
        <v>569</v>
      </c>
      <c r="C86" s="9" t="s">
        <v>487</v>
      </c>
      <c r="D86" s="9" t="s">
        <v>570</v>
      </c>
      <c r="E86" s="10" t="n">
        <v>15</v>
      </c>
      <c r="F86" s="9"/>
      <c r="G86" s="9"/>
      <c r="H86" s="9" t="s">
        <v>489</v>
      </c>
      <c r="I86" s="9" t="s">
        <v>557</v>
      </c>
      <c r="J86" s="13" t="n">
        <v>45799</v>
      </c>
      <c r="K86" s="9"/>
      <c r="L86" s="9" t="s">
        <v>558</v>
      </c>
      <c r="M86" s="9" t="s">
        <v>559</v>
      </c>
      <c r="N86" s="9" t="s">
        <v>557</v>
      </c>
      <c r="O86" s="9" t="s">
        <v>82</v>
      </c>
      <c r="P86" s="9" t="s">
        <v>83</v>
      </c>
      <c r="Q86" s="9" t="s">
        <v>493</v>
      </c>
      <c r="R86" s="9" t="s">
        <v>151</v>
      </c>
      <c r="S86" s="11" t="s">
        <v>86</v>
      </c>
      <c r="T86" s="9" t="s">
        <v>493</v>
      </c>
      <c r="U86" s="11" t="s">
        <v>152</v>
      </c>
      <c r="V86" s="11" t="s">
        <v>88</v>
      </c>
      <c r="W86" s="11" t="s">
        <v>567</v>
      </c>
      <c r="X86" s="9" t="n">
        <f aca="false">IF(AND(COUNT($E86:$G86)=0,LEFT($H86,2)&lt;&gt;"定性",LEFT($H86,2)&lt;&gt;"文字",LEFT($H86,2)&lt;&gt;"日期"),1,0)</f>
        <v>0</v>
      </c>
      <c r="Y86" s="9" t="n">
        <f aca="false">IF(OR($L86="",$M86=""),1,0)</f>
        <v>0</v>
      </c>
      <c r="Z86" s="9" t="n">
        <f aca="false">IF(AND(ISNUMBER($E86),ISNUMBER($F86)),IF($F86&gt;$E86,1,0),0)+IF(AND(ISNUMBER($E86),ISNUMBER($G86)),IF($E86&gt;$G86,1,0),0)+IF(AND(ISNUMBER($F86),ISNUMBER($G86)),IF($F86&gt;$G86,1,0),0)</f>
        <v>0</v>
      </c>
      <c r="AA86" s="9" t="n">
        <f aca="false">IF(AND($P86="Derived",$V86="觀測"),1,0)</f>
        <v>0</v>
      </c>
      <c r="AB86" s="12" t="s">
        <v>90</v>
      </c>
    </row>
    <row r="87" customFormat="false" ht="15" hidden="false" customHeight="false" outlineLevel="0" collapsed="false">
      <c r="A87" s="9" t="s">
        <v>571</v>
      </c>
      <c r="B87" s="9" t="s">
        <v>572</v>
      </c>
      <c r="C87" s="9" t="s">
        <v>487</v>
      </c>
      <c r="D87" s="9" t="s">
        <v>573</v>
      </c>
      <c r="E87" s="10" t="n">
        <v>15</v>
      </c>
      <c r="F87" s="9"/>
      <c r="G87" s="9"/>
      <c r="H87" s="9" t="s">
        <v>489</v>
      </c>
      <c r="I87" s="9" t="s">
        <v>574</v>
      </c>
      <c r="J87" s="13" t="n">
        <v>45874</v>
      </c>
      <c r="K87" s="9"/>
      <c r="L87" s="9" t="s">
        <v>575</v>
      </c>
      <c r="M87" s="9" t="s">
        <v>576</v>
      </c>
      <c r="N87" s="9" t="s">
        <v>574</v>
      </c>
      <c r="O87" s="9" t="s">
        <v>82</v>
      </c>
      <c r="P87" s="9" t="s">
        <v>83</v>
      </c>
      <c r="Q87" s="9" t="s">
        <v>493</v>
      </c>
      <c r="R87" s="9" t="s">
        <v>151</v>
      </c>
      <c r="S87" s="11" t="s">
        <v>86</v>
      </c>
      <c r="T87" s="9" t="s">
        <v>493</v>
      </c>
      <c r="U87" s="11" t="s">
        <v>152</v>
      </c>
      <c r="V87" s="11" t="s">
        <v>88</v>
      </c>
      <c r="W87" s="11" t="s">
        <v>577</v>
      </c>
      <c r="X87" s="9" t="n">
        <f aca="false">IF(AND(COUNT($E87:$G87)=0,LEFT($H87,2)&lt;&gt;"定性",LEFT($H87,2)&lt;&gt;"文字",LEFT($H87,2)&lt;&gt;"日期"),1,0)</f>
        <v>0</v>
      </c>
      <c r="Y87" s="9" t="n">
        <f aca="false">IF(OR($L87="",$M87=""),1,0)</f>
        <v>0</v>
      </c>
      <c r="Z87" s="9" t="n">
        <f aca="false">IF(AND(ISNUMBER($E87),ISNUMBER($F87)),IF($F87&gt;$E87,1,0),0)+IF(AND(ISNUMBER($E87),ISNUMBER($G87)),IF($E87&gt;$G87,1,0),0)+IF(AND(ISNUMBER($F87),ISNUMBER($G87)),IF($F87&gt;$G87,1,0),0)</f>
        <v>0</v>
      </c>
      <c r="AA87" s="9" t="n">
        <f aca="false">IF(AND($P87="Derived",$V87="觀測"),1,0)</f>
        <v>0</v>
      </c>
      <c r="AB87" s="12" t="s">
        <v>90</v>
      </c>
    </row>
    <row r="88" customFormat="false" ht="15" hidden="false" customHeight="false" outlineLevel="0" collapsed="false">
      <c r="A88" s="9" t="s">
        <v>578</v>
      </c>
      <c r="B88" s="9" t="s">
        <v>579</v>
      </c>
      <c r="C88" s="9" t="s">
        <v>487</v>
      </c>
      <c r="D88" s="9" t="s">
        <v>580</v>
      </c>
      <c r="E88" s="10" t="n">
        <v>75</v>
      </c>
      <c r="F88" s="9"/>
      <c r="G88" s="9"/>
      <c r="H88" s="9" t="s">
        <v>489</v>
      </c>
      <c r="I88" s="9" t="s">
        <v>574</v>
      </c>
      <c r="J88" s="13" t="n">
        <v>45874</v>
      </c>
      <c r="K88" s="9"/>
      <c r="L88" s="9" t="s">
        <v>575</v>
      </c>
      <c r="M88" s="9" t="s">
        <v>576</v>
      </c>
      <c r="N88" s="9" t="s">
        <v>574</v>
      </c>
      <c r="O88" s="9" t="s">
        <v>82</v>
      </c>
      <c r="P88" s="9" t="s">
        <v>83</v>
      </c>
      <c r="Q88" s="9" t="s">
        <v>493</v>
      </c>
      <c r="R88" s="9" t="s">
        <v>151</v>
      </c>
      <c r="S88" s="11" t="s">
        <v>86</v>
      </c>
      <c r="T88" s="9" t="s">
        <v>493</v>
      </c>
      <c r="U88" s="11" t="s">
        <v>152</v>
      </c>
      <c r="V88" s="11" t="s">
        <v>88</v>
      </c>
      <c r="W88" s="11" t="s">
        <v>577</v>
      </c>
      <c r="X88" s="9" t="n">
        <f aca="false">IF(AND(COUNT($E88:$G88)=0,LEFT($H88,2)&lt;&gt;"定性",LEFT($H88,2)&lt;&gt;"文字",LEFT($H88,2)&lt;&gt;"日期"),1,0)</f>
        <v>0</v>
      </c>
      <c r="Y88" s="9" t="n">
        <f aca="false">IF(OR($L88="",$M88=""),1,0)</f>
        <v>0</v>
      </c>
      <c r="Z88" s="9" t="n">
        <f aca="false">IF(AND(ISNUMBER($E88),ISNUMBER($F88)),IF($F88&gt;$E88,1,0),0)+IF(AND(ISNUMBER($E88),ISNUMBER($G88)),IF($E88&gt;$G88,1,0),0)+IF(AND(ISNUMBER($F88),ISNUMBER($G88)),IF($F88&gt;$G88,1,0),0)</f>
        <v>0</v>
      </c>
      <c r="AA88" s="9" t="n">
        <f aca="false">IF(AND($P88="Derived",$V88="觀測"),1,0)</f>
        <v>0</v>
      </c>
      <c r="AB88" s="12" t="s">
        <v>90</v>
      </c>
    </row>
    <row r="89" customFormat="false" ht="15" hidden="false" customHeight="false" outlineLevel="0" collapsed="false">
      <c r="A89" s="9" t="s">
        <v>581</v>
      </c>
      <c r="B89" s="9" t="s">
        <v>582</v>
      </c>
      <c r="C89" s="9" t="s">
        <v>487</v>
      </c>
      <c r="D89" s="9" t="s">
        <v>583</v>
      </c>
      <c r="E89" s="10" t="n">
        <v>3</v>
      </c>
      <c r="F89" s="9"/>
      <c r="G89" s="9"/>
      <c r="H89" s="9" t="s">
        <v>489</v>
      </c>
      <c r="I89" s="9" t="s">
        <v>584</v>
      </c>
      <c r="J89" s="13" t="n">
        <v>45929</v>
      </c>
      <c r="K89" s="9"/>
      <c r="L89" s="9" t="s">
        <v>585</v>
      </c>
      <c r="M89" s="9" t="s">
        <v>586</v>
      </c>
      <c r="N89" s="9" t="s">
        <v>584</v>
      </c>
      <c r="O89" s="9" t="s">
        <v>82</v>
      </c>
      <c r="P89" s="9" t="s">
        <v>83</v>
      </c>
      <c r="Q89" s="9" t="s">
        <v>493</v>
      </c>
      <c r="R89" s="9" t="s">
        <v>151</v>
      </c>
      <c r="S89" s="11" t="s">
        <v>86</v>
      </c>
      <c r="T89" s="9" t="s">
        <v>493</v>
      </c>
      <c r="U89" s="11" t="s">
        <v>152</v>
      </c>
      <c r="V89" s="11" t="s">
        <v>88</v>
      </c>
      <c r="W89" s="11" t="s">
        <v>587</v>
      </c>
      <c r="X89" s="9" t="n">
        <f aca="false">IF(AND(COUNT($E89:$G89)=0,LEFT($H89,2)&lt;&gt;"定性",LEFT($H89,2)&lt;&gt;"文字",LEFT($H89,2)&lt;&gt;"日期"),1,0)</f>
        <v>0</v>
      </c>
      <c r="Y89" s="9" t="n">
        <f aca="false">IF(OR($L89="",$M89=""),1,0)</f>
        <v>0</v>
      </c>
      <c r="Z89" s="9" t="n">
        <f aca="false">IF(AND(ISNUMBER($E89),ISNUMBER($F89)),IF($F89&gt;$E89,1,0),0)+IF(AND(ISNUMBER($E89),ISNUMBER($G89)),IF($E89&gt;$G89,1,0),0)+IF(AND(ISNUMBER($F89),ISNUMBER($G89)),IF($F89&gt;$G89,1,0),0)</f>
        <v>0</v>
      </c>
      <c r="AA89" s="9" t="n">
        <f aca="false">IF(AND($P89="Derived",$V89="觀測"),1,0)</f>
        <v>0</v>
      </c>
      <c r="AB89" s="12" t="s">
        <v>90</v>
      </c>
    </row>
    <row r="90" customFormat="false" ht="15" hidden="false" customHeight="false" outlineLevel="0" collapsed="false">
      <c r="A90" s="9" t="s">
        <v>588</v>
      </c>
      <c r="B90" s="9" t="s">
        <v>589</v>
      </c>
      <c r="C90" s="9" t="s">
        <v>487</v>
      </c>
      <c r="D90" s="9" t="s">
        <v>590</v>
      </c>
      <c r="E90" s="10" t="n">
        <v>15</v>
      </c>
      <c r="F90" s="9"/>
      <c r="G90" s="9"/>
      <c r="H90" s="9" t="s">
        <v>489</v>
      </c>
      <c r="I90" s="9" t="s">
        <v>584</v>
      </c>
      <c r="J90" s="13" t="n">
        <v>45929</v>
      </c>
      <c r="K90" s="9"/>
      <c r="L90" s="9" t="s">
        <v>585</v>
      </c>
      <c r="M90" s="9" t="s">
        <v>586</v>
      </c>
      <c r="N90" s="9" t="s">
        <v>584</v>
      </c>
      <c r="O90" s="9" t="s">
        <v>82</v>
      </c>
      <c r="P90" s="9" t="s">
        <v>83</v>
      </c>
      <c r="Q90" s="9" t="s">
        <v>493</v>
      </c>
      <c r="R90" s="9" t="s">
        <v>151</v>
      </c>
      <c r="S90" s="11" t="s">
        <v>86</v>
      </c>
      <c r="T90" s="9" t="s">
        <v>493</v>
      </c>
      <c r="U90" s="11" t="s">
        <v>152</v>
      </c>
      <c r="V90" s="11" t="s">
        <v>88</v>
      </c>
      <c r="W90" s="11" t="s">
        <v>587</v>
      </c>
      <c r="X90" s="9" t="n">
        <f aca="false">IF(AND(COUNT($E90:$G90)=0,LEFT($H90,2)&lt;&gt;"定性",LEFT($H90,2)&lt;&gt;"文字",LEFT($H90,2)&lt;&gt;"日期"),1,0)</f>
        <v>0</v>
      </c>
      <c r="Y90" s="9" t="n">
        <f aca="false">IF(OR($L90="",$M90=""),1,0)</f>
        <v>0</v>
      </c>
      <c r="Z90" s="9" t="n">
        <f aca="false">IF(AND(ISNUMBER($E90),ISNUMBER($F90)),IF($F90&gt;$E90,1,0),0)+IF(AND(ISNUMBER($E90),ISNUMBER($G90)),IF($E90&gt;$G90,1,0),0)+IF(AND(ISNUMBER($F90),ISNUMBER($G90)),IF($F90&gt;$G90,1,0),0)</f>
        <v>0</v>
      </c>
      <c r="AA90" s="9" t="n">
        <f aca="false">IF(AND($P90="Derived",$V90="觀測"),1,0)</f>
        <v>0</v>
      </c>
      <c r="AB90" s="12" t="s">
        <v>90</v>
      </c>
    </row>
    <row r="91" customFormat="false" ht="15" hidden="false" customHeight="false" outlineLevel="0" collapsed="false">
      <c r="A91" s="9" t="s">
        <v>591</v>
      </c>
      <c r="B91" s="9" t="s">
        <v>592</v>
      </c>
      <c r="C91" s="9" t="s">
        <v>487</v>
      </c>
      <c r="D91" s="9" t="s">
        <v>593</v>
      </c>
      <c r="E91" s="10" t="n">
        <v>1</v>
      </c>
      <c r="F91" s="9"/>
      <c r="G91" s="9"/>
      <c r="H91" s="9" t="s">
        <v>489</v>
      </c>
      <c r="I91" s="9" t="s">
        <v>199</v>
      </c>
      <c r="J91" s="13" t="n">
        <v>45945</v>
      </c>
      <c r="K91" s="9"/>
      <c r="L91" s="9" t="s">
        <v>594</v>
      </c>
      <c r="M91" s="9" t="s">
        <v>595</v>
      </c>
      <c r="N91" s="9" t="s">
        <v>199</v>
      </c>
      <c r="O91" s="9" t="s">
        <v>82</v>
      </c>
      <c r="P91" s="9" t="s">
        <v>83</v>
      </c>
      <c r="Q91" s="9" t="s">
        <v>493</v>
      </c>
      <c r="R91" s="9" t="s">
        <v>151</v>
      </c>
      <c r="S91" s="11" t="s">
        <v>86</v>
      </c>
      <c r="T91" s="9" t="s">
        <v>493</v>
      </c>
      <c r="U91" s="11" t="s">
        <v>152</v>
      </c>
      <c r="V91" s="11" t="s">
        <v>88</v>
      </c>
      <c r="W91" s="11" t="s">
        <v>596</v>
      </c>
      <c r="X91" s="9" t="n">
        <f aca="false">IF(AND(COUNT($E91:$G91)=0,LEFT($H91,2)&lt;&gt;"定性",LEFT($H91,2)&lt;&gt;"文字",LEFT($H91,2)&lt;&gt;"日期"),1,0)</f>
        <v>0</v>
      </c>
      <c r="Y91" s="9" t="n">
        <f aca="false">IF(OR($L91="",$M91=""),1,0)</f>
        <v>0</v>
      </c>
      <c r="Z91" s="9" t="n">
        <f aca="false">IF(AND(ISNUMBER($E91),ISNUMBER($F91)),IF($F91&gt;$E91,1,0),0)+IF(AND(ISNUMBER($E91),ISNUMBER($G91)),IF($E91&gt;$G91,1,0),0)+IF(AND(ISNUMBER($F91),ISNUMBER($G91)),IF($F91&gt;$G91,1,0),0)</f>
        <v>0</v>
      </c>
      <c r="AA91" s="9" t="n">
        <f aca="false">IF(AND($P91="Derived",$V91="觀測"),1,0)</f>
        <v>0</v>
      </c>
      <c r="AB91" s="12" t="s">
        <v>90</v>
      </c>
    </row>
    <row r="92" customFormat="false" ht="15" hidden="false" customHeight="false" outlineLevel="0" collapsed="false">
      <c r="A92" s="9" t="s">
        <v>597</v>
      </c>
      <c r="B92" s="9" t="s">
        <v>598</v>
      </c>
      <c r="C92" s="9" t="s">
        <v>487</v>
      </c>
      <c r="D92" s="9" t="s">
        <v>599</v>
      </c>
      <c r="E92" s="10" t="n">
        <v>5</v>
      </c>
      <c r="F92" s="9"/>
      <c r="G92" s="9"/>
      <c r="H92" s="9" t="s">
        <v>489</v>
      </c>
      <c r="I92" s="9" t="s">
        <v>199</v>
      </c>
      <c r="J92" s="13" t="n">
        <v>45945</v>
      </c>
      <c r="K92" s="9"/>
      <c r="L92" s="9" t="s">
        <v>594</v>
      </c>
      <c r="M92" s="9" t="s">
        <v>595</v>
      </c>
      <c r="N92" s="9" t="s">
        <v>199</v>
      </c>
      <c r="O92" s="9" t="s">
        <v>82</v>
      </c>
      <c r="P92" s="9" t="s">
        <v>83</v>
      </c>
      <c r="Q92" s="9" t="s">
        <v>493</v>
      </c>
      <c r="R92" s="9" t="s">
        <v>151</v>
      </c>
      <c r="S92" s="11" t="s">
        <v>86</v>
      </c>
      <c r="T92" s="9" t="s">
        <v>493</v>
      </c>
      <c r="U92" s="11" t="s">
        <v>152</v>
      </c>
      <c r="V92" s="11" t="s">
        <v>88</v>
      </c>
      <c r="W92" s="11" t="s">
        <v>596</v>
      </c>
      <c r="X92" s="9" t="n">
        <f aca="false">IF(AND(COUNT($E92:$G92)=0,LEFT($H92,2)&lt;&gt;"定性",LEFT($H92,2)&lt;&gt;"文字",LEFT($H92,2)&lt;&gt;"日期"),1,0)</f>
        <v>0</v>
      </c>
      <c r="Y92" s="9" t="n">
        <f aca="false">IF(OR($L92="",$M92=""),1,0)</f>
        <v>0</v>
      </c>
      <c r="Z92" s="9" t="n">
        <f aca="false">IF(AND(ISNUMBER($E92),ISNUMBER($F92)),IF($F92&gt;$E92,1,0),0)+IF(AND(ISNUMBER($E92),ISNUMBER($G92)),IF($E92&gt;$G92,1,0),0)+IF(AND(ISNUMBER($F92),ISNUMBER($G92)),IF($F92&gt;$G92,1,0),0)</f>
        <v>0</v>
      </c>
      <c r="AA92" s="9" t="n">
        <f aca="false">IF(AND($P92="Derived",$V92="觀測"),1,0)</f>
        <v>0</v>
      </c>
      <c r="AB92" s="12" t="s">
        <v>90</v>
      </c>
    </row>
    <row r="93" customFormat="false" ht="15" hidden="false" customHeight="false" outlineLevel="0" collapsed="false">
      <c r="A93" s="9" t="s">
        <v>600</v>
      </c>
      <c r="B93" s="9" t="s">
        <v>601</v>
      </c>
      <c r="C93" s="9" t="s">
        <v>487</v>
      </c>
      <c r="D93" s="9" t="s">
        <v>602</v>
      </c>
      <c r="E93" s="10" t="n">
        <v>5</v>
      </c>
      <c r="F93" s="9"/>
      <c r="G93" s="9"/>
      <c r="H93" s="9" t="s">
        <v>489</v>
      </c>
      <c r="I93" s="9" t="s">
        <v>603</v>
      </c>
      <c r="J93" s="13" t="n">
        <v>45985</v>
      </c>
      <c r="K93" s="9"/>
      <c r="L93" s="9" t="s">
        <v>604</v>
      </c>
      <c r="M93" s="9" t="s">
        <v>605</v>
      </c>
      <c r="N93" s="9" t="s">
        <v>603</v>
      </c>
      <c r="O93" s="9" t="s">
        <v>82</v>
      </c>
      <c r="P93" s="9" t="s">
        <v>83</v>
      </c>
      <c r="Q93" s="9" t="s">
        <v>493</v>
      </c>
      <c r="R93" s="9" t="s">
        <v>151</v>
      </c>
      <c r="S93" s="11" t="s">
        <v>86</v>
      </c>
      <c r="T93" s="9" t="s">
        <v>493</v>
      </c>
      <c r="U93" s="11" t="s">
        <v>152</v>
      </c>
      <c r="V93" s="11" t="s">
        <v>88</v>
      </c>
      <c r="W93" s="11" t="s">
        <v>606</v>
      </c>
      <c r="X93" s="9" t="n">
        <f aca="false">IF(AND(COUNT($E93:$G93)=0,LEFT($H93,2)&lt;&gt;"定性",LEFT($H93,2)&lt;&gt;"文字",LEFT($H93,2)&lt;&gt;"日期"),1,0)</f>
        <v>0</v>
      </c>
      <c r="Y93" s="9" t="n">
        <f aca="false">IF(OR($L93="",$M93=""),1,0)</f>
        <v>0</v>
      </c>
      <c r="Z93" s="9" t="n">
        <f aca="false">IF(AND(ISNUMBER($E93),ISNUMBER($F93)),IF($F93&gt;$E93,1,0),0)+IF(AND(ISNUMBER($E93),ISNUMBER($G93)),IF($E93&gt;$G93,1,0),0)+IF(AND(ISNUMBER($F93),ISNUMBER($G93)),IF($F93&gt;$G93,1,0),0)</f>
        <v>0</v>
      </c>
      <c r="AA93" s="9" t="n">
        <f aca="false">IF(AND($P93="Derived",$V93="觀測"),1,0)</f>
        <v>0</v>
      </c>
      <c r="AB93" s="12" t="s">
        <v>90</v>
      </c>
    </row>
    <row r="94" customFormat="false" ht="15" hidden="false" customHeight="false" outlineLevel="0" collapsed="false">
      <c r="A94" s="9" t="s">
        <v>607</v>
      </c>
      <c r="B94" s="9" t="s">
        <v>608</v>
      </c>
      <c r="C94" s="9" t="s">
        <v>487</v>
      </c>
      <c r="D94" s="9" t="s">
        <v>609</v>
      </c>
      <c r="E94" s="10" t="n">
        <v>25</v>
      </c>
      <c r="F94" s="9"/>
      <c r="G94" s="9"/>
      <c r="H94" s="9" t="s">
        <v>489</v>
      </c>
      <c r="I94" s="9" t="s">
        <v>603</v>
      </c>
      <c r="J94" s="13" t="n">
        <v>45985</v>
      </c>
      <c r="K94" s="9"/>
      <c r="L94" s="9" t="s">
        <v>604</v>
      </c>
      <c r="M94" s="9" t="s">
        <v>605</v>
      </c>
      <c r="N94" s="9" t="s">
        <v>603</v>
      </c>
      <c r="O94" s="9" t="s">
        <v>82</v>
      </c>
      <c r="P94" s="9" t="s">
        <v>83</v>
      </c>
      <c r="Q94" s="9" t="s">
        <v>493</v>
      </c>
      <c r="R94" s="9" t="s">
        <v>151</v>
      </c>
      <c r="S94" s="11" t="s">
        <v>86</v>
      </c>
      <c r="T94" s="9" t="s">
        <v>493</v>
      </c>
      <c r="U94" s="11" t="s">
        <v>152</v>
      </c>
      <c r="V94" s="11" t="s">
        <v>88</v>
      </c>
      <c r="W94" s="11" t="s">
        <v>606</v>
      </c>
      <c r="X94" s="9" t="n">
        <f aca="false">IF(AND(COUNT($E94:$G94)=0,LEFT($H94,2)&lt;&gt;"定性",LEFT($H94,2)&lt;&gt;"文字",LEFT($H94,2)&lt;&gt;"日期"),1,0)</f>
        <v>0</v>
      </c>
      <c r="Y94" s="9" t="n">
        <f aca="false">IF(OR($L94="",$M94=""),1,0)</f>
        <v>0</v>
      </c>
      <c r="Z94" s="9" t="n">
        <f aca="false">IF(AND(ISNUMBER($E94),ISNUMBER($F94)),IF($F94&gt;$E94,1,0),0)+IF(AND(ISNUMBER($E94),ISNUMBER($G94)),IF($E94&gt;$G94,1,0),0)+IF(AND(ISNUMBER($F94),ISNUMBER($G94)),IF($F94&gt;$G94,1,0),0)</f>
        <v>0</v>
      </c>
      <c r="AA94" s="9" t="n">
        <f aca="false">IF(AND($P94="Derived",$V94="觀測"),1,0)</f>
        <v>0</v>
      </c>
      <c r="AB94" s="12" t="s">
        <v>90</v>
      </c>
    </row>
    <row r="95" customFormat="false" ht="15" hidden="false" customHeight="false" outlineLevel="0" collapsed="false">
      <c r="A95" s="9" t="s">
        <v>610</v>
      </c>
      <c r="B95" s="9" t="s">
        <v>611</v>
      </c>
      <c r="C95" s="9" t="s">
        <v>487</v>
      </c>
      <c r="D95" s="9" t="s">
        <v>612</v>
      </c>
      <c r="E95" s="10" t="n">
        <v>5</v>
      </c>
      <c r="F95" s="9"/>
      <c r="G95" s="9"/>
      <c r="H95" s="9" t="s">
        <v>489</v>
      </c>
      <c r="I95" s="9" t="s">
        <v>613</v>
      </c>
      <c r="J95" s="13" t="n">
        <v>46058</v>
      </c>
      <c r="K95" s="9"/>
      <c r="L95" s="9" t="s">
        <v>614</v>
      </c>
      <c r="M95" s="9" t="s">
        <v>615</v>
      </c>
      <c r="N95" s="9" t="s">
        <v>613</v>
      </c>
      <c r="O95" s="9" t="s">
        <v>82</v>
      </c>
      <c r="P95" s="9" t="s">
        <v>83</v>
      </c>
      <c r="Q95" s="9" t="s">
        <v>493</v>
      </c>
      <c r="R95" s="9" t="s">
        <v>151</v>
      </c>
      <c r="S95" s="11" t="s">
        <v>86</v>
      </c>
      <c r="T95" s="9" t="s">
        <v>493</v>
      </c>
      <c r="U95" s="11" t="s">
        <v>152</v>
      </c>
      <c r="V95" s="11" t="s">
        <v>88</v>
      </c>
      <c r="W95" s="11" t="s">
        <v>616</v>
      </c>
      <c r="X95" s="9" t="n">
        <f aca="false">IF(AND(COUNT($E95:$G95)=0,LEFT($H95,2)&lt;&gt;"定性",LEFT($H95,2)&lt;&gt;"文字",LEFT($H95,2)&lt;&gt;"日期"),1,0)</f>
        <v>0</v>
      </c>
      <c r="Y95" s="9" t="n">
        <f aca="false">IF(OR($L95="",$M95=""),1,0)</f>
        <v>0</v>
      </c>
      <c r="Z95" s="9" t="n">
        <f aca="false">IF(AND(ISNUMBER($E95),ISNUMBER($F95)),IF($F95&gt;$E95,1,0),0)+IF(AND(ISNUMBER($E95),ISNUMBER($G95)),IF($E95&gt;$G95,1,0),0)+IF(AND(ISNUMBER($F95),ISNUMBER($G95)),IF($F95&gt;$G95,1,0),0)</f>
        <v>0</v>
      </c>
      <c r="AA95" s="9" t="n">
        <f aca="false">IF(AND($P95="Derived",$V95="觀測"),1,0)</f>
        <v>0</v>
      </c>
      <c r="AB95" s="12" t="s">
        <v>90</v>
      </c>
    </row>
    <row r="96" customFormat="false" ht="15" hidden="false" customHeight="false" outlineLevel="0" collapsed="false">
      <c r="A96" s="9" t="s">
        <v>617</v>
      </c>
      <c r="B96" s="9" t="s">
        <v>618</v>
      </c>
      <c r="C96" s="9" t="s">
        <v>487</v>
      </c>
      <c r="D96" s="9" t="s">
        <v>619</v>
      </c>
      <c r="E96" s="10" t="n">
        <v>25</v>
      </c>
      <c r="F96" s="9"/>
      <c r="G96" s="9"/>
      <c r="H96" s="9" t="s">
        <v>489</v>
      </c>
      <c r="I96" s="9" t="s">
        <v>613</v>
      </c>
      <c r="J96" s="13" t="n">
        <v>46058</v>
      </c>
      <c r="K96" s="9"/>
      <c r="L96" s="9" t="s">
        <v>614</v>
      </c>
      <c r="M96" s="9" t="s">
        <v>615</v>
      </c>
      <c r="N96" s="9" t="s">
        <v>613</v>
      </c>
      <c r="O96" s="9" t="s">
        <v>82</v>
      </c>
      <c r="P96" s="9" t="s">
        <v>83</v>
      </c>
      <c r="Q96" s="9" t="s">
        <v>493</v>
      </c>
      <c r="R96" s="9" t="s">
        <v>151</v>
      </c>
      <c r="S96" s="11" t="s">
        <v>86</v>
      </c>
      <c r="T96" s="9" t="s">
        <v>493</v>
      </c>
      <c r="U96" s="11" t="s">
        <v>152</v>
      </c>
      <c r="V96" s="11" t="s">
        <v>88</v>
      </c>
      <c r="W96" s="11" t="s">
        <v>616</v>
      </c>
      <c r="X96" s="9" t="n">
        <f aca="false">IF(AND(COUNT($E96:$G96)=0,LEFT($H96,2)&lt;&gt;"定性",LEFT($H96,2)&lt;&gt;"文字",LEFT($H96,2)&lt;&gt;"日期"),1,0)</f>
        <v>0</v>
      </c>
      <c r="Y96" s="9" t="n">
        <f aca="false">IF(OR($L96="",$M96=""),1,0)</f>
        <v>0</v>
      </c>
      <c r="Z96" s="9" t="n">
        <f aca="false">IF(AND(ISNUMBER($E96),ISNUMBER($F96)),IF($F96&gt;$E96,1,0),0)+IF(AND(ISNUMBER($E96),ISNUMBER($G96)),IF($E96&gt;$G96,1,0),0)+IF(AND(ISNUMBER($F96),ISNUMBER($G96)),IF($F96&gt;$G96,1,0),0)</f>
        <v>0</v>
      </c>
      <c r="AA96" s="9" t="n">
        <f aca="false">IF(AND($P96="Derived",$V96="觀測"),1,0)</f>
        <v>0</v>
      </c>
      <c r="AB96" s="12" t="s">
        <v>90</v>
      </c>
    </row>
    <row r="97" customFormat="false" ht="15" hidden="false" customHeight="false" outlineLevel="0" collapsed="false">
      <c r="A97" s="9" t="s">
        <v>620</v>
      </c>
      <c r="B97" s="9" t="s">
        <v>621</v>
      </c>
      <c r="C97" s="9" t="s">
        <v>487</v>
      </c>
      <c r="D97" s="9" t="s">
        <v>622</v>
      </c>
      <c r="E97" s="10" t="n">
        <v>3</v>
      </c>
      <c r="F97" s="9"/>
      <c r="G97" s="9"/>
      <c r="H97" s="9" t="s">
        <v>489</v>
      </c>
      <c r="I97" s="9" t="s">
        <v>623</v>
      </c>
      <c r="J97" s="13" t="n">
        <v>46070</v>
      </c>
      <c r="K97" s="9"/>
      <c r="L97" s="9" t="s">
        <v>624</v>
      </c>
      <c r="M97" s="9" t="s">
        <v>625</v>
      </c>
      <c r="N97" s="9" t="s">
        <v>623</v>
      </c>
      <c r="O97" s="9" t="s">
        <v>82</v>
      </c>
      <c r="P97" s="9" t="s">
        <v>83</v>
      </c>
      <c r="Q97" s="9" t="s">
        <v>493</v>
      </c>
      <c r="R97" s="9" t="s">
        <v>151</v>
      </c>
      <c r="S97" s="11" t="s">
        <v>86</v>
      </c>
      <c r="T97" s="9" t="s">
        <v>493</v>
      </c>
      <c r="U97" s="11" t="s">
        <v>152</v>
      </c>
      <c r="V97" s="11" t="s">
        <v>88</v>
      </c>
      <c r="W97" s="11" t="s">
        <v>626</v>
      </c>
      <c r="X97" s="9" t="n">
        <f aca="false">IF(AND(COUNT($E97:$G97)=0,LEFT($H97,2)&lt;&gt;"定性",LEFT($H97,2)&lt;&gt;"文字",LEFT($H97,2)&lt;&gt;"日期"),1,0)</f>
        <v>0</v>
      </c>
      <c r="Y97" s="9" t="n">
        <f aca="false">IF(OR($L97="",$M97=""),1,0)</f>
        <v>0</v>
      </c>
      <c r="Z97" s="9" t="n">
        <f aca="false">IF(AND(ISNUMBER($E97),ISNUMBER($F97)),IF($F97&gt;$E97,1,0),0)+IF(AND(ISNUMBER($E97),ISNUMBER($G97)),IF($E97&gt;$G97,1,0),0)+IF(AND(ISNUMBER($F97),ISNUMBER($G97)),IF($F97&gt;$G97,1,0),0)</f>
        <v>0</v>
      </c>
      <c r="AA97" s="9" t="n">
        <f aca="false">IF(AND($P97="Derived",$V97="觀測"),1,0)</f>
        <v>0</v>
      </c>
      <c r="AB97" s="12" t="s">
        <v>90</v>
      </c>
    </row>
    <row r="98" customFormat="false" ht="15" hidden="false" customHeight="false" outlineLevel="0" collapsed="false">
      <c r="A98" s="9" t="s">
        <v>627</v>
      </c>
      <c r="B98" s="9" t="s">
        <v>628</v>
      </c>
      <c r="C98" s="9" t="s">
        <v>487</v>
      </c>
      <c r="D98" s="9" t="s">
        <v>629</v>
      </c>
      <c r="E98" s="10" t="n">
        <v>15</v>
      </c>
      <c r="F98" s="9"/>
      <c r="G98" s="9"/>
      <c r="H98" s="9" t="s">
        <v>489</v>
      </c>
      <c r="I98" s="9" t="s">
        <v>623</v>
      </c>
      <c r="J98" s="13" t="n">
        <v>46070</v>
      </c>
      <c r="K98" s="9"/>
      <c r="L98" s="9" t="s">
        <v>624</v>
      </c>
      <c r="M98" s="9" t="s">
        <v>625</v>
      </c>
      <c r="N98" s="9" t="s">
        <v>623</v>
      </c>
      <c r="O98" s="9" t="s">
        <v>82</v>
      </c>
      <c r="P98" s="9" t="s">
        <v>83</v>
      </c>
      <c r="Q98" s="9" t="s">
        <v>493</v>
      </c>
      <c r="R98" s="9" t="s">
        <v>151</v>
      </c>
      <c r="S98" s="11" t="s">
        <v>86</v>
      </c>
      <c r="T98" s="9" t="s">
        <v>493</v>
      </c>
      <c r="U98" s="11" t="s">
        <v>152</v>
      </c>
      <c r="V98" s="11" t="s">
        <v>88</v>
      </c>
      <c r="W98" s="11" t="s">
        <v>626</v>
      </c>
      <c r="X98" s="9" t="n">
        <f aca="false">IF(AND(COUNT($E98:$G98)=0,LEFT($H98,2)&lt;&gt;"定性",LEFT($H98,2)&lt;&gt;"文字",LEFT($H98,2)&lt;&gt;"日期"),1,0)</f>
        <v>0</v>
      </c>
      <c r="Y98" s="9" t="n">
        <f aca="false">IF(OR($L98="",$M98=""),1,0)</f>
        <v>0</v>
      </c>
      <c r="Z98" s="9" t="n">
        <f aca="false">IF(AND(ISNUMBER($E98),ISNUMBER($F98)),IF($F98&gt;$E98,1,0),0)+IF(AND(ISNUMBER($E98),ISNUMBER($G98)),IF($E98&gt;$G98,1,0),0)+IF(AND(ISNUMBER($F98),ISNUMBER($G98)),IF($F98&gt;$G98,1,0),0)</f>
        <v>0</v>
      </c>
      <c r="AA98" s="9" t="n">
        <f aca="false">IF(AND($P98="Derived",$V98="觀測"),1,0)</f>
        <v>0</v>
      </c>
      <c r="AB98" s="12" t="s">
        <v>90</v>
      </c>
    </row>
    <row r="99" customFormat="false" ht="15" hidden="false" customHeight="false" outlineLevel="0" collapsed="false">
      <c r="A99" s="9" t="s">
        <v>630</v>
      </c>
      <c r="B99" s="9" t="s">
        <v>631</v>
      </c>
      <c r="C99" s="9" t="s">
        <v>487</v>
      </c>
      <c r="D99" s="9" t="s">
        <v>632</v>
      </c>
      <c r="E99" s="10" t="n">
        <v>25</v>
      </c>
      <c r="F99" s="9"/>
      <c r="G99" s="9"/>
      <c r="H99" s="9" t="s">
        <v>489</v>
      </c>
      <c r="I99" s="9" t="s">
        <v>633</v>
      </c>
      <c r="J99" s="13" t="n">
        <v>46119</v>
      </c>
      <c r="K99" s="9"/>
      <c r="L99" s="9" t="s">
        <v>634</v>
      </c>
      <c r="M99" s="9" t="s">
        <v>635</v>
      </c>
      <c r="N99" s="9" t="s">
        <v>633</v>
      </c>
      <c r="O99" s="9" t="s">
        <v>82</v>
      </c>
      <c r="P99" s="9" t="s">
        <v>83</v>
      </c>
      <c r="Q99" s="9" t="s">
        <v>529</v>
      </c>
      <c r="R99" s="11" t="s">
        <v>103</v>
      </c>
      <c r="S99" s="11" t="s">
        <v>86</v>
      </c>
      <c r="T99" s="9" t="s">
        <v>529</v>
      </c>
      <c r="U99" s="11" t="s">
        <v>103</v>
      </c>
      <c r="V99" s="11" t="s">
        <v>88</v>
      </c>
      <c r="W99" s="11" t="s">
        <v>636</v>
      </c>
      <c r="X99" s="9" t="n">
        <f aca="false">IF(AND(COUNT($E99:$G99)=0,LEFT($H99,2)&lt;&gt;"定性",LEFT($H99,2)&lt;&gt;"文字",LEFT($H99,2)&lt;&gt;"日期"),1,0)</f>
        <v>0</v>
      </c>
      <c r="Y99" s="9" t="n">
        <f aca="false">IF(OR($L99="",$M99=""),1,0)</f>
        <v>0</v>
      </c>
      <c r="Z99" s="9" t="n">
        <f aca="false">IF(AND(ISNUMBER($E99),ISNUMBER($F99)),IF($F99&gt;$E99,1,0),0)+IF(AND(ISNUMBER($E99),ISNUMBER($G99)),IF($E99&gt;$G99,1,0),0)+IF(AND(ISNUMBER($F99),ISNUMBER($G99)),IF($F99&gt;$G99,1,0),0)</f>
        <v>0</v>
      </c>
      <c r="AA99" s="9" t="n">
        <f aca="false">IF(AND($P99="Derived",$V99="觀測"),1,0)</f>
        <v>0</v>
      </c>
      <c r="AB99" s="12" t="s">
        <v>90</v>
      </c>
    </row>
    <row r="100" customFormat="false" ht="15" hidden="false" customHeight="false" outlineLevel="0" collapsed="false">
      <c r="A100" s="9" t="s">
        <v>637</v>
      </c>
      <c r="B100" s="9" t="s">
        <v>638</v>
      </c>
      <c r="C100" s="9" t="s">
        <v>487</v>
      </c>
      <c r="D100" s="9" t="s">
        <v>639</v>
      </c>
      <c r="E100" s="10" t="n">
        <v>125</v>
      </c>
      <c r="F100" s="9"/>
      <c r="G100" s="9"/>
      <c r="H100" s="9" t="s">
        <v>489</v>
      </c>
      <c r="I100" s="9" t="s">
        <v>633</v>
      </c>
      <c r="J100" s="13" t="n">
        <v>46119</v>
      </c>
      <c r="K100" s="9"/>
      <c r="L100" s="9" t="s">
        <v>634</v>
      </c>
      <c r="M100" s="9" t="s">
        <v>635</v>
      </c>
      <c r="N100" s="9" t="s">
        <v>633</v>
      </c>
      <c r="O100" s="9" t="s">
        <v>82</v>
      </c>
      <c r="P100" s="9" t="s">
        <v>83</v>
      </c>
      <c r="Q100" s="9" t="s">
        <v>529</v>
      </c>
      <c r="R100" s="11" t="s">
        <v>103</v>
      </c>
      <c r="S100" s="11" t="s">
        <v>86</v>
      </c>
      <c r="T100" s="9" t="s">
        <v>529</v>
      </c>
      <c r="U100" s="11" t="s">
        <v>103</v>
      </c>
      <c r="V100" s="11" t="s">
        <v>88</v>
      </c>
      <c r="W100" s="11" t="s">
        <v>636</v>
      </c>
      <c r="X100" s="9" t="n">
        <f aca="false">IF(AND(COUNT($E100:$G100)=0,LEFT($H100,2)&lt;&gt;"定性",LEFT($H100,2)&lt;&gt;"文字",LEFT($H100,2)&lt;&gt;"日期"),1,0)</f>
        <v>0</v>
      </c>
      <c r="Y100" s="9" t="n">
        <f aca="false">IF(OR($L100="",$M100=""),1,0)</f>
        <v>0</v>
      </c>
      <c r="Z100" s="9" t="n">
        <f aca="false">IF(AND(ISNUMBER($E100),ISNUMBER($F100)),IF($F100&gt;$E100,1,0),0)+IF(AND(ISNUMBER($E100),ISNUMBER($G100)),IF($E100&gt;$G100,1,0),0)+IF(AND(ISNUMBER($F100),ISNUMBER($G100)),IF($F100&gt;$G100,1,0),0)</f>
        <v>0</v>
      </c>
      <c r="AA100" s="9" t="n">
        <f aca="false">IF(AND($P100="Derived",$V100="觀測"),1,0)</f>
        <v>0</v>
      </c>
      <c r="AB100" s="12" t="s">
        <v>90</v>
      </c>
    </row>
    <row r="101" customFormat="false" ht="15" hidden="false" customHeight="false" outlineLevel="0" collapsed="false">
      <c r="A101" s="9" t="s">
        <v>640</v>
      </c>
      <c r="B101" s="9" t="s">
        <v>641</v>
      </c>
      <c r="C101" s="9" t="s">
        <v>487</v>
      </c>
      <c r="D101" s="9" t="s">
        <v>642</v>
      </c>
      <c r="E101" s="10" t="n">
        <v>5</v>
      </c>
      <c r="F101" s="9"/>
      <c r="G101" s="9"/>
      <c r="H101" s="9" t="s">
        <v>489</v>
      </c>
      <c r="I101" s="9" t="s">
        <v>643</v>
      </c>
      <c r="J101" s="13" t="n">
        <v>46128</v>
      </c>
      <c r="K101" s="9"/>
      <c r="L101" s="9" t="s">
        <v>644</v>
      </c>
      <c r="M101" s="9" t="s">
        <v>645</v>
      </c>
      <c r="N101" s="9" t="s">
        <v>643</v>
      </c>
      <c r="O101" s="9" t="s">
        <v>82</v>
      </c>
      <c r="P101" s="9" t="s">
        <v>83</v>
      </c>
      <c r="Q101" s="9" t="s">
        <v>493</v>
      </c>
      <c r="R101" s="9" t="s">
        <v>151</v>
      </c>
      <c r="S101" s="11" t="s">
        <v>86</v>
      </c>
      <c r="T101" s="9" t="s">
        <v>493</v>
      </c>
      <c r="U101" s="11" t="s">
        <v>152</v>
      </c>
      <c r="V101" s="11" t="s">
        <v>88</v>
      </c>
      <c r="W101" s="11" t="s">
        <v>646</v>
      </c>
      <c r="X101" s="9" t="n">
        <f aca="false">IF(AND(COUNT($E101:$G101)=0,LEFT($H101,2)&lt;&gt;"定性",LEFT($H101,2)&lt;&gt;"文字",LEFT($H101,2)&lt;&gt;"日期"),1,0)</f>
        <v>0</v>
      </c>
      <c r="Y101" s="9" t="n">
        <f aca="false">IF(OR($L101="",$M101=""),1,0)</f>
        <v>0</v>
      </c>
      <c r="Z101" s="9" t="n">
        <f aca="false">IF(AND(ISNUMBER($E101),ISNUMBER($F101)),IF($F101&gt;$E101,1,0),0)+IF(AND(ISNUMBER($E101),ISNUMBER($G101)),IF($E101&gt;$G101,1,0),0)+IF(AND(ISNUMBER($F101),ISNUMBER($G101)),IF($F101&gt;$G101,1,0),0)</f>
        <v>0</v>
      </c>
      <c r="AA101" s="9" t="n">
        <f aca="false">IF(AND($P101="Derived",$V101="觀測"),1,0)</f>
        <v>0</v>
      </c>
      <c r="AB101" s="12" t="s">
        <v>90</v>
      </c>
    </row>
    <row r="102" customFormat="false" ht="15" hidden="false" customHeight="false" outlineLevel="0" collapsed="false">
      <c r="A102" s="9" t="s">
        <v>647</v>
      </c>
      <c r="B102" s="9" t="s">
        <v>648</v>
      </c>
      <c r="C102" s="9" t="s">
        <v>487</v>
      </c>
      <c r="D102" s="9" t="s">
        <v>649</v>
      </c>
      <c r="E102" s="10" t="n">
        <v>25</v>
      </c>
      <c r="F102" s="9"/>
      <c r="G102" s="9"/>
      <c r="H102" s="9" t="s">
        <v>489</v>
      </c>
      <c r="I102" s="9" t="s">
        <v>643</v>
      </c>
      <c r="J102" s="13" t="n">
        <v>46128</v>
      </c>
      <c r="K102" s="9"/>
      <c r="L102" s="9" t="s">
        <v>644</v>
      </c>
      <c r="M102" s="9" t="s">
        <v>645</v>
      </c>
      <c r="N102" s="9" t="s">
        <v>643</v>
      </c>
      <c r="O102" s="9" t="s">
        <v>82</v>
      </c>
      <c r="P102" s="9" t="s">
        <v>83</v>
      </c>
      <c r="Q102" s="9" t="s">
        <v>493</v>
      </c>
      <c r="R102" s="9" t="s">
        <v>151</v>
      </c>
      <c r="S102" s="11" t="s">
        <v>86</v>
      </c>
      <c r="T102" s="9" t="s">
        <v>493</v>
      </c>
      <c r="U102" s="11" t="s">
        <v>152</v>
      </c>
      <c r="V102" s="11" t="s">
        <v>88</v>
      </c>
      <c r="W102" s="11" t="s">
        <v>646</v>
      </c>
      <c r="X102" s="9" t="n">
        <f aca="false">IF(AND(COUNT($E102:$G102)=0,LEFT($H102,2)&lt;&gt;"定性",LEFT($H102,2)&lt;&gt;"文字",LEFT($H102,2)&lt;&gt;"日期"),1,0)</f>
        <v>0</v>
      </c>
      <c r="Y102" s="9" t="n">
        <f aca="false">IF(OR($L102="",$M102=""),1,0)</f>
        <v>0</v>
      </c>
      <c r="Z102" s="9" t="n">
        <f aca="false">IF(AND(ISNUMBER($E102),ISNUMBER($F102)),IF($F102&gt;$E102,1,0),0)+IF(AND(ISNUMBER($E102),ISNUMBER($G102)),IF($E102&gt;$G102,1,0),0)+IF(AND(ISNUMBER($F102),ISNUMBER($G102)),IF($F102&gt;$G102,1,0),0)</f>
        <v>0</v>
      </c>
      <c r="AA102" s="9" t="n">
        <f aca="false">IF(AND($P102="Derived",$V102="觀測"),1,0)</f>
        <v>0</v>
      </c>
      <c r="AB102" s="12" t="s">
        <v>90</v>
      </c>
    </row>
    <row r="103" customFormat="false" ht="15" hidden="false" customHeight="false" outlineLevel="0" collapsed="false">
      <c r="A103" s="9" t="s">
        <v>650</v>
      </c>
      <c r="B103" s="9" t="s">
        <v>651</v>
      </c>
      <c r="C103" s="9" t="s">
        <v>487</v>
      </c>
      <c r="D103" s="9" t="s">
        <v>652</v>
      </c>
      <c r="E103" s="10" t="n">
        <v>5</v>
      </c>
      <c r="F103" s="9"/>
      <c r="G103" s="9"/>
      <c r="H103" s="9" t="s">
        <v>489</v>
      </c>
      <c r="I103" s="9" t="s">
        <v>236</v>
      </c>
      <c r="J103" s="13" t="n">
        <v>46170</v>
      </c>
      <c r="K103" s="9"/>
      <c r="L103" s="9" t="s">
        <v>653</v>
      </c>
      <c r="M103" s="9" t="s">
        <v>654</v>
      </c>
      <c r="N103" s="9" t="s">
        <v>236</v>
      </c>
      <c r="O103" s="9" t="s">
        <v>82</v>
      </c>
      <c r="P103" s="9" t="s">
        <v>83</v>
      </c>
      <c r="Q103" s="9" t="s">
        <v>493</v>
      </c>
      <c r="R103" s="9" t="s">
        <v>151</v>
      </c>
      <c r="S103" s="11" t="s">
        <v>86</v>
      </c>
      <c r="T103" s="9" t="s">
        <v>493</v>
      </c>
      <c r="U103" s="11" t="s">
        <v>152</v>
      </c>
      <c r="V103" s="11" t="s">
        <v>88</v>
      </c>
      <c r="W103" s="11" t="s">
        <v>655</v>
      </c>
      <c r="X103" s="9" t="n">
        <f aca="false">IF(AND(COUNT($E103:$G103)=0,LEFT($H103,2)&lt;&gt;"定性",LEFT($H103,2)&lt;&gt;"文字",LEFT($H103,2)&lt;&gt;"日期"),1,0)</f>
        <v>0</v>
      </c>
      <c r="Y103" s="9" t="n">
        <f aca="false">IF(OR($L103="",$M103=""),1,0)</f>
        <v>0</v>
      </c>
      <c r="Z103" s="9" t="n">
        <f aca="false">IF(AND(ISNUMBER($E103),ISNUMBER($F103)),IF($F103&gt;$E103,1,0),0)+IF(AND(ISNUMBER($E103),ISNUMBER($G103)),IF($E103&gt;$G103,1,0),0)+IF(AND(ISNUMBER($F103),ISNUMBER($G103)),IF($F103&gt;$G103,1,0),0)</f>
        <v>0</v>
      </c>
      <c r="AA103" s="9" t="n">
        <f aca="false">IF(AND($P103="Derived",$V103="觀測"),1,0)</f>
        <v>0</v>
      </c>
      <c r="AB103" s="12" t="s">
        <v>90</v>
      </c>
    </row>
    <row r="104" customFormat="false" ht="15" hidden="false" customHeight="false" outlineLevel="0" collapsed="false">
      <c r="A104" s="9" t="s">
        <v>656</v>
      </c>
      <c r="B104" s="9" t="s">
        <v>657</v>
      </c>
      <c r="C104" s="9" t="s">
        <v>487</v>
      </c>
      <c r="D104" s="9" t="s">
        <v>658</v>
      </c>
      <c r="E104" s="10" t="n">
        <v>25</v>
      </c>
      <c r="F104" s="9"/>
      <c r="G104" s="9"/>
      <c r="H104" s="9" t="s">
        <v>489</v>
      </c>
      <c r="I104" s="9" t="s">
        <v>236</v>
      </c>
      <c r="J104" s="13" t="n">
        <v>46170</v>
      </c>
      <c r="K104" s="9"/>
      <c r="L104" s="9" t="s">
        <v>653</v>
      </c>
      <c r="M104" s="9" t="s">
        <v>654</v>
      </c>
      <c r="N104" s="9" t="s">
        <v>236</v>
      </c>
      <c r="O104" s="9" t="s">
        <v>82</v>
      </c>
      <c r="P104" s="9" t="s">
        <v>83</v>
      </c>
      <c r="Q104" s="9" t="s">
        <v>493</v>
      </c>
      <c r="R104" s="9" t="s">
        <v>151</v>
      </c>
      <c r="S104" s="11" t="s">
        <v>86</v>
      </c>
      <c r="T104" s="9" t="s">
        <v>493</v>
      </c>
      <c r="U104" s="11" t="s">
        <v>152</v>
      </c>
      <c r="V104" s="11" t="s">
        <v>88</v>
      </c>
      <c r="W104" s="11" t="s">
        <v>655</v>
      </c>
      <c r="X104" s="9" t="n">
        <f aca="false">IF(AND(COUNT($E104:$G104)=0,LEFT($H104,2)&lt;&gt;"定性",LEFT($H104,2)&lt;&gt;"文字",LEFT($H104,2)&lt;&gt;"日期"),1,0)</f>
        <v>0</v>
      </c>
      <c r="Y104" s="9" t="n">
        <f aca="false">IF(OR($L104="",$M104=""),1,0)</f>
        <v>0</v>
      </c>
      <c r="Z104" s="9" t="n">
        <f aca="false">IF(AND(ISNUMBER($E104),ISNUMBER($F104)),IF($F104&gt;$E104,1,0),0)+IF(AND(ISNUMBER($E104),ISNUMBER($G104)),IF($E104&gt;$G104,1,0),0)+IF(AND(ISNUMBER($F104),ISNUMBER($G104)),IF($F104&gt;$G104,1,0),0)</f>
        <v>0</v>
      </c>
      <c r="AA104" s="9" t="n">
        <f aca="false">IF(AND($P104="Derived",$V104="觀測"),1,0)</f>
        <v>0</v>
      </c>
      <c r="AB104" s="12" t="s">
        <v>90</v>
      </c>
    </row>
    <row r="105" customFormat="false" ht="15" hidden="false" customHeight="false" outlineLevel="0" collapsed="false">
      <c r="A105" s="9" t="s">
        <v>659</v>
      </c>
      <c r="B105" s="9" t="s">
        <v>660</v>
      </c>
      <c r="C105" s="9" t="s">
        <v>487</v>
      </c>
      <c r="D105" s="9" t="s">
        <v>661</v>
      </c>
      <c r="E105" s="10" t="n">
        <v>10</v>
      </c>
      <c r="F105" s="9"/>
      <c r="G105" s="9"/>
      <c r="H105" s="9" t="s">
        <v>489</v>
      </c>
      <c r="I105" s="9" t="s">
        <v>662</v>
      </c>
      <c r="J105" s="13" t="n">
        <v>46182</v>
      </c>
      <c r="K105" s="9"/>
      <c r="L105" s="9" t="s">
        <v>663</v>
      </c>
      <c r="M105" s="9" t="s">
        <v>664</v>
      </c>
      <c r="N105" s="9" t="s">
        <v>662</v>
      </c>
      <c r="O105" s="9" t="s">
        <v>82</v>
      </c>
      <c r="P105" s="9" t="s">
        <v>83</v>
      </c>
      <c r="Q105" s="9" t="s">
        <v>493</v>
      </c>
      <c r="R105" s="9" t="s">
        <v>151</v>
      </c>
      <c r="S105" s="11" t="s">
        <v>86</v>
      </c>
      <c r="T105" s="9" t="s">
        <v>493</v>
      </c>
      <c r="U105" s="11" t="s">
        <v>152</v>
      </c>
      <c r="V105" s="11" t="s">
        <v>88</v>
      </c>
      <c r="W105" s="11" t="s">
        <v>665</v>
      </c>
      <c r="X105" s="9" t="n">
        <f aca="false">IF(AND(COUNT($E105:$G105)=0,LEFT($H105,2)&lt;&gt;"定性",LEFT($H105,2)&lt;&gt;"文字",LEFT($H105,2)&lt;&gt;"日期"),1,0)</f>
        <v>0</v>
      </c>
      <c r="Y105" s="9" t="n">
        <f aca="false">IF(OR($L105="",$M105=""),1,0)</f>
        <v>0</v>
      </c>
      <c r="Z105" s="9" t="n">
        <f aca="false">IF(AND(ISNUMBER($E105),ISNUMBER($F105)),IF($F105&gt;$E105,1,0),0)+IF(AND(ISNUMBER($E105),ISNUMBER($G105)),IF($E105&gt;$G105,1,0),0)+IF(AND(ISNUMBER($F105),ISNUMBER($G105)),IF($F105&gt;$G105,1,0),0)</f>
        <v>0</v>
      </c>
      <c r="AA105" s="9" t="n">
        <f aca="false">IF(AND($P105="Derived",$V105="觀測"),1,0)</f>
        <v>0</v>
      </c>
      <c r="AB105" s="12" t="s">
        <v>90</v>
      </c>
    </row>
    <row r="106" customFormat="false" ht="15" hidden="false" customHeight="false" outlineLevel="0" collapsed="false">
      <c r="A106" s="9" t="s">
        <v>666</v>
      </c>
      <c r="B106" s="9" t="s">
        <v>667</v>
      </c>
      <c r="C106" s="9" t="s">
        <v>487</v>
      </c>
      <c r="D106" s="9" t="s">
        <v>668</v>
      </c>
      <c r="E106" s="10" t="n">
        <v>50</v>
      </c>
      <c r="F106" s="9"/>
      <c r="G106" s="9"/>
      <c r="H106" s="9" t="s">
        <v>489</v>
      </c>
      <c r="I106" s="9" t="s">
        <v>662</v>
      </c>
      <c r="J106" s="13" t="n">
        <v>46182</v>
      </c>
      <c r="K106" s="9"/>
      <c r="L106" s="9" t="s">
        <v>663</v>
      </c>
      <c r="M106" s="9" t="s">
        <v>664</v>
      </c>
      <c r="N106" s="9" t="s">
        <v>662</v>
      </c>
      <c r="O106" s="9" t="s">
        <v>82</v>
      </c>
      <c r="P106" s="9" t="s">
        <v>83</v>
      </c>
      <c r="Q106" s="9" t="s">
        <v>493</v>
      </c>
      <c r="R106" s="9" t="s">
        <v>151</v>
      </c>
      <c r="S106" s="11" t="s">
        <v>86</v>
      </c>
      <c r="T106" s="9" t="s">
        <v>493</v>
      </c>
      <c r="U106" s="11" t="s">
        <v>152</v>
      </c>
      <c r="V106" s="11" t="s">
        <v>88</v>
      </c>
      <c r="W106" s="11" t="s">
        <v>665</v>
      </c>
      <c r="X106" s="9" t="n">
        <f aca="false">IF(AND(COUNT($E106:$G106)=0,LEFT($H106,2)&lt;&gt;"定性",LEFT($H106,2)&lt;&gt;"文字",LEFT($H106,2)&lt;&gt;"日期"),1,0)</f>
        <v>0</v>
      </c>
      <c r="Y106" s="9" t="n">
        <f aca="false">IF(OR($L106="",$M106=""),1,0)</f>
        <v>0</v>
      </c>
      <c r="Z106" s="9" t="n">
        <f aca="false">IF(AND(ISNUMBER($E106),ISNUMBER($F106)),IF($F106&gt;$E106,1,0),0)+IF(AND(ISNUMBER($E106),ISNUMBER($G106)),IF($E106&gt;$G106,1,0),0)+IF(AND(ISNUMBER($F106),ISNUMBER($G106)),IF($F106&gt;$G106,1,0),0)</f>
        <v>0</v>
      </c>
      <c r="AA106" s="9" t="n">
        <f aca="false">IF(AND($P106="Derived",$V106="觀測"),1,0)</f>
        <v>0</v>
      </c>
      <c r="AB106" s="12" t="s">
        <v>90</v>
      </c>
    </row>
    <row r="107" customFormat="false" ht="15" hidden="false" customHeight="false" outlineLevel="0" collapsed="false">
      <c r="A107" s="9" t="s">
        <v>669</v>
      </c>
      <c r="B107" s="9" t="s">
        <v>670</v>
      </c>
      <c r="C107" s="9" t="s">
        <v>487</v>
      </c>
      <c r="D107" s="9" t="s">
        <v>671</v>
      </c>
      <c r="E107" s="10" t="n">
        <v>10</v>
      </c>
      <c r="F107" s="9"/>
      <c r="G107" s="9"/>
      <c r="H107" s="9" t="s">
        <v>489</v>
      </c>
      <c r="I107" s="9" t="s">
        <v>662</v>
      </c>
      <c r="J107" s="13" t="n">
        <v>46182</v>
      </c>
      <c r="K107" s="9"/>
      <c r="L107" s="9" t="s">
        <v>663</v>
      </c>
      <c r="M107" s="9" t="s">
        <v>664</v>
      </c>
      <c r="N107" s="9" t="s">
        <v>662</v>
      </c>
      <c r="O107" s="9" t="s">
        <v>82</v>
      </c>
      <c r="P107" s="9" t="s">
        <v>83</v>
      </c>
      <c r="Q107" s="9" t="s">
        <v>493</v>
      </c>
      <c r="R107" s="9" t="s">
        <v>151</v>
      </c>
      <c r="S107" s="11" t="s">
        <v>86</v>
      </c>
      <c r="T107" s="9" t="s">
        <v>493</v>
      </c>
      <c r="U107" s="11" t="s">
        <v>152</v>
      </c>
      <c r="V107" s="11" t="s">
        <v>88</v>
      </c>
      <c r="W107" s="11" t="s">
        <v>672</v>
      </c>
      <c r="X107" s="9" t="n">
        <f aca="false">IF(AND(COUNT($E107:$G107)=0,LEFT($H107,2)&lt;&gt;"定性",LEFT($H107,2)&lt;&gt;"文字",LEFT($H107,2)&lt;&gt;"日期"),1,0)</f>
        <v>0</v>
      </c>
      <c r="Y107" s="9" t="n">
        <f aca="false">IF(OR($L107="",$M107=""),1,0)</f>
        <v>0</v>
      </c>
      <c r="Z107" s="9" t="n">
        <f aca="false">IF(AND(ISNUMBER($E107),ISNUMBER($F107)),IF($F107&gt;$E107,1,0),0)+IF(AND(ISNUMBER($E107),ISNUMBER($G107)),IF($E107&gt;$G107,1,0),0)+IF(AND(ISNUMBER($F107),ISNUMBER($G107)),IF($F107&gt;$G107,1,0),0)</f>
        <v>0</v>
      </c>
      <c r="AA107" s="9" t="n">
        <f aca="false">IF(AND($P107="Derived",$V107="觀測"),1,0)</f>
        <v>0</v>
      </c>
      <c r="AB107" s="12" t="s">
        <v>90</v>
      </c>
    </row>
    <row r="108" customFormat="false" ht="15" hidden="false" customHeight="false" outlineLevel="0" collapsed="false">
      <c r="A108" s="9" t="s">
        <v>673</v>
      </c>
      <c r="B108" s="9" t="s">
        <v>674</v>
      </c>
      <c r="C108" s="9" t="s">
        <v>487</v>
      </c>
      <c r="D108" s="9" t="s">
        <v>675</v>
      </c>
      <c r="E108" s="10" t="n">
        <v>50</v>
      </c>
      <c r="F108" s="9"/>
      <c r="G108" s="9"/>
      <c r="H108" s="9" t="s">
        <v>489</v>
      </c>
      <c r="I108" s="9" t="s">
        <v>662</v>
      </c>
      <c r="J108" s="13" t="n">
        <v>46182</v>
      </c>
      <c r="K108" s="9"/>
      <c r="L108" s="9" t="s">
        <v>663</v>
      </c>
      <c r="M108" s="9" t="s">
        <v>664</v>
      </c>
      <c r="N108" s="9" t="s">
        <v>662</v>
      </c>
      <c r="O108" s="9" t="s">
        <v>82</v>
      </c>
      <c r="P108" s="9" t="s">
        <v>83</v>
      </c>
      <c r="Q108" s="9" t="s">
        <v>493</v>
      </c>
      <c r="R108" s="9" t="s">
        <v>151</v>
      </c>
      <c r="S108" s="11" t="s">
        <v>86</v>
      </c>
      <c r="T108" s="9" t="s">
        <v>493</v>
      </c>
      <c r="U108" s="11" t="s">
        <v>152</v>
      </c>
      <c r="V108" s="11" t="s">
        <v>88</v>
      </c>
      <c r="W108" s="11" t="s">
        <v>672</v>
      </c>
      <c r="X108" s="9" t="n">
        <f aca="false">IF(AND(COUNT($E108:$G108)=0,LEFT($H108,2)&lt;&gt;"定性",LEFT($H108,2)&lt;&gt;"文字",LEFT($H108,2)&lt;&gt;"日期"),1,0)</f>
        <v>0</v>
      </c>
      <c r="Y108" s="9" t="n">
        <f aca="false">IF(OR($L108="",$M108=""),1,0)</f>
        <v>0</v>
      </c>
      <c r="Z108" s="9" t="n">
        <f aca="false">IF(AND(ISNUMBER($E108),ISNUMBER($F108)),IF($F108&gt;$E108,1,0),0)+IF(AND(ISNUMBER($E108),ISNUMBER($G108)),IF($E108&gt;$G108,1,0),0)+IF(AND(ISNUMBER($F108),ISNUMBER($G108)),IF($F108&gt;$G108,1,0),0)</f>
        <v>0</v>
      </c>
      <c r="AA108" s="9" t="n">
        <f aca="false">IF(AND($P108="Derived",$V108="觀測"),1,0)</f>
        <v>0</v>
      </c>
      <c r="AB108" s="12" t="s">
        <v>90</v>
      </c>
    </row>
    <row r="109" customFormat="false" ht="15" hidden="false" customHeight="false" outlineLevel="0" collapsed="false">
      <c r="A109" s="9" t="s">
        <v>676</v>
      </c>
      <c r="B109" s="9" t="s">
        <v>677</v>
      </c>
      <c r="C109" s="9" t="s">
        <v>487</v>
      </c>
      <c r="D109" s="9" t="s">
        <v>678</v>
      </c>
      <c r="E109" s="10" t="n">
        <v>2</v>
      </c>
      <c r="F109" s="9"/>
      <c r="G109" s="9"/>
      <c r="H109" s="9" t="s">
        <v>489</v>
      </c>
      <c r="I109" s="9" t="s">
        <v>679</v>
      </c>
      <c r="J109" s="13" t="n">
        <v>46203</v>
      </c>
      <c r="K109" s="9"/>
      <c r="L109" s="9" t="s">
        <v>680</v>
      </c>
      <c r="M109" s="9" t="s">
        <v>681</v>
      </c>
      <c r="N109" s="9" t="s">
        <v>679</v>
      </c>
      <c r="O109" s="9" t="s">
        <v>82</v>
      </c>
      <c r="P109" s="9" t="s">
        <v>83</v>
      </c>
      <c r="Q109" s="9" t="s">
        <v>493</v>
      </c>
      <c r="R109" s="9" t="s">
        <v>151</v>
      </c>
      <c r="S109" s="11" t="s">
        <v>86</v>
      </c>
      <c r="T109" s="9" t="s">
        <v>493</v>
      </c>
      <c r="U109" s="11" t="s">
        <v>152</v>
      </c>
      <c r="V109" s="11" t="s">
        <v>88</v>
      </c>
      <c r="W109" s="11" t="s">
        <v>682</v>
      </c>
      <c r="X109" s="9" t="n">
        <f aca="false">IF(AND(COUNT($E109:$G109)=0,LEFT($H109,2)&lt;&gt;"定性",LEFT($H109,2)&lt;&gt;"文字",LEFT($H109,2)&lt;&gt;"日期"),1,0)</f>
        <v>0</v>
      </c>
      <c r="Y109" s="9" t="n">
        <f aca="false">IF(OR($L109="",$M109=""),1,0)</f>
        <v>0</v>
      </c>
      <c r="Z109" s="9" t="n">
        <f aca="false">IF(AND(ISNUMBER($E109),ISNUMBER($F109)),IF($F109&gt;$E109,1,0),0)+IF(AND(ISNUMBER($E109),ISNUMBER($G109)),IF($E109&gt;$G109,1,0),0)+IF(AND(ISNUMBER($F109),ISNUMBER($G109)),IF($F109&gt;$G109,1,0),0)</f>
        <v>0</v>
      </c>
      <c r="AA109" s="9" t="n">
        <f aca="false">IF(AND($P109="Derived",$V109="觀測"),1,0)</f>
        <v>0</v>
      </c>
      <c r="AB109" s="12" t="s">
        <v>90</v>
      </c>
    </row>
    <row r="110" customFormat="false" ht="15" hidden="false" customHeight="false" outlineLevel="0" collapsed="false">
      <c r="A110" s="9" t="s">
        <v>683</v>
      </c>
      <c r="B110" s="9" t="s">
        <v>684</v>
      </c>
      <c r="C110" s="9" t="s">
        <v>487</v>
      </c>
      <c r="D110" s="9" t="s">
        <v>685</v>
      </c>
      <c r="E110" s="10" t="n">
        <v>10</v>
      </c>
      <c r="F110" s="9"/>
      <c r="G110" s="9"/>
      <c r="H110" s="9" t="s">
        <v>489</v>
      </c>
      <c r="I110" s="9" t="s">
        <v>679</v>
      </c>
      <c r="J110" s="13" t="n">
        <v>46203</v>
      </c>
      <c r="K110" s="9"/>
      <c r="L110" s="9" t="s">
        <v>680</v>
      </c>
      <c r="M110" s="9" t="s">
        <v>681</v>
      </c>
      <c r="N110" s="9" t="s">
        <v>679</v>
      </c>
      <c r="O110" s="9" t="s">
        <v>82</v>
      </c>
      <c r="P110" s="9" t="s">
        <v>83</v>
      </c>
      <c r="Q110" s="9" t="s">
        <v>493</v>
      </c>
      <c r="R110" s="9" t="s">
        <v>151</v>
      </c>
      <c r="S110" s="11" t="s">
        <v>86</v>
      </c>
      <c r="T110" s="9" t="s">
        <v>493</v>
      </c>
      <c r="U110" s="11" t="s">
        <v>152</v>
      </c>
      <c r="V110" s="11" t="s">
        <v>88</v>
      </c>
      <c r="W110" s="11" t="s">
        <v>682</v>
      </c>
      <c r="X110" s="9" t="n">
        <f aca="false">IF(AND(COUNT($E110:$G110)=0,LEFT($H110,2)&lt;&gt;"定性",LEFT($H110,2)&lt;&gt;"文字",LEFT($H110,2)&lt;&gt;"日期"),1,0)</f>
        <v>0</v>
      </c>
      <c r="Y110" s="9" t="n">
        <f aca="false">IF(OR($L110="",$M110=""),1,0)</f>
        <v>0</v>
      </c>
      <c r="Z110" s="9" t="n">
        <f aca="false">IF(AND(ISNUMBER($E110),ISNUMBER($F110)),IF($F110&gt;$E110,1,0),0)+IF(AND(ISNUMBER($E110),ISNUMBER($G110)),IF($E110&gt;$G110,1,0),0)+IF(AND(ISNUMBER($F110),ISNUMBER($G110)),IF($F110&gt;$G110,1,0),0)</f>
        <v>0</v>
      </c>
      <c r="AA110" s="9" t="n">
        <f aca="false">IF(AND($P110="Derived",$V110="觀測"),1,0)</f>
        <v>0</v>
      </c>
      <c r="AB110" s="12" t="s">
        <v>90</v>
      </c>
    </row>
    <row r="111" customFormat="false" ht="15" hidden="false" customHeight="false" outlineLevel="0" collapsed="false">
      <c r="A111" s="9" t="s">
        <v>686</v>
      </c>
      <c r="B111" s="9" t="s">
        <v>687</v>
      </c>
      <c r="C111" s="9" t="s">
        <v>487</v>
      </c>
      <c r="D111" s="9" t="s">
        <v>688</v>
      </c>
      <c r="E111" s="10" t="n">
        <v>5</v>
      </c>
      <c r="F111" s="9"/>
      <c r="G111" s="9"/>
      <c r="H111" s="9" t="s">
        <v>489</v>
      </c>
      <c r="I111" s="9" t="s">
        <v>689</v>
      </c>
      <c r="J111" s="13" t="n">
        <v>46227</v>
      </c>
      <c r="K111" s="9"/>
      <c r="L111" s="9" t="s">
        <v>690</v>
      </c>
      <c r="M111" s="9" t="s">
        <v>691</v>
      </c>
      <c r="N111" s="9" t="s">
        <v>689</v>
      </c>
      <c r="O111" s="9" t="s">
        <v>82</v>
      </c>
      <c r="P111" s="9" t="s">
        <v>83</v>
      </c>
      <c r="Q111" s="9" t="s">
        <v>493</v>
      </c>
      <c r="R111" s="9" t="s">
        <v>151</v>
      </c>
      <c r="S111" s="11" t="s">
        <v>86</v>
      </c>
      <c r="T111" s="9" t="s">
        <v>493</v>
      </c>
      <c r="U111" s="11" t="s">
        <v>152</v>
      </c>
      <c r="V111" s="11" t="s">
        <v>88</v>
      </c>
      <c r="W111" s="11" t="s">
        <v>692</v>
      </c>
      <c r="X111" s="9" t="n">
        <f aca="false">IF(AND(COUNT($E111:$G111)=0,LEFT($H111,2)&lt;&gt;"定性",LEFT($H111,2)&lt;&gt;"文字",LEFT($H111,2)&lt;&gt;"日期"),1,0)</f>
        <v>0</v>
      </c>
      <c r="Y111" s="9" t="n">
        <f aca="false">IF(OR($L111="",$M111=""),1,0)</f>
        <v>0</v>
      </c>
      <c r="Z111" s="9" t="n">
        <f aca="false">IF(AND(ISNUMBER($E111),ISNUMBER($F111)),IF($F111&gt;$E111,1,0),0)+IF(AND(ISNUMBER($E111),ISNUMBER($G111)),IF($E111&gt;$G111,1,0),0)+IF(AND(ISNUMBER($F111),ISNUMBER($G111)),IF($F111&gt;$G111,1,0),0)</f>
        <v>0</v>
      </c>
      <c r="AA111" s="9" t="n">
        <f aca="false">IF(AND($P111="Derived",$V111="觀測"),1,0)</f>
        <v>0</v>
      </c>
      <c r="AB111" s="12" t="s">
        <v>90</v>
      </c>
    </row>
    <row r="112" customFormat="false" ht="15" hidden="false" customHeight="false" outlineLevel="0" collapsed="false">
      <c r="A112" s="9" t="s">
        <v>693</v>
      </c>
      <c r="B112" s="9" t="s">
        <v>694</v>
      </c>
      <c r="C112" s="9" t="s">
        <v>487</v>
      </c>
      <c r="D112" s="9" t="s">
        <v>695</v>
      </c>
      <c r="E112" s="10" t="n">
        <v>25</v>
      </c>
      <c r="F112" s="9"/>
      <c r="G112" s="9"/>
      <c r="H112" s="9" t="s">
        <v>489</v>
      </c>
      <c r="I112" s="9" t="s">
        <v>689</v>
      </c>
      <c r="J112" s="13" t="n">
        <v>46227</v>
      </c>
      <c r="K112" s="9"/>
      <c r="L112" s="9" t="s">
        <v>690</v>
      </c>
      <c r="M112" s="9" t="s">
        <v>691</v>
      </c>
      <c r="N112" s="9" t="s">
        <v>689</v>
      </c>
      <c r="O112" s="9" t="s">
        <v>82</v>
      </c>
      <c r="P112" s="9" t="s">
        <v>83</v>
      </c>
      <c r="Q112" s="9" t="s">
        <v>493</v>
      </c>
      <c r="R112" s="9" t="s">
        <v>151</v>
      </c>
      <c r="S112" s="11" t="s">
        <v>86</v>
      </c>
      <c r="T112" s="9" t="s">
        <v>493</v>
      </c>
      <c r="U112" s="11" t="s">
        <v>152</v>
      </c>
      <c r="V112" s="11" t="s">
        <v>88</v>
      </c>
      <c r="W112" s="11" t="s">
        <v>692</v>
      </c>
      <c r="X112" s="9" t="n">
        <f aca="false">IF(AND(COUNT($E112:$G112)=0,LEFT($H112,2)&lt;&gt;"定性",LEFT($H112,2)&lt;&gt;"文字",LEFT($H112,2)&lt;&gt;"日期"),1,0)</f>
        <v>0</v>
      </c>
      <c r="Y112" s="9" t="n">
        <f aca="false">IF(OR($L112="",$M112=""),1,0)</f>
        <v>0</v>
      </c>
      <c r="Z112" s="9" t="n">
        <f aca="false">IF(AND(ISNUMBER($E112),ISNUMBER($F112)),IF($F112&gt;$E112,1,0),0)+IF(AND(ISNUMBER($E112),ISNUMBER($G112)),IF($E112&gt;$G112,1,0),0)+IF(AND(ISNUMBER($F112),ISNUMBER($G112)),IF($F112&gt;$G112,1,0),0)</f>
        <v>0</v>
      </c>
      <c r="AA112" s="9" t="n">
        <f aca="false">IF(AND($P112="Derived",$V112="觀測"),1,0)</f>
        <v>0</v>
      </c>
      <c r="AB112" s="12" t="s">
        <v>90</v>
      </c>
    </row>
    <row r="113" customFormat="false" ht="15" hidden="false" customHeight="false" outlineLevel="0" collapsed="false">
      <c r="A113" s="9" t="s">
        <v>696</v>
      </c>
      <c r="B113" s="9" t="s">
        <v>697</v>
      </c>
      <c r="C113" s="9" t="s">
        <v>487</v>
      </c>
      <c r="D113" s="9" t="s">
        <v>698</v>
      </c>
      <c r="E113" s="10" t="n">
        <v>10</v>
      </c>
      <c r="F113" s="9"/>
      <c r="G113" s="9"/>
      <c r="H113" s="9" t="s">
        <v>489</v>
      </c>
      <c r="I113" s="9" t="s">
        <v>699</v>
      </c>
      <c r="J113" s="13" t="n">
        <v>46266</v>
      </c>
      <c r="K113" s="9"/>
      <c r="L113" s="9" t="s">
        <v>700</v>
      </c>
      <c r="M113" s="9" t="s">
        <v>701</v>
      </c>
      <c r="N113" s="9" t="s">
        <v>699</v>
      </c>
      <c r="O113" s="9" t="s">
        <v>82</v>
      </c>
      <c r="P113" s="9" t="s">
        <v>83</v>
      </c>
      <c r="Q113" s="9" t="s">
        <v>493</v>
      </c>
      <c r="R113" s="9" t="s">
        <v>151</v>
      </c>
      <c r="S113" s="11" t="s">
        <v>86</v>
      </c>
      <c r="T113" s="9" t="s">
        <v>493</v>
      </c>
      <c r="U113" s="11" t="s">
        <v>152</v>
      </c>
      <c r="V113" s="11" t="s">
        <v>88</v>
      </c>
      <c r="W113" s="11" t="s">
        <v>702</v>
      </c>
      <c r="X113" s="9" t="n">
        <f aca="false">IF(AND(COUNT($E113:$G113)=0,LEFT($H113,2)&lt;&gt;"定性",LEFT($H113,2)&lt;&gt;"文字",LEFT($H113,2)&lt;&gt;"日期"),1,0)</f>
        <v>0</v>
      </c>
      <c r="Y113" s="9" t="n">
        <f aca="false">IF(OR($L113="",$M113=""),1,0)</f>
        <v>0</v>
      </c>
      <c r="Z113" s="9" t="n">
        <f aca="false">IF(AND(ISNUMBER($E113),ISNUMBER($F113)),IF($F113&gt;$E113,1,0),0)+IF(AND(ISNUMBER($E113),ISNUMBER($G113)),IF($E113&gt;$G113,1,0),0)+IF(AND(ISNUMBER($F113),ISNUMBER($G113)),IF($F113&gt;$G113,1,0),0)</f>
        <v>0</v>
      </c>
      <c r="AA113" s="9" t="n">
        <f aca="false">IF(AND($P113="Derived",$V113="觀測"),1,0)</f>
        <v>0</v>
      </c>
      <c r="AB113" s="12" t="s">
        <v>90</v>
      </c>
    </row>
    <row r="114" customFormat="false" ht="15" hidden="false" customHeight="false" outlineLevel="0" collapsed="false">
      <c r="A114" s="9" t="s">
        <v>703</v>
      </c>
      <c r="B114" s="9" t="s">
        <v>704</v>
      </c>
      <c r="C114" s="9" t="s">
        <v>487</v>
      </c>
      <c r="D114" s="9" t="s">
        <v>705</v>
      </c>
      <c r="E114" s="10" t="n">
        <v>50</v>
      </c>
      <c r="F114" s="9"/>
      <c r="G114" s="9"/>
      <c r="H114" s="9" t="s">
        <v>489</v>
      </c>
      <c r="I114" s="9" t="s">
        <v>699</v>
      </c>
      <c r="J114" s="13" t="n">
        <v>46266</v>
      </c>
      <c r="K114" s="9"/>
      <c r="L114" s="9" t="s">
        <v>700</v>
      </c>
      <c r="M114" s="9" t="s">
        <v>701</v>
      </c>
      <c r="N114" s="9" t="s">
        <v>699</v>
      </c>
      <c r="O114" s="9" t="s">
        <v>82</v>
      </c>
      <c r="P114" s="9" t="s">
        <v>83</v>
      </c>
      <c r="Q114" s="9" t="s">
        <v>493</v>
      </c>
      <c r="R114" s="9" t="s">
        <v>151</v>
      </c>
      <c r="S114" s="11" t="s">
        <v>86</v>
      </c>
      <c r="T114" s="9" t="s">
        <v>493</v>
      </c>
      <c r="U114" s="11" t="s">
        <v>152</v>
      </c>
      <c r="V114" s="11" t="s">
        <v>88</v>
      </c>
      <c r="W114" s="11" t="s">
        <v>702</v>
      </c>
      <c r="X114" s="9" t="n">
        <f aca="false">IF(AND(COUNT($E114:$G114)=0,LEFT($H114,2)&lt;&gt;"定性",LEFT($H114,2)&lt;&gt;"文字",LEFT($H114,2)&lt;&gt;"日期"),1,0)</f>
        <v>0</v>
      </c>
      <c r="Y114" s="9" t="n">
        <f aca="false">IF(OR($L114="",$M114=""),1,0)</f>
        <v>0</v>
      </c>
      <c r="Z114" s="9" t="n">
        <f aca="false">IF(AND(ISNUMBER($E114),ISNUMBER($F114)),IF($F114&gt;$E114,1,0),0)+IF(AND(ISNUMBER($E114),ISNUMBER($G114)),IF($E114&gt;$G114,1,0),0)+IF(AND(ISNUMBER($F114),ISNUMBER($G114)),IF($F114&gt;$G114,1,0),0)</f>
        <v>0</v>
      </c>
      <c r="AA114" s="9" t="n">
        <f aca="false">IF(AND($P114="Derived",$V114="觀測"),1,0)</f>
        <v>0</v>
      </c>
      <c r="AB114" s="12" t="s">
        <v>90</v>
      </c>
    </row>
    <row r="115" customFormat="false" ht="15" hidden="false" customHeight="false" outlineLevel="0" collapsed="false">
      <c r="A115" s="9" t="s">
        <v>706</v>
      </c>
      <c r="B115" s="9" t="s">
        <v>707</v>
      </c>
      <c r="C115" s="9" t="s">
        <v>487</v>
      </c>
      <c r="D115" s="9" t="s">
        <v>708</v>
      </c>
      <c r="E115" s="10" t="n">
        <v>4</v>
      </c>
      <c r="F115" s="9"/>
      <c r="G115" s="9"/>
      <c r="H115" s="9" t="s">
        <v>489</v>
      </c>
      <c r="I115" s="9" t="s">
        <v>709</v>
      </c>
      <c r="J115" s="13" t="n">
        <v>46287</v>
      </c>
      <c r="K115" s="9"/>
      <c r="L115" s="9" t="s">
        <v>710</v>
      </c>
      <c r="M115" s="9" t="s">
        <v>711</v>
      </c>
      <c r="N115" s="9" t="s">
        <v>709</v>
      </c>
      <c r="O115" s="9" t="s">
        <v>82</v>
      </c>
      <c r="P115" s="9" t="s">
        <v>83</v>
      </c>
      <c r="Q115" s="9" t="s">
        <v>493</v>
      </c>
      <c r="R115" s="9" t="s">
        <v>151</v>
      </c>
      <c r="S115" s="11" t="s">
        <v>86</v>
      </c>
      <c r="T115" s="9" t="s">
        <v>493</v>
      </c>
      <c r="U115" s="11" t="s">
        <v>152</v>
      </c>
      <c r="V115" s="11" t="s">
        <v>88</v>
      </c>
      <c r="W115" s="11" t="s">
        <v>712</v>
      </c>
      <c r="X115" s="9" t="n">
        <f aca="false">IF(AND(COUNT($E115:$G115)=0,LEFT($H115,2)&lt;&gt;"定性",LEFT($H115,2)&lt;&gt;"文字",LEFT($H115,2)&lt;&gt;"日期"),1,0)</f>
        <v>0</v>
      </c>
      <c r="Y115" s="9" t="n">
        <f aca="false">IF(OR($L115="",$M115=""),1,0)</f>
        <v>0</v>
      </c>
      <c r="Z115" s="9" t="n">
        <f aca="false">IF(AND(ISNUMBER($E115),ISNUMBER($F115)),IF($F115&gt;$E115,1,0),0)+IF(AND(ISNUMBER($E115),ISNUMBER($G115)),IF($E115&gt;$G115,1,0),0)+IF(AND(ISNUMBER($F115),ISNUMBER($G115)),IF($F115&gt;$G115,1,0),0)</f>
        <v>0</v>
      </c>
      <c r="AA115" s="9" t="n">
        <f aca="false">IF(AND($P115="Derived",$V115="觀測"),1,0)</f>
        <v>0</v>
      </c>
      <c r="AB115" s="12" t="s">
        <v>90</v>
      </c>
    </row>
    <row r="116" customFormat="false" ht="15" hidden="false" customHeight="false" outlineLevel="0" collapsed="false">
      <c r="A116" s="9" t="s">
        <v>713</v>
      </c>
      <c r="B116" s="9" t="s">
        <v>714</v>
      </c>
      <c r="C116" s="9" t="s">
        <v>487</v>
      </c>
      <c r="D116" s="9" t="s">
        <v>715</v>
      </c>
      <c r="E116" s="10" t="n">
        <v>20</v>
      </c>
      <c r="F116" s="9"/>
      <c r="G116" s="9"/>
      <c r="H116" s="9" t="s">
        <v>489</v>
      </c>
      <c r="I116" s="9" t="s">
        <v>709</v>
      </c>
      <c r="J116" s="13" t="n">
        <v>46287</v>
      </c>
      <c r="K116" s="9"/>
      <c r="L116" s="9" t="s">
        <v>710</v>
      </c>
      <c r="M116" s="9" t="s">
        <v>711</v>
      </c>
      <c r="N116" s="9" t="s">
        <v>709</v>
      </c>
      <c r="O116" s="9" t="s">
        <v>82</v>
      </c>
      <c r="P116" s="9" t="s">
        <v>83</v>
      </c>
      <c r="Q116" s="9" t="s">
        <v>493</v>
      </c>
      <c r="R116" s="9" t="s">
        <v>151</v>
      </c>
      <c r="S116" s="11" t="s">
        <v>86</v>
      </c>
      <c r="T116" s="9" t="s">
        <v>493</v>
      </c>
      <c r="U116" s="11" t="s">
        <v>152</v>
      </c>
      <c r="V116" s="11" t="s">
        <v>88</v>
      </c>
      <c r="W116" s="11" t="s">
        <v>712</v>
      </c>
      <c r="X116" s="9" t="n">
        <f aca="false">IF(AND(COUNT($E116:$G116)=0,LEFT($H116,2)&lt;&gt;"定性",LEFT($H116,2)&lt;&gt;"文字",LEFT($H116,2)&lt;&gt;"日期"),1,0)</f>
        <v>0</v>
      </c>
      <c r="Y116" s="9" t="n">
        <f aca="false">IF(OR($L116="",$M116=""),1,0)</f>
        <v>0</v>
      </c>
      <c r="Z116" s="9" t="n">
        <f aca="false">IF(AND(ISNUMBER($E116),ISNUMBER($F116)),IF($F116&gt;$E116,1,0),0)+IF(AND(ISNUMBER($E116),ISNUMBER($G116)),IF($E116&gt;$G116,1,0),0)+IF(AND(ISNUMBER($F116),ISNUMBER($G116)),IF($F116&gt;$G116,1,0),0)</f>
        <v>0</v>
      </c>
      <c r="AA116" s="9" t="n">
        <f aca="false">IF(AND($P116="Derived",$V116="觀測"),1,0)</f>
        <v>0</v>
      </c>
      <c r="AB116" s="12" t="s">
        <v>90</v>
      </c>
    </row>
    <row r="117" customFormat="false" ht="15" hidden="false" customHeight="false" outlineLevel="0" collapsed="false">
      <c r="A117" s="9" t="s">
        <v>716</v>
      </c>
      <c r="B117" s="9" t="s">
        <v>717</v>
      </c>
      <c r="C117" s="9" t="s">
        <v>487</v>
      </c>
      <c r="D117" s="9" t="s">
        <v>718</v>
      </c>
      <c r="E117" s="10" t="n">
        <v>2</v>
      </c>
      <c r="F117" s="9"/>
      <c r="G117" s="9"/>
      <c r="H117" s="9" t="s">
        <v>489</v>
      </c>
      <c r="I117" s="9" t="s">
        <v>719</v>
      </c>
      <c r="J117" s="13" t="n">
        <v>46293</v>
      </c>
      <c r="K117" s="9"/>
      <c r="L117" s="9" t="s">
        <v>720</v>
      </c>
      <c r="M117" s="9" t="s">
        <v>721</v>
      </c>
      <c r="N117" s="9" t="s">
        <v>719</v>
      </c>
      <c r="O117" s="9" t="s">
        <v>82</v>
      </c>
      <c r="P117" s="9" t="s">
        <v>83</v>
      </c>
      <c r="Q117" s="9" t="s">
        <v>493</v>
      </c>
      <c r="R117" s="9" t="s">
        <v>151</v>
      </c>
      <c r="S117" s="11" t="s">
        <v>86</v>
      </c>
      <c r="T117" s="9" t="s">
        <v>493</v>
      </c>
      <c r="U117" s="11" t="s">
        <v>152</v>
      </c>
      <c r="V117" s="11" t="s">
        <v>88</v>
      </c>
      <c r="W117" s="11" t="s">
        <v>722</v>
      </c>
      <c r="X117" s="9" t="n">
        <f aca="false">IF(AND(COUNT($E117:$G117)=0,LEFT($H117,2)&lt;&gt;"定性",LEFT($H117,2)&lt;&gt;"文字",LEFT($H117,2)&lt;&gt;"日期"),1,0)</f>
        <v>0</v>
      </c>
      <c r="Y117" s="9" t="n">
        <f aca="false">IF(OR($L117="",$M117=""),1,0)</f>
        <v>0</v>
      </c>
      <c r="Z117" s="9" t="n">
        <f aca="false">IF(AND(ISNUMBER($E117),ISNUMBER($F117)),IF($F117&gt;$E117,1,0),0)+IF(AND(ISNUMBER($E117),ISNUMBER($G117)),IF($E117&gt;$G117,1,0),0)+IF(AND(ISNUMBER($F117),ISNUMBER($G117)),IF($F117&gt;$G117,1,0),0)</f>
        <v>0</v>
      </c>
      <c r="AA117" s="9" t="n">
        <f aca="false">IF(AND($P117="Derived",$V117="觀測"),1,0)</f>
        <v>0</v>
      </c>
      <c r="AB117" s="12" t="s">
        <v>90</v>
      </c>
    </row>
    <row r="118" customFormat="false" ht="15" hidden="false" customHeight="false" outlineLevel="0" collapsed="false">
      <c r="A118" s="9" t="s">
        <v>723</v>
      </c>
      <c r="B118" s="9" t="s">
        <v>724</v>
      </c>
      <c r="C118" s="9" t="s">
        <v>487</v>
      </c>
      <c r="D118" s="9" t="s">
        <v>725</v>
      </c>
      <c r="E118" s="10" t="n">
        <v>10</v>
      </c>
      <c r="F118" s="9"/>
      <c r="G118" s="9"/>
      <c r="H118" s="9" t="s">
        <v>489</v>
      </c>
      <c r="I118" s="9" t="s">
        <v>719</v>
      </c>
      <c r="J118" s="13" t="n">
        <v>46293</v>
      </c>
      <c r="K118" s="9"/>
      <c r="L118" s="9" t="s">
        <v>720</v>
      </c>
      <c r="M118" s="9" t="s">
        <v>721</v>
      </c>
      <c r="N118" s="9" t="s">
        <v>719</v>
      </c>
      <c r="O118" s="9" t="s">
        <v>82</v>
      </c>
      <c r="P118" s="9" t="s">
        <v>83</v>
      </c>
      <c r="Q118" s="9" t="s">
        <v>493</v>
      </c>
      <c r="R118" s="9" t="s">
        <v>151</v>
      </c>
      <c r="S118" s="11" t="s">
        <v>86</v>
      </c>
      <c r="T118" s="9" t="s">
        <v>493</v>
      </c>
      <c r="U118" s="11" t="s">
        <v>152</v>
      </c>
      <c r="V118" s="11" t="s">
        <v>88</v>
      </c>
      <c r="W118" s="11" t="s">
        <v>722</v>
      </c>
      <c r="X118" s="9" t="n">
        <f aca="false">IF(AND(COUNT($E118:$G118)=0,LEFT($H118,2)&lt;&gt;"定性",LEFT($H118,2)&lt;&gt;"文字",LEFT($H118,2)&lt;&gt;"日期"),1,0)</f>
        <v>0</v>
      </c>
      <c r="Y118" s="9" t="n">
        <f aca="false">IF(OR($L118="",$M118=""),1,0)</f>
        <v>0</v>
      </c>
      <c r="Z118" s="9" t="n">
        <f aca="false">IF(AND(ISNUMBER($E118),ISNUMBER($F118)),IF($F118&gt;$E118,1,0),0)+IF(AND(ISNUMBER($E118),ISNUMBER($G118)),IF($E118&gt;$G118,1,0),0)+IF(AND(ISNUMBER($F118),ISNUMBER($G118)),IF($F118&gt;$G118,1,0),0)</f>
        <v>0</v>
      </c>
      <c r="AA118" s="9" t="n">
        <f aca="false">IF(AND($P118="Derived",$V118="觀測"),1,0)</f>
        <v>0</v>
      </c>
      <c r="AB118" s="12" t="s">
        <v>90</v>
      </c>
    </row>
    <row r="119" customFormat="false" ht="15" hidden="false" customHeight="false" outlineLevel="0" collapsed="false">
      <c r="A119" s="9" t="s">
        <v>726</v>
      </c>
      <c r="B119" s="9" t="s">
        <v>727</v>
      </c>
      <c r="C119" s="9" t="s">
        <v>487</v>
      </c>
      <c r="D119" s="9" t="s">
        <v>728</v>
      </c>
      <c r="E119" s="10" t="n">
        <v>0.1</v>
      </c>
      <c r="F119" s="9"/>
      <c r="G119" s="9"/>
      <c r="H119" s="9" t="s">
        <v>489</v>
      </c>
      <c r="I119" s="9" t="s">
        <v>729</v>
      </c>
      <c r="J119" s="13" t="n">
        <v>46302</v>
      </c>
      <c r="K119" s="9"/>
      <c r="L119" s="9" t="s">
        <v>730</v>
      </c>
      <c r="M119" s="9" t="s">
        <v>731</v>
      </c>
      <c r="N119" s="9" t="s">
        <v>729</v>
      </c>
      <c r="O119" s="9" t="s">
        <v>82</v>
      </c>
      <c r="P119" s="9" t="s">
        <v>83</v>
      </c>
      <c r="Q119" s="9" t="s">
        <v>493</v>
      </c>
      <c r="R119" s="9" t="s">
        <v>151</v>
      </c>
      <c r="S119" s="11" t="s">
        <v>86</v>
      </c>
      <c r="T119" s="9" t="s">
        <v>493</v>
      </c>
      <c r="U119" s="11" t="s">
        <v>152</v>
      </c>
      <c r="V119" s="11" t="s">
        <v>88</v>
      </c>
      <c r="W119" s="11" t="s">
        <v>732</v>
      </c>
      <c r="X119" s="9" t="n">
        <f aca="false">IF(AND(COUNT($E119:$G119)=0,LEFT($H119,2)&lt;&gt;"定性",LEFT($H119,2)&lt;&gt;"文字",LEFT($H119,2)&lt;&gt;"日期"),1,0)</f>
        <v>0</v>
      </c>
      <c r="Y119" s="9" t="n">
        <f aca="false">IF(OR($L119="",$M119=""),1,0)</f>
        <v>0</v>
      </c>
      <c r="Z119" s="9" t="n">
        <f aca="false">IF(AND(ISNUMBER($E119),ISNUMBER($F119)),IF($F119&gt;$E119,1,0),0)+IF(AND(ISNUMBER($E119),ISNUMBER($G119)),IF($E119&gt;$G119,1,0),0)+IF(AND(ISNUMBER($F119),ISNUMBER($G119)),IF($F119&gt;$G119,1,0),0)</f>
        <v>0</v>
      </c>
      <c r="AA119" s="9" t="n">
        <f aca="false">IF(AND($P119="Derived",$V119="觀測"),1,0)</f>
        <v>0</v>
      </c>
      <c r="AB119" s="12" t="s">
        <v>90</v>
      </c>
    </row>
    <row r="120" customFormat="false" ht="15" hidden="false" customHeight="false" outlineLevel="0" collapsed="false">
      <c r="A120" s="9" t="s">
        <v>733</v>
      </c>
      <c r="B120" s="9" t="s">
        <v>734</v>
      </c>
      <c r="C120" s="9" t="s">
        <v>487</v>
      </c>
      <c r="D120" s="9" t="s">
        <v>735</v>
      </c>
      <c r="E120" s="10" t="n">
        <v>0.5</v>
      </c>
      <c r="F120" s="9"/>
      <c r="G120" s="9"/>
      <c r="H120" s="9" t="s">
        <v>489</v>
      </c>
      <c r="I120" s="9" t="s">
        <v>729</v>
      </c>
      <c r="J120" s="13" t="n">
        <v>46302</v>
      </c>
      <c r="K120" s="9"/>
      <c r="L120" s="9" t="s">
        <v>730</v>
      </c>
      <c r="M120" s="9" t="s">
        <v>731</v>
      </c>
      <c r="N120" s="9" t="s">
        <v>729</v>
      </c>
      <c r="O120" s="9" t="s">
        <v>82</v>
      </c>
      <c r="P120" s="9" t="s">
        <v>83</v>
      </c>
      <c r="Q120" s="9" t="s">
        <v>493</v>
      </c>
      <c r="R120" s="9" t="s">
        <v>151</v>
      </c>
      <c r="S120" s="11" t="s">
        <v>86</v>
      </c>
      <c r="T120" s="9" t="s">
        <v>493</v>
      </c>
      <c r="U120" s="11" t="s">
        <v>152</v>
      </c>
      <c r="V120" s="11" t="s">
        <v>88</v>
      </c>
      <c r="W120" s="11" t="s">
        <v>732</v>
      </c>
      <c r="X120" s="9" t="n">
        <f aca="false">IF(AND(COUNT($E120:$G120)=0,LEFT($H120,2)&lt;&gt;"定性",LEFT($H120,2)&lt;&gt;"文字",LEFT($H120,2)&lt;&gt;"日期"),1,0)</f>
        <v>0</v>
      </c>
      <c r="Y120" s="9" t="n">
        <f aca="false">IF(OR($L120="",$M120=""),1,0)</f>
        <v>0</v>
      </c>
      <c r="Z120" s="9" t="n">
        <f aca="false">IF(AND(ISNUMBER($E120),ISNUMBER($F120)),IF($F120&gt;$E120,1,0),0)+IF(AND(ISNUMBER($E120),ISNUMBER($G120)),IF($E120&gt;$G120,1,0),0)+IF(AND(ISNUMBER($F120),ISNUMBER($G120)),IF($F120&gt;$G120,1,0),0)</f>
        <v>0</v>
      </c>
      <c r="AA120" s="9" t="n">
        <f aca="false">IF(AND($P120="Derived",$V120="觀測"),1,0)</f>
        <v>0</v>
      </c>
      <c r="AB120" s="12" t="s">
        <v>90</v>
      </c>
    </row>
    <row r="121" customFormat="false" ht="15" hidden="false" customHeight="false" outlineLevel="0" collapsed="false">
      <c r="A121" s="9" t="s">
        <v>736</v>
      </c>
      <c r="B121" s="9" t="s">
        <v>737</v>
      </c>
      <c r="C121" s="9" t="s">
        <v>487</v>
      </c>
      <c r="D121" s="9" t="s">
        <v>738</v>
      </c>
      <c r="E121" s="10" t="n">
        <v>10</v>
      </c>
      <c r="F121" s="9"/>
      <c r="G121" s="9"/>
      <c r="H121" s="9" t="s">
        <v>489</v>
      </c>
      <c r="I121" s="9" t="s">
        <v>613</v>
      </c>
      <c r="J121" s="13" t="n">
        <v>46058</v>
      </c>
      <c r="K121" s="9"/>
      <c r="L121" s="9" t="s">
        <v>614</v>
      </c>
      <c r="M121" s="9" t="s">
        <v>615</v>
      </c>
      <c r="N121" s="9" t="s">
        <v>613</v>
      </c>
      <c r="O121" s="9" t="s">
        <v>82</v>
      </c>
      <c r="P121" s="9" t="s">
        <v>83</v>
      </c>
      <c r="Q121" s="9" t="s">
        <v>493</v>
      </c>
      <c r="R121" s="9" t="s">
        <v>151</v>
      </c>
      <c r="S121" s="11" t="s">
        <v>86</v>
      </c>
      <c r="T121" s="9" t="s">
        <v>493</v>
      </c>
      <c r="U121" s="11" t="s">
        <v>152</v>
      </c>
      <c r="V121" s="11" t="s">
        <v>88</v>
      </c>
      <c r="W121" s="11" t="s">
        <v>739</v>
      </c>
      <c r="X121" s="9" t="n">
        <f aca="false">IF(AND(COUNT($E121:$G121)=0,LEFT($H121,2)&lt;&gt;"定性",LEFT($H121,2)&lt;&gt;"文字",LEFT($H121,2)&lt;&gt;"日期"),1,0)</f>
        <v>0</v>
      </c>
      <c r="Y121" s="9" t="n">
        <f aca="false">IF(OR($L121="",$M121=""),1,0)</f>
        <v>0</v>
      </c>
      <c r="Z121" s="9" t="n">
        <f aca="false">IF(AND(ISNUMBER($E121),ISNUMBER($F121)),IF($F121&gt;$E121,1,0),0)+IF(AND(ISNUMBER($E121),ISNUMBER($G121)),IF($E121&gt;$G121,1,0),0)+IF(AND(ISNUMBER($F121),ISNUMBER($G121)),IF($F121&gt;$G121,1,0),0)</f>
        <v>0</v>
      </c>
      <c r="AA121" s="9" t="n">
        <f aca="false">IF(AND($P121="Derived",$V121="觀測"),1,0)</f>
        <v>0</v>
      </c>
      <c r="AB121" s="12" t="s">
        <v>90</v>
      </c>
    </row>
    <row r="122" customFormat="false" ht="15" hidden="false" customHeight="false" outlineLevel="0" collapsed="false">
      <c r="A122" s="9" t="s">
        <v>740</v>
      </c>
      <c r="B122" s="9" t="s">
        <v>741</v>
      </c>
      <c r="C122" s="9" t="s">
        <v>487</v>
      </c>
      <c r="D122" s="9" t="s">
        <v>742</v>
      </c>
      <c r="E122" s="10" t="n">
        <v>37.5</v>
      </c>
      <c r="F122" s="9"/>
      <c r="G122" s="9"/>
      <c r="H122" s="9" t="s">
        <v>489</v>
      </c>
      <c r="I122" s="9" t="s">
        <v>613</v>
      </c>
      <c r="J122" s="13" t="n">
        <v>46058</v>
      </c>
      <c r="K122" s="9"/>
      <c r="L122" s="9" t="s">
        <v>614</v>
      </c>
      <c r="M122" s="9" t="s">
        <v>615</v>
      </c>
      <c r="N122" s="9" t="s">
        <v>613</v>
      </c>
      <c r="O122" s="9" t="s">
        <v>82</v>
      </c>
      <c r="P122" s="9" t="s">
        <v>83</v>
      </c>
      <c r="Q122" s="9" t="s">
        <v>493</v>
      </c>
      <c r="R122" s="9" t="s">
        <v>151</v>
      </c>
      <c r="S122" s="11" t="s">
        <v>86</v>
      </c>
      <c r="T122" s="9" t="s">
        <v>493</v>
      </c>
      <c r="U122" s="11" t="s">
        <v>152</v>
      </c>
      <c r="V122" s="11" t="s">
        <v>88</v>
      </c>
      <c r="W122" s="11" t="s">
        <v>743</v>
      </c>
      <c r="X122" s="9" t="n">
        <f aca="false">IF(AND(COUNT($E122:$G122)=0,LEFT($H122,2)&lt;&gt;"定性",LEFT($H122,2)&lt;&gt;"文字",LEFT($H122,2)&lt;&gt;"日期"),1,0)</f>
        <v>0</v>
      </c>
      <c r="Y122" s="9" t="n">
        <f aca="false">IF(OR($L122="",$M122=""),1,0)</f>
        <v>0</v>
      </c>
      <c r="Z122" s="9" t="n">
        <f aca="false">IF(AND(ISNUMBER($E122),ISNUMBER($F122)),IF($F122&gt;$E122,1,0),0)+IF(AND(ISNUMBER($E122),ISNUMBER($G122)),IF($E122&gt;$G122,1,0),0)+IF(AND(ISNUMBER($F122),ISNUMBER($G122)),IF($F122&gt;$G122,1,0),0)</f>
        <v>0</v>
      </c>
      <c r="AA122" s="9" t="n">
        <f aca="false">IF(AND($P122="Derived",$V122="觀測"),1,0)</f>
        <v>0</v>
      </c>
      <c r="AB122" s="12" t="s">
        <v>90</v>
      </c>
    </row>
    <row r="123" customFormat="false" ht="15" hidden="false" customHeight="false" outlineLevel="0" collapsed="false">
      <c r="A123" s="9" t="s">
        <v>744</v>
      </c>
      <c r="B123" s="9" t="s">
        <v>745</v>
      </c>
      <c r="C123" s="9" t="s">
        <v>487</v>
      </c>
      <c r="D123" s="11" t="s">
        <v>746</v>
      </c>
      <c r="E123" s="10" t="n">
        <v>1.1</v>
      </c>
      <c r="F123" s="9"/>
      <c r="G123" s="9"/>
      <c r="H123" s="11" t="s">
        <v>747</v>
      </c>
      <c r="I123" s="9" t="s">
        <v>613</v>
      </c>
      <c r="J123" s="13" t="n">
        <v>46058</v>
      </c>
      <c r="K123" s="9"/>
      <c r="L123" s="9" t="s">
        <v>614</v>
      </c>
      <c r="M123" s="9" t="s">
        <v>615</v>
      </c>
      <c r="N123" s="9" t="s">
        <v>613</v>
      </c>
      <c r="O123" s="9" t="s">
        <v>82</v>
      </c>
      <c r="P123" s="9" t="s">
        <v>83</v>
      </c>
      <c r="Q123" s="9" t="s">
        <v>493</v>
      </c>
      <c r="R123" s="9" t="s">
        <v>151</v>
      </c>
      <c r="S123" s="11" t="s">
        <v>86</v>
      </c>
      <c r="T123" s="9" t="s">
        <v>493</v>
      </c>
      <c r="U123" s="11" t="s">
        <v>152</v>
      </c>
      <c r="V123" s="11" t="s">
        <v>88</v>
      </c>
      <c r="W123" s="11" t="s">
        <v>748</v>
      </c>
      <c r="X123" s="9" t="n">
        <f aca="false">IF(AND(COUNT($E123:$G123)=0,LEFT($H123,2)&lt;&gt;"定性",LEFT($H123,2)&lt;&gt;"文字",LEFT($H123,2)&lt;&gt;"日期"),1,0)</f>
        <v>0</v>
      </c>
      <c r="Y123" s="9" t="n">
        <f aca="false">IF(OR($L123="",$M123=""),1,0)</f>
        <v>0</v>
      </c>
      <c r="Z123" s="9" t="n">
        <f aca="false">IF(AND(ISNUMBER($E123),ISNUMBER($F123)),IF($F123&gt;$E123,1,0),0)+IF(AND(ISNUMBER($E123),ISNUMBER($G123)),IF($E123&gt;$G123,1,0),0)+IF(AND(ISNUMBER($F123),ISNUMBER($G123)),IF($F123&gt;$G123,1,0),0)</f>
        <v>0</v>
      </c>
      <c r="AA123" s="9" t="n">
        <f aca="false">IF(AND($P123="Derived",$V123="觀測"),1,0)</f>
        <v>0</v>
      </c>
      <c r="AB123" s="12" t="s">
        <v>90</v>
      </c>
    </row>
    <row r="124" customFormat="false" ht="15" hidden="false" customHeight="false" outlineLevel="0" collapsed="false">
      <c r="A124" s="9" t="s">
        <v>749</v>
      </c>
      <c r="B124" s="9" t="s">
        <v>750</v>
      </c>
      <c r="C124" s="9" t="s">
        <v>487</v>
      </c>
      <c r="D124" s="9" t="s">
        <v>751</v>
      </c>
      <c r="E124" s="10" t="n">
        <v>10</v>
      </c>
      <c r="F124" s="9"/>
      <c r="G124" s="9"/>
      <c r="H124" s="9" t="s">
        <v>489</v>
      </c>
      <c r="I124" s="9" t="s">
        <v>236</v>
      </c>
      <c r="J124" s="13" t="n">
        <v>46170</v>
      </c>
      <c r="K124" s="9"/>
      <c r="L124" s="9" t="s">
        <v>653</v>
      </c>
      <c r="M124" s="9" t="s">
        <v>654</v>
      </c>
      <c r="N124" s="9" t="s">
        <v>236</v>
      </c>
      <c r="O124" s="9" t="s">
        <v>82</v>
      </c>
      <c r="P124" s="9" t="s">
        <v>83</v>
      </c>
      <c r="Q124" s="9" t="s">
        <v>493</v>
      </c>
      <c r="R124" s="9" t="s">
        <v>151</v>
      </c>
      <c r="S124" s="11" t="s">
        <v>86</v>
      </c>
      <c r="T124" s="9" t="s">
        <v>493</v>
      </c>
      <c r="U124" s="11" t="s">
        <v>152</v>
      </c>
      <c r="V124" s="11" t="s">
        <v>88</v>
      </c>
      <c r="W124" s="11" t="s">
        <v>752</v>
      </c>
      <c r="X124" s="9" t="n">
        <f aca="false">IF(AND(COUNT($E124:$G124)=0,LEFT($H124,2)&lt;&gt;"定性",LEFT($H124,2)&lt;&gt;"文字",LEFT($H124,2)&lt;&gt;"日期"),1,0)</f>
        <v>0</v>
      </c>
      <c r="Y124" s="9" t="n">
        <f aca="false">IF(OR($L124="",$M124=""),1,0)</f>
        <v>0</v>
      </c>
      <c r="Z124" s="9" t="n">
        <f aca="false">IF(AND(ISNUMBER($E124),ISNUMBER($F124)),IF($F124&gt;$E124,1,0),0)+IF(AND(ISNUMBER($E124),ISNUMBER($G124)),IF($E124&gt;$G124,1,0),0)+IF(AND(ISNUMBER($F124),ISNUMBER($G124)),IF($F124&gt;$G124,1,0),0)</f>
        <v>0</v>
      </c>
      <c r="AA124" s="9" t="n">
        <f aca="false">IF(AND($P124="Derived",$V124="觀測"),1,0)</f>
        <v>0</v>
      </c>
      <c r="AB124" s="12" t="s">
        <v>90</v>
      </c>
    </row>
    <row r="125" customFormat="false" ht="15" hidden="false" customHeight="false" outlineLevel="0" collapsed="false">
      <c r="A125" s="9" t="s">
        <v>753</v>
      </c>
      <c r="B125" s="9" t="s">
        <v>754</v>
      </c>
      <c r="C125" s="9" t="s">
        <v>487</v>
      </c>
      <c r="D125" s="9" t="s">
        <v>755</v>
      </c>
      <c r="E125" s="10" t="n">
        <v>50</v>
      </c>
      <c r="F125" s="9"/>
      <c r="G125" s="9"/>
      <c r="H125" s="9" t="s">
        <v>489</v>
      </c>
      <c r="I125" s="9" t="s">
        <v>236</v>
      </c>
      <c r="J125" s="13" t="n">
        <v>46170</v>
      </c>
      <c r="K125" s="9"/>
      <c r="L125" s="9" t="s">
        <v>653</v>
      </c>
      <c r="M125" s="9" t="s">
        <v>654</v>
      </c>
      <c r="N125" s="9" t="s">
        <v>236</v>
      </c>
      <c r="O125" s="9" t="s">
        <v>82</v>
      </c>
      <c r="P125" s="9" t="s">
        <v>83</v>
      </c>
      <c r="Q125" s="9" t="s">
        <v>493</v>
      </c>
      <c r="R125" s="9" t="s">
        <v>151</v>
      </c>
      <c r="S125" s="11" t="s">
        <v>86</v>
      </c>
      <c r="T125" s="9" t="s">
        <v>493</v>
      </c>
      <c r="U125" s="11" t="s">
        <v>152</v>
      </c>
      <c r="V125" s="11" t="s">
        <v>88</v>
      </c>
      <c r="W125" s="11" t="s">
        <v>756</v>
      </c>
      <c r="X125" s="9" t="n">
        <f aca="false">IF(AND(COUNT($E125:$G125)=0,LEFT($H125,2)&lt;&gt;"定性",LEFT($H125,2)&lt;&gt;"文字",LEFT($H125,2)&lt;&gt;"日期"),1,0)</f>
        <v>0</v>
      </c>
      <c r="Y125" s="9" t="n">
        <f aca="false">IF(OR($L125="",$M125=""),1,0)</f>
        <v>0</v>
      </c>
      <c r="Z125" s="9" t="n">
        <f aca="false">IF(AND(ISNUMBER($E125),ISNUMBER($F125)),IF($F125&gt;$E125,1,0),0)+IF(AND(ISNUMBER($E125),ISNUMBER($G125)),IF($E125&gt;$G125,1,0),0)+IF(AND(ISNUMBER($F125),ISNUMBER($G125)),IF($F125&gt;$G125,1,0),0)</f>
        <v>0</v>
      </c>
      <c r="AA125" s="9" t="n">
        <f aca="false">IF(AND($P125="Derived",$V125="觀測"),1,0)</f>
        <v>0</v>
      </c>
      <c r="AB125" s="12" t="s">
        <v>90</v>
      </c>
    </row>
    <row r="126" customFormat="false" ht="15" hidden="false" customHeight="false" outlineLevel="0" collapsed="false">
      <c r="A126" s="9" t="s">
        <v>757</v>
      </c>
      <c r="B126" s="9" t="s">
        <v>758</v>
      </c>
      <c r="C126" s="9" t="s">
        <v>487</v>
      </c>
      <c r="D126" s="9" t="s">
        <v>759</v>
      </c>
      <c r="E126" s="10" t="n">
        <v>2</v>
      </c>
      <c r="F126" s="9"/>
      <c r="G126" s="9"/>
      <c r="H126" s="11" t="s">
        <v>747</v>
      </c>
      <c r="I126" s="9" t="s">
        <v>689</v>
      </c>
      <c r="J126" s="13" t="n">
        <v>46227</v>
      </c>
      <c r="K126" s="9"/>
      <c r="L126" s="9" t="s">
        <v>690</v>
      </c>
      <c r="M126" s="9" t="s">
        <v>691</v>
      </c>
      <c r="N126" s="9" t="s">
        <v>689</v>
      </c>
      <c r="O126" s="9" t="s">
        <v>82</v>
      </c>
      <c r="P126" s="9" t="s">
        <v>83</v>
      </c>
      <c r="Q126" s="9" t="s">
        <v>493</v>
      </c>
      <c r="R126" s="9" t="s">
        <v>151</v>
      </c>
      <c r="S126" s="11" t="s">
        <v>86</v>
      </c>
      <c r="T126" s="9" t="s">
        <v>493</v>
      </c>
      <c r="U126" s="11" t="s">
        <v>152</v>
      </c>
      <c r="V126" s="11" t="s">
        <v>88</v>
      </c>
      <c r="W126" s="11" t="s">
        <v>760</v>
      </c>
      <c r="X126" s="9" t="n">
        <f aca="false">IF(AND(COUNT($E126:$G126)=0,LEFT($H126,2)&lt;&gt;"定性",LEFT($H126,2)&lt;&gt;"文字",LEFT($H126,2)&lt;&gt;"日期"),1,0)</f>
        <v>0</v>
      </c>
      <c r="Y126" s="9" t="n">
        <f aca="false">IF(OR($L126="",$M126=""),1,0)</f>
        <v>0</v>
      </c>
      <c r="Z126" s="9" t="n">
        <f aca="false">IF(AND(ISNUMBER($E126),ISNUMBER($F126)),IF($F126&gt;$E126,1,0),0)+IF(AND(ISNUMBER($E126),ISNUMBER($G126)),IF($E126&gt;$G126,1,0),0)+IF(AND(ISNUMBER($F126),ISNUMBER($G126)),IF($F126&gt;$G126,1,0),0)</f>
        <v>0</v>
      </c>
      <c r="AA126" s="9" t="n">
        <f aca="false">IF(AND($P126="Derived",$V126="觀測"),1,0)</f>
        <v>0</v>
      </c>
      <c r="AB126" s="12" t="s">
        <v>90</v>
      </c>
    </row>
    <row r="127" customFormat="false" ht="15" hidden="false" customHeight="false" outlineLevel="0" collapsed="false">
      <c r="A127" s="9" t="s">
        <v>761</v>
      </c>
      <c r="B127" s="9" t="s">
        <v>762</v>
      </c>
      <c r="C127" s="9" t="s">
        <v>487</v>
      </c>
      <c r="D127" s="9" t="s">
        <v>763</v>
      </c>
      <c r="E127" s="10" t="n">
        <v>8</v>
      </c>
      <c r="F127" s="9"/>
      <c r="G127" s="9"/>
      <c r="H127" s="9" t="s">
        <v>489</v>
      </c>
      <c r="I127" s="9" t="s">
        <v>709</v>
      </c>
      <c r="J127" s="13" t="n">
        <v>46287</v>
      </c>
      <c r="K127" s="9"/>
      <c r="L127" s="9" t="s">
        <v>710</v>
      </c>
      <c r="M127" s="9" t="s">
        <v>711</v>
      </c>
      <c r="N127" s="9" t="s">
        <v>709</v>
      </c>
      <c r="O127" s="9" t="s">
        <v>82</v>
      </c>
      <c r="P127" s="9" t="s">
        <v>83</v>
      </c>
      <c r="Q127" s="9" t="s">
        <v>493</v>
      </c>
      <c r="R127" s="9" t="s">
        <v>151</v>
      </c>
      <c r="S127" s="11" t="s">
        <v>86</v>
      </c>
      <c r="T127" s="9" t="s">
        <v>493</v>
      </c>
      <c r="U127" s="11" t="s">
        <v>152</v>
      </c>
      <c r="V127" s="11" t="s">
        <v>88</v>
      </c>
      <c r="W127" s="11" t="s">
        <v>764</v>
      </c>
      <c r="X127" s="9" t="n">
        <f aca="false">IF(AND(COUNT($E127:$G127)=0,LEFT($H127,2)&lt;&gt;"定性",LEFT($H127,2)&lt;&gt;"文字",LEFT($H127,2)&lt;&gt;"日期"),1,0)</f>
        <v>0</v>
      </c>
      <c r="Y127" s="9" t="n">
        <f aca="false">IF(OR($L127="",$M127=""),1,0)</f>
        <v>0</v>
      </c>
      <c r="Z127" s="9" t="n">
        <f aca="false">IF(AND(ISNUMBER($E127),ISNUMBER($F127)),IF($F127&gt;$E127,1,0),0)+IF(AND(ISNUMBER($E127),ISNUMBER($G127)),IF($E127&gt;$G127,1,0),0)+IF(AND(ISNUMBER($F127),ISNUMBER($G127)),IF($F127&gt;$G127,1,0),0)</f>
        <v>0</v>
      </c>
      <c r="AA127" s="9" t="n">
        <f aca="false">IF(AND($P127="Derived",$V127="觀測"),1,0)</f>
        <v>0</v>
      </c>
      <c r="AB127" s="12" t="s">
        <v>90</v>
      </c>
    </row>
    <row r="128" customFormat="false" ht="15" hidden="false" customHeight="false" outlineLevel="0" collapsed="false">
      <c r="A128" s="9" t="s">
        <v>765</v>
      </c>
      <c r="B128" s="9" t="s">
        <v>766</v>
      </c>
      <c r="C128" s="9" t="s">
        <v>487</v>
      </c>
      <c r="D128" s="9" t="s">
        <v>767</v>
      </c>
      <c r="E128" s="10" t="n">
        <v>40</v>
      </c>
      <c r="F128" s="9"/>
      <c r="G128" s="9"/>
      <c r="H128" s="9" t="s">
        <v>489</v>
      </c>
      <c r="I128" s="9" t="s">
        <v>709</v>
      </c>
      <c r="J128" s="13" t="n">
        <v>46287</v>
      </c>
      <c r="K128" s="9"/>
      <c r="L128" s="9" t="s">
        <v>710</v>
      </c>
      <c r="M128" s="9" t="s">
        <v>711</v>
      </c>
      <c r="N128" s="9" t="s">
        <v>709</v>
      </c>
      <c r="O128" s="9" t="s">
        <v>82</v>
      </c>
      <c r="P128" s="9" t="s">
        <v>83</v>
      </c>
      <c r="Q128" s="9" t="s">
        <v>493</v>
      </c>
      <c r="R128" s="9" t="s">
        <v>151</v>
      </c>
      <c r="S128" s="11" t="s">
        <v>86</v>
      </c>
      <c r="T128" s="9" t="s">
        <v>493</v>
      </c>
      <c r="U128" s="11" t="s">
        <v>152</v>
      </c>
      <c r="V128" s="11" t="s">
        <v>88</v>
      </c>
      <c r="W128" s="11" t="s">
        <v>768</v>
      </c>
      <c r="X128" s="9" t="n">
        <f aca="false">IF(AND(COUNT($E128:$G128)=0,LEFT($H128,2)&lt;&gt;"定性",LEFT($H128,2)&lt;&gt;"文字",LEFT($H128,2)&lt;&gt;"日期"),1,0)</f>
        <v>0</v>
      </c>
      <c r="Y128" s="9" t="n">
        <f aca="false">IF(OR($L128="",$M128=""),1,0)</f>
        <v>0</v>
      </c>
      <c r="Z128" s="9" t="n">
        <f aca="false">IF(AND(ISNUMBER($E128),ISNUMBER($F128)),IF($F128&gt;$E128,1,0),0)+IF(AND(ISNUMBER($E128),ISNUMBER($G128)),IF($E128&gt;$G128,1,0),0)+IF(AND(ISNUMBER($F128),ISNUMBER($G128)),IF($F128&gt;$G128,1,0),0)</f>
        <v>0</v>
      </c>
      <c r="AA128" s="9" t="n">
        <f aca="false">IF(AND($P128="Derived",$V128="觀測"),1,0)</f>
        <v>0</v>
      </c>
      <c r="AB128" s="12" t="s">
        <v>90</v>
      </c>
    </row>
    <row r="129" customFormat="false" ht="15" hidden="false" customHeight="false" outlineLevel="0" collapsed="false">
      <c r="A129" s="9" t="s">
        <v>769</v>
      </c>
      <c r="B129" s="9" t="s">
        <v>770</v>
      </c>
      <c r="C129" s="9" t="s">
        <v>487</v>
      </c>
      <c r="D129" s="9" t="s">
        <v>771</v>
      </c>
      <c r="E129" s="10" t="n">
        <v>0.2</v>
      </c>
      <c r="F129" s="9"/>
      <c r="G129" s="9"/>
      <c r="H129" s="9" t="s">
        <v>489</v>
      </c>
      <c r="I129" s="9" t="s">
        <v>709</v>
      </c>
      <c r="J129" s="13" t="n">
        <v>46287</v>
      </c>
      <c r="K129" s="9"/>
      <c r="L129" s="9" t="s">
        <v>710</v>
      </c>
      <c r="M129" s="9" t="s">
        <v>711</v>
      </c>
      <c r="N129" s="9" t="s">
        <v>709</v>
      </c>
      <c r="O129" s="9" t="s">
        <v>82</v>
      </c>
      <c r="P129" s="9" t="s">
        <v>83</v>
      </c>
      <c r="Q129" s="9" t="s">
        <v>493</v>
      </c>
      <c r="R129" s="9" t="s">
        <v>151</v>
      </c>
      <c r="S129" s="11" t="s">
        <v>86</v>
      </c>
      <c r="T129" s="9" t="s">
        <v>493</v>
      </c>
      <c r="U129" s="11" t="s">
        <v>152</v>
      </c>
      <c r="V129" s="11" t="s">
        <v>88</v>
      </c>
      <c r="W129" s="11" t="s">
        <v>772</v>
      </c>
      <c r="X129" s="9" t="n">
        <f aca="false">IF(AND(COUNT($E129:$G129)=0,LEFT($H129,2)&lt;&gt;"定性",LEFT($H129,2)&lt;&gt;"文字",LEFT($H129,2)&lt;&gt;"日期"),1,0)</f>
        <v>0</v>
      </c>
      <c r="Y129" s="9" t="n">
        <f aca="false">IF(OR($L129="",$M129=""),1,0)</f>
        <v>0</v>
      </c>
      <c r="Z129" s="9" t="n">
        <f aca="false">IF(AND(ISNUMBER($E129),ISNUMBER($F129)),IF($F129&gt;$E129,1,0),0)+IF(AND(ISNUMBER($E129),ISNUMBER($G129)),IF($E129&gt;$G129,1,0),0)+IF(AND(ISNUMBER($F129),ISNUMBER($G129)),IF($F129&gt;$G129,1,0),0)</f>
        <v>0</v>
      </c>
      <c r="AA129" s="9" t="n">
        <f aca="false">IF(AND($P129="Derived",$V129="觀測"),1,0)</f>
        <v>0</v>
      </c>
      <c r="AB129" s="12" t="s">
        <v>90</v>
      </c>
    </row>
    <row r="130" customFormat="false" ht="15" hidden="false" customHeight="false" outlineLevel="0" collapsed="false">
      <c r="A130" s="9" t="s">
        <v>773</v>
      </c>
      <c r="B130" s="9" t="s">
        <v>774</v>
      </c>
      <c r="C130" s="9" t="s">
        <v>487</v>
      </c>
      <c r="D130" s="9" t="s">
        <v>775</v>
      </c>
      <c r="E130" s="10" t="n">
        <v>0.25</v>
      </c>
      <c r="F130" s="9"/>
      <c r="G130" s="9"/>
      <c r="H130" s="9" t="s">
        <v>489</v>
      </c>
      <c r="I130" s="9" t="s">
        <v>699</v>
      </c>
      <c r="J130" s="13" t="n">
        <v>46266</v>
      </c>
      <c r="K130" s="9"/>
      <c r="L130" s="9" t="s">
        <v>700</v>
      </c>
      <c r="M130" s="9" t="s">
        <v>701</v>
      </c>
      <c r="N130" s="9" t="s">
        <v>699</v>
      </c>
      <c r="O130" s="9" t="s">
        <v>82</v>
      </c>
      <c r="P130" s="9" t="s">
        <v>83</v>
      </c>
      <c r="Q130" s="9" t="s">
        <v>493</v>
      </c>
      <c r="R130" s="9" t="s">
        <v>151</v>
      </c>
      <c r="S130" s="11" t="s">
        <v>86</v>
      </c>
      <c r="T130" s="9" t="s">
        <v>493</v>
      </c>
      <c r="U130" s="11" t="s">
        <v>152</v>
      </c>
      <c r="V130" s="11" t="s">
        <v>88</v>
      </c>
      <c r="W130" s="11" t="s">
        <v>776</v>
      </c>
      <c r="X130" s="9" t="n">
        <f aca="false">IF(AND(COUNT($E130:$G130)=0,LEFT($H130,2)&lt;&gt;"定性",LEFT($H130,2)&lt;&gt;"文字",LEFT($H130,2)&lt;&gt;"日期"),1,0)</f>
        <v>0</v>
      </c>
      <c r="Y130" s="9" t="n">
        <f aca="false">IF(OR($L130="",$M130=""),1,0)</f>
        <v>0</v>
      </c>
      <c r="Z130" s="9" t="n">
        <f aca="false">IF(AND(ISNUMBER($E130),ISNUMBER($F130)),IF($F130&gt;$E130,1,0),0)+IF(AND(ISNUMBER($E130),ISNUMBER($G130)),IF($E130&gt;$G130,1,0),0)+IF(AND(ISNUMBER($F130),ISNUMBER($G130)),IF($F130&gt;$G130,1,0),0)</f>
        <v>0</v>
      </c>
      <c r="AA130" s="9" t="n">
        <f aca="false">IF(AND($P130="Derived",$V130="觀測"),1,0)</f>
        <v>0</v>
      </c>
      <c r="AB130" s="12" t="s">
        <v>90</v>
      </c>
    </row>
    <row r="131" customFormat="false" ht="15" hidden="false" customHeight="false" outlineLevel="0" collapsed="false">
      <c r="A131" s="9" t="s">
        <v>777</v>
      </c>
      <c r="B131" s="9" t="s">
        <v>778</v>
      </c>
      <c r="C131" s="9" t="s">
        <v>487</v>
      </c>
      <c r="D131" s="9" t="s">
        <v>779</v>
      </c>
      <c r="E131" s="10" t="n">
        <v>0.2</v>
      </c>
      <c r="F131" s="9"/>
      <c r="G131" s="9"/>
      <c r="H131" s="9" t="s">
        <v>489</v>
      </c>
      <c r="I131" s="9" t="s">
        <v>719</v>
      </c>
      <c r="J131" s="13" t="n">
        <v>46293</v>
      </c>
      <c r="K131" s="9"/>
      <c r="L131" s="9" t="s">
        <v>720</v>
      </c>
      <c r="M131" s="9" t="s">
        <v>721</v>
      </c>
      <c r="N131" s="9" t="s">
        <v>719</v>
      </c>
      <c r="O131" s="9" t="s">
        <v>82</v>
      </c>
      <c r="P131" s="9" t="s">
        <v>83</v>
      </c>
      <c r="Q131" s="9" t="s">
        <v>493</v>
      </c>
      <c r="R131" s="9" t="s">
        <v>151</v>
      </c>
      <c r="S131" s="11" t="s">
        <v>86</v>
      </c>
      <c r="T131" s="9" t="s">
        <v>493</v>
      </c>
      <c r="U131" s="11" t="s">
        <v>152</v>
      </c>
      <c r="V131" s="11" t="s">
        <v>88</v>
      </c>
      <c r="W131" s="11" t="s">
        <v>780</v>
      </c>
      <c r="X131" s="9" t="n">
        <f aca="false">IF(AND(COUNT($E131:$G131)=0,LEFT($H131,2)&lt;&gt;"定性",LEFT($H131,2)&lt;&gt;"文字",LEFT($H131,2)&lt;&gt;"日期"),1,0)</f>
        <v>0</v>
      </c>
      <c r="Y131" s="9" t="n">
        <f aca="false">IF(OR($L131="",$M131=""),1,0)</f>
        <v>0</v>
      </c>
      <c r="Z131" s="9" t="n">
        <f aca="false">IF(AND(ISNUMBER($E131),ISNUMBER($F131)),IF($F131&gt;$E131,1,0),0)+IF(AND(ISNUMBER($E131),ISNUMBER($G131)),IF($E131&gt;$G131,1,0),0)+IF(AND(ISNUMBER($F131),ISNUMBER($G131)),IF($F131&gt;$G131,1,0),0)</f>
        <v>0</v>
      </c>
      <c r="AA131" s="9" t="n">
        <f aca="false">IF(AND($P131="Derived",$V131="觀測"),1,0)</f>
        <v>0</v>
      </c>
      <c r="AB131" s="12" t="s">
        <v>90</v>
      </c>
    </row>
    <row r="132" customFormat="false" ht="15" hidden="false" customHeight="false" outlineLevel="0" collapsed="false">
      <c r="A132" s="9" t="s">
        <v>781</v>
      </c>
      <c r="B132" s="9" t="s">
        <v>782</v>
      </c>
      <c r="C132" s="9" t="s">
        <v>487</v>
      </c>
      <c r="D132" s="9" t="s">
        <v>783</v>
      </c>
      <c r="E132" s="10" t="n">
        <v>0.1</v>
      </c>
      <c r="F132" s="9"/>
      <c r="G132" s="9"/>
      <c r="H132" s="9" t="s">
        <v>489</v>
      </c>
      <c r="I132" s="9" t="s">
        <v>729</v>
      </c>
      <c r="J132" s="13" t="n">
        <v>46302</v>
      </c>
      <c r="K132" s="9"/>
      <c r="L132" s="9" t="s">
        <v>730</v>
      </c>
      <c r="M132" s="9" t="s">
        <v>731</v>
      </c>
      <c r="N132" s="9" t="s">
        <v>729</v>
      </c>
      <c r="O132" s="9" t="s">
        <v>82</v>
      </c>
      <c r="P132" s="9" t="s">
        <v>83</v>
      </c>
      <c r="Q132" s="9" t="s">
        <v>493</v>
      </c>
      <c r="R132" s="9" t="s">
        <v>151</v>
      </c>
      <c r="S132" s="11" t="s">
        <v>86</v>
      </c>
      <c r="T132" s="9" t="s">
        <v>493</v>
      </c>
      <c r="U132" s="11" t="s">
        <v>152</v>
      </c>
      <c r="V132" s="11" t="s">
        <v>88</v>
      </c>
      <c r="W132" s="11" t="s">
        <v>784</v>
      </c>
      <c r="X132" s="9" t="n">
        <f aca="false">IF(AND(COUNT($E132:$G132)=0,LEFT($H132,2)&lt;&gt;"定性",LEFT($H132,2)&lt;&gt;"文字",LEFT($H132,2)&lt;&gt;"日期"),1,0)</f>
        <v>0</v>
      </c>
      <c r="Y132" s="9" t="n">
        <f aca="false">IF(OR($L132="",$M132=""),1,0)</f>
        <v>0</v>
      </c>
      <c r="Z132" s="9" t="n">
        <f aca="false">IF(AND(ISNUMBER($E132),ISNUMBER($F132)),IF($F132&gt;$E132,1,0),0)+IF(AND(ISNUMBER($E132),ISNUMBER($G132)),IF($E132&gt;$G132,1,0),0)+IF(AND(ISNUMBER($F132),ISNUMBER($G132)),IF($F132&gt;$G132,1,0),0)</f>
        <v>0</v>
      </c>
      <c r="AA132" s="9" t="n">
        <f aca="false">IF(AND($P132="Derived",$V132="觀測"),1,0)</f>
        <v>0</v>
      </c>
      <c r="AB132" s="12" t="s">
        <v>90</v>
      </c>
    </row>
    <row r="133" customFormat="false" ht="15" hidden="false" customHeight="false" outlineLevel="0" collapsed="false">
      <c r="A133" s="9" t="s">
        <v>785</v>
      </c>
      <c r="B133" s="9" t="s">
        <v>786</v>
      </c>
      <c r="C133" s="9" t="s">
        <v>487</v>
      </c>
      <c r="D133" s="9" t="s">
        <v>787</v>
      </c>
      <c r="E133" s="10" t="n">
        <v>2.5</v>
      </c>
      <c r="F133" s="9"/>
      <c r="G133" s="9"/>
      <c r="H133" s="9" t="s">
        <v>489</v>
      </c>
      <c r="I133" s="9" t="s">
        <v>729</v>
      </c>
      <c r="J133" s="13" t="n">
        <v>46302</v>
      </c>
      <c r="K133" s="9"/>
      <c r="L133" s="9" t="s">
        <v>788</v>
      </c>
      <c r="M133" s="9" t="s">
        <v>731</v>
      </c>
      <c r="N133" s="9" t="s">
        <v>729</v>
      </c>
      <c r="O133" s="9" t="s">
        <v>82</v>
      </c>
      <c r="P133" s="9" t="s">
        <v>83</v>
      </c>
      <c r="Q133" s="9" t="s">
        <v>493</v>
      </c>
      <c r="R133" s="9" t="s">
        <v>151</v>
      </c>
      <c r="S133" s="11" t="s">
        <v>86</v>
      </c>
      <c r="T133" s="9" t="s">
        <v>493</v>
      </c>
      <c r="U133" s="11" t="s">
        <v>152</v>
      </c>
      <c r="V133" s="11" t="s">
        <v>88</v>
      </c>
      <c r="W133" s="11" t="s">
        <v>789</v>
      </c>
      <c r="X133" s="9" t="n">
        <f aca="false">IF(AND(COUNT($E133:$G133)=0,LEFT($H133,2)&lt;&gt;"定性",LEFT($H133,2)&lt;&gt;"文字",LEFT($H133,2)&lt;&gt;"日期"),1,0)</f>
        <v>0</v>
      </c>
      <c r="Y133" s="9" t="n">
        <f aca="false">IF(OR($L133="",$M133=""),1,0)</f>
        <v>0</v>
      </c>
      <c r="Z133" s="9" t="n">
        <f aca="false">IF(AND(ISNUMBER($E133),ISNUMBER($F133)),IF($F133&gt;$E133,1,0),0)+IF(AND(ISNUMBER($E133),ISNUMBER($G133)),IF($E133&gt;$G133,1,0),0)+IF(AND(ISNUMBER($F133),ISNUMBER($G133)),IF($F133&gt;$G133,1,0),0)</f>
        <v>0</v>
      </c>
      <c r="AA133" s="9" t="n">
        <f aca="false">IF(AND($P133="Derived",$V133="觀測"),1,0)</f>
        <v>0</v>
      </c>
      <c r="AB133" s="12" t="s">
        <v>90</v>
      </c>
    </row>
    <row r="134" customFormat="false" ht="15" hidden="false" customHeight="false" outlineLevel="0" collapsed="false">
      <c r="A134" s="9" t="s">
        <v>790</v>
      </c>
      <c r="B134" s="9" t="s">
        <v>791</v>
      </c>
      <c r="C134" s="9" t="s">
        <v>487</v>
      </c>
      <c r="D134" s="9" t="s">
        <v>792</v>
      </c>
      <c r="E134" s="10" t="n">
        <v>0.5</v>
      </c>
      <c r="F134" s="9"/>
      <c r="G134" s="9"/>
      <c r="H134" s="9" t="s">
        <v>489</v>
      </c>
      <c r="I134" s="9" t="s">
        <v>729</v>
      </c>
      <c r="J134" s="13" t="n">
        <v>46302</v>
      </c>
      <c r="K134" s="9"/>
      <c r="L134" s="9" t="s">
        <v>788</v>
      </c>
      <c r="M134" s="9" t="s">
        <v>731</v>
      </c>
      <c r="N134" s="9" t="s">
        <v>729</v>
      </c>
      <c r="O134" s="9" t="s">
        <v>82</v>
      </c>
      <c r="P134" s="9" t="s">
        <v>83</v>
      </c>
      <c r="Q134" s="9" t="s">
        <v>493</v>
      </c>
      <c r="R134" s="9" t="s">
        <v>151</v>
      </c>
      <c r="S134" s="11" t="s">
        <v>86</v>
      </c>
      <c r="T134" s="9" t="s">
        <v>493</v>
      </c>
      <c r="U134" s="11" t="s">
        <v>152</v>
      </c>
      <c r="V134" s="11" t="s">
        <v>88</v>
      </c>
      <c r="W134" s="11" t="s">
        <v>793</v>
      </c>
      <c r="X134" s="9" t="n">
        <f aca="false">IF(AND(COUNT($E134:$G134)=0,LEFT($H134,2)&lt;&gt;"定性",LEFT($H134,2)&lt;&gt;"文字",LEFT($H134,2)&lt;&gt;"日期"),1,0)</f>
        <v>0</v>
      </c>
      <c r="Y134" s="9" t="n">
        <f aca="false">IF(OR($L134="",$M134=""),1,0)</f>
        <v>0</v>
      </c>
      <c r="Z134" s="9" t="n">
        <f aca="false">IF(AND(ISNUMBER($E134),ISNUMBER($F134)),IF($F134&gt;$E134,1,0),0)+IF(AND(ISNUMBER($E134),ISNUMBER($G134)),IF($E134&gt;$G134,1,0),0)+IF(AND(ISNUMBER($F134),ISNUMBER($G134)),IF($F134&gt;$G134,1,0),0)</f>
        <v>0</v>
      </c>
      <c r="AA134" s="9" t="n">
        <f aca="false">IF(AND($P134="Derived",$V134="觀測"),1,0)</f>
        <v>0</v>
      </c>
      <c r="AB134" s="12" t="s">
        <v>90</v>
      </c>
    </row>
    <row r="135" customFormat="false" ht="15" hidden="false" customHeight="false" outlineLevel="0" collapsed="false">
      <c r="A135" s="9" t="s">
        <v>794</v>
      </c>
      <c r="B135" s="9" t="s">
        <v>795</v>
      </c>
      <c r="C135" s="9" t="s">
        <v>487</v>
      </c>
      <c r="D135" s="9" t="s">
        <v>796</v>
      </c>
      <c r="E135" s="10" t="n">
        <v>2.5</v>
      </c>
      <c r="F135" s="9"/>
      <c r="G135" s="9"/>
      <c r="H135" s="9" t="s">
        <v>489</v>
      </c>
      <c r="I135" s="9" t="s">
        <v>729</v>
      </c>
      <c r="J135" s="13" t="n">
        <v>46302</v>
      </c>
      <c r="K135" s="9"/>
      <c r="L135" s="9" t="s">
        <v>788</v>
      </c>
      <c r="M135" s="9" t="s">
        <v>731</v>
      </c>
      <c r="N135" s="9" t="s">
        <v>729</v>
      </c>
      <c r="O135" s="9" t="s">
        <v>82</v>
      </c>
      <c r="P135" s="9" t="s">
        <v>83</v>
      </c>
      <c r="Q135" s="9" t="s">
        <v>493</v>
      </c>
      <c r="R135" s="9" t="s">
        <v>151</v>
      </c>
      <c r="S135" s="11" t="s">
        <v>86</v>
      </c>
      <c r="T135" s="9" t="s">
        <v>493</v>
      </c>
      <c r="U135" s="11" t="s">
        <v>152</v>
      </c>
      <c r="V135" s="11" t="s">
        <v>88</v>
      </c>
      <c r="W135" s="11" t="s">
        <v>797</v>
      </c>
      <c r="X135" s="9" t="n">
        <f aca="false">IF(AND(COUNT($E135:$G135)=0,LEFT($H135,2)&lt;&gt;"定性",LEFT($H135,2)&lt;&gt;"文字",LEFT($H135,2)&lt;&gt;"日期"),1,0)</f>
        <v>0</v>
      </c>
      <c r="Y135" s="9" t="n">
        <f aca="false">IF(OR($L135="",$M135=""),1,0)</f>
        <v>0</v>
      </c>
      <c r="Z135" s="9" t="n">
        <f aca="false">IF(AND(ISNUMBER($E135),ISNUMBER($F135)),IF($F135&gt;$E135,1,0),0)+IF(AND(ISNUMBER($E135),ISNUMBER($G135)),IF($E135&gt;$G135,1,0),0)+IF(AND(ISNUMBER($F135),ISNUMBER($G135)),IF($F135&gt;$G135,1,0),0)</f>
        <v>0</v>
      </c>
      <c r="AA135" s="9" t="n">
        <f aca="false">IF(AND($P135="Derived",$V135="觀測"),1,0)</f>
        <v>0</v>
      </c>
      <c r="AB135" s="12" t="s">
        <v>90</v>
      </c>
    </row>
    <row r="136" customFormat="false" ht="15" hidden="false" customHeight="false" outlineLevel="0" collapsed="false">
      <c r="A136" s="9" t="s">
        <v>798</v>
      </c>
      <c r="B136" s="9" t="s">
        <v>799</v>
      </c>
      <c r="C136" s="9" t="s">
        <v>487</v>
      </c>
      <c r="D136" s="9" t="s">
        <v>800</v>
      </c>
      <c r="E136" s="10" t="n">
        <v>0.01</v>
      </c>
      <c r="F136" s="9"/>
      <c r="G136" s="9"/>
      <c r="H136" s="9" t="s">
        <v>489</v>
      </c>
      <c r="I136" s="9" t="s">
        <v>729</v>
      </c>
      <c r="J136" s="13" t="n">
        <v>46302</v>
      </c>
      <c r="K136" s="9"/>
      <c r="L136" s="9" t="s">
        <v>788</v>
      </c>
      <c r="M136" s="9" t="s">
        <v>731</v>
      </c>
      <c r="N136" s="9" t="s">
        <v>729</v>
      </c>
      <c r="O136" s="9" t="s">
        <v>82</v>
      </c>
      <c r="P136" s="9" t="s">
        <v>83</v>
      </c>
      <c r="Q136" s="9" t="s">
        <v>493</v>
      </c>
      <c r="R136" s="9" t="s">
        <v>151</v>
      </c>
      <c r="S136" s="11" t="s">
        <v>86</v>
      </c>
      <c r="T136" s="9" t="s">
        <v>493</v>
      </c>
      <c r="U136" s="11" t="s">
        <v>152</v>
      </c>
      <c r="V136" s="11" t="s">
        <v>88</v>
      </c>
      <c r="W136" s="11" t="s">
        <v>801</v>
      </c>
      <c r="X136" s="9" t="n">
        <f aca="false">IF(AND(COUNT($E136:$G136)=0,LEFT($H136,2)&lt;&gt;"定性",LEFT($H136,2)&lt;&gt;"文字",LEFT($H136,2)&lt;&gt;"日期"),1,0)</f>
        <v>0</v>
      </c>
      <c r="Y136" s="9" t="n">
        <f aca="false">IF(OR($L136="",$M136=""),1,0)</f>
        <v>0</v>
      </c>
      <c r="Z136" s="9" t="n">
        <f aca="false">IF(AND(ISNUMBER($E136),ISNUMBER($F136)),IF($F136&gt;$E136,1,0),0)+IF(AND(ISNUMBER($E136),ISNUMBER($G136)),IF($E136&gt;$G136,1,0),0)+IF(AND(ISNUMBER($F136),ISNUMBER($G136)),IF($F136&gt;$G136,1,0),0)</f>
        <v>0</v>
      </c>
      <c r="AA136" s="9" t="n">
        <f aca="false">IF(AND($P136="Derived",$V136="觀測"),1,0)</f>
        <v>0</v>
      </c>
      <c r="AB136" s="12" t="s">
        <v>90</v>
      </c>
    </row>
    <row r="137" customFormat="false" ht="15" hidden="false" customHeight="false" outlineLevel="0" collapsed="false">
      <c r="A137" s="9" t="s">
        <v>802</v>
      </c>
      <c r="B137" s="9" t="s">
        <v>803</v>
      </c>
      <c r="C137" s="9" t="s">
        <v>487</v>
      </c>
      <c r="D137" s="9" t="s">
        <v>804</v>
      </c>
      <c r="E137" s="10" t="n">
        <v>1.25</v>
      </c>
      <c r="F137" s="9"/>
      <c r="G137" s="9"/>
      <c r="H137" s="9" t="s">
        <v>489</v>
      </c>
      <c r="I137" s="9" t="s">
        <v>729</v>
      </c>
      <c r="J137" s="13" t="n">
        <v>46302</v>
      </c>
      <c r="K137" s="9"/>
      <c r="L137" s="9" t="s">
        <v>788</v>
      </c>
      <c r="M137" s="9" t="s">
        <v>731</v>
      </c>
      <c r="N137" s="9" t="s">
        <v>729</v>
      </c>
      <c r="O137" s="9" t="s">
        <v>82</v>
      </c>
      <c r="P137" s="9" t="s">
        <v>83</v>
      </c>
      <c r="Q137" s="9" t="s">
        <v>493</v>
      </c>
      <c r="R137" s="9" t="s">
        <v>151</v>
      </c>
      <c r="S137" s="11" t="s">
        <v>86</v>
      </c>
      <c r="T137" s="9" t="s">
        <v>493</v>
      </c>
      <c r="U137" s="11" t="s">
        <v>152</v>
      </c>
      <c r="V137" s="11" t="s">
        <v>88</v>
      </c>
      <c r="W137" s="11" t="s">
        <v>805</v>
      </c>
      <c r="X137" s="9" t="n">
        <f aca="false">IF(AND(COUNT($E137:$G137)=0,LEFT($H137,2)&lt;&gt;"定性",LEFT($H137,2)&lt;&gt;"文字",LEFT($H137,2)&lt;&gt;"日期"),1,0)</f>
        <v>0</v>
      </c>
      <c r="Y137" s="9" t="n">
        <f aca="false">IF(OR($L137="",$M137=""),1,0)</f>
        <v>0</v>
      </c>
      <c r="Z137" s="9" t="n">
        <f aca="false">IF(AND(ISNUMBER($E137),ISNUMBER($F137)),IF($F137&gt;$E137,1,0),0)+IF(AND(ISNUMBER($E137),ISNUMBER($G137)),IF($E137&gt;$G137,1,0),0)+IF(AND(ISNUMBER($F137),ISNUMBER($G137)),IF($F137&gt;$G137,1,0),0)</f>
        <v>0</v>
      </c>
      <c r="AA137" s="9" t="n">
        <f aca="false">IF(AND($P137="Derived",$V137="觀測"),1,0)</f>
        <v>0</v>
      </c>
      <c r="AB137" s="12" t="s">
        <v>90</v>
      </c>
    </row>
    <row r="138" customFormat="false" ht="15" hidden="false" customHeight="false" outlineLevel="0" collapsed="false">
      <c r="A138" s="9" t="s">
        <v>806</v>
      </c>
      <c r="B138" s="9" t="s">
        <v>807</v>
      </c>
      <c r="C138" s="9" t="s">
        <v>487</v>
      </c>
      <c r="D138" s="9" t="s">
        <v>808</v>
      </c>
      <c r="E138" s="10" t="n">
        <v>0.1</v>
      </c>
      <c r="F138" s="9"/>
      <c r="G138" s="9"/>
      <c r="H138" s="9" t="s">
        <v>489</v>
      </c>
      <c r="I138" s="9" t="s">
        <v>729</v>
      </c>
      <c r="J138" s="13" t="n">
        <v>46302</v>
      </c>
      <c r="K138" s="9"/>
      <c r="L138" s="9" t="s">
        <v>788</v>
      </c>
      <c r="M138" s="9" t="s">
        <v>731</v>
      </c>
      <c r="N138" s="9" t="s">
        <v>729</v>
      </c>
      <c r="O138" s="9" t="s">
        <v>82</v>
      </c>
      <c r="P138" s="9" t="s">
        <v>83</v>
      </c>
      <c r="Q138" s="9" t="s">
        <v>493</v>
      </c>
      <c r="R138" s="9" t="s">
        <v>151</v>
      </c>
      <c r="S138" s="11" t="s">
        <v>86</v>
      </c>
      <c r="T138" s="9" t="s">
        <v>493</v>
      </c>
      <c r="U138" s="11" t="s">
        <v>152</v>
      </c>
      <c r="V138" s="11" t="s">
        <v>88</v>
      </c>
      <c r="W138" s="11" t="s">
        <v>809</v>
      </c>
      <c r="X138" s="9" t="n">
        <f aca="false">IF(AND(COUNT($E138:$G138)=0,LEFT($H138,2)&lt;&gt;"定性",LEFT($H138,2)&lt;&gt;"文字",LEFT($H138,2)&lt;&gt;"日期"),1,0)</f>
        <v>0</v>
      </c>
      <c r="Y138" s="9" t="n">
        <f aca="false">IF(OR($L138="",$M138=""),1,0)</f>
        <v>0</v>
      </c>
      <c r="Z138" s="9" t="n">
        <f aca="false">IF(AND(ISNUMBER($E138),ISNUMBER($F138)),IF($F138&gt;$E138,1,0),0)+IF(AND(ISNUMBER($E138),ISNUMBER($G138)),IF($E138&gt;$G138,1,0),0)+IF(AND(ISNUMBER($F138),ISNUMBER($G138)),IF($F138&gt;$G138,1,0),0)</f>
        <v>0</v>
      </c>
      <c r="AA138" s="9" t="n">
        <f aca="false">IF(AND($P138="Derived",$V138="觀測"),1,0)</f>
        <v>0</v>
      </c>
      <c r="AB138" s="12" t="s">
        <v>90</v>
      </c>
    </row>
    <row r="139" customFormat="false" ht="15" hidden="false" customHeight="false" outlineLevel="0" collapsed="false">
      <c r="A139" s="9" t="s">
        <v>810</v>
      </c>
      <c r="B139" s="9" t="s">
        <v>811</v>
      </c>
      <c r="C139" s="9" t="s">
        <v>487</v>
      </c>
      <c r="D139" s="11" t="s">
        <v>812</v>
      </c>
      <c r="E139" s="10" t="n">
        <v>1.25</v>
      </c>
      <c r="F139" s="9"/>
      <c r="G139" s="9"/>
      <c r="H139" s="11" t="s">
        <v>813</v>
      </c>
      <c r="I139" s="9" t="s">
        <v>229</v>
      </c>
      <c r="J139" s="9"/>
      <c r="K139" s="9"/>
      <c r="L139" s="9" t="s">
        <v>814</v>
      </c>
      <c r="M139" s="9" t="s">
        <v>815</v>
      </c>
      <c r="N139" s="9" t="s">
        <v>816</v>
      </c>
      <c r="O139" s="9" t="s">
        <v>82</v>
      </c>
      <c r="P139" s="9" t="s">
        <v>299</v>
      </c>
      <c r="Q139" s="9"/>
      <c r="R139" s="11" t="s">
        <v>103</v>
      </c>
      <c r="S139" s="11" t="s">
        <v>300</v>
      </c>
      <c r="T139" s="11" t="s">
        <v>301</v>
      </c>
      <c r="U139" s="11" t="s">
        <v>103</v>
      </c>
      <c r="V139" s="11" t="s">
        <v>88</v>
      </c>
      <c r="W139" s="11" t="s">
        <v>817</v>
      </c>
      <c r="X139" s="9" t="n">
        <f aca="false">IF(AND(COUNT($E139:$G139)=0,LEFT($H139,2)&lt;&gt;"定性",LEFT($H139,2)&lt;&gt;"文字",LEFT($H139,2)&lt;&gt;"日期"),1,0)</f>
        <v>0</v>
      </c>
      <c r="Y139" s="9" t="n">
        <f aca="false">IF(OR($L139="",$M139=""),1,0)</f>
        <v>0</v>
      </c>
      <c r="Z139" s="9" t="n">
        <f aca="false">IF(AND(ISNUMBER($E139),ISNUMBER($F139)),IF($F139&gt;$E139,1,0),0)+IF(AND(ISNUMBER($E139),ISNUMBER($G139)),IF($E139&gt;$G139,1,0),0)+IF(AND(ISNUMBER($F139),ISNUMBER($G139)),IF($F139&gt;$G139,1,0),0)</f>
        <v>0</v>
      </c>
      <c r="AA139" s="9" t="n">
        <f aca="false">IF(AND($P139="Derived",$V139="觀測"),1,0)</f>
        <v>0</v>
      </c>
      <c r="AB139" s="12" t="s">
        <v>90</v>
      </c>
    </row>
    <row r="140" customFormat="false" ht="15" hidden="false" customHeight="false" outlineLevel="0" collapsed="false">
      <c r="A140" s="9" t="s">
        <v>818</v>
      </c>
      <c r="B140" s="9" t="s">
        <v>819</v>
      </c>
      <c r="C140" s="9" t="s">
        <v>487</v>
      </c>
      <c r="D140" s="11" t="s">
        <v>820</v>
      </c>
      <c r="E140" s="10" t="n">
        <v>2</v>
      </c>
      <c r="F140" s="9"/>
      <c r="G140" s="9"/>
      <c r="H140" s="11" t="s">
        <v>813</v>
      </c>
      <c r="I140" s="9" t="s">
        <v>229</v>
      </c>
      <c r="J140" s="9"/>
      <c r="K140" s="9"/>
      <c r="L140" s="9" t="s">
        <v>821</v>
      </c>
      <c r="M140" s="9" t="s">
        <v>815</v>
      </c>
      <c r="N140" s="9" t="s">
        <v>816</v>
      </c>
      <c r="O140" s="9" t="s">
        <v>82</v>
      </c>
      <c r="P140" s="9" t="s">
        <v>299</v>
      </c>
      <c r="Q140" s="9"/>
      <c r="R140" s="11" t="s">
        <v>103</v>
      </c>
      <c r="S140" s="11" t="s">
        <v>300</v>
      </c>
      <c r="T140" s="11" t="s">
        <v>301</v>
      </c>
      <c r="U140" s="11" t="s">
        <v>103</v>
      </c>
      <c r="V140" s="11" t="s">
        <v>88</v>
      </c>
      <c r="W140" s="11" t="s">
        <v>822</v>
      </c>
      <c r="X140" s="9" t="n">
        <f aca="false">IF(AND(COUNT($E140:$G140)=0,LEFT($H140,2)&lt;&gt;"定性",LEFT($H140,2)&lt;&gt;"文字",LEFT($H140,2)&lt;&gt;"日期"),1,0)</f>
        <v>0</v>
      </c>
      <c r="Y140" s="9" t="n">
        <f aca="false">IF(OR($L140="",$M140=""),1,0)</f>
        <v>0</v>
      </c>
      <c r="Z140" s="9" t="n">
        <f aca="false">IF(AND(ISNUMBER($E140),ISNUMBER($F140)),IF($F140&gt;$E140,1,0),0)+IF(AND(ISNUMBER($E140),ISNUMBER($G140)),IF($E140&gt;$G140,1,0),0)+IF(AND(ISNUMBER($F140),ISNUMBER($G140)),IF($F140&gt;$G140,1,0),0)</f>
        <v>0</v>
      </c>
      <c r="AA140" s="9" t="n">
        <f aca="false">IF(AND($P140="Derived",$V140="觀測"),1,0)</f>
        <v>0</v>
      </c>
      <c r="AB140" s="12" t="s">
        <v>90</v>
      </c>
    </row>
    <row r="141" customFormat="false" ht="15" hidden="false" customHeight="false" outlineLevel="0" collapsed="false">
      <c r="A141" s="9" t="s">
        <v>823</v>
      </c>
      <c r="B141" s="9" t="s">
        <v>824</v>
      </c>
      <c r="C141" s="9" t="s">
        <v>487</v>
      </c>
      <c r="D141" s="11" t="s">
        <v>825</v>
      </c>
      <c r="E141" s="10" t="n">
        <v>0.1</v>
      </c>
      <c r="F141" s="9"/>
      <c r="G141" s="9"/>
      <c r="H141" s="11" t="s">
        <v>813</v>
      </c>
      <c r="I141" s="9" t="s">
        <v>229</v>
      </c>
      <c r="J141" s="9"/>
      <c r="K141" s="9"/>
      <c r="L141" s="9" t="s">
        <v>821</v>
      </c>
      <c r="M141" s="9" t="s">
        <v>815</v>
      </c>
      <c r="N141" s="9" t="s">
        <v>816</v>
      </c>
      <c r="O141" s="9" t="s">
        <v>82</v>
      </c>
      <c r="P141" s="9" t="s">
        <v>299</v>
      </c>
      <c r="Q141" s="9"/>
      <c r="R141" s="11" t="s">
        <v>103</v>
      </c>
      <c r="S141" s="11" t="s">
        <v>300</v>
      </c>
      <c r="T141" s="11" t="s">
        <v>301</v>
      </c>
      <c r="U141" s="11" t="s">
        <v>103</v>
      </c>
      <c r="V141" s="11" t="s">
        <v>88</v>
      </c>
      <c r="W141" s="11" t="s">
        <v>826</v>
      </c>
      <c r="X141" s="9" t="n">
        <f aca="false">IF(AND(COUNT($E141:$G141)=0,LEFT($H141,2)&lt;&gt;"定性",LEFT($H141,2)&lt;&gt;"文字",LEFT($H141,2)&lt;&gt;"日期"),1,0)</f>
        <v>0</v>
      </c>
      <c r="Y141" s="9" t="n">
        <f aca="false">IF(OR($L141="",$M141=""),1,0)</f>
        <v>0</v>
      </c>
      <c r="Z141" s="9" t="n">
        <f aca="false">IF(AND(ISNUMBER($E141),ISNUMBER($F141)),IF($F141&gt;$E141,1,0),0)+IF(AND(ISNUMBER($E141),ISNUMBER($G141)),IF($E141&gt;$G141,1,0),0)+IF(AND(ISNUMBER($F141),ISNUMBER($G141)),IF($F141&gt;$G141,1,0),0)</f>
        <v>0</v>
      </c>
      <c r="AA141" s="9" t="n">
        <f aca="false">IF(AND($P141="Derived",$V141="觀測"),1,0)</f>
        <v>0</v>
      </c>
      <c r="AB141" s="12" t="s">
        <v>90</v>
      </c>
    </row>
    <row r="142" customFormat="false" ht="15" hidden="false" customHeight="false" outlineLevel="0" collapsed="false">
      <c r="A142" s="9" t="s">
        <v>827</v>
      </c>
      <c r="B142" s="9" t="s">
        <v>828</v>
      </c>
      <c r="C142" s="9" t="s">
        <v>487</v>
      </c>
      <c r="D142" s="9" t="s">
        <v>829</v>
      </c>
      <c r="E142" s="10" t="n">
        <v>0.5</v>
      </c>
      <c r="F142" s="9"/>
      <c r="G142" s="9"/>
      <c r="H142" s="11" t="s">
        <v>830</v>
      </c>
      <c r="I142" s="9" t="s">
        <v>229</v>
      </c>
      <c r="J142" s="9"/>
      <c r="K142" s="9"/>
      <c r="L142" s="9" t="s">
        <v>821</v>
      </c>
      <c r="M142" s="9" t="s">
        <v>815</v>
      </c>
      <c r="N142" s="9" t="s">
        <v>816</v>
      </c>
      <c r="O142" s="9" t="s">
        <v>82</v>
      </c>
      <c r="P142" s="9" t="s">
        <v>299</v>
      </c>
      <c r="Q142" s="9"/>
      <c r="R142" s="11" t="s">
        <v>103</v>
      </c>
      <c r="S142" s="11" t="s">
        <v>300</v>
      </c>
      <c r="T142" s="11" t="s">
        <v>301</v>
      </c>
      <c r="U142" s="11" t="s">
        <v>103</v>
      </c>
      <c r="V142" s="11" t="s">
        <v>88</v>
      </c>
      <c r="W142" s="11" t="s">
        <v>831</v>
      </c>
      <c r="X142" s="9" t="n">
        <f aca="false">IF(AND(COUNT($E142:$G142)=0,LEFT($H142,2)&lt;&gt;"定性",LEFT($H142,2)&lt;&gt;"文字",LEFT($H142,2)&lt;&gt;"日期"),1,0)</f>
        <v>0</v>
      </c>
      <c r="Y142" s="9" t="n">
        <f aca="false">IF(OR($L142="",$M142=""),1,0)</f>
        <v>0</v>
      </c>
      <c r="Z142" s="9" t="n">
        <f aca="false">IF(AND(ISNUMBER($E142),ISNUMBER($F142)),IF($F142&gt;$E142,1,0),0)+IF(AND(ISNUMBER($E142),ISNUMBER($G142)),IF($E142&gt;$G142,1,0),0)+IF(AND(ISNUMBER($F142),ISNUMBER($G142)),IF($F142&gt;$G142,1,0),0)</f>
        <v>0</v>
      </c>
      <c r="AA142" s="9" t="n">
        <f aca="false">IF(AND($P142="Derived",$V142="觀測"),1,0)</f>
        <v>0</v>
      </c>
      <c r="AB142" s="12" t="s">
        <v>90</v>
      </c>
    </row>
    <row r="143" customFormat="false" ht="15" hidden="false" customHeight="false" outlineLevel="0" collapsed="false">
      <c r="A143" s="9" t="s">
        <v>832</v>
      </c>
      <c r="B143" s="9" t="s">
        <v>833</v>
      </c>
      <c r="C143" s="9" t="s">
        <v>487</v>
      </c>
      <c r="D143" s="9" t="s">
        <v>829</v>
      </c>
      <c r="E143" s="10" t="n">
        <v>0.5</v>
      </c>
      <c r="F143" s="9"/>
      <c r="G143" s="9"/>
      <c r="H143" s="11" t="s">
        <v>830</v>
      </c>
      <c r="I143" s="9" t="s">
        <v>233</v>
      </c>
      <c r="J143" s="9"/>
      <c r="K143" s="9"/>
      <c r="L143" s="9" t="s">
        <v>834</v>
      </c>
      <c r="M143" s="9" t="s">
        <v>835</v>
      </c>
      <c r="N143" s="9" t="s">
        <v>836</v>
      </c>
      <c r="O143" s="9" t="s">
        <v>82</v>
      </c>
      <c r="P143" s="9" t="s">
        <v>299</v>
      </c>
      <c r="Q143" s="9"/>
      <c r="R143" s="11" t="s">
        <v>103</v>
      </c>
      <c r="S143" s="11" t="s">
        <v>300</v>
      </c>
      <c r="T143" s="11" t="s">
        <v>301</v>
      </c>
      <c r="U143" s="11" t="s">
        <v>103</v>
      </c>
      <c r="V143" s="11" t="s">
        <v>88</v>
      </c>
      <c r="W143" s="11" t="s">
        <v>837</v>
      </c>
      <c r="X143" s="9" t="n">
        <f aca="false">IF(AND(COUNT($E143:$G143)=0,LEFT($H143,2)&lt;&gt;"定性",LEFT($H143,2)&lt;&gt;"文字",LEFT($H143,2)&lt;&gt;"日期"),1,0)</f>
        <v>0</v>
      </c>
      <c r="Y143" s="9" t="n">
        <f aca="false">IF(OR($L143="",$M143=""),1,0)</f>
        <v>0</v>
      </c>
      <c r="Z143" s="9" t="n">
        <f aca="false">IF(AND(ISNUMBER($E143),ISNUMBER($F143)),IF($F143&gt;$E143,1,0),0)+IF(AND(ISNUMBER($E143),ISNUMBER($G143)),IF($E143&gt;$G143,1,0),0)+IF(AND(ISNUMBER($F143),ISNUMBER($G143)),IF($F143&gt;$G143,1,0),0)</f>
        <v>0</v>
      </c>
      <c r="AA143" s="9" t="n">
        <f aca="false">IF(AND($P143="Derived",$V143="觀測"),1,0)</f>
        <v>0</v>
      </c>
      <c r="AB143" s="12" t="s">
        <v>90</v>
      </c>
    </row>
    <row r="144" customFormat="false" ht="15" hidden="false" customHeight="false" outlineLevel="0" collapsed="false">
      <c r="A144" s="9" t="s">
        <v>838</v>
      </c>
      <c r="B144" s="9" t="s">
        <v>839</v>
      </c>
      <c r="C144" s="9" t="s">
        <v>487</v>
      </c>
      <c r="D144" s="9" t="s">
        <v>840</v>
      </c>
      <c r="E144" s="10" t="n">
        <v>0</v>
      </c>
      <c r="F144" s="9"/>
      <c r="G144" s="9"/>
      <c r="H144" s="11" t="s">
        <v>841</v>
      </c>
      <c r="I144" s="9" t="s">
        <v>229</v>
      </c>
      <c r="J144" s="9"/>
      <c r="K144" s="9"/>
      <c r="L144" s="9" t="s">
        <v>821</v>
      </c>
      <c r="M144" s="9" t="s">
        <v>815</v>
      </c>
      <c r="N144" s="9" t="s">
        <v>816</v>
      </c>
      <c r="O144" s="9" t="s">
        <v>82</v>
      </c>
      <c r="P144" s="9" t="s">
        <v>299</v>
      </c>
      <c r="Q144" s="9"/>
      <c r="R144" s="11" t="s">
        <v>103</v>
      </c>
      <c r="S144" s="11" t="s">
        <v>300</v>
      </c>
      <c r="T144" s="11" t="s">
        <v>301</v>
      </c>
      <c r="U144" s="11" t="s">
        <v>103</v>
      </c>
      <c r="V144" s="11" t="s">
        <v>88</v>
      </c>
      <c r="W144" s="11" t="s">
        <v>842</v>
      </c>
      <c r="X144" s="9" t="n">
        <f aca="false">IF(AND(COUNT($E144:$G144)=0,LEFT($H144,2)&lt;&gt;"定性",LEFT($H144,2)&lt;&gt;"文字",LEFT($H144,2)&lt;&gt;"日期"),1,0)</f>
        <v>0</v>
      </c>
      <c r="Y144" s="9" t="n">
        <f aca="false">IF(OR($L144="",$M144=""),1,0)</f>
        <v>0</v>
      </c>
      <c r="Z144" s="9" t="n">
        <f aca="false">IF(AND(ISNUMBER($E144),ISNUMBER($F144)),IF($F144&gt;$E144,1,0),0)+IF(AND(ISNUMBER($E144),ISNUMBER($G144)),IF($E144&gt;$G144,1,0),0)+IF(AND(ISNUMBER($F144),ISNUMBER($G144)),IF($F144&gt;$G144,1,0),0)</f>
        <v>0</v>
      </c>
      <c r="AA144" s="9" t="n">
        <f aca="false">IF(AND($P144="Derived",$V144="觀測"),1,0)</f>
        <v>0</v>
      </c>
      <c r="AB144" s="12" t="s">
        <v>90</v>
      </c>
    </row>
    <row r="145" customFormat="false" ht="15" hidden="false" customHeight="false" outlineLevel="0" collapsed="false">
      <c r="A145" s="9" t="s">
        <v>843</v>
      </c>
      <c r="B145" s="9" t="s">
        <v>844</v>
      </c>
      <c r="C145" s="9" t="s">
        <v>487</v>
      </c>
      <c r="D145" s="9" t="s">
        <v>845</v>
      </c>
      <c r="E145" s="10" t="n">
        <v>20</v>
      </c>
      <c r="F145" s="9"/>
      <c r="G145" s="9"/>
      <c r="H145" s="9" t="s">
        <v>846</v>
      </c>
      <c r="I145" s="9" t="s">
        <v>847</v>
      </c>
      <c r="J145" s="9"/>
      <c r="K145" s="9"/>
      <c r="L145" s="9" t="s">
        <v>848</v>
      </c>
      <c r="M145" s="9" t="s">
        <v>849</v>
      </c>
      <c r="N145" s="9" t="s">
        <v>847</v>
      </c>
      <c r="O145" s="9" t="s">
        <v>82</v>
      </c>
      <c r="P145" s="9" t="s">
        <v>83</v>
      </c>
      <c r="Q145" s="9" t="s">
        <v>850</v>
      </c>
      <c r="R145" s="11" t="s">
        <v>103</v>
      </c>
      <c r="S145" s="11" t="s">
        <v>86</v>
      </c>
      <c r="T145" s="9" t="s">
        <v>850</v>
      </c>
      <c r="U145" s="11" t="s">
        <v>103</v>
      </c>
      <c r="V145" s="11" t="s">
        <v>88</v>
      </c>
      <c r="W145" s="11" t="s">
        <v>851</v>
      </c>
      <c r="X145" s="9" t="n">
        <f aca="false">IF(AND(COUNT($E145:$G145)=0,LEFT($H145,2)&lt;&gt;"定性",LEFT($H145,2)&lt;&gt;"文字",LEFT($H145,2)&lt;&gt;"日期"),1,0)</f>
        <v>0</v>
      </c>
      <c r="Y145" s="9" t="n">
        <f aca="false">IF(OR($L145="",$M145=""),1,0)</f>
        <v>0</v>
      </c>
      <c r="Z145" s="9" t="n">
        <f aca="false">IF(AND(ISNUMBER($E145),ISNUMBER($F145)),IF($F145&gt;$E145,1,0),0)+IF(AND(ISNUMBER($E145),ISNUMBER($G145)),IF($E145&gt;$G145,1,0),0)+IF(AND(ISNUMBER($F145),ISNUMBER($G145)),IF($F145&gt;$G145,1,0),0)</f>
        <v>0</v>
      </c>
      <c r="AA145" s="9" t="n">
        <f aca="false">IF(AND($P145="Derived",$V145="觀測"),1,0)</f>
        <v>0</v>
      </c>
      <c r="AB145" s="12" t="s">
        <v>90</v>
      </c>
    </row>
    <row r="146" customFormat="false" ht="15" hidden="false" customHeight="false" outlineLevel="0" collapsed="false">
      <c r="A146" s="9" t="s">
        <v>852</v>
      </c>
      <c r="B146" s="9" t="s">
        <v>853</v>
      </c>
      <c r="C146" s="9" t="s">
        <v>487</v>
      </c>
      <c r="D146" s="9" t="s">
        <v>854</v>
      </c>
      <c r="E146" s="10" t="n">
        <v>17</v>
      </c>
      <c r="F146" s="9"/>
      <c r="G146" s="9"/>
      <c r="H146" s="9" t="s">
        <v>846</v>
      </c>
      <c r="I146" s="9" t="s">
        <v>847</v>
      </c>
      <c r="J146" s="9"/>
      <c r="K146" s="9"/>
      <c r="L146" s="9" t="s">
        <v>855</v>
      </c>
      <c r="M146" s="9" t="s">
        <v>849</v>
      </c>
      <c r="N146" s="9" t="s">
        <v>847</v>
      </c>
      <c r="O146" s="9" t="s">
        <v>82</v>
      </c>
      <c r="P146" s="9" t="s">
        <v>83</v>
      </c>
      <c r="Q146" s="9" t="s">
        <v>850</v>
      </c>
      <c r="R146" s="11" t="s">
        <v>103</v>
      </c>
      <c r="S146" s="11" t="s">
        <v>86</v>
      </c>
      <c r="T146" s="9" t="s">
        <v>850</v>
      </c>
      <c r="U146" s="11" t="s">
        <v>103</v>
      </c>
      <c r="V146" s="11" t="s">
        <v>88</v>
      </c>
      <c r="W146" s="11" t="s">
        <v>856</v>
      </c>
      <c r="X146" s="9" t="n">
        <f aca="false">IF(AND(COUNT($E146:$G146)=0,LEFT($H146,2)&lt;&gt;"定性",LEFT($H146,2)&lt;&gt;"文字",LEFT($H146,2)&lt;&gt;"日期"),1,0)</f>
        <v>0</v>
      </c>
      <c r="Y146" s="9" t="n">
        <f aca="false">IF(OR($L146="",$M146=""),1,0)</f>
        <v>0</v>
      </c>
      <c r="Z146" s="9" t="n">
        <f aca="false">IF(AND(ISNUMBER($E146),ISNUMBER($F146)),IF($F146&gt;$E146,1,0),0)+IF(AND(ISNUMBER($E146),ISNUMBER($G146)),IF($E146&gt;$G146,1,0),0)+IF(AND(ISNUMBER($F146),ISNUMBER($G146)),IF($F146&gt;$G146,1,0),0)</f>
        <v>0</v>
      </c>
      <c r="AA146" s="9" t="n">
        <f aca="false">IF(AND($P146="Derived",$V146="觀測"),1,0)</f>
        <v>0</v>
      </c>
      <c r="AB146" s="12" t="s">
        <v>90</v>
      </c>
    </row>
    <row r="147" customFormat="false" ht="15" hidden="false" customHeight="false" outlineLevel="0" collapsed="false">
      <c r="A147" s="9" t="s">
        <v>857</v>
      </c>
      <c r="B147" s="9" t="s">
        <v>858</v>
      </c>
      <c r="C147" s="9" t="s">
        <v>487</v>
      </c>
      <c r="D147" s="9" t="s">
        <v>859</v>
      </c>
      <c r="E147" s="10" t="n">
        <v>100</v>
      </c>
      <c r="F147" s="9"/>
      <c r="G147" s="9"/>
      <c r="H147" s="9" t="s">
        <v>846</v>
      </c>
      <c r="I147" s="9" t="s">
        <v>847</v>
      </c>
      <c r="J147" s="9"/>
      <c r="K147" s="9"/>
      <c r="L147" s="9" t="s">
        <v>855</v>
      </c>
      <c r="M147" s="9" t="s">
        <v>849</v>
      </c>
      <c r="N147" s="9" t="s">
        <v>847</v>
      </c>
      <c r="O147" s="9" t="s">
        <v>82</v>
      </c>
      <c r="P147" s="9" t="s">
        <v>83</v>
      </c>
      <c r="Q147" s="9" t="s">
        <v>850</v>
      </c>
      <c r="R147" s="11" t="s">
        <v>103</v>
      </c>
      <c r="S147" s="11" t="s">
        <v>86</v>
      </c>
      <c r="T147" s="9" t="s">
        <v>850</v>
      </c>
      <c r="U147" s="11" t="s">
        <v>103</v>
      </c>
      <c r="V147" s="11" t="s">
        <v>88</v>
      </c>
      <c r="W147" s="11" t="s">
        <v>860</v>
      </c>
      <c r="X147" s="9" t="n">
        <f aca="false">IF(AND(COUNT($E147:$G147)=0,LEFT($H147,2)&lt;&gt;"定性",LEFT($H147,2)&lt;&gt;"文字",LEFT($H147,2)&lt;&gt;"日期"),1,0)</f>
        <v>0</v>
      </c>
      <c r="Y147" s="9" t="n">
        <f aca="false">IF(OR($L147="",$M147=""),1,0)</f>
        <v>0</v>
      </c>
      <c r="Z147" s="9" t="n">
        <f aca="false">IF(AND(ISNUMBER($E147),ISNUMBER($F147)),IF($F147&gt;$E147,1,0),0)+IF(AND(ISNUMBER($E147),ISNUMBER($G147)),IF($E147&gt;$G147,1,0),0)+IF(AND(ISNUMBER($F147),ISNUMBER($G147)),IF($F147&gt;$G147,1,0),0)</f>
        <v>0</v>
      </c>
      <c r="AA147" s="9" t="n">
        <f aca="false">IF(AND($P147="Derived",$V147="觀測"),1,0)</f>
        <v>0</v>
      </c>
      <c r="AB147" s="12" t="s">
        <v>90</v>
      </c>
    </row>
    <row r="148" customFormat="false" ht="15" hidden="false" customHeight="false" outlineLevel="0" collapsed="false">
      <c r="A148" s="9" t="s">
        <v>861</v>
      </c>
      <c r="B148" s="9" t="s">
        <v>862</v>
      </c>
      <c r="C148" s="9" t="s">
        <v>487</v>
      </c>
      <c r="D148" s="9" t="s">
        <v>863</v>
      </c>
      <c r="E148" s="10" t="n">
        <v>200</v>
      </c>
      <c r="F148" s="9"/>
      <c r="G148" s="9"/>
      <c r="H148" s="9" t="s">
        <v>846</v>
      </c>
      <c r="I148" s="9" t="s">
        <v>847</v>
      </c>
      <c r="J148" s="9"/>
      <c r="K148" s="9"/>
      <c r="L148" s="9" t="s">
        <v>855</v>
      </c>
      <c r="M148" s="9" t="s">
        <v>849</v>
      </c>
      <c r="N148" s="9" t="s">
        <v>847</v>
      </c>
      <c r="O148" s="9" t="s">
        <v>82</v>
      </c>
      <c r="P148" s="9" t="s">
        <v>83</v>
      </c>
      <c r="Q148" s="9" t="s">
        <v>850</v>
      </c>
      <c r="R148" s="11" t="s">
        <v>103</v>
      </c>
      <c r="S148" s="11" t="s">
        <v>86</v>
      </c>
      <c r="T148" s="9" t="s">
        <v>850</v>
      </c>
      <c r="U148" s="11" t="s">
        <v>103</v>
      </c>
      <c r="V148" s="11" t="s">
        <v>88</v>
      </c>
      <c r="W148" s="11" t="s">
        <v>864</v>
      </c>
      <c r="X148" s="9" t="n">
        <f aca="false">IF(AND(COUNT($E148:$G148)=0,LEFT($H148,2)&lt;&gt;"定性",LEFT($H148,2)&lt;&gt;"文字",LEFT($H148,2)&lt;&gt;"日期"),1,0)</f>
        <v>0</v>
      </c>
      <c r="Y148" s="9" t="n">
        <f aca="false">IF(OR($L148="",$M148=""),1,0)</f>
        <v>0</v>
      </c>
      <c r="Z148" s="9" t="n">
        <f aca="false">IF(AND(ISNUMBER($E148),ISNUMBER($F148)),IF($F148&gt;$E148,1,0),0)+IF(AND(ISNUMBER($E148),ISNUMBER($G148)),IF($E148&gt;$G148,1,0),0)+IF(AND(ISNUMBER($F148),ISNUMBER($G148)),IF($F148&gt;$G148,1,0),0)</f>
        <v>0</v>
      </c>
      <c r="AA148" s="9" t="n">
        <f aca="false">IF(AND($P148="Derived",$V148="觀測"),1,0)</f>
        <v>0</v>
      </c>
      <c r="AB148" s="12" t="s">
        <v>90</v>
      </c>
    </row>
    <row r="149" customFormat="false" ht="15" hidden="false" customHeight="false" outlineLevel="0" collapsed="false">
      <c r="A149" s="9" t="s">
        <v>865</v>
      </c>
      <c r="B149" s="9" t="s">
        <v>866</v>
      </c>
      <c r="C149" s="9" t="s">
        <v>487</v>
      </c>
      <c r="D149" s="9" t="s">
        <v>867</v>
      </c>
      <c r="E149" s="10" t="n">
        <v>100</v>
      </c>
      <c r="F149" s="9"/>
      <c r="G149" s="9"/>
      <c r="H149" s="9" t="s">
        <v>846</v>
      </c>
      <c r="I149" s="9" t="s">
        <v>868</v>
      </c>
      <c r="J149" s="9"/>
      <c r="K149" s="9"/>
      <c r="L149" s="9" t="s">
        <v>869</v>
      </c>
      <c r="M149" s="9" t="s">
        <v>870</v>
      </c>
      <c r="N149" s="9" t="s">
        <v>871</v>
      </c>
      <c r="O149" s="9" t="s">
        <v>82</v>
      </c>
      <c r="P149" s="9" t="s">
        <v>83</v>
      </c>
      <c r="Q149" s="9" t="s">
        <v>850</v>
      </c>
      <c r="R149" s="11" t="s">
        <v>103</v>
      </c>
      <c r="S149" s="11" t="s">
        <v>86</v>
      </c>
      <c r="T149" s="9" t="s">
        <v>850</v>
      </c>
      <c r="U149" s="11" t="s">
        <v>103</v>
      </c>
      <c r="V149" s="11" t="s">
        <v>88</v>
      </c>
      <c r="W149" s="11" t="s">
        <v>872</v>
      </c>
      <c r="X149" s="9" t="n">
        <f aca="false">IF(AND(COUNT($E149:$G149)=0,LEFT($H149,2)&lt;&gt;"定性",LEFT($H149,2)&lt;&gt;"文字",LEFT($H149,2)&lt;&gt;"日期"),1,0)</f>
        <v>0</v>
      </c>
      <c r="Y149" s="9" t="n">
        <f aca="false">IF(OR($L149="",$M149=""),1,0)</f>
        <v>0</v>
      </c>
      <c r="Z149" s="9" t="n">
        <f aca="false">IF(AND(ISNUMBER($E149),ISNUMBER($F149)),IF($F149&gt;$E149,1,0),0)+IF(AND(ISNUMBER($E149),ISNUMBER($G149)),IF($E149&gt;$G149,1,0),0)+IF(AND(ISNUMBER($F149),ISNUMBER($G149)),IF($F149&gt;$G149,1,0),0)</f>
        <v>0</v>
      </c>
      <c r="AA149" s="9" t="n">
        <f aca="false">IF(AND($P149="Derived",$V149="觀測"),1,0)</f>
        <v>0</v>
      </c>
      <c r="AB149" s="12" t="s">
        <v>90</v>
      </c>
    </row>
    <row r="150" customFormat="false" ht="15" hidden="false" customHeight="false" outlineLevel="0" collapsed="false">
      <c r="A150" s="9" t="s">
        <v>873</v>
      </c>
      <c r="B150" s="9" t="s">
        <v>874</v>
      </c>
      <c r="C150" s="9" t="s">
        <v>487</v>
      </c>
      <c r="D150" s="9" t="s">
        <v>875</v>
      </c>
      <c r="E150" s="10" t="n">
        <v>20</v>
      </c>
      <c r="F150" s="9"/>
      <c r="G150" s="9"/>
      <c r="H150" s="9" t="s">
        <v>876</v>
      </c>
      <c r="I150" s="9" t="s">
        <v>877</v>
      </c>
      <c r="J150" s="9"/>
      <c r="K150" s="9"/>
      <c r="L150" s="9" t="s">
        <v>878</v>
      </c>
      <c r="M150" s="9" t="s">
        <v>879</v>
      </c>
      <c r="N150" s="9" t="s">
        <v>880</v>
      </c>
      <c r="O150" s="9" t="s">
        <v>82</v>
      </c>
      <c r="P150" s="9" t="s">
        <v>83</v>
      </c>
      <c r="Q150" s="9" t="s">
        <v>850</v>
      </c>
      <c r="R150" s="11" t="s">
        <v>103</v>
      </c>
      <c r="S150" s="11" t="s">
        <v>86</v>
      </c>
      <c r="T150" s="9" t="s">
        <v>850</v>
      </c>
      <c r="U150" s="11" t="s">
        <v>103</v>
      </c>
      <c r="V150" s="11" t="s">
        <v>88</v>
      </c>
      <c r="W150" s="11" t="s">
        <v>881</v>
      </c>
      <c r="X150" s="9" t="n">
        <f aca="false">IF(AND(COUNT($E150:$G150)=0,LEFT($H150,2)&lt;&gt;"定性",LEFT($H150,2)&lt;&gt;"文字",LEFT($H150,2)&lt;&gt;"日期"),1,0)</f>
        <v>0</v>
      </c>
      <c r="Y150" s="9" t="n">
        <f aca="false">IF(OR($L150="",$M150=""),1,0)</f>
        <v>0</v>
      </c>
      <c r="Z150" s="9" t="n">
        <f aca="false">IF(AND(ISNUMBER($E150),ISNUMBER($F150)),IF($F150&gt;$E150,1,0),0)+IF(AND(ISNUMBER($E150),ISNUMBER($G150)),IF($E150&gt;$G150,1,0),0)+IF(AND(ISNUMBER($F150),ISNUMBER($G150)),IF($F150&gt;$G150,1,0),0)</f>
        <v>0</v>
      </c>
      <c r="AA150" s="9" t="n">
        <f aca="false">IF(AND($P150="Derived",$V150="觀測"),1,0)</f>
        <v>0</v>
      </c>
      <c r="AB150" s="12" t="s">
        <v>90</v>
      </c>
    </row>
    <row r="151" customFormat="false" ht="15" hidden="false" customHeight="false" outlineLevel="0" collapsed="false">
      <c r="A151" s="9" t="s">
        <v>882</v>
      </c>
      <c r="B151" s="9" t="s">
        <v>883</v>
      </c>
      <c r="C151" s="9" t="s">
        <v>487</v>
      </c>
      <c r="D151" s="9" t="s">
        <v>884</v>
      </c>
      <c r="E151" s="10" t="n">
        <v>25</v>
      </c>
      <c r="F151" s="9"/>
      <c r="G151" s="9"/>
      <c r="H151" s="9" t="s">
        <v>876</v>
      </c>
      <c r="I151" s="9" t="s">
        <v>877</v>
      </c>
      <c r="J151" s="9"/>
      <c r="K151" s="9"/>
      <c r="L151" s="9" t="s">
        <v>885</v>
      </c>
      <c r="M151" s="9" t="s">
        <v>879</v>
      </c>
      <c r="N151" s="9" t="s">
        <v>880</v>
      </c>
      <c r="O151" s="9" t="s">
        <v>82</v>
      </c>
      <c r="P151" s="9" t="s">
        <v>83</v>
      </c>
      <c r="Q151" s="9" t="s">
        <v>850</v>
      </c>
      <c r="R151" s="11" t="s">
        <v>103</v>
      </c>
      <c r="S151" s="11" t="s">
        <v>86</v>
      </c>
      <c r="T151" s="9" t="s">
        <v>850</v>
      </c>
      <c r="U151" s="11" t="s">
        <v>103</v>
      </c>
      <c r="V151" s="11" t="s">
        <v>88</v>
      </c>
      <c r="W151" s="11" t="s">
        <v>886</v>
      </c>
      <c r="X151" s="9" t="n">
        <f aca="false">IF(AND(COUNT($E151:$G151)=0,LEFT($H151,2)&lt;&gt;"定性",LEFT($H151,2)&lt;&gt;"文字",LEFT($H151,2)&lt;&gt;"日期"),1,0)</f>
        <v>0</v>
      </c>
      <c r="Y151" s="9" t="n">
        <f aca="false">IF(OR($L151="",$M151=""),1,0)</f>
        <v>0</v>
      </c>
      <c r="Z151" s="9" t="n">
        <f aca="false">IF(AND(ISNUMBER($E151),ISNUMBER($F151)),IF($F151&gt;$E151,1,0),0)+IF(AND(ISNUMBER($E151),ISNUMBER($G151)),IF($E151&gt;$G151,1,0),0)+IF(AND(ISNUMBER($F151),ISNUMBER($G151)),IF($F151&gt;$G151,1,0),0)</f>
        <v>0</v>
      </c>
      <c r="AA151" s="9" t="n">
        <f aca="false">IF(AND($P151="Derived",$V151="觀測"),1,0)</f>
        <v>0</v>
      </c>
      <c r="AB151" s="12" t="s">
        <v>90</v>
      </c>
    </row>
    <row r="152" customFormat="false" ht="15" hidden="false" customHeight="false" outlineLevel="0" collapsed="false">
      <c r="A152" s="9" t="s">
        <v>887</v>
      </c>
      <c r="B152" s="9" t="s">
        <v>888</v>
      </c>
      <c r="C152" s="9" t="s">
        <v>487</v>
      </c>
      <c r="D152" s="9" t="s">
        <v>889</v>
      </c>
      <c r="E152" s="10" t="n">
        <v>100</v>
      </c>
      <c r="F152" s="9"/>
      <c r="G152" s="9"/>
      <c r="H152" s="9" t="s">
        <v>876</v>
      </c>
      <c r="I152" s="9" t="s">
        <v>877</v>
      </c>
      <c r="J152" s="9"/>
      <c r="K152" s="9"/>
      <c r="L152" s="9" t="s">
        <v>885</v>
      </c>
      <c r="M152" s="9" t="s">
        <v>879</v>
      </c>
      <c r="N152" s="9" t="s">
        <v>880</v>
      </c>
      <c r="O152" s="9" t="s">
        <v>82</v>
      </c>
      <c r="P152" s="9" t="s">
        <v>83</v>
      </c>
      <c r="Q152" s="9" t="s">
        <v>850</v>
      </c>
      <c r="R152" s="11" t="s">
        <v>103</v>
      </c>
      <c r="S152" s="11" t="s">
        <v>86</v>
      </c>
      <c r="T152" s="9" t="s">
        <v>850</v>
      </c>
      <c r="U152" s="11" t="s">
        <v>103</v>
      </c>
      <c r="V152" s="11" t="s">
        <v>88</v>
      </c>
      <c r="W152" s="11" t="s">
        <v>890</v>
      </c>
      <c r="X152" s="9" t="n">
        <f aca="false">IF(AND(COUNT($E152:$G152)=0,LEFT($H152,2)&lt;&gt;"定性",LEFT($H152,2)&lt;&gt;"文字",LEFT($H152,2)&lt;&gt;"日期"),1,0)</f>
        <v>0</v>
      </c>
      <c r="Y152" s="9" t="n">
        <f aca="false">IF(OR($L152="",$M152=""),1,0)</f>
        <v>0</v>
      </c>
      <c r="Z152" s="9" t="n">
        <f aca="false">IF(AND(ISNUMBER($E152),ISNUMBER($F152)),IF($F152&gt;$E152,1,0),0)+IF(AND(ISNUMBER($E152),ISNUMBER($G152)),IF($E152&gt;$G152,1,0),0)+IF(AND(ISNUMBER($F152),ISNUMBER($G152)),IF($F152&gt;$G152,1,0),0)</f>
        <v>0</v>
      </c>
      <c r="AA152" s="9" t="n">
        <f aca="false">IF(AND($P152="Derived",$V152="觀測"),1,0)</f>
        <v>0</v>
      </c>
      <c r="AB152" s="12" t="s">
        <v>90</v>
      </c>
    </row>
    <row r="153" customFormat="false" ht="15" hidden="false" customHeight="false" outlineLevel="0" collapsed="false">
      <c r="A153" s="9" t="s">
        <v>891</v>
      </c>
      <c r="B153" s="9" t="s">
        <v>892</v>
      </c>
      <c r="C153" s="9" t="s">
        <v>487</v>
      </c>
      <c r="D153" s="9" t="s">
        <v>893</v>
      </c>
      <c r="E153" s="10" t="n">
        <v>125</v>
      </c>
      <c r="F153" s="9"/>
      <c r="G153" s="9"/>
      <c r="H153" s="9" t="s">
        <v>876</v>
      </c>
      <c r="I153" s="9" t="s">
        <v>877</v>
      </c>
      <c r="J153" s="9"/>
      <c r="K153" s="9"/>
      <c r="L153" s="9" t="s">
        <v>885</v>
      </c>
      <c r="M153" s="9" t="s">
        <v>879</v>
      </c>
      <c r="N153" s="9" t="s">
        <v>880</v>
      </c>
      <c r="O153" s="9" t="s">
        <v>82</v>
      </c>
      <c r="P153" s="9" t="s">
        <v>83</v>
      </c>
      <c r="Q153" s="9" t="s">
        <v>850</v>
      </c>
      <c r="R153" s="11" t="s">
        <v>103</v>
      </c>
      <c r="S153" s="11" t="s">
        <v>86</v>
      </c>
      <c r="T153" s="9" t="s">
        <v>850</v>
      </c>
      <c r="U153" s="11" t="s">
        <v>103</v>
      </c>
      <c r="V153" s="11" t="s">
        <v>88</v>
      </c>
      <c r="W153" s="11" t="s">
        <v>894</v>
      </c>
      <c r="X153" s="9" t="n">
        <f aca="false">IF(AND(COUNT($E153:$G153)=0,LEFT($H153,2)&lt;&gt;"定性",LEFT($H153,2)&lt;&gt;"文字",LEFT($H153,2)&lt;&gt;"日期"),1,0)</f>
        <v>0</v>
      </c>
      <c r="Y153" s="9" t="n">
        <f aca="false">IF(OR($L153="",$M153=""),1,0)</f>
        <v>0</v>
      </c>
      <c r="Z153" s="9" t="n">
        <f aca="false">IF(AND(ISNUMBER($E153),ISNUMBER($F153)),IF($F153&gt;$E153,1,0),0)+IF(AND(ISNUMBER($E153),ISNUMBER($G153)),IF($E153&gt;$G153,1,0),0)+IF(AND(ISNUMBER($F153),ISNUMBER($G153)),IF($F153&gt;$G153,1,0),0)</f>
        <v>0</v>
      </c>
      <c r="AA153" s="9" t="n">
        <f aca="false">IF(AND($P153="Derived",$V153="觀測"),1,0)</f>
        <v>0</v>
      </c>
      <c r="AB153" s="12" t="s">
        <v>90</v>
      </c>
    </row>
    <row r="154" customFormat="false" ht="15" hidden="false" customHeight="false" outlineLevel="0" collapsed="false">
      <c r="A154" s="9" t="s">
        <v>895</v>
      </c>
      <c r="B154" s="9" t="s">
        <v>896</v>
      </c>
      <c r="C154" s="9" t="s">
        <v>487</v>
      </c>
      <c r="D154" s="9" t="s">
        <v>897</v>
      </c>
      <c r="E154" s="10" t="n">
        <v>25</v>
      </c>
      <c r="F154" s="9"/>
      <c r="G154" s="9"/>
      <c r="H154" s="9" t="s">
        <v>876</v>
      </c>
      <c r="I154" s="9" t="s">
        <v>233</v>
      </c>
      <c r="J154" s="9"/>
      <c r="K154" s="9"/>
      <c r="L154" s="9" t="s">
        <v>834</v>
      </c>
      <c r="M154" s="9" t="s">
        <v>835</v>
      </c>
      <c r="N154" s="9" t="s">
        <v>836</v>
      </c>
      <c r="O154" s="9" t="s">
        <v>82</v>
      </c>
      <c r="P154" s="9" t="s">
        <v>83</v>
      </c>
      <c r="Q154" s="9" t="s">
        <v>850</v>
      </c>
      <c r="R154" s="11" t="s">
        <v>103</v>
      </c>
      <c r="S154" s="11" t="s">
        <v>86</v>
      </c>
      <c r="T154" s="9" t="s">
        <v>850</v>
      </c>
      <c r="U154" s="11" t="s">
        <v>103</v>
      </c>
      <c r="V154" s="11" t="s">
        <v>88</v>
      </c>
      <c r="W154" s="11" t="s">
        <v>898</v>
      </c>
      <c r="X154" s="9" t="n">
        <f aca="false">IF(AND(COUNT($E154:$G154)=0,LEFT($H154,2)&lt;&gt;"定性",LEFT($H154,2)&lt;&gt;"文字",LEFT($H154,2)&lt;&gt;"日期"),1,0)</f>
        <v>0</v>
      </c>
      <c r="Y154" s="9" t="n">
        <f aca="false">IF(OR($L154="",$M154=""),1,0)</f>
        <v>0</v>
      </c>
      <c r="Z154" s="9" t="n">
        <f aca="false">IF(AND(ISNUMBER($E154),ISNUMBER($F154)),IF($F154&gt;$E154,1,0),0)+IF(AND(ISNUMBER($E154),ISNUMBER($G154)),IF($E154&gt;$G154,1,0),0)+IF(AND(ISNUMBER($F154),ISNUMBER($G154)),IF($F154&gt;$G154,1,0),0)</f>
        <v>0</v>
      </c>
      <c r="AA154" s="9" t="n">
        <f aca="false">IF(AND($P154="Derived",$V154="觀測"),1,0)</f>
        <v>0</v>
      </c>
      <c r="AB154" s="12" t="s">
        <v>90</v>
      </c>
    </row>
    <row r="155" customFormat="false" ht="15" hidden="false" customHeight="false" outlineLevel="0" collapsed="false">
      <c r="A155" s="9" t="s">
        <v>899</v>
      </c>
      <c r="B155" s="9" t="s">
        <v>900</v>
      </c>
      <c r="C155" s="9" t="s">
        <v>487</v>
      </c>
      <c r="D155" s="9" t="s">
        <v>901</v>
      </c>
      <c r="E155" s="10" t="n">
        <v>2</v>
      </c>
      <c r="F155" s="9"/>
      <c r="G155" s="9"/>
      <c r="H155" s="11" t="s">
        <v>902</v>
      </c>
      <c r="I155" s="9" t="s">
        <v>847</v>
      </c>
      <c r="J155" s="9"/>
      <c r="K155" s="9"/>
      <c r="L155" s="9" t="s">
        <v>903</v>
      </c>
      <c r="M155" s="9" t="s">
        <v>904</v>
      </c>
      <c r="N155" s="9" t="s">
        <v>81</v>
      </c>
      <c r="O155" s="9" t="s">
        <v>82</v>
      </c>
      <c r="P155" s="9" t="s">
        <v>83</v>
      </c>
      <c r="Q155" s="9" t="s">
        <v>850</v>
      </c>
      <c r="R155" s="11" t="s">
        <v>103</v>
      </c>
      <c r="S155" s="11" t="s">
        <v>86</v>
      </c>
      <c r="T155" s="9" t="s">
        <v>850</v>
      </c>
      <c r="U155" s="11" t="s">
        <v>103</v>
      </c>
      <c r="V155" s="11" t="s">
        <v>88</v>
      </c>
      <c r="W155" s="11" t="s">
        <v>905</v>
      </c>
      <c r="X155" s="9" t="n">
        <f aca="false">IF(AND(COUNT($E155:$G155)=0,LEFT($H155,2)&lt;&gt;"定性",LEFT($H155,2)&lt;&gt;"文字",LEFT($H155,2)&lt;&gt;"日期"),1,0)</f>
        <v>0</v>
      </c>
      <c r="Y155" s="9" t="n">
        <f aca="false">IF(OR($L155="",$M155=""),1,0)</f>
        <v>0</v>
      </c>
      <c r="Z155" s="9" t="n">
        <f aca="false">IF(AND(ISNUMBER($E155),ISNUMBER($F155)),IF($F155&gt;$E155,1,0),0)+IF(AND(ISNUMBER($E155),ISNUMBER($G155)),IF($E155&gt;$G155,1,0),0)+IF(AND(ISNUMBER($F155),ISNUMBER($G155)),IF($F155&gt;$G155,1,0),0)</f>
        <v>0</v>
      </c>
      <c r="AA155" s="9" t="n">
        <f aca="false">IF(AND($P155="Derived",$V155="觀測"),1,0)</f>
        <v>0</v>
      </c>
      <c r="AB155" s="12" t="s">
        <v>90</v>
      </c>
    </row>
    <row r="156" customFormat="false" ht="15" hidden="false" customHeight="false" outlineLevel="0" collapsed="false">
      <c r="A156" s="9" t="s">
        <v>906</v>
      </c>
      <c r="B156" s="9" t="s">
        <v>907</v>
      </c>
      <c r="C156" s="9" t="s">
        <v>487</v>
      </c>
      <c r="D156" s="9" t="s">
        <v>908</v>
      </c>
      <c r="E156" s="10" t="n">
        <v>20</v>
      </c>
      <c r="F156" s="9"/>
      <c r="G156" s="9"/>
      <c r="H156" s="9" t="s">
        <v>876</v>
      </c>
      <c r="I156" s="9" t="s">
        <v>215</v>
      </c>
      <c r="J156" s="9"/>
      <c r="K156" s="9"/>
      <c r="L156" s="9" t="s">
        <v>909</v>
      </c>
      <c r="M156" s="9" t="s">
        <v>910</v>
      </c>
      <c r="N156" s="9" t="s">
        <v>643</v>
      </c>
      <c r="O156" s="9" t="s">
        <v>82</v>
      </c>
      <c r="P156" s="9" t="s">
        <v>83</v>
      </c>
      <c r="Q156" s="9" t="s">
        <v>911</v>
      </c>
      <c r="R156" s="9" t="s">
        <v>85</v>
      </c>
      <c r="S156" s="11" t="s">
        <v>86</v>
      </c>
      <c r="T156" s="9" t="s">
        <v>911</v>
      </c>
      <c r="U156" s="11" t="s">
        <v>87</v>
      </c>
      <c r="V156" s="11" t="s">
        <v>88</v>
      </c>
      <c r="W156" s="11" t="s">
        <v>912</v>
      </c>
      <c r="X156" s="9" t="n">
        <f aca="false">IF(AND(COUNT($E156:$G156)=0,LEFT($H156,2)&lt;&gt;"定性",LEFT($H156,2)&lt;&gt;"文字",LEFT($H156,2)&lt;&gt;"日期"),1,0)</f>
        <v>0</v>
      </c>
      <c r="Y156" s="9" t="n">
        <f aca="false">IF(OR($L156="",$M156=""),1,0)</f>
        <v>0</v>
      </c>
      <c r="Z156" s="9" t="n">
        <f aca="false">IF(AND(ISNUMBER($E156),ISNUMBER($F156)),IF($F156&gt;$E156,1,0),0)+IF(AND(ISNUMBER($E156),ISNUMBER($G156)),IF($E156&gt;$G156,1,0),0)+IF(AND(ISNUMBER($F156),ISNUMBER($G156)),IF($F156&gt;$G156,1,0),0)</f>
        <v>0</v>
      </c>
      <c r="AA156" s="9" t="n">
        <f aca="false">IF(AND($P156="Derived",$V156="觀測"),1,0)</f>
        <v>0</v>
      </c>
      <c r="AB156" s="12" t="s">
        <v>90</v>
      </c>
    </row>
    <row r="157" customFormat="false" ht="15" hidden="false" customHeight="false" outlineLevel="0" collapsed="false">
      <c r="A157" s="9" t="s">
        <v>913</v>
      </c>
      <c r="B157" s="9" t="s">
        <v>914</v>
      </c>
      <c r="C157" s="9" t="s">
        <v>487</v>
      </c>
      <c r="D157" s="9" t="s">
        <v>915</v>
      </c>
      <c r="E157" s="10" t="n">
        <v>60</v>
      </c>
      <c r="F157" s="10" t="n">
        <v>40</v>
      </c>
      <c r="G157" s="10" t="n">
        <v>60</v>
      </c>
      <c r="H157" s="9" t="s">
        <v>876</v>
      </c>
      <c r="I157" s="9" t="s">
        <v>77</v>
      </c>
      <c r="J157" s="9"/>
      <c r="K157" s="9"/>
      <c r="L157" s="9" t="s">
        <v>916</v>
      </c>
      <c r="M157" s="9" t="s">
        <v>917</v>
      </c>
      <c r="N157" s="9" t="s">
        <v>918</v>
      </c>
      <c r="O157" s="9" t="s">
        <v>82</v>
      </c>
      <c r="P157" s="9" t="s">
        <v>299</v>
      </c>
      <c r="Q157" s="9"/>
      <c r="R157" s="11" t="s">
        <v>103</v>
      </c>
      <c r="S157" s="11" t="s">
        <v>300</v>
      </c>
      <c r="T157" s="11" t="s">
        <v>301</v>
      </c>
      <c r="U157" s="11" t="s">
        <v>103</v>
      </c>
      <c r="V157" s="11" t="s">
        <v>88</v>
      </c>
      <c r="W157" s="11" t="s">
        <v>919</v>
      </c>
      <c r="X157" s="9" t="n">
        <f aca="false">IF(AND(COUNT($E157:$G157)=0,LEFT($H157,2)&lt;&gt;"定性",LEFT($H157,2)&lt;&gt;"文字",LEFT($H157,2)&lt;&gt;"日期"),1,0)</f>
        <v>0</v>
      </c>
      <c r="Y157" s="9" t="n">
        <f aca="false">IF(OR($L157="",$M157=""),1,0)</f>
        <v>0</v>
      </c>
      <c r="Z157" s="9" t="n">
        <f aca="false">IF(AND(ISNUMBER($E157),ISNUMBER($F157)),IF($F157&gt;$E157,1,0),0)+IF(AND(ISNUMBER($E157),ISNUMBER($G157)),IF($E157&gt;$G157,1,0),0)+IF(AND(ISNUMBER($F157),ISNUMBER($G157)),IF($F157&gt;$G157,1,0),0)</f>
        <v>0</v>
      </c>
      <c r="AA157" s="9" t="n">
        <f aca="false">IF(AND($P157="Derived",$V157="觀測"),1,0)</f>
        <v>0</v>
      </c>
      <c r="AB157" s="12" t="s">
        <v>90</v>
      </c>
    </row>
    <row r="158" customFormat="false" ht="15" hidden="false" customHeight="false" outlineLevel="0" collapsed="false">
      <c r="A158" s="9" t="s">
        <v>920</v>
      </c>
      <c r="B158" s="9" t="s">
        <v>921</v>
      </c>
      <c r="C158" s="9" t="s">
        <v>487</v>
      </c>
      <c r="D158" s="11" t="s">
        <v>922</v>
      </c>
      <c r="E158" s="9"/>
      <c r="F158" s="9"/>
      <c r="G158" s="9"/>
      <c r="H158" s="11" t="s">
        <v>281</v>
      </c>
      <c r="I158" s="9" t="s">
        <v>923</v>
      </c>
      <c r="J158" s="13" t="n">
        <v>46116</v>
      </c>
      <c r="K158" s="9"/>
      <c r="L158" s="9" t="s">
        <v>924</v>
      </c>
      <c r="M158" s="9" t="s">
        <v>925</v>
      </c>
      <c r="N158" s="9" t="s">
        <v>926</v>
      </c>
      <c r="O158" s="9" t="s">
        <v>82</v>
      </c>
      <c r="P158" s="9" t="s">
        <v>83</v>
      </c>
      <c r="Q158" s="9" t="s">
        <v>911</v>
      </c>
      <c r="R158" s="9" t="s">
        <v>85</v>
      </c>
      <c r="S158" s="11" t="s">
        <v>86</v>
      </c>
      <c r="T158" s="9" t="s">
        <v>911</v>
      </c>
      <c r="U158" s="11" t="s">
        <v>87</v>
      </c>
      <c r="V158" s="11" t="s">
        <v>88</v>
      </c>
      <c r="W158" s="11" t="s">
        <v>927</v>
      </c>
      <c r="X158" s="9" t="n">
        <f aca="false">IF(AND(COUNT($E158:$G158)=0,LEFT($H158,2)&lt;&gt;"定性",LEFT($H158,2)&lt;&gt;"文字",LEFT($H158,2)&lt;&gt;"日期"),1,0)</f>
        <v>0</v>
      </c>
      <c r="Y158" s="9" t="n">
        <f aca="false">IF(OR($L158="",$M158=""),1,0)</f>
        <v>0</v>
      </c>
      <c r="Z158" s="9" t="n">
        <f aca="false">IF(AND(ISNUMBER($E158),ISNUMBER($F158)),IF($F158&gt;$E158,1,0),0)+IF(AND(ISNUMBER($E158),ISNUMBER($G158)),IF($E158&gt;$G158,1,0),0)+IF(AND(ISNUMBER($F158),ISNUMBER($G158)),IF($F158&gt;$G158,1,0),0)</f>
        <v>0</v>
      </c>
      <c r="AA158" s="9" t="n">
        <f aca="false">IF(AND($P158="Derived",$V158="觀測"),1,0)</f>
        <v>0</v>
      </c>
      <c r="AB158" s="12" t="s">
        <v>90</v>
      </c>
    </row>
    <row r="159" customFormat="false" ht="15" hidden="false" customHeight="false" outlineLevel="0" collapsed="false">
      <c r="A159" s="9" t="s">
        <v>928</v>
      </c>
      <c r="B159" s="9" t="s">
        <v>929</v>
      </c>
      <c r="C159" s="9" t="s">
        <v>487</v>
      </c>
      <c r="D159" s="11" t="s">
        <v>930</v>
      </c>
      <c r="E159" s="10" t="n">
        <v>2</v>
      </c>
      <c r="F159" s="9"/>
      <c r="G159" s="9"/>
      <c r="H159" s="11" t="s">
        <v>747</v>
      </c>
      <c r="I159" s="9" t="s">
        <v>931</v>
      </c>
      <c r="J159" s="13" t="n">
        <v>46148</v>
      </c>
      <c r="K159" s="9"/>
      <c r="L159" s="9" t="s">
        <v>855</v>
      </c>
      <c r="M159" s="9" t="s">
        <v>849</v>
      </c>
      <c r="N159" s="9" t="s">
        <v>847</v>
      </c>
      <c r="O159" s="9" t="s">
        <v>82</v>
      </c>
      <c r="P159" s="9" t="s">
        <v>83</v>
      </c>
      <c r="Q159" s="9" t="s">
        <v>850</v>
      </c>
      <c r="R159" s="11" t="s">
        <v>103</v>
      </c>
      <c r="S159" s="11" t="s">
        <v>86</v>
      </c>
      <c r="T159" s="9" t="s">
        <v>850</v>
      </c>
      <c r="U159" s="11" t="s">
        <v>103</v>
      </c>
      <c r="V159" s="11" t="s">
        <v>88</v>
      </c>
      <c r="W159" s="11" t="s">
        <v>932</v>
      </c>
      <c r="X159" s="9" t="n">
        <f aca="false">IF(AND(COUNT($E159:$G159)=0,LEFT($H159,2)&lt;&gt;"定性",LEFT($H159,2)&lt;&gt;"文字",LEFT($H159,2)&lt;&gt;"日期"),1,0)</f>
        <v>0</v>
      </c>
      <c r="Y159" s="9" t="n">
        <f aca="false">IF(OR($L159="",$M159=""),1,0)</f>
        <v>0</v>
      </c>
      <c r="Z159" s="9" t="n">
        <f aca="false">IF(AND(ISNUMBER($E159),ISNUMBER($F159)),IF($F159&gt;$E159,1,0),0)+IF(AND(ISNUMBER($E159),ISNUMBER($G159)),IF($E159&gt;$G159,1,0),0)+IF(AND(ISNUMBER($F159),ISNUMBER($G159)),IF($F159&gt;$G159,1,0),0)</f>
        <v>0</v>
      </c>
      <c r="AA159" s="9" t="n">
        <f aca="false">IF(AND($P159="Derived",$V159="觀測"),1,0)</f>
        <v>0</v>
      </c>
      <c r="AB159" s="12" t="s">
        <v>90</v>
      </c>
    </row>
    <row r="160" customFormat="false" ht="15" hidden="false" customHeight="false" outlineLevel="0" collapsed="false">
      <c r="A160" s="9" t="s">
        <v>933</v>
      </c>
      <c r="B160" s="9" t="s">
        <v>934</v>
      </c>
      <c r="C160" s="9" t="s">
        <v>487</v>
      </c>
      <c r="D160" s="11" t="s">
        <v>935</v>
      </c>
      <c r="E160" s="9"/>
      <c r="F160" s="9"/>
      <c r="G160" s="9"/>
      <c r="H160" s="11" t="s">
        <v>281</v>
      </c>
      <c r="I160" s="9" t="s">
        <v>662</v>
      </c>
      <c r="J160" s="13" t="n">
        <v>46182</v>
      </c>
      <c r="K160" s="9"/>
      <c r="L160" s="9" t="s">
        <v>663</v>
      </c>
      <c r="M160" s="9" t="s">
        <v>664</v>
      </c>
      <c r="N160" s="9" t="s">
        <v>662</v>
      </c>
      <c r="O160" s="9" t="s">
        <v>82</v>
      </c>
      <c r="P160" s="9" t="s">
        <v>83</v>
      </c>
      <c r="Q160" s="9" t="s">
        <v>434</v>
      </c>
      <c r="R160" s="9" t="s">
        <v>151</v>
      </c>
      <c r="S160" s="11" t="s">
        <v>86</v>
      </c>
      <c r="T160" s="9" t="s">
        <v>434</v>
      </c>
      <c r="U160" s="11" t="s">
        <v>152</v>
      </c>
      <c r="V160" s="11" t="s">
        <v>88</v>
      </c>
      <c r="W160" s="11" t="s">
        <v>936</v>
      </c>
      <c r="X160" s="9" t="n">
        <f aca="false">IF(AND(COUNT($E160:$G160)=0,LEFT($H160,2)&lt;&gt;"定性",LEFT($H160,2)&lt;&gt;"文字",LEFT($H160,2)&lt;&gt;"日期"),1,0)</f>
        <v>0</v>
      </c>
      <c r="Y160" s="9" t="n">
        <f aca="false">IF(OR($L160="",$M160=""),1,0)</f>
        <v>0</v>
      </c>
      <c r="Z160" s="9" t="n">
        <f aca="false">IF(AND(ISNUMBER($E160),ISNUMBER($F160)),IF($F160&gt;$E160,1,0),0)+IF(AND(ISNUMBER($E160),ISNUMBER($G160)),IF($E160&gt;$G160,1,0),0)+IF(AND(ISNUMBER($F160),ISNUMBER($G160)),IF($F160&gt;$G160,1,0),0)</f>
        <v>0</v>
      </c>
      <c r="AA160" s="9" t="n">
        <f aca="false">IF(AND($P160="Derived",$V160="觀測"),1,0)</f>
        <v>0</v>
      </c>
      <c r="AB160" s="12" t="s">
        <v>90</v>
      </c>
    </row>
    <row r="161" customFormat="false" ht="15" hidden="false" customHeight="false" outlineLevel="0" collapsed="false">
      <c r="A161" s="9" t="s">
        <v>937</v>
      </c>
      <c r="B161" s="9" t="s">
        <v>938</v>
      </c>
      <c r="C161" s="9" t="s">
        <v>487</v>
      </c>
      <c r="D161" s="11" t="s">
        <v>939</v>
      </c>
      <c r="E161" s="9" t="n">
        <f aca="false">SRC_ANT_089/SRC_ANT_079-1</f>
        <v>-0.666666666666667</v>
      </c>
      <c r="F161" s="9"/>
      <c r="G161" s="9"/>
      <c r="H161" s="11" t="s">
        <v>940</v>
      </c>
      <c r="I161" s="9" t="s">
        <v>603</v>
      </c>
      <c r="J161" s="13" t="n">
        <v>45985</v>
      </c>
      <c r="K161" s="9"/>
      <c r="L161" s="9" t="s">
        <v>604</v>
      </c>
      <c r="M161" s="9" t="s">
        <v>605</v>
      </c>
      <c r="N161" s="9" t="s">
        <v>603</v>
      </c>
      <c r="O161" s="9" t="s">
        <v>82</v>
      </c>
      <c r="P161" s="9" t="s">
        <v>102</v>
      </c>
      <c r="Q161" s="9"/>
      <c r="R161" s="11" t="s">
        <v>103</v>
      </c>
      <c r="S161" s="11" t="s">
        <v>104</v>
      </c>
      <c r="T161" s="11" t="s">
        <v>105</v>
      </c>
      <c r="U161" s="11" t="s">
        <v>104</v>
      </c>
      <c r="V161" s="9" t="s">
        <v>106</v>
      </c>
      <c r="W161" s="11" t="s">
        <v>941</v>
      </c>
      <c r="X161" s="9" t="n">
        <f aca="false">IF(AND(COUNT($E161:$G161)=0,LEFT($H161,2)&lt;&gt;"定性",LEFT($H161,2)&lt;&gt;"文字",LEFT($H161,2)&lt;&gt;"日期"),1,0)</f>
        <v>0</v>
      </c>
      <c r="Y161" s="9" t="n">
        <f aca="false">IF(OR($L161="",$M161=""),1,0)</f>
        <v>0</v>
      </c>
      <c r="Z161" s="9" t="n">
        <f aca="false">IF(AND(ISNUMBER($E161),ISNUMBER($F161)),IF($F161&gt;$E161,1,0),0)+IF(AND(ISNUMBER($E161),ISNUMBER($G161)),IF($E161&gt;$G161,1,0),0)+IF(AND(ISNUMBER($F161),ISNUMBER($G161)),IF($F161&gt;$G161,1,0),0)</f>
        <v>0</v>
      </c>
      <c r="AA161" s="9" t="n">
        <f aca="false">IF(AND($P161="Derived",$V161="觀測"),1,0)</f>
        <v>0</v>
      </c>
      <c r="AB161" s="12" t="s">
        <v>90</v>
      </c>
    </row>
    <row r="162" customFormat="false" ht="15" hidden="false" customHeight="false" outlineLevel="0" collapsed="false">
      <c r="A162" s="9" t="s">
        <v>942</v>
      </c>
      <c r="B162" s="9" t="s">
        <v>943</v>
      </c>
      <c r="C162" s="9" t="s">
        <v>487</v>
      </c>
      <c r="D162" s="11" t="s">
        <v>944</v>
      </c>
      <c r="E162" s="10" t="n">
        <v>-0.2</v>
      </c>
      <c r="F162" s="9"/>
      <c r="G162" s="9"/>
      <c r="H162" s="11" t="s">
        <v>940</v>
      </c>
      <c r="I162" s="9" t="s">
        <v>709</v>
      </c>
      <c r="J162" s="13" t="n">
        <v>46287</v>
      </c>
      <c r="K162" s="9"/>
      <c r="L162" s="9" t="s">
        <v>710</v>
      </c>
      <c r="M162" s="9" t="s">
        <v>711</v>
      </c>
      <c r="N162" s="9" t="s">
        <v>709</v>
      </c>
      <c r="O162" s="9" t="s">
        <v>82</v>
      </c>
      <c r="P162" s="9" t="s">
        <v>83</v>
      </c>
      <c r="Q162" s="9" t="s">
        <v>434</v>
      </c>
      <c r="R162" s="9" t="s">
        <v>151</v>
      </c>
      <c r="S162" s="11" t="s">
        <v>86</v>
      </c>
      <c r="T162" s="9" t="s">
        <v>434</v>
      </c>
      <c r="U162" s="11" t="s">
        <v>152</v>
      </c>
      <c r="V162" s="11" t="s">
        <v>88</v>
      </c>
      <c r="W162" s="11" t="s">
        <v>945</v>
      </c>
      <c r="X162" s="9" t="n">
        <f aca="false">IF(AND(COUNT($E162:$G162)=0,LEFT($H162,2)&lt;&gt;"定性",LEFT($H162,2)&lt;&gt;"文字",LEFT($H162,2)&lt;&gt;"日期"),1,0)</f>
        <v>0</v>
      </c>
      <c r="Y162" s="9" t="n">
        <f aca="false">IF(OR($L162="",$M162=""),1,0)</f>
        <v>0</v>
      </c>
      <c r="Z162" s="9" t="n">
        <f aca="false">IF(AND(ISNUMBER($E162),ISNUMBER($F162)),IF($F162&gt;$E162,1,0),0)+IF(AND(ISNUMBER($E162),ISNUMBER($G162)),IF($E162&gt;$G162,1,0),0)+IF(AND(ISNUMBER($F162),ISNUMBER($G162)),IF($F162&gt;$G162,1,0),0)</f>
        <v>0</v>
      </c>
      <c r="AA162" s="9" t="n">
        <f aca="false">IF(AND($P162="Derived",$V162="觀測"),1,0)</f>
        <v>0</v>
      </c>
      <c r="AB162" s="12" t="s">
        <v>90</v>
      </c>
    </row>
    <row r="163" customFormat="false" ht="15" hidden="false" customHeight="false" outlineLevel="0" collapsed="false">
      <c r="A163" s="9" t="s">
        <v>946</v>
      </c>
      <c r="B163" s="9" t="s">
        <v>947</v>
      </c>
      <c r="C163" s="9" t="s">
        <v>487</v>
      </c>
      <c r="D163" s="11" t="s">
        <v>948</v>
      </c>
      <c r="E163" s="10" t="n">
        <v>-0.9</v>
      </c>
      <c r="F163" s="9"/>
      <c r="G163" s="9"/>
      <c r="H163" s="11" t="s">
        <v>940</v>
      </c>
      <c r="I163" s="9" t="s">
        <v>729</v>
      </c>
      <c r="J163" s="13" t="n">
        <v>46302</v>
      </c>
      <c r="K163" s="9"/>
      <c r="L163" s="9" t="s">
        <v>730</v>
      </c>
      <c r="M163" s="9" t="s">
        <v>731</v>
      </c>
      <c r="N163" s="9" t="s">
        <v>729</v>
      </c>
      <c r="O163" s="9" t="s">
        <v>82</v>
      </c>
      <c r="P163" s="9" t="s">
        <v>83</v>
      </c>
      <c r="Q163" s="9" t="s">
        <v>434</v>
      </c>
      <c r="R163" s="9" t="s">
        <v>151</v>
      </c>
      <c r="S163" s="11" t="s">
        <v>86</v>
      </c>
      <c r="T163" s="9" t="s">
        <v>434</v>
      </c>
      <c r="U163" s="11" t="s">
        <v>152</v>
      </c>
      <c r="V163" s="11" t="s">
        <v>88</v>
      </c>
      <c r="W163" s="11" t="s">
        <v>949</v>
      </c>
      <c r="X163" s="9" t="n">
        <f aca="false">IF(AND(COUNT($E163:$G163)=0,LEFT($H163,2)&lt;&gt;"定性",LEFT($H163,2)&lt;&gt;"文字",LEFT($H163,2)&lt;&gt;"日期"),1,0)</f>
        <v>0</v>
      </c>
      <c r="Y163" s="9" t="n">
        <f aca="false">IF(OR($L163="",$M163=""),1,0)</f>
        <v>0</v>
      </c>
      <c r="Z163" s="9" t="n">
        <f aca="false">IF(AND(ISNUMBER($E163),ISNUMBER($F163)),IF($F163&gt;$E163,1,0),0)+IF(AND(ISNUMBER($E163),ISNUMBER($G163)),IF($E163&gt;$G163,1,0),0)+IF(AND(ISNUMBER($F163),ISNUMBER($G163)),IF($F163&gt;$G163,1,0),0)</f>
        <v>0</v>
      </c>
      <c r="AA163" s="9" t="n">
        <f aca="false">IF(AND($P163="Derived",$V163="觀測"),1,0)</f>
        <v>0</v>
      </c>
      <c r="AB163" s="12" t="s">
        <v>90</v>
      </c>
    </row>
    <row r="164" customFormat="false" ht="15" hidden="false" customHeight="false" outlineLevel="0" collapsed="false">
      <c r="A164" s="9" t="s">
        <v>950</v>
      </c>
      <c r="B164" s="9" t="s">
        <v>951</v>
      </c>
      <c r="C164" s="9" t="s">
        <v>487</v>
      </c>
      <c r="D164" s="11" t="s">
        <v>952</v>
      </c>
      <c r="E164" s="10" t="n">
        <v>-0.333</v>
      </c>
      <c r="F164" s="9"/>
      <c r="G164" s="9"/>
      <c r="H164" s="11" t="s">
        <v>940</v>
      </c>
      <c r="I164" s="9" t="s">
        <v>465</v>
      </c>
      <c r="J164" s="9"/>
      <c r="K164" s="9"/>
      <c r="L164" s="9" t="s">
        <v>953</v>
      </c>
      <c r="M164" s="9" t="s">
        <v>681</v>
      </c>
      <c r="N164" s="9" t="s">
        <v>954</v>
      </c>
      <c r="O164" s="9" t="s">
        <v>82</v>
      </c>
      <c r="P164" s="9" t="s">
        <v>83</v>
      </c>
      <c r="Q164" s="9" t="s">
        <v>434</v>
      </c>
      <c r="R164" s="9" t="s">
        <v>151</v>
      </c>
      <c r="S164" s="11" t="s">
        <v>86</v>
      </c>
      <c r="T164" s="9" t="s">
        <v>434</v>
      </c>
      <c r="U164" s="11" t="s">
        <v>152</v>
      </c>
      <c r="V164" s="11" t="s">
        <v>88</v>
      </c>
      <c r="W164" s="11" t="s">
        <v>955</v>
      </c>
      <c r="X164" s="9" t="n">
        <f aca="false">IF(AND(COUNT($E164:$G164)=0,LEFT($H164,2)&lt;&gt;"定性",LEFT($H164,2)&lt;&gt;"文字",LEFT($H164,2)&lt;&gt;"日期"),1,0)</f>
        <v>0</v>
      </c>
      <c r="Y164" s="9" t="n">
        <f aca="false">IF(OR($L164="",$M164=""),1,0)</f>
        <v>0</v>
      </c>
      <c r="Z164" s="9" t="n">
        <f aca="false">IF(AND(ISNUMBER($E164),ISNUMBER($F164)),IF($F164&gt;$E164,1,0),0)+IF(AND(ISNUMBER($E164),ISNUMBER($G164)),IF($E164&gt;$G164,1,0),0)+IF(AND(ISNUMBER($F164),ISNUMBER($G164)),IF($F164&gt;$G164,1,0),0)</f>
        <v>0</v>
      </c>
      <c r="AA164" s="9" t="n">
        <f aca="false">IF(AND($P164="Derived",$V164="觀測"),1,0)</f>
        <v>0</v>
      </c>
      <c r="AB164" s="12" t="s">
        <v>90</v>
      </c>
    </row>
    <row r="165" customFormat="false" ht="15" hidden="false" customHeight="false" outlineLevel="0" collapsed="false">
      <c r="A165" s="9" t="s">
        <v>956</v>
      </c>
      <c r="B165" s="9" t="s">
        <v>957</v>
      </c>
      <c r="C165" s="9" t="s">
        <v>958</v>
      </c>
      <c r="D165" s="11" t="s">
        <v>959</v>
      </c>
      <c r="E165" s="10" t="n">
        <v>300000</v>
      </c>
      <c r="F165" s="9"/>
      <c r="G165" s="9"/>
      <c r="H165" s="11" t="s">
        <v>960</v>
      </c>
      <c r="I165" s="9" t="s">
        <v>192</v>
      </c>
      <c r="J165" s="9"/>
      <c r="K165" s="9"/>
      <c r="L165" s="9" t="s">
        <v>433</v>
      </c>
      <c r="M165" s="9" t="s">
        <v>148</v>
      </c>
      <c r="N165" s="9" t="s">
        <v>149</v>
      </c>
      <c r="O165" s="9" t="s">
        <v>82</v>
      </c>
      <c r="P165" s="9" t="s">
        <v>83</v>
      </c>
      <c r="Q165" s="9" t="s">
        <v>434</v>
      </c>
      <c r="R165" s="9" t="s">
        <v>151</v>
      </c>
      <c r="S165" s="11" t="s">
        <v>86</v>
      </c>
      <c r="T165" s="9" t="s">
        <v>434</v>
      </c>
      <c r="U165" s="11" t="s">
        <v>152</v>
      </c>
      <c r="V165" s="11" t="s">
        <v>88</v>
      </c>
      <c r="W165" s="11" t="s">
        <v>961</v>
      </c>
      <c r="X165" s="9" t="n">
        <f aca="false">IF(AND(COUNT($E165:$G165)=0,LEFT($H165,2)&lt;&gt;"定性",LEFT($H165,2)&lt;&gt;"文字",LEFT($H165,2)&lt;&gt;"日期"),1,0)</f>
        <v>0</v>
      </c>
      <c r="Y165" s="9" t="n">
        <f aca="false">IF(OR($L165="",$M165=""),1,0)</f>
        <v>0</v>
      </c>
      <c r="Z165" s="9" t="n">
        <f aca="false">IF(AND(ISNUMBER($E165),ISNUMBER($F165)),IF($F165&gt;$E165,1,0),0)+IF(AND(ISNUMBER($E165),ISNUMBER($G165)),IF($E165&gt;$G165,1,0),0)+IF(AND(ISNUMBER($F165),ISNUMBER($G165)),IF($F165&gt;$G165,1,0),0)</f>
        <v>0</v>
      </c>
      <c r="AA165" s="9" t="n">
        <f aca="false">IF(AND($P165="Derived",$V165="觀測"),1,0)</f>
        <v>0</v>
      </c>
      <c r="AB165" s="12" t="s">
        <v>90</v>
      </c>
    </row>
    <row r="166" customFormat="false" ht="15" hidden="false" customHeight="false" outlineLevel="0" collapsed="false">
      <c r="A166" s="9" t="s">
        <v>962</v>
      </c>
      <c r="B166" s="9" t="s">
        <v>963</v>
      </c>
      <c r="C166" s="9" t="s">
        <v>958</v>
      </c>
      <c r="D166" s="11" t="s">
        <v>959</v>
      </c>
      <c r="E166" s="10" t="n">
        <v>300000</v>
      </c>
      <c r="F166" s="9"/>
      <c r="G166" s="9"/>
      <c r="H166" s="11" t="s">
        <v>960</v>
      </c>
      <c r="I166" s="9" t="s">
        <v>196</v>
      </c>
      <c r="J166" s="9"/>
      <c r="K166" s="9"/>
      <c r="L166" s="9" t="s">
        <v>964</v>
      </c>
      <c r="M166" s="9" t="s">
        <v>198</v>
      </c>
      <c r="N166" s="9" t="s">
        <v>199</v>
      </c>
      <c r="O166" s="9" t="s">
        <v>82</v>
      </c>
      <c r="P166" s="9" t="s">
        <v>83</v>
      </c>
      <c r="Q166" s="9" t="s">
        <v>434</v>
      </c>
      <c r="R166" s="9" t="s">
        <v>85</v>
      </c>
      <c r="S166" s="11" t="s">
        <v>86</v>
      </c>
      <c r="T166" s="9" t="s">
        <v>434</v>
      </c>
      <c r="U166" s="11" t="s">
        <v>87</v>
      </c>
      <c r="V166" s="11" t="s">
        <v>88</v>
      </c>
      <c r="W166" s="11" t="s">
        <v>965</v>
      </c>
      <c r="X166" s="9" t="n">
        <f aca="false">IF(AND(COUNT($E166:$G166)=0,LEFT($H166,2)&lt;&gt;"定性",LEFT($H166,2)&lt;&gt;"文字",LEFT($H166,2)&lt;&gt;"日期"),1,0)</f>
        <v>0</v>
      </c>
      <c r="Y166" s="9" t="n">
        <f aca="false">IF(OR($L166="",$M166=""),1,0)</f>
        <v>0</v>
      </c>
      <c r="Z166" s="9" t="n">
        <f aca="false">IF(AND(ISNUMBER($E166),ISNUMBER($F166)),IF($F166&gt;$E166,1,0),0)+IF(AND(ISNUMBER($E166),ISNUMBER($G166)),IF($E166&gt;$G166,1,0),0)+IF(AND(ISNUMBER($F166),ISNUMBER($G166)),IF($F166&gt;$G166,1,0),0)</f>
        <v>0</v>
      </c>
      <c r="AA166" s="9" t="n">
        <f aca="false">IF(AND($P166="Derived",$V166="觀測"),1,0)</f>
        <v>0</v>
      </c>
      <c r="AB166" s="12" t="s">
        <v>90</v>
      </c>
    </row>
    <row r="167" customFormat="false" ht="15" hidden="false" customHeight="false" outlineLevel="0" collapsed="false">
      <c r="A167" s="9" t="s">
        <v>966</v>
      </c>
      <c r="B167" s="9" t="s">
        <v>967</v>
      </c>
      <c r="C167" s="9" t="s">
        <v>958</v>
      </c>
      <c r="D167" s="11" t="s">
        <v>968</v>
      </c>
      <c r="E167" s="10" t="n">
        <v>7</v>
      </c>
      <c r="F167" s="9"/>
      <c r="G167" s="9"/>
      <c r="H167" s="11" t="s">
        <v>969</v>
      </c>
      <c r="I167" s="9" t="s">
        <v>192</v>
      </c>
      <c r="J167" s="9"/>
      <c r="K167" s="9"/>
      <c r="L167" s="9" t="s">
        <v>433</v>
      </c>
      <c r="M167" s="9" t="s">
        <v>148</v>
      </c>
      <c r="N167" s="9" t="s">
        <v>149</v>
      </c>
      <c r="O167" s="9" t="s">
        <v>82</v>
      </c>
      <c r="P167" s="9" t="s">
        <v>83</v>
      </c>
      <c r="Q167" s="9" t="s">
        <v>434</v>
      </c>
      <c r="R167" s="9" t="s">
        <v>151</v>
      </c>
      <c r="S167" s="11" t="s">
        <v>86</v>
      </c>
      <c r="T167" s="9" t="s">
        <v>434</v>
      </c>
      <c r="U167" s="11" t="s">
        <v>152</v>
      </c>
      <c r="V167" s="11" t="s">
        <v>88</v>
      </c>
      <c r="W167" s="11" t="s">
        <v>970</v>
      </c>
      <c r="X167" s="9" t="n">
        <f aca="false">IF(AND(COUNT($E167:$G167)=0,LEFT($H167,2)&lt;&gt;"定性",LEFT($H167,2)&lt;&gt;"文字",LEFT($H167,2)&lt;&gt;"日期"),1,0)</f>
        <v>0</v>
      </c>
      <c r="Y167" s="9" t="n">
        <f aca="false">IF(OR($L167="",$M167=""),1,0)</f>
        <v>0</v>
      </c>
      <c r="Z167" s="9" t="n">
        <f aca="false">IF(AND(ISNUMBER($E167),ISNUMBER($F167)),IF($F167&gt;$E167,1,0),0)+IF(AND(ISNUMBER($E167),ISNUMBER($G167)),IF($E167&gt;$G167,1,0),0)+IF(AND(ISNUMBER($F167),ISNUMBER($G167)),IF($F167&gt;$G167,1,0),0)</f>
        <v>0</v>
      </c>
      <c r="AA167" s="9" t="n">
        <f aca="false">IF(AND($P167="Derived",$V167="觀測"),1,0)</f>
        <v>0</v>
      </c>
      <c r="AB167" s="12" t="s">
        <v>90</v>
      </c>
    </row>
    <row r="168" customFormat="false" ht="15" hidden="false" customHeight="false" outlineLevel="0" collapsed="false">
      <c r="A168" s="9" t="s">
        <v>971</v>
      </c>
      <c r="B168" s="9" t="s">
        <v>972</v>
      </c>
      <c r="C168" s="9" t="s">
        <v>958</v>
      </c>
      <c r="D168" s="11" t="s">
        <v>968</v>
      </c>
      <c r="E168" s="10" t="n">
        <v>7</v>
      </c>
      <c r="F168" s="9"/>
      <c r="G168" s="9"/>
      <c r="H168" s="11" t="s">
        <v>969</v>
      </c>
      <c r="I168" s="9" t="s">
        <v>215</v>
      </c>
      <c r="J168" s="9"/>
      <c r="K168" s="9"/>
      <c r="L168" s="9" t="s">
        <v>448</v>
      </c>
      <c r="M168" s="9" t="s">
        <v>217</v>
      </c>
      <c r="N168" s="9" t="s">
        <v>218</v>
      </c>
      <c r="O168" s="9" t="s">
        <v>82</v>
      </c>
      <c r="P168" s="9" t="s">
        <v>83</v>
      </c>
      <c r="Q168" s="9" t="s">
        <v>434</v>
      </c>
      <c r="R168" s="9" t="s">
        <v>151</v>
      </c>
      <c r="S168" s="11" t="s">
        <v>86</v>
      </c>
      <c r="T168" s="9" t="s">
        <v>434</v>
      </c>
      <c r="U168" s="11" t="s">
        <v>152</v>
      </c>
      <c r="V168" s="11" t="s">
        <v>88</v>
      </c>
      <c r="W168" s="11" t="s">
        <v>973</v>
      </c>
      <c r="X168" s="9" t="n">
        <f aca="false">IF(AND(COUNT($E168:$G168)=0,LEFT($H168,2)&lt;&gt;"定性",LEFT($H168,2)&lt;&gt;"文字",LEFT($H168,2)&lt;&gt;"日期"),1,0)</f>
        <v>0</v>
      </c>
      <c r="Y168" s="9" t="n">
        <f aca="false">IF(OR($L168="",$M168=""),1,0)</f>
        <v>0</v>
      </c>
      <c r="Z168" s="9" t="n">
        <f aca="false">IF(AND(ISNUMBER($E168),ISNUMBER($F168)),IF($F168&gt;$E168,1,0),0)+IF(AND(ISNUMBER($E168),ISNUMBER($G168)),IF($E168&gt;$G168,1,0),0)+IF(AND(ISNUMBER($F168),ISNUMBER($G168)),IF($F168&gt;$G168,1,0),0)</f>
        <v>0</v>
      </c>
      <c r="AA168" s="9" t="n">
        <f aca="false">IF(AND($P168="Derived",$V168="觀測"),1,0)</f>
        <v>0</v>
      </c>
      <c r="AB168" s="12" t="s">
        <v>90</v>
      </c>
    </row>
    <row r="169" customFormat="false" ht="15" hidden="false" customHeight="false" outlineLevel="0" collapsed="false">
      <c r="A169" s="9" t="s">
        <v>974</v>
      </c>
      <c r="B169" s="9" t="s">
        <v>975</v>
      </c>
      <c r="C169" s="9" t="s">
        <v>958</v>
      </c>
      <c r="D169" s="11" t="s">
        <v>976</v>
      </c>
      <c r="E169" s="10" t="n">
        <v>500</v>
      </c>
      <c r="F169" s="9"/>
      <c r="G169" s="9"/>
      <c r="H169" s="11" t="s">
        <v>960</v>
      </c>
      <c r="I169" s="9" t="s">
        <v>215</v>
      </c>
      <c r="J169" s="9"/>
      <c r="K169" s="9"/>
      <c r="L169" s="9" t="s">
        <v>448</v>
      </c>
      <c r="M169" s="9" t="s">
        <v>217</v>
      </c>
      <c r="N169" s="9" t="s">
        <v>218</v>
      </c>
      <c r="O169" s="9" t="s">
        <v>82</v>
      </c>
      <c r="P169" s="9" t="s">
        <v>83</v>
      </c>
      <c r="Q169" s="9" t="s">
        <v>434</v>
      </c>
      <c r="R169" s="9" t="s">
        <v>151</v>
      </c>
      <c r="S169" s="11" t="s">
        <v>86</v>
      </c>
      <c r="T169" s="9" t="s">
        <v>434</v>
      </c>
      <c r="U169" s="11" t="s">
        <v>152</v>
      </c>
      <c r="V169" s="11" t="s">
        <v>88</v>
      </c>
      <c r="W169" s="11" t="s">
        <v>977</v>
      </c>
      <c r="X169" s="9" t="n">
        <f aca="false">IF(AND(COUNT($E169:$G169)=0,LEFT($H169,2)&lt;&gt;"定性",LEFT($H169,2)&lt;&gt;"文字",LEFT($H169,2)&lt;&gt;"日期"),1,0)</f>
        <v>0</v>
      </c>
      <c r="Y169" s="9" t="n">
        <f aca="false">IF(OR($L169="",$M169=""),1,0)</f>
        <v>0</v>
      </c>
      <c r="Z169" s="9" t="n">
        <f aca="false">IF(AND(ISNUMBER($E169),ISNUMBER($F169)),IF($F169&gt;$E169,1,0),0)+IF(AND(ISNUMBER($E169),ISNUMBER($G169)),IF($E169&gt;$G169,1,0),0)+IF(AND(ISNUMBER($F169),ISNUMBER($G169)),IF($F169&gt;$G169,1,0),0)</f>
        <v>0</v>
      </c>
      <c r="AA169" s="9" t="n">
        <f aca="false">IF(AND($P169="Derived",$V169="觀測"),1,0)</f>
        <v>0</v>
      </c>
      <c r="AB169" s="12" t="s">
        <v>90</v>
      </c>
    </row>
    <row r="170" customFormat="false" ht="15" hidden="false" customHeight="false" outlineLevel="0" collapsed="false">
      <c r="A170" s="9" t="s">
        <v>978</v>
      </c>
      <c r="B170" s="9" t="s">
        <v>979</v>
      </c>
      <c r="C170" s="9" t="s">
        <v>958</v>
      </c>
      <c r="D170" s="11" t="s">
        <v>976</v>
      </c>
      <c r="E170" s="10" t="n">
        <v>12</v>
      </c>
      <c r="F170" s="9"/>
      <c r="G170" s="9"/>
      <c r="H170" s="11" t="s">
        <v>960</v>
      </c>
      <c r="I170" s="9" t="s">
        <v>980</v>
      </c>
      <c r="J170" s="9"/>
      <c r="K170" s="9"/>
      <c r="L170" s="9" t="s">
        <v>448</v>
      </c>
      <c r="M170" s="9" t="s">
        <v>217</v>
      </c>
      <c r="N170" s="9" t="s">
        <v>218</v>
      </c>
      <c r="O170" s="9" t="s">
        <v>82</v>
      </c>
      <c r="P170" s="9" t="s">
        <v>83</v>
      </c>
      <c r="Q170" s="9" t="s">
        <v>434</v>
      </c>
      <c r="R170" s="9" t="s">
        <v>151</v>
      </c>
      <c r="S170" s="11" t="s">
        <v>86</v>
      </c>
      <c r="T170" s="9" t="s">
        <v>434</v>
      </c>
      <c r="U170" s="11" t="s">
        <v>152</v>
      </c>
      <c r="V170" s="11" t="s">
        <v>88</v>
      </c>
      <c r="W170" s="11" t="s">
        <v>981</v>
      </c>
      <c r="X170" s="9" t="n">
        <f aca="false">IF(AND(COUNT($E170:$G170)=0,LEFT($H170,2)&lt;&gt;"定性",LEFT($H170,2)&lt;&gt;"文字",LEFT($H170,2)&lt;&gt;"日期"),1,0)</f>
        <v>0</v>
      </c>
      <c r="Y170" s="9" t="n">
        <f aca="false">IF(OR($L170="",$M170=""),1,0)</f>
        <v>0</v>
      </c>
      <c r="Z170" s="9" t="n">
        <f aca="false">IF(AND(ISNUMBER($E170),ISNUMBER($F170)),IF($F170&gt;$E170,1,0),0)+IF(AND(ISNUMBER($E170),ISNUMBER($G170)),IF($E170&gt;$G170,1,0),0)+IF(AND(ISNUMBER($F170),ISNUMBER($G170)),IF($F170&gt;$G170,1,0),0)</f>
        <v>0</v>
      </c>
      <c r="AA170" s="9" t="n">
        <f aca="false">IF(AND($P170="Derived",$V170="觀測"),1,0)</f>
        <v>0</v>
      </c>
      <c r="AB170" s="12" t="s">
        <v>90</v>
      </c>
    </row>
    <row r="171" customFormat="false" ht="15" hidden="false" customHeight="false" outlineLevel="0" collapsed="false">
      <c r="A171" s="9" t="s">
        <v>982</v>
      </c>
      <c r="B171" s="9" t="s">
        <v>983</v>
      </c>
      <c r="C171" s="9" t="s">
        <v>958</v>
      </c>
      <c r="D171" s="11" t="s">
        <v>976</v>
      </c>
      <c r="E171" s="10" t="n">
        <v>1000</v>
      </c>
      <c r="F171" s="9"/>
      <c r="G171" s="9"/>
      <c r="H171" s="11" t="s">
        <v>960</v>
      </c>
      <c r="I171" s="9" t="s">
        <v>229</v>
      </c>
      <c r="J171" s="9"/>
      <c r="K171" s="9"/>
      <c r="L171" s="9" t="s">
        <v>205</v>
      </c>
      <c r="M171" s="9" t="s">
        <v>206</v>
      </c>
      <c r="N171" s="9" t="s">
        <v>207</v>
      </c>
      <c r="O171" s="9" t="s">
        <v>82</v>
      </c>
      <c r="P171" s="9" t="s">
        <v>83</v>
      </c>
      <c r="Q171" s="9" t="s">
        <v>434</v>
      </c>
      <c r="R171" s="9" t="s">
        <v>151</v>
      </c>
      <c r="S171" s="11" t="s">
        <v>86</v>
      </c>
      <c r="T171" s="9" t="s">
        <v>434</v>
      </c>
      <c r="U171" s="11" t="s">
        <v>152</v>
      </c>
      <c r="V171" s="11" t="s">
        <v>88</v>
      </c>
      <c r="W171" s="11" t="s">
        <v>984</v>
      </c>
      <c r="X171" s="9" t="n">
        <f aca="false">IF(AND(COUNT($E171:$G171)=0,LEFT($H171,2)&lt;&gt;"定性",LEFT($H171,2)&lt;&gt;"文字",LEFT($H171,2)&lt;&gt;"日期"),1,0)</f>
        <v>0</v>
      </c>
      <c r="Y171" s="9" t="n">
        <f aca="false">IF(OR($L171="",$M171=""),1,0)</f>
        <v>0</v>
      </c>
      <c r="Z171" s="9" t="n">
        <f aca="false">IF(AND(ISNUMBER($E171),ISNUMBER($F171)),IF($F171&gt;$E171,1,0),0)+IF(AND(ISNUMBER($E171),ISNUMBER($G171)),IF($E171&gt;$G171,1,0),0)+IF(AND(ISNUMBER($F171),ISNUMBER($G171)),IF($F171&gt;$G171,1,0),0)</f>
        <v>0</v>
      </c>
      <c r="AA171" s="9" t="n">
        <f aca="false">IF(AND($P171="Derived",$V171="觀測"),1,0)</f>
        <v>0</v>
      </c>
      <c r="AB171" s="12" t="s">
        <v>90</v>
      </c>
    </row>
    <row r="172" customFormat="false" ht="15" hidden="false" customHeight="false" outlineLevel="0" collapsed="false">
      <c r="A172" s="9" t="s">
        <v>985</v>
      </c>
      <c r="B172" s="9" t="s">
        <v>986</v>
      </c>
      <c r="C172" s="9" t="s">
        <v>958</v>
      </c>
      <c r="D172" s="11" t="s">
        <v>987</v>
      </c>
      <c r="E172" s="10" t="n">
        <v>100000</v>
      </c>
      <c r="F172" s="9"/>
      <c r="G172" s="9"/>
      <c r="H172" s="11" t="s">
        <v>960</v>
      </c>
      <c r="I172" s="9" t="s">
        <v>229</v>
      </c>
      <c r="J172" s="9"/>
      <c r="K172" s="9"/>
      <c r="L172" s="9" t="s">
        <v>988</v>
      </c>
      <c r="M172" s="9" t="s">
        <v>989</v>
      </c>
      <c r="N172" s="9" t="s">
        <v>990</v>
      </c>
      <c r="O172" s="9" t="s">
        <v>82</v>
      </c>
      <c r="P172" s="9" t="s">
        <v>83</v>
      </c>
      <c r="Q172" s="9" t="s">
        <v>434</v>
      </c>
      <c r="R172" s="9" t="s">
        <v>151</v>
      </c>
      <c r="S172" s="11" t="s">
        <v>86</v>
      </c>
      <c r="T172" s="9" t="s">
        <v>434</v>
      </c>
      <c r="U172" s="11" t="s">
        <v>152</v>
      </c>
      <c r="V172" s="11" t="s">
        <v>88</v>
      </c>
      <c r="W172" s="11" t="s">
        <v>991</v>
      </c>
      <c r="X172" s="9" t="n">
        <f aca="false">IF(AND(COUNT($E172:$G172)=0,LEFT($H172,2)&lt;&gt;"定性",LEFT($H172,2)&lt;&gt;"文字",LEFT($H172,2)&lt;&gt;"日期"),1,0)</f>
        <v>0</v>
      </c>
      <c r="Y172" s="9" t="n">
        <f aca="false">IF(OR($L172="",$M172=""),1,0)</f>
        <v>0</v>
      </c>
      <c r="Z172" s="9" t="n">
        <f aca="false">IF(AND(ISNUMBER($E172),ISNUMBER($F172)),IF($F172&gt;$E172,1,0),0)+IF(AND(ISNUMBER($E172),ISNUMBER($G172)),IF($E172&gt;$G172,1,0),0)+IF(AND(ISNUMBER($F172),ISNUMBER($G172)),IF($F172&gt;$G172,1,0),0)</f>
        <v>0</v>
      </c>
      <c r="AA172" s="9" t="n">
        <f aca="false">IF(AND($P172="Derived",$V172="觀測"),1,0)</f>
        <v>0</v>
      </c>
      <c r="AB172" s="12" t="s">
        <v>90</v>
      </c>
    </row>
    <row r="173" customFormat="false" ht="15" hidden="false" customHeight="false" outlineLevel="0" collapsed="false">
      <c r="A173" s="9" t="s">
        <v>992</v>
      </c>
      <c r="B173" s="9" t="s">
        <v>993</v>
      </c>
      <c r="C173" s="9" t="s">
        <v>958</v>
      </c>
      <c r="D173" s="11" t="s">
        <v>994</v>
      </c>
      <c r="E173" s="10" t="n">
        <v>2</v>
      </c>
      <c r="F173" s="10" t="n">
        <v>2</v>
      </c>
      <c r="G173" s="9"/>
      <c r="H173" s="11" t="s">
        <v>747</v>
      </c>
      <c r="I173" s="9" t="s">
        <v>995</v>
      </c>
      <c r="J173" s="9"/>
      <c r="K173" s="9"/>
      <c r="L173" s="9" t="s">
        <v>996</v>
      </c>
      <c r="M173" s="9" t="s">
        <v>997</v>
      </c>
      <c r="N173" s="9" t="s">
        <v>998</v>
      </c>
      <c r="O173" s="9" t="s">
        <v>82</v>
      </c>
      <c r="P173" s="9" t="s">
        <v>83</v>
      </c>
      <c r="Q173" s="9" t="s">
        <v>434</v>
      </c>
      <c r="R173" s="9" t="s">
        <v>85</v>
      </c>
      <c r="S173" s="11" t="s">
        <v>86</v>
      </c>
      <c r="T173" s="9" t="s">
        <v>434</v>
      </c>
      <c r="U173" s="11" t="s">
        <v>87</v>
      </c>
      <c r="V173" s="11" t="s">
        <v>88</v>
      </c>
      <c r="W173" s="11" t="s">
        <v>999</v>
      </c>
      <c r="X173" s="9" t="n">
        <f aca="false">IF(AND(COUNT($E173:$G173)=0,LEFT($H173,2)&lt;&gt;"定性",LEFT($H173,2)&lt;&gt;"文字",LEFT($H173,2)&lt;&gt;"日期"),1,0)</f>
        <v>0</v>
      </c>
      <c r="Y173" s="9" t="n">
        <f aca="false">IF(OR($L173="",$M173=""),1,0)</f>
        <v>0</v>
      </c>
      <c r="Z173" s="9" t="n">
        <f aca="false">IF(AND(ISNUMBER($E173),ISNUMBER($F173)),IF($F173&gt;$E173,1,0),0)+IF(AND(ISNUMBER($E173),ISNUMBER($G173)),IF($E173&gt;$G173,1,0),0)+IF(AND(ISNUMBER($F173),ISNUMBER($G173)),IF($F173&gt;$G173,1,0),0)</f>
        <v>0</v>
      </c>
      <c r="AA173" s="9" t="n">
        <f aca="false">IF(AND($P173="Derived",$V173="觀測"),1,0)</f>
        <v>0</v>
      </c>
      <c r="AB173" s="12" t="s">
        <v>90</v>
      </c>
    </row>
    <row r="174" customFormat="false" ht="15" hidden="false" customHeight="false" outlineLevel="0" collapsed="false">
      <c r="A174" s="9" t="s">
        <v>1000</v>
      </c>
      <c r="B174" s="9" t="s">
        <v>1001</v>
      </c>
      <c r="C174" s="9" t="s">
        <v>958</v>
      </c>
      <c r="D174" s="9" t="s">
        <v>1002</v>
      </c>
      <c r="E174" s="9"/>
      <c r="F174" s="10" t="n">
        <v>18</v>
      </c>
      <c r="G174" s="10" t="n">
        <v>30</v>
      </c>
      <c r="H174" s="11" t="s">
        <v>1003</v>
      </c>
      <c r="I174" s="9" t="s">
        <v>995</v>
      </c>
      <c r="J174" s="9"/>
      <c r="K174" s="9"/>
      <c r="L174" s="9" t="s">
        <v>1004</v>
      </c>
      <c r="M174" s="9" t="s">
        <v>997</v>
      </c>
      <c r="N174" s="9" t="s">
        <v>998</v>
      </c>
      <c r="O174" s="9" t="s">
        <v>82</v>
      </c>
      <c r="P174" s="9" t="s">
        <v>299</v>
      </c>
      <c r="Q174" s="9"/>
      <c r="R174" s="9" t="s">
        <v>85</v>
      </c>
      <c r="S174" s="11" t="s">
        <v>300</v>
      </c>
      <c r="T174" s="11" t="s">
        <v>301</v>
      </c>
      <c r="U174" s="11" t="s">
        <v>87</v>
      </c>
      <c r="V174" s="11" t="s">
        <v>88</v>
      </c>
      <c r="W174" s="11" t="s">
        <v>1005</v>
      </c>
      <c r="X174" s="9" t="n">
        <f aca="false">IF(AND(COUNT($E174:$G174)=0,LEFT($H174,2)&lt;&gt;"定性",LEFT($H174,2)&lt;&gt;"文字",LEFT($H174,2)&lt;&gt;"日期"),1,0)</f>
        <v>0</v>
      </c>
      <c r="Y174" s="9" t="n">
        <f aca="false">IF(OR($L174="",$M174=""),1,0)</f>
        <v>0</v>
      </c>
      <c r="Z174" s="9" t="n">
        <f aca="false">IF(AND(ISNUMBER($E174),ISNUMBER($F174)),IF($F174&gt;$E174,1,0),0)+IF(AND(ISNUMBER($E174),ISNUMBER($G174)),IF($E174&gt;$G174,1,0),0)+IF(AND(ISNUMBER($F174),ISNUMBER($G174)),IF($F174&gt;$G174,1,0),0)</f>
        <v>0</v>
      </c>
      <c r="AA174" s="9" t="n">
        <f aca="false">IF(AND($P174="Derived",$V174="觀測"),1,0)</f>
        <v>0</v>
      </c>
      <c r="AB174" s="12" t="s">
        <v>90</v>
      </c>
    </row>
    <row r="175" customFormat="false" ht="15" hidden="false" customHeight="false" outlineLevel="0" collapsed="false">
      <c r="A175" s="9" t="s">
        <v>1006</v>
      </c>
      <c r="B175" s="9" t="s">
        <v>1007</v>
      </c>
      <c r="C175" s="9" t="s">
        <v>958</v>
      </c>
      <c r="D175" s="9" t="s">
        <v>1008</v>
      </c>
      <c r="E175" s="10" t="n">
        <v>56</v>
      </c>
      <c r="F175" s="10" t="n">
        <v>45</v>
      </c>
      <c r="G175" s="10" t="n">
        <v>67</v>
      </c>
      <c r="H175" s="11" t="s">
        <v>1003</v>
      </c>
      <c r="I175" s="9" t="s">
        <v>121</v>
      </c>
      <c r="J175" s="9"/>
      <c r="K175" s="9"/>
      <c r="L175" s="9" t="s">
        <v>1009</v>
      </c>
      <c r="M175" s="9" t="s">
        <v>1010</v>
      </c>
      <c r="N175" s="9" t="s">
        <v>1011</v>
      </c>
      <c r="O175" s="9" t="s">
        <v>82</v>
      </c>
      <c r="P175" s="9" t="s">
        <v>299</v>
      </c>
      <c r="Q175" s="9"/>
      <c r="R175" s="9" t="s">
        <v>85</v>
      </c>
      <c r="S175" s="11" t="s">
        <v>300</v>
      </c>
      <c r="T175" s="11" t="s">
        <v>301</v>
      </c>
      <c r="U175" s="11" t="s">
        <v>87</v>
      </c>
      <c r="V175" s="11" t="s">
        <v>88</v>
      </c>
      <c r="W175" s="11" t="s">
        <v>1012</v>
      </c>
      <c r="X175" s="9" t="n">
        <f aca="false">IF(AND(COUNT($E175:$G175)=0,LEFT($H175,2)&lt;&gt;"定性",LEFT($H175,2)&lt;&gt;"文字",LEFT($H175,2)&lt;&gt;"日期"),1,0)</f>
        <v>0</v>
      </c>
      <c r="Y175" s="9" t="n">
        <f aca="false">IF(OR($L175="",$M175=""),1,0)</f>
        <v>0</v>
      </c>
      <c r="Z175" s="9" t="n">
        <f aca="false">IF(AND(ISNUMBER($E175),ISNUMBER($F175)),IF($F175&gt;$E175,1,0),0)+IF(AND(ISNUMBER($E175),ISNUMBER($G175)),IF($E175&gt;$G175,1,0),0)+IF(AND(ISNUMBER($F175),ISNUMBER($G175)),IF($F175&gt;$G175,1,0),0)</f>
        <v>0</v>
      </c>
      <c r="AA175" s="9" t="n">
        <f aca="false">IF(AND($P175="Derived",$V175="觀測"),1,0)</f>
        <v>0</v>
      </c>
      <c r="AB175" s="12" t="s">
        <v>90</v>
      </c>
    </row>
    <row r="176" customFormat="false" ht="15" hidden="false" customHeight="false" outlineLevel="0" collapsed="false">
      <c r="A176" s="9" t="s">
        <v>1013</v>
      </c>
      <c r="B176" s="9" t="s">
        <v>1014</v>
      </c>
      <c r="C176" s="9" t="s">
        <v>958</v>
      </c>
      <c r="D176" s="9" t="s">
        <v>1015</v>
      </c>
      <c r="E176" s="10" t="n">
        <v>952.5</v>
      </c>
      <c r="F176" s="10" t="n">
        <v>850</v>
      </c>
      <c r="G176" s="10" t="n">
        <v>1050</v>
      </c>
      <c r="H176" s="11" t="s">
        <v>1016</v>
      </c>
      <c r="I176" s="9" t="s">
        <v>233</v>
      </c>
      <c r="J176" s="9"/>
      <c r="K176" s="9"/>
      <c r="L176" s="9" t="s">
        <v>1017</v>
      </c>
      <c r="M176" s="9" t="s">
        <v>1018</v>
      </c>
      <c r="N176" s="9" t="s">
        <v>662</v>
      </c>
      <c r="O176" s="9" t="s">
        <v>82</v>
      </c>
      <c r="P176" s="9" t="s">
        <v>299</v>
      </c>
      <c r="Q176" s="9"/>
      <c r="R176" s="9" t="s">
        <v>85</v>
      </c>
      <c r="S176" s="11" t="s">
        <v>300</v>
      </c>
      <c r="T176" s="11" t="s">
        <v>301</v>
      </c>
      <c r="U176" s="11" t="s">
        <v>87</v>
      </c>
      <c r="V176" s="11" t="s">
        <v>88</v>
      </c>
      <c r="W176" s="11" t="s">
        <v>1019</v>
      </c>
      <c r="X176" s="9" t="n">
        <f aca="false">IF(AND(COUNT($E176:$G176)=0,LEFT($H176,2)&lt;&gt;"定性",LEFT($H176,2)&lt;&gt;"文字",LEFT($H176,2)&lt;&gt;"日期"),1,0)</f>
        <v>0</v>
      </c>
      <c r="Y176" s="9" t="n">
        <f aca="false">IF(OR($L176="",$M176=""),1,0)</f>
        <v>0</v>
      </c>
      <c r="Z176" s="9" t="n">
        <f aca="false">IF(AND(ISNUMBER($E176),ISNUMBER($F176)),IF($F176&gt;$E176,1,0),0)+IF(AND(ISNUMBER($E176),ISNUMBER($G176)),IF($E176&gt;$G176,1,0),0)+IF(AND(ISNUMBER($F176),ISNUMBER($G176)),IF($F176&gt;$G176,1,0),0)</f>
        <v>0</v>
      </c>
      <c r="AA176" s="9" t="n">
        <f aca="false">IF(AND($P176="Derived",$V176="觀測"),1,0)</f>
        <v>0</v>
      </c>
      <c r="AB176" s="12" t="s">
        <v>90</v>
      </c>
    </row>
    <row r="177" customFormat="false" ht="15" hidden="false" customHeight="false" outlineLevel="0" collapsed="false">
      <c r="A177" s="9" t="s">
        <v>1020</v>
      </c>
      <c r="B177" s="9" t="s">
        <v>1021</v>
      </c>
      <c r="C177" s="9" t="s">
        <v>958</v>
      </c>
      <c r="D177" s="9" t="s">
        <v>1022</v>
      </c>
      <c r="E177" s="10" t="n">
        <v>18.9</v>
      </c>
      <c r="F177" s="10" t="n">
        <v>15</v>
      </c>
      <c r="G177" s="10" t="n">
        <v>25</v>
      </c>
      <c r="H177" s="11" t="s">
        <v>1003</v>
      </c>
      <c r="I177" s="9" t="s">
        <v>77</v>
      </c>
      <c r="J177" s="9"/>
      <c r="K177" s="9"/>
      <c r="L177" s="9" t="s">
        <v>1023</v>
      </c>
      <c r="M177" s="9" t="s">
        <v>476</v>
      </c>
      <c r="N177" s="9" t="s">
        <v>477</v>
      </c>
      <c r="O177" s="9" t="s">
        <v>82</v>
      </c>
      <c r="P177" s="9" t="s">
        <v>299</v>
      </c>
      <c r="Q177" s="9"/>
      <c r="R177" s="9" t="s">
        <v>85</v>
      </c>
      <c r="S177" s="11" t="s">
        <v>300</v>
      </c>
      <c r="T177" s="11" t="s">
        <v>301</v>
      </c>
      <c r="U177" s="11" t="s">
        <v>87</v>
      </c>
      <c r="V177" s="11" t="s">
        <v>88</v>
      </c>
      <c r="W177" s="11" t="s">
        <v>1024</v>
      </c>
      <c r="X177" s="9" t="n">
        <f aca="false">IF(AND(COUNT($E177:$G177)=0,LEFT($H177,2)&lt;&gt;"定性",LEFT($H177,2)&lt;&gt;"文字",LEFT($H177,2)&lt;&gt;"日期"),1,0)</f>
        <v>0</v>
      </c>
      <c r="Y177" s="9" t="n">
        <f aca="false">IF(OR($L177="",$M177=""),1,0)</f>
        <v>0</v>
      </c>
      <c r="Z177" s="9" t="n">
        <f aca="false">IF(AND(ISNUMBER($E177),ISNUMBER($F177)),IF($F177&gt;$E177,1,0),0)+IF(AND(ISNUMBER($E177),ISNUMBER($G177)),IF($E177&gt;$G177,1,0),0)+IF(AND(ISNUMBER($F177),ISNUMBER($G177)),IF($F177&gt;$G177,1,0),0)</f>
        <v>0</v>
      </c>
      <c r="AA177" s="9" t="n">
        <f aca="false">IF(AND($P177="Derived",$V177="觀測"),1,0)</f>
        <v>0</v>
      </c>
      <c r="AB177" s="12" t="s">
        <v>90</v>
      </c>
    </row>
    <row r="178" customFormat="false" ht="15" hidden="false" customHeight="false" outlineLevel="0" collapsed="false">
      <c r="A178" s="9" t="s">
        <v>1025</v>
      </c>
      <c r="B178" s="9" t="s">
        <v>1026</v>
      </c>
      <c r="C178" s="9" t="s">
        <v>958</v>
      </c>
      <c r="D178" s="11" t="s">
        <v>1027</v>
      </c>
      <c r="E178" s="10" t="n">
        <v>470000</v>
      </c>
      <c r="F178" s="9"/>
      <c r="G178" s="9"/>
      <c r="H178" s="11" t="s">
        <v>1028</v>
      </c>
      <c r="I178" s="9" t="s">
        <v>1029</v>
      </c>
      <c r="J178" s="13" t="n">
        <v>45936</v>
      </c>
      <c r="K178" s="9"/>
      <c r="L178" s="9" t="s">
        <v>1030</v>
      </c>
      <c r="M178" s="9" t="s">
        <v>1031</v>
      </c>
      <c r="N178" s="9" t="s">
        <v>1029</v>
      </c>
      <c r="O178" s="9" t="s">
        <v>82</v>
      </c>
      <c r="P178" s="9" t="s">
        <v>83</v>
      </c>
      <c r="Q178" s="9" t="s">
        <v>1032</v>
      </c>
      <c r="R178" s="9" t="s">
        <v>151</v>
      </c>
      <c r="S178" s="11" t="s">
        <v>86</v>
      </c>
      <c r="T178" s="9" t="s">
        <v>1032</v>
      </c>
      <c r="U178" s="11" t="s">
        <v>152</v>
      </c>
      <c r="V178" s="11" t="s">
        <v>88</v>
      </c>
      <c r="W178" s="11" t="s">
        <v>1033</v>
      </c>
      <c r="X178" s="9" t="n">
        <f aca="false">IF(AND(COUNT($E178:$G178)=0,LEFT($H178,2)&lt;&gt;"定性",LEFT($H178,2)&lt;&gt;"文字",LEFT($H178,2)&lt;&gt;"日期"),1,0)</f>
        <v>0</v>
      </c>
      <c r="Y178" s="9" t="n">
        <f aca="false">IF(OR($L178="",$M178=""),1,0)</f>
        <v>0</v>
      </c>
      <c r="Z178" s="9" t="n">
        <f aca="false">IF(AND(ISNUMBER($E178),ISNUMBER($F178)),IF($F178&gt;$E178,1,0),0)+IF(AND(ISNUMBER($E178),ISNUMBER($G178)),IF($E178&gt;$G178,1,0),0)+IF(AND(ISNUMBER($F178),ISNUMBER($G178)),IF($F178&gt;$G178,1,0),0)</f>
        <v>0</v>
      </c>
      <c r="AA178" s="9" t="n">
        <f aca="false">IF(AND($P178="Derived",$V178="觀測"),1,0)</f>
        <v>0</v>
      </c>
      <c r="AB178" s="12" t="s">
        <v>90</v>
      </c>
    </row>
    <row r="179" customFormat="false" ht="15" hidden="false" customHeight="false" outlineLevel="0" collapsed="false">
      <c r="A179" s="9" t="s">
        <v>1034</v>
      </c>
      <c r="B179" s="9" t="s">
        <v>1035</v>
      </c>
      <c r="C179" s="9" t="s">
        <v>958</v>
      </c>
      <c r="D179" s="11" t="s">
        <v>1036</v>
      </c>
      <c r="E179" s="10" t="n">
        <v>350000</v>
      </c>
      <c r="F179" s="9"/>
      <c r="G179" s="10" t="n">
        <v>350000</v>
      </c>
      <c r="H179" s="11" t="s">
        <v>1028</v>
      </c>
      <c r="I179" s="9" t="s">
        <v>1037</v>
      </c>
      <c r="J179" s="13" t="n">
        <v>45965</v>
      </c>
      <c r="K179" s="9"/>
      <c r="L179" s="9" t="s">
        <v>1038</v>
      </c>
      <c r="M179" s="9" t="s">
        <v>1039</v>
      </c>
      <c r="N179" s="9" t="s">
        <v>1037</v>
      </c>
      <c r="O179" s="9" t="s">
        <v>82</v>
      </c>
      <c r="P179" s="9" t="s">
        <v>83</v>
      </c>
      <c r="Q179" s="9" t="s">
        <v>1040</v>
      </c>
      <c r="R179" s="9" t="s">
        <v>151</v>
      </c>
      <c r="S179" s="11" t="s">
        <v>86</v>
      </c>
      <c r="T179" s="9" t="s">
        <v>1040</v>
      </c>
      <c r="U179" s="11" t="s">
        <v>152</v>
      </c>
      <c r="V179" s="11" t="s">
        <v>88</v>
      </c>
      <c r="W179" s="11" t="s">
        <v>1041</v>
      </c>
      <c r="X179" s="9" t="n">
        <f aca="false">IF(AND(COUNT($E179:$G179)=0,LEFT($H179,2)&lt;&gt;"定性",LEFT($H179,2)&lt;&gt;"文字",LEFT($H179,2)&lt;&gt;"日期"),1,0)</f>
        <v>0</v>
      </c>
      <c r="Y179" s="9" t="n">
        <f aca="false">IF(OR($L179="",$M179=""),1,0)</f>
        <v>0</v>
      </c>
      <c r="Z179" s="9" t="n">
        <f aca="false">IF(AND(ISNUMBER($E179),ISNUMBER($F179)),IF($F179&gt;$E179,1,0),0)+IF(AND(ISNUMBER($E179),ISNUMBER($G179)),IF($E179&gt;$G179,1,0),0)+IF(AND(ISNUMBER($F179),ISNUMBER($G179)),IF($F179&gt;$G179,1,0),0)</f>
        <v>0</v>
      </c>
      <c r="AA179" s="9" t="n">
        <f aca="false">IF(AND($P179="Derived",$V179="觀測"),1,0)</f>
        <v>0</v>
      </c>
      <c r="AB179" s="12" t="s">
        <v>90</v>
      </c>
    </row>
    <row r="180" customFormat="false" ht="15" hidden="false" customHeight="false" outlineLevel="0" collapsed="false">
      <c r="A180" s="9" t="s">
        <v>1042</v>
      </c>
      <c r="B180" s="9" t="s">
        <v>1043</v>
      </c>
      <c r="C180" s="9" t="s">
        <v>958</v>
      </c>
      <c r="D180" s="9" t="s">
        <v>1044</v>
      </c>
      <c r="E180" s="10" t="n">
        <v>30000</v>
      </c>
      <c r="F180" s="9"/>
      <c r="G180" s="9"/>
      <c r="H180" s="11" t="s">
        <v>1028</v>
      </c>
      <c r="I180" s="9" t="s">
        <v>1045</v>
      </c>
      <c r="J180" s="13" t="n">
        <v>46230</v>
      </c>
      <c r="K180" s="9"/>
      <c r="L180" s="9" t="s">
        <v>1046</v>
      </c>
      <c r="M180" s="9" t="s">
        <v>1047</v>
      </c>
      <c r="N180" s="9" t="s">
        <v>1045</v>
      </c>
      <c r="O180" s="9" t="s">
        <v>82</v>
      </c>
      <c r="P180" s="9" t="s">
        <v>83</v>
      </c>
      <c r="Q180" s="9" t="s">
        <v>1048</v>
      </c>
      <c r="R180" s="9" t="s">
        <v>151</v>
      </c>
      <c r="S180" s="11" t="s">
        <v>86</v>
      </c>
      <c r="T180" s="9" t="s">
        <v>1048</v>
      </c>
      <c r="U180" s="11" t="s">
        <v>152</v>
      </c>
      <c r="V180" s="11" t="s">
        <v>88</v>
      </c>
      <c r="W180" s="11" t="s">
        <v>1049</v>
      </c>
      <c r="X180" s="9" t="n">
        <f aca="false">IF(AND(COUNT($E180:$G180)=0,LEFT($H180,2)&lt;&gt;"定性",LEFT($H180,2)&lt;&gt;"文字",LEFT($H180,2)&lt;&gt;"日期"),1,0)</f>
        <v>0</v>
      </c>
      <c r="Y180" s="9" t="n">
        <f aca="false">IF(OR($L180="",$M180=""),1,0)</f>
        <v>0</v>
      </c>
      <c r="Z180" s="9" t="n">
        <f aca="false">IF(AND(ISNUMBER($E180),ISNUMBER($F180)),IF($F180&gt;$E180,1,0),0)+IF(AND(ISNUMBER($E180),ISNUMBER($G180)),IF($E180&gt;$G180,1,0),0)+IF(AND(ISNUMBER($F180),ISNUMBER($G180)),IF($F180&gt;$G180,1,0),0)</f>
        <v>0</v>
      </c>
      <c r="AA180" s="9" t="n">
        <f aca="false">IF(AND($P180="Derived",$V180="觀測"),1,0)</f>
        <v>0</v>
      </c>
      <c r="AB180" s="12" t="s">
        <v>90</v>
      </c>
    </row>
    <row r="181" customFormat="false" ht="15" hidden="false" customHeight="false" outlineLevel="0" collapsed="false">
      <c r="A181" s="9" t="s">
        <v>1050</v>
      </c>
      <c r="B181" s="9" t="s">
        <v>1051</v>
      </c>
      <c r="C181" s="9" t="s">
        <v>958</v>
      </c>
      <c r="D181" s="11" t="s">
        <v>1052</v>
      </c>
      <c r="E181" s="10" t="n">
        <v>30000</v>
      </c>
      <c r="F181" s="9"/>
      <c r="G181" s="9"/>
      <c r="H181" s="11" t="s">
        <v>1028</v>
      </c>
      <c r="I181" s="9" t="s">
        <v>1053</v>
      </c>
      <c r="J181" s="13" t="n">
        <v>46000</v>
      </c>
      <c r="K181" s="9"/>
      <c r="L181" s="9" t="s">
        <v>1054</v>
      </c>
      <c r="M181" s="9" t="s">
        <v>1055</v>
      </c>
      <c r="N181" s="9" t="s">
        <v>1053</v>
      </c>
      <c r="O181" s="9" t="s">
        <v>82</v>
      </c>
      <c r="P181" s="9" t="s">
        <v>83</v>
      </c>
      <c r="Q181" s="9" t="s">
        <v>1056</v>
      </c>
      <c r="R181" s="9" t="s">
        <v>151</v>
      </c>
      <c r="S181" s="11" t="s">
        <v>86</v>
      </c>
      <c r="T181" s="9" t="s">
        <v>1056</v>
      </c>
      <c r="U181" s="11" t="s">
        <v>152</v>
      </c>
      <c r="V181" s="11" t="s">
        <v>88</v>
      </c>
      <c r="W181" s="11" t="s">
        <v>1057</v>
      </c>
      <c r="X181" s="9" t="n">
        <f aca="false">IF(AND(COUNT($E181:$G181)=0,LEFT($H181,2)&lt;&gt;"定性",LEFT($H181,2)&lt;&gt;"文字",LEFT($H181,2)&lt;&gt;"日期"),1,0)</f>
        <v>0</v>
      </c>
      <c r="Y181" s="9" t="n">
        <f aca="false">IF(OR($L181="",$M181=""),1,0)</f>
        <v>0</v>
      </c>
      <c r="Z181" s="9" t="n">
        <f aca="false">IF(AND(ISNUMBER($E181),ISNUMBER($F181)),IF($F181&gt;$E181,1,0),0)+IF(AND(ISNUMBER($E181),ISNUMBER($G181)),IF($E181&gt;$G181,1,0),0)+IF(AND(ISNUMBER($F181),ISNUMBER($G181)),IF($F181&gt;$G181,1,0),0)</f>
        <v>0</v>
      </c>
      <c r="AA181" s="9" t="n">
        <f aca="false">IF(AND($P181="Derived",$V181="觀測"),1,0)</f>
        <v>0</v>
      </c>
      <c r="AB181" s="12" t="s">
        <v>90</v>
      </c>
    </row>
    <row r="182" customFormat="false" ht="15" hidden="false" customHeight="false" outlineLevel="0" collapsed="false">
      <c r="A182" s="9" t="s">
        <v>1058</v>
      </c>
      <c r="B182" s="9" t="s">
        <v>1059</v>
      </c>
      <c r="C182" s="9" t="s">
        <v>958</v>
      </c>
      <c r="D182" s="11" t="s">
        <v>1060</v>
      </c>
      <c r="E182" s="10" t="n">
        <v>50000</v>
      </c>
      <c r="F182" s="9"/>
      <c r="G182" s="9"/>
      <c r="H182" s="11" t="s">
        <v>1028</v>
      </c>
      <c r="I182" s="9" t="s">
        <v>1061</v>
      </c>
      <c r="J182" s="13" t="n">
        <v>46184</v>
      </c>
      <c r="K182" s="9"/>
      <c r="L182" s="9" t="s">
        <v>1062</v>
      </c>
      <c r="M182" s="9" t="s">
        <v>1063</v>
      </c>
      <c r="N182" s="9" t="s">
        <v>1061</v>
      </c>
      <c r="O182" s="9" t="s">
        <v>82</v>
      </c>
      <c r="P182" s="9" t="s">
        <v>83</v>
      </c>
      <c r="Q182" s="9" t="s">
        <v>1064</v>
      </c>
      <c r="R182" s="11" t="s">
        <v>103</v>
      </c>
      <c r="S182" s="11" t="s">
        <v>86</v>
      </c>
      <c r="T182" s="9" t="s">
        <v>1064</v>
      </c>
      <c r="U182" s="11" t="s">
        <v>103</v>
      </c>
      <c r="V182" s="11" t="s">
        <v>88</v>
      </c>
      <c r="W182" s="11" t="s">
        <v>1065</v>
      </c>
      <c r="X182" s="9" t="n">
        <f aca="false">IF(AND(COUNT($E182:$G182)=0,LEFT($H182,2)&lt;&gt;"定性",LEFT($H182,2)&lt;&gt;"文字",LEFT($H182,2)&lt;&gt;"日期"),1,0)</f>
        <v>0</v>
      </c>
      <c r="Y182" s="9" t="n">
        <f aca="false">IF(OR($L182="",$M182=""),1,0)</f>
        <v>0</v>
      </c>
      <c r="Z182" s="9" t="n">
        <f aca="false">IF(AND(ISNUMBER($E182),ISNUMBER($F182)),IF($F182&gt;$E182,1,0),0)+IF(AND(ISNUMBER($E182),ISNUMBER($G182)),IF($E182&gt;$G182,1,0),0)+IF(AND(ISNUMBER($F182),ISNUMBER($G182)),IF($F182&gt;$G182,1,0),0)</f>
        <v>0</v>
      </c>
      <c r="AA182" s="9" t="n">
        <f aca="false">IF(AND($P182="Derived",$V182="觀測"),1,0)</f>
        <v>0</v>
      </c>
      <c r="AB182" s="12" t="s">
        <v>90</v>
      </c>
    </row>
    <row r="183" customFormat="false" ht="15" hidden="false" customHeight="false" outlineLevel="0" collapsed="false">
      <c r="A183" s="9" t="s">
        <v>1066</v>
      </c>
      <c r="B183" s="9" t="s">
        <v>1067</v>
      </c>
      <c r="C183" s="9" t="s">
        <v>958</v>
      </c>
      <c r="D183" s="11" t="s">
        <v>1068</v>
      </c>
      <c r="E183" s="10" t="n">
        <v>57000</v>
      </c>
      <c r="F183" s="9"/>
      <c r="G183" s="9"/>
      <c r="H183" s="11" t="s">
        <v>1028</v>
      </c>
      <c r="I183" s="9" t="s">
        <v>229</v>
      </c>
      <c r="J183" s="9"/>
      <c r="K183" s="9"/>
      <c r="L183" s="9" t="s">
        <v>1069</v>
      </c>
      <c r="M183" s="9" t="s">
        <v>1070</v>
      </c>
      <c r="N183" s="9" t="s">
        <v>315</v>
      </c>
      <c r="O183" s="9" t="s">
        <v>82</v>
      </c>
      <c r="P183" s="9" t="s">
        <v>83</v>
      </c>
      <c r="Q183" s="9" t="s">
        <v>1071</v>
      </c>
      <c r="R183" s="11" t="s">
        <v>103</v>
      </c>
      <c r="S183" s="11" t="s">
        <v>86</v>
      </c>
      <c r="T183" s="9" t="s">
        <v>1071</v>
      </c>
      <c r="U183" s="11" t="s">
        <v>103</v>
      </c>
      <c r="V183" s="11" t="s">
        <v>88</v>
      </c>
      <c r="W183" s="11" t="s">
        <v>1072</v>
      </c>
      <c r="X183" s="9" t="n">
        <f aca="false">IF(AND(COUNT($E183:$G183)=0,LEFT($H183,2)&lt;&gt;"定性",LEFT($H183,2)&lt;&gt;"文字",LEFT($H183,2)&lt;&gt;"日期"),1,0)</f>
        <v>0</v>
      </c>
      <c r="Y183" s="9" t="n">
        <f aca="false">IF(OR($L183="",$M183=""),1,0)</f>
        <v>0</v>
      </c>
      <c r="Z183" s="9" t="n">
        <f aca="false">IF(AND(ISNUMBER($E183),ISNUMBER($F183)),IF($F183&gt;$E183,1,0),0)+IF(AND(ISNUMBER($E183),ISNUMBER($G183)),IF($E183&gt;$G183,1,0),0)+IF(AND(ISNUMBER($F183),ISNUMBER($G183)),IF($F183&gt;$G183,1,0),0)</f>
        <v>0</v>
      </c>
      <c r="AA183" s="9" t="n">
        <f aca="false">IF(AND($P183="Derived",$V183="觀測"),1,0)</f>
        <v>0</v>
      </c>
      <c r="AB183" s="12" t="s">
        <v>90</v>
      </c>
    </row>
    <row r="184" customFormat="false" ht="15" hidden="false" customHeight="false" outlineLevel="0" collapsed="false">
      <c r="A184" s="9" t="s">
        <v>1073</v>
      </c>
      <c r="B184" s="9" t="s">
        <v>1074</v>
      </c>
      <c r="C184" s="9" t="s">
        <v>958</v>
      </c>
      <c r="D184" s="11" t="s">
        <v>1075</v>
      </c>
      <c r="E184" s="10" t="n">
        <v>16000</v>
      </c>
      <c r="F184" s="9"/>
      <c r="G184" s="9"/>
      <c r="H184" s="11" t="s">
        <v>1028</v>
      </c>
      <c r="I184" s="9" t="s">
        <v>1076</v>
      </c>
      <c r="J184" s="13" t="n">
        <v>46296</v>
      </c>
      <c r="K184" s="9"/>
      <c r="L184" s="9" t="s">
        <v>1077</v>
      </c>
      <c r="M184" s="9" t="s">
        <v>1078</v>
      </c>
      <c r="N184" s="9" t="s">
        <v>1076</v>
      </c>
      <c r="O184" s="9" t="s">
        <v>82</v>
      </c>
      <c r="P184" s="9" t="s">
        <v>83</v>
      </c>
      <c r="Q184" s="9" t="s">
        <v>1079</v>
      </c>
      <c r="R184" s="9" t="s">
        <v>151</v>
      </c>
      <c r="S184" s="11" t="s">
        <v>86</v>
      </c>
      <c r="T184" s="9" t="s">
        <v>1079</v>
      </c>
      <c r="U184" s="11" t="s">
        <v>152</v>
      </c>
      <c r="V184" s="11" t="s">
        <v>88</v>
      </c>
      <c r="W184" s="11" t="s">
        <v>1080</v>
      </c>
      <c r="X184" s="9" t="n">
        <f aca="false">IF(AND(COUNT($E184:$G184)=0,LEFT($H184,2)&lt;&gt;"定性",LEFT($H184,2)&lt;&gt;"文字",LEFT($H184,2)&lt;&gt;"日期"),1,0)</f>
        <v>0</v>
      </c>
      <c r="Y184" s="9" t="n">
        <f aca="false">IF(OR($L184="",$M184=""),1,0)</f>
        <v>0</v>
      </c>
      <c r="Z184" s="9" t="n">
        <f aca="false">IF(AND(ISNUMBER($E184),ISNUMBER($F184)),IF($F184&gt;$E184,1,0),0)+IF(AND(ISNUMBER($E184),ISNUMBER($G184)),IF($E184&gt;$G184,1,0),0)+IF(AND(ISNUMBER($F184),ISNUMBER($G184)),IF($F184&gt;$G184,1,0),0)</f>
        <v>0</v>
      </c>
      <c r="AA184" s="9" t="n">
        <f aca="false">IF(AND($P184="Derived",$V184="觀測"),1,0)</f>
        <v>0</v>
      </c>
      <c r="AB184" s="12" t="s">
        <v>90</v>
      </c>
    </row>
    <row r="185" customFormat="false" ht="15" hidden="false" customHeight="false" outlineLevel="0" collapsed="false">
      <c r="A185" s="9" t="s">
        <v>1081</v>
      </c>
      <c r="B185" s="9" t="s">
        <v>1082</v>
      </c>
      <c r="C185" s="9" t="s">
        <v>958</v>
      </c>
      <c r="D185" s="9" t="s">
        <v>1083</v>
      </c>
      <c r="E185" s="10" t="n">
        <v>0.025</v>
      </c>
      <c r="F185" s="10" t="n">
        <v>0.02</v>
      </c>
      <c r="G185" s="10" t="n">
        <v>0.04</v>
      </c>
      <c r="H185" s="11" t="s">
        <v>269</v>
      </c>
      <c r="I185" s="9" t="s">
        <v>1084</v>
      </c>
      <c r="J185" s="9"/>
      <c r="K185" s="9"/>
      <c r="L185" s="9" t="s">
        <v>1085</v>
      </c>
      <c r="M185" s="9" t="s">
        <v>1086</v>
      </c>
      <c r="N185" s="9" t="s">
        <v>82</v>
      </c>
      <c r="O185" s="9" t="s">
        <v>82</v>
      </c>
      <c r="P185" s="9" t="s">
        <v>299</v>
      </c>
      <c r="Q185" s="9"/>
      <c r="R185" s="11" t="s">
        <v>103</v>
      </c>
      <c r="S185" s="11" t="s">
        <v>300</v>
      </c>
      <c r="T185" s="11" t="s">
        <v>301</v>
      </c>
      <c r="U185" s="11" t="s">
        <v>103</v>
      </c>
      <c r="V185" s="11" t="s">
        <v>88</v>
      </c>
      <c r="W185" s="11" t="s">
        <v>1087</v>
      </c>
      <c r="X185" s="9" t="n">
        <f aca="false">IF(AND(COUNT($E185:$G185)=0,LEFT($H185,2)&lt;&gt;"定性",LEFT($H185,2)&lt;&gt;"文字",LEFT($H185,2)&lt;&gt;"日期"),1,0)</f>
        <v>0</v>
      </c>
      <c r="Y185" s="9" t="n">
        <f aca="false">IF(OR($L185="",$M185=""),1,0)</f>
        <v>0</v>
      </c>
      <c r="Z185" s="9" t="n">
        <f aca="false">IF(AND(ISNUMBER($E185),ISNUMBER($F185)),IF($F185&gt;$E185,1,0),0)+IF(AND(ISNUMBER($E185),ISNUMBER($G185)),IF($E185&gt;$G185,1,0),0)+IF(AND(ISNUMBER($F185),ISNUMBER($G185)),IF($F185&gt;$G185,1,0),0)</f>
        <v>0</v>
      </c>
      <c r="AA185" s="9" t="n">
        <f aca="false">IF(AND($P185="Derived",$V185="觀測"),1,0)</f>
        <v>0</v>
      </c>
      <c r="AB185" s="12" t="s">
        <v>90</v>
      </c>
    </row>
    <row r="186" customFormat="false" ht="15" hidden="false" customHeight="false" outlineLevel="0" collapsed="false">
      <c r="A186" s="9" t="s">
        <v>1088</v>
      </c>
      <c r="B186" s="9" t="s">
        <v>1089</v>
      </c>
      <c r="C186" s="9" t="s">
        <v>958</v>
      </c>
      <c r="D186" s="11" t="s">
        <v>1090</v>
      </c>
      <c r="E186" s="10" t="n">
        <v>0.32</v>
      </c>
      <c r="F186" s="10" t="n">
        <v>0.25</v>
      </c>
      <c r="G186" s="10" t="n">
        <v>0.4</v>
      </c>
      <c r="H186" s="11" t="s">
        <v>269</v>
      </c>
      <c r="I186" s="9" t="s">
        <v>185</v>
      </c>
      <c r="J186" s="9"/>
      <c r="K186" s="9"/>
      <c r="L186" s="9" t="s">
        <v>1091</v>
      </c>
      <c r="M186" s="9" t="s">
        <v>343</v>
      </c>
      <c r="N186" s="9" t="s">
        <v>344</v>
      </c>
      <c r="O186" s="9" t="s">
        <v>82</v>
      </c>
      <c r="P186" s="9" t="s">
        <v>299</v>
      </c>
      <c r="Q186" s="9"/>
      <c r="R186" s="9" t="s">
        <v>85</v>
      </c>
      <c r="S186" s="11" t="s">
        <v>300</v>
      </c>
      <c r="T186" s="11" t="s">
        <v>301</v>
      </c>
      <c r="U186" s="11" t="s">
        <v>87</v>
      </c>
      <c r="V186" s="11" t="s">
        <v>88</v>
      </c>
      <c r="W186" s="11" t="s">
        <v>1092</v>
      </c>
      <c r="X186" s="9" t="n">
        <f aca="false">IF(AND(COUNT($E186:$G186)=0,LEFT($H186,2)&lt;&gt;"定性",LEFT($H186,2)&lt;&gt;"文字",LEFT($H186,2)&lt;&gt;"日期"),1,0)</f>
        <v>0</v>
      </c>
      <c r="Y186" s="9" t="n">
        <f aca="false">IF(OR($L186="",$M186=""),1,0)</f>
        <v>0</v>
      </c>
      <c r="Z186" s="9" t="n">
        <f aca="false">IF(AND(ISNUMBER($E186),ISNUMBER($F186)),IF($F186&gt;$E186,1,0),0)+IF(AND(ISNUMBER($E186),ISNUMBER($G186)),IF($E186&gt;$G186,1,0),0)+IF(AND(ISNUMBER($F186),ISNUMBER($G186)),IF($F186&gt;$G186,1,0),0)</f>
        <v>0</v>
      </c>
      <c r="AA186" s="9" t="n">
        <f aca="false">IF(AND($P186="Derived",$V186="觀測"),1,0)</f>
        <v>0</v>
      </c>
      <c r="AB186" s="12" t="s">
        <v>90</v>
      </c>
    </row>
    <row r="187" customFormat="false" ht="15" hidden="false" customHeight="false" outlineLevel="0" collapsed="false">
      <c r="A187" s="9" t="s">
        <v>1093</v>
      </c>
      <c r="B187" s="9" t="s">
        <v>1094</v>
      </c>
      <c r="C187" s="9" t="s">
        <v>1095</v>
      </c>
      <c r="D187" s="9" t="s">
        <v>1096</v>
      </c>
      <c r="E187" s="10" t="n">
        <v>1000000</v>
      </c>
      <c r="F187" s="9"/>
      <c r="G187" s="9"/>
      <c r="H187" s="11" t="s">
        <v>1097</v>
      </c>
      <c r="I187" s="9" t="s">
        <v>1098</v>
      </c>
      <c r="J187" s="9"/>
      <c r="K187" s="9"/>
      <c r="L187" s="9" t="s">
        <v>1099</v>
      </c>
      <c r="M187" s="9" t="s">
        <v>1100</v>
      </c>
      <c r="N187" s="9" t="s">
        <v>1101</v>
      </c>
      <c r="O187" s="9" t="s">
        <v>82</v>
      </c>
      <c r="P187" s="9" t="s">
        <v>83</v>
      </c>
      <c r="Q187" s="9" t="s">
        <v>208</v>
      </c>
      <c r="R187" s="9" t="s">
        <v>151</v>
      </c>
      <c r="S187" s="11" t="s">
        <v>86</v>
      </c>
      <c r="T187" s="9" t="s">
        <v>208</v>
      </c>
      <c r="U187" s="11" t="s">
        <v>152</v>
      </c>
      <c r="V187" s="11" t="s">
        <v>88</v>
      </c>
      <c r="W187" s="11" t="s">
        <v>1102</v>
      </c>
      <c r="X187" s="9" t="n">
        <f aca="false">IF(AND(COUNT($E187:$G187)=0,LEFT($H187,2)&lt;&gt;"定性",LEFT($H187,2)&lt;&gt;"文字",LEFT($H187,2)&lt;&gt;"日期"),1,0)</f>
        <v>0</v>
      </c>
      <c r="Y187" s="9" t="n">
        <f aca="false">IF(OR($L187="",$M187=""),1,0)</f>
        <v>0</v>
      </c>
      <c r="Z187" s="9" t="n">
        <f aca="false">IF(AND(ISNUMBER($E187),ISNUMBER($F187)),IF($F187&gt;$E187,1,0),0)+IF(AND(ISNUMBER($E187),ISNUMBER($G187)),IF($E187&gt;$G187,1,0),0)+IF(AND(ISNUMBER($F187),ISNUMBER($G187)),IF($F187&gt;$G187,1,0),0)</f>
        <v>0</v>
      </c>
      <c r="AA187" s="9" t="n">
        <f aca="false">IF(AND($P187="Derived",$V187="觀測"),1,0)</f>
        <v>0</v>
      </c>
      <c r="AB187" s="12" t="s">
        <v>90</v>
      </c>
    </row>
    <row r="188" customFormat="false" ht="15" hidden="false" customHeight="false" outlineLevel="0" collapsed="false">
      <c r="A188" s="9" t="s">
        <v>1103</v>
      </c>
      <c r="B188" s="9" t="s">
        <v>1104</v>
      </c>
      <c r="C188" s="9" t="s">
        <v>1095</v>
      </c>
      <c r="D188" s="9" t="s">
        <v>1105</v>
      </c>
      <c r="E188" s="9"/>
      <c r="F188" s="10" t="n">
        <v>1</v>
      </c>
      <c r="G188" s="9"/>
      <c r="H188" s="9" t="s">
        <v>1106</v>
      </c>
      <c r="I188" s="9" t="s">
        <v>306</v>
      </c>
      <c r="J188" s="9"/>
      <c r="K188" s="11" t="s">
        <v>146</v>
      </c>
      <c r="L188" s="9" t="s">
        <v>1099</v>
      </c>
      <c r="M188" s="9" t="s">
        <v>1100</v>
      </c>
      <c r="N188" s="9" t="s">
        <v>1101</v>
      </c>
      <c r="O188" s="9" t="s">
        <v>82</v>
      </c>
      <c r="P188" s="9" t="s">
        <v>83</v>
      </c>
      <c r="Q188" s="9" t="s">
        <v>208</v>
      </c>
      <c r="R188" s="9" t="s">
        <v>151</v>
      </c>
      <c r="S188" s="11" t="s">
        <v>86</v>
      </c>
      <c r="T188" s="9" t="s">
        <v>208</v>
      </c>
      <c r="U188" s="11" t="s">
        <v>152</v>
      </c>
      <c r="V188" s="11" t="s">
        <v>88</v>
      </c>
      <c r="W188" s="11" t="s">
        <v>1107</v>
      </c>
      <c r="X188" s="9" t="n">
        <f aca="false">IF(AND(COUNT($E188:$G188)=0,LEFT($H188,2)&lt;&gt;"定性",LEFT($H188,2)&lt;&gt;"文字",LEFT($H188,2)&lt;&gt;"日期"),1,0)</f>
        <v>0</v>
      </c>
      <c r="Y188" s="9" t="n">
        <f aca="false">IF(OR($L188="",$M188=""),1,0)</f>
        <v>0</v>
      </c>
      <c r="Z188" s="9" t="n">
        <f aca="false">IF(AND(ISNUMBER($E188),ISNUMBER($F188)),IF($F188&gt;$E188,1,0),0)+IF(AND(ISNUMBER($E188),ISNUMBER($G188)),IF($E188&gt;$G188,1,0),0)+IF(AND(ISNUMBER($F188),ISNUMBER($G188)),IF($F188&gt;$G188,1,0),0)</f>
        <v>0</v>
      </c>
      <c r="AA188" s="9" t="n">
        <f aca="false">IF(AND($P188="Derived",$V188="觀測"),1,0)</f>
        <v>0</v>
      </c>
      <c r="AB188" s="12" t="s">
        <v>90</v>
      </c>
    </row>
    <row r="189" customFormat="false" ht="15" hidden="false" customHeight="false" outlineLevel="0" collapsed="false">
      <c r="A189" s="9" t="s">
        <v>1108</v>
      </c>
      <c r="B189" s="9" t="s">
        <v>1109</v>
      </c>
      <c r="C189" s="9" t="s">
        <v>1095</v>
      </c>
      <c r="D189" s="9" t="s">
        <v>1110</v>
      </c>
      <c r="E189" s="9"/>
      <c r="F189" s="10" t="n">
        <v>10</v>
      </c>
      <c r="G189" s="9"/>
      <c r="H189" s="9" t="s">
        <v>1111</v>
      </c>
      <c r="I189" s="9" t="s">
        <v>1098</v>
      </c>
      <c r="J189" s="9"/>
      <c r="K189" s="11" t="s">
        <v>78</v>
      </c>
      <c r="L189" s="9" t="s">
        <v>1099</v>
      </c>
      <c r="M189" s="9" t="s">
        <v>1100</v>
      </c>
      <c r="N189" s="9" t="s">
        <v>1101</v>
      </c>
      <c r="O189" s="9" t="s">
        <v>82</v>
      </c>
      <c r="P189" s="9" t="s">
        <v>83</v>
      </c>
      <c r="Q189" s="9" t="s">
        <v>208</v>
      </c>
      <c r="R189" s="9" t="s">
        <v>151</v>
      </c>
      <c r="S189" s="11" t="s">
        <v>86</v>
      </c>
      <c r="T189" s="9" t="s">
        <v>208</v>
      </c>
      <c r="U189" s="11" t="s">
        <v>152</v>
      </c>
      <c r="V189" s="11" t="s">
        <v>88</v>
      </c>
      <c r="W189" s="11" t="s">
        <v>1112</v>
      </c>
      <c r="X189" s="9" t="n">
        <f aca="false">IF(AND(COUNT($E189:$G189)=0,LEFT($H189,2)&lt;&gt;"定性",LEFT($H189,2)&lt;&gt;"文字",LEFT($H189,2)&lt;&gt;"日期"),1,0)</f>
        <v>0</v>
      </c>
      <c r="Y189" s="9" t="n">
        <f aca="false">IF(OR($L189="",$M189=""),1,0)</f>
        <v>0</v>
      </c>
      <c r="Z189" s="9" t="n">
        <f aca="false">IF(AND(ISNUMBER($E189),ISNUMBER($F189)),IF($F189&gt;$E189,1,0),0)+IF(AND(ISNUMBER($E189),ISNUMBER($G189)),IF($E189&gt;$G189,1,0),0)+IF(AND(ISNUMBER($F189),ISNUMBER($G189)),IF($F189&gt;$G189,1,0),0)</f>
        <v>0</v>
      </c>
      <c r="AA189" s="9" t="n">
        <f aca="false">IF(AND($P189="Derived",$V189="觀測"),1,0)</f>
        <v>0</v>
      </c>
      <c r="AB189" s="12" t="s">
        <v>90</v>
      </c>
    </row>
    <row r="190" customFormat="false" ht="15" hidden="false" customHeight="false" outlineLevel="0" collapsed="false">
      <c r="A190" s="9" t="s">
        <v>1113</v>
      </c>
      <c r="B190" s="9" t="s">
        <v>1114</v>
      </c>
      <c r="C190" s="9" t="s">
        <v>1095</v>
      </c>
      <c r="D190" s="11" t="s">
        <v>1115</v>
      </c>
      <c r="E190" s="9"/>
      <c r="F190" s="9"/>
      <c r="G190" s="9"/>
      <c r="H190" s="11" t="s">
        <v>281</v>
      </c>
      <c r="I190" s="9" t="s">
        <v>196</v>
      </c>
      <c r="J190" s="9"/>
      <c r="K190" s="9"/>
      <c r="L190" s="9" t="s">
        <v>1099</v>
      </c>
      <c r="M190" s="9" t="s">
        <v>1100</v>
      </c>
      <c r="N190" s="9" t="s">
        <v>1101</v>
      </c>
      <c r="O190" s="9" t="s">
        <v>82</v>
      </c>
      <c r="P190" s="9" t="s">
        <v>83</v>
      </c>
      <c r="Q190" s="9" t="s">
        <v>1116</v>
      </c>
      <c r="R190" s="9" t="s">
        <v>151</v>
      </c>
      <c r="S190" s="11" t="s">
        <v>86</v>
      </c>
      <c r="T190" s="9" t="s">
        <v>1116</v>
      </c>
      <c r="U190" s="11" t="s">
        <v>152</v>
      </c>
      <c r="V190" s="11" t="s">
        <v>88</v>
      </c>
      <c r="W190" s="11" t="s">
        <v>1117</v>
      </c>
      <c r="X190" s="9" t="n">
        <f aca="false">IF(AND(COUNT($E190:$G190)=0,LEFT($H190,2)&lt;&gt;"定性",LEFT($H190,2)&lt;&gt;"文字",LEFT($H190,2)&lt;&gt;"日期"),1,0)</f>
        <v>0</v>
      </c>
      <c r="Y190" s="9" t="n">
        <f aca="false">IF(OR($L190="",$M190=""),1,0)</f>
        <v>0</v>
      </c>
      <c r="Z190" s="9" t="n">
        <f aca="false">IF(AND(ISNUMBER($E190),ISNUMBER($F190)),IF($F190&gt;$E190,1,0),0)+IF(AND(ISNUMBER($E190),ISNUMBER($G190)),IF($E190&gt;$G190,1,0),0)+IF(AND(ISNUMBER($F190),ISNUMBER($G190)),IF($F190&gt;$G190,1,0),0)</f>
        <v>0</v>
      </c>
      <c r="AA190" s="9" t="n">
        <f aca="false">IF(AND($P190="Derived",$V190="觀測"),1,0)</f>
        <v>0</v>
      </c>
      <c r="AB190" s="12" t="s">
        <v>90</v>
      </c>
    </row>
    <row r="191" customFormat="false" ht="15" hidden="false" customHeight="false" outlineLevel="0" collapsed="false">
      <c r="A191" s="9" t="s">
        <v>1118</v>
      </c>
      <c r="B191" s="9" t="s">
        <v>1119</v>
      </c>
      <c r="C191" s="9" t="s">
        <v>1095</v>
      </c>
      <c r="D191" s="9" t="s">
        <v>1120</v>
      </c>
      <c r="E191" s="9"/>
      <c r="F191" s="10" t="n">
        <v>2</v>
      </c>
      <c r="G191" s="9"/>
      <c r="H191" s="9" t="s">
        <v>1106</v>
      </c>
      <c r="I191" s="9" t="s">
        <v>1121</v>
      </c>
      <c r="J191" s="9"/>
      <c r="K191" s="11" t="s">
        <v>146</v>
      </c>
      <c r="L191" s="9" t="s">
        <v>1122</v>
      </c>
      <c r="M191" s="9" t="s">
        <v>206</v>
      </c>
      <c r="N191" s="9" t="s">
        <v>207</v>
      </c>
      <c r="O191" s="9" t="s">
        <v>82</v>
      </c>
      <c r="P191" s="9" t="s">
        <v>83</v>
      </c>
      <c r="Q191" s="9" t="s">
        <v>208</v>
      </c>
      <c r="R191" s="9" t="s">
        <v>151</v>
      </c>
      <c r="S191" s="11" t="s">
        <v>86</v>
      </c>
      <c r="T191" s="9" t="s">
        <v>208</v>
      </c>
      <c r="U191" s="11" t="s">
        <v>152</v>
      </c>
      <c r="V191" s="11" t="s">
        <v>88</v>
      </c>
      <c r="W191" s="11" t="s">
        <v>1123</v>
      </c>
      <c r="X191" s="9" t="n">
        <f aca="false">IF(AND(COUNT($E191:$G191)=0,LEFT($H191,2)&lt;&gt;"定性",LEFT($H191,2)&lt;&gt;"文字",LEFT($H191,2)&lt;&gt;"日期"),1,0)</f>
        <v>0</v>
      </c>
      <c r="Y191" s="9" t="n">
        <f aca="false">IF(OR($L191="",$M191=""),1,0)</f>
        <v>0</v>
      </c>
      <c r="Z191" s="9" t="n">
        <f aca="false">IF(AND(ISNUMBER($E191),ISNUMBER($F191)),IF($F191&gt;$E191,1,0),0)+IF(AND(ISNUMBER($E191),ISNUMBER($G191)),IF($E191&gt;$G191,1,0),0)+IF(AND(ISNUMBER($F191),ISNUMBER($G191)),IF($F191&gt;$G191,1,0),0)</f>
        <v>0</v>
      </c>
      <c r="AA191" s="9" t="n">
        <f aca="false">IF(AND($P191="Derived",$V191="觀測"),1,0)</f>
        <v>0</v>
      </c>
      <c r="AB191" s="12" t="s">
        <v>90</v>
      </c>
    </row>
    <row r="192" customFormat="false" ht="15" hidden="false" customHeight="false" outlineLevel="0" collapsed="false">
      <c r="A192" s="9" t="s">
        <v>1124</v>
      </c>
      <c r="B192" s="9" t="s">
        <v>1125</v>
      </c>
      <c r="C192" s="9" t="s">
        <v>1095</v>
      </c>
      <c r="D192" s="9" t="s">
        <v>1126</v>
      </c>
      <c r="E192" s="10" t="n">
        <v>3.5</v>
      </c>
      <c r="F192" s="9"/>
      <c r="G192" s="9"/>
      <c r="H192" s="9" t="s">
        <v>1106</v>
      </c>
      <c r="I192" s="9" t="s">
        <v>1121</v>
      </c>
      <c r="J192" s="9"/>
      <c r="K192" s="11" t="s">
        <v>146</v>
      </c>
      <c r="L192" s="9" t="s">
        <v>1127</v>
      </c>
      <c r="M192" s="9" t="s">
        <v>1128</v>
      </c>
      <c r="N192" s="9" t="s">
        <v>207</v>
      </c>
      <c r="O192" s="9" t="s">
        <v>82</v>
      </c>
      <c r="P192" s="9" t="s">
        <v>1129</v>
      </c>
      <c r="Q192" s="9"/>
      <c r="R192" s="9" t="s">
        <v>85</v>
      </c>
      <c r="S192" s="11" t="s">
        <v>1130</v>
      </c>
      <c r="T192" s="11" t="s">
        <v>1131</v>
      </c>
      <c r="U192" s="11" t="s">
        <v>1132</v>
      </c>
      <c r="V192" s="11" t="s">
        <v>88</v>
      </c>
      <c r="W192" s="11" t="s">
        <v>1133</v>
      </c>
      <c r="X192" s="9" t="n">
        <f aca="false">IF(AND(COUNT($E192:$G192)=0,LEFT($H192,2)&lt;&gt;"定性",LEFT($H192,2)&lt;&gt;"文字",LEFT($H192,2)&lt;&gt;"日期"),1,0)</f>
        <v>0</v>
      </c>
      <c r="Y192" s="9" t="n">
        <f aca="false">IF(OR($L192="",$M192=""),1,0)</f>
        <v>0</v>
      </c>
      <c r="Z192" s="9" t="n">
        <f aca="false">IF(AND(ISNUMBER($E192),ISNUMBER($F192)),IF($F192&gt;$E192,1,0),0)+IF(AND(ISNUMBER($E192),ISNUMBER($G192)),IF($E192&gt;$G192,1,0),0)+IF(AND(ISNUMBER($F192),ISNUMBER($G192)),IF($F192&gt;$G192,1,0),0)</f>
        <v>0</v>
      </c>
      <c r="AA192" s="9" t="n">
        <f aca="false">IF(AND($P192="Derived",$V192="觀測"),1,0)</f>
        <v>0</v>
      </c>
      <c r="AB192" s="12" t="s">
        <v>90</v>
      </c>
    </row>
    <row r="193" customFormat="false" ht="15" hidden="false" customHeight="false" outlineLevel="0" collapsed="false">
      <c r="A193" s="9" t="s">
        <v>1134</v>
      </c>
      <c r="B193" s="9" t="s">
        <v>1135</v>
      </c>
      <c r="C193" s="9" t="s">
        <v>1095</v>
      </c>
      <c r="D193" s="9" t="s">
        <v>1136</v>
      </c>
      <c r="E193" s="10" t="n">
        <v>5</v>
      </c>
      <c r="F193" s="9"/>
      <c r="G193" s="9"/>
      <c r="H193" s="9" t="s">
        <v>1106</v>
      </c>
      <c r="I193" s="9" t="s">
        <v>1121</v>
      </c>
      <c r="J193" s="9"/>
      <c r="K193" s="11" t="s">
        <v>146</v>
      </c>
      <c r="L193" s="9" t="s">
        <v>1137</v>
      </c>
      <c r="M193" s="9" t="s">
        <v>1138</v>
      </c>
      <c r="N193" s="9" t="s">
        <v>931</v>
      </c>
      <c r="O193" s="9" t="s">
        <v>82</v>
      </c>
      <c r="P193" s="9" t="s">
        <v>83</v>
      </c>
      <c r="Q193" s="9" t="s">
        <v>208</v>
      </c>
      <c r="R193" s="9" t="s">
        <v>151</v>
      </c>
      <c r="S193" s="11" t="s">
        <v>86</v>
      </c>
      <c r="T193" s="9" t="s">
        <v>208</v>
      </c>
      <c r="U193" s="11" t="s">
        <v>152</v>
      </c>
      <c r="V193" s="11" t="s">
        <v>88</v>
      </c>
      <c r="W193" s="11" t="s">
        <v>1139</v>
      </c>
      <c r="X193" s="9" t="n">
        <f aca="false">IF(AND(COUNT($E193:$G193)=0,LEFT($H193,2)&lt;&gt;"定性",LEFT($H193,2)&lt;&gt;"文字",LEFT($H193,2)&lt;&gt;"日期"),1,0)</f>
        <v>0</v>
      </c>
      <c r="Y193" s="9" t="n">
        <f aca="false">IF(OR($L193="",$M193=""),1,0)</f>
        <v>0</v>
      </c>
      <c r="Z193" s="9" t="n">
        <f aca="false">IF(AND(ISNUMBER($E193),ISNUMBER($F193)),IF($F193&gt;$E193,1,0),0)+IF(AND(ISNUMBER($E193),ISNUMBER($G193)),IF($E193&gt;$G193,1,0),0)+IF(AND(ISNUMBER($F193),ISNUMBER($G193)),IF($F193&gt;$G193,1,0),0)</f>
        <v>0</v>
      </c>
      <c r="AA193" s="9" t="n">
        <f aca="false">IF(AND($P193="Derived",$V193="觀測"),1,0)</f>
        <v>0</v>
      </c>
      <c r="AB193" s="12" t="s">
        <v>90</v>
      </c>
    </row>
    <row r="194" customFormat="false" ht="15" hidden="false" customHeight="false" outlineLevel="0" collapsed="false">
      <c r="A194" s="9" t="s">
        <v>1140</v>
      </c>
      <c r="B194" s="9" t="s">
        <v>1141</v>
      </c>
      <c r="C194" s="9" t="s">
        <v>1095</v>
      </c>
      <c r="D194" s="9" t="s">
        <v>1142</v>
      </c>
      <c r="E194" s="9"/>
      <c r="F194" s="9"/>
      <c r="G194" s="9"/>
      <c r="H194" s="11" t="s">
        <v>281</v>
      </c>
      <c r="I194" s="9" t="s">
        <v>1121</v>
      </c>
      <c r="J194" s="9"/>
      <c r="K194" s="9"/>
      <c r="L194" s="9" t="s">
        <v>1143</v>
      </c>
      <c r="M194" s="9" t="s">
        <v>1144</v>
      </c>
      <c r="N194" s="9" t="s">
        <v>633</v>
      </c>
      <c r="O194" s="9" t="s">
        <v>82</v>
      </c>
      <c r="P194" s="9" t="s">
        <v>1129</v>
      </c>
      <c r="Q194" s="9"/>
      <c r="R194" s="9" t="s">
        <v>85</v>
      </c>
      <c r="S194" s="11" t="s">
        <v>1130</v>
      </c>
      <c r="T194" s="11" t="s">
        <v>1131</v>
      </c>
      <c r="U194" s="11" t="s">
        <v>1132</v>
      </c>
      <c r="V194" s="11" t="s">
        <v>88</v>
      </c>
      <c r="W194" s="9" t="s">
        <v>1145</v>
      </c>
      <c r="X194" s="9" t="n">
        <f aca="false">IF(AND(COUNT($E194:$G194)=0,LEFT($H194,2)&lt;&gt;"定性",LEFT($H194,2)&lt;&gt;"文字",LEFT($H194,2)&lt;&gt;"日期"),1,0)</f>
        <v>0</v>
      </c>
      <c r="Y194" s="9" t="n">
        <f aca="false">IF(OR($L194="",$M194=""),1,0)</f>
        <v>0</v>
      </c>
      <c r="Z194" s="9" t="n">
        <f aca="false">IF(AND(ISNUMBER($E194),ISNUMBER($F194)),IF($F194&gt;$E194,1,0),0)+IF(AND(ISNUMBER($E194),ISNUMBER($G194)),IF($E194&gt;$G194,1,0),0)+IF(AND(ISNUMBER($F194),ISNUMBER($G194)),IF($F194&gt;$G194,1,0),0)</f>
        <v>0</v>
      </c>
      <c r="AA194" s="9" t="n">
        <f aca="false">IF(AND($P194="Derived",$V194="觀測"),1,0)</f>
        <v>0</v>
      </c>
      <c r="AB194" s="12" t="s">
        <v>90</v>
      </c>
    </row>
    <row r="195" customFormat="false" ht="15" hidden="false" customHeight="false" outlineLevel="0" collapsed="false">
      <c r="A195" s="9" t="s">
        <v>1146</v>
      </c>
      <c r="B195" s="9" t="s">
        <v>1147</v>
      </c>
      <c r="C195" s="9" t="s">
        <v>1095</v>
      </c>
      <c r="D195" s="9" t="s">
        <v>1148</v>
      </c>
      <c r="E195" s="10" t="n">
        <v>2031</v>
      </c>
      <c r="F195" s="9"/>
      <c r="G195" s="9"/>
      <c r="H195" s="11" t="s">
        <v>1149</v>
      </c>
      <c r="I195" s="9" t="s">
        <v>1150</v>
      </c>
      <c r="J195" s="9"/>
      <c r="K195" s="9"/>
      <c r="L195" s="9" t="s">
        <v>1151</v>
      </c>
      <c r="M195" s="9" t="s">
        <v>1152</v>
      </c>
      <c r="N195" s="9" t="s">
        <v>633</v>
      </c>
      <c r="O195" s="9" t="s">
        <v>82</v>
      </c>
      <c r="P195" s="9" t="s">
        <v>1129</v>
      </c>
      <c r="Q195" s="9"/>
      <c r="R195" s="11" t="s">
        <v>103</v>
      </c>
      <c r="S195" s="11" t="s">
        <v>1130</v>
      </c>
      <c r="T195" s="11" t="s">
        <v>1131</v>
      </c>
      <c r="U195" s="11" t="s">
        <v>103</v>
      </c>
      <c r="V195" s="11" t="s">
        <v>88</v>
      </c>
      <c r="W195" s="9" t="s">
        <v>1153</v>
      </c>
      <c r="X195" s="9" t="n">
        <f aca="false">IF(AND(COUNT($E195:$G195)=0,LEFT($H195,2)&lt;&gt;"定性",LEFT($H195,2)&lt;&gt;"文字",LEFT($H195,2)&lt;&gt;"日期"),1,0)</f>
        <v>0</v>
      </c>
      <c r="Y195" s="9" t="n">
        <f aca="false">IF(OR($L195="",$M195=""),1,0)</f>
        <v>0</v>
      </c>
      <c r="Z195" s="9" t="n">
        <f aca="false">IF(AND(ISNUMBER($E195),ISNUMBER($F195)),IF($F195&gt;$E195,1,0),0)+IF(AND(ISNUMBER($E195),ISNUMBER($G195)),IF($E195&gt;$G195,1,0),0)+IF(AND(ISNUMBER($F195),ISNUMBER($G195)),IF($F195&gt;$G195,1,0),0)</f>
        <v>0</v>
      </c>
      <c r="AA195" s="9" t="n">
        <f aca="false">IF(AND($P195="Derived",$V195="觀測"),1,0)</f>
        <v>0</v>
      </c>
      <c r="AB195" s="12" t="s">
        <v>90</v>
      </c>
    </row>
    <row r="196" customFormat="false" ht="15" hidden="false" customHeight="false" outlineLevel="0" collapsed="false">
      <c r="A196" s="9" t="s">
        <v>1154</v>
      </c>
      <c r="B196" s="9" t="s">
        <v>1155</v>
      </c>
      <c r="C196" s="9" t="s">
        <v>1095</v>
      </c>
      <c r="D196" s="9" t="s">
        <v>1156</v>
      </c>
      <c r="E196" s="10" t="n">
        <v>1</v>
      </c>
      <c r="F196" s="9"/>
      <c r="G196" s="9"/>
      <c r="H196" s="9" t="s">
        <v>1106</v>
      </c>
      <c r="I196" s="9" t="s">
        <v>306</v>
      </c>
      <c r="J196" s="9"/>
      <c r="K196" s="11" t="s">
        <v>146</v>
      </c>
      <c r="L196" s="9" t="s">
        <v>1157</v>
      </c>
      <c r="M196" s="9" t="s">
        <v>1152</v>
      </c>
      <c r="N196" s="9" t="s">
        <v>633</v>
      </c>
      <c r="O196" s="9" t="s">
        <v>82</v>
      </c>
      <c r="P196" s="9" t="s">
        <v>83</v>
      </c>
      <c r="Q196" s="9" t="s">
        <v>1158</v>
      </c>
      <c r="R196" s="11" t="s">
        <v>103</v>
      </c>
      <c r="S196" s="11" t="s">
        <v>86</v>
      </c>
      <c r="T196" s="9" t="s">
        <v>1158</v>
      </c>
      <c r="U196" s="11" t="s">
        <v>103</v>
      </c>
      <c r="V196" s="11" t="s">
        <v>88</v>
      </c>
      <c r="W196" s="11" t="s">
        <v>1159</v>
      </c>
      <c r="X196" s="9" t="n">
        <f aca="false">IF(AND(COUNT($E196:$G196)=0,LEFT($H196,2)&lt;&gt;"定性",LEFT($H196,2)&lt;&gt;"文字",LEFT($H196,2)&lt;&gt;"日期"),1,0)</f>
        <v>0</v>
      </c>
      <c r="Y196" s="9" t="n">
        <f aca="false">IF(OR($L196="",$M196=""),1,0)</f>
        <v>0</v>
      </c>
      <c r="Z196" s="9" t="n">
        <f aca="false">IF(AND(ISNUMBER($E196),ISNUMBER($F196)),IF($F196&gt;$E196,1,0),0)+IF(AND(ISNUMBER($E196),ISNUMBER($G196)),IF($E196&gt;$G196,1,0),0)+IF(AND(ISNUMBER($F196),ISNUMBER($G196)),IF($F196&gt;$G196,1,0),0)</f>
        <v>0</v>
      </c>
      <c r="AA196" s="9" t="n">
        <f aca="false">IF(AND($P196="Derived",$V196="觀測"),1,0)</f>
        <v>0</v>
      </c>
      <c r="AB196" s="12" t="s">
        <v>90</v>
      </c>
    </row>
    <row r="197" customFormat="false" ht="15" hidden="false" customHeight="false" outlineLevel="0" collapsed="false">
      <c r="A197" s="9" t="s">
        <v>1160</v>
      </c>
      <c r="B197" s="9" t="s">
        <v>1161</v>
      </c>
      <c r="C197" s="9" t="s">
        <v>1095</v>
      </c>
      <c r="D197" s="9" t="s">
        <v>1162</v>
      </c>
      <c r="E197" s="9"/>
      <c r="F197" s="10" t="n">
        <v>21</v>
      </c>
      <c r="G197" s="10" t="n">
        <v>42</v>
      </c>
      <c r="H197" s="9" t="s">
        <v>1163</v>
      </c>
      <c r="I197" s="9" t="s">
        <v>1164</v>
      </c>
      <c r="J197" s="9"/>
      <c r="K197" s="11" t="s">
        <v>78</v>
      </c>
      <c r="L197" s="9" t="s">
        <v>1165</v>
      </c>
      <c r="M197" s="9" t="s">
        <v>1152</v>
      </c>
      <c r="N197" s="9" t="s">
        <v>633</v>
      </c>
      <c r="O197" s="9" t="s">
        <v>82</v>
      </c>
      <c r="P197" s="9" t="s">
        <v>299</v>
      </c>
      <c r="Q197" s="9"/>
      <c r="R197" s="9" t="s">
        <v>85</v>
      </c>
      <c r="S197" s="11" t="s">
        <v>300</v>
      </c>
      <c r="T197" s="11" t="s">
        <v>301</v>
      </c>
      <c r="U197" s="11" t="s">
        <v>87</v>
      </c>
      <c r="V197" s="11" t="s">
        <v>88</v>
      </c>
      <c r="W197" s="9" t="s">
        <v>1166</v>
      </c>
      <c r="X197" s="9" t="n">
        <f aca="false">IF(AND(COUNT($E197:$G197)=0,LEFT($H197,2)&lt;&gt;"定性",LEFT($H197,2)&lt;&gt;"文字",LEFT($H197,2)&lt;&gt;"日期"),1,0)</f>
        <v>0</v>
      </c>
      <c r="Y197" s="9" t="n">
        <f aca="false">IF(OR($L197="",$M197=""),1,0)</f>
        <v>0</v>
      </c>
      <c r="Z197" s="9" t="n">
        <f aca="false">IF(AND(ISNUMBER($E197),ISNUMBER($F197)),IF($F197&gt;$E197,1,0),0)+IF(AND(ISNUMBER($E197),ISNUMBER($G197)),IF($E197&gt;$G197,1,0),0)+IF(AND(ISNUMBER($F197),ISNUMBER($G197)),IF($F197&gt;$G197,1,0),0)</f>
        <v>0</v>
      </c>
      <c r="AA197" s="9" t="n">
        <f aca="false">IF(AND($P197="Derived",$V197="觀測"),1,0)</f>
        <v>0</v>
      </c>
      <c r="AB197" s="12" t="s">
        <v>90</v>
      </c>
    </row>
    <row r="198" customFormat="false" ht="15" hidden="false" customHeight="false" outlineLevel="0" collapsed="false">
      <c r="A198" s="9" t="s">
        <v>1167</v>
      </c>
      <c r="B198" s="9" t="s">
        <v>1168</v>
      </c>
      <c r="C198" s="9" t="s">
        <v>1095</v>
      </c>
      <c r="D198" s="9" t="s">
        <v>1169</v>
      </c>
      <c r="E198" s="10" t="n">
        <v>200</v>
      </c>
      <c r="F198" s="9"/>
      <c r="G198" s="9"/>
      <c r="H198" s="9" t="s">
        <v>1170</v>
      </c>
      <c r="I198" s="11" t="s">
        <v>1171</v>
      </c>
      <c r="J198" s="9"/>
      <c r="K198" s="11" t="s">
        <v>78</v>
      </c>
      <c r="L198" s="9" t="s">
        <v>1172</v>
      </c>
      <c r="M198" s="9" t="s">
        <v>1173</v>
      </c>
      <c r="N198" s="9" t="s">
        <v>931</v>
      </c>
      <c r="O198" s="9" t="s">
        <v>82</v>
      </c>
      <c r="P198" s="9" t="s">
        <v>83</v>
      </c>
      <c r="Q198" s="9" t="s">
        <v>1174</v>
      </c>
      <c r="R198" s="9" t="s">
        <v>85</v>
      </c>
      <c r="S198" s="11" t="s">
        <v>86</v>
      </c>
      <c r="T198" s="9" t="s">
        <v>1174</v>
      </c>
      <c r="U198" s="11" t="s">
        <v>87</v>
      </c>
      <c r="V198" s="11" t="s">
        <v>88</v>
      </c>
      <c r="W198" s="11" t="s">
        <v>1175</v>
      </c>
      <c r="X198" s="9" t="n">
        <f aca="false">IF(AND(COUNT($E198:$G198)=0,LEFT($H198,2)&lt;&gt;"定性",LEFT($H198,2)&lt;&gt;"文字",LEFT($H198,2)&lt;&gt;"日期"),1,0)</f>
        <v>0</v>
      </c>
      <c r="Y198" s="9" t="n">
        <f aca="false">IF(OR($L198="",$M198=""),1,0)</f>
        <v>0</v>
      </c>
      <c r="Z198" s="9" t="n">
        <f aca="false">IF(AND(ISNUMBER($E198),ISNUMBER($F198)),IF($F198&gt;$E198,1,0),0)+IF(AND(ISNUMBER($E198),ISNUMBER($G198)),IF($E198&gt;$G198,1,0),0)+IF(AND(ISNUMBER($F198),ISNUMBER($G198)),IF($F198&gt;$G198,1,0),0)</f>
        <v>0</v>
      </c>
      <c r="AA198" s="9" t="n">
        <f aca="false">IF(AND($P198="Derived",$V198="觀測"),1,0)</f>
        <v>0</v>
      </c>
      <c r="AB198" s="12" t="s">
        <v>90</v>
      </c>
    </row>
    <row r="199" customFormat="false" ht="15" hidden="false" customHeight="false" outlineLevel="0" collapsed="false">
      <c r="A199" s="9" t="s">
        <v>1176</v>
      </c>
      <c r="B199" s="9" t="s">
        <v>1177</v>
      </c>
      <c r="C199" s="9" t="s">
        <v>1095</v>
      </c>
      <c r="D199" s="9" t="s">
        <v>1178</v>
      </c>
      <c r="E199" s="10" t="n">
        <v>10</v>
      </c>
      <c r="F199" s="9"/>
      <c r="G199" s="9"/>
      <c r="H199" s="9" t="s">
        <v>1179</v>
      </c>
      <c r="I199" s="9" t="s">
        <v>1180</v>
      </c>
      <c r="J199" s="9"/>
      <c r="K199" s="11" t="s">
        <v>78</v>
      </c>
      <c r="L199" s="9" t="s">
        <v>1181</v>
      </c>
      <c r="M199" s="9" t="s">
        <v>1182</v>
      </c>
      <c r="N199" s="9" t="s">
        <v>1183</v>
      </c>
      <c r="O199" s="9" t="s">
        <v>82</v>
      </c>
      <c r="P199" s="9" t="s">
        <v>83</v>
      </c>
      <c r="Q199" s="9" t="s">
        <v>1184</v>
      </c>
      <c r="R199" s="9" t="s">
        <v>85</v>
      </c>
      <c r="S199" s="11" t="s">
        <v>86</v>
      </c>
      <c r="T199" s="9" t="s">
        <v>1184</v>
      </c>
      <c r="U199" s="11" t="s">
        <v>87</v>
      </c>
      <c r="V199" s="11" t="s">
        <v>88</v>
      </c>
      <c r="W199" s="9" t="s">
        <v>1185</v>
      </c>
      <c r="X199" s="9" t="n">
        <f aca="false">IF(AND(COUNT($E199:$G199)=0,LEFT($H199,2)&lt;&gt;"定性",LEFT($H199,2)&lt;&gt;"文字",LEFT($H199,2)&lt;&gt;"日期"),1,0)</f>
        <v>0</v>
      </c>
      <c r="Y199" s="9" t="n">
        <f aca="false">IF(OR($L199="",$M199=""),1,0)</f>
        <v>0</v>
      </c>
      <c r="Z199" s="9" t="n">
        <f aca="false">IF(AND(ISNUMBER($E199),ISNUMBER($F199)),IF($F199&gt;$E199,1,0),0)+IF(AND(ISNUMBER($E199),ISNUMBER($G199)),IF($E199&gt;$G199,1,0),0)+IF(AND(ISNUMBER($F199),ISNUMBER($G199)),IF($F199&gt;$G199,1,0),0)</f>
        <v>0</v>
      </c>
      <c r="AA199" s="9" t="n">
        <f aca="false">IF(AND($P199="Derived",$V199="觀測"),1,0)</f>
        <v>0</v>
      </c>
      <c r="AB199" s="12" t="s">
        <v>90</v>
      </c>
    </row>
    <row r="200" customFormat="false" ht="15" hidden="false" customHeight="false" outlineLevel="0" collapsed="false">
      <c r="A200" s="9" t="s">
        <v>1186</v>
      </c>
      <c r="B200" s="9" t="s">
        <v>1187</v>
      </c>
      <c r="C200" s="9" t="s">
        <v>1095</v>
      </c>
      <c r="D200" s="9" t="s">
        <v>1188</v>
      </c>
      <c r="E200" s="10" t="n">
        <v>11</v>
      </c>
      <c r="F200" s="9"/>
      <c r="G200" s="9"/>
      <c r="H200" s="9" t="s">
        <v>1179</v>
      </c>
      <c r="I200" s="9" t="s">
        <v>1189</v>
      </c>
      <c r="J200" s="9"/>
      <c r="K200" s="11" t="s">
        <v>78</v>
      </c>
      <c r="L200" s="9" t="s">
        <v>1190</v>
      </c>
      <c r="M200" s="9" t="s">
        <v>1182</v>
      </c>
      <c r="N200" s="9" t="s">
        <v>1183</v>
      </c>
      <c r="O200" s="9" t="s">
        <v>82</v>
      </c>
      <c r="P200" s="9" t="s">
        <v>83</v>
      </c>
      <c r="Q200" s="9" t="s">
        <v>1184</v>
      </c>
      <c r="R200" s="9" t="s">
        <v>85</v>
      </c>
      <c r="S200" s="11" t="s">
        <v>86</v>
      </c>
      <c r="T200" s="9" t="s">
        <v>1184</v>
      </c>
      <c r="U200" s="11" t="s">
        <v>87</v>
      </c>
      <c r="V200" s="11" t="s">
        <v>88</v>
      </c>
      <c r="W200" s="11" t="s">
        <v>1191</v>
      </c>
      <c r="X200" s="9" t="n">
        <f aca="false">IF(AND(COUNT($E200:$G200)=0,LEFT($H200,2)&lt;&gt;"定性",LEFT($H200,2)&lt;&gt;"文字",LEFT($H200,2)&lt;&gt;"日期"),1,0)</f>
        <v>0</v>
      </c>
      <c r="Y200" s="9" t="n">
        <f aca="false">IF(OR($L200="",$M200=""),1,0)</f>
        <v>0</v>
      </c>
      <c r="Z200" s="9" t="n">
        <f aca="false">IF(AND(ISNUMBER($E200),ISNUMBER($F200)),IF($F200&gt;$E200,1,0),0)+IF(AND(ISNUMBER($E200),ISNUMBER($G200)),IF($E200&gt;$G200,1,0),0)+IF(AND(ISNUMBER($F200),ISNUMBER($G200)),IF($F200&gt;$G200,1,0),0)</f>
        <v>0</v>
      </c>
      <c r="AA200" s="9" t="n">
        <f aca="false">IF(AND($P200="Derived",$V200="觀測"),1,0)</f>
        <v>0</v>
      </c>
      <c r="AB200" s="12" t="s">
        <v>90</v>
      </c>
    </row>
    <row r="201" customFormat="false" ht="15" hidden="false" customHeight="false" outlineLevel="0" collapsed="false">
      <c r="A201" s="9" t="s">
        <v>1192</v>
      </c>
      <c r="B201" s="9" t="s">
        <v>1193</v>
      </c>
      <c r="C201" s="9" t="s">
        <v>1095</v>
      </c>
      <c r="D201" s="9" t="s">
        <v>1194</v>
      </c>
      <c r="E201" s="10" t="n">
        <v>500000</v>
      </c>
      <c r="F201" s="9"/>
      <c r="G201" s="9"/>
      <c r="H201" s="11" t="s">
        <v>1195</v>
      </c>
      <c r="I201" s="9" t="s">
        <v>196</v>
      </c>
      <c r="J201" s="9"/>
      <c r="K201" s="9"/>
      <c r="L201" s="9" t="s">
        <v>1196</v>
      </c>
      <c r="M201" s="9" t="s">
        <v>1197</v>
      </c>
      <c r="N201" s="9" t="s">
        <v>1198</v>
      </c>
      <c r="O201" s="9" t="s">
        <v>82</v>
      </c>
      <c r="P201" s="9" t="s">
        <v>83</v>
      </c>
      <c r="Q201" s="9" t="s">
        <v>1199</v>
      </c>
      <c r="R201" s="9" t="s">
        <v>85</v>
      </c>
      <c r="S201" s="11" t="s">
        <v>86</v>
      </c>
      <c r="T201" s="9" t="s">
        <v>1199</v>
      </c>
      <c r="U201" s="11" t="s">
        <v>1132</v>
      </c>
      <c r="V201" s="11" t="s">
        <v>88</v>
      </c>
      <c r="W201" s="11" t="s">
        <v>1200</v>
      </c>
      <c r="X201" s="9" t="n">
        <f aca="false">IF(AND(COUNT($E201:$G201)=0,LEFT($H201,2)&lt;&gt;"定性",LEFT($H201,2)&lt;&gt;"文字",LEFT($H201,2)&lt;&gt;"日期"),1,0)</f>
        <v>0</v>
      </c>
      <c r="Y201" s="9" t="n">
        <f aca="false">IF(OR($L201="",$M201=""),1,0)</f>
        <v>0</v>
      </c>
      <c r="Z201" s="9" t="n">
        <f aca="false">IF(AND(ISNUMBER($E201),ISNUMBER($F201)),IF($F201&gt;$E201,1,0),0)+IF(AND(ISNUMBER($E201),ISNUMBER($G201)),IF($E201&gt;$G201,1,0),0)+IF(AND(ISNUMBER($F201),ISNUMBER($G201)),IF($F201&gt;$G201,1,0),0)</f>
        <v>0</v>
      </c>
      <c r="AA201" s="9" t="n">
        <f aca="false">IF(AND($P201="Derived",$V201="觀測"),1,0)</f>
        <v>0</v>
      </c>
      <c r="AB201" s="12" t="s">
        <v>90</v>
      </c>
    </row>
    <row r="202" customFormat="false" ht="15" hidden="false" customHeight="false" outlineLevel="0" collapsed="false">
      <c r="A202" s="9" t="s">
        <v>1201</v>
      </c>
      <c r="B202" s="9" t="s">
        <v>1202</v>
      </c>
      <c r="C202" s="9" t="s">
        <v>1095</v>
      </c>
      <c r="D202" s="9" t="s">
        <v>1203</v>
      </c>
      <c r="E202" s="9"/>
      <c r="F202" s="10" t="n">
        <v>1000000</v>
      </c>
      <c r="G202" s="9"/>
      <c r="H202" s="11" t="s">
        <v>1204</v>
      </c>
      <c r="I202" s="9" t="s">
        <v>204</v>
      </c>
      <c r="J202" s="9"/>
      <c r="K202" s="9"/>
      <c r="L202" s="9" t="s">
        <v>1205</v>
      </c>
      <c r="M202" s="9" t="s">
        <v>1197</v>
      </c>
      <c r="N202" s="9" t="s">
        <v>1198</v>
      </c>
      <c r="O202" s="9" t="s">
        <v>82</v>
      </c>
      <c r="P202" s="9" t="s">
        <v>83</v>
      </c>
      <c r="Q202" s="9" t="s">
        <v>1199</v>
      </c>
      <c r="R202" s="11" t="s">
        <v>103</v>
      </c>
      <c r="S202" s="11" t="s">
        <v>86</v>
      </c>
      <c r="T202" s="9" t="s">
        <v>1199</v>
      </c>
      <c r="U202" s="11" t="s">
        <v>103</v>
      </c>
      <c r="V202" s="11" t="s">
        <v>88</v>
      </c>
      <c r="W202" s="11" t="s">
        <v>1206</v>
      </c>
      <c r="X202" s="9" t="n">
        <f aca="false">IF(AND(COUNT($E202:$G202)=0,LEFT($H202,2)&lt;&gt;"定性",LEFT($H202,2)&lt;&gt;"文字",LEFT($H202,2)&lt;&gt;"日期"),1,0)</f>
        <v>0</v>
      </c>
      <c r="Y202" s="9" t="n">
        <f aca="false">IF(OR($L202="",$M202=""),1,0)</f>
        <v>0</v>
      </c>
      <c r="Z202" s="9" t="n">
        <f aca="false">IF(AND(ISNUMBER($E202),ISNUMBER($F202)),IF($F202&gt;$E202,1,0),0)+IF(AND(ISNUMBER($E202),ISNUMBER($G202)),IF($E202&gt;$G202,1,0),0)+IF(AND(ISNUMBER($F202),ISNUMBER($G202)),IF($F202&gt;$G202,1,0),0)</f>
        <v>0</v>
      </c>
      <c r="AA202" s="9" t="n">
        <f aca="false">IF(AND($P202="Derived",$V202="觀測"),1,0)</f>
        <v>0</v>
      </c>
      <c r="AB202" s="12" t="s">
        <v>90</v>
      </c>
    </row>
    <row r="203" customFormat="false" ht="15" hidden="false" customHeight="false" outlineLevel="0" collapsed="false">
      <c r="A203" s="9" t="s">
        <v>1207</v>
      </c>
      <c r="B203" s="9" t="s">
        <v>1208</v>
      </c>
      <c r="C203" s="9" t="s">
        <v>1095</v>
      </c>
      <c r="D203" s="9" t="s">
        <v>1209</v>
      </c>
      <c r="E203" s="10" t="n">
        <v>2.2</v>
      </c>
      <c r="F203" s="9"/>
      <c r="G203" s="9"/>
      <c r="H203" s="9" t="s">
        <v>1106</v>
      </c>
      <c r="I203" s="11" t="s">
        <v>1210</v>
      </c>
      <c r="J203" s="9"/>
      <c r="K203" s="11" t="s">
        <v>1211</v>
      </c>
      <c r="L203" s="9" t="s">
        <v>1205</v>
      </c>
      <c r="M203" s="9" t="s">
        <v>1197</v>
      </c>
      <c r="N203" s="9" t="s">
        <v>1198</v>
      </c>
      <c r="O203" s="9" t="s">
        <v>82</v>
      </c>
      <c r="P203" s="9" t="s">
        <v>83</v>
      </c>
      <c r="Q203" s="9" t="s">
        <v>1199</v>
      </c>
      <c r="R203" s="11" t="s">
        <v>103</v>
      </c>
      <c r="S203" s="11" t="s">
        <v>86</v>
      </c>
      <c r="T203" s="9" t="s">
        <v>1199</v>
      </c>
      <c r="U203" s="11" t="s">
        <v>103</v>
      </c>
      <c r="V203" s="11" t="s">
        <v>88</v>
      </c>
      <c r="W203" s="11" t="s">
        <v>1212</v>
      </c>
      <c r="X203" s="9" t="n">
        <f aca="false">IF(AND(COUNT($E203:$G203)=0,LEFT($H203,2)&lt;&gt;"定性",LEFT($H203,2)&lt;&gt;"文字",LEFT($H203,2)&lt;&gt;"日期"),1,0)</f>
        <v>0</v>
      </c>
      <c r="Y203" s="9" t="n">
        <f aca="false">IF(OR($L203="",$M203=""),1,0)</f>
        <v>0</v>
      </c>
      <c r="Z203" s="9" t="n">
        <f aca="false">IF(AND(ISNUMBER($E203),ISNUMBER($F203)),IF($F203&gt;$E203,1,0),0)+IF(AND(ISNUMBER($E203),ISNUMBER($G203)),IF($E203&gt;$G203,1,0),0)+IF(AND(ISNUMBER($F203),ISNUMBER($G203)),IF($F203&gt;$G203,1,0),0)</f>
        <v>0</v>
      </c>
      <c r="AA203" s="9" t="n">
        <f aca="false">IF(AND($P203="Derived",$V203="觀測"),1,0)</f>
        <v>0</v>
      </c>
      <c r="AB203" s="12" t="s">
        <v>90</v>
      </c>
    </row>
    <row r="204" customFormat="false" ht="15" hidden="false" customHeight="false" outlineLevel="0" collapsed="false">
      <c r="A204" s="9" t="s">
        <v>1213</v>
      </c>
      <c r="B204" s="9" t="s">
        <v>1214</v>
      </c>
      <c r="C204" s="9" t="s">
        <v>1095</v>
      </c>
      <c r="D204" s="9" t="s">
        <v>1215</v>
      </c>
      <c r="E204" s="10" t="n">
        <v>11</v>
      </c>
      <c r="F204" s="9"/>
      <c r="G204" s="9"/>
      <c r="H204" s="9" t="s">
        <v>482</v>
      </c>
      <c r="I204" s="9" t="s">
        <v>1216</v>
      </c>
      <c r="J204" s="9"/>
      <c r="K204" s="11" t="s">
        <v>78</v>
      </c>
      <c r="L204" s="9" t="s">
        <v>1205</v>
      </c>
      <c r="M204" s="9" t="s">
        <v>1197</v>
      </c>
      <c r="N204" s="9" t="s">
        <v>1198</v>
      </c>
      <c r="O204" s="9" t="s">
        <v>82</v>
      </c>
      <c r="P204" s="9" t="s">
        <v>83</v>
      </c>
      <c r="Q204" s="9" t="s">
        <v>1199</v>
      </c>
      <c r="R204" s="11" t="s">
        <v>103</v>
      </c>
      <c r="S204" s="11" t="s">
        <v>86</v>
      </c>
      <c r="T204" s="9" t="s">
        <v>1199</v>
      </c>
      <c r="U204" s="11" t="s">
        <v>103</v>
      </c>
      <c r="V204" s="11" t="s">
        <v>88</v>
      </c>
      <c r="W204" s="11" t="s">
        <v>1217</v>
      </c>
      <c r="X204" s="9" t="n">
        <f aca="false">IF(AND(COUNT($E204:$G204)=0,LEFT($H204,2)&lt;&gt;"定性",LEFT($H204,2)&lt;&gt;"文字",LEFT($H204,2)&lt;&gt;"日期"),1,0)</f>
        <v>0</v>
      </c>
      <c r="Y204" s="9" t="n">
        <f aca="false">IF(OR($L204="",$M204=""),1,0)</f>
        <v>0</v>
      </c>
      <c r="Z204" s="9" t="n">
        <f aca="false">IF(AND(ISNUMBER($E204),ISNUMBER($F204)),IF($F204&gt;$E204,1,0),0)+IF(AND(ISNUMBER($E204),ISNUMBER($G204)),IF($E204&gt;$G204,1,0),0)+IF(AND(ISNUMBER($F204),ISNUMBER($G204)),IF($F204&gt;$G204,1,0),0)</f>
        <v>0</v>
      </c>
      <c r="AA204" s="9" t="n">
        <f aca="false">IF(AND($P204="Derived",$V204="觀測"),1,0)</f>
        <v>0</v>
      </c>
      <c r="AB204" s="12" t="s">
        <v>90</v>
      </c>
    </row>
    <row r="205" customFormat="false" ht="15" hidden="false" customHeight="false" outlineLevel="0" collapsed="false">
      <c r="A205" s="9" t="s">
        <v>1218</v>
      </c>
      <c r="B205" s="9" t="s">
        <v>1219</v>
      </c>
      <c r="C205" s="9" t="s">
        <v>1095</v>
      </c>
      <c r="D205" s="9" t="s">
        <v>1220</v>
      </c>
      <c r="E205" s="10" t="n">
        <v>910</v>
      </c>
      <c r="F205" s="9"/>
      <c r="G205" s="10" t="n">
        <v>1037</v>
      </c>
      <c r="H205" s="9" t="s">
        <v>1221</v>
      </c>
      <c r="I205" s="9" t="s">
        <v>877</v>
      </c>
      <c r="J205" s="9"/>
      <c r="K205" s="9" t="s">
        <v>1222</v>
      </c>
      <c r="L205" s="9" t="s">
        <v>1223</v>
      </c>
      <c r="M205" s="9" t="s">
        <v>1224</v>
      </c>
      <c r="N205" s="9" t="s">
        <v>880</v>
      </c>
      <c r="O205" s="9" t="s">
        <v>82</v>
      </c>
      <c r="P205" s="9" t="s">
        <v>299</v>
      </c>
      <c r="Q205" s="9"/>
      <c r="R205" s="9" t="s">
        <v>85</v>
      </c>
      <c r="S205" s="11" t="s">
        <v>300</v>
      </c>
      <c r="T205" s="11" t="s">
        <v>301</v>
      </c>
      <c r="U205" s="11" t="s">
        <v>87</v>
      </c>
      <c r="V205" s="11" t="s">
        <v>88</v>
      </c>
      <c r="W205" s="11" t="s">
        <v>1225</v>
      </c>
      <c r="X205" s="9" t="n">
        <f aca="false">IF(AND(COUNT($E205:$G205)=0,LEFT($H205,2)&lt;&gt;"定性",LEFT($H205,2)&lt;&gt;"文字",LEFT($H205,2)&lt;&gt;"日期"),1,0)</f>
        <v>0</v>
      </c>
      <c r="Y205" s="9" t="n">
        <f aca="false">IF(OR($L205="",$M205=""),1,0)</f>
        <v>0</v>
      </c>
      <c r="Z205" s="9" t="n">
        <f aca="false">IF(AND(ISNUMBER($E205),ISNUMBER($F205)),IF($F205&gt;$E205,1,0),0)+IF(AND(ISNUMBER($E205),ISNUMBER($G205)),IF($E205&gt;$G205,1,0),0)+IF(AND(ISNUMBER($F205),ISNUMBER($G205)),IF($F205&gt;$G205,1,0),0)</f>
        <v>0</v>
      </c>
      <c r="AA205" s="9" t="n">
        <f aca="false">IF(AND($P205="Derived",$V205="觀測"),1,0)</f>
        <v>0</v>
      </c>
      <c r="AB205" s="12" t="s">
        <v>90</v>
      </c>
    </row>
    <row r="206" customFormat="false" ht="15" hidden="false" customHeight="false" outlineLevel="0" collapsed="false">
      <c r="A206" s="9" t="s">
        <v>1226</v>
      </c>
      <c r="B206" s="9" t="s">
        <v>1227</v>
      </c>
      <c r="C206" s="9" t="s">
        <v>1095</v>
      </c>
      <c r="D206" s="9" t="s">
        <v>1228</v>
      </c>
      <c r="E206" s="10" t="n">
        <v>1925</v>
      </c>
      <c r="F206" s="9"/>
      <c r="G206" s="9"/>
      <c r="H206" s="9" t="s">
        <v>1221</v>
      </c>
      <c r="I206" s="9" t="s">
        <v>1229</v>
      </c>
      <c r="J206" s="9"/>
      <c r="K206" s="9" t="s">
        <v>1222</v>
      </c>
      <c r="L206" s="9" t="s">
        <v>1230</v>
      </c>
      <c r="M206" s="9" t="s">
        <v>1224</v>
      </c>
      <c r="N206" s="9" t="s">
        <v>880</v>
      </c>
      <c r="O206" s="9" t="s">
        <v>82</v>
      </c>
      <c r="P206" s="9" t="s">
        <v>299</v>
      </c>
      <c r="Q206" s="9"/>
      <c r="R206" s="9" t="s">
        <v>85</v>
      </c>
      <c r="S206" s="11" t="s">
        <v>300</v>
      </c>
      <c r="T206" s="11" t="s">
        <v>301</v>
      </c>
      <c r="U206" s="11" t="s">
        <v>87</v>
      </c>
      <c r="V206" s="11" t="s">
        <v>88</v>
      </c>
      <c r="W206" s="9" t="s">
        <v>1231</v>
      </c>
      <c r="X206" s="9" t="n">
        <f aca="false">IF(AND(COUNT($E206:$G206)=0,LEFT($H206,2)&lt;&gt;"定性",LEFT($H206,2)&lt;&gt;"文字",LEFT($H206,2)&lt;&gt;"日期"),1,0)</f>
        <v>0</v>
      </c>
      <c r="Y206" s="9" t="n">
        <f aca="false">IF(OR($L206="",$M206=""),1,0)</f>
        <v>0</v>
      </c>
      <c r="Z206" s="9" t="n">
        <f aca="false">IF(AND(ISNUMBER($E206),ISNUMBER($F206)),IF($F206&gt;$E206,1,0),0)+IF(AND(ISNUMBER($E206),ISNUMBER($G206)),IF($E206&gt;$G206,1,0),0)+IF(AND(ISNUMBER($F206),ISNUMBER($G206)),IF($F206&gt;$G206,1,0),0)</f>
        <v>0</v>
      </c>
      <c r="AA206" s="9" t="n">
        <f aca="false">IF(AND($P206="Derived",$V206="觀測"),1,0)</f>
        <v>0</v>
      </c>
      <c r="AB206" s="12" t="s">
        <v>90</v>
      </c>
    </row>
    <row r="207" customFormat="false" ht="15" hidden="false" customHeight="false" outlineLevel="0" collapsed="false">
      <c r="A207" s="9" t="s">
        <v>1232</v>
      </c>
      <c r="B207" s="9" t="s">
        <v>1233</v>
      </c>
      <c r="C207" s="9" t="s">
        <v>1095</v>
      </c>
      <c r="D207" s="9" t="s">
        <v>1234</v>
      </c>
      <c r="E207" s="9"/>
      <c r="F207" s="9"/>
      <c r="G207" s="10" t="n">
        <v>5</v>
      </c>
      <c r="H207" s="9" t="s">
        <v>1106</v>
      </c>
      <c r="I207" s="9" t="s">
        <v>1235</v>
      </c>
      <c r="J207" s="9"/>
      <c r="K207" s="11" t="s">
        <v>146</v>
      </c>
      <c r="L207" s="9" t="s">
        <v>1236</v>
      </c>
      <c r="M207" s="9" t="s">
        <v>989</v>
      </c>
      <c r="N207" s="9" t="s">
        <v>990</v>
      </c>
      <c r="O207" s="9" t="s">
        <v>82</v>
      </c>
      <c r="P207" s="9" t="s">
        <v>83</v>
      </c>
      <c r="Q207" s="9" t="s">
        <v>208</v>
      </c>
      <c r="R207" s="9" t="s">
        <v>151</v>
      </c>
      <c r="S207" s="11" t="s">
        <v>86</v>
      </c>
      <c r="T207" s="9" t="s">
        <v>208</v>
      </c>
      <c r="U207" s="11" t="s">
        <v>152</v>
      </c>
      <c r="V207" s="11" t="s">
        <v>88</v>
      </c>
      <c r="W207" s="11" t="s">
        <v>1237</v>
      </c>
      <c r="X207" s="9" t="n">
        <f aca="false">IF(AND(COUNT($E207:$G207)=0,LEFT($H207,2)&lt;&gt;"定性",LEFT($H207,2)&lt;&gt;"文字",LEFT($H207,2)&lt;&gt;"日期"),1,0)</f>
        <v>0</v>
      </c>
      <c r="Y207" s="9" t="n">
        <f aca="false">IF(OR($L207="",$M207=""),1,0)</f>
        <v>0</v>
      </c>
      <c r="Z207" s="9" t="n">
        <f aca="false">IF(AND(ISNUMBER($E207),ISNUMBER($F207)),IF($F207&gt;$E207,1,0),0)+IF(AND(ISNUMBER($E207),ISNUMBER($G207)),IF($E207&gt;$G207,1,0),0)+IF(AND(ISNUMBER($F207),ISNUMBER($G207)),IF($F207&gt;$G207,1,0),0)</f>
        <v>0</v>
      </c>
      <c r="AA207" s="9" t="n">
        <f aca="false">IF(AND($P207="Derived",$V207="觀測"),1,0)</f>
        <v>0</v>
      </c>
      <c r="AB207" s="12" t="s">
        <v>90</v>
      </c>
    </row>
    <row r="208" customFormat="false" ht="15" hidden="false" customHeight="false" outlineLevel="0" collapsed="false">
      <c r="A208" s="9" t="s">
        <v>1238</v>
      </c>
      <c r="B208" s="9" t="s">
        <v>1239</v>
      </c>
      <c r="C208" s="9" t="s">
        <v>1095</v>
      </c>
      <c r="D208" s="9" t="s">
        <v>1240</v>
      </c>
      <c r="E208" s="9"/>
      <c r="F208" s="10" t="n">
        <v>100</v>
      </c>
      <c r="G208" s="9"/>
      <c r="H208" s="9" t="s">
        <v>1241</v>
      </c>
      <c r="I208" s="9" t="s">
        <v>1235</v>
      </c>
      <c r="J208" s="9"/>
      <c r="K208" s="11" t="s">
        <v>78</v>
      </c>
      <c r="L208" s="9" t="s">
        <v>1236</v>
      </c>
      <c r="M208" s="9" t="s">
        <v>989</v>
      </c>
      <c r="N208" s="9" t="s">
        <v>990</v>
      </c>
      <c r="O208" s="9" t="s">
        <v>82</v>
      </c>
      <c r="P208" s="9" t="s">
        <v>83</v>
      </c>
      <c r="Q208" s="9" t="s">
        <v>208</v>
      </c>
      <c r="R208" s="9" t="s">
        <v>151</v>
      </c>
      <c r="S208" s="11" t="s">
        <v>86</v>
      </c>
      <c r="T208" s="9" t="s">
        <v>208</v>
      </c>
      <c r="U208" s="11" t="s">
        <v>152</v>
      </c>
      <c r="V208" s="11" t="s">
        <v>88</v>
      </c>
      <c r="W208" s="11" t="s">
        <v>1242</v>
      </c>
      <c r="X208" s="9" t="n">
        <f aca="false">IF(AND(COUNT($E208:$G208)=0,LEFT($H208,2)&lt;&gt;"定性",LEFT($H208,2)&lt;&gt;"文字",LEFT($H208,2)&lt;&gt;"日期"),1,0)</f>
        <v>0</v>
      </c>
      <c r="Y208" s="9" t="n">
        <f aca="false">IF(OR($L208="",$M208=""),1,0)</f>
        <v>0</v>
      </c>
      <c r="Z208" s="9" t="n">
        <f aca="false">IF(AND(ISNUMBER($E208),ISNUMBER($F208)),IF($F208&gt;$E208,1,0),0)+IF(AND(ISNUMBER($E208),ISNUMBER($G208)),IF($E208&gt;$G208,1,0),0)+IF(AND(ISNUMBER($F208),ISNUMBER($G208)),IF($F208&gt;$G208,1,0),0)</f>
        <v>0</v>
      </c>
      <c r="AA208" s="9" t="n">
        <f aca="false">IF(AND($P208="Derived",$V208="觀測"),1,0)</f>
        <v>0</v>
      </c>
      <c r="AB208" s="12" t="s">
        <v>90</v>
      </c>
    </row>
    <row r="209" customFormat="false" ht="15" hidden="false" customHeight="false" outlineLevel="0" collapsed="false">
      <c r="A209" s="9" t="s">
        <v>1243</v>
      </c>
      <c r="B209" s="9" t="s">
        <v>1244</v>
      </c>
      <c r="C209" s="9" t="s">
        <v>1095</v>
      </c>
      <c r="D209" s="9" t="s">
        <v>1245</v>
      </c>
      <c r="E209" s="10" t="n">
        <v>1</v>
      </c>
      <c r="F209" s="9"/>
      <c r="G209" s="9"/>
      <c r="H209" s="9" t="s">
        <v>1246</v>
      </c>
      <c r="I209" s="9" t="s">
        <v>1247</v>
      </c>
      <c r="J209" s="9"/>
      <c r="K209" s="11" t="s">
        <v>146</v>
      </c>
      <c r="L209" s="9" t="s">
        <v>1236</v>
      </c>
      <c r="M209" s="9" t="s">
        <v>989</v>
      </c>
      <c r="N209" s="9" t="s">
        <v>990</v>
      </c>
      <c r="O209" s="9" t="s">
        <v>82</v>
      </c>
      <c r="P209" s="9" t="s">
        <v>83</v>
      </c>
      <c r="Q209" s="9" t="s">
        <v>208</v>
      </c>
      <c r="R209" s="9" t="s">
        <v>151</v>
      </c>
      <c r="S209" s="11" t="s">
        <v>86</v>
      </c>
      <c r="T209" s="9" t="s">
        <v>208</v>
      </c>
      <c r="U209" s="11" t="s">
        <v>152</v>
      </c>
      <c r="V209" s="11" t="s">
        <v>88</v>
      </c>
      <c r="W209" s="11" t="s">
        <v>1248</v>
      </c>
      <c r="X209" s="9" t="n">
        <f aca="false">IF(AND(COUNT($E209:$G209)=0,LEFT($H209,2)&lt;&gt;"定性",LEFT($H209,2)&lt;&gt;"文字",LEFT($H209,2)&lt;&gt;"日期"),1,0)</f>
        <v>0</v>
      </c>
      <c r="Y209" s="9" t="n">
        <f aca="false">IF(OR($L209="",$M209=""),1,0)</f>
        <v>0</v>
      </c>
      <c r="Z209" s="9" t="n">
        <f aca="false">IF(AND(ISNUMBER($E209),ISNUMBER($F209)),IF($F209&gt;$E209,1,0),0)+IF(AND(ISNUMBER($E209),ISNUMBER($G209)),IF($E209&gt;$G209,1,0),0)+IF(AND(ISNUMBER($F209),ISNUMBER($G209)),IF($F209&gt;$G209,1,0),0)</f>
        <v>0</v>
      </c>
      <c r="AA209" s="9" t="n">
        <f aca="false">IF(AND($P209="Derived",$V209="觀測"),1,0)</f>
        <v>0</v>
      </c>
      <c r="AB209" s="12" t="s">
        <v>90</v>
      </c>
    </row>
    <row r="210" customFormat="false" ht="15" hidden="false" customHeight="false" outlineLevel="0" collapsed="false">
      <c r="A210" s="9" t="s">
        <v>1249</v>
      </c>
      <c r="B210" s="9" t="s">
        <v>1250</v>
      </c>
      <c r="C210" s="9" t="s">
        <v>1095</v>
      </c>
      <c r="D210" s="11" t="s">
        <v>1251</v>
      </c>
      <c r="E210" s="9"/>
      <c r="F210" s="10" t="n">
        <v>1000000</v>
      </c>
      <c r="G210" s="9"/>
      <c r="H210" s="11" t="s">
        <v>1204</v>
      </c>
      <c r="I210" s="9" t="s">
        <v>229</v>
      </c>
      <c r="J210" s="9"/>
      <c r="K210" s="9"/>
      <c r="L210" s="9" t="s">
        <v>1236</v>
      </c>
      <c r="M210" s="9" t="s">
        <v>989</v>
      </c>
      <c r="N210" s="9" t="s">
        <v>990</v>
      </c>
      <c r="O210" s="9" t="s">
        <v>82</v>
      </c>
      <c r="P210" s="9" t="s">
        <v>83</v>
      </c>
      <c r="Q210" s="9" t="s">
        <v>1116</v>
      </c>
      <c r="R210" s="9" t="s">
        <v>151</v>
      </c>
      <c r="S210" s="11" t="s">
        <v>86</v>
      </c>
      <c r="T210" s="9" t="s">
        <v>1116</v>
      </c>
      <c r="U210" s="11" t="s">
        <v>152</v>
      </c>
      <c r="V210" s="11" t="s">
        <v>88</v>
      </c>
      <c r="W210" s="11" t="s">
        <v>1252</v>
      </c>
      <c r="X210" s="9" t="n">
        <f aca="false">IF(AND(COUNT($E210:$G210)=0,LEFT($H210,2)&lt;&gt;"定性",LEFT($H210,2)&lt;&gt;"文字",LEFT($H210,2)&lt;&gt;"日期"),1,0)</f>
        <v>0</v>
      </c>
      <c r="Y210" s="9" t="n">
        <f aca="false">IF(OR($L210="",$M210=""),1,0)</f>
        <v>0</v>
      </c>
      <c r="Z210" s="9" t="n">
        <f aca="false">IF(AND(ISNUMBER($E210),ISNUMBER($F210)),IF($F210&gt;$E210,1,0),0)+IF(AND(ISNUMBER($E210),ISNUMBER($G210)),IF($E210&gt;$G210,1,0),0)+IF(AND(ISNUMBER($F210),ISNUMBER($G210)),IF($F210&gt;$G210,1,0),0)</f>
        <v>0</v>
      </c>
      <c r="AA210" s="9" t="n">
        <f aca="false">IF(AND($P210="Derived",$V210="觀測"),1,0)</f>
        <v>0</v>
      </c>
      <c r="AB210" s="12" t="s">
        <v>90</v>
      </c>
    </row>
    <row r="211" customFormat="false" ht="15" hidden="false" customHeight="false" outlineLevel="0" collapsed="false">
      <c r="A211" s="9" t="s">
        <v>1253</v>
      </c>
      <c r="B211" s="9" t="s">
        <v>1254</v>
      </c>
      <c r="C211" s="9" t="s">
        <v>1095</v>
      </c>
      <c r="D211" s="11" t="s">
        <v>1255</v>
      </c>
      <c r="E211" s="9"/>
      <c r="F211" s="9"/>
      <c r="G211" s="9"/>
      <c r="H211" s="11" t="s">
        <v>281</v>
      </c>
      <c r="I211" s="9" t="s">
        <v>229</v>
      </c>
      <c r="J211" s="9"/>
      <c r="K211" s="9"/>
      <c r="L211" s="9" t="s">
        <v>1122</v>
      </c>
      <c r="M211" s="9" t="s">
        <v>206</v>
      </c>
      <c r="N211" s="9" t="s">
        <v>207</v>
      </c>
      <c r="O211" s="9" t="s">
        <v>82</v>
      </c>
      <c r="P211" s="9" t="s">
        <v>83</v>
      </c>
      <c r="Q211" s="9" t="s">
        <v>1116</v>
      </c>
      <c r="R211" s="9" t="s">
        <v>151</v>
      </c>
      <c r="S211" s="11" t="s">
        <v>86</v>
      </c>
      <c r="T211" s="9" t="s">
        <v>1116</v>
      </c>
      <c r="U211" s="11" t="s">
        <v>152</v>
      </c>
      <c r="V211" s="11" t="s">
        <v>88</v>
      </c>
      <c r="W211" s="11" t="s">
        <v>1256</v>
      </c>
      <c r="X211" s="9" t="n">
        <f aca="false">IF(AND(COUNT($E211:$G211)=0,LEFT($H211,2)&lt;&gt;"定性",LEFT($H211,2)&lt;&gt;"文字",LEFT($H211,2)&lt;&gt;"日期"),1,0)</f>
        <v>0</v>
      </c>
      <c r="Y211" s="9" t="n">
        <f aca="false">IF(OR($L211="",$M211=""),1,0)</f>
        <v>0</v>
      </c>
      <c r="Z211" s="9" t="n">
        <f aca="false">IF(AND(ISNUMBER($E211),ISNUMBER($F211)),IF($F211&gt;$E211,1,0),0)+IF(AND(ISNUMBER($E211),ISNUMBER($G211)),IF($E211&gt;$G211,1,0),0)+IF(AND(ISNUMBER($F211),ISNUMBER($G211)),IF($F211&gt;$G211,1,0),0)</f>
        <v>0</v>
      </c>
      <c r="AA211" s="9" t="n">
        <f aca="false">IF(AND($P211="Derived",$V211="觀測"),1,0)</f>
        <v>0</v>
      </c>
      <c r="AB211" s="12" t="s">
        <v>90</v>
      </c>
    </row>
    <row r="212" customFormat="false" ht="15" hidden="false" customHeight="false" outlineLevel="0" collapsed="false">
      <c r="A212" s="9" t="s">
        <v>1257</v>
      </c>
      <c r="B212" s="9" t="s">
        <v>1258</v>
      </c>
      <c r="C212" s="9" t="s">
        <v>1095</v>
      </c>
      <c r="D212" s="9" t="s">
        <v>1259</v>
      </c>
      <c r="E212" s="10" t="n">
        <v>5</v>
      </c>
      <c r="F212" s="9"/>
      <c r="G212" s="9"/>
      <c r="H212" s="9" t="s">
        <v>1106</v>
      </c>
      <c r="I212" s="11" t="s">
        <v>1260</v>
      </c>
      <c r="J212" s="9"/>
      <c r="K212" s="11" t="s">
        <v>146</v>
      </c>
      <c r="L212" s="9" t="s">
        <v>1261</v>
      </c>
      <c r="M212" s="9" t="s">
        <v>1262</v>
      </c>
      <c r="N212" s="9" t="s">
        <v>1263</v>
      </c>
      <c r="O212" s="9" t="s">
        <v>82</v>
      </c>
      <c r="P212" s="9" t="s">
        <v>83</v>
      </c>
      <c r="Q212" s="9" t="s">
        <v>1264</v>
      </c>
      <c r="R212" s="9" t="s">
        <v>85</v>
      </c>
      <c r="S212" s="11" t="s">
        <v>86</v>
      </c>
      <c r="T212" s="9" t="s">
        <v>1264</v>
      </c>
      <c r="U212" s="11" t="s">
        <v>87</v>
      </c>
      <c r="V212" s="11" t="s">
        <v>88</v>
      </c>
      <c r="W212" s="11" t="s">
        <v>1265</v>
      </c>
      <c r="X212" s="9" t="n">
        <f aca="false">IF(AND(COUNT($E212:$G212)=0,LEFT($H212,2)&lt;&gt;"定性",LEFT($H212,2)&lt;&gt;"文字",LEFT($H212,2)&lt;&gt;"日期"),1,0)</f>
        <v>0</v>
      </c>
      <c r="Y212" s="9" t="n">
        <f aca="false">IF(OR($L212="",$M212=""),1,0)</f>
        <v>0</v>
      </c>
      <c r="Z212" s="9" t="n">
        <f aca="false">IF(AND(ISNUMBER($E212),ISNUMBER($F212)),IF($F212&gt;$E212,1,0),0)+IF(AND(ISNUMBER($E212),ISNUMBER($G212)),IF($E212&gt;$G212,1,0),0)+IF(AND(ISNUMBER($F212),ISNUMBER($G212)),IF($F212&gt;$G212,1,0),0)</f>
        <v>0</v>
      </c>
      <c r="AA212" s="9" t="n">
        <f aca="false">IF(AND($P212="Derived",$V212="觀測"),1,0)</f>
        <v>0</v>
      </c>
      <c r="AB212" s="12" t="s">
        <v>90</v>
      </c>
    </row>
    <row r="213" customFormat="false" ht="15" hidden="false" customHeight="false" outlineLevel="0" collapsed="false">
      <c r="A213" s="9" t="s">
        <v>1266</v>
      </c>
      <c r="B213" s="9" t="s">
        <v>1267</v>
      </c>
      <c r="C213" s="9" t="s">
        <v>1095</v>
      </c>
      <c r="D213" s="9" t="s">
        <v>1268</v>
      </c>
      <c r="E213" s="10" t="n">
        <v>30</v>
      </c>
      <c r="F213" s="9"/>
      <c r="G213" s="9"/>
      <c r="H213" s="9" t="s">
        <v>1269</v>
      </c>
      <c r="I213" s="9" t="s">
        <v>1270</v>
      </c>
      <c r="J213" s="9"/>
      <c r="K213" s="11" t="s">
        <v>78</v>
      </c>
      <c r="L213" s="9" t="s">
        <v>1271</v>
      </c>
      <c r="M213" s="9" t="s">
        <v>1272</v>
      </c>
      <c r="N213" s="9" t="s">
        <v>1273</v>
      </c>
      <c r="O213" s="9" t="s">
        <v>82</v>
      </c>
      <c r="P213" s="9" t="s">
        <v>83</v>
      </c>
      <c r="Q213" s="9" t="s">
        <v>1274</v>
      </c>
      <c r="R213" s="9" t="s">
        <v>151</v>
      </c>
      <c r="S213" s="11" t="s">
        <v>86</v>
      </c>
      <c r="T213" s="9" t="s">
        <v>1274</v>
      </c>
      <c r="U213" s="11" t="s">
        <v>152</v>
      </c>
      <c r="V213" s="11" t="s">
        <v>88</v>
      </c>
      <c r="W213" s="11" t="s">
        <v>1275</v>
      </c>
      <c r="X213" s="9" t="n">
        <f aca="false">IF(AND(COUNT($E213:$G213)=0,LEFT($H213,2)&lt;&gt;"定性",LEFT($H213,2)&lt;&gt;"文字",LEFT($H213,2)&lt;&gt;"日期"),1,0)</f>
        <v>0</v>
      </c>
      <c r="Y213" s="9" t="n">
        <f aca="false">IF(OR($L213="",$M213=""),1,0)</f>
        <v>0</v>
      </c>
      <c r="Z213" s="9" t="n">
        <f aca="false">IF(AND(ISNUMBER($E213),ISNUMBER($F213)),IF($F213&gt;$E213,1,0),0)+IF(AND(ISNUMBER($E213),ISNUMBER($G213)),IF($E213&gt;$G213,1,0),0)+IF(AND(ISNUMBER($F213),ISNUMBER($G213)),IF($F213&gt;$G213,1,0),0)</f>
        <v>0</v>
      </c>
      <c r="AA213" s="9" t="n">
        <f aca="false">IF(AND($P213="Derived",$V213="觀測"),1,0)</f>
        <v>0</v>
      </c>
      <c r="AB213" s="12" t="s">
        <v>90</v>
      </c>
    </row>
    <row r="214" customFormat="false" ht="15" hidden="false" customHeight="false" outlineLevel="0" collapsed="false">
      <c r="A214" s="9" t="s">
        <v>1276</v>
      </c>
      <c r="B214" s="9" t="s">
        <v>1277</v>
      </c>
      <c r="C214" s="9" t="s">
        <v>1095</v>
      </c>
      <c r="D214" s="9" t="s">
        <v>1278</v>
      </c>
      <c r="E214" s="9"/>
      <c r="F214" s="9"/>
      <c r="G214" s="10" t="n">
        <v>1</v>
      </c>
      <c r="H214" s="9" t="s">
        <v>1106</v>
      </c>
      <c r="I214" s="9" t="s">
        <v>1279</v>
      </c>
      <c r="J214" s="9"/>
      <c r="K214" s="11" t="s">
        <v>146</v>
      </c>
      <c r="L214" s="9" t="s">
        <v>1271</v>
      </c>
      <c r="M214" s="9" t="s">
        <v>1272</v>
      </c>
      <c r="N214" s="9" t="s">
        <v>1273</v>
      </c>
      <c r="O214" s="9" t="s">
        <v>82</v>
      </c>
      <c r="P214" s="9" t="s">
        <v>83</v>
      </c>
      <c r="Q214" s="9" t="s">
        <v>1280</v>
      </c>
      <c r="R214" s="9" t="s">
        <v>151</v>
      </c>
      <c r="S214" s="11" t="s">
        <v>86</v>
      </c>
      <c r="T214" s="9" t="s">
        <v>1280</v>
      </c>
      <c r="U214" s="11" t="s">
        <v>152</v>
      </c>
      <c r="V214" s="11" t="s">
        <v>88</v>
      </c>
      <c r="W214" s="11" t="s">
        <v>1281</v>
      </c>
      <c r="X214" s="9" t="n">
        <f aca="false">IF(AND(COUNT($E214:$G214)=0,LEFT($H214,2)&lt;&gt;"定性",LEFT($H214,2)&lt;&gt;"文字",LEFT($H214,2)&lt;&gt;"日期"),1,0)</f>
        <v>0</v>
      </c>
      <c r="Y214" s="9" t="n">
        <f aca="false">IF(OR($L214="",$M214=""),1,0)</f>
        <v>0</v>
      </c>
      <c r="Z214" s="9" t="n">
        <f aca="false">IF(AND(ISNUMBER($E214),ISNUMBER($F214)),IF($F214&gt;$E214,1,0),0)+IF(AND(ISNUMBER($E214),ISNUMBER($G214)),IF($E214&gt;$G214,1,0),0)+IF(AND(ISNUMBER($F214),ISNUMBER($G214)),IF($F214&gt;$G214,1,0),0)</f>
        <v>0</v>
      </c>
      <c r="AA214" s="9" t="n">
        <f aca="false">IF(AND($P214="Derived",$V214="觀測"),1,0)</f>
        <v>0</v>
      </c>
      <c r="AB214" s="12" t="s">
        <v>90</v>
      </c>
    </row>
    <row r="215" customFormat="false" ht="15" hidden="false" customHeight="false" outlineLevel="0" collapsed="false">
      <c r="A215" s="9" t="s">
        <v>1282</v>
      </c>
      <c r="B215" s="9" t="s">
        <v>1283</v>
      </c>
      <c r="C215" s="9" t="s">
        <v>1095</v>
      </c>
      <c r="D215" s="9" t="s">
        <v>1284</v>
      </c>
      <c r="E215" s="10" t="n">
        <v>31.4</v>
      </c>
      <c r="F215" s="9"/>
      <c r="G215" s="9"/>
      <c r="H215" s="9" t="s">
        <v>1269</v>
      </c>
      <c r="I215" s="9" t="s">
        <v>1285</v>
      </c>
      <c r="J215" s="9"/>
      <c r="K215" s="11" t="s">
        <v>78</v>
      </c>
      <c r="L215" s="9" t="s">
        <v>1286</v>
      </c>
      <c r="M215" s="9" t="s">
        <v>1287</v>
      </c>
      <c r="N215" s="9" t="s">
        <v>81</v>
      </c>
      <c r="O215" s="9" t="s">
        <v>82</v>
      </c>
      <c r="P215" s="9" t="s">
        <v>83</v>
      </c>
      <c r="Q215" s="9" t="s">
        <v>1288</v>
      </c>
      <c r="R215" s="9" t="s">
        <v>85</v>
      </c>
      <c r="S215" s="11" t="s">
        <v>86</v>
      </c>
      <c r="T215" s="9" t="s">
        <v>1288</v>
      </c>
      <c r="U215" s="11" t="s">
        <v>1289</v>
      </c>
      <c r="V215" s="11" t="s">
        <v>88</v>
      </c>
      <c r="W215" s="11" t="s">
        <v>1290</v>
      </c>
      <c r="X215" s="9" t="n">
        <f aca="false">IF(AND(COUNT($E215:$G215)=0,LEFT($H215,2)&lt;&gt;"定性",LEFT($H215,2)&lt;&gt;"文字",LEFT($H215,2)&lt;&gt;"日期"),1,0)</f>
        <v>0</v>
      </c>
      <c r="Y215" s="9" t="n">
        <f aca="false">IF(OR($L215="",$M215=""),1,0)</f>
        <v>0</v>
      </c>
      <c r="Z215" s="9" t="n">
        <f aca="false">IF(AND(ISNUMBER($E215),ISNUMBER($F215)),IF($F215&gt;$E215,1,0),0)+IF(AND(ISNUMBER($E215),ISNUMBER($G215)),IF($E215&gt;$G215,1,0),0)+IF(AND(ISNUMBER($F215),ISNUMBER($G215)),IF($F215&gt;$G215,1,0),0)</f>
        <v>0</v>
      </c>
      <c r="AA215" s="9" t="n">
        <f aca="false">IF(AND($P215="Derived",$V215="觀測"),1,0)</f>
        <v>0</v>
      </c>
      <c r="AB215" s="12" t="s">
        <v>90</v>
      </c>
    </row>
    <row r="216" customFormat="false" ht="15" hidden="false" customHeight="false" outlineLevel="0" collapsed="false">
      <c r="A216" s="9" t="s">
        <v>1291</v>
      </c>
      <c r="B216" s="9" t="s">
        <v>1292</v>
      </c>
      <c r="C216" s="9" t="s">
        <v>1095</v>
      </c>
      <c r="D216" s="11" t="s">
        <v>1293</v>
      </c>
      <c r="E216" s="10" t="n">
        <v>50</v>
      </c>
      <c r="F216" s="9"/>
      <c r="G216" s="9"/>
      <c r="H216" s="9" t="s">
        <v>1269</v>
      </c>
      <c r="I216" s="9" t="s">
        <v>1294</v>
      </c>
      <c r="J216" s="9"/>
      <c r="K216" s="11" t="s">
        <v>78</v>
      </c>
      <c r="L216" s="9" t="s">
        <v>1295</v>
      </c>
      <c r="M216" s="9" t="s">
        <v>1296</v>
      </c>
      <c r="N216" s="9" t="s">
        <v>1297</v>
      </c>
      <c r="O216" s="9" t="s">
        <v>82</v>
      </c>
      <c r="P216" s="9" t="s">
        <v>83</v>
      </c>
      <c r="Q216" s="9" t="s">
        <v>1298</v>
      </c>
      <c r="R216" s="9" t="s">
        <v>151</v>
      </c>
      <c r="S216" s="11" t="s">
        <v>86</v>
      </c>
      <c r="T216" s="9" t="s">
        <v>1298</v>
      </c>
      <c r="U216" s="11" t="s">
        <v>152</v>
      </c>
      <c r="V216" s="11" t="s">
        <v>88</v>
      </c>
      <c r="W216" s="11" t="s">
        <v>1299</v>
      </c>
      <c r="X216" s="9" t="n">
        <f aca="false">IF(AND(COUNT($E216:$G216)=0,LEFT($H216,2)&lt;&gt;"定性",LEFT($H216,2)&lt;&gt;"文字",LEFT($H216,2)&lt;&gt;"日期"),1,0)</f>
        <v>0</v>
      </c>
      <c r="Y216" s="9" t="n">
        <f aca="false">IF(OR($L216="",$M216=""),1,0)</f>
        <v>0</v>
      </c>
      <c r="Z216" s="9" t="n">
        <f aca="false">IF(AND(ISNUMBER($E216),ISNUMBER($F216)),IF($F216&gt;$E216,1,0),0)+IF(AND(ISNUMBER($E216),ISNUMBER($G216)),IF($E216&gt;$G216,1,0),0)+IF(AND(ISNUMBER($F216),ISNUMBER($G216)),IF($F216&gt;$G216,1,0),0)</f>
        <v>0</v>
      </c>
      <c r="AA216" s="9" t="n">
        <f aca="false">IF(AND($P216="Derived",$V216="觀測"),1,0)</f>
        <v>0</v>
      </c>
      <c r="AB216" s="12" t="s">
        <v>90</v>
      </c>
    </row>
    <row r="217" customFormat="false" ht="15" hidden="false" customHeight="false" outlineLevel="0" collapsed="false">
      <c r="A217" s="9" t="s">
        <v>1300</v>
      </c>
      <c r="B217" s="9" t="s">
        <v>1301</v>
      </c>
      <c r="C217" s="9" t="s">
        <v>1095</v>
      </c>
      <c r="D217" s="9" t="s">
        <v>1302</v>
      </c>
      <c r="E217" s="9"/>
      <c r="F217" s="10" t="n">
        <v>168</v>
      </c>
      <c r="G217" s="10" t="n">
        <v>360</v>
      </c>
      <c r="H217" s="9" t="s">
        <v>1303</v>
      </c>
      <c r="I217" s="9" t="s">
        <v>306</v>
      </c>
      <c r="J217" s="9"/>
      <c r="K217" s="11" t="s">
        <v>146</v>
      </c>
      <c r="L217" s="9" t="s">
        <v>1304</v>
      </c>
      <c r="M217" s="9" t="s">
        <v>1305</v>
      </c>
      <c r="N217" s="9" t="s">
        <v>1297</v>
      </c>
      <c r="O217" s="9" t="s">
        <v>82</v>
      </c>
      <c r="P217" s="9" t="s">
        <v>299</v>
      </c>
      <c r="Q217" s="9"/>
      <c r="R217" s="9" t="s">
        <v>85</v>
      </c>
      <c r="S217" s="11" t="s">
        <v>300</v>
      </c>
      <c r="T217" s="11" t="s">
        <v>301</v>
      </c>
      <c r="U217" s="11" t="s">
        <v>87</v>
      </c>
      <c r="V217" s="11" t="s">
        <v>88</v>
      </c>
      <c r="W217" s="9" t="s">
        <v>1306</v>
      </c>
      <c r="X217" s="9" t="n">
        <f aca="false">IF(AND(COUNT($E217:$G217)=0,LEFT($H217,2)&lt;&gt;"定性",LEFT($H217,2)&lt;&gt;"文字",LEFT($H217,2)&lt;&gt;"日期"),1,0)</f>
        <v>0</v>
      </c>
      <c r="Y217" s="9" t="n">
        <f aca="false">IF(OR($L217="",$M217=""),1,0)</f>
        <v>0</v>
      </c>
      <c r="Z217" s="9" t="n">
        <f aca="false">IF(AND(ISNUMBER($E217),ISNUMBER($F217)),IF($F217&gt;$E217,1,0),0)+IF(AND(ISNUMBER($E217),ISNUMBER($G217)),IF($E217&gt;$G217,1,0),0)+IF(AND(ISNUMBER($F217),ISNUMBER($G217)),IF($F217&gt;$G217,1,0),0)</f>
        <v>0</v>
      </c>
      <c r="AA217" s="9" t="n">
        <f aca="false">IF(AND($P217="Derived",$V217="觀測"),1,0)</f>
        <v>0</v>
      </c>
      <c r="AB217" s="12" t="s">
        <v>90</v>
      </c>
    </row>
    <row r="218" customFormat="false" ht="15" hidden="false" customHeight="false" outlineLevel="0" collapsed="false">
      <c r="A218" s="9" t="s">
        <v>1307</v>
      </c>
      <c r="B218" s="9" t="s">
        <v>1308</v>
      </c>
      <c r="C218" s="9" t="s">
        <v>1095</v>
      </c>
      <c r="D218" s="9" t="s">
        <v>1309</v>
      </c>
      <c r="E218" s="10" t="n">
        <v>245</v>
      </c>
      <c r="F218" s="9"/>
      <c r="G218" s="9"/>
      <c r="H218" s="9" t="s">
        <v>1221</v>
      </c>
      <c r="I218" s="9" t="s">
        <v>1310</v>
      </c>
      <c r="J218" s="9"/>
      <c r="K218" s="11" t="s">
        <v>146</v>
      </c>
      <c r="L218" s="9" t="s">
        <v>1311</v>
      </c>
      <c r="M218" s="9" t="s">
        <v>1312</v>
      </c>
      <c r="N218" s="9" t="s">
        <v>1313</v>
      </c>
      <c r="O218" s="9" t="s">
        <v>82</v>
      </c>
      <c r="P218" s="9" t="s">
        <v>83</v>
      </c>
      <c r="Q218" s="9" t="s">
        <v>1314</v>
      </c>
      <c r="R218" s="9" t="s">
        <v>85</v>
      </c>
      <c r="S218" s="11" t="s">
        <v>86</v>
      </c>
      <c r="T218" s="9" t="s">
        <v>1314</v>
      </c>
      <c r="U218" s="11" t="s">
        <v>87</v>
      </c>
      <c r="V218" s="11" t="s">
        <v>88</v>
      </c>
      <c r="W218" s="11" t="s">
        <v>1315</v>
      </c>
      <c r="X218" s="9" t="n">
        <f aca="false">IF(AND(COUNT($E218:$G218)=0,LEFT($H218,2)&lt;&gt;"定性",LEFT($H218,2)&lt;&gt;"文字",LEFT($H218,2)&lt;&gt;"日期"),1,0)</f>
        <v>0</v>
      </c>
      <c r="Y218" s="9" t="n">
        <f aca="false">IF(OR($L218="",$M218=""),1,0)</f>
        <v>0</v>
      </c>
      <c r="Z218" s="9" t="n">
        <f aca="false">IF(AND(ISNUMBER($E218),ISNUMBER($F218)),IF($F218&gt;$E218,1,0),0)+IF(AND(ISNUMBER($E218),ISNUMBER($G218)),IF($E218&gt;$G218,1,0),0)+IF(AND(ISNUMBER($F218),ISNUMBER($G218)),IF($F218&gt;$G218,1,0),0)</f>
        <v>0</v>
      </c>
      <c r="AA218" s="9" t="n">
        <f aca="false">IF(AND($P218="Derived",$V218="觀測"),1,0)</f>
        <v>0</v>
      </c>
      <c r="AB218" s="12" t="s">
        <v>90</v>
      </c>
    </row>
    <row r="219" customFormat="false" ht="15" hidden="false" customHeight="false" outlineLevel="0" collapsed="false">
      <c r="A219" s="9" t="s">
        <v>1316</v>
      </c>
      <c r="B219" s="9" t="s">
        <v>1317</v>
      </c>
      <c r="C219" s="9" t="s">
        <v>1095</v>
      </c>
      <c r="D219" s="9" t="s">
        <v>1318</v>
      </c>
      <c r="E219" s="10" t="n">
        <v>7</v>
      </c>
      <c r="F219" s="9"/>
      <c r="G219" s="10" t="n">
        <v>17.7</v>
      </c>
      <c r="H219" s="9" t="s">
        <v>1319</v>
      </c>
      <c r="I219" s="9" t="s">
        <v>1320</v>
      </c>
      <c r="J219" s="9"/>
      <c r="K219" s="11" t="s">
        <v>78</v>
      </c>
      <c r="L219" s="9" t="s">
        <v>1321</v>
      </c>
      <c r="M219" s="9" t="s">
        <v>1312</v>
      </c>
      <c r="N219" s="9" t="s">
        <v>1313</v>
      </c>
      <c r="O219" s="9" t="s">
        <v>82</v>
      </c>
      <c r="P219" s="9" t="s">
        <v>83</v>
      </c>
      <c r="Q219" s="9" t="s">
        <v>1314</v>
      </c>
      <c r="R219" s="9" t="s">
        <v>85</v>
      </c>
      <c r="S219" s="11" t="s">
        <v>86</v>
      </c>
      <c r="T219" s="9" t="s">
        <v>1314</v>
      </c>
      <c r="U219" s="11" t="s">
        <v>87</v>
      </c>
      <c r="V219" s="11" t="s">
        <v>88</v>
      </c>
      <c r="W219" s="11" t="s">
        <v>1322</v>
      </c>
      <c r="X219" s="9" t="n">
        <f aca="false">IF(AND(COUNT($E219:$G219)=0,LEFT($H219,2)&lt;&gt;"定性",LEFT($H219,2)&lt;&gt;"文字",LEFT($H219,2)&lt;&gt;"日期"),1,0)</f>
        <v>0</v>
      </c>
      <c r="Y219" s="9" t="n">
        <f aca="false">IF(OR($L219="",$M219=""),1,0)</f>
        <v>0</v>
      </c>
      <c r="Z219" s="9" t="n">
        <f aca="false">IF(AND(ISNUMBER($E219),ISNUMBER($F219)),IF($F219&gt;$E219,1,0),0)+IF(AND(ISNUMBER($E219),ISNUMBER($G219)),IF($E219&gt;$G219,1,0),0)+IF(AND(ISNUMBER($F219),ISNUMBER($G219)),IF($F219&gt;$G219,1,0),0)</f>
        <v>0</v>
      </c>
      <c r="AA219" s="9" t="n">
        <f aca="false">IF(AND($P219="Derived",$V219="觀測"),1,0)</f>
        <v>0</v>
      </c>
      <c r="AB219" s="12" t="s">
        <v>90</v>
      </c>
    </row>
    <row r="220" customFormat="false" ht="15" hidden="false" customHeight="false" outlineLevel="0" collapsed="false">
      <c r="A220" s="9" t="s">
        <v>1323</v>
      </c>
      <c r="B220" s="9" t="s">
        <v>1324</v>
      </c>
      <c r="C220" s="9" t="s">
        <v>1095</v>
      </c>
      <c r="D220" s="9" t="s">
        <v>1325</v>
      </c>
      <c r="E220" s="9"/>
      <c r="F220" s="10" t="n">
        <v>0.245</v>
      </c>
      <c r="G220" s="10" t="n">
        <v>2.295</v>
      </c>
      <c r="H220" s="9" t="s">
        <v>1106</v>
      </c>
      <c r="I220" s="9" t="s">
        <v>1121</v>
      </c>
      <c r="J220" s="9"/>
      <c r="K220" s="11" t="s">
        <v>146</v>
      </c>
      <c r="L220" s="9" t="s">
        <v>1321</v>
      </c>
      <c r="M220" s="9" t="s">
        <v>1312</v>
      </c>
      <c r="N220" s="9" t="s">
        <v>1313</v>
      </c>
      <c r="O220" s="9" t="s">
        <v>82</v>
      </c>
      <c r="P220" s="9" t="s">
        <v>83</v>
      </c>
      <c r="Q220" s="9" t="s">
        <v>1326</v>
      </c>
      <c r="R220" s="9" t="s">
        <v>85</v>
      </c>
      <c r="S220" s="11" t="s">
        <v>86</v>
      </c>
      <c r="T220" s="9" t="s">
        <v>1326</v>
      </c>
      <c r="U220" s="11" t="s">
        <v>87</v>
      </c>
      <c r="V220" s="11" t="s">
        <v>88</v>
      </c>
      <c r="W220" s="11" t="s">
        <v>1327</v>
      </c>
      <c r="X220" s="9" t="n">
        <f aca="false">IF(AND(COUNT($E220:$G220)=0,LEFT($H220,2)&lt;&gt;"定性",LEFT($H220,2)&lt;&gt;"文字",LEFT($H220,2)&lt;&gt;"日期"),1,0)</f>
        <v>0</v>
      </c>
      <c r="Y220" s="9" t="n">
        <f aca="false">IF(OR($L220="",$M220=""),1,0)</f>
        <v>0</v>
      </c>
      <c r="Z220" s="9" t="n">
        <f aca="false">IF(AND(ISNUMBER($E220),ISNUMBER($F220)),IF($F220&gt;$E220,1,0),0)+IF(AND(ISNUMBER($E220),ISNUMBER($G220)),IF($E220&gt;$G220,1,0),0)+IF(AND(ISNUMBER($F220),ISNUMBER($G220)),IF($F220&gt;$G220,1,0),0)</f>
        <v>0</v>
      </c>
      <c r="AA220" s="9" t="n">
        <f aca="false">IF(AND($P220="Derived",$V220="觀測"),1,0)</f>
        <v>0</v>
      </c>
      <c r="AB220" s="12" t="s">
        <v>90</v>
      </c>
    </row>
    <row r="221" customFormat="false" ht="15" hidden="false" customHeight="false" outlineLevel="0" collapsed="false">
      <c r="A221" s="9" t="s">
        <v>1328</v>
      </c>
      <c r="B221" s="9" t="s">
        <v>1329</v>
      </c>
      <c r="C221" s="9" t="s">
        <v>1095</v>
      </c>
      <c r="D221" s="9" t="s">
        <v>1330</v>
      </c>
      <c r="E221" s="10" t="n">
        <v>401</v>
      </c>
      <c r="F221" s="9"/>
      <c r="G221" s="9"/>
      <c r="H221" s="9" t="s">
        <v>1221</v>
      </c>
      <c r="I221" s="9" t="s">
        <v>1331</v>
      </c>
      <c r="J221" s="9"/>
      <c r="K221" s="9" t="s">
        <v>1222</v>
      </c>
      <c r="L221" s="9" t="s">
        <v>1332</v>
      </c>
      <c r="M221" s="9" t="s">
        <v>1333</v>
      </c>
      <c r="N221" s="9" t="s">
        <v>1334</v>
      </c>
      <c r="O221" s="9" t="s">
        <v>82</v>
      </c>
      <c r="P221" s="9" t="s">
        <v>83</v>
      </c>
      <c r="Q221" s="9" t="s">
        <v>1335</v>
      </c>
      <c r="R221" s="9" t="s">
        <v>151</v>
      </c>
      <c r="S221" s="11" t="s">
        <v>86</v>
      </c>
      <c r="T221" s="9" t="s">
        <v>1335</v>
      </c>
      <c r="U221" s="11" t="s">
        <v>152</v>
      </c>
      <c r="V221" s="11" t="s">
        <v>88</v>
      </c>
      <c r="W221" s="11" t="s">
        <v>1336</v>
      </c>
      <c r="X221" s="9" t="n">
        <f aca="false">IF(AND(COUNT($E221:$G221)=0,LEFT($H221,2)&lt;&gt;"定性",LEFT($H221,2)&lt;&gt;"文字",LEFT($H221,2)&lt;&gt;"日期"),1,0)</f>
        <v>0</v>
      </c>
      <c r="Y221" s="9" t="n">
        <f aca="false">IF(OR($L221="",$M221=""),1,0)</f>
        <v>0</v>
      </c>
      <c r="Z221" s="9" t="n">
        <f aca="false">IF(AND(ISNUMBER($E221),ISNUMBER($F221)),IF($F221&gt;$E221,1,0),0)+IF(AND(ISNUMBER($E221),ISNUMBER($G221)),IF($E221&gt;$G221,1,0),0)+IF(AND(ISNUMBER($F221),ISNUMBER($G221)),IF($F221&gt;$G221,1,0),0)</f>
        <v>0</v>
      </c>
      <c r="AA221" s="9" t="n">
        <f aca="false">IF(AND($P221="Derived",$V221="觀測"),1,0)</f>
        <v>0</v>
      </c>
      <c r="AB221" s="12" t="s">
        <v>90</v>
      </c>
    </row>
    <row r="222" customFormat="false" ht="15" hidden="false" customHeight="false" outlineLevel="0" collapsed="false">
      <c r="A222" s="9" t="s">
        <v>1337</v>
      </c>
      <c r="B222" s="9" t="s">
        <v>1338</v>
      </c>
      <c r="C222" s="9" t="s">
        <v>1095</v>
      </c>
      <c r="D222" s="9" t="s">
        <v>1339</v>
      </c>
      <c r="E222" s="10" t="n">
        <v>19</v>
      </c>
      <c r="F222" s="9"/>
      <c r="G222" s="9"/>
      <c r="H222" s="9" t="s">
        <v>1340</v>
      </c>
      <c r="I222" s="9" t="s">
        <v>1341</v>
      </c>
      <c r="J222" s="9"/>
      <c r="K222" s="11" t="s">
        <v>78</v>
      </c>
      <c r="L222" s="9" t="s">
        <v>1332</v>
      </c>
      <c r="M222" s="9" t="s">
        <v>1333</v>
      </c>
      <c r="N222" s="9" t="s">
        <v>1334</v>
      </c>
      <c r="O222" s="9" t="s">
        <v>82</v>
      </c>
      <c r="P222" s="9" t="s">
        <v>83</v>
      </c>
      <c r="Q222" s="9" t="s">
        <v>1335</v>
      </c>
      <c r="R222" s="9" t="s">
        <v>151</v>
      </c>
      <c r="S222" s="11" t="s">
        <v>86</v>
      </c>
      <c r="T222" s="9" t="s">
        <v>1335</v>
      </c>
      <c r="U222" s="11" t="s">
        <v>152</v>
      </c>
      <c r="V222" s="11" t="s">
        <v>88</v>
      </c>
      <c r="W222" s="11" t="s">
        <v>1342</v>
      </c>
      <c r="X222" s="9" t="n">
        <f aca="false">IF(AND(COUNT($E222:$G222)=0,LEFT($H222,2)&lt;&gt;"定性",LEFT($H222,2)&lt;&gt;"文字",LEFT($H222,2)&lt;&gt;"日期"),1,0)</f>
        <v>0</v>
      </c>
      <c r="Y222" s="9" t="n">
        <f aca="false">IF(OR($L222="",$M222=""),1,0)</f>
        <v>0</v>
      </c>
      <c r="Z222" s="9" t="n">
        <f aca="false">IF(AND(ISNUMBER($E222),ISNUMBER($F222)),IF($F222&gt;$E222,1,0),0)+IF(AND(ISNUMBER($E222),ISNUMBER($G222)),IF($E222&gt;$G222,1,0),0)+IF(AND(ISNUMBER($F222),ISNUMBER($G222)),IF($F222&gt;$G222,1,0),0)</f>
        <v>0</v>
      </c>
      <c r="AA222" s="9" t="n">
        <f aca="false">IF(AND($P222="Derived",$V222="觀測"),1,0)</f>
        <v>0</v>
      </c>
      <c r="AB222" s="12" t="s">
        <v>90</v>
      </c>
    </row>
    <row r="223" customFormat="false" ht="15" hidden="false" customHeight="false" outlineLevel="0" collapsed="false">
      <c r="A223" s="9" t="s">
        <v>1343</v>
      </c>
      <c r="B223" s="9" t="s">
        <v>1344</v>
      </c>
      <c r="C223" s="9" t="s">
        <v>1095</v>
      </c>
      <c r="D223" s="9" t="s">
        <v>1345</v>
      </c>
      <c r="E223" s="10" t="n">
        <v>191</v>
      </c>
      <c r="F223" s="10" t="n">
        <v>96</v>
      </c>
      <c r="G223" s="9"/>
      <c r="H223" s="9" t="s">
        <v>1221</v>
      </c>
      <c r="I223" s="9" t="s">
        <v>1346</v>
      </c>
      <c r="J223" s="9"/>
      <c r="K223" s="11" t="s">
        <v>146</v>
      </c>
      <c r="L223" s="9" t="s">
        <v>1347</v>
      </c>
      <c r="M223" s="9" t="s">
        <v>1348</v>
      </c>
      <c r="N223" s="9" t="s">
        <v>1349</v>
      </c>
      <c r="O223" s="9" t="s">
        <v>82</v>
      </c>
      <c r="P223" s="9" t="s">
        <v>83</v>
      </c>
      <c r="Q223" s="9" t="s">
        <v>1350</v>
      </c>
      <c r="R223" s="9" t="s">
        <v>85</v>
      </c>
      <c r="S223" s="11" t="s">
        <v>86</v>
      </c>
      <c r="T223" s="9" t="s">
        <v>1350</v>
      </c>
      <c r="U223" s="11" t="s">
        <v>87</v>
      </c>
      <c r="V223" s="11" t="s">
        <v>88</v>
      </c>
      <c r="W223" s="11" t="s">
        <v>1351</v>
      </c>
      <c r="X223" s="9" t="n">
        <f aca="false">IF(AND(COUNT($E223:$G223)=0,LEFT($H223,2)&lt;&gt;"定性",LEFT($H223,2)&lt;&gt;"文字",LEFT($H223,2)&lt;&gt;"日期"),1,0)</f>
        <v>0</v>
      </c>
      <c r="Y223" s="9" t="n">
        <f aca="false">IF(OR($L223="",$M223=""),1,0)</f>
        <v>0</v>
      </c>
      <c r="Z223" s="9" t="n">
        <f aca="false">IF(AND(ISNUMBER($E223),ISNUMBER($F223)),IF($F223&gt;$E223,1,0),0)+IF(AND(ISNUMBER($E223),ISNUMBER($G223)),IF($E223&gt;$G223,1,0),0)+IF(AND(ISNUMBER($F223),ISNUMBER($G223)),IF($F223&gt;$G223,1,0),0)</f>
        <v>0</v>
      </c>
      <c r="AA223" s="9" t="n">
        <f aca="false">IF(AND($P223="Derived",$V223="觀測"),1,0)</f>
        <v>0</v>
      </c>
      <c r="AB223" s="12" t="s">
        <v>90</v>
      </c>
    </row>
    <row r="224" customFormat="false" ht="15" hidden="false" customHeight="false" outlineLevel="0" collapsed="false">
      <c r="A224" s="9" t="s">
        <v>1352</v>
      </c>
      <c r="B224" s="9" t="s">
        <v>1353</v>
      </c>
      <c r="C224" s="9" t="s">
        <v>1095</v>
      </c>
      <c r="D224" s="9" t="s">
        <v>1354</v>
      </c>
      <c r="E224" s="10" t="n">
        <v>9.1</v>
      </c>
      <c r="F224" s="9"/>
      <c r="G224" s="10" t="n">
        <v>16.5</v>
      </c>
      <c r="H224" s="9" t="s">
        <v>1355</v>
      </c>
      <c r="I224" s="9" t="s">
        <v>1341</v>
      </c>
      <c r="J224" s="9"/>
      <c r="K224" s="11" t="s">
        <v>78</v>
      </c>
      <c r="L224" s="9" t="s">
        <v>1321</v>
      </c>
      <c r="M224" s="9" t="s">
        <v>1348</v>
      </c>
      <c r="N224" s="9" t="s">
        <v>1349</v>
      </c>
      <c r="O224" s="9" t="s">
        <v>82</v>
      </c>
      <c r="P224" s="9" t="s">
        <v>83</v>
      </c>
      <c r="Q224" s="9" t="s">
        <v>1356</v>
      </c>
      <c r="R224" s="9" t="s">
        <v>85</v>
      </c>
      <c r="S224" s="11" t="s">
        <v>86</v>
      </c>
      <c r="T224" s="9" t="s">
        <v>1356</v>
      </c>
      <c r="U224" s="11" t="s">
        <v>87</v>
      </c>
      <c r="V224" s="11" t="s">
        <v>88</v>
      </c>
      <c r="W224" s="11" t="s">
        <v>1357</v>
      </c>
      <c r="X224" s="9" t="n">
        <f aca="false">IF(AND(COUNT($E224:$G224)=0,LEFT($H224,2)&lt;&gt;"定性",LEFT($H224,2)&lt;&gt;"文字",LEFT($H224,2)&lt;&gt;"日期"),1,0)</f>
        <v>0</v>
      </c>
      <c r="Y224" s="9" t="n">
        <f aca="false">IF(OR($L224="",$M224=""),1,0)</f>
        <v>0</v>
      </c>
      <c r="Z224" s="9" t="n">
        <f aca="false">IF(AND(ISNUMBER($E224),ISNUMBER($F224)),IF($F224&gt;$E224,1,0),0)+IF(AND(ISNUMBER($E224),ISNUMBER($G224)),IF($E224&gt;$G224,1,0),0)+IF(AND(ISNUMBER($F224),ISNUMBER($G224)),IF($F224&gt;$G224,1,0),0)</f>
        <v>0</v>
      </c>
      <c r="AA224" s="9" t="n">
        <f aca="false">IF(AND($P224="Derived",$V224="觀測"),1,0)</f>
        <v>0</v>
      </c>
      <c r="AB224" s="12" t="s">
        <v>90</v>
      </c>
    </row>
    <row r="225" customFormat="false" ht="15" hidden="false" customHeight="false" outlineLevel="0" collapsed="false">
      <c r="A225" s="9" t="s">
        <v>1358</v>
      </c>
      <c r="B225" s="9" t="s">
        <v>1359</v>
      </c>
      <c r="C225" s="9" t="s">
        <v>1095</v>
      </c>
      <c r="D225" s="9" t="s">
        <v>1360</v>
      </c>
      <c r="E225" s="10" t="n">
        <v>45</v>
      </c>
      <c r="F225" s="9"/>
      <c r="G225" s="9"/>
      <c r="H225" s="9" t="s">
        <v>1361</v>
      </c>
      <c r="I225" s="11" t="s">
        <v>1362</v>
      </c>
      <c r="J225" s="9"/>
      <c r="K225" s="11" t="s">
        <v>78</v>
      </c>
      <c r="L225" s="9" t="s">
        <v>1363</v>
      </c>
      <c r="M225" s="9" t="s">
        <v>1364</v>
      </c>
      <c r="N225" s="9" t="s">
        <v>1365</v>
      </c>
      <c r="O225" s="9" t="s">
        <v>82</v>
      </c>
      <c r="P225" s="9" t="s">
        <v>83</v>
      </c>
      <c r="Q225" s="9" t="s">
        <v>1366</v>
      </c>
      <c r="R225" s="9" t="s">
        <v>85</v>
      </c>
      <c r="S225" s="11" t="s">
        <v>86</v>
      </c>
      <c r="T225" s="9" t="s">
        <v>1366</v>
      </c>
      <c r="U225" s="11" t="s">
        <v>87</v>
      </c>
      <c r="V225" s="11" t="s">
        <v>88</v>
      </c>
      <c r="W225" s="11" t="s">
        <v>1367</v>
      </c>
      <c r="X225" s="9" t="n">
        <f aca="false">IF(AND(COUNT($E225:$G225)=0,LEFT($H225,2)&lt;&gt;"定性",LEFT($H225,2)&lt;&gt;"文字",LEFT($H225,2)&lt;&gt;"日期"),1,0)</f>
        <v>0</v>
      </c>
      <c r="Y225" s="9" t="n">
        <f aca="false">IF(OR($L225="",$M225=""),1,0)</f>
        <v>0</v>
      </c>
      <c r="Z225" s="9" t="n">
        <f aca="false">IF(AND(ISNUMBER($E225),ISNUMBER($F225)),IF($F225&gt;$E225,1,0),0)+IF(AND(ISNUMBER($E225),ISNUMBER($G225)),IF($E225&gt;$G225,1,0),0)+IF(AND(ISNUMBER($F225),ISNUMBER($G225)),IF($F225&gt;$G225,1,0),0)</f>
        <v>0</v>
      </c>
      <c r="AA225" s="9" t="n">
        <f aca="false">IF(AND($P225="Derived",$V225="觀測"),1,0)</f>
        <v>0</v>
      </c>
      <c r="AB225" s="12" t="s">
        <v>90</v>
      </c>
    </row>
    <row r="226" customFormat="false" ht="15" hidden="false" customHeight="false" outlineLevel="0" collapsed="false">
      <c r="A226" s="9" t="s">
        <v>1368</v>
      </c>
      <c r="B226" s="9" t="s">
        <v>1369</v>
      </c>
      <c r="C226" s="9" t="s">
        <v>1095</v>
      </c>
      <c r="D226" s="9" t="s">
        <v>1370</v>
      </c>
      <c r="E226" s="10" t="n">
        <v>460</v>
      </c>
      <c r="F226" s="9"/>
      <c r="G226" s="9"/>
      <c r="H226" s="9" t="s">
        <v>1221</v>
      </c>
      <c r="I226" s="9" t="s">
        <v>1371</v>
      </c>
      <c r="J226" s="9"/>
      <c r="K226" s="11" t="s">
        <v>146</v>
      </c>
      <c r="L226" s="9" t="s">
        <v>1321</v>
      </c>
      <c r="M226" s="9" t="s">
        <v>1364</v>
      </c>
      <c r="N226" s="9" t="s">
        <v>1365</v>
      </c>
      <c r="O226" s="9" t="s">
        <v>82</v>
      </c>
      <c r="P226" s="9" t="s">
        <v>83</v>
      </c>
      <c r="Q226" s="9" t="s">
        <v>1372</v>
      </c>
      <c r="R226" s="9" t="s">
        <v>85</v>
      </c>
      <c r="S226" s="11" t="s">
        <v>86</v>
      </c>
      <c r="T226" s="9" t="s">
        <v>1372</v>
      </c>
      <c r="U226" s="11" t="s">
        <v>87</v>
      </c>
      <c r="V226" s="11" t="s">
        <v>88</v>
      </c>
      <c r="W226" s="11" t="s">
        <v>1373</v>
      </c>
      <c r="X226" s="9" t="n">
        <f aca="false">IF(AND(COUNT($E226:$G226)=0,LEFT($H226,2)&lt;&gt;"定性",LEFT($H226,2)&lt;&gt;"文字",LEFT($H226,2)&lt;&gt;"日期"),1,0)</f>
        <v>0</v>
      </c>
      <c r="Y226" s="9" t="n">
        <f aca="false">IF(OR($L226="",$M226=""),1,0)</f>
        <v>0</v>
      </c>
      <c r="Z226" s="9" t="n">
        <f aca="false">IF(AND(ISNUMBER($E226),ISNUMBER($F226)),IF($F226&gt;$E226,1,0),0)+IF(AND(ISNUMBER($E226),ISNUMBER($G226)),IF($E226&gt;$G226,1,0),0)+IF(AND(ISNUMBER($F226),ISNUMBER($G226)),IF($F226&gt;$G226,1,0),0)</f>
        <v>0</v>
      </c>
      <c r="AA226" s="9" t="n">
        <f aca="false">IF(AND($P226="Derived",$V226="觀測"),1,0)</f>
        <v>0</v>
      </c>
      <c r="AB226" s="12" t="s">
        <v>90</v>
      </c>
    </row>
    <row r="227" customFormat="false" ht="15" hidden="false" customHeight="false" outlineLevel="0" collapsed="false">
      <c r="A227" s="9" t="s">
        <v>1374</v>
      </c>
      <c r="B227" s="9" t="s">
        <v>1375</v>
      </c>
      <c r="C227" s="9" t="s">
        <v>1095</v>
      </c>
      <c r="D227" s="9" t="s">
        <v>1376</v>
      </c>
      <c r="E227" s="10" t="n">
        <v>35</v>
      </c>
      <c r="F227" s="9"/>
      <c r="G227" s="9"/>
      <c r="H227" s="9" t="s">
        <v>1377</v>
      </c>
      <c r="I227" s="11" t="s">
        <v>1378</v>
      </c>
      <c r="J227" s="9"/>
      <c r="K227" s="11" t="s">
        <v>78</v>
      </c>
      <c r="L227" s="9" t="s">
        <v>1379</v>
      </c>
      <c r="M227" s="9" t="s">
        <v>1380</v>
      </c>
      <c r="N227" s="9" t="s">
        <v>699</v>
      </c>
      <c r="O227" s="9" t="s">
        <v>82</v>
      </c>
      <c r="P227" s="9" t="s">
        <v>83</v>
      </c>
      <c r="Q227" s="9" t="s">
        <v>1381</v>
      </c>
      <c r="R227" s="9" t="s">
        <v>85</v>
      </c>
      <c r="S227" s="11" t="s">
        <v>86</v>
      </c>
      <c r="T227" s="9" t="s">
        <v>1381</v>
      </c>
      <c r="U227" s="11" t="s">
        <v>87</v>
      </c>
      <c r="V227" s="11" t="s">
        <v>88</v>
      </c>
      <c r="W227" s="11" t="s">
        <v>1382</v>
      </c>
      <c r="X227" s="9" t="n">
        <f aca="false">IF(AND(COUNT($E227:$G227)=0,LEFT($H227,2)&lt;&gt;"定性",LEFT($H227,2)&lt;&gt;"文字",LEFT($H227,2)&lt;&gt;"日期"),1,0)</f>
        <v>0</v>
      </c>
      <c r="Y227" s="9" t="n">
        <f aca="false">IF(OR($L227="",$M227=""),1,0)</f>
        <v>0</v>
      </c>
      <c r="Z227" s="9" t="n">
        <f aca="false">IF(AND(ISNUMBER($E227),ISNUMBER($F227)),IF($F227&gt;$E227,1,0),0)+IF(AND(ISNUMBER($E227),ISNUMBER($G227)),IF($E227&gt;$G227,1,0),0)+IF(AND(ISNUMBER($F227),ISNUMBER($G227)),IF($F227&gt;$G227,1,0),0)</f>
        <v>0</v>
      </c>
      <c r="AA227" s="9" t="n">
        <f aca="false">IF(AND($P227="Derived",$V227="觀測"),1,0)</f>
        <v>0</v>
      </c>
      <c r="AB227" s="12" t="s">
        <v>90</v>
      </c>
    </row>
    <row r="228" customFormat="false" ht="15" hidden="false" customHeight="false" outlineLevel="0" collapsed="false">
      <c r="A228" s="9" t="s">
        <v>1383</v>
      </c>
      <c r="B228" s="9" t="s">
        <v>1384</v>
      </c>
      <c r="C228" s="9" t="s">
        <v>1095</v>
      </c>
      <c r="D228" s="9" t="s">
        <v>1385</v>
      </c>
      <c r="E228" s="10" t="n">
        <v>350</v>
      </c>
      <c r="F228" s="9"/>
      <c r="G228" s="9"/>
      <c r="H228" s="9" t="s">
        <v>1221</v>
      </c>
      <c r="I228" s="11" t="s">
        <v>1386</v>
      </c>
      <c r="J228" s="9"/>
      <c r="K228" s="11" t="s">
        <v>146</v>
      </c>
      <c r="L228" s="9" t="s">
        <v>1387</v>
      </c>
      <c r="M228" s="9" t="s">
        <v>1380</v>
      </c>
      <c r="N228" s="9" t="s">
        <v>699</v>
      </c>
      <c r="O228" s="9" t="s">
        <v>82</v>
      </c>
      <c r="P228" s="9" t="s">
        <v>83</v>
      </c>
      <c r="Q228" s="9" t="s">
        <v>1388</v>
      </c>
      <c r="R228" s="11" t="s">
        <v>103</v>
      </c>
      <c r="S228" s="11" t="s">
        <v>86</v>
      </c>
      <c r="T228" s="9" t="s">
        <v>1388</v>
      </c>
      <c r="U228" s="11" t="s">
        <v>103</v>
      </c>
      <c r="V228" s="11" t="s">
        <v>88</v>
      </c>
      <c r="W228" s="11" t="s">
        <v>1389</v>
      </c>
      <c r="X228" s="9" t="n">
        <f aca="false">IF(AND(COUNT($E228:$G228)=0,LEFT($H228,2)&lt;&gt;"定性",LEFT($H228,2)&lt;&gt;"文字",LEFT($H228,2)&lt;&gt;"日期"),1,0)</f>
        <v>0</v>
      </c>
      <c r="Y228" s="9" t="n">
        <f aca="false">IF(OR($L228="",$M228=""),1,0)</f>
        <v>0</v>
      </c>
      <c r="Z228" s="9" t="n">
        <f aca="false">IF(AND(ISNUMBER($E228),ISNUMBER($F228)),IF($F228&gt;$E228,1,0),0)+IF(AND(ISNUMBER($E228),ISNUMBER($G228)),IF($E228&gt;$G228,1,0),0)+IF(AND(ISNUMBER($F228),ISNUMBER($G228)),IF($F228&gt;$G228,1,0),0)</f>
        <v>0</v>
      </c>
      <c r="AA228" s="9" t="n">
        <f aca="false">IF(AND($P228="Derived",$V228="觀測"),1,0)</f>
        <v>0</v>
      </c>
      <c r="AB228" s="12" t="s">
        <v>90</v>
      </c>
    </row>
    <row r="229" customFormat="false" ht="15" hidden="false" customHeight="false" outlineLevel="0" collapsed="false">
      <c r="A229" s="9" t="s">
        <v>1390</v>
      </c>
      <c r="B229" s="9" t="s">
        <v>1391</v>
      </c>
      <c r="C229" s="9" t="s">
        <v>1095</v>
      </c>
      <c r="D229" s="9" t="s">
        <v>1392</v>
      </c>
      <c r="E229" s="9"/>
      <c r="F229" s="10" t="n">
        <v>300</v>
      </c>
      <c r="G229" s="9"/>
      <c r="H229" s="9" t="s">
        <v>1221</v>
      </c>
      <c r="I229" s="9" t="s">
        <v>1393</v>
      </c>
      <c r="J229" s="9"/>
      <c r="K229" s="11" t="s">
        <v>146</v>
      </c>
      <c r="L229" s="9" t="s">
        <v>1137</v>
      </c>
      <c r="M229" s="9" t="s">
        <v>1138</v>
      </c>
      <c r="N229" s="9" t="s">
        <v>931</v>
      </c>
      <c r="O229" s="9" t="s">
        <v>82</v>
      </c>
      <c r="P229" s="9" t="s">
        <v>83</v>
      </c>
      <c r="Q229" s="9" t="s">
        <v>1394</v>
      </c>
      <c r="R229" s="9" t="s">
        <v>151</v>
      </c>
      <c r="S229" s="11" t="s">
        <v>86</v>
      </c>
      <c r="T229" s="9" t="s">
        <v>1394</v>
      </c>
      <c r="U229" s="11" t="s">
        <v>152</v>
      </c>
      <c r="V229" s="11" t="s">
        <v>88</v>
      </c>
      <c r="W229" s="11" t="s">
        <v>1395</v>
      </c>
      <c r="X229" s="9" t="n">
        <f aca="false">IF(AND(COUNT($E229:$G229)=0,LEFT($H229,2)&lt;&gt;"定性",LEFT($H229,2)&lt;&gt;"文字",LEFT($H229,2)&lt;&gt;"日期"),1,0)</f>
        <v>0</v>
      </c>
      <c r="Y229" s="9" t="n">
        <f aca="false">IF(OR($L229="",$M229=""),1,0)</f>
        <v>0</v>
      </c>
      <c r="Z229" s="9" t="n">
        <f aca="false">IF(AND(ISNUMBER($E229),ISNUMBER($F229)),IF($F229&gt;$E229,1,0),0)+IF(AND(ISNUMBER($E229),ISNUMBER($G229)),IF($E229&gt;$G229,1,0),0)+IF(AND(ISNUMBER($F229),ISNUMBER($G229)),IF($F229&gt;$G229,1,0),0)</f>
        <v>0</v>
      </c>
      <c r="AA229" s="9" t="n">
        <f aca="false">IF(AND($P229="Derived",$V229="觀測"),1,0)</f>
        <v>0</v>
      </c>
      <c r="AB229" s="12" t="s">
        <v>90</v>
      </c>
    </row>
    <row r="230" customFormat="false" ht="15" hidden="false" customHeight="false" outlineLevel="0" collapsed="false">
      <c r="A230" s="9" t="s">
        <v>1396</v>
      </c>
      <c r="B230" s="9" t="s">
        <v>1397</v>
      </c>
      <c r="C230" s="9" t="s">
        <v>1095</v>
      </c>
      <c r="D230" s="9" t="s">
        <v>1398</v>
      </c>
      <c r="E230" s="9"/>
      <c r="F230" s="10" t="n">
        <v>220000</v>
      </c>
      <c r="G230" s="9"/>
      <c r="H230" s="11" t="s">
        <v>1399</v>
      </c>
      <c r="I230" s="9" t="s">
        <v>233</v>
      </c>
      <c r="J230" s="9"/>
      <c r="K230" s="9"/>
      <c r="L230" s="9" t="s">
        <v>1137</v>
      </c>
      <c r="M230" s="9" t="s">
        <v>1138</v>
      </c>
      <c r="N230" s="9" t="s">
        <v>931</v>
      </c>
      <c r="O230" s="9" t="s">
        <v>82</v>
      </c>
      <c r="P230" s="9" t="s">
        <v>83</v>
      </c>
      <c r="Q230" s="9" t="s">
        <v>1116</v>
      </c>
      <c r="R230" s="9" t="s">
        <v>151</v>
      </c>
      <c r="S230" s="11" t="s">
        <v>86</v>
      </c>
      <c r="T230" s="9" t="s">
        <v>1116</v>
      </c>
      <c r="U230" s="11" t="s">
        <v>152</v>
      </c>
      <c r="V230" s="11" t="s">
        <v>88</v>
      </c>
      <c r="W230" s="11" t="s">
        <v>1400</v>
      </c>
      <c r="X230" s="9" t="n">
        <f aca="false">IF(AND(COUNT($E230:$G230)=0,LEFT($H230,2)&lt;&gt;"定性",LEFT($H230,2)&lt;&gt;"文字",LEFT($H230,2)&lt;&gt;"日期"),1,0)</f>
        <v>0</v>
      </c>
      <c r="Y230" s="9" t="n">
        <f aca="false">IF(OR($L230="",$M230=""),1,0)</f>
        <v>0</v>
      </c>
      <c r="Z230" s="9" t="n">
        <f aca="false">IF(AND(ISNUMBER($E230),ISNUMBER($F230)),IF($F230&gt;$E230,1,0),0)+IF(AND(ISNUMBER($E230),ISNUMBER($G230)),IF($E230&gt;$G230,1,0),0)+IF(AND(ISNUMBER($F230),ISNUMBER($G230)),IF($F230&gt;$G230,1,0),0)</f>
        <v>0</v>
      </c>
      <c r="AA230" s="9" t="n">
        <f aca="false">IF(AND($P230="Derived",$V230="觀測"),1,0)</f>
        <v>0</v>
      </c>
      <c r="AB230" s="12" t="s">
        <v>90</v>
      </c>
    </row>
    <row r="231" customFormat="false" ht="15" hidden="false" customHeight="false" outlineLevel="0" collapsed="false">
      <c r="A231" s="9" t="s">
        <v>1401</v>
      </c>
      <c r="B231" s="9" t="s">
        <v>1402</v>
      </c>
      <c r="C231" s="9" t="s">
        <v>1095</v>
      </c>
      <c r="D231" s="9" t="s">
        <v>1403</v>
      </c>
      <c r="E231" s="10" t="n">
        <v>1.25</v>
      </c>
      <c r="F231" s="9"/>
      <c r="G231" s="9"/>
      <c r="H231" s="9" t="s">
        <v>1404</v>
      </c>
      <c r="I231" s="9" t="s">
        <v>1405</v>
      </c>
      <c r="J231" s="9"/>
      <c r="K231" s="11" t="s">
        <v>78</v>
      </c>
      <c r="L231" s="9" t="s">
        <v>1406</v>
      </c>
      <c r="M231" s="9" t="s">
        <v>1407</v>
      </c>
      <c r="N231" s="9" t="s">
        <v>414</v>
      </c>
      <c r="O231" s="9" t="s">
        <v>82</v>
      </c>
      <c r="P231" s="9" t="s">
        <v>1129</v>
      </c>
      <c r="Q231" s="9"/>
      <c r="R231" s="9" t="s">
        <v>85</v>
      </c>
      <c r="S231" s="11" t="s">
        <v>1130</v>
      </c>
      <c r="T231" s="11" t="s">
        <v>1131</v>
      </c>
      <c r="U231" s="11" t="s">
        <v>87</v>
      </c>
      <c r="V231" s="11" t="s">
        <v>88</v>
      </c>
      <c r="W231" s="9" t="s">
        <v>1408</v>
      </c>
      <c r="X231" s="9" t="n">
        <f aca="false">IF(AND(COUNT($E231:$G231)=0,LEFT($H231,2)&lt;&gt;"定性",LEFT($H231,2)&lt;&gt;"文字",LEFT($H231,2)&lt;&gt;"日期"),1,0)</f>
        <v>0</v>
      </c>
      <c r="Y231" s="9" t="n">
        <f aca="false">IF(OR($L231="",$M231=""),1,0)</f>
        <v>0</v>
      </c>
      <c r="Z231" s="9" t="n">
        <f aca="false">IF(AND(ISNUMBER($E231),ISNUMBER($F231)),IF($F231&gt;$E231,1,0),0)+IF(AND(ISNUMBER($E231),ISNUMBER($G231)),IF($E231&gt;$G231,1,0),0)+IF(AND(ISNUMBER($F231),ISNUMBER($G231)),IF($F231&gt;$G231,1,0),0)</f>
        <v>0</v>
      </c>
      <c r="AA231" s="9" t="n">
        <f aca="false">IF(AND($P231="Derived",$V231="觀測"),1,0)</f>
        <v>0</v>
      </c>
      <c r="AB231" s="12" t="s">
        <v>90</v>
      </c>
    </row>
    <row r="232" customFormat="false" ht="15" hidden="false" customHeight="false" outlineLevel="0" collapsed="false">
      <c r="A232" s="9" t="s">
        <v>1409</v>
      </c>
      <c r="B232" s="9" t="s">
        <v>1410</v>
      </c>
      <c r="C232" s="9" t="s">
        <v>1095</v>
      </c>
      <c r="D232" s="9" t="s">
        <v>1411</v>
      </c>
      <c r="E232" s="10" t="n">
        <v>180</v>
      </c>
      <c r="F232" s="9"/>
      <c r="G232" s="9"/>
      <c r="H232" s="11" t="s">
        <v>1412</v>
      </c>
      <c r="I232" s="9" t="s">
        <v>1413</v>
      </c>
      <c r="J232" s="9"/>
      <c r="K232" s="9"/>
      <c r="L232" s="9" t="s">
        <v>1414</v>
      </c>
      <c r="M232" s="9" t="s">
        <v>1415</v>
      </c>
      <c r="N232" s="9" t="s">
        <v>1416</v>
      </c>
      <c r="O232" s="9" t="s">
        <v>82</v>
      </c>
      <c r="P232" s="9" t="s">
        <v>83</v>
      </c>
      <c r="Q232" s="9" t="s">
        <v>1417</v>
      </c>
      <c r="R232" s="9" t="s">
        <v>85</v>
      </c>
      <c r="S232" s="11" t="s">
        <v>86</v>
      </c>
      <c r="T232" s="9" t="s">
        <v>1417</v>
      </c>
      <c r="U232" s="11" t="s">
        <v>1132</v>
      </c>
      <c r="V232" s="11" t="s">
        <v>88</v>
      </c>
      <c r="W232" s="9" t="s">
        <v>1418</v>
      </c>
      <c r="X232" s="9" t="n">
        <f aca="false">IF(AND(COUNT($E232:$G232)=0,LEFT($H232,2)&lt;&gt;"定性",LEFT($H232,2)&lt;&gt;"文字",LEFT($H232,2)&lt;&gt;"日期"),1,0)</f>
        <v>0</v>
      </c>
      <c r="Y232" s="9" t="n">
        <f aca="false">IF(OR($L232="",$M232=""),1,0)</f>
        <v>0</v>
      </c>
      <c r="Z232" s="9" t="n">
        <f aca="false">IF(AND(ISNUMBER($E232),ISNUMBER($F232)),IF($F232&gt;$E232,1,0),0)+IF(AND(ISNUMBER($E232),ISNUMBER($G232)),IF($E232&gt;$G232,1,0),0)+IF(AND(ISNUMBER($F232),ISNUMBER($G232)),IF($F232&gt;$G232,1,0),0)</f>
        <v>0</v>
      </c>
      <c r="AA232" s="9" t="n">
        <f aca="false">IF(AND($P232="Derived",$V232="觀測"),1,0)</f>
        <v>0</v>
      </c>
      <c r="AB232" s="12" t="s">
        <v>90</v>
      </c>
    </row>
    <row r="233" customFormat="false" ht="15" hidden="false" customHeight="false" outlineLevel="0" collapsed="false">
      <c r="A233" s="9" t="s">
        <v>1419</v>
      </c>
      <c r="B233" s="9" t="s">
        <v>1420</v>
      </c>
      <c r="C233" s="9" t="s">
        <v>1095</v>
      </c>
      <c r="D233" s="9" t="s">
        <v>1421</v>
      </c>
      <c r="E233" s="9"/>
      <c r="F233" s="9"/>
      <c r="G233" s="10" t="n">
        <v>84.5</v>
      </c>
      <c r="H233" s="9" t="s">
        <v>1422</v>
      </c>
      <c r="I233" s="9" t="s">
        <v>1423</v>
      </c>
      <c r="J233" s="9"/>
      <c r="K233" s="11" t="s">
        <v>78</v>
      </c>
      <c r="L233" s="9" t="s">
        <v>1424</v>
      </c>
      <c r="M233" s="9" t="s">
        <v>1425</v>
      </c>
      <c r="N233" s="9" t="s">
        <v>81</v>
      </c>
      <c r="O233" s="9" t="s">
        <v>82</v>
      </c>
      <c r="P233" s="9" t="s">
        <v>83</v>
      </c>
      <c r="Q233" s="9" t="s">
        <v>1426</v>
      </c>
      <c r="R233" s="9" t="s">
        <v>85</v>
      </c>
      <c r="S233" s="11" t="s">
        <v>86</v>
      </c>
      <c r="T233" s="9" t="s">
        <v>1426</v>
      </c>
      <c r="U233" s="11" t="s">
        <v>87</v>
      </c>
      <c r="V233" s="11" t="s">
        <v>88</v>
      </c>
      <c r="W233" s="11" t="s">
        <v>1427</v>
      </c>
      <c r="X233" s="9" t="n">
        <f aca="false">IF(AND(COUNT($E233:$G233)=0,LEFT($H233,2)&lt;&gt;"定性",LEFT($H233,2)&lt;&gt;"文字",LEFT($H233,2)&lt;&gt;"日期"),1,0)</f>
        <v>0</v>
      </c>
      <c r="Y233" s="9" t="n">
        <f aca="false">IF(OR($L233="",$M233=""),1,0)</f>
        <v>0</v>
      </c>
      <c r="Z233" s="9" t="n">
        <f aca="false">IF(AND(ISNUMBER($E233),ISNUMBER($F233)),IF($F233&gt;$E233,1,0),0)+IF(AND(ISNUMBER($E233),ISNUMBER($G233)),IF($E233&gt;$G233,1,0),0)+IF(AND(ISNUMBER($F233),ISNUMBER($G233)),IF($F233&gt;$G233,1,0),0)</f>
        <v>0</v>
      </c>
      <c r="AA233" s="9" t="n">
        <f aca="false">IF(AND($P233="Derived",$V233="觀測"),1,0)</f>
        <v>0</v>
      </c>
      <c r="AB233" s="12" t="s">
        <v>90</v>
      </c>
    </row>
    <row r="234" customFormat="false" ht="15" hidden="false" customHeight="false" outlineLevel="0" collapsed="false">
      <c r="A234" s="9" t="s">
        <v>1428</v>
      </c>
      <c r="B234" s="9" t="s">
        <v>1429</v>
      </c>
      <c r="C234" s="9" t="s">
        <v>1095</v>
      </c>
      <c r="D234" s="9" t="s">
        <v>1430</v>
      </c>
      <c r="E234" s="9" t="n">
        <f aca="false">SRC_ANT_227*INP_014</f>
        <v>45</v>
      </c>
      <c r="F234" s="9"/>
      <c r="G234" s="9"/>
      <c r="H234" s="9" t="s">
        <v>1431</v>
      </c>
      <c r="I234" s="9" t="s">
        <v>1405</v>
      </c>
      <c r="J234" s="9"/>
      <c r="K234" s="11" t="s">
        <v>78</v>
      </c>
      <c r="L234" s="9" t="s">
        <v>1432</v>
      </c>
      <c r="M234" s="9" t="s">
        <v>1262</v>
      </c>
      <c r="N234" s="9" t="s">
        <v>1263</v>
      </c>
      <c r="O234" s="9" t="s">
        <v>82</v>
      </c>
      <c r="P234" s="9" t="s">
        <v>102</v>
      </c>
      <c r="Q234" s="9"/>
      <c r="R234" s="11" t="s">
        <v>103</v>
      </c>
      <c r="S234" s="11" t="s">
        <v>104</v>
      </c>
      <c r="T234" s="11" t="s">
        <v>105</v>
      </c>
      <c r="U234" s="11" t="s">
        <v>104</v>
      </c>
      <c r="V234" s="9" t="s">
        <v>106</v>
      </c>
      <c r="W234" s="11" t="s">
        <v>1433</v>
      </c>
      <c r="X234" s="9" t="n">
        <f aca="false">IF(AND(COUNT($E234:$G234)=0,LEFT($H234,2)&lt;&gt;"定性",LEFT($H234,2)&lt;&gt;"文字",LEFT($H234,2)&lt;&gt;"日期"),1,0)</f>
        <v>0</v>
      </c>
      <c r="Y234" s="9" t="n">
        <f aca="false">IF(OR($L234="",$M234=""),1,0)</f>
        <v>0</v>
      </c>
      <c r="Z234" s="9" t="n">
        <f aca="false">IF(AND(ISNUMBER($E234),ISNUMBER($F234)),IF($F234&gt;$E234,1,0),0)+IF(AND(ISNUMBER($E234),ISNUMBER($G234)),IF($E234&gt;$G234,1,0),0)+IF(AND(ISNUMBER($F234),ISNUMBER($G234)),IF($F234&gt;$G234,1,0),0)</f>
        <v>0</v>
      </c>
      <c r="AA234" s="9" t="n">
        <f aca="false">IF(AND($P234="Derived",$V234="觀測"),1,0)</f>
        <v>0</v>
      </c>
      <c r="AB234" s="12" t="s">
        <v>90</v>
      </c>
    </row>
    <row r="235" customFormat="false" ht="15" hidden="false" customHeight="false" outlineLevel="0" collapsed="false">
      <c r="A235" s="9" t="s">
        <v>1434</v>
      </c>
      <c r="B235" s="9" t="s">
        <v>1435</v>
      </c>
      <c r="C235" s="9" t="s">
        <v>1095</v>
      </c>
      <c r="D235" s="9" t="s">
        <v>1436</v>
      </c>
      <c r="E235" s="9"/>
      <c r="F235" s="9"/>
      <c r="G235" s="10" t="n">
        <v>2</v>
      </c>
      <c r="H235" s="9" t="s">
        <v>1106</v>
      </c>
      <c r="I235" s="11" t="s">
        <v>1437</v>
      </c>
      <c r="J235" s="9"/>
      <c r="K235" s="11" t="s">
        <v>146</v>
      </c>
      <c r="L235" s="9" t="s">
        <v>1438</v>
      </c>
      <c r="M235" s="9" t="s">
        <v>1439</v>
      </c>
      <c r="N235" s="9" t="s">
        <v>1440</v>
      </c>
      <c r="O235" s="9" t="s">
        <v>82</v>
      </c>
      <c r="P235" s="9" t="s">
        <v>83</v>
      </c>
      <c r="Q235" s="9" t="s">
        <v>1441</v>
      </c>
      <c r="R235" s="9" t="s">
        <v>151</v>
      </c>
      <c r="S235" s="11" t="s">
        <v>86</v>
      </c>
      <c r="T235" s="9" t="s">
        <v>1441</v>
      </c>
      <c r="U235" s="11" t="s">
        <v>152</v>
      </c>
      <c r="V235" s="11" t="s">
        <v>88</v>
      </c>
      <c r="W235" s="11" t="s">
        <v>1442</v>
      </c>
      <c r="X235" s="9" t="n">
        <f aca="false">IF(AND(COUNT($E235:$G235)=0,LEFT($H235,2)&lt;&gt;"定性",LEFT($H235,2)&lt;&gt;"文字",LEFT($H235,2)&lt;&gt;"日期"),1,0)</f>
        <v>0</v>
      </c>
      <c r="Y235" s="9" t="n">
        <f aca="false">IF(OR($L235="",$M235=""),1,0)</f>
        <v>0</v>
      </c>
      <c r="Z235" s="9" t="n">
        <f aca="false">IF(AND(ISNUMBER($E235),ISNUMBER($F235)),IF($F235&gt;$E235,1,0),0)+IF(AND(ISNUMBER($E235),ISNUMBER($G235)),IF($E235&gt;$G235,1,0),0)+IF(AND(ISNUMBER($F235),ISNUMBER($G235)),IF($F235&gt;$G235,1,0),0)</f>
        <v>0</v>
      </c>
      <c r="AA235" s="9" t="n">
        <f aca="false">IF(AND($P235="Derived",$V235="觀測"),1,0)</f>
        <v>0</v>
      </c>
      <c r="AB235" s="12" t="s">
        <v>90</v>
      </c>
    </row>
    <row r="236" customFormat="false" ht="15" hidden="false" customHeight="false" outlineLevel="0" collapsed="false">
      <c r="A236" s="9" t="s">
        <v>1443</v>
      </c>
      <c r="B236" s="9" t="s">
        <v>1444</v>
      </c>
      <c r="C236" s="9" t="s">
        <v>1095</v>
      </c>
      <c r="D236" s="9" t="s">
        <v>1445</v>
      </c>
      <c r="E236" s="9"/>
      <c r="F236" s="10" t="n">
        <v>20</v>
      </c>
      <c r="G236" s="9"/>
      <c r="H236" s="9" t="s">
        <v>1269</v>
      </c>
      <c r="I236" s="9" t="s">
        <v>1446</v>
      </c>
      <c r="J236" s="9"/>
      <c r="K236" s="11" t="s">
        <v>78</v>
      </c>
      <c r="L236" s="9" t="s">
        <v>1447</v>
      </c>
      <c r="M236" s="9" t="s">
        <v>1425</v>
      </c>
      <c r="N236" s="9" t="s">
        <v>81</v>
      </c>
      <c r="O236" s="9" t="s">
        <v>82</v>
      </c>
      <c r="P236" s="9" t="s">
        <v>83</v>
      </c>
      <c r="Q236" s="9" t="s">
        <v>1426</v>
      </c>
      <c r="R236" s="9" t="s">
        <v>85</v>
      </c>
      <c r="S236" s="11" t="s">
        <v>86</v>
      </c>
      <c r="T236" s="9" t="s">
        <v>1426</v>
      </c>
      <c r="U236" s="11" t="s">
        <v>87</v>
      </c>
      <c r="V236" s="11" t="s">
        <v>88</v>
      </c>
      <c r="W236" s="11" t="s">
        <v>1448</v>
      </c>
      <c r="X236" s="9" t="n">
        <f aca="false">IF(AND(COUNT($E236:$G236)=0,LEFT($H236,2)&lt;&gt;"定性",LEFT($H236,2)&lt;&gt;"文字",LEFT($H236,2)&lt;&gt;"日期"),1,0)</f>
        <v>0</v>
      </c>
      <c r="Y236" s="9" t="n">
        <f aca="false">IF(OR($L236="",$M236=""),1,0)</f>
        <v>0</v>
      </c>
      <c r="Z236" s="9" t="n">
        <f aca="false">IF(AND(ISNUMBER($E236),ISNUMBER($F236)),IF($F236&gt;$E236,1,0),0)+IF(AND(ISNUMBER($E236),ISNUMBER($G236)),IF($E236&gt;$G236,1,0),0)+IF(AND(ISNUMBER($F236),ISNUMBER($G236)),IF($F236&gt;$G236,1,0),0)</f>
        <v>0</v>
      </c>
      <c r="AA236" s="9" t="n">
        <f aca="false">IF(AND($P236="Derived",$V236="觀測"),1,0)</f>
        <v>0</v>
      </c>
      <c r="AB236" s="12" t="s">
        <v>90</v>
      </c>
    </row>
    <row r="237" customFormat="false" ht="15" hidden="false" customHeight="false" outlineLevel="0" collapsed="false">
      <c r="A237" s="9" t="s">
        <v>1449</v>
      </c>
      <c r="B237" s="9" t="s">
        <v>1450</v>
      </c>
      <c r="C237" s="9" t="s">
        <v>1095</v>
      </c>
      <c r="D237" s="9" t="s">
        <v>1451</v>
      </c>
      <c r="E237" s="9"/>
      <c r="F237" s="9"/>
      <c r="G237" s="9"/>
      <c r="H237" s="11" t="s">
        <v>281</v>
      </c>
      <c r="I237" s="9" t="s">
        <v>1452</v>
      </c>
      <c r="J237" s="9"/>
      <c r="K237" s="9"/>
      <c r="L237" s="9" t="s">
        <v>1453</v>
      </c>
      <c r="M237" s="9" t="s">
        <v>1454</v>
      </c>
      <c r="N237" s="9" t="s">
        <v>1455</v>
      </c>
      <c r="O237" s="9" t="s">
        <v>82</v>
      </c>
      <c r="P237" s="9" t="s">
        <v>83</v>
      </c>
      <c r="Q237" s="9" t="s">
        <v>1456</v>
      </c>
      <c r="R237" s="9" t="s">
        <v>151</v>
      </c>
      <c r="S237" s="11" t="s">
        <v>86</v>
      </c>
      <c r="T237" s="9" t="s">
        <v>1456</v>
      </c>
      <c r="U237" s="11" t="s">
        <v>152</v>
      </c>
      <c r="V237" s="11" t="s">
        <v>88</v>
      </c>
      <c r="W237" s="11" t="s">
        <v>1457</v>
      </c>
      <c r="X237" s="9" t="n">
        <f aca="false">IF(AND(COUNT($E237:$G237)=0,LEFT($H237,2)&lt;&gt;"定性",LEFT($H237,2)&lt;&gt;"文字",LEFT($H237,2)&lt;&gt;"日期"),1,0)</f>
        <v>0</v>
      </c>
      <c r="Y237" s="9" t="n">
        <f aca="false">IF(OR($L237="",$M237=""),1,0)</f>
        <v>0</v>
      </c>
      <c r="Z237" s="9" t="n">
        <f aca="false">IF(AND(ISNUMBER($E237),ISNUMBER($F237)),IF($F237&gt;$E237,1,0),0)+IF(AND(ISNUMBER($E237),ISNUMBER($G237)),IF($E237&gt;$G237,1,0),0)+IF(AND(ISNUMBER($F237),ISNUMBER($G237)),IF($F237&gt;$G237,1,0),0)</f>
        <v>0</v>
      </c>
      <c r="AA237" s="9" t="n">
        <f aca="false">IF(AND($P237="Derived",$V237="觀測"),1,0)</f>
        <v>0</v>
      </c>
      <c r="AB237" s="12" t="s">
        <v>90</v>
      </c>
    </row>
    <row r="238" customFormat="false" ht="15" hidden="false" customHeight="false" outlineLevel="0" collapsed="false">
      <c r="A238" s="9" t="s">
        <v>1458</v>
      </c>
      <c r="B238" s="9" t="s">
        <v>1459</v>
      </c>
      <c r="C238" s="9" t="s">
        <v>1095</v>
      </c>
      <c r="D238" s="9" t="s">
        <v>1460</v>
      </c>
      <c r="E238" s="10" t="n">
        <v>1.8</v>
      </c>
      <c r="F238" s="9"/>
      <c r="G238" s="9"/>
      <c r="H238" s="9" t="s">
        <v>1461</v>
      </c>
      <c r="I238" s="9" t="s">
        <v>1462</v>
      </c>
      <c r="J238" s="9"/>
      <c r="K238" s="11" t="s">
        <v>78</v>
      </c>
      <c r="L238" s="9" t="s">
        <v>1463</v>
      </c>
      <c r="M238" s="9" t="s">
        <v>1464</v>
      </c>
      <c r="N238" s="9" t="s">
        <v>1465</v>
      </c>
      <c r="O238" s="9" t="s">
        <v>82</v>
      </c>
      <c r="P238" s="9" t="s">
        <v>83</v>
      </c>
      <c r="Q238" s="9" t="s">
        <v>1466</v>
      </c>
      <c r="R238" s="9" t="s">
        <v>85</v>
      </c>
      <c r="S238" s="11" t="s">
        <v>86</v>
      </c>
      <c r="T238" s="9" t="s">
        <v>1466</v>
      </c>
      <c r="U238" s="11" t="s">
        <v>87</v>
      </c>
      <c r="V238" s="11" t="s">
        <v>88</v>
      </c>
      <c r="W238" s="11" t="s">
        <v>1467</v>
      </c>
      <c r="X238" s="9" t="n">
        <f aca="false">IF(AND(COUNT($E238:$G238)=0,LEFT($H238,2)&lt;&gt;"定性",LEFT($H238,2)&lt;&gt;"文字",LEFT($H238,2)&lt;&gt;"日期"),1,0)</f>
        <v>0</v>
      </c>
      <c r="Y238" s="9" t="n">
        <f aca="false">IF(OR($L238="",$M238=""),1,0)</f>
        <v>0</v>
      </c>
      <c r="Z238" s="9" t="n">
        <f aca="false">IF(AND(ISNUMBER($E238),ISNUMBER($F238)),IF($F238&gt;$E238,1,0),0)+IF(AND(ISNUMBER($E238),ISNUMBER($G238)),IF($E238&gt;$G238,1,0),0)+IF(AND(ISNUMBER($F238),ISNUMBER($G238)),IF($F238&gt;$G238,1,0),0)</f>
        <v>0</v>
      </c>
      <c r="AA238" s="9" t="n">
        <f aca="false">IF(AND($P238="Derived",$V238="觀測"),1,0)</f>
        <v>0</v>
      </c>
      <c r="AB238" s="12" t="s">
        <v>90</v>
      </c>
    </row>
    <row r="239" customFormat="false" ht="15" hidden="false" customHeight="false" outlineLevel="0" collapsed="false">
      <c r="A239" s="9" t="s">
        <v>1468</v>
      </c>
      <c r="B239" s="9" t="s">
        <v>1469</v>
      </c>
      <c r="C239" s="9" t="s">
        <v>1095</v>
      </c>
      <c r="D239" s="9" t="s">
        <v>1470</v>
      </c>
      <c r="E239" s="9"/>
      <c r="F239" s="9"/>
      <c r="G239" s="9"/>
      <c r="H239" s="11" t="s">
        <v>1471</v>
      </c>
      <c r="I239" s="9" t="s">
        <v>196</v>
      </c>
      <c r="J239" s="9"/>
      <c r="K239" s="9"/>
      <c r="L239" s="9" t="s">
        <v>1472</v>
      </c>
      <c r="M239" s="9" t="s">
        <v>1473</v>
      </c>
      <c r="N239" s="9" t="s">
        <v>1101</v>
      </c>
      <c r="O239" s="9" t="s">
        <v>82</v>
      </c>
      <c r="P239" s="9" t="s">
        <v>83</v>
      </c>
      <c r="Q239" s="9" t="s">
        <v>1474</v>
      </c>
      <c r="R239" s="9" t="s">
        <v>151</v>
      </c>
      <c r="S239" s="11" t="s">
        <v>86</v>
      </c>
      <c r="T239" s="9" t="s">
        <v>1474</v>
      </c>
      <c r="U239" s="11" t="s">
        <v>152</v>
      </c>
      <c r="V239" s="11" t="s">
        <v>88</v>
      </c>
      <c r="W239" s="9" t="s">
        <v>1475</v>
      </c>
      <c r="X239" s="9" t="n">
        <f aca="false">IF(AND(COUNT($E239:$G239)=0,LEFT($H239,2)&lt;&gt;"定性",LEFT($H239,2)&lt;&gt;"文字",LEFT($H239,2)&lt;&gt;"日期"),1,0)</f>
        <v>0</v>
      </c>
      <c r="Y239" s="9" t="n">
        <f aca="false">IF(OR($L239="",$M239=""),1,0)</f>
        <v>0</v>
      </c>
      <c r="Z239" s="9" t="n">
        <f aca="false">IF(AND(ISNUMBER($E239),ISNUMBER($F239)),IF($F239&gt;$E239,1,0),0)+IF(AND(ISNUMBER($E239),ISNUMBER($G239)),IF($E239&gt;$G239,1,0),0)+IF(AND(ISNUMBER($F239),ISNUMBER($G239)),IF($F239&gt;$G239,1,0),0)</f>
        <v>0</v>
      </c>
      <c r="AA239" s="9" t="n">
        <f aca="false">IF(AND($P239="Derived",$V239="觀測"),1,0)</f>
        <v>0</v>
      </c>
      <c r="AB239" s="12" t="s">
        <v>90</v>
      </c>
    </row>
    <row r="240" customFormat="false" ht="15" hidden="false" customHeight="false" outlineLevel="0" collapsed="false">
      <c r="A240" s="9" t="s">
        <v>1476</v>
      </c>
      <c r="B240" s="9" t="s">
        <v>1477</v>
      </c>
      <c r="C240" s="9" t="s">
        <v>1095</v>
      </c>
      <c r="D240" s="9" t="s">
        <v>1478</v>
      </c>
      <c r="E240" s="10" t="n">
        <v>10</v>
      </c>
      <c r="F240" s="9"/>
      <c r="G240" s="9"/>
      <c r="H240" s="9" t="s">
        <v>1361</v>
      </c>
      <c r="I240" s="11" t="s">
        <v>1479</v>
      </c>
      <c r="J240" s="9"/>
      <c r="K240" s="11" t="s">
        <v>78</v>
      </c>
      <c r="L240" s="9" t="s">
        <v>1480</v>
      </c>
      <c r="M240" s="9" t="s">
        <v>1481</v>
      </c>
      <c r="N240" s="9" t="s">
        <v>1334</v>
      </c>
      <c r="O240" s="9" t="s">
        <v>82</v>
      </c>
      <c r="P240" s="9" t="s">
        <v>83</v>
      </c>
      <c r="Q240" s="9" t="s">
        <v>1482</v>
      </c>
      <c r="R240" s="9" t="s">
        <v>85</v>
      </c>
      <c r="S240" s="11" t="s">
        <v>86</v>
      </c>
      <c r="T240" s="9" t="s">
        <v>1482</v>
      </c>
      <c r="U240" s="11" t="s">
        <v>87</v>
      </c>
      <c r="V240" s="11" t="s">
        <v>88</v>
      </c>
      <c r="W240" s="11" t="s">
        <v>1483</v>
      </c>
      <c r="X240" s="9" t="n">
        <f aca="false">IF(AND(COUNT($E240:$G240)=0,LEFT($H240,2)&lt;&gt;"定性",LEFT($H240,2)&lt;&gt;"文字",LEFT($H240,2)&lt;&gt;"日期"),1,0)</f>
        <v>0</v>
      </c>
      <c r="Y240" s="9" t="n">
        <f aca="false">IF(OR($L240="",$M240=""),1,0)</f>
        <v>0</v>
      </c>
      <c r="Z240" s="9" t="n">
        <f aca="false">IF(AND(ISNUMBER($E240),ISNUMBER($F240)),IF($F240&gt;$E240,1,0),0)+IF(AND(ISNUMBER($E240),ISNUMBER($G240)),IF($E240&gt;$G240,1,0),0)+IF(AND(ISNUMBER($F240),ISNUMBER($G240)),IF($F240&gt;$G240,1,0),0)</f>
        <v>0</v>
      </c>
      <c r="AA240" s="9" t="n">
        <f aca="false">IF(AND($P240="Derived",$V240="觀測"),1,0)</f>
        <v>0</v>
      </c>
      <c r="AB240" s="12" t="s">
        <v>90</v>
      </c>
    </row>
    <row r="241" customFormat="false" ht="15" hidden="false" customHeight="false" outlineLevel="0" collapsed="false">
      <c r="A241" s="9" t="s">
        <v>1484</v>
      </c>
      <c r="B241" s="9" t="s">
        <v>1485</v>
      </c>
      <c r="C241" s="9" t="s">
        <v>1095</v>
      </c>
      <c r="D241" s="9" t="s">
        <v>1486</v>
      </c>
      <c r="E241" s="10" t="n">
        <v>133</v>
      </c>
      <c r="F241" s="9"/>
      <c r="G241" s="9"/>
      <c r="H241" s="9" t="s">
        <v>1221</v>
      </c>
      <c r="I241" s="11" t="s">
        <v>1487</v>
      </c>
      <c r="J241" s="9"/>
      <c r="K241" s="11" t="s">
        <v>146</v>
      </c>
      <c r="L241" s="9" t="s">
        <v>1488</v>
      </c>
      <c r="M241" s="9" t="s">
        <v>1489</v>
      </c>
      <c r="N241" s="9" t="s">
        <v>1334</v>
      </c>
      <c r="O241" s="9" t="s">
        <v>82</v>
      </c>
      <c r="P241" s="9" t="s">
        <v>83</v>
      </c>
      <c r="Q241" s="9" t="s">
        <v>1490</v>
      </c>
      <c r="R241" s="11" t="s">
        <v>103</v>
      </c>
      <c r="S241" s="11" t="s">
        <v>86</v>
      </c>
      <c r="T241" s="9" t="s">
        <v>1490</v>
      </c>
      <c r="U241" s="11" t="s">
        <v>103</v>
      </c>
      <c r="V241" s="11" t="s">
        <v>88</v>
      </c>
      <c r="W241" s="11" t="s">
        <v>1491</v>
      </c>
      <c r="X241" s="9" t="n">
        <f aca="false">IF(AND(COUNT($E241:$G241)=0,LEFT($H241,2)&lt;&gt;"定性",LEFT($H241,2)&lt;&gt;"文字",LEFT($H241,2)&lt;&gt;"日期"),1,0)</f>
        <v>0</v>
      </c>
      <c r="Y241" s="9" t="n">
        <f aca="false">IF(OR($L241="",$M241=""),1,0)</f>
        <v>0</v>
      </c>
      <c r="Z241" s="9" t="n">
        <f aca="false">IF(AND(ISNUMBER($E241),ISNUMBER($F241)),IF($F241&gt;$E241,1,0),0)+IF(AND(ISNUMBER($E241),ISNUMBER($G241)),IF($E241&gt;$G241,1,0),0)+IF(AND(ISNUMBER($F241),ISNUMBER($G241)),IF($F241&gt;$G241,1,0),0)</f>
        <v>0</v>
      </c>
      <c r="AA241" s="9" t="n">
        <f aca="false">IF(AND($P241="Derived",$V241="觀測"),1,0)</f>
        <v>0</v>
      </c>
      <c r="AB241" s="12" t="s">
        <v>90</v>
      </c>
    </row>
    <row r="242" customFormat="false" ht="15" hidden="false" customHeight="false" outlineLevel="0" collapsed="false">
      <c r="A242" s="9" t="s">
        <v>1492</v>
      </c>
      <c r="B242" s="9" t="s">
        <v>1493</v>
      </c>
      <c r="C242" s="9" t="s">
        <v>1095</v>
      </c>
      <c r="D242" s="9" t="s">
        <v>1494</v>
      </c>
      <c r="E242" s="10" t="n">
        <v>500</v>
      </c>
      <c r="F242" s="9"/>
      <c r="G242" s="10" t="n">
        <v>7700</v>
      </c>
      <c r="H242" s="9" t="s">
        <v>1495</v>
      </c>
      <c r="I242" s="9" t="s">
        <v>1496</v>
      </c>
      <c r="J242" s="9"/>
      <c r="K242" s="11" t="s">
        <v>146</v>
      </c>
      <c r="L242" s="9" t="s">
        <v>1497</v>
      </c>
      <c r="M242" s="9" t="s">
        <v>1498</v>
      </c>
      <c r="N242" s="9" t="s">
        <v>1499</v>
      </c>
      <c r="O242" s="9" t="s">
        <v>82</v>
      </c>
      <c r="P242" s="9" t="s">
        <v>83</v>
      </c>
      <c r="Q242" s="9" t="s">
        <v>1500</v>
      </c>
      <c r="R242" s="9" t="s">
        <v>85</v>
      </c>
      <c r="S242" s="11" t="s">
        <v>86</v>
      </c>
      <c r="T242" s="9" t="s">
        <v>1500</v>
      </c>
      <c r="U242" s="11" t="s">
        <v>87</v>
      </c>
      <c r="V242" s="11" t="s">
        <v>88</v>
      </c>
      <c r="W242" s="11" t="s">
        <v>1501</v>
      </c>
      <c r="X242" s="9" t="n">
        <f aca="false">IF(AND(COUNT($E242:$G242)=0,LEFT($H242,2)&lt;&gt;"定性",LEFT($H242,2)&lt;&gt;"文字",LEFT($H242,2)&lt;&gt;"日期"),1,0)</f>
        <v>0</v>
      </c>
      <c r="Y242" s="9" t="n">
        <f aca="false">IF(OR($L242="",$M242=""),1,0)</f>
        <v>0</v>
      </c>
      <c r="Z242" s="9" t="n">
        <f aca="false">IF(AND(ISNUMBER($E242),ISNUMBER($F242)),IF($F242&gt;$E242,1,0),0)+IF(AND(ISNUMBER($E242),ISNUMBER($G242)),IF($E242&gt;$G242,1,0),0)+IF(AND(ISNUMBER($F242),ISNUMBER($G242)),IF($F242&gt;$G242,1,0),0)</f>
        <v>0</v>
      </c>
      <c r="AA242" s="9" t="n">
        <f aca="false">IF(AND($P242="Derived",$V242="觀測"),1,0)</f>
        <v>0</v>
      </c>
      <c r="AB242" s="12" t="s">
        <v>90</v>
      </c>
    </row>
    <row r="243" customFormat="false" ht="15" hidden="false" customHeight="false" outlineLevel="0" collapsed="false">
      <c r="A243" s="9" t="s">
        <v>1502</v>
      </c>
      <c r="B243" s="9" t="s">
        <v>1503</v>
      </c>
      <c r="C243" s="9" t="s">
        <v>1095</v>
      </c>
      <c r="D243" s="9" t="s">
        <v>1504</v>
      </c>
      <c r="E243" s="10" t="n">
        <v>15</v>
      </c>
      <c r="F243" s="9"/>
      <c r="G243" s="9"/>
      <c r="H243" s="9" t="s">
        <v>482</v>
      </c>
      <c r="I243" s="9" t="s">
        <v>465</v>
      </c>
      <c r="J243" s="9"/>
      <c r="K243" s="11" t="s">
        <v>78</v>
      </c>
      <c r="L243" s="9" t="s">
        <v>1505</v>
      </c>
      <c r="M243" s="9" t="s">
        <v>1506</v>
      </c>
      <c r="N243" s="9" t="s">
        <v>1507</v>
      </c>
      <c r="O243" s="9" t="s">
        <v>82</v>
      </c>
      <c r="P243" s="9" t="s">
        <v>83</v>
      </c>
      <c r="Q243" s="9" t="s">
        <v>1381</v>
      </c>
      <c r="R243" s="9" t="s">
        <v>85</v>
      </c>
      <c r="S243" s="11" t="s">
        <v>86</v>
      </c>
      <c r="T243" s="9" t="s">
        <v>1381</v>
      </c>
      <c r="U243" s="11" t="s">
        <v>87</v>
      </c>
      <c r="V243" s="11" t="s">
        <v>88</v>
      </c>
      <c r="W243" s="11" t="s">
        <v>1508</v>
      </c>
      <c r="X243" s="9" t="n">
        <f aca="false">IF(AND(COUNT($E243:$G243)=0,LEFT($H243,2)&lt;&gt;"定性",LEFT($H243,2)&lt;&gt;"文字",LEFT($H243,2)&lt;&gt;"日期"),1,0)</f>
        <v>0</v>
      </c>
      <c r="Y243" s="9" t="n">
        <f aca="false">IF(OR($L243="",$M243=""),1,0)</f>
        <v>0</v>
      </c>
      <c r="Z243" s="9" t="n">
        <f aca="false">IF(AND(ISNUMBER($E243),ISNUMBER($F243)),IF($F243&gt;$E243,1,0),0)+IF(AND(ISNUMBER($E243),ISNUMBER($G243)),IF($E243&gt;$G243,1,0),0)+IF(AND(ISNUMBER($F243),ISNUMBER($G243)),IF($F243&gt;$G243,1,0),0)</f>
        <v>0</v>
      </c>
      <c r="AA243" s="9" t="n">
        <f aca="false">IF(AND($P243="Derived",$V243="觀測"),1,0)</f>
        <v>0</v>
      </c>
      <c r="AB243" s="12" t="s">
        <v>90</v>
      </c>
    </row>
    <row r="244" customFormat="false" ht="15" hidden="false" customHeight="false" outlineLevel="0" collapsed="false">
      <c r="A244" s="9" t="s">
        <v>1509</v>
      </c>
      <c r="B244" s="9" t="s">
        <v>1510</v>
      </c>
      <c r="C244" s="9" t="s">
        <v>1095</v>
      </c>
      <c r="D244" s="9" t="s">
        <v>1511</v>
      </c>
      <c r="E244" s="10" t="n">
        <v>207</v>
      </c>
      <c r="F244" s="10" t="n">
        <v>168</v>
      </c>
      <c r="G244" s="9"/>
      <c r="H244" s="9" t="s">
        <v>1221</v>
      </c>
      <c r="I244" s="9" t="s">
        <v>1512</v>
      </c>
      <c r="J244" s="9"/>
      <c r="K244" s="9" t="s">
        <v>1222</v>
      </c>
      <c r="L244" s="9" t="s">
        <v>1513</v>
      </c>
      <c r="M244" s="9" t="s">
        <v>1514</v>
      </c>
      <c r="N244" s="9" t="s">
        <v>880</v>
      </c>
      <c r="O244" s="9" t="s">
        <v>82</v>
      </c>
      <c r="P244" s="9" t="s">
        <v>299</v>
      </c>
      <c r="Q244" s="9"/>
      <c r="R244" s="9" t="s">
        <v>85</v>
      </c>
      <c r="S244" s="11" t="s">
        <v>300</v>
      </c>
      <c r="T244" s="11" t="s">
        <v>301</v>
      </c>
      <c r="U244" s="11" t="s">
        <v>87</v>
      </c>
      <c r="V244" s="11" t="s">
        <v>88</v>
      </c>
      <c r="W244" s="11" t="s">
        <v>1515</v>
      </c>
      <c r="X244" s="9" t="n">
        <f aca="false">IF(AND(COUNT($E244:$G244)=0,LEFT($H244,2)&lt;&gt;"定性",LEFT($H244,2)&lt;&gt;"文字",LEFT($H244,2)&lt;&gt;"日期"),1,0)</f>
        <v>0</v>
      </c>
      <c r="Y244" s="9" t="n">
        <f aca="false">IF(OR($L244="",$M244=""),1,0)</f>
        <v>0</v>
      </c>
      <c r="Z244" s="9" t="n">
        <f aca="false">IF(AND(ISNUMBER($E244),ISNUMBER($F244)),IF($F244&gt;$E244,1,0),0)+IF(AND(ISNUMBER($E244),ISNUMBER($G244)),IF($E244&gt;$G244,1,0),0)+IF(AND(ISNUMBER($F244),ISNUMBER($G244)),IF($F244&gt;$G244,1,0),0)</f>
        <v>0</v>
      </c>
      <c r="AA244" s="9" t="n">
        <f aca="false">IF(AND($P244="Derived",$V244="觀測"),1,0)</f>
        <v>0</v>
      </c>
      <c r="AB244" s="12" t="s">
        <v>90</v>
      </c>
    </row>
    <row r="245" customFormat="false" ht="15" hidden="false" customHeight="false" outlineLevel="0" collapsed="false">
      <c r="A245" s="9" t="s">
        <v>1516</v>
      </c>
      <c r="B245" s="9" t="s">
        <v>1517</v>
      </c>
      <c r="C245" s="9" t="s">
        <v>1095</v>
      </c>
      <c r="D245" s="9" t="s">
        <v>1518</v>
      </c>
      <c r="E245" s="9"/>
      <c r="F245" s="9"/>
      <c r="G245" s="10" t="n">
        <v>517</v>
      </c>
      <c r="H245" s="9" t="s">
        <v>1519</v>
      </c>
      <c r="I245" s="9" t="s">
        <v>1520</v>
      </c>
      <c r="J245" s="9"/>
      <c r="K245" s="11" t="s">
        <v>78</v>
      </c>
      <c r="L245" s="9" t="s">
        <v>1521</v>
      </c>
      <c r="M245" s="9" t="s">
        <v>1522</v>
      </c>
      <c r="N245" s="9" t="s">
        <v>1523</v>
      </c>
      <c r="O245" s="9" t="s">
        <v>82</v>
      </c>
      <c r="P245" s="9" t="s">
        <v>83</v>
      </c>
      <c r="Q245" s="9" t="s">
        <v>1524</v>
      </c>
      <c r="R245" s="9" t="s">
        <v>85</v>
      </c>
      <c r="S245" s="11" t="s">
        <v>86</v>
      </c>
      <c r="T245" s="9" t="s">
        <v>1524</v>
      </c>
      <c r="U245" s="11" t="s">
        <v>87</v>
      </c>
      <c r="V245" s="11" t="s">
        <v>88</v>
      </c>
      <c r="W245" s="11" t="s">
        <v>1525</v>
      </c>
      <c r="X245" s="9" t="n">
        <f aca="false">IF(AND(COUNT($E245:$G245)=0,LEFT($H245,2)&lt;&gt;"定性",LEFT($H245,2)&lt;&gt;"文字",LEFT($H245,2)&lt;&gt;"日期"),1,0)</f>
        <v>0</v>
      </c>
      <c r="Y245" s="9" t="n">
        <f aca="false">IF(OR($L245="",$M245=""),1,0)</f>
        <v>0</v>
      </c>
      <c r="Z245" s="9" t="n">
        <f aca="false">IF(AND(ISNUMBER($E245),ISNUMBER($F245)),IF($F245&gt;$E245,1,0),0)+IF(AND(ISNUMBER($E245),ISNUMBER($G245)),IF($E245&gt;$G245,1,0),0)+IF(AND(ISNUMBER($F245),ISNUMBER($G245)),IF($F245&gt;$G245,1,0),0)</f>
        <v>0</v>
      </c>
      <c r="AA245" s="9" t="n">
        <f aca="false">IF(AND($P245="Derived",$V245="觀測"),1,0)</f>
        <v>0</v>
      </c>
      <c r="AB245" s="12" t="s">
        <v>90</v>
      </c>
    </row>
    <row r="246" customFormat="false" ht="15" hidden="false" customHeight="false" outlineLevel="0" collapsed="false">
      <c r="A246" s="9" t="s">
        <v>1526</v>
      </c>
      <c r="B246" s="9" t="s">
        <v>1527</v>
      </c>
      <c r="C246" s="9" t="s">
        <v>1095</v>
      </c>
      <c r="D246" s="9" t="s">
        <v>1528</v>
      </c>
      <c r="E246" s="9"/>
      <c r="F246" s="10" t="n">
        <v>14.8</v>
      </c>
      <c r="G246" s="9"/>
      <c r="H246" s="9" t="s">
        <v>1106</v>
      </c>
      <c r="I246" s="9" t="s">
        <v>1520</v>
      </c>
      <c r="J246" s="9"/>
      <c r="K246" s="11" t="s">
        <v>146</v>
      </c>
      <c r="L246" s="9" t="s">
        <v>1529</v>
      </c>
      <c r="M246" s="9" t="s">
        <v>1530</v>
      </c>
      <c r="N246" s="9" t="s">
        <v>1263</v>
      </c>
      <c r="O246" s="9" t="s">
        <v>82</v>
      </c>
      <c r="P246" s="9" t="s">
        <v>83</v>
      </c>
      <c r="Q246" s="9" t="s">
        <v>1531</v>
      </c>
      <c r="R246" s="9" t="s">
        <v>85</v>
      </c>
      <c r="S246" s="11" t="s">
        <v>86</v>
      </c>
      <c r="T246" s="9" t="s">
        <v>1531</v>
      </c>
      <c r="U246" s="11" t="s">
        <v>87</v>
      </c>
      <c r="V246" s="11" t="s">
        <v>88</v>
      </c>
      <c r="W246" s="11" t="s">
        <v>1532</v>
      </c>
      <c r="X246" s="9" t="n">
        <f aca="false">IF(AND(COUNT($E246:$G246)=0,LEFT($H246,2)&lt;&gt;"定性",LEFT($H246,2)&lt;&gt;"文字",LEFT($H246,2)&lt;&gt;"日期"),1,0)</f>
        <v>0</v>
      </c>
      <c r="Y246" s="9" t="n">
        <f aca="false">IF(OR($L246="",$M246=""),1,0)</f>
        <v>0</v>
      </c>
      <c r="Z246" s="9" t="n">
        <f aca="false">IF(AND(ISNUMBER($E246),ISNUMBER($F246)),IF($F246&gt;$E246,1,0),0)+IF(AND(ISNUMBER($E246),ISNUMBER($G246)),IF($E246&gt;$G246,1,0),0)+IF(AND(ISNUMBER($F246),ISNUMBER($G246)),IF($F246&gt;$G246,1,0),0)</f>
        <v>0</v>
      </c>
      <c r="AA246" s="9" t="n">
        <f aca="false">IF(AND($P246="Derived",$V246="觀測"),1,0)</f>
        <v>0</v>
      </c>
      <c r="AB246" s="12" t="s">
        <v>90</v>
      </c>
    </row>
    <row r="247" customFormat="false" ht="15" hidden="false" customHeight="false" outlineLevel="0" collapsed="false">
      <c r="A247" s="9" t="s">
        <v>1533</v>
      </c>
      <c r="B247" s="9" t="s">
        <v>1534</v>
      </c>
      <c r="C247" s="9" t="s">
        <v>1095</v>
      </c>
      <c r="D247" s="11" t="s">
        <v>1535</v>
      </c>
      <c r="E247" s="9"/>
      <c r="F247" s="10" t="n">
        <v>16</v>
      </c>
      <c r="G247" s="10" t="n">
        <v>17</v>
      </c>
      <c r="H247" s="9" t="s">
        <v>1106</v>
      </c>
      <c r="I247" s="9" t="s">
        <v>847</v>
      </c>
      <c r="J247" s="9"/>
      <c r="K247" s="11" t="s">
        <v>146</v>
      </c>
      <c r="L247" s="9" t="s">
        <v>1536</v>
      </c>
      <c r="M247" s="9" t="s">
        <v>1537</v>
      </c>
      <c r="N247" s="9" t="s">
        <v>1523</v>
      </c>
      <c r="O247" s="9" t="s">
        <v>82</v>
      </c>
      <c r="P247" s="9" t="s">
        <v>83</v>
      </c>
      <c r="Q247" s="11" t="s">
        <v>1538</v>
      </c>
      <c r="R247" s="11" t="s">
        <v>103</v>
      </c>
      <c r="S247" s="11" t="s">
        <v>86</v>
      </c>
      <c r="T247" s="11" t="s">
        <v>1538</v>
      </c>
      <c r="U247" s="11" t="s">
        <v>103</v>
      </c>
      <c r="V247" s="11" t="s">
        <v>88</v>
      </c>
      <c r="W247" s="11" t="s">
        <v>1539</v>
      </c>
      <c r="X247" s="9" t="n">
        <f aca="false">IF(AND(COUNT($E247:$G247)=0,LEFT($H247,2)&lt;&gt;"定性",LEFT($H247,2)&lt;&gt;"文字",LEFT($H247,2)&lt;&gt;"日期"),1,0)</f>
        <v>0</v>
      </c>
      <c r="Y247" s="9" t="n">
        <f aca="false">IF(OR($L247="",$M247=""),1,0)</f>
        <v>0</v>
      </c>
      <c r="Z247" s="9" t="n">
        <f aca="false">IF(AND(ISNUMBER($E247),ISNUMBER($F247)),IF($F247&gt;$E247,1,0),0)+IF(AND(ISNUMBER($E247),ISNUMBER($G247)),IF($E247&gt;$G247,1,0),0)+IF(AND(ISNUMBER($F247),ISNUMBER($G247)),IF($F247&gt;$G247,1,0),0)</f>
        <v>0</v>
      </c>
      <c r="AA247" s="9" t="n">
        <f aca="false">IF(AND($P247="Derived",$V247="觀測"),1,0)</f>
        <v>0</v>
      </c>
      <c r="AB247" s="12" t="s">
        <v>90</v>
      </c>
    </row>
    <row r="248" customFormat="false" ht="15" hidden="false" customHeight="false" outlineLevel="0" collapsed="false">
      <c r="A248" s="9" t="s">
        <v>1540</v>
      </c>
      <c r="B248" s="9" t="s">
        <v>1541</v>
      </c>
      <c r="C248" s="9" t="s">
        <v>1095</v>
      </c>
      <c r="D248" s="11" t="s">
        <v>1542</v>
      </c>
      <c r="E248" s="10" t="n">
        <v>180</v>
      </c>
      <c r="F248" s="9"/>
      <c r="G248" s="9"/>
      <c r="H248" s="9" t="s">
        <v>1543</v>
      </c>
      <c r="I248" s="11" t="s">
        <v>1544</v>
      </c>
      <c r="J248" s="9"/>
      <c r="K248" s="11" t="s">
        <v>78</v>
      </c>
      <c r="L248" s="9" t="s">
        <v>1545</v>
      </c>
      <c r="M248" s="9" t="s">
        <v>1522</v>
      </c>
      <c r="N248" s="9" t="s">
        <v>1523</v>
      </c>
      <c r="O248" s="9" t="s">
        <v>82</v>
      </c>
      <c r="P248" s="9" t="s">
        <v>83</v>
      </c>
      <c r="Q248" s="9" t="s">
        <v>1546</v>
      </c>
      <c r="R248" s="9" t="s">
        <v>85</v>
      </c>
      <c r="S248" s="11" t="s">
        <v>86</v>
      </c>
      <c r="T248" s="9" t="s">
        <v>1546</v>
      </c>
      <c r="U248" s="11" t="s">
        <v>87</v>
      </c>
      <c r="V248" s="11" t="s">
        <v>88</v>
      </c>
      <c r="W248" s="11" t="s">
        <v>1547</v>
      </c>
      <c r="X248" s="9" t="n">
        <f aca="false">IF(AND(COUNT($E248:$G248)=0,LEFT($H248,2)&lt;&gt;"定性",LEFT($H248,2)&lt;&gt;"文字",LEFT($H248,2)&lt;&gt;"日期"),1,0)</f>
        <v>0</v>
      </c>
      <c r="Y248" s="9" t="n">
        <f aca="false">IF(OR($L248="",$M248=""),1,0)</f>
        <v>0</v>
      </c>
      <c r="Z248" s="9" t="n">
        <f aca="false">IF(AND(ISNUMBER($E248),ISNUMBER($F248)),IF($F248&gt;$E248,1,0),0)+IF(AND(ISNUMBER($E248),ISNUMBER($G248)),IF($E248&gt;$G248,1,0),0)+IF(AND(ISNUMBER($F248),ISNUMBER($G248)),IF($F248&gt;$G248,1,0),0)</f>
        <v>0</v>
      </c>
      <c r="AA248" s="9" t="n">
        <f aca="false">IF(AND($P248="Derived",$V248="觀測"),1,0)</f>
        <v>0</v>
      </c>
      <c r="AB248" s="12" t="s">
        <v>90</v>
      </c>
    </row>
    <row r="249" customFormat="false" ht="15" hidden="false" customHeight="false" outlineLevel="0" collapsed="false">
      <c r="A249" s="9" t="s">
        <v>1548</v>
      </c>
      <c r="B249" s="9" t="s">
        <v>1549</v>
      </c>
      <c r="C249" s="9" t="s">
        <v>1095</v>
      </c>
      <c r="D249" s="11" t="s">
        <v>1550</v>
      </c>
      <c r="E249" s="10" t="n">
        <v>518</v>
      </c>
      <c r="F249" s="9"/>
      <c r="G249" s="9"/>
      <c r="H249" s="9" t="s">
        <v>1551</v>
      </c>
      <c r="I249" s="9" t="s">
        <v>1235</v>
      </c>
      <c r="J249" s="9"/>
      <c r="K249" s="11" t="s">
        <v>78</v>
      </c>
      <c r="L249" s="9" t="s">
        <v>1552</v>
      </c>
      <c r="M249" s="9" t="s">
        <v>1425</v>
      </c>
      <c r="N249" s="9" t="s">
        <v>81</v>
      </c>
      <c r="O249" s="9" t="s">
        <v>82</v>
      </c>
      <c r="P249" s="9" t="s">
        <v>83</v>
      </c>
      <c r="Q249" s="9" t="s">
        <v>1553</v>
      </c>
      <c r="R249" s="9" t="s">
        <v>85</v>
      </c>
      <c r="S249" s="11" t="s">
        <v>86</v>
      </c>
      <c r="T249" s="9" t="s">
        <v>1553</v>
      </c>
      <c r="U249" s="11" t="s">
        <v>87</v>
      </c>
      <c r="V249" s="11" t="s">
        <v>88</v>
      </c>
      <c r="W249" s="11" t="s">
        <v>1554</v>
      </c>
      <c r="X249" s="9" t="n">
        <f aca="false">IF(AND(COUNT($E249:$G249)=0,LEFT($H249,2)&lt;&gt;"定性",LEFT($H249,2)&lt;&gt;"文字",LEFT($H249,2)&lt;&gt;"日期"),1,0)</f>
        <v>0</v>
      </c>
      <c r="Y249" s="9" t="n">
        <f aca="false">IF(OR($L249="",$M249=""),1,0)</f>
        <v>0</v>
      </c>
      <c r="Z249" s="9" t="n">
        <f aca="false">IF(AND(ISNUMBER($E249),ISNUMBER($F249)),IF($F249&gt;$E249,1,0),0)+IF(AND(ISNUMBER($E249),ISNUMBER($G249)),IF($E249&gt;$G249,1,0),0)+IF(AND(ISNUMBER($F249),ISNUMBER($G249)),IF($F249&gt;$G249,1,0),0)</f>
        <v>0</v>
      </c>
      <c r="AA249" s="9" t="n">
        <f aca="false">IF(AND($P249="Derived",$V249="觀測"),1,0)</f>
        <v>0</v>
      </c>
      <c r="AB249" s="12" t="s">
        <v>90</v>
      </c>
    </row>
    <row r="250" customFormat="false" ht="15" hidden="false" customHeight="false" outlineLevel="0" collapsed="false">
      <c r="A250" s="9" t="s">
        <v>1555</v>
      </c>
      <c r="B250" s="9" t="s">
        <v>1556</v>
      </c>
      <c r="C250" s="9" t="s">
        <v>1095</v>
      </c>
      <c r="D250" s="11" t="s">
        <v>1557</v>
      </c>
      <c r="E250" s="10" t="n">
        <v>0.8</v>
      </c>
      <c r="F250" s="9"/>
      <c r="G250" s="9"/>
      <c r="H250" s="11" t="s">
        <v>269</v>
      </c>
      <c r="I250" s="9" t="s">
        <v>1235</v>
      </c>
      <c r="J250" s="9"/>
      <c r="K250" s="9"/>
      <c r="L250" s="9" t="s">
        <v>1447</v>
      </c>
      <c r="M250" s="9" t="s">
        <v>1425</v>
      </c>
      <c r="N250" s="9" t="s">
        <v>81</v>
      </c>
      <c r="O250" s="9" t="s">
        <v>82</v>
      </c>
      <c r="P250" s="9" t="s">
        <v>83</v>
      </c>
      <c r="Q250" s="9" t="s">
        <v>1558</v>
      </c>
      <c r="R250" s="9" t="s">
        <v>85</v>
      </c>
      <c r="S250" s="11" t="s">
        <v>86</v>
      </c>
      <c r="T250" s="9" t="s">
        <v>1558</v>
      </c>
      <c r="U250" s="11" t="s">
        <v>87</v>
      </c>
      <c r="V250" s="11" t="s">
        <v>88</v>
      </c>
      <c r="W250" s="11" t="s">
        <v>1559</v>
      </c>
      <c r="X250" s="9" t="n">
        <f aca="false">IF(AND(COUNT($E250:$G250)=0,LEFT($H250,2)&lt;&gt;"定性",LEFT($H250,2)&lt;&gt;"文字",LEFT($H250,2)&lt;&gt;"日期"),1,0)</f>
        <v>0</v>
      </c>
      <c r="Y250" s="9" t="n">
        <f aca="false">IF(OR($L250="",$M250=""),1,0)</f>
        <v>0</v>
      </c>
      <c r="Z250" s="9" t="n">
        <f aca="false">IF(AND(ISNUMBER($E250),ISNUMBER($F250)),IF($F250&gt;$E250,1,0),0)+IF(AND(ISNUMBER($E250),ISNUMBER($G250)),IF($E250&gt;$G250,1,0),0)+IF(AND(ISNUMBER($F250),ISNUMBER($G250)),IF($F250&gt;$G250,1,0),0)</f>
        <v>0</v>
      </c>
      <c r="AA250" s="9" t="n">
        <f aca="false">IF(AND($P250="Derived",$V250="觀測"),1,0)</f>
        <v>0</v>
      </c>
      <c r="AB250" s="12" t="s">
        <v>90</v>
      </c>
    </row>
    <row r="251" customFormat="false" ht="15" hidden="false" customHeight="false" outlineLevel="0" collapsed="false">
      <c r="A251" s="9" t="s">
        <v>1560</v>
      </c>
      <c r="B251" s="9" t="s">
        <v>1561</v>
      </c>
      <c r="C251" s="9" t="s">
        <v>1095</v>
      </c>
      <c r="D251" s="9" t="s">
        <v>1562</v>
      </c>
      <c r="E251" s="9"/>
      <c r="F251" s="10" t="n">
        <v>111.1</v>
      </c>
      <c r="G251" s="9"/>
      <c r="H251" s="9" t="s">
        <v>1269</v>
      </c>
      <c r="I251" s="9" t="s">
        <v>1563</v>
      </c>
      <c r="J251" s="9"/>
      <c r="K251" s="11" t="s">
        <v>78</v>
      </c>
      <c r="L251" s="9" t="s">
        <v>1564</v>
      </c>
      <c r="M251" s="9" t="s">
        <v>1287</v>
      </c>
      <c r="N251" s="9" t="s">
        <v>81</v>
      </c>
      <c r="O251" s="9" t="s">
        <v>82</v>
      </c>
      <c r="P251" s="9" t="s">
        <v>83</v>
      </c>
      <c r="Q251" s="9" t="s">
        <v>1565</v>
      </c>
      <c r="R251" s="9" t="s">
        <v>85</v>
      </c>
      <c r="S251" s="11" t="s">
        <v>86</v>
      </c>
      <c r="T251" s="9" t="s">
        <v>1565</v>
      </c>
      <c r="U251" s="11" t="s">
        <v>87</v>
      </c>
      <c r="V251" s="11" t="s">
        <v>88</v>
      </c>
      <c r="W251" s="11" t="s">
        <v>1566</v>
      </c>
      <c r="X251" s="9" t="n">
        <f aca="false">IF(AND(COUNT($E251:$G251)=0,LEFT($H251,2)&lt;&gt;"定性",LEFT($H251,2)&lt;&gt;"文字",LEFT($H251,2)&lt;&gt;"日期"),1,0)</f>
        <v>0</v>
      </c>
      <c r="Y251" s="9" t="n">
        <f aca="false">IF(OR($L251="",$M251=""),1,0)</f>
        <v>0</v>
      </c>
      <c r="Z251" s="9" t="n">
        <f aca="false">IF(AND(ISNUMBER($E251),ISNUMBER($F251)),IF($F251&gt;$E251,1,0),0)+IF(AND(ISNUMBER($E251),ISNUMBER($G251)),IF($E251&gt;$G251,1,0),0)+IF(AND(ISNUMBER($F251),ISNUMBER($G251)),IF($F251&gt;$G251,1,0),0)</f>
        <v>0</v>
      </c>
      <c r="AA251" s="9" t="n">
        <f aca="false">IF(AND($P251="Derived",$V251="觀測"),1,0)</f>
        <v>0</v>
      </c>
      <c r="AB251" s="12" t="s">
        <v>90</v>
      </c>
    </row>
    <row r="252" customFormat="false" ht="15" hidden="false" customHeight="false" outlineLevel="0" collapsed="false">
      <c r="A252" s="9" t="s">
        <v>1567</v>
      </c>
      <c r="B252" s="9" t="s">
        <v>1568</v>
      </c>
      <c r="C252" s="9" t="s">
        <v>1095</v>
      </c>
      <c r="D252" s="9" t="s">
        <v>1569</v>
      </c>
      <c r="E252" s="10" t="n">
        <v>110</v>
      </c>
      <c r="F252" s="9"/>
      <c r="G252" s="9"/>
      <c r="H252" s="9" t="s">
        <v>1269</v>
      </c>
      <c r="I252" s="9" t="s">
        <v>1570</v>
      </c>
      <c r="J252" s="9"/>
      <c r="K252" s="11" t="s">
        <v>78</v>
      </c>
      <c r="L252" s="9" t="s">
        <v>1564</v>
      </c>
      <c r="M252" s="9" t="s">
        <v>1287</v>
      </c>
      <c r="N252" s="9" t="s">
        <v>81</v>
      </c>
      <c r="O252" s="9" t="s">
        <v>82</v>
      </c>
      <c r="P252" s="9" t="s">
        <v>83</v>
      </c>
      <c r="Q252" s="9" t="s">
        <v>1565</v>
      </c>
      <c r="R252" s="9" t="s">
        <v>85</v>
      </c>
      <c r="S252" s="11" t="s">
        <v>86</v>
      </c>
      <c r="T252" s="9" t="s">
        <v>1565</v>
      </c>
      <c r="U252" s="11" t="s">
        <v>87</v>
      </c>
      <c r="V252" s="11" t="s">
        <v>88</v>
      </c>
      <c r="W252" s="11" t="s">
        <v>1571</v>
      </c>
      <c r="X252" s="9" t="n">
        <f aca="false">IF(AND(COUNT($E252:$G252)=0,LEFT($H252,2)&lt;&gt;"定性",LEFT($H252,2)&lt;&gt;"文字",LEFT($H252,2)&lt;&gt;"日期"),1,0)</f>
        <v>0</v>
      </c>
      <c r="Y252" s="9" t="n">
        <f aca="false">IF(OR($L252="",$M252=""),1,0)</f>
        <v>0</v>
      </c>
      <c r="Z252" s="9" t="n">
        <f aca="false">IF(AND(ISNUMBER($E252),ISNUMBER($F252)),IF($F252&gt;$E252,1,0),0)+IF(AND(ISNUMBER($E252),ISNUMBER($G252)),IF($E252&gt;$G252,1,0),0)+IF(AND(ISNUMBER($F252),ISNUMBER($G252)),IF($F252&gt;$G252,1,0),0)</f>
        <v>0</v>
      </c>
      <c r="AA252" s="9" t="n">
        <f aca="false">IF(AND($P252="Derived",$V252="觀測"),1,0)</f>
        <v>0</v>
      </c>
      <c r="AB252" s="12" t="s">
        <v>90</v>
      </c>
    </row>
    <row r="253" customFormat="false" ht="15" hidden="false" customHeight="false" outlineLevel="0" collapsed="false">
      <c r="A253" s="9" t="s">
        <v>1572</v>
      </c>
      <c r="B253" s="9" t="s">
        <v>1573</v>
      </c>
      <c r="C253" s="9" t="s">
        <v>1095</v>
      </c>
      <c r="D253" s="9" t="s">
        <v>1574</v>
      </c>
      <c r="E253" s="10" t="n">
        <v>161.2</v>
      </c>
      <c r="F253" s="9"/>
      <c r="G253" s="9"/>
      <c r="H253" s="9" t="s">
        <v>1269</v>
      </c>
      <c r="I253" s="11" t="s">
        <v>1575</v>
      </c>
      <c r="J253" s="9"/>
      <c r="K253" s="11" t="s">
        <v>78</v>
      </c>
      <c r="L253" s="9" t="s">
        <v>1447</v>
      </c>
      <c r="M253" s="9" t="s">
        <v>1425</v>
      </c>
      <c r="N253" s="9" t="s">
        <v>81</v>
      </c>
      <c r="O253" s="9" t="s">
        <v>82</v>
      </c>
      <c r="P253" s="9" t="s">
        <v>83</v>
      </c>
      <c r="Q253" s="9" t="s">
        <v>1558</v>
      </c>
      <c r="R253" s="9" t="s">
        <v>85</v>
      </c>
      <c r="S253" s="11" t="s">
        <v>86</v>
      </c>
      <c r="T253" s="9" t="s">
        <v>1558</v>
      </c>
      <c r="U253" s="11" t="s">
        <v>87</v>
      </c>
      <c r="V253" s="11" t="s">
        <v>88</v>
      </c>
      <c r="W253" s="11" t="s">
        <v>1576</v>
      </c>
      <c r="X253" s="9" t="n">
        <f aca="false">IF(AND(COUNT($E253:$G253)=0,LEFT($H253,2)&lt;&gt;"定性",LEFT($H253,2)&lt;&gt;"文字",LEFT($H253,2)&lt;&gt;"日期"),1,0)</f>
        <v>0</v>
      </c>
      <c r="Y253" s="9" t="n">
        <f aca="false">IF(OR($L253="",$M253=""),1,0)</f>
        <v>0</v>
      </c>
      <c r="Z253" s="9" t="n">
        <f aca="false">IF(AND(ISNUMBER($E253),ISNUMBER($F253)),IF($F253&gt;$E253,1,0),0)+IF(AND(ISNUMBER($E253),ISNUMBER($G253)),IF($E253&gt;$G253,1,0),0)+IF(AND(ISNUMBER($F253),ISNUMBER($G253)),IF($F253&gt;$G253,1,0),0)</f>
        <v>0</v>
      </c>
      <c r="AA253" s="9" t="n">
        <f aca="false">IF(AND($P253="Derived",$V253="觀測"),1,0)</f>
        <v>0</v>
      </c>
      <c r="AB253" s="12" t="s">
        <v>90</v>
      </c>
    </row>
    <row r="254" customFormat="false" ht="15" hidden="false" customHeight="false" outlineLevel="0" collapsed="false">
      <c r="A254" s="9" t="s">
        <v>1577</v>
      </c>
      <c r="B254" s="9" t="s">
        <v>1578</v>
      </c>
      <c r="C254" s="9" t="s">
        <v>1095</v>
      </c>
      <c r="D254" s="9" t="s">
        <v>1579</v>
      </c>
      <c r="E254" s="10" t="n">
        <v>125.2</v>
      </c>
      <c r="F254" s="9"/>
      <c r="G254" s="9"/>
      <c r="H254" s="9" t="s">
        <v>1170</v>
      </c>
      <c r="I254" s="11" t="s">
        <v>1580</v>
      </c>
      <c r="J254" s="9"/>
      <c r="K254" s="11" t="s">
        <v>78</v>
      </c>
      <c r="L254" s="9" t="s">
        <v>1581</v>
      </c>
      <c r="M254" s="9" t="s">
        <v>1582</v>
      </c>
      <c r="N254" s="9" t="s">
        <v>1076</v>
      </c>
      <c r="O254" s="9" t="s">
        <v>82</v>
      </c>
      <c r="P254" s="9" t="s">
        <v>83</v>
      </c>
      <c r="Q254" s="9" t="s">
        <v>1426</v>
      </c>
      <c r="R254" s="9" t="s">
        <v>85</v>
      </c>
      <c r="S254" s="11" t="s">
        <v>86</v>
      </c>
      <c r="T254" s="9" t="s">
        <v>1426</v>
      </c>
      <c r="U254" s="11" t="s">
        <v>87</v>
      </c>
      <c r="V254" s="11" t="s">
        <v>88</v>
      </c>
      <c r="W254" s="11" t="s">
        <v>1583</v>
      </c>
      <c r="X254" s="9" t="n">
        <f aca="false">IF(AND(COUNT($E254:$G254)=0,LEFT($H254,2)&lt;&gt;"定性",LEFT($H254,2)&lt;&gt;"文字",LEFT($H254,2)&lt;&gt;"日期"),1,0)</f>
        <v>0</v>
      </c>
      <c r="Y254" s="9" t="n">
        <f aca="false">IF(OR($L254="",$M254=""),1,0)</f>
        <v>0</v>
      </c>
      <c r="Z254" s="9" t="n">
        <f aca="false">IF(AND(ISNUMBER($E254),ISNUMBER($F254)),IF($F254&gt;$E254,1,0),0)+IF(AND(ISNUMBER($E254),ISNUMBER($G254)),IF($E254&gt;$G254,1,0),0)+IF(AND(ISNUMBER($F254),ISNUMBER($G254)),IF($F254&gt;$G254,1,0),0)</f>
        <v>0</v>
      </c>
      <c r="AA254" s="9" t="n">
        <f aca="false">IF(AND($P254="Derived",$V254="觀測"),1,0)</f>
        <v>0</v>
      </c>
      <c r="AB254" s="12" t="s">
        <v>90</v>
      </c>
    </row>
    <row r="255" customFormat="false" ht="15" hidden="false" customHeight="false" outlineLevel="0" collapsed="false">
      <c r="A255" s="9" t="s">
        <v>1584</v>
      </c>
      <c r="B255" s="9" t="s">
        <v>1585</v>
      </c>
      <c r="C255" s="9" t="s">
        <v>1095</v>
      </c>
      <c r="D255" s="9" t="s">
        <v>1586</v>
      </c>
      <c r="E255" s="9"/>
      <c r="F255" s="9"/>
      <c r="G255" s="10" t="n">
        <v>42</v>
      </c>
      <c r="H255" s="9" t="s">
        <v>482</v>
      </c>
      <c r="I255" s="9" t="s">
        <v>1587</v>
      </c>
      <c r="J255" s="9"/>
      <c r="K255" s="11" t="s">
        <v>78</v>
      </c>
      <c r="L255" s="9" t="s">
        <v>1588</v>
      </c>
      <c r="M255" s="9" t="s">
        <v>1582</v>
      </c>
      <c r="N255" s="9" t="s">
        <v>1076</v>
      </c>
      <c r="O255" s="9" t="s">
        <v>82</v>
      </c>
      <c r="P255" s="9" t="s">
        <v>83</v>
      </c>
      <c r="Q255" s="9" t="s">
        <v>1589</v>
      </c>
      <c r="R255" s="9" t="s">
        <v>85</v>
      </c>
      <c r="S255" s="11" t="s">
        <v>86</v>
      </c>
      <c r="T255" s="9" t="s">
        <v>1589</v>
      </c>
      <c r="U255" s="11" t="s">
        <v>87</v>
      </c>
      <c r="V255" s="11" t="s">
        <v>88</v>
      </c>
      <c r="W255" s="11" t="s">
        <v>1590</v>
      </c>
      <c r="X255" s="9" t="n">
        <f aca="false">IF(AND(COUNT($E255:$G255)=0,LEFT($H255,2)&lt;&gt;"定性",LEFT($H255,2)&lt;&gt;"文字",LEFT($H255,2)&lt;&gt;"日期"),1,0)</f>
        <v>0</v>
      </c>
      <c r="Y255" s="9" t="n">
        <f aca="false">IF(OR($L255="",$M255=""),1,0)</f>
        <v>0</v>
      </c>
      <c r="Z255" s="9" t="n">
        <f aca="false">IF(AND(ISNUMBER($E255),ISNUMBER($F255)),IF($F255&gt;$E255,1,0),0)+IF(AND(ISNUMBER($E255),ISNUMBER($G255)),IF($E255&gt;$G255,1,0),0)+IF(AND(ISNUMBER($F255),ISNUMBER($G255)),IF($F255&gt;$G255,1,0),0)</f>
        <v>0</v>
      </c>
      <c r="AA255" s="9" t="n">
        <f aca="false">IF(AND($P255="Derived",$V255="觀測"),1,0)</f>
        <v>0</v>
      </c>
      <c r="AB255" s="12" t="s">
        <v>90</v>
      </c>
    </row>
    <row r="256" customFormat="false" ht="15" hidden="false" customHeight="false" outlineLevel="0" collapsed="false">
      <c r="A256" s="9" t="s">
        <v>1591</v>
      </c>
      <c r="B256" s="9" t="s">
        <v>1592</v>
      </c>
      <c r="C256" s="9" t="s">
        <v>1095</v>
      </c>
      <c r="D256" s="9" t="s">
        <v>1593</v>
      </c>
      <c r="E256" s="10" t="n">
        <v>7.33</v>
      </c>
      <c r="F256" s="9"/>
      <c r="G256" s="9"/>
      <c r="H256" s="9" t="s">
        <v>482</v>
      </c>
      <c r="I256" s="9" t="s">
        <v>77</v>
      </c>
      <c r="J256" s="9"/>
      <c r="K256" s="11" t="s">
        <v>78</v>
      </c>
      <c r="L256" s="9" t="s">
        <v>1594</v>
      </c>
      <c r="M256" s="9" t="s">
        <v>1595</v>
      </c>
      <c r="N256" s="9" t="s">
        <v>1596</v>
      </c>
      <c r="O256" s="9" t="s">
        <v>82</v>
      </c>
      <c r="P256" s="9" t="s">
        <v>83</v>
      </c>
      <c r="Q256" s="9" t="s">
        <v>1565</v>
      </c>
      <c r="R256" s="9" t="s">
        <v>85</v>
      </c>
      <c r="S256" s="11" t="s">
        <v>86</v>
      </c>
      <c r="T256" s="9" t="s">
        <v>1565</v>
      </c>
      <c r="U256" s="11" t="s">
        <v>87</v>
      </c>
      <c r="V256" s="11" t="s">
        <v>88</v>
      </c>
      <c r="W256" s="11" t="s">
        <v>1597</v>
      </c>
      <c r="X256" s="9" t="n">
        <f aca="false">IF(AND(COUNT($E256:$G256)=0,LEFT($H256,2)&lt;&gt;"定性",LEFT($H256,2)&lt;&gt;"文字",LEFT($H256,2)&lt;&gt;"日期"),1,0)</f>
        <v>0</v>
      </c>
      <c r="Y256" s="9" t="n">
        <f aca="false">IF(OR($L256="",$M256=""),1,0)</f>
        <v>0</v>
      </c>
      <c r="Z256" s="9" t="n">
        <f aca="false">IF(AND(ISNUMBER($E256),ISNUMBER($F256)),IF($F256&gt;$E256,1,0),0)+IF(AND(ISNUMBER($E256),ISNUMBER($G256)),IF($E256&gt;$G256,1,0),0)+IF(AND(ISNUMBER($F256),ISNUMBER($G256)),IF($F256&gt;$G256,1,0),0)</f>
        <v>0</v>
      </c>
      <c r="AA256" s="9" t="n">
        <f aca="false">IF(AND($P256="Derived",$V256="觀測"),1,0)</f>
        <v>0</v>
      </c>
      <c r="AB256" s="12" t="s">
        <v>90</v>
      </c>
    </row>
    <row r="257" customFormat="false" ht="15" hidden="false" customHeight="false" outlineLevel="0" collapsed="false">
      <c r="A257" s="9" t="s">
        <v>1598</v>
      </c>
      <c r="B257" s="9" t="s">
        <v>1599</v>
      </c>
      <c r="C257" s="9" t="s">
        <v>1095</v>
      </c>
      <c r="D257" s="9" t="s">
        <v>1600</v>
      </c>
      <c r="E257" s="10" t="n">
        <v>4.1</v>
      </c>
      <c r="F257" s="9"/>
      <c r="G257" s="9"/>
      <c r="H257" s="9" t="s">
        <v>482</v>
      </c>
      <c r="I257" s="9" t="s">
        <v>77</v>
      </c>
      <c r="J257" s="9"/>
      <c r="K257" s="11" t="s">
        <v>78</v>
      </c>
      <c r="L257" s="9" t="s">
        <v>1601</v>
      </c>
      <c r="M257" s="9" t="s">
        <v>1602</v>
      </c>
      <c r="N257" s="9" t="s">
        <v>372</v>
      </c>
      <c r="O257" s="9" t="s">
        <v>82</v>
      </c>
      <c r="P257" s="9" t="s">
        <v>83</v>
      </c>
      <c r="Q257" s="9" t="s">
        <v>1603</v>
      </c>
      <c r="R257" s="9" t="s">
        <v>85</v>
      </c>
      <c r="S257" s="11" t="s">
        <v>86</v>
      </c>
      <c r="T257" s="9" t="s">
        <v>1603</v>
      </c>
      <c r="U257" s="11" t="s">
        <v>87</v>
      </c>
      <c r="V257" s="11" t="s">
        <v>88</v>
      </c>
      <c r="W257" s="11" t="s">
        <v>1604</v>
      </c>
      <c r="X257" s="9" t="n">
        <f aca="false">IF(AND(COUNT($E257:$G257)=0,LEFT($H257,2)&lt;&gt;"定性",LEFT($H257,2)&lt;&gt;"文字",LEFT($H257,2)&lt;&gt;"日期"),1,0)</f>
        <v>0</v>
      </c>
      <c r="Y257" s="9" t="n">
        <f aca="false">IF(OR($L257="",$M257=""),1,0)</f>
        <v>0</v>
      </c>
      <c r="Z257" s="9" t="n">
        <f aca="false">IF(AND(ISNUMBER($E257),ISNUMBER($F257)),IF($F257&gt;$E257,1,0),0)+IF(AND(ISNUMBER($E257),ISNUMBER($G257)),IF($E257&gt;$G257,1,0),0)+IF(AND(ISNUMBER($F257),ISNUMBER($G257)),IF($F257&gt;$G257,1,0),0)</f>
        <v>0</v>
      </c>
      <c r="AA257" s="9" t="n">
        <f aca="false">IF(AND($P257="Derived",$V257="觀測"),1,0)</f>
        <v>0</v>
      </c>
      <c r="AB257" s="12" t="s">
        <v>90</v>
      </c>
    </row>
    <row r="258" customFormat="false" ht="15" hidden="false" customHeight="false" outlineLevel="0" collapsed="false">
      <c r="A258" s="9" t="s">
        <v>1605</v>
      </c>
      <c r="B258" s="9" t="s">
        <v>1606</v>
      </c>
      <c r="C258" s="9" t="s">
        <v>1095</v>
      </c>
      <c r="D258" s="9" t="s">
        <v>376</v>
      </c>
      <c r="E258" s="10" t="n">
        <v>0.23</v>
      </c>
      <c r="F258" s="9"/>
      <c r="G258" s="9"/>
      <c r="H258" s="11" t="s">
        <v>269</v>
      </c>
      <c r="I258" s="9" t="s">
        <v>77</v>
      </c>
      <c r="J258" s="9"/>
      <c r="K258" s="9"/>
      <c r="L258" s="9" t="s">
        <v>1607</v>
      </c>
      <c r="M258" s="9" t="s">
        <v>1602</v>
      </c>
      <c r="N258" s="9" t="s">
        <v>372</v>
      </c>
      <c r="O258" s="9" t="s">
        <v>82</v>
      </c>
      <c r="P258" s="9" t="s">
        <v>83</v>
      </c>
      <c r="Q258" s="9" t="s">
        <v>1603</v>
      </c>
      <c r="R258" s="9" t="s">
        <v>85</v>
      </c>
      <c r="S258" s="11" t="s">
        <v>86</v>
      </c>
      <c r="T258" s="9" t="s">
        <v>1603</v>
      </c>
      <c r="U258" s="11" t="s">
        <v>87</v>
      </c>
      <c r="V258" s="11" t="s">
        <v>88</v>
      </c>
      <c r="W258" s="11" t="s">
        <v>1608</v>
      </c>
      <c r="X258" s="9" t="n">
        <f aca="false">IF(AND(COUNT($E258:$G258)=0,LEFT($H258,2)&lt;&gt;"定性",LEFT($H258,2)&lt;&gt;"文字",LEFT($H258,2)&lt;&gt;"日期"),1,0)</f>
        <v>0</v>
      </c>
      <c r="Y258" s="9" t="n">
        <f aca="false">IF(OR($L258="",$M258=""),1,0)</f>
        <v>0</v>
      </c>
      <c r="Z258" s="9" t="n">
        <f aca="false">IF(AND(ISNUMBER($E258),ISNUMBER($F258)),IF($F258&gt;$E258,1,0),0)+IF(AND(ISNUMBER($E258),ISNUMBER($G258)),IF($E258&gt;$G258,1,0),0)+IF(AND(ISNUMBER($F258),ISNUMBER($G258)),IF($F258&gt;$G258,1,0),0)</f>
        <v>0</v>
      </c>
      <c r="AA258" s="9" t="n">
        <f aca="false">IF(AND($P258="Derived",$V258="觀測"),1,0)</f>
        <v>0</v>
      </c>
      <c r="AB258" s="12" t="s">
        <v>90</v>
      </c>
    </row>
    <row r="259" customFormat="false" ht="15" hidden="false" customHeight="false" outlineLevel="0" collapsed="false">
      <c r="A259" s="9" t="s">
        <v>1609</v>
      </c>
      <c r="B259" s="9" t="s">
        <v>1610</v>
      </c>
      <c r="C259" s="9" t="s">
        <v>1095</v>
      </c>
      <c r="D259" s="9" t="s">
        <v>1611</v>
      </c>
      <c r="E259" s="9" t="n">
        <f aca="false">SRC_ANT_252-SRC_ANT_253</f>
        <v>3.23</v>
      </c>
      <c r="F259" s="9"/>
      <c r="G259" s="9"/>
      <c r="H259" s="9" t="s">
        <v>482</v>
      </c>
      <c r="I259" s="9" t="s">
        <v>77</v>
      </c>
      <c r="J259" s="9"/>
      <c r="K259" s="11" t="s">
        <v>78</v>
      </c>
      <c r="L259" s="11" t="s">
        <v>1612</v>
      </c>
      <c r="M259" s="9" t="s">
        <v>1595</v>
      </c>
      <c r="N259" s="9" t="s">
        <v>1596</v>
      </c>
      <c r="O259" s="9" t="s">
        <v>82</v>
      </c>
      <c r="P259" s="9" t="s">
        <v>102</v>
      </c>
      <c r="Q259" s="9"/>
      <c r="R259" s="11" t="s">
        <v>103</v>
      </c>
      <c r="S259" s="11" t="s">
        <v>104</v>
      </c>
      <c r="T259" s="11" t="s">
        <v>105</v>
      </c>
      <c r="U259" s="11" t="s">
        <v>104</v>
      </c>
      <c r="V259" s="9" t="s">
        <v>106</v>
      </c>
      <c r="W259" s="9" t="s">
        <v>1613</v>
      </c>
      <c r="X259" s="9" t="n">
        <f aca="false">IF(AND(COUNT($E259:$G259)=0,LEFT($H259,2)&lt;&gt;"定性",LEFT($H259,2)&lt;&gt;"文字",LEFT($H259,2)&lt;&gt;"日期"),1,0)</f>
        <v>0</v>
      </c>
      <c r="Y259" s="9" t="n">
        <f aca="false">IF(OR($L259="",$M259=""),1,0)</f>
        <v>0</v>
      </c>
      <c r="Z259" s="9" t="n">
        <f aca="false">IF(AND(ISNUMBER($E259),ISNUMBER($F259)),IF($F259&gt;$E259,1,0),0)+IF(AND(ISNUMBER($E259),ISNUMBER($G259)),IF($E259&gt;$G259,1,0),0)+IF(AND(ISNUMBER($F259),ISNUMBER($G259)),IF($F259&gt;$G259,1,0),0)</f>
        <v>0</v>
      </c>
      <c r="AA259" s="9" t="n">
        <f aca="false">IF(AND($P259="Derived",$V259="觀測"),1,0)</f>
        <v>0</v>
      </c>
      <c r="AB259" s="12" t="s">
        <v>90</v>
      </c>
    </row>
    <row r="260" customFormat="false" ht="15" hidden="false" customHeight="false" outlineLevel="0" collapsed="false">
      <c r="A260" s="9" t="s">
        <v>1614</v>
      </c>
      <c r="B260" s="9" t="s">
        <v>1615</v>
      </c>
      <c r="C260" s="9" t="s">
        <v>1095</v>
      </c>
      <c r="D260" s="9" t="s">
        <v>1616</v>
      </c>
      <c r="E260" s="10" t="n">
        <v>1.359</v>
      </c>
      <c r="F260" s="9"/>
      <c r="G260" s="9"/>
      <c r="H260" s="9" t="s">
        <v>482</v>
      </c>
      <c r="I260" s="9" t="s">
        <v>100</v>
      </c>
      <c r="J260" s="9"/>
      <c r="K260" s="11" t="s">
        <v>312</v>
      </c>
      <c r="L260" s="9" t="s">
        <v>1617</v>
      </c>
      <c r="M260" s="9" t="s">
        <v>1618</v>
      </c>
      <c r="N260" s="9" t="s">
        <v>1619</v>
      </c>
      <c r="O260" s="9" t="s">
        <v>82</v>
      </c>
      <c r="P260" s="9" t="s">
        <v>83</v>
      </c>
      <c r="Q260" s="11" t="s">
        <v>1620</v>
      </c>
      <c r="R260" s="11" t="s">
        <v>103</v>
      </c>
      <c r="S260" s="11" t="s">
        <v>86</v>
      </c>
      <c r="T260" s="11" t="s">
        <v>1620</v>
      </c>
      <c r="U260" s="11" t="s">
        <v>103</v>
      </c>
      <c r="V260" s="11" t="s">
        <v>88</v>
      </c>
      <c r="W260" s="11" t="s">
        <v>1621</v>
      </c>
      <c r="X260" s="9" t="n">
        <f aca="false">IF(AND(COUNT($E260:$G260)=0,LEFT($H260,2)&lt;&gt;"定性",LEFT($H260,2)&lt;&gt;"文字",LEFT($H260,2)&lt;&gt;"日期"),1,0)</f>
        <v>0</v>
      </c>
      <c r="Y260" s="9" t="n">
        <f aca="false">IF(OR($L260="",$M260=""),1,0)</f>
        <v>0</v>
      </c>
      <c r="Z260" s="9" t="n">
        <f aca="false">IF(AND(ISNUMBER($E260),ISNUMBER($F260)),IF($F260&gt;$E260,1,0),0)+IF(AND(ISNUMBER($E260),ISNUMBER($G260)),IF($E260&gt;$G260,1,0),0)+IF(AND(ISNUMBER($F260),ISNUMBER($G260)),IF($F260&gt;$G260,1,0),0)</f>
        <v>0</v>
      </c>
      <c r="AA260" s="9" t="n">
        <f aca="false">IF(AND($P260="Derived",$V260="觀測"),1,0)</f>
        <v>0</v>
      </c>
      <c r="AB260" s="12" t="s">
        <v>90</v>
      </c>
    </row>
    <row r="261" customFormat="false" ht="15" hidden="false" customHeight="false" outlineLevel="0" collapsed="false">
      <c r="A261" s="9" t="s">
        <v>1622</v>
      </c>
      <c r="B261" s="9" t="s">
        <v>1623</v>
      </c>
      <c r="C261" s="9" t="s">
        <v>1095</v>
      </c>
      <c r="D261" s="9" t="s">
        <v>1624</v>
      </c>
      <c r="E261" s="10" t="n">
        <v>2.66</v>
      </c>
      <c r="F261" s="9"/>
      <c r="G261" s="9"/>
      <c r="H261" s="9" t="s">
        <v>482</v>
      </c>
      <c r="I261" s="9" t="s">
        <v>1625</v>
      </c>
      <c r="J261" s="9"/>
      <c r="K261" s="11" t="s">
        <v>312</v>
      </c>
      <c r="L261" s="9" t="s">
        <v>1626</v>
      </c>
      <c r="M261" s="9" t="s">
        <v>1618</v>
      </c>
      <c r="N261" s="9" t="s">
        <v>1619</v>
      </c>
      <c r="O261" s="9" t="s">
        <v>82</v>
      </c>
      <c r="P261" s="9" t="s">
        <v>83</v>
      </c>
      <c r="Q261" s="11" t="s">
        <v>1620</v>
      </c>
      <c r="R261" s="11" t="s">
        <v>103</v>
      </c>
      <c r="S261" s="11" t="s">
        <v>86</v>
      </c>
      <c r="T261" s="11" t="s">
        <v>1620</v>
      </c>
      <c r="U261" s="11" t="s">
        <v>103</v>
      </c>
      <c r="V261" s="11" t="s">
        <v>88</v>
      </c>
      <c r="W261" s="11" t="s">
        <v>1627</v>
      </c>
      <c r="X261" s="9" t="n">
        <f aca="false">IF(AND(COUNT($E261:$G261)=0,LEFT($H261,2)&lt;&gt;"定性",LEFT($H261,2)&lt;&gt;"文字",LEFT($H261,2)&lt;&gt;"日期"),1,0)</f>
        <v>0</v>
      </c>
      <c r="Y261" s="9" t="n">
        <f aca="false">IF(OR($L261="",$M261=""),1,0)</f>
        <v>0</v>
      </c>
      <c r="Z261" s="9" t="n">
        <f aca="false">IF(AND(ISNUMBER($E261),ISNUMBER($F261)),IF($F261&gt;$E261,1,0),0)+IF(AND(ISNUMBER($E261),ISNUMBER($G261)),IF($E261&gt;$G261,1,0),0)+IF(AND(ISNUMBER($F261),ISNUMBER($G261)),IF($F261&gt;$G261,1,0),0)</f>
        <v>0</v>
      </c>
      <c r="AA261" s="9" t="n">
        <f aca="false">IF(AND($P261="Derived",$V261="觀測"),1,0)</f>
        <v>0</v>
      </c>
      <c r="AB261" s="12" t="s">
        <v>90</v>
      </c>
    </row>
    <row r="262" customFormat="false" ht="15" hidden="false" customHeight="false" outlineLevel="0" collapsed="false">
      <c r="A262" s="9" t="s">
        <v>1628</v>
      </c>
      <c r="B262" s="9" t="s">
        <v>1629</v>
      </c>
      <c r="C262" s="9" t="s">
        <v>1095</v>
      </c>
      <c r="D262" s="9" t="s">
        <v>1630</v>
      </c>
      <c r="E262" s="10" t="n">
        <v>12</v>
      </c>
      <c r="F262" s="9"/>
      <c r="G262" s="9"/>
      <c r="H262" s="9" t="s">
        <v>482</v>
      </c>
      <c r="I262" s="9" t="s">
        <v>306</v>
      </c>
      <c r="J262" s="9"/>
      <c r="K262" s="11" t="s">
        <v>78</v>
      </c>
      <c r="L262" s="9" t="s">
        <v>1631</v>
      </c>
      <c r="M262" s="9" t="s">
        <v>1632</v>
      </c>
      <c r="N262" s="9" t="s">
        <v>1633</v>
      </c>
      <c r="O262" s="9" t="s">
        <v>82</v>
      </c>
      <c r="P262" s="9" t="s">
        <v>83</v>
      </c>
      <c r="Q262" s="9" t="s">
        <v>1634</v>
      </c>
      <c r="R262" s="9" t="s">
        <v>85</v>
      </c>
      <c r="S262" s="11" t="s">
        <v>86</v>
      </c>
      <c r="T262" s="9" t="s">
        <v>1634</v>
      </c>
      <c r="U262" s="11" t="s">
        <v>87</v>
      </c>
      <c r="V262" s="11" t="s">
        <v>88</v>
      </c>
      <c r="W262" s="11" t="s">
        <v>1635</v>
      </c>
      <c r="X262" s="9" t="n">
        <f aca="false">IF(AND(COUNT($E262:$G262)=0,LEFT($H262,2)&lt;&gt;"定性",LEFT($H262,2)&lt;&gt;"文字",LEFT($H262,2)&lt;&gt;"日期"),1,0)</f>
        <v>0</v>
      </c>
      <c r="Y262" s="9" t="n">
        <f aca="false">IF(OR($L262="",$M262=""),1,0)</f>
        <v>0</v>
      </c>
      <c r="Z262" s="9" t="n">
        <f aca="false">IF(AND(ISNUMBER($E262),ISNUMBER($F262)),IF($F262&gt;$E262,1,0),0)+IF(AND(ISNUMBER($E262),ISNUMBER($G262)),IF($E262&gt;$G262,1,0),0)+IF(AND(ISNUMBER($F262),ISNUMBER($G262)),IF($F262&gt;$G262,1,0),0)</f>
        <v>0</v>
      </c>
      <c r="AA262" s="9" t="n">
        <f aca="false">IF(AND($P262="Derived",$V262="觀測"),1,0)</f>
        <v>0</v>
      </c>
      <c r="AB262" s="12" t="s">
        <v>90</v>
      </c>
    </row>
    <row r="263" customFormat="false" ht="15" hidden="false" customHeight="false" outlineLevel="0" collapsed="false">
      <c r="A263" s="9" t="s">
        <v>1636</v>
      </c>
      <c r="B263" s="9" t="s">
        <v>1637</v>
      </c>
      <c r="C263" s="9" t="s">
        <v>1095</v>
      </c>
      <c r="D263" s="9" t="s">
        <v>1638</v>
      </c>
      <c r="E263" s="10" t="n">
        <v>7</v>
      </c>
      <c r="F263" s="9"/>
      <c r="G263" s="9"/>
      <c r="H263" s="9" t="s">
        <v>482</v>
      </c>
      <c r="I263" s="9" t="s">
        <v>306</v>
      </c>
      <c r="J263" s="9"/>
      <c r="K263" s="11" t="s">
        <v>78</v>
      </c>
      <c r="L263" s="9" t="s">
        <v>1639</v>
      </c>
      <c r="M263" s="9" t="s">
        <v>1632</v>
      </c>
      <c r="N263" s="9" t="s">
        <v>1633</v>
      </c>
      <c r="O263" s="9" t="s">
        <v>82</v>
      </c>
      <c r="P263" s="9" t="s">
        <v>83</v>
      </c>
      <c r="Q263" s="9" t="s">
        <v>1603</v>
      </c>
      <c r="R263" s="9" t="s">
        <v>85</v>
      </c>
      <c r="S263" s="11" t="s">
        <v>86</v>
      </c>
      <c r="T263" s="9" t="s">
        <v>1603</v>
      </c>
      <c r="U263" s="11" t="s">
        <v>87</v>
      </c>
      <c r="V263" s="11" t="s">
        <v>88</v>
      </c>
      <c r="W263" s="11" t="s">
        <v>1640</v>
      </c>
      <c r="X263" s="9" t="n">
        <f aca="false">IF(AND(COUNT($E263:$G263)=0,LEFT($H263,2)&lt;&gt;"定性",LEFT($H263,2)&lt;&gt;"文字",LEFT($H263,2)&lt;&gt;"日期"),1,0)</f>
        <v>0</v>
      </c>
      <c r="Y263" s="9" t="n">
        <f aca="false">IF(OR($L263="",$M263=""),1,0)</f>
        <v>0</v>
      </c>
      <c r="Z263" s="9" t="n">
        <f aca="false">IF(AND(ISNUMBER($E263),ISNUMBER($F263)),IF($F263&gt;$E263,1,0),0)+IF(AND(ISNUMBER($E263),ISNUMBER($G263)),IF($E263&gt;$G263,1,0),0)+IF(AND(ISNUMBER($F263),ISNUMBER($G263)),IF($F263&gt;$G263,1,0),0)</f>
        <v>0</v>
      </c>
      <c r="AA263" s="9" t="n">
        <f aca="false">IF(AND($P263="Derived",$V263="觀測"),1,0)</f>
        <v>0</v>
      </c>
      <c r="AB263" s="12" t="s">
        <v>90</v>
      </c>
    </row>
    <row r="264" customFormat="false" ht="15" hidden="false" customHeight="false" outlineLevel="0" collapsed="false">
      <c r="A264" s="9" t="s">
        <v>1641</v>
      </c>
      <c r="B264" s="9" t="s">
        <v>1642</v>
      </c>
      <c r="C264" s="9" t="s">
        <v>1095</v>
      </c>
      <c r="D264" s="11" t="s">
        <v>1643</v>
      </c>
      <c r="E264" s="9"/>
      <c r="F264" s="10" t="n">
        <v>100</v>
      </c>
      <c r="G264" s="9"/>
      <c r="H264" s="9" t="s">
        <v>482</v>
      </c>
      <c r="I264" s="9" t="s">
        <v>1644</v>
      </c>
      <c r="J264" s="9"/>
      <c r="K264" s="11" t="s">
        <v>78</v>
      </c>
      <c r="L264" s="9" t="s">
        <v>1645</v>
      </c>
      <c r="M264" s="9" t="s">
        <v>1646</v>
      </c>
      <c r="N264" s="9" t="s">
        <v>1647</v>
      </c>
      <c r="O264" s="9" t="s">
        <v>82</v>
      </c>
      <c r="P264" s="9" t="s">
        <v>83</v>
      </c>
      <c r="Q264" s="9" t="s">
        <v>1603</v>
      </c>
      <c r="R264" s="9" t="s">
        <v>85</v>
      </c>
      <c r="S264" s="11" t="s">
        <v>86</v>
      </c>
      <c r="T264" s="9" t="s">
        <v>1603</v>
      </c>
      <c r="U264" s="11" t="s">
        <v>87</v>
      </c>
      <c r="V264" s="11" t="s">
        <v>88</v>
      </c>
      <c r="W264" s="11" t="s">
        <v>1648</v>
      </c>
      <c r="X264" s="9" t="n">
        <f aca="false">IF(AND(COUNT($E264:$G264)=0,LEFT($H264,2)&lt;&gt;"定性",LEFT($H264,2)&lt;&gt;"文字",LEFT($H264,2)&lt;&gt;"日期"),1,0)</f>
        <v>0</v>
      </c>
      <c r="Y264" s="9" t="n">
        <f aca="false">IF(OR($L264="",$M264=""),1,0)</f>
        <v>0</v>
      </c>
      <c r="Z264" s="9" t="n">
        <f aca="false">IF(AND(ISNUMBER($E264),ISNUMBER($F264)),IF($F264&gt;$E264,1,0),0)+IF(AND(ISNUMBER($E264),ISNUMBER($G264)),IF($E264&gt;$G264,1,0),0)+IF(AND(ISNUMBER($F264),ISNUMBER($G264)),IF($F264&gt;$G264,1,0),0)</f>
        <v>0</v>
      </c>
      <c r="AA264" s="9" t="n">
        <f aca="false">IF(AND($P264="Derived",$V264="觀測"),1,0)</f>
        <v>0</v>
      </c>
      <c r="AB264" s="12" t="s">
        <v>90</v>
      </c>
    </row>
    <row r="265" customFormat="false" ht="15" hidden="false" customHeight="false" outlineLevel="0" collapsed="false">
      <c r="A265" s="9" t="s">
        <v>1649</v>
      </c>
      <c r="B265" s="9" t="s">
        <v>1650</v>
      </c>
      <c r="C265" s="9" t="s">
        <v>1095</v>
      </c>
      <c r="D265" s="11" t="s">
        <v>1651</v>
      </c>
      <c r="E265" s="9"/>
      <c r="F265" s="9"/>
      <c r="G265" s="10" t="n">
        <v>100</v>
      </c>
      <c r="H265" s="9" t="s">
        <v>1652</v>
      </c>
      <c r="I265" s="11" t="s">
        <v>1544</v>
      </c>
      <c r="J265" s="9"/>
      <c r="K265" s="11" t="s">
        <v>78</v>
      </c>
      <c r="L265" s="9" t="s">
        <v>1653</v>
      </c>
      <c r="M265" s="9" t="s">
        <v>1654</v>
      </c>
      <c r="N265" s="9" t="s">
        <v>1655</v>
      </c>
      <c r="O265" s="9" t="s">
        <v>82</v>
      </c>
      <c r="P265" s="9" t="s">
        <v>83</v>
      </c>
      <c r="Q265" s="9" t="s">
        <v>1603</v>
      </c>
      <c r="R265" s="9" t="s">
        <v>85</v>
      </c>
      <c r="S265" s="11" t="s">
        <v>86</v>
      </c>
      <c r="T265" s="9" t="s">
        <v>1603</v>
      </c>
      <c r="U265" s="11" t="s">
        <v>87</v>
      </c>
      <c r="V265" s="11" t="s">
        <v>88</v>
      </c>
      <c r="W265" s="11" t="s">
        <v>1656</v>
      </c>
      <c r="X265" s="9" t="n">
        <f aca="false">IF(AND(COUNT($E265:$G265)=0,LEFT($H265,2)&lt;&gt;"定性",LEFT($H265,2)&lt;&gt;"文字",LEFT($H265,2)&lt;&gt;"日期"),1,0)</f>
        <v>0</v>
      </c>
      <c r="Y265" s="9" t="n">
        <f aca="false">IF(OR($L265="",$M265=""),1,0)</f>
        <v>0</v>
      </c>
      <c r="Z265" s="9" t="n">
        <f aca="false">IF(AND(ISNUMBER($E265),ISNUMBER($F265)),IF($F265&gt;$E265,1,0),0)+IF(AND(ISNUMBER($E265),ISNUMBER($G265)),IF($E265&gt;$G265,1,0),0)+IF(AND(ISNUMBER($F265),ISNUMBER($G265)),IF($F265&gt;$G265,1,0),0)</f>
        <v>0</v>
      </c>
      <c r="AA265" s="9" t="n">
        <f aca="false">IF(AND($P265="Derived",$V265="觀測"),1,0)</f>
        <v>0</v>
      </c>
      <c r="AB265" s="12" t="s">
        <v>90</v>
      </c>
    </row>
    <row r="266" customFormat="false" ht="15" hidden="false" customHeight="false" outlineLevel="0" collapsed="false">
      <c r="A266" s="9" t="s">
        <v>1657</v>
      </c>
      <c r="B266" s="9" t="s">
        <v>1658</v>
      </c>
      <c r="C266" s="9" t="s">
        <v>1095</v>
      </c>
      <c r="D266" s="11" t="s">
        <v>1659</v>
      </c>
      <c r="E266" s="10" t="n">
        <v>30</v>
      </c>
      <c r="F266" s="9"/>
      <c r="G266" s="9"/>
      <c r="H266" s="9" t="s">
        <v>76</v>
      </c>
      <c r="I266" s="9" t="s">
        <v>1660</v>
      </c>
      <c r="J266" s="9"/>
      <c r="K266" s="11" t="s">
        <v>78</v>
      </c>
      <c r="L266" s="9" t="s">
        <v>1661</v>
      </c>
      <c r="M266" s="9" t="s">
        <v>1662</v>
      </c>
      <c r="N266" s="9" t="s">
        <v>633</v>
      </c>
      <c r="O266" s="9" t="s">
        <v>82</v>
      </c>
      <c r="P266" s="9" t="s">
        <v>83</v>
      </c>
      <c r="Q266" s="9" t="s">
        <v>1663</v>
      </c>
      <c r="R266" s="9" t="s">
        <v>85</v>
      </c>
      <c r="S266" s="11" t="s">
        <v>86</v>
      </c>
      <c r="T266" s="9" t="s">
        <v>1663</v>
      </c>
      <c r="U266" s="11" t="s">
        <v>1289</v>
      </c>
      <c r="V266" s="11" t="s">
        <v>88</v>
      </c>
      <c r="W266" s="11" t="s">
        <v>1664</v>
      </c>
      <c r="X266" s="9" t="n">
        <f aca="false">IF(AND(COUNT($E266:$G266)=0,LEFT($H266,2)&lt;&gt;"定性",LEFT($H266,2)&lt;&gt;"文字",LEFT($H266,2)&lt;&gt;"日期"),1,0)</f>
        <v>0</v>
      </c>
      <c r="Y266" s="9" t="n">
        <f aca="false">IF(OR($L266="",$M266=""),1,0)</f>
        <v>0</v>
      </c>
      <c r="Z266" s="9" t="n">
        <f aca="false">IF(AND(ISNUMBER($E266),ISNUMBER($F266)),IF($F266&gt;$E266,1,0),0)+IF(AND(ISNUMBER($E266),ISNUMBER($G266)),IF($E266&gt;$G266,1,0),0)+IF(AND(ISNUMBER($F266),ISNUMBER($G266)),IF($F266&gt;$G266,1,0),0)</f>
        <v>0</v>
      </c>
      <c r="AA266" s="9" t="n">
        <f aca="false">IF(AND($P266="Derived",$V266="觀測"),1,0)</f>
        <v>0</v>
      </c>
      <c r="AB266" s="12" t="s">
        <v>90</v>
      </c>
    </row>
    <row r="267" customFormat="false" ht="15" hidden="false" customHeight="false" outlineLevel="0" collapsed="false">
      <c r="A267" s="9" t="s">
        <v>1665</v>
      </c>
      <c r="B267" s="9" t="s">
        <v>1666</v>
      </c>
      <c r="C267" s="9" t="s">
        <v>1095</v>
      </c>
      <c r="D267" s="11" t="s">
        <v>1667</v>
      </c>
      <c r="E267" s="9"/>
      <c r="F267" s="10" t="n">
        <v>80</v>
      </c>
      <c r="G267" s="9"/>
      <c r="H267" s="9" t="s">
        <v>1543</v>
      </c>
      <c r="I267" s="9" t="s">
        <v>1423</v>
      </c>
      <c r="J267" s="9"/>
      <c r="K267" s="11" t="s">
        <v>78</v>
      </c>
      <c r="L267" s="9" t="s">
        <v>1668</v>
      </c>
      <c r="M267" s="9" t="s">
        <v>1669</v>
      </c>
      <c r="N267" s="9" t="s">
        <v>1655</v>
      </c>
      <c r="O267" s="9" t="s">
        <v>82</v>
      </c>
      <c r="P267" s="9" t="s">
        <v>83</v>
      </c>
      <c r="Q267" s="9" t="s">
        <v>1603</v>
      </c>
      <c r="R267" s="9" t="s">
        <v>85</v>
      </c>
      <c r="S267" s="11" t="s">
        <v>86</v>
      </c>
      <c r="T267" s="9" t="s">
        <v>1603</v>
      </c>
      <c r="U267" s="11" t="s">
        <v>87</v>
      </c>
      <c r="V267" s="11" t="s">
        <v>88</v>
      </c>
      <c r="W267" s="11" t="s">
        <v>1670</v>
      </c>
      <c r="X267" s="9" t="n">
        <f aca="false">IF(AND(COUNT($E267:$G267)=0,LEFT($H267,2)&lt;&gt;"定性",LEFT($H267,2)&lt;&gt;"文字",LEFT($H267,2)&lt;&gt;"日期"),1,0)</f>
        <v>0</v>
      </c>
      <c r="Y267" s="9" t="n">
        <f aca="false">IF(OR($L267="",$M267=""),1,0)</f>
        <v>0</v>
      </c>
      <c r="Z267" s="9" t="n">
        <f aca="false">IF(AND(ISNUMBER($E267),ISNUMBER($F267)),IF($F267&gt;$E267,1,0),0)+IF(AND(ISNUMBER($E267),ISNUMBER($G267)),IF($E267&gt;$G267,1,0),0)+IF(AND(ISNUMBER($F267),ISNUMBER($G267)),IF($F267&gt;$G267,1,0),0)</f>
        <v>0</v>
      </c>
      <c r="AA267" s="9" t="n">
        <f aca="false">IF(AND($P267="Derived",$V267="觀測"),1,0)</f>
        <v>0</v>
      </c>
      <c r="AB267" s="12" t="s">
        <v>90</v>
      </c>
    </row>
    <row r="268" customFormat="false" ht="15" hidden="false" customHeight="false" outlineLevel="0" collapsed="false">
      <c r="A268" s="9" t="s">
        <v>1671</v>
      </c>
      <c r="B268" s="9" t="s">
        <v>1672</v>
      </c>
      <c r="C268" s="9" t="s">
        <v>1095</v>
      </c>
      <c r="D268" s="11" t="s">
        <v>1673</v>
      </c>
      <c r="E268" s="9"/>
      <c r="F268" s="9"/>
      <c r="G268" s="9"/>
      <c r="H268" s="11" t="s">
        <v>1674</v>
      </c>
      <c r="I268" s="9" t="s">
        <v>215</v>
      </c>
      <c r="J268" s="9"/>
      <c r="K268" s="9"/>
      <c r="L268" s="9" t="s">
        <v>1675</v>
      </c>
      <c r="M268" s="9" t="s">
        <v>1676</v>
      </c>
      <c r="N268" s="9" t="s">
        <v>1677</v>
      </c>
      <c r="O268" s="9" t="s">
        <v>82</v>
      </c>
      <c r="P268" s="9" t="s">
        <v>83</v>
      </c>
      <c r="Q268" s="9" t="s">
        <v>1678</v>
      </c>
      <c r="R268" s="9" t="s">
        <v>85</v>
      </c>
      <c r="S268" s="11" t="s">
        <v>86</v>
      </c>
      <c r="T268" s="9" t="s">
        <v>1678</v>
      </c>
      <c r="U268" s="11" t="s">
        <v>87</v>
      </c>
      <c r="V268" s="11" t="s">
        <v>88</v>
      </c>
      <c r="W268" s="9" t="s">
        <v>1679</v>
      </c>
      <c r="X268" s="9" t="n">
        <f aca="false">IF(AND(COUNT($E268:$G268)=0,LEFT($H268,2)&lt;&gt;"定性",LEFT($H268,2)&lt;&gt;"文字",LEFT($H268,2)&lt;&gt;"日期"),1,0)</f>
        <v>0</v>
      </c>
      <c r="Y268" s="9" t="n">
        <f aca="false">IF(OR($L268="",$M268=""),1,0)</f>
        <v>0</v>
      </c>
      <c r="Z268" s="9" t="n">
        <f aca="false">IF(AND(ISNUMBER($E268),ISNUMBER($F268)),IF($F268&gt;$E268,1,0),0)+IF(AND(ISNUMBER($E268),ISNUMBER($G268)),IF($E268&gt;$G268,1,0),0)+IF(AND(ISNUMBER($F268),ISNUMBER($G268)),IF($F268&gt;$G268,1,0),0)</f>
        <v>0</v>
      </c>
      <c r="AA268" s="9" t="n">
        <f aca="false">IF(AND($P268="Derived",$V268="觀測"),1,0)</f>
        <v>0</v>
      </c>
      <c r="AB268" s="12" t="s">
        <v>90</v>
      </c>
    </row>
    <row r="269" customFormat="false" ht="15" hidden="false" customHeight="false" outlineLevel="0" collapsed="false">
      <c r="A269" s="9" t="s">
        <v>1680</v>
      </c>
      <c r="B269" s="9" t="s">
        <v>1681</v>
      </c>
      <c r="C269" s="9" t="s">
        <v>1095</v>
      </c>
      <c r="D269" s="11" t="s">
        <v>1682</v>
      </c>
      <c r="E269" s="10" t="n">
        <v>5</v>
      </c>
      <c r="F269" s="10" t="n">
        <v>1.4</v>
      </c>
      <c r="G269" s="10" t="n">
        <v>15</v>
      </c>
      <c r="H269" s="9" t="s">
        <v>1683</v>
      </c>
      <c r="I269" s="9" t="s">
        <v>1684</v>
      </c>
      <c r="J269" s="9"/>
      <c r="K269" s="11" t="s">
        <v>146</v>
      </c>
      <c r="L269" s="9" t="s">
        <v>1685</v>
      </c>
      <c r="M269" s="9" t="s">
        <v>1686</v>
      </c>
      <c r="N269" s="9" t="s">
        <v>1687</v>
      </c>
      <c r="O269" s="9" t="s">
        <v>82</v>
      </c>
      <c r="P269" s="9" t="s">
        <v>299</v>
      </c>
      <c r="Q269" s="9"/>
      <c r="R269" s="9" t="s">
        <v>85</v>
      </c>
      <c r="S269" s="11" t="s">
        <v>300</v>
      </c>
      <c r="T269" s="11" t="s">
        <v>301</v>
      </c>
      <c r="U269" s="11" t="s">
        <v>87</v>
      </c>
      <c r="V269" s="11" t="s">
        <v>88</v>
      </c>
      <c r="W269" s="11" t="s">
        <v>1688</v>
      </c>
      <c r="X269" s="9" t="n">
        <f aca="false">IF(AND(COUNT($E269:$G269)=0,LEFT($H269,2)&lt;&gt;"定性",LEFT($H269,2)&lt;&gt;"文字",LEFT($H269,2)&lt;&gt;"日期"),1,0)</f>
        <v>0</v>
      </c>
      <c r="Y269" s="9" t="n">
        <f aca="false">IF(OR($L269="",$M269=""),1,0)</f>
        <v>0</v>
      </c>
      <c r="Z269" s="9" t="n">
        <f aca="false">IF(AND(ISNUMBER($E269),ISNUMBER($F269)),IF($F269&gt;$E269,1,0),0)+IF(AND(ISNUMBER($E269),ISNUMBER($G269)),IF($E269&gt;$G269,1,0),0)+IF(AND(ISNUMBER($F269),ISNUMBER($G269)),IF($F269&gt;$G269,1,0),0)</f>
        <v>0</v>
      </c>
      <c r="AA269" s="9" t="n">
        <f aca="false">IF(AND($P269="Derived",$V269="觀測"),1,0)</f>
        <v>0</v>
      </c>
      <c r="AB269" s="12" t="s">
        <v>90</v>
      </c>
    </row>
    <row r="270" customFormat="false" ht="15" hidden="false" customHeight="false" outlineLevel="0" collapsed="false">
      <c r="A270" s="9" t="s">
        <v>1689</v>
      </c>
      <c r="B270" s="9" t="s">
        <v>1690</v>
      </c>
      <c r="C270" s="9" t="s">
        <v>1095</v>
      </c>
      <c r="D270" s="11" t="s">
        <v>1691</v>
      </c>
      <c r="E270" s="10" t="n">
        <v>10</v>
      </c>
      <c r="F270" s="10" t="n">
        <v>9.5</v>
      </c>
      <c r="G270" s="9"/>
      <c r="H270" s="9" t="s">
        <v>1692</v>
      </c>
      <c r="I270" s="9" t="s">
        <v>1693</v>
      </c>
      <c r="J270" s="9"/>
      <c r="K270" s="11" t="s">
        <v>146</v>
      </c>
      <c r="L270" s="9" t="s">
        <v>1694</v>
      </c>
      <c r="M270" s="9" t="s">
        <v>1695</v>
      </c>
      <c r="N270" s="9" t="s">
        <v>1696</v>
      </c>
      <c r="O270" s="9" t="s">
        <v>82</v>
      </c>
      <c r="P270" s="9" t="s">
        <v>83</v>
      </c>
      <c r="Q270" s="11" t="s">
        <v>1697</v>
      </c>
      <c r="R270" s="11" t="s">
        <v>103</v>
      </c>
      <c r="S270" s="11" t="s">
        <v>86</v>
      </c>
      <c r="T270" s="11" t="s">
        <v>1697</v>
      </c>
      <c r="U270" s="11" t="s">
        <v>103</v>
      </c>
      <c r="V270" s="11" t="s">
        <v>88</v>
      </c>
      <c r="W270" s="11" t="s">
        <v>1698</v>
      </c>
      <c r="X270" s="9" t="n">
        <f aca="false">IF(AND(COUNT($E270:$G270)=0,LEFT($H270,2)&lt;&gt;"定性",LEFT($H270,2)&lt;&gt;"文字",LEFT($H270,2)&lt;&gt;"日期"),1,0)</f>
        <v>0</v>
      </c>
      <c r="Y270" s="9" t="n">
        <f aca="false">IF(OR($L270="",$M270=""),1,0)</f>
        <v>0</v>
      </c>
      <c r="Z270" s="9" t="n">
        <f aca="false">IF(AND(ISNUMBER($E270),ISNUMBER($F270)),IF($F270&gt;$E270,1,0),0)+IF(AND(ISNUMBER($E270),ISNUMBER($G270)),IF($E270&gt;$G270,1,0),0)+IF(AND(ISNUMBER($F270),ISNUMBER($G270)),IF($F270&gt;$G270,1,0),0)</f>
        <v>0</v>
      </c>
      <c r="AA270" s="9" t="n">
        <f aca="false">IF(AND($P270="Derived",$V270="觀測"),1,0)</f>
        <v>0</v>
      </c>
      <c r="AB270" s="12" t="s">
        <v>90</v>
      </c>
    </row>
    <row r="271" customFormat="false" ht="15" hidden="false" customHeight="false" outlineLevel="0" collapsed="false">
      <c r="A271" s="9" t="s">
        <v>1699</v>
      </c>
      <c r="B271" s="9" t="s">
        <v>1700</v>
      </c>
      <c r="C271" s="9" t="s">
        <v>1095</v>
      </c>
      <c r="D271" s="11" t="s">
        <v>1701</v>
      </c>
      <c r="E271" s="10" t="n">
        <v>5</v>
      </c>
      <c r="F271" s="9"/>
      <c r="G271" s="9"/>
      <c r="H271" s="9" t="s">
        <v>1702</v>
      </c>
      <c r="I271" s="9" t="s">
        <v>1247</v>
      </c>
      <c r="J271" s="9"/>
      <c r="K271" s="11" t="s">
        <v>146</v>
      </c>
      <c r="L271" s="9" t="s">
        <v>1703</v>
      </c>
      <c r="M271" s="9" t="s">
        <v>1704</v>
      </c>
      <c r="N271" s="9" t="s">
        <v>1696</v>
      </c>
      <c r="O271" s="9" t="s">
        <v>82</v>
      </c>
      <c r="P271" s="9" t="s">
        <v>83</v>
      </c>
      <c r="Q271" s="9" t="s">
        <v>1705</v>
      </c>
      <c r="R271" s="9" t="s">
        <v>85</v>
      </c>
      <c r="S271" s="11" t="s">
        <v>86</v>
      </c>
      <c r="T271" s="9" t="s">
        <v>1705</v>
      </c>
      <c r="U271" s="11" t="s">
        <v>87</v>
      </c>
      <c r="V271" s="11" t="s">
        <v>88</v>
      </c>
      <c r="W271" s="11" t="s">
        <v>1706</v>
      </c>
      <c r="X271" s="9" t="n">
        <f aca="false">IF(AND(COUNT($E271:$G271)=0,LEFT($H271,2)&lt;&gt;"定性",LEFT($H271,2)&lt;&gt;"文字",LEFT($H271,2)&lt;&gt;"日期"),1,0)</f>
        <v>0</v>
      </c>
      <c r="Y271" s="9" t="n">
        <f aca="false">IF(OR($L271="",$M271=""),1,0)</f>
        <v>0</v>
      </c>
      <c r="Z271" s="9" t="n">
        <f aca="false">IF(AND(ISNUMBER($E271),ISNUMBER($F271)),IF($F271&gt;$E271,1,0),0)+IF(AND(ISNUMBER($E271),ISNUMBER($G271)),IF($E271&gt;$G271,1,0),0)+IF(AND(ISNUMBER($F271),ISNUMBER($G271)),IF($F271&gt;$G271,1,0),0)</f>
        <v>0</v>
      </c>
      <c r="AA271" s="9" t="n">
        <f aca="false">IF(AND($P271="Derived",$V271="觀測"),1,0)</f>
        <v>0</v>
      </c>
      <c r="AB271" s="12" t="s">
        <v>90</v>
      </c>
    </row>
    <row r="272" customFormat="false" ht="15" hidden="false" customHeight="false" outlineLevel="0" collapsed="false">
      <c r="A272" s="9" t="s">
        <v>1707</v>
      </c>
      <c r="B272" s="9" t="s">
        <v>1708</v>
      </c>
      <c r="C272" s="9" t="s">
        <v>1095</v>
      </c>
      <c r="D272" s="9" t="s">
        <v>1709</v>
      </c>
      <c r="E272" s="9" t="n">
        <f aca="false">SRC_ANT_267*SRC_ANT_379</f>
        <v>10</v>
      </c>
      <c r="F272" s="9"/>
      <c r="G272" s="9"/>
      <c r="H272" s="9" t="s">
        <v>1106</v>
      </c>
      <c r="I272" s="9" t="s">
        <v>1693</v>
      </c>
      <c r="J272" s="9"/>
      <c r="K272" s="11" t="s">
        <v>146</v>
      </c>
      <c r="L272" s="9" t="s">
        <v>1710</v>
      </c>
      <c r="M272" s="9" t="s">
        <v>1704</v>
      </c>
      <c r="N272" s="9" t="s">
        <v>1696</v>
      </c>
      <c r="O272" s="9" t="s">
        <v>82</v>
      </c>
      <c r="P272" s="9" t="s">
        <v>102</v>
      </c>
      <c r="Q272" s="9"/>
      <c r="R272" s="11" t="s">
        <v>103</v>
      </c>
      <c r="S272" s="11" t="s">
        <v>104</v>
      </c>
      <c r="T272" s="11" t="s">
        <v>105</v>
      </c>
      <c r="U272" s="11" t="s">
        <v>104</v>
      </c>
      <c r="V272" s="9" t="s">
        <v>106</v>
      </c>
      <c r="W272" s="9" t="s">
        <v>1711</v>
      </c>
      <c r="X272" s="9" t="n">
        <f aca="false">IF(AND(COUNT($E272:$G272)=0,LEFT($H272,2)&lt;&gt;"定性",LEFT($H272,2)&lt;&gt;"文字",LEFT($H272,2)&lt;&gt;"日期"),1,0)</f>
        <v>0</v>
      </c>
      <c r="Y272" s="9" t="n">
        <f aca="false">IF(OR($L272="",$M272=""),1,0)</f>
        <v>0</v>
      </c>
      <c r="Z272" s="9" t="n">
        <f aca="false">IF(AND(ISNUMBER($E272),ISNUMBER($F272)),IF($F272&gt;$E272,1,0),0)+IF(AND(ISNUMBER($E272),ISNUMBER($G272)),IF($E272&gt;$G272,1,0),0)+IF(AND(ISNUMBER($F272),ISNUMBER($G272)),IF($F272&gt;$G272,1,0),0)</f>
        <v>0</v>
      </c>
      <c r="AA272" s="9" t="n">
        <f aca="false">IF(AND($P272="Derived",$V272="觀測"),1,0)</f>
        <v>0</v>
      </c>
      <c r="AB272" s="12" t="s">
        <v>90</v>
      </c>
    </row>
    <row r="273" customFormat="false" ht="15" hidden="false" customHeight="false" outlineLevel="0" collapsed="false">
      <c r="A273" s="9" t="s">
        <v>1712</v>
      </c>
      <c r="B273" s="9" t="s">
        <v>1713</v>
      </c>
      <c r="C273" s="9" t="s">
        <v>1095</v>
      </c>
      <c r="D273" s="9" t="s">
        <v>1714</v>
      </c>
      <c r="E273" s="10" t="n">
        <v>1.4</v>
      </c>
      <c r="F273" s="9"/>
      <c r="G273" s="9"/>
      <c r="H273" s="9" t="s">
        <v>1106</v>
      </c>
      <c r="I273" s="9" t="s">
        <v>204</v>
      </c>
      <c r="J273" s="9"/>
      <c r="K273" s="11" t="s">
        <v>146</v>
      </c>
      <c r="L273" s="9" t="s">
        <v>1715</v>
      </c>
      <c r="M273" s="9" t="s">
        <v>1716</v>
      </c>
      <c r="N273" s="9"/>
      <c r="O273" s="9" t="s">
        <v>82</v>
      </c>
      <c r="P273" s="9" t="s">
        <v>83</v>
      </c>
      <c r="Q273" s="11" t="s">
        <v>1717</v>
      </c>
      <c r="R273" s="11" t="s">
        <v>103</v>
      </c>
      <c r="S273" s="11" t="s">
        <v>86</v>
      </c>
      <c r="T273" s="11" t="s">
        <v>1717</v>
      </c>
      <c r="U273" s="11" t="s">
        <v>103</v>
      </c>
      <c r="V273" s="11" t="s">
        <v>88</v>
      </c>
      <c r="W273" s="11" t="s">
        <v>1718</v>
      </c>
      <c r="X273" s="9" t="n">
        <f aca="false">IF(AND(COUNT($E273:$G273)=0,LEFT($H273,2)&lt;&gt;"定性",LEFT($H273,2)&lt;&gt;"文字",LEFT($H273,2)&lt;&gt;"日期"),1,0)</f>
        <v>0</v>
      </c>
      <c r="Y273" s="9" t="n">
        <f aca="false">IF(OR($L273="",$M273=""),1,0)</f>
        <v>0</v>
      </c>
      <c r="Z273" s="9" t="n">
        <f aca="false">IF(AND(ISNUMBER($E273),ISNUMBER($F273)),IF($F273&gt;$E273,1,0),0)+IF(AND(ISNUMBER($E273),ISNUMBER($G273)),IF($E273&gt;$G273,1,0),0)+IF(AND(ISNUMBER($F273),ISNUMBER($G273)),IF($F273&gt;$G273,1,0),0)</f>
        <v>0</v>
      </c>
      <c r="AA273" s="9" t="n">
        <f aca="false">IF(AND($P273="Derived",$V273="觀測"),1,0)</f>
        <v>0</v>
      </c>
      <c r="AB273" s="12" t="s">
        <v>90</v>
      </c>
    </row>
    <row r="274" customFormat="false" ht="15" hidden="false" customHeight="false" outlineLevel="0" collapsed="false">
      <c r="A274" s="9" t="s">
        <v>1719</v>
      </c>
      <c r="B274" s="9" t="s">
        <v>1720</v>
      </c>
      <c r="C274" s="9" t="s">
        <v>1095</v>
      </c>
      <c r="D274" s="9" t="s">
        <v>1721</v>
      </c>
      <c r="E274" s="10" t="n">
        <v>11</v>
      </c>
      <c r="F274" s="9"/>
      <c r="G274" s="9"/>
      <c r="H274" s="9" t="s">
        <v>1722</v>
      </c>
      <c r="I274" s="11" t="s">
        <v>1723</v>
      </c>
      <c r="J274" s="9"/>
      <c r="K274" s="11" t="s">
        <v>146</v>
      </c>
      <c r="L274" s="9" t="s">
        <v>1724</v>
      </c>
      <c r="M274" s="9" t="s">
        <v>1530</v>
      </c>
      <c r="N274" s="9" t="s">
        <v>1263</v>
      </c>
      <c r="O274" s="9" t="s">
        <v>82</v>
      </c>
      <c r="P274" s="9" t="s">
        <v>83</v>
      </c>
      <c r="Q274" s="9" t="s">
        <v>1531</v>
      </c>
      <c r="R274" s="9" t="s">
        <v>85</v>
      </c>
      <c r="S274" s="11" t="s">
        <v>86</v>
      </c>
      <c r="T274" s="9" t="s">
        <v>1531</v>
      </c>
      <c r="U274" s="11" t="s">
        <v>87</v>
      </c>
      <c r="V274" s="11" t="s">
        <v>88</v>
      </c>
      <c r="W274" s="11" t="s">
        <v>1725</v>
      </c>
      <c r="X274" s="9" t="n">
        <f aca="false">IF(AND(COUNT($E274:$G274)=0,LEFT($H274,2)&lt;&gt;"定性",LEFT($H274,2)&lt;&gt;"文字",LEFT($H274,2)&lt;&gt;"日期"),1,0)</f>
        <v>0</v>
      </c>
      <c r="Y274" s="9" t="n">
        <f aca="false">IF(OR($L274="",$M274=""),1,0)</f>
        <v>0</v>
      </c>
      <c r="Z274" s="9" t="n">
        <f aca="false">IF(AND(ISNUMBER($E274),ISNUMBER($F274)),IF($F274&gt;$E274,1,0),0)+IF(AND(ISNUMBER($E274),ISNUMBER($G274)),IF($E274&gt;$G274,1,0),0)+IF(AND(ISNUMBER($F274),ISNUMBER($G274)),IF($F274&gt;$G274,1,0),0)</f>
        <v>0</v>
      </c>
      <c r="AA274" s="9" t="n">
        <f aca="false">IF(AND($P274="Derived",$V274="觀測"),1,0)</f>
        <v>0</v>
      </c>
      <c r="AB274" s="12" t="s">
        <v>90</v>
      </c>
    </row>
    <row r="275" customFormat="false" ht="15" hidden="false" customHeight="false" outlineLevel="0" collapsed="false">
      <c r="A275" s="9" t="s">
        <v>1726</v>
      </c>
      <c r="B275" s="9" t="s">
        <v>1727</v>
      </c>
      <c r="C275" s="9" t="s">
        <v>1095</v>
      </c>
      <c r="D275" s="9" t="s">
        <v>1728</v>
      </c>
      <c r="E275" s="10" t="n">
        <v>80</v>
      </c>
      <c r="F275" s="9"/>
      <c r="G275" s="9"/>
      <c r="H275" s="9" t="s">
        <v>1729</v>
      </c>
      <c r="I275" s="11" t="s">
        <v>1730</v>
      </c>
      <c r="J275" s="9"/>
      <c r="K275" s="11" t="s">
        <v>78</v>
      </c>
      <c r="L275" s="9" t="s">
        <v>1724</v>
      </c>
      <c r="M275" s="9" t="s">
        <v>1530</v>
      </c>
      <c r="N275" s="9" t="s">
        <v>1263</v>
      </c>
      <c r="O275" s="9" t="s">
        <v>82</v>
      </c>
      <c r="P275" s="9" t="s">
        <v>83</v>
      </c>
      <c r="Q275" s="9" t="s">
        <v>1531</v>
      </c>
      <c r="R275" s="9" t="s">
        <v>85</v>
      </c>
      <c r="S275" s="11" t="s">
        <v>86</v>
      </c>
      <c r="T275" s="9" t="s">
        <v>1531</v>
      </c>
      <c r="U275" s="11" t="s">
        <v>87</v>
      </c>
      <c r="V275" s="11" t="s">
        <v>88</v>
      </c>
      <c r="W275" s="11" t="s">
        <v>1731</v>
      </c>
      <c r="X275" s="9" t="n">
        <f aca="false">IF(AND(COUNT($E275:$G275)=0,LEFT($H275,2)&lt;&gt;"定性",LEFT($H275,2)&lt;&gt;"文字",LEFT($H275,2)&lt;&gt;"日期"),1,0)</f>
        <v>0</v>
      </c>
      <c r="Y275" s="9" t="n">
        <f aca="false">IF(OR($L275="",$M275=""),1,0)</f>
        <v>0</v>
      </c>
      <c r="Z275" s="9" t="n">
        <f aca="false">IF(AND(ISNUMBER($E275),ISNUMBER($F275)),IF($F275&gt;$E275,1,0),0)+IF(AND(ISNUMBER($E275),ISNUMBER($G275)),IF($E275&gt;$G275,1,0),0)+IF(AND(ISNUMBER($F275),ISNUMBER($G275)),IF($F275&gt;$G275,1,0),0)</f>
        <v>0</v>
      </c>
      <c r="AA275" s="9" t="n">
        <f aca="false">IF(AND($P275="Derived",$V275="觀測"),1,0)</f>
        <v>0</v>
      </c>
      <c r="AB275" s="12" t="s">
        <v>90</v>
      </c>
    </row>
    <row r="276" customFormat="false" ht="15" hidden="false" customHeight="false" outlineLevel="0" collapsed="false">
      <c r="A276" s="9" t="s">
        <v>1732</v>
      </c>
      <c r="B276" s="9" t="s">
        <v>1733</v>
      </c>
      <c r="C276" s="9" t="s">
        <v>1095</v>
      </c>
      <c r="D276" s="9" t="s">
        <v>1734</v>
      </c>
      <c r="E276" s="9"/>
      <c r="F276" s="10" t="n">
        <v>30</v>
      </c>
      <c r="G276" s="9"/>
      <c r="H276" s="9" t="s">
        <v>1735</v>
      </c>
      <c r="I276" s="11" t="s">
        <v>1386</v>
      </c>
      <c r="J276" s="9"/>
      <c r="K276" s="11" t="s">
        <v>78</v>
      </c>
      <c r="L276" s="9" t="s">
        <v>1724</v>
      </c>
      <c r="M276" s="9" t="s">
        <v>1530</v>
      </c>
      <c r="N276" s="9" t="s">
        <v>1263</v>
      </c>
      <c r="O276" s="9" t="s">
        <v>82</v>
      </c>
      <c r="P276" s="9" t="s">
        <v>83</v>
      </c>
      <c r="Q276" s="9" t="s">
        <v>1531</v>
      </c>
      <c r="R276" s="9" t="s">
        <v>85</v>
      </c>
      <c r="S276" s="11" t="s">
        <v>86</v>
      </c>
      <c r="T276" s="9" t="s">
        <v>1531</v>
      </c>
      <c r="U276" s="11" t="s">
        <v>87</v>
      </c>
      <c r="V276" s="11" t="s">
        <v>88</v>
      </c>
      <c r="W276" s="11" t="s">
        <v>1736</v>
      </c>
      <c r="X276" s="9" t="n">
        <f aca="false">IF(AND(COUNT($E276:$G276)=0,LEFT($H276,2)&lt;&gt;"定性",LEFT($H276,2)&lt;&gt;"文字",LEFT($H276,2)&lt;&gt;"日期"),1,0)</f>
        <v>0</v>
      </c>
      <c r="Y276" s="9" t="n">
        <f aca="false">IF(OR($L276="",$M276=""),1,0)</f>
        <v>0</v>
      </c>
      <c r="Z276" s="9" t="n">
        <f aca="false">IF(AND(ISNUMBER($E276),ISNUMBER($F276)),IF($F276&gt;$E276,1,0),0)+IF(AND(ISNUMBER($E276),ISNUMBER($G276)),IF($E276&gt;$G276,1,0),0)+IF(AND(ISNUMBER($F276),ISNUMBER($G276)),IF($F276&gt;$G276,1,0),0)</f>
        <v>0</v>
      </c>
      <c r="AA276" s="9" t="n">
        <f aca="false">IF(AND($P276="Derived",$V276="觀測"),1,0)</f>
        <v>0</v>
      </c>
      <c r="AB276" s="12" t="s">
        <v>90</v>
      </c>
    </row>
    <row r="277" customFormat="false" ht="15" hidden="false" customHeight="false" outlineLevel="0" collapsed="false">
      <c r="A277" s="9" t="s">
        <v>1737</v>
      </c>
      <c r="B277" s="9" t="s">
        <v>1738</v>
      </c>
      <c r="C277" s="9" t="s">
        <v>1095</v>
      </c>
      <c r="D277" s="9" t="s">
        <v>1739</v>
      </c>
      <c r="E277" s="10" t="n">
        <v>200</v>
      </c>
      <c r="F277" s="9"/>
      <c r="G277" s="9"/>
      <c r="H277" s="9" t="s">
        <v>1740</v>
      </c>
      <c r="I277" s="11" t="s">
        <v>1741</v>
      </c>
      <c r="J277" s="9"/>
      <c r="K277" s="11" t="s">
        <v>78</v>
      </c>
      <c r="L277" s="9" t="s">
        <v>1742</v>
      </c>
      <c r="M277" s="9" t="s">
        <v>1262</v>
      </c>
      <c r="N277" s="9" t="s">
        <v>1263</v>
      </c>
      <c r="O277" s="9" t="s">
        <v>82</v>
      </c>
      <c r="P277" s="9" t="s">
        <v>83</v>
      </c>
      <c r="Q277" s="9" t="s">
        <v>1531</v>
      </c>
      <c r="R277" s="9" t="s">
        <v>85</v>
      </c>
      <c r="S277" s="11" t="s">
        <v>86</v>
      </c>
      <c r="T277" s="9" t="s">
        <v>1531</v>
      </c>
      <c r="U277" s="11" t="s">
        <v>87</v>
      </c>
      <c r="V277" s="11" t="s">
        <v>88</v>
      </c>
      <c r="W277" s="11" t="s">
        <v>1743</v>
      </c>
      <c r="X277" s="9" t="n">
        <f aca="false">IF(AND(COUNT($E277:$G277)=0,LEFT($H277,2)&lt;&gt;"定性",LEFT($H277,2)&lt;&gt;"文字",LEFT($H277,2)&lt;&gt;"日期"),1,0)</f>
        <v>0</v>
      </c>
      <c r="Y277" s="9" t="n">
        <f aca="false">IF(OR($L277="",$M277=""),1,0)</f>
        <v>0</v>
      </c>
      <c r="Z277" s="9" t="n">
        <f aca="false">IF(AND(ISNUMBER($E277),ISNUMBER($F277)),IF($F277&gt;$E277,1,0),0)+IF(AND(ISNUMBER($E277),ISNUMBER($G277)),IF($E277&gt;$G277,1,0),0)+IF(AND(ISNUMBER($F277),ISNUMBER($G277)),IF($F277&gt;$G277,1,0),0)</f>
        <v>0</v>
      </c>
      <c r="AA277" s="9" t="n">
        <f aca="false">IF(AND($P277="Derived",$V277="觀測"),1,0)</f>
        <v>0</v>
      </c>
      <c r="AB277" s="12" t="s">
        <v>90</v>
      </c>
    </row>
    <row r="278" customFormat="false" ht="15" hidden="false" customHeight="false" outlineLevel="0" collapsed="false">
      <c r="A278" s="9" t="s">
        <v>1744</v>
      </c>
      <c r="B278" s="9" t="s">
        <v>1745</v>
      </c>
      <c r="C278" s="9" t="s">
        <v>1746</v>
      </c>
      <c r="D278" s="9" t="s">
        <v>1747</v>
      </c>
      <c r="E278" s="10" t="n">
        <v>12.65</v>
      </c>
      <c r="F278" s="9"/>
      <c r="G278" s="9"/>
      <c r="H278" s="9" t="s">
        <v>482</v>
      </c>
      <c r="I278" s="9" t="s">
        <v>1748</v>
      </c>
      <c r="J278" s="9"/>
      <c r="K278" s="11" t="s">
        <v>78</v>
      </c>
      <c r="L278" s="9" t="s">
        <v>1749</v>
      </c>
      <c r="M278" s="9" t="s">
        <v>1750</v>
      </c>
      <c r="N278" s="9" t="s">
        <v>81</v>
      </c>
      <c r="O278" s="9" t="s">
        <v>82</v>
      </c>
      <c r="P278" s="9" t="s">
        <v>83</v>
      </c>
      <c r="Q278" s="9" t="s">
        <v>1751</v>
      </c>
      <c r="R278" s="9" t="s">
        <v>85</v>
      </c>
      <c r="S278" s="11" t="s">
        <v>86</v>
      </c>
      <c r="T278" s="9" t="s">
        <v>1751</v>
      </c>
      <c r="U278" s="11" t="s">
        <v>1289</v>
      </c>
      <c r="V278" s="11" t="s">
        <v>88</v>
      </c>
      <c r="W278" s="11" t="s">
        <v>1752</v>
      </c>
      <c r="X278" s="9" t="n">
        <f aca="false">IF(AND(COUNT($E278:$G278)=0,LEFT($H278,2)&lt;&gt;"定性",LEFT($H278,2)&lt;&gt;"文字",LEFT($H278,2)&lt;&gt;"日期"),1,0)</f>
        <v>0</v>
      </c>
      <c r="Y278" s="9" t="n">
        <f aca="false">IF(OR($L278="",$M278=""),1,0)</f>
        <v>0</v>
      </c>
      <c r="Z278" s="9" t="n">
        <f aca="false">IF(AND(ISNUMBER($E278),ISNUMBER($F278)),IF($F278&gt;$E278,1,0),0)+IF(AND(ISNUMBER($E278),ISNUMBER($G278)),IF($E278&gt;$G278,1,0),0)+IF(AND(ISNUMBER($F278),ISNUMBER($G278)),IF($F278&gt;$G278,1,0),0)</f>
        <v>0</v>
      </c>
      <c r="AA278" s="9" t="n">
        <f aca="false">IF(AND($P278="Derived",$V278="觀測"),1,0)</f>
        <v>0</v>
      </c>
      <c r="AB278" s="12" t="s">
        <v>90</v>
      </c>
    </row>
    <row r="279" customFormat="false" ht="15" hidden="false" customHeight="false" outlineLevel="0" collapsed="false">
      <c r="A279" s="9" t="s">
        <v>1753</v>
      </c>
      <c r="B279" s="9" t="s">
        <v>1754</v>
      </c>
      <c r="C279" s="9" t="s">
        <v>1746</v>
      </c>
      <c r="D279" s="9" t="s">
        <v>1755</v>
      </c>
      <c r="E279" s="10" t="n">
        <v>13</v>
      </c>
      <c r="F279" s="9"/>
      <c r="G279" s="9"/>
      <c r="H279" s="9" t="s">
        <v>482</v>
      </c>
      <c r="I279" s="9" t="s">
        <v>1748</v>
      </c>
      <c r="J279" s="9"/>
      <c r="K279" s="11" t="s">
        <v>78</v>
      </c>
      <c r="L279" s="9" t="s">
        <v>1756</v>
      </c>
      <c r="M279" s="9" t="s">
        <v>1757</v>
      </c>
      <c r="N279" s="9" t="s">
        <v>81</v>
      </c>
      <c r="O279" s="9" t="s">
        <v>82</v>
      </c>
      <c r="P279" s="9" t="s">
        <v>83</v>
      </c>
      <c r="Q279" s="9" t="s">
        <v>1751</v>
      </c>
      <c r="R279" s="9" t="s">
        <v>85</v>
      </c>
      <c r="S279" s="11" t="s">
        <v>86</v>
      </c>
      <c r="T279" s="9" t="s">
        <v>1751</v>
      </c>
      <c r="U279" s="11" t="s">
        <v>87</v>
      </c>
      <c r="V279" s="11" t="s">
        <v>88</v>
      </c>
      <c r="W279" s="11" t="s">
        <v>1758</v>
      </c>
      <c r="X279" s="9" t="n">
        <f aca="false">IF(AND(COUNT($E279:$G279)=0,LEFT($H279,2)&lt;&gt;"定性",LEFT($H279,2)&lt;&gt;"文字",LEFT($H279,2)&lt;&gt;"日期"),1,0)</f>
        <v>0</v>
      </c>
      <c r="Y279" s="9" t="n">
        <f aca="false">IF(OR($L279="",$M279=""),1,0)</f>
        <v>0</v>
      </c>
      <c r="Z279" s="9" t="n">
        <f aca="false">IF(AND(ISNUMBER($E279),ISNUMBER($F279)),IF($F279&gt;$E279,1,0),0)+IF(AND(ISNUMBER($E279),ISNUMBER($G279)),IF($E279&gt;$G279,1,0),0)+IF(AND(ISNUMBER($F279),ISNUMBER($G279)),IF($F279&gt;$G279,1,0),0)</f>
        <v>0</v>
      </c>
      <c r="AA279" s="9" t="n">
        <f aca="false">IF(AND($P279="Derived",$V279="觀測"),1,0)</f>
        <v>0</v>
      </c>
      <c r="AB279" s="12" t="s">
        <v>90</v>
      </c>
    </row>
    <row r="280" customFormat="false" ht="15" hidden="false" customHeight="false" outlineLevel="0" collapsed="false">
      <c r="A280" s="9" t="s">
        <v>1759</v>
      </c>
      <c r="B280" s="9" t="s">
        <v>1760</v>
      </c>
      <c r="C280" s="9" t="s">
        <v>1746</v>
      </c>
      <c r="D280" s="9" t="s">
        <v>1761</v>
      </c>
      <c r="E280" s="10" t="n">
        <v>7.33</v>
      </c>
      <c r="F280" s="9"/>
      <c r="G280" s="9"/>
      <c r="H280" s="9" t="s">
        <v>482</v>
      </c>
      <c r="I280" s="9" t="s">
        <v>1748</v>
      </c>
      <c r="J280" s="9"/>
      <c r="K280" s="11" t="s">
        <v>78</v>
      </c>
      <c r="L280" s="9" t="s">
        <v>1749</v>
      </c>
      <c r="M280" s="9" t="s">
        <v>1750</v>
      </c>
      <c r="N280" s="9" t="s">
        <v>81</v>
      </c>
      <c r="O280" s="9" t="s">
        <v>82</v>
      </c>
      <c r="P280" s="9" t="s">
        <v>83</v>
      </c>
      <c r="Q280" s="9" t="s">
        <v>1751</v>
      </c>
      <c r="R280" s="9" t="s">
        <v>85</v>
      </c>
      <c r="S280" s="11" t="s">
        <v>86</v>
      </c>
      <c r="T280" s="9" t="s">
        <v>1751</v>
      </c>
      <c r="U280" s="11" t="s">
        <v>1289</v>
      </c>
      <c r="V280" s="11" t="s">
        <v>88</v>
      </c>
      <c r="W280" s="11" t="s">
        <v>1762</v>
      </c>
      <c r="X280" s="9" t="n">
        <f aca="false">IF(AND(COUNT($E280:$G280)=0,LEFT($H280,2)&lt;&gt;"定性",LEFT($H280,2)&lt;&gt;"文字",LEFT($H280,2)&lt;&gt;"日期"),1,0)</f>
        <v>0</v>
      </c>
      <c r="Y280" s="9" t="n">
        <f aca="false">IF(OR($L280="",$M280=""),1,0)</f>
        <v>0</v>
      </c>
      <c r="Z280" s="9" t="n">
        <f aca="false">IF(AND(ISNUMBER($E280),ISNUMBER($F280)),IF($F280&gt;$E280,1,0),0)+IF(AND(ISNUMBER($E280),ISNUMBER($G280)),IF($E280&gt;$G280,1,0),0)+IF(AND(ISNUMBER($F280),ISNUMBER($G280)),IF($F280&gt;$G280,1,0),0)</f>
        <v>0</v>
      </c>
      <c r="AA280" s="9" t="n">
        <f aca="false">IF(AND($P280="Derived",$V280="觀測"),1,0)</f>
        <v>0</v>
      </c>
      <c r="AB280" s="12" t="s">
        <v>90</v>
      </c>
    </row>
    <row r="281" customFormat="false" ht="15" hidden="false" customHeight="false" outlineLevel="0" collapsed="false">
      <c r="A281" s="9" t="s">
        <v>1763</v>
      </c>
      <c r="B281" s="9" t="s">
        <v>1764</v>
      </c>
      <c r="C281" s="9" t="s">
        <v>1746</v>
      </c>
      <c r="D281" s="9" t="s">
        <v>1765</v>
      </c>
      <c r="E281" s="9" t="n">
        <f aca="false">SRC_ANT_274-SRC_ANT_276</f>
        <v>5.32</v>
      </c>
      <c r="F281" s="9"/>
      <c r="G281" s="9"/>
      <c r="H281" s="9" t="s">
        <v>482</v>
      </c>
      <c r="I281" s="9" t="s">
        <v>1748</v>
      </c>
      <c r="J281" s="9"/>
      <c r="K281" s="11" t="s">
        <v>78</v>
      </c>
      <c r="L281" s="9" t="s">
        <v>1766</v>
      </c>
      <c r="M281" s="9" t="s">
        <v>1750</v>
      </c>
      <c r="N281" s="9" t="s">
        <v>81</v>
      </c>
      <c r="O281" s="9" t="s">
        <v>82</v>
      </c>
      <c r="P281" s="9" t="s">
        <v>102</v>
      </c>
      <c r="Q281" s="9"/>
      <c r="R281" s="11" t="s">
        <v>103</v>
      </c>
      <c r="S281" s="11" t="s">
        <v>104</v>
      </c>
      <c r="T281" s="11" t="s">
        <v>105</v>
      </c>
      <c r="U281" s="11" t="s">
        <v>104</v>
      </c>
      <c r="V281" s="9" t="s">
        <v>106</v>
      </c>
      <c r="W281" s="11" t="s">
        <v>1767</v>
      </c>
      <c r="X281" s="9" t="n">
        <f aca="false">IF(AND(COUNT($E281:$G281)=0,LEFT($H281,2)&lt;&gt;"定性",LEFT($H281,2)&lt;&gt;"文字",LEFT($H281,2)&lt;&gt;"日期"),1,0)</f>
        <v>0</v>
      </c>
      <c r="Y281" s="9" t="n">
        <f aca="false">IF(OR($L281="",$M281=""),1,0)</f>
        <v>0</v>
      </c>
      <c r="Z281" s="9" t="n">
        <f aca="false">IF(AND(ISNUMBER($E281),ISNUMBER($F281)),IF($F281&gt;$E281,1,0),0)+IF(AND(ISNUMBER($E281),ISNUMBER($G281)),IF($E281&gt;$G281,1,0),0)+IF(AND(ISNUMBER($F281),ISNUMBER($G281)),IF($F281&gt;$G281,1,0),0)</f>
        <v>0</v>
      </c>
      <c r="AA281" s="9" t="n">
        <f aca="false">IF(AND($P281="Derived",$V281="觀測"),1,0)</f>
        <v>0</v>
      </c>
      <c r="AB281" s="12" t="s">
        <v>90</v>
      </c>
    </row>
    <row r="282" customFormat="false" ht="15" hidden="false" customHeight="false" outlineLevel="0" collapsed="false">
      <c r="A282" s="9" t="s">
        <v>1768</v>
      </c>
      <c r="B282" s="9" t="s">
        <v>1769</v>
      </c>
      <c r="C282" s="9" t="s">
        <v>1746</v>
      </c>
      <c r="D282" s="9" t="s">
        <v>1770</v>
      </c>
      <c r="E282" s="10" t="n">
        <v>8.06</v>
      </c>
      <c r="F282" s="9"/>
      <c r="G282" s="9"/>
      <c r="H282" s="9" t="s">
        <v>482</v>
      </c>
      <c r="I282" s="9" t="s">
        <v>1748</v>
      </c>
      <c r="J282" s="9"/>
      <c r="K282" s="9"/>
      <c r="L282" s="9" t="s">
        <v>1749</v>
      </c>
      <c r="M282" s="9" t="s">
        <v>1750</v>
      </c>
      <c r="N282" s="9" t="s">
        <v>81</v>
      </c>
      <c r="O282" s="9" t="s">
        <v>82</v>
      </c>
      <c r="P282" s="9" t="s">
        <v>83</v>
      </c>
      <c r="Q282" s="9" t="s">
        <v>1751</v>
      </c>
      <c r="R282" s="9" t="s">
        <v>85</v>
      </c>
      <c r="S282" s="11" t="s">
        <v>86</v>
      </c>
      <c r="T282" s="9" t="s">
        <v>1751</v>
      </c>
      <c r="U282" s="11" t="s">
        <v>1289</v>
      </c>
      <c r="V282" s="11" t="s">
        <v>88</v>
      </c>
      <c r="W282" s="11" t="s">
        <v>1771</v>
      </c>
      <c r="X282" s="9" t="n">
        <f aca="false">IF(AND(COUNT($E282:$G282)=0,LEFT($H282,2)&lt;&gt;"定性",LEFT($H282,2)&lt;&gt;"文字",LEFT($H282,2)&lt;&gt;"日期"),1,0)</f>
        <v>0</v>
      </c>
      <c r="Y282" s="9" t="n">
        <f aca="false">IF(OR($L282="",$M282=""),1,0)</f>
        <v>0</v>
      </c>
      <c r="Z282" s="9" t="n">
        <f aca="false">IF(AND(ISNUMBER($E282),ISNUMBER($F282)),IF($F282&gt;$E282,1,0),0)+IF(AND(ISNUMBER($E282),ISNUMBER($G282)),IF($E282&gt;$G282,1,0),0)+IF(AND(ISNUMBER($F282),ISNUMBER($G282)),IF($F282&gt;$G282,1,0),0)</f>
        <v>0</v>
      </c>
      <c r="AA282" s="9" t="n">
        <f aca="false">IF(AND($P282="Derived",$V282="觀測"),1,0)</f>
        <v>0</v>
      </c>
      <c r="AB282" s="12" t="s">
        <v>90</v>
      </c>
    </row>
    <row r="283" customFormat="false" ht="15" hidden="false" customHeight="false" outlineLevel="0" collapsed="false">
      <c r="A283" s="9" t="s">
        <v>1772</v>
      </c>
      <c r="B283" s="9" t="s">
        <v>1773</v>
      </c>
      <c r="C283" s="9" t="s">
        <v>1746</v>
      </c>
      <c r="D283" s="9" t="s">
        <v>1774</v>
      </c>
      <c r="E283" s="10" t="n">
        <v>2.98</v>
      </c>
      <c r="F283" s="9"/>
      <c r="G283" s="9"/>
      <c r="H283" s="9" t="s">
        <v>482</v>
      </c>
      <c r="I283" s="9" t="s">
        <v>1775</v>
      </c>
      <c r="J283" s="9"/>
      <c r="K283" s="9"/>
      <c r="L283" s="9" t="s">
        <v>1749</v>
      </c>
      <c r="M283" s="9" t="s">
        <v>1750</v>
      </c>
      <c r="N283" s="9" t="s">
        <v>81</v>
      </c>
      <c r="O283" s="9" t="s">
        <v>82</v>
      </c>
      <c r="P283" s="9" t="s">
        <v>83</v>
      </c>
      <c r="Q283" s="9" t="s">
        <v>1751</v>
      </c>
      <c r="R283" s="9" t="s">
        <v>85</v>
      </c>
      <c r="S283" s="11" t="s">
        <v>86</v>
      </c>
      <c r="T283" s="9" t="s">
        <v>1751</v>
      </c>
      <c r="U283" s="11" t="s">
        <v>1289</v>
      </c>
      <c r="V283" s="11" t="s">
        <v>88</v>
      </c>
      <c r="W283" s="11" t="s">
        <v>1776</v>
      </c>
      <c r="X283" s="9" t="n">
        <f aca="false">IF(AND(COUNT($E283:$G283)=0,LEFT($H283,2)&lt;&gt;"定性",LEFT($H283,2)&lt;&gt;"文字",LEFT($H283,2)&lt;&gt;"日期"),1,0)</f>
        <v>0</v>
      </c>
      <c r="Y283" s="9" t="n">
        <f aca="false">IF(OR($L283="",$M283=""),1,0)</f>
        <v>0</v>
      </c>
      <c r="Z283" s="9" t="n">
        <f aca="false">IF(AND(ISNUMBER($E283),ISNUMBER($F283)),IF($F283&gt;$E283,1,0),0)+IF(AND(ISNUMBER($E283),ISNUMBER($G283)),IF($E283&gt;$G283,1,0),0)+IF(AND(ISNUMBER($F283),ISNUMBER($G283)),IF($F283&gt;$G283,1,0),0)</f>
        <v>0</v>
      </c>
      <c r="AA283" s="9" t="n">
        <f aca="false">IF(AND($P283="Derived",$V283="觀測"),1,0)</f>
        <v>0</v>
      </c>
      <c r="AB283" s="12" t="s">
        <v>90</v>
      </c>
    </row>
    <row r="284" customFormat="false" ht="15" hidden="false" customHeight="false" outlineLevel="0" collapsed="false">
      <c r="A284" s="9" t="s">
        <v>1777</v>
      </c>
      <c r="B284" s="9" t="s">
        <v>1778</v>
      </c>
      <c r="C284" s="9" t="s">
        <v>1746</v>
      </c>
      <c r="D284" s="9" t="s">
        <v>1779</v>
      </c>
      <c r="E284" s="10" t="n">
        <v>42</v>
      </c>
      <c r="F284" s="9"/>
      <c r="G284" s="9"/>
      <c r="H284" s="9" t="s">
        <v>482</v>
      </c>
      <c r="I284" s="9" t="s">
        <v>1748</v>
      </c>
      <c r="J284" s="9"/>
      <c r="K284" s="9"/>
      <c r="L284" s="9" t="s">
        <v>1749</v>
      </c>
      <c r="M284" s="9" t="s">
        <v>1750</v>
      </c>
      <c r="N284" s="9" t="s">
        <v>81</v>
      </c>
      <c r="O284" s="9" t="s">
        <v>82</v>
      </c>
      <c r="P284" s="9" t="s">
        <v>83</v>
      </c>
      <c r="Q284" s="9" t="s">
        <v>1751</v>
      </c>
      <c r="R284" s="9" t="s">
        <v>85</v>
      </c>
      <c r="S284" s="11" t="s">
        <v>86</v>
      </c>
      <c r="T284" s="9" t="s">
        <v>1751</v>
      </c>
      <c r="U284" s="11" t="s">
        <v>1289</v>
      </c>
      <c r="V284" s="11" t="s">
        <v>88</v>
      </c>
      <c r="W284" s="11" t="s">
        <v>1780</v>
      </c>
      <c r="X284" s="9" t="n">
        <f aca="false">IF(AND(COUNT($E284:$G284)=0,LEFT($H284,2)&lt;&gt;"定性",LEFT($H284,2)&lt;&gt;"文字",LEFT($H284,2)&lt;&gt;"日期"),1,0)</f>
        <v>0</v>
      </c>
      <c r="Y284" s="9" t="n">
        <f aca="false">IF(OR($L284="",$M284=""),1,0)</f>
        <v>0</v>
      </c>
      <c r="Z284" s="9" t="n">
        <f aca="false">IF(AND(ISNUMBER($E284),ISNUMBER($F284)),IF($F284&gt;$E284,1,0),0)+IF(AND(ISNUMBER($E284),ISNUMBER($G284)),IF($E284&gt;$G284,1,0),0)+IF(AND(ISNUMBER($F284),ISNUMBER($G284)),IF($F284&gt;$G284,1,0),0)</f>
        <v>0</v>
      </c>
      <c r="AA284" s="9" t="n">
        <f aca="false">IF(AND($P284="Derived",$V284="觀測"),1,0)</f>
        <v>0</v>
      </c>
      <c r="AB284" s="12" t="s">
        <v>90</v>
      </c>
    </row>
    <row r="285" customFormat="false" ht="15" hidden="false" customHeight="false" outlineLevel="0" collapsed="false">
      <c r="A285" s="9" t="s">
        <v>1781</v>
      </c>
      <c r="B285" s="9" t="s">
        <v>1782</v>
      </c>
      <c r="C285" s="9" t="s">
        <v>1746</v>
      </c>
      <c r="D285" s="9" t="s">
        <v>1783</v>
      </c>
      <c r="E285" s="10" t="n">
        <v>34</v>
      </c>
      <c r="F285" s="9"/>
      <c r="G285" s="9"/>
      <c r="H285" s="9" t="s">
        <v>482</v>
      </c>
      <c r="I285" s="9" t="s">
        <v>1748</v>
      </c>
      <c r="J285" s="9"/>
      <c r="K285" s="9"/>
      <c r="L285" s="9" t="s">
        <v>1749</v>
      </c>
      <c r="M285" s="9" t="s">
        <v>1750</v>
      </c>
      <c r="N285" s="9" t="s">
        <v>81</v>
      </c>
      <c r="O285" s="9" t="s">
        <v>82</v>
      </c>
      <c r="P285" s="9" t="s">
        <v>83</v>
      </c>
      <c r="Q285" s="9" t="s">
        <v>1751</v>
      </c>
      <c r="R285" s="9" t="s">
        <v>85</v>
      </c>
      <c r="S285" s="11" t="s">
        <v>86</v>
      </c>
      <c r="T285" s="9" t="s">
        <v>1751</v>
      </c>
      <c r="U285" s="11" t="s">
        <v>1289</v>
      </c>
      <c r="V285" s="11" t="s">
        <v>88</v>
      </c>
      <c r="W285" s="11" t="s">
        <v>1784</v>
      </c>
      <c r="X285" s="9" t="n">
        <f aca="false">IF(AND(COUNT($E285:$G285)=0,LEFT($H285,2)&lt;&gt;"定性",LEFT($H285,2)&lt;&gt;"文字",LEFT($H285,2)&lt;&gt;"日期"),1,0)</f>
        <v>0</v>
      </c>
      <c r="Y285" s="9" t="n">
        <f aca="false">IF(OR($L285="",$M285=""),1,0)</f>
        <v>0</v>
      </c>
      <c r="Z285" s="9" t="n">
        <f aca="false">IF(AND(ISNUMBER($E285),ISNUMBER($F285)),IF($F285&gt;$E285,1,0),0)+IF(AND(ISNUMBER($E285),ISNUMBER($G285)),IF($E285&gt;$G285,1,0),0)+IF(AND(ISNUMBER($F285),ISNUMBER($G285)),IF($F285&gt;$G285,1,0),0)</f>
        <v>0</v>
      </c>
      <c r="AA285" s="9" t="n">
        <f aca="false">IF(AND($P285="Derived",$V285="觀測"),1,0)</f>
        <v>0</v>
      </c>
      <c r="AB285" s="12" t="s">
        <v>90</v>
      </c>
    </row>
    <row r="286" customFormat="false" ht="15" hidden="false" customHeight="false" outlineLevel="0" collapsed="false">
      <c r="A286" s="9" t="s">
        <v>1785</v>
      </c>
      <c r="B286" s="9" t="s">
        <v>1786</v>
      </c>
      <c r="C286" s="9" t="s">
        <v>1746</v>
      </c>
      <c r="D286" s="9" t="s">
        <v>1787</v>
      </c>
      <c r="E286" s="10" t="n">
        <v>0.71</v>
      </c>
      <c r="F286" s="9"/>
      <c r="G286" s="9"/>
      <c r="H286" s="9" t="s">
        <v>1788</v>
      </c>
      <c r="I286" s="9" t="s">
        <v>112</v>
      </c>
      <c r="J286" s="9"/>
      <c r="K286" s="9"/>
      <c r="L286" s="9" t="s">
        <v>1789</v>
      </c>
      <c r="M286" s="9" t="s">
        <v>1790</v>
      </c>
      <c r="N286" s="9" t="s">
        <v>414</v>
      </c>
      <c r="O286" s="9" t="s">
        <v>82</v>
      </c>
      <c r="P286" s="9" t="s">
        <v>83</v>
      </c>
      <c r="Q286" s="9" t="s">
        <v>1791</v>
      </c>
      <c r="R286" s="9" t="s">
        <v>85</v>
      </c>
      <c r="S286" s="11" t="s">
        <v>86</v>
      </c>
      <c r="T286" s="9" t="s">
        <v>1791</v>
      </c>
      <c r="U286" s="11" t="s">
        <v>87</v>
      </c>
      <c r="V286" s="11" t="s">
        <v>88</v>
      </c>
      <c r="W286" s="11" t="s">
        <v>1792</v>
      </c>
      <c r="X286" s="9" t="n">
        <f aca="false">IF(AND(COUNT($E286:$G286)=0,LEFT($H286,2)&lt;&gt;"定性",LEFT($H286,2)&lt;&gt;"文字",LEFT($H286,2)&lt;&gt;"日期"),1,0)</f>
        <v>0</v>
      </c>
      <c r="Y286" s="9" t="n">
        <f aca="false">IF(OR($L286="",$M286=""),1,0)</f>
        <v>0</v>
      </c>
      <c r="Z286" s="9" t="n">
        <f aca="false">IF(AND(ISNUMBER($E286),ISNUMBER($F286)),IF($F286&gt;$E286,1,0),0)+IF(AND(ISNUMBER($E286),ISNUMBER($G286)),IF($E286&gt;$G286,1,0),0)+IF(AND(ISNUMBER($F286),ISNUMBER($G286)),IF($F286&gt;$G286,1,0),0)</f>
        <v>0</v>
      </c>
      <c r="AA286" s="9" t="n">
        <f aca="false">IF(AND($P286="Derived",$V286="觀測"),1,0)</f>
        <v>0</v>
      </c>
      <c r="AB286" s="12" t="s">
        <v>90</v>
      </c>
    </row>
    <row r="287" customFormat="false" ht="15" hidden="false" customHeight="false" outlineLevel="0" collapsed="false">
      <c r="A287" s="9" t="s">
        <v>1793</v>
      </c>
      <c r="B287" s="9" t="s">
        <v>1794</v>
      </c>
      <c r="C287" s="9" t="s">
        <v>1746</v>
      </c>
      <c r="D287" s="11" t="s">
        <v>1795</v>
      </c>
      <c r="E287" s="10" t="n">
        <v>718</v>
      </c>
      <c r="F287" s="9"/>
      <c r="G287" s="9"/>
      <c r="H287" s="11" t="s">
        <v>1028</v>
      </c>
      <c r="I287" s="9" t="s">
        <v>1796</v>
      </c>
      <c r="J287" s="9"/>
      <c r="K287" s="9"/>
      <c r="L287" s="9" t="s">
        <v>1797</v>
      </c>
      <c r="M287" s="9" t="s">
        <v>1798</v>
      </c>
      <c r="N287" s="9" t="s">
        <v>995</v>
      </c>
      <c r="O287" s="9" t="s">
        <v>82</v>
      </c>
      <c r="P287" s="9" t="s">
        <v>299</v>
      </c>
      <c r="Q287" s="9"/>
      <c r="R287" s="11" t="s">
        <v>103</v>
      </c>
      <c r="S287" s="11" t="s">
        <v>300</v>
      </c>
      <c r="T287" s="11" t="s">
        <v>301</v>
      </c>
      <c r="U287" s="11" t="s">
        <v>103</v>
      </c>
      <c r="V287" s="11" t="s">
        <v>88</v>
      </c>
      <c r="W287" s="11" t="s">
        <v>1799</v>
      </c>
      <c r="X287" s="9" t="n">
        <f aca="false">IF(AND(COUNT($E287:$G287)=0,LEFT($H287,2)&lt;&gt;"定性",LEFT($H287,2)&lt;&gt;"文字",LEFT($H287,2)&lt;&gt;"日期"),1,0)</f>
        <v>0</v>
      </c>
      <c r="Y287" s="9" t="n">
        <f aca="false">IF(OR($L287="",$M287=""),1,0)</f>
        <v>0</v>
      </c>
      <c r="Z287" s="9" t="n">
        <f aca="false">IF(AND(ISNUMBER($E287),ISNUMBER($F287)),IF($F287&gt;$E287,1,0),0)+IF(AND(ISNUMBER($E287),ISNUMBER($G287)),IF($E287&gt;$G287,1,0),0)+IF(AND(ISNUMBER($F287),ISNUMBER($G287)),IF($F287&gt;$G287,1,0),0)</f>
        <v>0</v>
      </c>
      <c r="AA287" s="9" t="n">
        <f aca="false">IF(AND($P287="Derived",$V287="觀測"),1,0)</f>
        <v>0</v>
      </c>
      <c r="AB287" s="12" t="s">
        <v>90</v>
      </c>
    </row>
    <row r="288" customFormat="false" ht="15" hidden="false" customHeight="false" outlineLevel="0" collapsed="false">
      <c r="A288" s="9" t="s">
        <v>1800</v>
      </c>
      <c r="B288" s="9" t="s">
        <v>1801</v>
      </c>
      <c r="C288" s="9" t="s">
        <v>1746</v>
      </c>
      <c r="D288" s="11" t="s">
        <v>1795</v>
      </c>
      <c r="E288" s="10" t="n">
        <v>1324</v>
      </c>
      <c r="F288" s="9"/>
      <c r="G288" s="9"/>
      <c r="H288" s="11" t="s">
        <v>1028</v>
      </c>
      <c r="I288" s="9" t="s">
        <v>1802</v>
      </c>
      <c r="J288" s="9"/>
      <c r="K288" s="9"/>
      <c r="L288" s="9" t="s">
        <v>1803</v>
      </c>
      <c r="M288" s="9" t="s">
        <v>1798</v>
      </c>
      <c r="N288" s="9" t="s">
        <v>995</v>
      </c>
      <c r="O288" s="9" t="s">
        <v>82</v>
      </c>
      <c r="P288" s="9" t="s">
        <v>299</v>
      </c>
      <c r="Q288" s="9"/>
      <c r="R288" s="11" t="s">
        <v>103</v>
      </c>
      <c r="S288" s="11" t="s">
        <v>300</v>
      </c>
      <c r="T288" s="11" t="s">
        <v>301</v>
      </c>
      <c r="U288" s="11" t="s">
        <v>103</v>
      </c>
      <c r="V288" s="11" t="s">
        <v>88</v>
      </c>
      <c r="W288" s="9" t="s">
        <v>1804</v>
      </c>
      <c r="X288" s="9" t="n">
        <f aca="false">IF(AND(COUNT($E288:$G288)=0,LEFT($H288,2)&lt;&gt;"定性",LEFT($H288,2)&lt;&gt;"文字",LEFT($H288,2)&lt;&gt;"日期"),1,0)</f>
        <v>0</v>
      </c>
      <c r="Y288" s="9" t="n">
        <f aca="false">IF(OR($L288="",$M288=""),1,0)</f>
        <v>0</v>
      </c>
      <c r="Z288" s="9" t="n">
        <f aca="false">IF(AND(ISNUMBER($E288),ISNUMBER($F288)),IF($F288&gt;$E288,1,0),0)+IF(AND(ISNUMBER($E288),ISNUMBER($G288)),IF($E288&gt;$G288,1,0),0)+IF(AND(ISNUMBER($F288),ISNUMBER($G288)),IF($F288&gt;$G288,1,0),0)</f>
        <v>0</v>
      </c>
      <c r="AA288" s="9" t="n">
        <f aca="false">IF(AND($P288="Derived",$V288="觀測"),1,0)</f>
        <v>0</v>
      </c>
      <c r="AB288" s="12" t="s">
        <v>90</v>
      </c>
    </row>
    <row r="289" customFormat="false" ht="15" hidden="false" customHeight="false" outlineLevel="0" collapsed="false">
      <c r="A289" s="9" t="s">
        <v>1805</v>
      </c>
      <c r="B289" s="9" t="s">
        <v>1806</v>
      </c>
      <c r="C289" s="9" t="s">
        <v>1746</v>
      </c>
      <c r="D289" s="11" t="s">
        <v>1795</v>
      </c>
      <c r="E289" s="10" t="n">
        <v>3089</v>
      </c>
      <c r="F289" s="9"/>
      <c r="G289" s="9"/>
      <c r="H289" s="11" t="s">
        <v>1028</v>
      </c>
      <c r="I289" s="9" t="s">
        <v>1807</v>
      </c>
      <c r="J289" s="9"/>
      <c r="K289" s="9"/>
      <c r="L289" s="9" t="s">
        <v>1803</v>
      </c>
      <c r="M289" s="9" t="s">
        <v>1798</v>
      </c>
      <c r="N289" s="9" t="s">
        <v>995</v>
      </c>
      <c r="O289" s="9" t="s">
        <v>82</v>
      </c>
      <c r="P289" s="9" t="s">
        <v>299</v>
      </c>
      <c r="Q289" s="9"/>
      <c r="R289" s="11" t="s">
        <v>103</v>
      </c>
      <c r="S289" s="11" t="s">
        <v>300</v>
      </c>
      <c r="T289" s="11" t="s">
        <v>301</v>
      </c>
      <c r="U289" s="11" t="s">
        <v>103</v>
      </c>
      <c r="V289" s="11" t="s">
        <v>88</v>
      </c>
      <c r="W289" s="9" t="s">
        <v>1808</v>
      </c>
      <c r="X289" s="9" t="n">
        <f aca="false">IF(AND(COUNT($E289:$G289)=0,LEFT($H289,2)&lt;&gt;"定性",LEFT($H289,2)&lt;&gt;"文字",LEFT($H289,2)&lt;&gt;"日期"),1,0)</f>
        <v>0</v>
      </c>
      <c r="Y289" s="9" t="n">
        <f aca="false">IF(OR($L289="",$M289=""),1,0)</f>
        <v>0</v>
      </c>
      <c r="Z289" s="9" t="n">
        <f aca="false">IF(AND(ISNUMBER($E289),ISNUMBER($F289)),IF($F289&gt;$E289,1,0),0)+IF(AND(ISNUMBER($E289),ISNUMBER($G289)),IF($E289&gt;$G289,1,0),0)+IF(AND(ISNUMBER($F289),ISNUMBER($G289)),IF($F289&gt;$G289,1,0),0)</f>
        <v>0</v>
      </c>
      <c r="AA289" s="9" t="n">
        <f aca="false">IF(AND($P289="Derived",$V289="觀測"),1,0)</f>
        <v>0</v>
      </c>
      <c r="AB289" s="12" t="s">
        <v>90</v>
      </c>
    </row>
    <row r="290" customFormat="false" ht="15" hidden="false" customHeight="false" outlineLevel="0" collapsed="false">
      <c r="A290" s="9" t="s">
        <v>1809</v>
      </c>
      <c r="B290" s="9" t="s">
        <v>1810</v>
      </c>
      <c r="C290" s="9" t="s">
        <v>1746</v>
      </c>
      <c r="D290" s="11" t="s">
        <v>1795</v>
      </c>
      <c r="E290" s="10" t="n">
        <v>3950</v>
      </c>
      <c r="F290" s="9"/>
      <c r="G290" s="9"/>
      <c r="H290" s="11" t="s">
        <v>1028</v>
      </c>
      <c r="I290" s="9" t="s">
        <v>112</v>
      </c>
      <c r="J290" s="9"/>
      <c r="K290" s="9"/>
      <c r="L290" s="9" t="s">
        <v>1803</v>
      </c>
      <c r="M290" s="9" t="s">
        <v>1798</v>
      </c>
      <c r="N290" s="9" t="s">
        <v>995</v>
      </c>
      <c r="O290" s="9" t="s">
        <v>82</v>
      </c>
      <c r="P290" s="9" t="s">
        <v>299</v>
      </c>
      <c r="Q290" s="9"/>
      <c r="R290" s="11" t="s">
        <v>103</v>
      </c>
      <c r="S290" s="11" t="s">
        <v>300</v>
      </c>
      <c r="T290" s="11" t="s">
        <v>301</v>
      </c>
      <c r="U290" s="11" t="s">
        <v>103</v>
      </c>
      <c r="V290" s="11" t="s">
        <v>88</v>
      </c>
      <c r="W290" s="11" t="s">
        <v>1811</v>
      </c>
      <c r="X290" s="9" t="n">
        <f aca="false">IF(AND(COUNT($E290:$G290)=0,LEFT($H290,2)&lt;&gt;"定性",LEFT($H290,2)&lt;&gt;"文字",LEFT($H290,2)&lt;&gt;"日期"),1,0)</f>
        <v>0</v>
      </c>
      <c r="Y290" s="9" t="n">
        <f aca="false">IF(OR($L290="",$M290=""),1,0)</f>
        <v>0</v>
      </c>
      <c r="Z290" s="9" t="n">
        <f aca="false">IF(AND(ISNUMBER($E290),ISNUMBER($F290)),IF($F290&gt;$E290,1,0),0)+IF(AND(ISNUMBER($E290),ISNUMBER($G290)),IF($E290&gt;$G290,1,0),0)+IF(AND(ISNUMBER($F290),ISNUMBER($G290)),IF($F290&gt;$G290,1,0),0)</f>
        <v>0</v>
      </c>
      <c r="AA290" s="9" t="n">
        <f aca="false">IF(AND($P290="Derived",$V290="觀測"),1,0)</f>
        <v>0</v>
      </c>
      <c r="AB290" s="12" t="s">
        <v>90</v>
      </c>
    </row>
    <row r="291" customFormat="false" ht="15" hidden="false" customHeight="false" outlineLevel="0" collapsed="false">
      <c r="A291" s="9" t="s">
        <v>1812</v>
      </c>
      <c r="B291" s="9" t="s">
        <v>1813</v>
      </c>
      <c r="C291" s="9" t="s">
        <v>1746</v>
      </c>
      <c r="D291" s="11" t="s">
        <v>1814</v>
      </c>
      <c r="E291" s="9"/>
      <c r="F291" s="10" t="n">
        <v>2500</v>
      </c>
      <c r="G291" s="10" t="n">
        <v>5000</v>
      </c>
      <c r="H291" s="11" t="s">
        <v>1028</v>
      </c>
      <c r="I291" s="9" t="s">
        <v>995</v>
      </c>
      <c r="J291" s="9"/>
      <c r="K291" s="9"/>
      <c r="L291" s="9" t="s">
        <v>1815</v>
      </c>
      <c r="M291" s="9" t="s">
        <v>1816</v>
      </c>
      <c r="N291" s="9" t="s">
        <v>1817</v>
      </c>
      <c r="O291" s="9" t="s">
        <v>82</v>
      </c>
      <c r="P291" s="9" t="s">
        <v>299</v>
      </c>
      <c r="Q291" s="9"/>
      <c r="R291" s="9" t="s">
        <v>85</v>
      </c>
      <c r="S291" s="11" t="s">
        <v>300</v>
      </c>
      <c r="T291" s="11" t="s">
        <v>301</v>
      </c>
      <c r="U291" s="11" t="s">
        <v>87</v>
      </c>
      <c r="V291" s="11" t="s">
        <v>88</v>
      </c>
      <c r="W291" s="11" t="s">
        <v>1818</v>
      </c>
      <c r="X291" s="9" t="n">
        <f aca="false">IF(AND(COUNT($E291:$G291)=0,LEFT($H291,2)&lt;&gt;"定性",LEFT($H291,2)&lt;&gt;"文字",LEFT($H291,2)&lt;&gt;"日期"),1,0)</f>
        <v>0</v>
      </c>
      <c r="Y291" s="9" t="n">
        <f aca="false">IF(OR($L291="",$M291=""),1,0)</f>
        <v>0</v>
      </c>
      <c r="Z291" s="9" t="n">
        <f aca="false">IF(AND(ISNUMBER($E291),ISNUMBER($F291)),IF($F291&gt;$E291,1,0),0)+IF(AND(ISNUMBER($E291),ISNUMBER($G291)),IF($E291&gt;$G291,1,0),0)+IF(AND(ISNUMBER($F291),ISNUMBER($G291)),IF($F291&gt;$G291,1,0),0)</f>
        <v>0</v>
      </c>
      <c r="AA291" s="9" t="n">
        <f aca="false">IF(AND($P291="Derived",$V291="觀測"),1,0)</f>
        <v>0</v>
      </c>
      <c r="AB291" s="12" t="s">
        <v>90</v>
      </c>
    </row>
    <row r="292" customFormat="false" ht="15" hidden="false" customHeight="false" outlineLevel="0" collapsed="false">
      <c r="A292" s="9" t="s">
        <v>1819</v>
      </c>
      <c r="B292" s="9" t="s">
        <v>1820</v>
      </c>
      <c r="C292" s="9" t="s">
        <v>1746</v>
      </c>
      <c r="D292" s="9" t="s">
        <v>1821</v>
      </c>
      <c r="E292" s="10" t="n">
        <v>2.5</v>
      </c>
      <c r="F292" s="9"/>
      <c r="G292" s="9"/>
      <c r="H292" s="9" t="s">
        <v>482</v>
      </c>
      <c r="I292" s="9" t="s">
        <v>1775</v>
      </c>
      <c r="J292" s="9"/>
      <c r="K292" s="11" t="s">
        <v>78</v>
      </c>
      <c r="L292" s="9" t="s">
        <v>1822</v>
      </c>
      <c r="M292" s="9" t="s">
        <v>1823</v>
      </c>
      <c r="N292" s="9" t="s">
        <v>719</v>
      </c>
      <c r="O292" s="9" t="s">
        <v>82</v>
      </c>
      <c r="P292" s="9" t="s">
        <v>83</v>
      </c>
      <c r="Q292" s="9" t="s">
        <v>1751</v>
      </c>
      <c r="R292" s="9" t="s">
        <v>85</v>
      </c>
      <c r="S292" s="11" t="s">
        <v>86</v>
      </c>
      <c r="T292" s="9" t="s">
        <v>1751</v>
      </c>
      <c r="U292" s="11" t="s">
        <v>87</v>
      </c>
      <c r="V292" s="11" t="s">
        <v>88</v>
      </c>
      <c r="W292" s="11" t="s">
        <v>1824</v>
      </c>
      <c r="X292" s="9" t="n">
        <f aca="false">IF(AND(COUNT($E292:$G292)=0,LEFT($H292,2)&lt;&gt;"定性",LEFT($H292,2)&lt;&gt;"文字",LEFT($H292,2)&lt;&gt;"日期"),1,0)</f>
        <v>0</v>
      </c>
      <c r="Y292" s="9" t="n">
        <f aca="false">IF(OR($L292="",$M292=""),1,0)</f>
        <v>0</v>
      </c>
      <c r="Z292" s="9" t="n">
        <f aca="false">IF(AND(ISNUMBER($E292),ISNUMBER($F292)),IF($F292&gt;$E292,1,0),0)+IF(AND(ISNUMBER($E292),ISNUMBER($G292)),IF($E292&gt;$G292,1,0),0)+IF(AND(ISNUMBER($F292),ISNUMBER($G292)),IF($F292&gt;$G292,1,0),0)</f>
        <v>0</v>
      </c>
      <c r="AA292" s="9" t="n">
        <f aca="false">IF(AND($P292="Derived",$V292="觀測"),1,0)</f>
        <v>0</v>
      </c>
      <c r="AB292" s="12" t="s">
        <v>90</v>
      </c>
    </row>
    <row r="293" customFormat="false" ht="15" hidden="false" customHeight="false" outlineLevel="0" collapsed="false">
      <c r="A293" s="9" t="s">
        <v>1825</v>
      </c>
      <c r="B293" s="9" t="s">
        <v>1826</v>
      </c>
      <c r="C293" s="9" t="s">
        <v>1746</v>
      </c>
      <c r="D293" s="9" t="s">
        <v>1827</v>
      </c>
      <c r="E293" s="10" t="n">
        <v>8</v>
      </c>
      <c r="F293" s="9"/>
      <c r="G293" s="9"/>
      <c r="H293" s="9" t="s">
        <v>482</v>
      </c>
      <c r="I293" s="9" t="s">
        <v>1775</v>
      </c>
      <c r="J293" s="9"/>
      <c r="K293" s="9"/>
      <c r="L293" s="9" t="s">
        <v>1828</v>
      </c>
      <c r="M293" s="9" t="s">
        <v>1823</v>
      </c>
      <c r="N293" s="9" t="s">
        <v>719</v>
      </c>
      <c r="O293" s="9" t="s">
        <v>82</v>
      </c>
      <c r="P293" s="9" t="s">
        <v>83</v>
      </c>
      <c r="Q293" s="9" t="s">
        <v>1751</v>
      </c>
      <c r="R293" s="9" t="s">
        <v>85</v>
      </c>
      <c r="S293" s="11" t="s">
        <v>86</v>
      </c>
      <c r="T293" s="9" t="s">
        <v>1751</v>
      </c>
      <c r="U293" s="11" t="s">
        <v>87</v>
      </c>
      <c r="V293" s="11" t="s">
        <v>88</v>
      </c>
      <c r="W293" s="11" t="s">
        <v>1829</v>
      </c>
      <c r="X293" s="9" t="n">
        <f aca="false">IF(AND(COUNT($E293:$G293)=0,LEFT($H293,2)&lt;&gt;"定性",LEFT($H293,2)&lt;&gt;"文字",LEFT($H293,2)&lt;&gt;"日期"),1,0)</f>
        <v>0</v>
      </c>
      <c r="Y293" s="9" t="n">
        <f aca="false">IF(OR($L293="",$M293=""),1,0)</f>
        <v>0</v>
      </c>
      <c r="Z293" s="9" t="n">
        <f aca="false">IF(AND(ISNUMBER($E293),ISNUMBER($F293)),IF($F293&gt;$E293,1,0),0)+IF(AND(ISNUMBER($E293),ISNUMBER($G293)),IF($E293&gt;$G293,1,0),0)+IF(AND(ISNUMBER($F293),ISNUMBER($G293)),IF($F293&gt;$G293,1,0),0)</f>
        <v>0</v>
      </c>
      <c r="AA293" s="9" t="n">
        <f aca="false">IF(AND($P293="Derived",$V293="觀測"),1,0)</f>
        <v>0</v>
      </c>
      <c r="AB293" s="12" t="s">
        <v>90</v>
      </c>
    </row>
    <row r="294" customFormat="false" ht="15" hidden="false" customHeight="false" outlineLevel="0" collapsed="false">
      <c r="A294" s="9" t="s">
        <v>1830</v>
      </c>
      <c r="B294" s="9" t="s">
        <v>1831</v>
      </c>
      <c r="C294" s="9" t="s">
        <v>1746</v>
      </c>
      <c r="D294" s="9" t="s">
        <v>1832</v>
      </c>
      <c r="E294" s="10" t="n">
        <v>5.6</v>
      </c>
      <c r="F294" s="9"/>
      <c r="G294" s="9"/>
      <c r="H294" s="9" t="s">
        <v>482</v>
      </c>
      <c r="I294" s="9" t="s">
        <v>1775</v>
      </c>
      <c r="J294" s="9"/>
      <c r="K294" s="9"/>
      <c r="L294" s="9" t="s">
        <v>1833</v>
      </c>
      <c r="M294" s="9" t="s">
        <v>1834</v>
      </c>
      <c r="N294" s="9" t="s">
        <v>1835</v>
      </c>
      <c r="O294" s="9" t="s">
        <v>82</v>
      </c>
      <c r="P294" s="9" t="s">
        <v>83</v>
      </c>
      <c r="Q294" s="9" t="s">
        <v>1791</v>
      </c>
      <c r="R294" s="9" t="s">
        <v>85</v>
      </c>
      <c r="S294" s="11" t="s">
        <v>86</v>
      </c>
      <c r="T294" s="9" t="s">
        <v>1791</v>
      </c>
      <c r="U294" s="11" t="s">
        <v>87</v>
      </c>
      <c r="V294" s="11" t="s">
        <v>88</v>
      </c>
      <c r="W294" s="11" t="s">
        <v>1836</v>
      </c>
      <c r="X294" s="9" t="n">
        <f aca="false">IF(AND(COUNT($E294:$G294)=0,LEFT($H294,2)&lt;&gt;"定性",LEFT($H294,2)&lt;&gt;"文字",LEFT($H294,2)&lt;&gt;"日期"),1,0)</f>
        <v>0</v>
      </c>
      <c r="Y294" s="9" t="n">
        <f aca="false">IF(OR($L294="",$M294=""),1,0)</f>
        <v>0</v>
      </c>
      <c r="Z294" s="9" t="n">
        <f aca="false">IF(AND(ISNUMBER($E294),ISNUMBER($F294)),IF($F294&gt;$E294,1,0),0)+IF(AND(ISNUMBER($E294),ISNUMBER($G294)),IF($E294&gt;$G294,1,0),0)+IF(AND(ISNUMBER($F294),ISNUMBER($G294)),IF($F294&gt;$G294,1,0),0)</f>
        <v>0</v>
      </c>
      <c r="AA294" s="9" t="n">
        <f aca="false">IF(AND($P294="Derived",$V294="觀測"),1,0)</f>
        <v>0</v>
      </c>
      <c r="AB294" s="12" t="s">
        <v>90</v>
      </c>
    </row>
    <row r="295" customFormat="false" ht="15" hidden="false" customHeight="false" outlineLevel="0" collapsed="false">
      <c r="A295" s="9" t="s">
        <v>1837</v>
      </c>
      <c r="B295" s="9" t="s">
        <v>1838</v>
      </c>
      <c r="C295" s="9" t="s">
        <v>1746</v>
      </c>
      <c r="D295" s="9" t="s">
        <v>1839</v>
      </c>
      <c r="E295" s="10" t="n">
        <v>-0.94</v>
      </c>
      <c r="F295" s="9"/>
      <c r="G295" s="9"/>
      <c r="H295" s="11" t="s">
        <v>269</v>
      </c>
      <c r="I295" s="9" t="s">
        <v>1775</v>
      </c>
      <c r="J295" s="9"/>
      <c r="K295" s="9"/>
      <c r="L295" s="9" t="s">
        <v>1840</v>
      </c>
      <c r="M295" s="9" t="s">
        <v>1841</v>
      </c>
      <c r="N295" s="9" t="s">
        <v>1037</v>
      </c>
      <c r="O295" s="9" t="s">
        <v>82</v>
      </c>
      <c r="P295" s="9" t="s">
        <v>83</v>
      </c>
      <c r="Q295" s="9" t="s">
        <v>1791</v>
      </c>
      <c r="R295" s="9" t="s">
        <v>85</v>
      </c>
      <c r="S295" s="11" t="s">
        <v>86</v>
      </c>
      <c r="T295" s="9" t="s">
        <v>1791</v>
      </c>
      <c r="U295" s="11" t="s">
        <v>87</v>
      </c>
      <c r="V295" s="11" t="s">
        <v>88</v>
      </c>
      <c r="W295" s="11" t="s">
        <v>1842</v>
      </c>
      <c r="X295" s="9" t="n">
        <f aca="false">IF(AND(COUNT($E295:$G295)=0,LEFT($H295,2)&lt;&gt;"定性",LEFT($H295,2)&lt;&gt;"文字",LEFT($H295,2)&lt;&gt;"日期"),1,0)</f>
        <v>0</v>
      </c>
      <c r="Y295" s="9" t="n">
        <f aca="false">IF(OR($L295="",$M295=""),1,0)</f>
        <v>0</v>
      </c>
      <c r="Z295" s="9" t="n">
        <f aca="false">IF(AND(ISNUMBER($E295),ISNUMBER($F295)),IF($F295&gt;$E295,1,0),0)+IF(AND(ISNUMBER($E295),ISNUMBER($G295)),IF($E295&gt;$G295,1,0),0)+IF(AND(ISNUMBER($F295),ISNUMBER($G295)),IF($F295&gt;$G295,1,0),0)</f>
        <v>0</v>
      </c>
      <c r="AA295" s="9" t="n">
        <f aca="false">IF(AND($P295="Derived",$V295="觀測"),1,0)</f>
        <v>0</v>
      </c>
      <c r="AB295" s="12" t="s">
        <v>90</v>
      </c>
    </row>
    <row r="296" customFormat="false" ht="15" hidden="false" customHeight="false" outlineLevel="0" collapsed="false">
      <c r="A296" s="9" t="s">
        <v>1843</v>
      </c>
      <c r="B296" s="9" t="s">
        <v>1844</v>
      </c>
      <c r="C296" s="9" t="s">
        <v>1746</v>
      </c>
      <c r="D296" s="9" t="s">
        <v>1845</v>
      </c>
      <c r="E296" s="10" t="n">
        <v>0.4</v>
      </c>
      <c r="F296" s="9"/>
      <c r="G296" s="9"/>
      <c r="H296" s="11" t="s">
        <v>269</v>
      </c>
      <c r="I296" s="9" t="s">
        <v>1748</v>
      </c>
      <c r="J296" s="9"/>
      <c r="K296" s="9"/>
      <c r="L296" s="9" t="s">
        <v>1846</v>
      </c>
      <c r="M296" s="9" t="s">
        <v>390</v>
      </c>
      <c r="N296" s="9" t="s">
        <v>372</v>
      </c>
      <c r="O296" s="9" t="s">
        <v>82</v>
      </c>
      <c r="P296" s="9" t="s">
        <v>83</v>
      </c>
      <c r="Q296" s="9" t="s">
        <v>1791</v>
      </c>
      <c r="R296" s="9" t="s">
        <v>85</v>
      </c>
      <c r="S296" s="11" t="s">
        <v>86</v>
      </c>
      <c r="T296" s="9" t="s">
        <v>1791</v>
      </c>
      <c r="U296" s="11" t="s">
        <v>87</v>
      </c>
      <c r="V296" s="11" t="s">
        <v>88</v>
      </c>
      <c r="W296" s="11" t="s">
        <v>1847</v>
      </c>
      <c r="X296" s="9" t="n">
        <f aca="false">IF(AND(COUNT($E296:$G296)=0,LEFT($H296,2)&lt;&gt;"定性",LEFT($H296,2)&lt;&gt;"文字",LEFT($H296,2)&lt;&gt;"日期"),1,0)</f>
        <v>0</v>
      </c>
      <c r="Y296" s="9" t="n">
        <f aca="false">IF(OR($L296="",$M296=""),1,0)</f>
        <v>0</v>
      </c>
      <c r="Z296" s="9" t="n">
        <f aca="false">IF(AND(ISNUMBER($E296),ISNUMBER($F296)),IF($F296&gt;$E296,1,0),0)+IF(AND(ISNUMBER($E296),ISNUMBER($G296)),IF($E296&gt;$G296,1,0),0)+IF(AND(ISNUMBER($F296),ISNUMBER($G296)),IF($F296&gt;$G296,1,0),0)</f>
        <v>0</v>
      </c>
      <c r="AA296" s="9" t="n">
        <f aca="false">IF(AND($P296="Derived",$V296="觀測"),1,0)</f>
        <v>0</v>
      </c>
      <c r="AB296" s="12" t="s">
        <v>90</v>
      </c>
    </row>
    <row r="297" customFormat="false" ht="15" hidden="false" customHeight="false" outlineLevel="0" collapsed="false">
      <c r="A297" s="9" t="s">
        <v>1848</v>
      </c>
      <c r="B297" s="9" t="s">
        <v>1849</v>
      </c>
      <c r="C297" s="9" t="s">
        <v>1746</v>
      </c>
      <c r="D297" s="11" t="s">
        <v>1850</v>
      </c>
      <c r="E297" s="10" t="n">
        <v>0.8</v>
      </c>
      <c r="F297" s="10" t="n">
        <v>0.8</v>
      </c>
      <c r="G297" s="9"/>
      <c r="H297" s="11" t="s">
        <v>269</v>
      </c>
      <c r="I297" s="9" t="s">
        <v>121</v>
      </c>
      <c r="J297" s="9"/>
      <c r="K297" s="11" t="s">
        <v>78</v>
      </c>
      <c r="L297" s="9" t="s">
        <v>1851</v>
      </c>
      <c r="M297" s="9" t="s">
        <v>1852</v>
      </c>
      <c r="N297" s="9" t="s">
        <v>399</v>
      </c>
      <c r="O297" s="9" t="s">
        <v>82</v>
      </c>
      <c r="P297" s="9" t="s">
        <v>83</v>
      </c>
      <c r="Q297" s="11" t="s">
        <v>1853</v>
      </c>
      <c r="R297" s="9" t="s">
        <v>85</v>
      </c>
      <c r="S297" s="11" t="s">
        <v>86</v>
      </c>
      <c r="T297" s="11" t="s">
        <v>1853</v>
      </c>
      <c r="U297" s="11" t="s">
        <v>87</v>
      </c>
      <c r="V297" s="11" t="s">
        <v>88</v>
      </c>
      <c r="W297" s="11" t="s">
        <v>1854</v>
      </c>
      <c r="X297" s="9" t="n">
        <f aca="false">IF(AND(COUNT($E297:$G297)=0,LEFT($H297,2)&lt;&gt;"定性",LEFT($H297,2)&lt;&gt;"文字",LEFT($H297,2)&lt;&gt;"日期"),1,0)</f>
        <v>0</v>
      </c>
      <c r="Y297" s="9" t="n">
        <f aca="false">IF(OR($L297="",$M297=""),1,0)</f>
        <v>0</v>
      </c>
      <c r="Z297" s="9" t="n">
        <f aca="false">IF(AND(ISNUMBER($E297),ISNUMBER($F297)),IF($F297&gt;$E297,1,0),0)+IF(AND(ISNUMBER($E297),ISNUMBER($G297)),IF($E297&gt;$G297,1,0),0)+IF(AND(ISNUMBER($F297),ISNUMBER($G297)),IF($F297&gt;$G297,1,0),0)</f>
        <v>0</v>
      </c>
      <c r="AA297" s="9" t="n">
        <f aca="false">IF(AND($P297="Derived",$V297="觀測"),1,0)</f>
        <v>0</v>
      </c>
      <c r="AB297" s="12" t="s">
        <v>90</v>
      </c>
    </row>
    <row r="298" customFormat="false" ht="15" hidden="false" customHeight="false" outlineLevel="0" collapsed="false">
      <c r="A298" s="9" t="s">
        <v>1855</v>
      </c>
      <c r="B298" s="9" t="s">
        <v>1856</v>
      </c>
      <c r="C298" s="9" t="s">
        <v>1746</v>
      </c>
      <c r="D298" s="9" t="s">
        <v>1857</v>
      </c>
      <c r="E298" s="9" t="n">
        <f aca="false">SRC_ANT_276/SRC_ANT_001</f>
        <v>1.59347826086957</v>
      </c>
      <c r="F298" s="9"/>
      <c r="G298" s="9"/>
      <c r="H298" s="11" t="s">
        <v>747</v>
      </c>
      <c r="I298" s="9" t="s">
        <v>1748</v>
      </c>
      <c r="J298" s="9"/>
      <c r="K298" s="9"/>
      <c r="L298" s="9" t="s">
        <v>1858</v>
      </c>
      <c r="M298" s="9" t="s">
        <v>1859</v>
      </c>
      <c r="N298" s="9" t="s">
        <v>847</v>
      </c>
      <c r="O298" s="9" t="s">
        <v>82</v>
      </c>
      <c r="P298" s="9" t="s">
        <v>102</v>
      </c>
      <c r="Q298" s="9"/>
      <c r="R298" s="11" t="s">
        <v>103</v>
      </c>
      <c r="S298" s="11" t="s">
        <v>104</v>
      </c>
      <c r="T298" s="11" t="s">
        <v>105</v>
      </c>
      <c r="U298" s="11" t="s">
        <v>104</v>
      </c>
      <c r="V298" s="9" t="s">
        <v>106</v>
      </c>
      <c r="W298" s="11" t="s">
        <v>1860</v>
      </c>
      <c r="X298" s="9" t="n">
        <f aca="false">IF(AND(COUNT($E298:$G298)=0,LEFT($H298,2)&lt;&gt;"定性",LEFT($H298,2)&lt;&gt;"文字",LEFT($H298,2)&lt;&gt;"日期"),1,0)</f>
        <v>0</v>
      </c>
      <c r="Y298" s="9" t="n">
        <f aca="false">IF(OR($L298="",$M298=""),1,0)</f>
        <v>0</v>
      </c>
      <c r="Z298" s="9" t="n">
        <f aca="false">IF(AND(ISNUMBER($E298),ISNUMBER($F298)),IF($F298&gt;$E298,1,0),0)+IF(AND(ISNUMBER($E298),ISNUMBER($G298)),IF($E298&gt;$G298,1,0),0)+IF(AND(ISNUMBER($F298),ISNUMBER($G298)),IF($F298&gt;$G298,1,0),0)</f>
        <v>0</v>
      </c>
      <c r="AA298" s="9" t="n">
        <f aca="false">IF(AND($P298="Derived",$V298="觀測"),1,0)</f>
        <v>0</v>
      </c>
      <c r="AB298" s="12" t="s">
        <v>90</v>
      </c>
    </row>
    <row r="299" customFormat="false" ht="15" hidden="false" customHeight="false" outlineLevel="0" collapsed="false">
      <c r="A299" s="9" t="s">
        <v>1861</v>
      </c>
      <c r="B299" s="9" t="s">
        <v>1862</v>
      </c>
      <c r="C299" s="9" t="s">
        <v>1746</v>
      </c>
      <c r="D299" s="11" t="s">
        <v>1863</v>
      </c>
      <c r="E299" s="10" t="n">
        <v>3500</v>
      </c>
      <c r="F299" s="9"/>
      <c r="G299" s="9"/>
      <c r="H299" s="11" t="s">
        <v>1028</v>
      </c>
      <c r="I299" s="9" t="s">
        <v>836</v>
      </c>
      <c r="J299" s="13" t="n">
        <v>46174</v>
      </c>
      <c r="K299" s="9"/>
      <c r="L299" s="9" t="s">
        <v>1864</v>
      </c>
      <c r="M299" s="9" t="s">
        <v>1865</v>
      </c>
      <c r="N299" s="9" t="s">
        <v>836</v>
      </c>
      <c r="O299" s="9" t="s">
        <v>82</v>
      </c>
      <c r="P299" s="9" t="s">
        <v>83</v>
      </c>
      <c r="Q299" s="9" t="s">
        <v>1866</v>
      </c>
      <c r="R299" s="11" t="s">
        <v>103</v>
      </c>
      <c r="S299" s="11" t="s">
        <v>86</v>
      </c>
      <c r="T299" s="9" t="s">
        <v>1866</v>
      </c>
      <c r="U299" s="11" t="s">
        <v>103</v>
      </c>
      <c r="V299" s="11" t="s">
        <v>88</v>
      </c>
      <c r="W299" s="11" t="s">
        <v>1867</v>
      </c>
      <c r="X299" s="9" t="n">
        <f aca="false">IF(AND(COUNT($E299:$G299)=0,LEFT($H299,2)&lt;&gt;"定性",LEFT($H299,2)&lt;&gt;"文字",LEFT($H299,2)&lt;&gt;"日期"),1,0)</f>
        <v>0</v>
      </c>
      <c r="Y299" s="9" t="n">
        <f aca="false">IF(OR($L299="",$M299=""),1,0)</f>
        <v>0</v>
      </c>
      <c r="Z299" s="9" t="n">
        <f aca="false">IF(AND(ISNUMBER($E299),ISNUMBER($F299)),IF($F299&gt;$E299,1,0),0)+IF(AND(ISNUMBER($E299),ISNUMBER($G299)),IF($E299&gt;$G299,1,0),0)+IF(AND(ISNUMBER($F299),ISNUMBER($G299)),IF($F299&gt;$G299,1,0),0)</f>
        <v>0</v>
      </c>
      <c r="AA299" s="9" t="n">
        <f aca="false">IF(AND($P299="Derived",$V299="觀測"),1,0)</f>
        <v>0</v>
      </c>
      <c r="AB299" s="12" t="s">
        <v>90</v>
      </c>
    </row>
    <row r="300" customFormat="false" ht="15" hidden="false" customHeight="false" outlineLevel="0" collapsed="false">
      <c r="A300" s="9" t="s">
        <v>1868</v>
      </c>
      <c r="B300" s="9" t="s">
        <v>1869</v>
      </c>
      <c r="C300" s="9" t="s">
        <v>1746</v>
      </c>
      <c r="D300" s="11" t="s">
        <v>1870</v>
      </c>
      <c r="E300" s="10" t="n">
        <v>0.125</v>
      </c>
      <c r="F300" s="9"/>
      <c r="G300" s="9"/>
      <c r="H300" s="9" t="s">
        <v>482</v>
      </c>
      <c r="I300" s="9" t="s">
        <v>112</v>
      </c>
      <c r="J300" s="9"/>
      <c r="K300" s="9"/>
      <c r="L300" s="9" t="s">
        <v>1871</v>
      </c>
      <c r="M300" s="9" t="s">
        <v>1872</v>
      </c>
      <c r="N300" s="9" t="s">
        <v>880</v>
      </c>
      <c r="O300" s="9" t="s">
        <v>82</v>
      </c>
      <c r="P300" s="9" t="s">
        <v>83</v>
      </c>
      <c r="Q300" s="9" t="s">
        <v>1873</v>
      </c>
      <c r="R300" s="11" t="s">
        <v>103</v>
      </c>
      <c r="S300" s="11" t="s">
        <v>86</v>
      </c>
      <c r="T300" s="9" t="s">
        <v>1873</v>
      </c>
      <c r="U300" s="11" t="s">
        <v>103</v>
      </c>
      <c r="V300" s="11" t="s">
        <v>88</v>
      </c>
      <c r="W300" s="11" t="s">
        <v>1874</v>
      </c>
      <c r="X300" s="9" t="n">
        <f aca="false">IF(AND(COUNT($E300:$G300)=0,LEFT($H300,2)&lt;&gt;"定性",LEFT($H300,2)&lt;&gt;"文字",LEFT($H300,2)&lt;&gt;"日期"),1,0)</f>
        <v>0</v>
      </c>
      <c r="Y300" s="9" t="n">
        <f aca="false">IF(OR($L300="",$M300=""),1,0)</f>
        <v>0</v>
      </c>
      <c r="Z300" s="9" t="n">
        <f aca="false">IF(AND(ISNUMBER($E300),ISNUMBER($F300)),IF($F300&gt;$E300,1,0),0)+IF(AND(ISNUMBER($E300),ISNUMBER($G300)),IF($E300&gt;$G300,1,0),0)+IF(AND(ISNUMBER($F300),ISNUMBER($G300)),IF($F300&gt;$G300,1,0),0)</f>
        <v>0</v>
      </c>
      <c r="AA300" s="9" t="n">
        <f aca="false">IF(AND($P300="Derived",$V300="觀測"),1,0)</f>
        <v>0</v>
      </c>
      <c r="AB300" s="12" t="s">
        <v>90</v>
      </c>
    </row>
    <row r="301" customFormat="false" ht="15" hidden="false" customHeight="false" outlineLevel="0" collapsed="false">
      <c r="A301" s="9" t="s">
        <v>1875</v>
      </c>
      <c r="B301" s="9" t="s">
        <v>1876</v>
      </c>
      <c r="C301" s="9" t="s">
        <v>1746</v>
      </c>
      <c r="D301" s="9" t="s">
        <v>1877</v>
      </c>
      <c r="E301" s="9" t="n">
        <f aca="false">SRC_ANT_296/SRC_ANT_378</f>
        <v>1.25</v>
      </c>
      <c r="F301" s="9"/>
      <c r="G301" s="9"/>
      <c r="H301" s="9" t="s">
        <v>482</v>
      </c>
      <c r="I301" s="9" t="s">
        <v>112</v>
      </c>
      <c r="J301" s="9"/>
      <c r="K301" s="9"/>
      <c r="L301" s="9" t="s">
        <v>1878</v>
      </c>
      <c r="M301" s="9" t="s">
        <v>1872</v>
      </c>
      <c r="N301" s="9" t="s">
        <v>880</v>
      </c>
      <c r="O301" s="9" t="s">
        <v>82</v>
      </c>
      <c r="P301" s="9" t="s">
        <v>102</v>
      </c>
      <c r="Q301" s="9"/>
      <c r="R301" s="11" t="s">
        <v>103</v>
      </c>
      <c r="S301" s="11" t="s">
        <v>104</v>
      </c>
      <c r="T301" s="11" t="s">
        <v>105</v>
      </c>
      <c r="U301" s="11" t="s">
        <v>104</v>
      </c>
      <c r="V301" s="9" t="s">
        <v>106</v>
      </c>
      <c r="W301" s="11" t="s">
        <v>1879</v>
      </c>
      <c r="X301" s="9" t="n">
        <f aca="false">IF(AND(COUNT($E301:$G301)=0,LEFT($H301,2)&lt;&gt;"定性",LEFT($H301,2)&lt;&gt;"文字",LEFT($H301,2)&lt;&gt;"日期"),1,0)</f>
        <v>0</v>
      </c>
      <c r="Y301" s="9" t="n">
        <f aca="false">IF(OR($L301="",$M301=""),1,0)</f>
        <v>0</v>
      </c>
      <c r="Z301" s="9" t="n">
        <f aca="false">IF(AND(ISNUMBER($E301),ISNUMBER($F301)),IF($F301&gt;$E301,1,0),0)+IF(AND(ISNUMBER($E301),ISNUMBER($G301)),IF($E301&gt;$G301,1,0),0)+IF(AND(ISNUMBER($F301),ISNUMBER($G301)),IF($F301&gt;$G301,1,0),0)</f>
        <v>0</v>
      </c>
      <c r="AA301" s="9" t="n">
        <f aca="false">IF(AND($P301="Derived",$V301="觀測"),1,0)</f>
        <v>0</v>
      </c>
      <c r="AB301" s="12" t="s">
        <v>90</v>
      </c>
    </row>
    <row r="302" customFormat="false" ht="15" hidden="false" customHeight="false" outlineLevel="0" collapsed="false">
      <c r="A302" s="9" t="s">
        <v>1880</v>
      </c>
      <c r="B302" s="9" t="s">
        <v>1881</v>
      </c>
      <c r="C302" s="9" t="s">
        <v>1882</v>
      </c>
      <c r="D302" s="9" t="s">
        <v>1883</v>
      </c>
      <c r="E302" s="10" t="n">
        <v>65</v>
      </c>
      <c r="F302" s="9"/>
      <c r="G302" s="9"/>
      <c r="H302" s="9" t="s">
        <v>482</v>
      </c>
      <c r="I302" s="9" t="s">
        <v>236</v>
      </c>
      <c r="J302" s="13" t="n">
        <v>46170</v>
      </c>
      <c r="K302" s="11" t="s">
        <v>78</v>
      </c>
      <c r="L302" s="9" t="s">
        <v>234</v>
      </c>
      <c r="M302" s="9" t="s">
        <v>235</v>
      </c>
      <c r="N302" s="9" t="s">
        <v>236</v>
      </c>
      <c r="O302" s="9" t="s">
        <v>82</v>
      </c>
      <c r="P302" s="9" t="s">
        <v>83</v>
      </c>
      <c r="Q302" s="9" t="s">
        <v>150</v>
      </c>
      <c r="R302" s="9" t="s">
        <v>151</v>
      </c>
      <c r="S302" s="11" t="s">
        <v>86</v>
      </c>
      <c r="T302" s="9" t="s">
        <v>150</v>
      </c>
      <c r="U302" s="11" t="s">
        <v>152</v>
      </c>
      <c r="V302" s="11" t="s">
        <v>88</v>
      </c>
      <c r="W302" s="11" t="s">
        <v>1884</v>
      </c>
      <c r="X302" s="9" t="n">
        <f aca="false">IF(AND(COUNT($E302:$G302)=0,LEFT($H302,2)&lt;&gt;"定性",LEFT($H302,2)&lt;&gt;"文字",LEFT($H302,2)&lt;&gt;"日期"),1,0)</f>
        <v>0</v>
      </c>
      <c r="Y302" s="9" t="n">
        <f aca="false">IF(OR($L302="",$M302=""),1,0)</f>
        <v>0</v>
      </c>
      <c r="Z302" s="9" t="n">
        <f aca="false">IF(AND(ISNUMBER($E302),ISNUMBER($F302)),IF($F302&gt;$E302,1,0),0)+IF(AND(ISNUMBER($E302),ISNUMBER($G302)),IF($E302&gt;$G302,1,0),0)+IF(AND(ISNUMBER($F302),ISNUMBER($G302)),IF($F302&gt;$G302,1,0),0)</f>
        <v>0</v>
      </c>
      <c r="AA302" s="9" t="n">
        <f aca="false">IF(AND($P302="Derived",$V302="觀測"),1,0)</f>
        <v>0</v>
      </c>
      <c r="AB302" s="12" t="s">
        <v>90</v>
      </c>
    </row>
    <row r="303" customFormat="false" ht="15" hidden="false" customHeight="false" outlineLevel="0" collapsed="false">
      <c r="A303" s="9" t="s">
        <v>1885</v>
      </c>
      <c r="B303" s="9" t="s">
        <v>1886</v>
      </c>
      <c r="C303" s="9" t="s">
        <v>1882</v>
      </c>
      <c r="D303" s="9" t="s">
        <v>1887</v>
      </c>
      <c r="E303" s="10" t="n">
        <v>965</v>
      </c>
      <c r="F303" s="9"/>
      <c r="G303" s="9"/>
      <c r="H303" s="9" t="s">
        <v>482</v>
      </c>
      <c r="I303" s="9" t="s">
        <v>236</v>
      </c>
      <c r="J303" s="13" t="n">
        <v>46170</v>
      </c>
      <c r="K303" s="9"/>
      <c r="L303" s="9" t="s">
        <v>1888</v>
      </c>
      <c r="M303" s="9" t="s">
        <v>1889</v>
      </c>
      <c r="N303" s="9" t="s">
        <v>236</v>
      </c>
      <c r="O303" s="9" t="s">
        <v>82</v>
      </c>
      <c r="P303" s="9" t="s">
        <v>83</v>
      </c>
      <c r="Q303" s="9" t="s">
        <v>1890</v>
      </c>
      <c r="R303" s="9" t="s">
        <v>85</v>
      </c>
      <c r="S303" s="11" t="s">
        <v>86</v>
      </c>
      <c r="T303" s="9" t="s">
        <v>1890</v>
      </c>
      <c r="U303" s="11" t="s">
        <v>87</v>
      </c>
      <c r="V303" s="11" t="s">
        <v>88</v>
      </c>
      <c r="W303" s="9" t="s">
        <v>1891</v>
      </c>
      <c r="X303" s="9" t="n">
        <f aca="false">IF(AND(COUNT($E303:$G303)=0,LEFT($H303,2)&lt;&gt;"定性",LEFT($H303,2)&lt;&gt;"文字",LEFT($H303,2)&lt;&gt;"日期"),1,0)</f>
        <v>0</v>
      </c>
      <c r="Y303" s="9" t="n">
        <f aca="false">IF(OR($L303="",$M303=""),1,0)</f>
        <v>0</v>
      </c>
      <c r="Z303" s="9" t="n">
        <f aca="false">IF(AND(ISNUMBER($E303),ISNUMBER($F303)),IF($F303&gt;$E303,1,0),0)+IF(AND(ISNUMBER($E303),ISNUMBER($G303)),IF($E303&gt;$G303,1,0),0)+IF(AND(ISNUMBER($F303),ISNUMBER($G303)),IF($F303&gt;$G303,1,0),0)</f>
        <v>0</v>
      </c>
      <c r="AA303" s="9" t="n">
        <f aca="false">IF(AND($P303="Derived",$V303="觀測"),1,0)</f>
        <v>0</v>
      </c>
      <c r="AB303" s="12" t="s">
        <v>90</v>
      </c>
    </row>
    <row r="304" customFormat="false" ht="15" hidden="false" customHeight="false" outlineLevel="0" collapsed="false">
      <c r="A304" s="9" t="s">
        <v>1892</v>
      </c>
      <c r="B304" s="9" t="s">
        <v>1893</v>
      </c>
      <c r="C304" s="9" t="s">
        <v>1882</v>
      </c>
      <c r="D304" s="9" t="s">
        <v>1894</v>
      </c>
      <c r="E304" s="10" t="n">
        <v>15</v>
      </c>
      <c r="F304" s="9"/>
      <c r="G304" s="9"/>
      <c r="H304" s="9" t="s">
        <v>482</v>
      </c>
      <c r="I304" s="9" t="s">
        <v>236</v>
      </c>
      <c r="J304" s="13" t="n">
        <v>46170</v>
      </c>
      <c r="K304" s="11" t="s">
        <v>78</v>
      </c>
      <c r="L304" s="9" t="s">
        <v>234</v>
      </c>
      <c r="M304" s="9" t="s">
        <v>235</v>
      </c>
      <c r="N304" s="9" t="s">
        <v>236</v>
      </c>
      <c r="O304" s="9" t="s">
        <v>82</v>
      </c>
      <c r="P304" s="9" t="s">
        <v>83</v>
      </c>
      <c r="Q304" s="9" t="s">
        <v>150</v>
      </c>
      <c r="R304" s="9" t="s">
        <v>151</v>
      </c>
      <c r="S304" s="11" t="s">
        <v>86</v>
      </c>
      <c r="T304" s="9" t="s">
        <v>150</v>
      </c>
      <c r="U304" s="11" t="s">
        <v>152</v>
      </c>
      <c r="V304" s="11" t="s">
        <v>88</v>
      </c>
      <c r="W304" s="11" t="s">
        <v>1895</v>
      </c>
      <c r="X304" s="9" t="n">
        <f aca="false">IF(AND(COUNT($E304:$G304)=0,LEFT($H304,2)&lt;&gt;"定性",LEFT($H304,2)&lt;&gt;"文字",LEFT($H304,2)&lt;&gt;"日期"),1,0)</f>
        <v>0</v>
      </c>
      <c r="Y304" s="9" t="n">
        <f aca="false">IF(OR($L304="",$M304=""),1,0)</f>
        <v>0</v>
      </c>
      <c r="Z304" s="9" t="n">
        <f aca="false">IF(AND(ISNUMBER($E304),ISNUMBER($F304)),IF($F304&gt;$E304,1,0),0)+IF(AND(ISNUMBER($E304),ISNUMBER($G304)),IF($E304&gt;$G304,1,0),0)+IF(AND(ISNUMBER($F304),ISNUMBER($G304)),IF($F304&gt;$G304,1,0),0)</f>
        <v>0</v>
      </c>
      <c r="AA304" s="9" t="n">
        <f aca="false">IF(AND($P304="Derived",$V304="觀測"),1,0)</f>
        <v>0</v>
      </c>
      <c r="AB304" s="12" t="s">
        <v>90</v>
      </c>
    </row>
    <row r="305" customFormat="false" ht="15" hidden="false" customHeight="false" outlineLevel="0" collapsed="false">
      <c r="A305" s="9" t="s">
        <v>1896</v>
      </c>
      <c r="B305" s="9" t="s">
        <v>1897</v>
      </c>
      <c r="C305" s="9" t="s">
        <v>1882</v>
      </c>
      <c r="D305" s="9" t="s">
        <v>1898</v>
      </c>
      <c r="E305" s="9"/>
      <c r="F305" s="9"/>
      <c r="G305" s="9"/>
      <c r="H305" s="11" t="s">
        <v>1899</v>
      </c>
      <c r="I305" s="9" t="s">
        <v>236</v>
      </c>
      <c r="J305" s="13" t="n">
        <v>46170</v>
      </c>
      <c r="K305" s="9"/>
      <c r="L305" s="9" t="s">
        <v>234</v>
      </c>
      <c r="M305" s="9" t="s">
        <v>235</v>
      </c>
      <c r="N305" s="9" t="s">
        <v>236</v>
      </c>
      <c r="O305" s="9" t="s">
        <v>82</v>
      </c>
      <c r="P305" s="9" t="s">
        <v>83</v>
      </c>
      <c r="Q305" s="9" t="s">
        <v>150</v>
      </c>
      <c r="R305" s="9" t="s">
        <v>151</v>
      </c>
      <c r="S305" s="11" t="s">
        <v>86</v>
      </c>
      <c r="T305" s="9" t="s">
        <v>150</v>
      </c>
      <c r="U305" s="11" t="s">
        <v>152</v>
      </c>
      <c r="V305" s="11" t="s">
        <v>88</v>
      </c>
      <c r="W305" s="11" t="s">
        <v>1900</v>
      </c>
      <c r="X305" s="9" t="n">
        <f aca="false">IF(AND(COUNT($E305:$G305)=0,LEFT($H305,2)&lt;&gt;"定性",LEFT($H305,2)&lt;&gt;"文字",LEFT($H305,2)&lt;&gt;"日期"),1,0)</f>
        <v>0</v>
      </c>
      <c r="Y305" s="9" t="n">
        <f aca="false">IF(OR($L305="",$M305=""),1,0)</f>
        <v>0</v>
      </c>
      <c r="Z305" s="9" t="n">
        <f aca="false">IF(AND(ISNUMBER($E305),ISNUMBER($F305)),IF($F305&gt;$E305,1,0),0)+IF(AND(ISNUMBER($E305),ISNUMBER($G305)),IF($E305&gt;$G305,1,0),0)+IF(AND(ISNUMBER($F305),ISNUMBER($G305)),IF($F305&gt;$G305,1,0),0)</f>
        <v>0</v>
      </c>
      <c r="AA305" s="9" t="n">
        <f aca="false">IF(AND($P305="Derived",$V305="觀測"),1,0)</f>
        <v>0</v>
      </c>
      <c r="AB305" s="12" t="s">
        <v>90</v>
      </c>
    </row>
    <row r="306" customFormat="false" ht="15" hidden="false" customHeight="false" outlineLevel="0" collapsed="false">
      <c r="A306" s="9" t="s">
        <v>1901</v>
      </c>
      <c r="B306" s="9" t="s">
        <v>1902</v>
      </c>
      <c r="C306" s="9" t="s">
        <v>1882</v>
      </c>
      <c r="D306" s="9" t="s">
        <v>1903</v>
      </c>
      <c r="E306" s="10" t="n">
        <v>30</v>
      </c>
      <c r="F306" s="9"/>
      <c r="G306" s="9"/>
      <c r="H306" s="9" t="s">
        <v>482</v>
      </c>
      <c r="I306" s="9" t="s">
        <v>215</v>
      </c>
      <c r="J306" s="9"/>
      <c r="K306" s="11" t="s">
        <v>78</v>
      </c>
      <c r="L306" s="9" t="s">
        <v>1904</v>
      </c>
      <c r="M306" s="9" t="s">
        <v>1905</v>
      </c>
      <c r="N306" s="9" t="s">
        <v>215</v>
      </c>
      <c r="O306" s="9" t="s">
        <v>82</v>
      </c>
      <c r="P306" s="9" t="s">
        <v>83</v>
      </c>
      <c r="Q306" s="9" t="s">
        <v>1906</v>
      </c>
      <c r="R306" s="11" t="s">
        <v>103</v>
      </c>
      <c r="S306" s="11" t="s">
        <v>86</v>
      </c>
      <c r="T306" s="9" t="s">
        <v>1906</v>
      </c>
      <c r="U306" s="11" t="s">
        <v>103</v>
      </c>
      <c r="V306" s="11" t="s">
        <v>88</v>
      </c>
      <c r="W306" s="11" t="s">
        <v>1907</v>
      </c>
      <c r="X306" s="9" t="n">
        <f aca="false">IF(AND(COUNT($E306:$G306)=0,LEFT($H306,2)&lt;&gt;"定性",LEFT($H306,2)&lt;&gt;"文字",LEFT($H306,2)&lt;&gt;"日期"),1,0)</f>
        <v>0</v>
      </c>
      <c r="Y306" s="9" t="n">
        <f aca="false">IF(OR($L306="",$M306=""),1,0)</f>
        <v>0</v>
      </c>
      <c r="Z306" s="9" t="n">
        <f aca="false">IF(AND(ISNUMBER($E306),ISNUMBER($F306)),IF($F306&gt;$E306,1,0),0)+IF(AND(ISNUMBER($E306),ISNUMBER($G306)),IF($E306&gt;$G306,1,0),0)+IF(AND(ISNUMBER($F306),ISNUMBER($G306)),IF($F306&gt;$G306,1,0),0)</f>
        <v>0</v>
      </c>
      <c r="AA306" s="9" t="n">
        <f aca="false">IF(AND($P306="Derived",$V306="觀測"),1,0)</f>
        <v>0</v>
      </c>
      <c r="AB306" s="12" t="s">
        <v>90</v>
      </c>
    </row>
    <row r="307" customFormat="false" ht="15" hidden="false" customHeight="false" outlineLevel="0" collapsed="false">
      <c r="A307" s="9" t="s">
        <v>1908</v>
      </c>
      <c r="B307" s="9" t="s">
        <v>1909</v>
      </c>
      <c r="C307" s="9" t="s">
        <v>1882</v>
      </c>
      <c r="D307" s="9" t="s">
        <v>1910</v>
      </c>
      <c r="E307" s="10" t="n">
        <v>380</v>
      </c>
      <c r="F307" s="9"/>
      <c r="G307" s="9"/>
      <c r="H307" s="9" t="s">
        <v>482</v>
      </c>
      <c r="I307" s="9" t="s">
        <v>215</v>
      </c>
      <c r="J307" s="9"/>
      <c r="K307" s="9"/>
      <c r="L307" s="9" t="s">
        <v>1904</v>
      </c>
      <c r="M307" s="9" t="s">
        <v>1905</v>
      </c>
      <c r="N307" s="9" t="s">
        <v>215</v>
      </c>
      <c r="O307" s="9" t="s">
        <v>82</v>
      </c>
      <c r="P307" s="9" t="s">
        <v>83</v>
      </c>
      <c r="Q307" s="9" t="s">
        <v>150</v>
      </c>
      <c r="R307" s="11" t="s">
        <v>103</v>
      </c>
      <c r="S307" s="11" t="s">
        <v>86</v>
      </c>
      <c r="T307" s="9" t="s">
        <v>150</v>
      </c>
      <c r="U307" s="11" t="s">
        <v>103</v>
      </c>
      <c r="V307" s="11" t="s">
        <v>88</v>
      </c>
      <c r="W307" s="9" t="s">
        <v>1911</v>
      </c>
      <c r="X307" s="9" t="n">
        <f aca="false">IF(AND(COUNT($E307:$G307)=0,LEFT($H307,2)&lt;&gt;"定性",LEFT($H307,2)&lt;&gt;"文字",LEFT($H307,2)&lt;&gt;"日期"),1,0)</f>
        <v>0</v>
      </c>
      <c r="Y307" s="9" t="n">
        <f aca="false">IF(OR($L307="",$M307=""),1,0)</f>
        <v>0</v>
      </c>
      <c r="Z307" s="9" t="n">
        <f aca="false">IF(AND(ISNUMBER($E307),ISNUMBER($F307)),IF($F307&gt;$E307,1,0),0)+IF(AND(ISNUMBER($E307),ISNUMBER($G307)),IF($E307&gt;$G307,1,0),0)+IF(AND(ISNUMBER($F307),ISNUMBER($G307)),IF($F307&gt;$G307,1,0),0)</f>
        <v>0</v>
      </c>
      <c r="AA307" s="9" t="n">
        <f aca="false">IF(AND($P307="Derived",$V307="觀測"),1,0)</f>
        <v>0</v>
      </c>
      <c r="AB307" s="12" t="s">
        <v>90</v>
      </c>
    </row>
    <row r="308" customFormat="false" ht="15" hidden="false" customHeight="false" outlineLevel="0" collapsed="false">
      <c r="A308" s="9" t="s">
        <v>1912</v>
      </c>
      <c r="B308" s="9" t="s">
        <v>1913</v>
      </c>
      <c r="C308" s="9" t="s">
        <v>1882</v>
      </c>
      <c r="D308" s="11" t="s">
        <v>1914</v>
      </c>
      <c r="E308" s="10" t="n">
        <v>125</v>
      </c>
      <c r="F308" s="10" t="n">
        <v>125</v>
      </c>
      <c r="G308" s="9"/>
      <c r="H308" s="9" t="s">
        <v>482</v>
      </c>
      <c r="I308" s="9" t="s">
        <v>847</v>
      </c>
      <c r="J308" s="9"/>
      <c r="K308" s="11" t="s">
        <v>78</v>
      </c>
      <c r="L308" s="9" t="s">
        <v>1915</v>
      </c>
      <c r="M308" s="9" t="s">
        <v>140</v>
      </c>
      <c r="N308" s="9" t="s">
        <v>81</v>
      </c>
      <c r="O308" s="9" t="s">
        <v>82</v>
      </c>
      <c r="P308" s="9" t="s">
        <v>83</v>
      </c>
      <c r="Q308" s="9" t="s">
        <v>1916</v>
      </c>
      <c r="R308" s="9" t="s">
        <v>85</v>
      </c>
      <c r="S308" s="11" t="s">
        <v>86</v>
      </c>
      <c r="T308" s="9" t="s">
        <v>1916</v>
      </c>
      <c r="U308" s="11" t="s">
        <v>1289</v>
      </c>
      <c r="V308" s="11" t="s">
        <v>88</v>
      </c>
      <c r="W308" s="11" t="s">
        <v>1917</v>
      </c>
      <c r="X308" s="9" t="n">
        <f aca="false">IF(AND(COUNT($E308:$G308)=0,LEFT($H308,2)&lt;&gt;"定性",LEFT($H308,2)&lt;&gt;"文字",LEFT($H308,2)&lt;&gt;"日期"),1,0)</f>
        <v>0</v>
      </c>
      <c r="Y308" s="9" t="n">
        <f aca="false">IF(OR($L308="",$M308=""),1,0)</f>
        <v>0</v>
      </c>
      <c r="Z308" s="9" t="n">
        <f aca="false">IF(AND(ISNUMBER($E308),ISNUMBER($F308)),IF($F308&gt;$E308,1,0),0)+IF(AND(ISNUMBER($E308),ISNUMBER($G308)),IF($E308&gt;$G308,1,0),0)+IF(AND(ISNUMBER($F308),ISNUMBER($G308)),IF($F308&gt;$G308,1,0),0)</f>
        <v>0</v>
      </c>
      <c r="AA308" s="9" t="n">
        <f aca="false">IF(AND($P308="Derived",$V308="觀測"),1,0)</f>
        <v>0</v>
      </c>
      <c r="AB308" s="12" t="s">
        <v>90</v>
      </c>
    </row>
    <row r="309" customFormat="false" ht="15" hidden="false" customHeight="false" outlineLevel="0" collapsed="false">
      <c r="A309" s="9" t="s">
        <v>1918</v>
      </c>
      <c r="B309" s="9" t="s">
        <v>1919</v>
      </c>
      <c r="C309" s="9" t="s">
        <v>1882</v>
      </c>
      <c r="D309" s="11" t="s">
        <v>1920</v>
      </c>
      <c r="E309" s="10" t="n">
        <v>20.28</v>
      </c>
      <c r="F309" s="9"/>
      <c r="G309" s="9"/>
      <c r="H309" s="9" t="s">
        <v>482</v>
      </c>
      <c r="I309" s="9" t="s">
        <v>483</v>
      </c>
      <c r="J309" s="13" t="n">
        <v>46022</v>
      </c>
      <c r="K309" s="9"/>
      <c r="L309" s="9" t="s">
        <v>1749</v>
      </c>
      <c r="M309" s="9" t="s">
        <v>1750</v>
      </c>
      <c r="N309" s="9" t="s">
        <v>81</v>
      </c>
      <c r="O309" s="9" t="s">
        <v>82</v>
      </c>
      <c r="P309" s="9" t="s">
        <v>83</v>
      </c>
      <c r="Q309" s="9" t="s">
        <v>1921</v>
      </c>
      <c r="R309" s="9" t="s">
        <v>85</v>
      </c>
      <c r="S309" s="11" t="s">
        <v>86</v>
      </c>
      <c r="T309" s="9" t="s">
        <v>1921</v>
      </c>
      <c r="U309" s="11" t="s">
        <v>1289</v>
      </c>
      <c r="V309" s="11" t="s">
        <v>88</v>
      </c>
      <c r="W309" s="11" t="s">
        <v>1922</v>
      </c>
      <c r="X309" s="9" t="n">
        <f aca="false">IF(AND(COUNT($E309:$G309)=0,LEFT($H309,2)&lt;&gt;"定性",LEFT($H309,2)&lt;&gt;"文字",LEFT($H309,2)&lt;&gt;"日期"),1,0)</f>
        <v>0</v>
      </c>
      <c r="Y309" s="9" t="n">
        <f aca="false">IF(OR($L309="",$M309=""),1,0)</f>
        <v>0</v>
      </c>
      <c r="Z309" s="9" t="n">
        <f aca="false">IF(AND(ISNUMBER($E309),ISNUMBER($F309)),IF($F309&gt;$E309,1,0),0)+IF(AND(ISNUMBER($E309),ISNUMBER($G309)),IF($E309&gt;$G309,1,0),0)+IF(AND(ISNUMBER($F309),ISNUMBER($G309)),IF($F309&gt;$G309,1,0),0)</f>
        <v>0</v>
      </c>
      <c r="AA309" s="9" t="n">
        <f aca="false">IF(AND($P309="Derived",$V309="觀測"),1,0)</f>
        <v>0</v>
      </c>
      <c r="AB309" s="12" t="s">
        <v>90</v>
      </c>
    </row>
    <row r="310" customFormat="false" ht="15" hidden="false" customHeight="false" outlineLevel="0" collapsed="false">
      <c r="A310" s="9" t="s">
        <v>1923</v>
      </c>
      <c r="B310" s="9" t="s">
        <v>1924</v>
      </c>
      <c r="C310" s="9" t="s">
        <v>1882</v>
      </c>
      <c r="D310" s="11" t="s">
        <v>1925</v>
      </c>
      <c r="E310" s="10" t="n">
        <v>15</v>
      </c>
      <c r="F310" s="9"/>
      <c r="G310" s="9"/>
      <c r="H310" s="9" t="s">
        <v>482</v>
      </c>
      <c r="I310" s="9" t="s">
        <v>847</v>
      </c>
      <c r="J310" s="9"/>
      <c r="K310" s="11" t="s">
        <v>78</v>
      </c>
      <c r="L310" s="9" t="s">
        <v>1926</v>
      </c>
      <c r="M310" s="9" t="s">
        <v>1927</v>
      </c>
      <c r="N310" s="9" t="s">
        <v>81</v>
      </c>
      <c r="O310" s="9" t="s">
        <v>82</v>
      </c>
      <c r="P310" s="9" t="s">
        <v>83</v>
      </c>
      <c r="Q310" s="9" t="s">
        <v>1751</v>
      </c>
      <c r="R310" s="9" t="s">
        <v>85</v>
      </c>
      <c r="S310" s="11" t="s">
        <v>86</v>
      </c>
      <c r="T310" s="9" t="s">
        <v>1751</v>
      </c>
      <c r="U310" s="11" t="s">
        <v>1289</v>
      </c>
      <c r="V310" s="11" t="s">
        <v>88</v>
      </c>
      <c r="W310" s="11" t="s">
        <v>1928</v>
      </c>
      <c r="X310" s="9" t="n">
        <f aca="false">IF(AND(COUNT($E310:$G310)=0,LEFT($H310,2)&lt;&gt;"定性",LEFT($H310,2)&lt;&gt;"文字",LEFT($H310,2)&lt;&gt;"日期"),1,0)</f>
        <v>0</v>
      </c>
      <c r="Y310" s="9" t="n">
        <f aca="false">IF(OR($L310="",$M310=""),1,0)</f>
        <v>0</v>
      </c>
      <c r="Z310" s="9" t="n">
        <f aca="false">IF(AND(ISNUMBER($E310),ISNUMBER($F310)),IF($F310&gt;$E310,1,0),0)+IF(AND(ISNUMBER($E310),ISNUMBER($G310)),IF($E310&gt;$G310,1,0),0)+IF(AND(ISNUMBER($F310),ISNUMBER($G310)),IF($F310&gt;$G310,1,0),0)</f>
        <v>0</v>
      </c>
      <c r="AA310" s="9" t="n">
        <f aca="false">IF(AND($P310="Derived",$V310="觀測"),1,0)</f>
        <v>0</v>
      </c>
      <c r="AB310" s="12" t="s">
        <v>90</v>
      </c>
    </row>
    <row r="311" customFormat="false" ht="15" hidden="false" customHeight="false" outlineLevel="0" collapsed="false">
      <c r="A311" s="9" t="s">
        <v>1929</v>
      </c>
      <c r="B311" s="9" t="s">
        <v>1930</v>
      </c>
      <c r="C311" s="9" t="s">
        <v>1882</v>
      </c>
      <c r="D311" s="11" t="s">
        <v>1931</v>
      </c>
      <c r="E311" s="10" t="n">
        <v>71</v>
      </c>
      <c r="F311" s="10" t="n">
        <v>71</v>
      </c>
      <c r="G311" s="9"/>
      <c r="H311" s="9" t="s">
        <v>482</v>
      </c>
      <c r="I311" s="9" t="s">
        <v>847</v>
      </c>
      <c r="J311" s="9"/>
      <c r="K311" s="11" t="s">
        <v>78</v>
      </c>
      <c r="L311" s="9" t="s">
        <v>1926</v>
      </c>
      <c r="M311" s="9" t="s">
        <v>1927</v>
      </c>
      <c r="N311" s="9" t="s">
        <v>81</v>
      </c>
      <c r="O311" s="9" t="s">
        <v>82</v>
      </c>
      <c r="P311" s="9" t="s">
        <v>83</v>
      </c>
      <c r="Q311" s="9" t="s">
        <v>1932</v>
      </c>
      <c r="R311" s="9" t="s">
        <v>85</v>
      </c>
      <c r="S311" s="11" t="s">
        <v>86</v>
      </c>
      <c r="T311" s="9" t="s">
        <v>1932</v>
      </c>
      <c r="U311" s="11" t="s">
        <v>1289</v>
      </c>
      <c r="V311" s="11" t="s">
        <v>88</v>
      </c>
      <c r="W311" s="11" t="s">
        <v>1933</v>
      </c>
      <c r="X311" s="9" t="n">
        <f aca="false">IF(AND(COUNT($E311:$G311)=0,LEFT($H311,2)&lt;&gt;"定性",LEFT($H311,2)&lt;&gt;"文字",LEFT($H311,2)&lt;&gt;"日期"),1,0)</f>
        <v>0</v>
      </c>
      <c r="Y311" s="9" t="n">
        <f aca="false">IF(OR($L311="",$M311=""),1,0)</f>
        <v>0</v>
      </c>
      <c r="Z311" s="9" t="n">
        <f aca="false">IF(AND(ISNUMBER($E311),ISNUMBER($F311)),IF($F311&gt;$E311,1,0),0)+IF(AND(ISNUMBER($E311),ISNUMBER($G311)),IF($E311&gt;$G311,1,0),0)+IF(AND(ISNUMBER($F311),ISNUMBER($G311)),IF($F311&gt;$G311,1,0),0)</f>
        <v>0</v>
      </c>
      <c r="AA311" s="9" t="n">
        <f aca="false">IF(AND($P311="Derived",$V311="觀測"),1,0)</f>
        <v>0</v>
      </c>
      <c r="AB311" s="12" t="s">
        <v>90</v>
      </c>
    </row>
    <row r="312" customFormat="false" ht="15" hidden="false" customHeight="false" outlineLevel="0" collapsed="false">
      <c r="A312" s="9" t="s">
        <v>1934</v>
      </c>
      <c r="B312" s="9" t="s">
        <v>1935</v>
      </c>
      <c r="C312" s="9" t="s">
        <v>1882</v>
      </c>
      <c r="D312" s="11" t="s">
        <v>1936</v>
      </c>
      <c r="E312" s="9"/>
      <c r="F312" s="9"/>
      <c r="G312" s="9"/>
      <c r="H312" s="11" t="s">
        <v>1937</v>
      </c>
      <c r="I312" s="9" t="s">
        <v>836</v>
      </c>
      <c r="J312" s="13" t="n">
        <v>46174</v>
      </c>
      <c r="K312" s="9"/>
      <c r="L312" s="9" t="s">
        <v>1938</v>
      </c>
      <c r="M312" s="9" t="s">
        <v>1939</v>
      </c>
      <c r="N312" s="9" t="s">
        <v>836</v>
      </c>
      <c r="O312" s="9" t="s">
        <v>82</v>
      </c>
      <c r="P312" s="9" t="s">
        <v>1129</v>
      </c>
      <c r="Q312" s="9"/>
      <c r="R312" s="9" t="s">
        <v>151</v>
      </c>
      <c r="S312" s="11" t="s">
        <v>1130</v>
      </c>
      <c r="T312" s="11" t="s">
        <v>1131</v>
      </c>
      <c r="U312" s="11" t="s">
        <v>152</v>
      </c>
      <c r="V312" s="11" t="s">
        <v>88</v>
      </c>
      <c r="W312" s="9" t="s">
        <v>1940</v>
      </c>
      <c r="X312" s="9" t="n">
        <f aca="false">IF(AND(COUNT($E312:$G312)=0,LEFT($H312,2)&lt;&gt;"定性",LEFT($H312,2)&lt;&gt;"文字",LEFT($H312,2)&lt;&gt;"日期"),1,0)</f>
        <v>0</v>
      </c>
      <c r="Y312" s="9" t="n">
        <f aca="false">IF(OR($L312="",$M312=""),1,0)</f>
        <v>0</v>
      </c>
      <c r="Z312" s="9" t="n">
        <f aca="false">IF(AND(ISNUMBER($E312),ISNUMBER($F312)),IF($F312&gt;$E312,1,0),0)+IF(AND(ISNUMBER($E312),ISNUMBER($G312)),IF($E312&gt;$G312,1,0),0)+IF(AND(ISNUMBER($F312),ISNUMBER($G312)),IF($F312&gt;$G312,1,0),0)</f>
        <v>0</v>
      </c>
      <c r="AA312" s="9" t="n">
        <f aca="false">IF(AND($P312="Derived",$V312="觀測"),1,0)</f>
        <v>0</v>
      </c>
      <c r="AB312" s="12" t="s">
        <v>90</v>
      </c>
    </row>
    <row r="313" customFormat="false" ht="15" hidden="false" customHeight="false" outlineLevel="0" collapsed="false">
      <c r="A313" s="9" t="s">
        <v>1941</v>
      </c>
      <c r="B313" s="9" t="s">
        <v>1942</v>
      </c>
      <c r="C313" s="9" t="s">
        <v>1882</v>
      </c>
      <c r="D313" s="9" t="s">
        <v>1943</v>
      </c>
      <c r="E313" s="9"/>
      <c r="F313" s="9"/>
      <c r="G313" s="9"/>
      <c r="H313" s="11" t="s">
        <v>1899</v>
      </c>
      <c r="I313" s="9" t="s">
        <v>1011</v>
      </c>
      <c r="J313" s="13" t="n">
        <v>46176</v>
      </c>
      <c r="K313" s="9"/>
      <c r="L313" s="9" t="s">
        <v>1944</v>
      </c>
      <c r="M313" s="9" t="s">
        <v>1945</v>
      </c>
      <c r="N313" s="9" t="s">
        <v>1011</v>
      </c>
      <c r="O313" s="9" t="s">
        <v>82</v>
      </c>
      <c r="P313" s="9" t="s">
        <v>83</v>
      </c>
      <c r="Q313" s="11" t="s">
        <v>1946</v>
      </c>
      <c r="R313" s="9" t="s">
        <v>85</v>
      </c>
      <c r="S313" s="11" t="s">
        <v>86</v>
      </c>
      <c r="T313" s="11" t="s">
        <v>1946</v>
      </c>
      <c r="U313" s="11" t="s">
        <v>87</v>
      </c>
      <c r="V313" s="11" t="s">
        <v>88</v>
      </c>
      <c r="W313" s="11" t="s">
        <v>1947</v>
      </c>
      <c r="X313" s="9" t="n">
        <f aca="false">IF(AND(COUNT($E313:$G313)=0,LEFT($H313,2)&lt;&gt;"定性",LEFT($H313,2)&lt;&gt;"文字",LEFT($H313,2)&lt;&gt;"日期"),1,0)</f>
        <v>0</v>
      </c>
      <c r="Y313" s="9" t="n">
        <f aca="false">IF(OR($L313="",$M313=""),1,0)</f>
        <v>0</v>
      </c>
      <c r="Z313" s="9" t="n">
        <f aca="false">IF(AND(ISNUMBER($E313),ISNUMBER($F313)),IF($F313&gt;$E313,1,0),0)+IF(AND(ISNUMBER($E313),ISNUMBER($G313)),IF($E313&gt;$G313,1,0),0)+IF(AND(ISNUMBER($F313),ISNUMBER($G313)),IF($F313&gt;$G313,1,0),0)</f>
        <v>0</v>
      </c>
      <c r="AA313" s="9" t="n">
        <f aca="false">IF(AND($P313="Derived",$V313="觀測"),1,0)</f>
        <v>0</v>
      </c>
      <c r="AB313" s="12" t="s">
        <v>90</v>
      </c>
    </row>
    <row r="314" customFormat="false" ht="15" hidden="false" customHeight="false" outlineLevel="0" collapsed="false">
      <c r="A314" s="9" t="s">
        <v>1948</v>
      </c>
      <c r="B314" s="9" t="s">
        <v>1949</v>
      </c>
      <c r="C314" s="9" t="s">
        <v>1882</v>
      </c>
      <c r="D314" s="9" t="s">
        <v>1950</v>
      </c>
      <c r="E314" s="10" t="n">
        <v>2000</v>
      </c>
      <c r="F314" s="10" t="n">
        <v>2000</v>
      </c>
      <c r="G314" s="9"/>
      <c r="H314" s="9" t="s">
        <v>482</v>
      </c>
      <c r="I314" s="9" t="s">
        <v>1951</v>
      </c>
      <c r="J314" s="9"/>
      <c r="K314" s="9"/>
      <c r="L314" s="9" t="s">
        <v>1952</v>
      </c>
      <c r="M314" s="9" t="s">
        <v>1750</v>
      </c>
      <c r="N314" s="9" t="s">
        <v>81</v>
      </c>
      <c r="O314" s="9" t="s">
        <v>82</v>
      </c>
      <c r="P314" s="9" t="s">
        <v>83</v>
      </c>
      <c r="Q314" s="11" t="s">
        <v>1953</v>
      </c>
      <c r="R314" s="9" t="s">
        <v>85</v>
      </c>
      <c r="S314" s="11" t="s">
        <v>86</v>
      </c>
      <c r="T314" s="11" t="s">
        <v>1953</v>
      </c>
      <c r="U314" s="11" t="s">
        <v>87</v>
      </c>
      <c r="V314" s="11" t="s">
        <v>88</v>
      </c>
      <c r="W314" s="11" t="s">
        <v>1954</v>
      </c>
      <c r="X314" s="9" t="n">
        <f aca="false">IF(AND(COUNT($E314:$G314)=0,LEFT($H314,2)&lt;&gt;"定性",LEFT($H314,2)&lt;&gt;"文字",LEFT($H314,2)&lt;&gt;"日期"),1,0)</f>
        <v>0</v>
      </c>
      <c r="Y314" s="9" t="n">
        <f aca="false">IF(OR($L314="",$M314=""),1,0)</f>
        <v>0</v>
      </c>
      <c r="Z314" s="9" t="n">
        <f aca="false">IF(AND(ISNUMBER($E314),ISNUMBER($F314)),IF($F314&gt;$E314,1,0),0)+IF(AND(ISNUMBER($E314),ISNUMBER($G314)),IF($E314&gt;$G314,1,0),0)+IF(AND(ISNUMBER($F314),ISNUMBER($G314)),IF($F314&gt;$G314,1,0),0)</f>
        <v>0</v>
      </c>
      <c r="AA314" s="9" t="n">
        <f aca="false">IF(AND($P314="Derived",$V314="觀測"),1,0)</f>
        <v>0</v>
      </c>
      <c r="AB314" s="12" t="s">
        <v>90</v>
      </c>
    </row>
    <row r="315" customFormat="false" ht="15" hidden="false" customHeight="false" outlineLevel="0" collapsed="false">
      <c r="A315" s="9" t="s">
        <v>1955</v>
      </c>
      <c r="B315" s="9" t="s">
        <v>1956</v>
      </c>
      <c r="C315" s="9" t="s">
        <v>1882</v>
      </c>
      <c r="D315" s="11" t="s">
        <v>1957</v>
      </c>
      <c r="E315" s="10" t="n">
        <v>50.1</v>
      </c>
      <c r="F315" s="9"/>
      <c r="G315" s="9"/>
      <c r="H315" s="9" t="s">
        <v>1958</v>
      </c>
      <c r="I315" s="9" t="s">
        <v>847</v>
      </c>
      <c r="J315" s="9"/>
      <c r="K315" s="9"/>
      <c r="L315" s="9" t="s">
        <v>1749</v>
      </c>
      <c r="M315" s="9" t="s">
        <v>1750</v>
      </c>
      <c r="N315" s="9" t="s">
        <v>81</v>
      </c>
      <c r="O315" s="9" t="s">
        <v>82</v>
      </c>
      <c r="P315" s="9" t="s">
        <v>83</v>
      </c>
      <c r="Q315" s="9" t="s">
        <v>1751</v>
      </c>
      <c r="R315" s="9" t="s">
        <v>85</v>
      </c>
      <c r="S315" s="11" t="s">
        <v>86</v>
      </c>
      <c r="T315" s="9" t="s">
        <v>1751</v>
      </c>
      <c r="U315" s="11" t="s">
        <v>1289</v>
      </c>
      <c r="V315" s="11" t="s">
        <v>88</v>
      </c>
      <c r="W315" s="11" t="s">
        <v>1959</v>
      </c>
      <c r="X315" s="9" t="n">
        <f aca="false">IF(AND(COUNT($E315:$G315)=0,LEFT($H315,2)&lt;&gt;"定性",LEFT($H315,2)&lt;&gt;"文字",LEFT($H315,2)&lt;&gt;"日期"),1,0)</f>
        <v>0</v>
      </c>
      <c r="Y315" s="9" t="n">
        <f aca="false">IF(OR($L315="",$M315=""),1,0)</f>
        <v>0</v>
      </c>
      <c r="Z315" s="9" t="n">
        <f aca="false">IF(AND(ISNUMBER($E315),ISNUMBER($F315)),IF($F315&gt;$E315,1,0),0)+IF(AND(ISNUMBER($E315),ISNUMBER($G315)),IF($E315&gt;$G315,1,0),0)+IF(AND(ISNUMBER($F315),ISNUMBER($G315)),IF($F315&gt;$G315,1,0),0)</f>
        <v>0</v>
      </c>
      <c r="AA315" s="9" t="n">
        <f aca="false">IF(AND($P315="Derived",$V315="觀測"),1,0)</f>
        <v>0</v>
      </c>
      <c r="AB315" s="12" t="s">
        <v>90</v>
      </c>
    </row>
    <row r="316" customFormat="false" ht="15" hidden="false" customHeight="false" outlineLevel="0" collapsed="false">
      <c r="A316" s="9" t="s">
        <v>1960</v>
      </c>
      <c r="B316" s="9" t="s">
        <v>1961</v>
      </c>
      <c r="C316" s="9" t="s">
        <v>1882</v>
      </c>
      <c r="D316" s="9" t="s">
        <v>1962</v>
      </c>
      <c r="E316" s="10" t="n">
        <v>13</v>
      </c>
      <c r="F316" s="9"/>
      <c r="G316" s="9"/>
      <c r="H316" s="9" t="s">
        <v>482</v>
      </c>
      <c r="I316" s="9" t="s">
        <v>149</v>
      </c>
      <c r="J316" s="13" t="n">
        <v>45902</v>
      </c>
      <c r="K316" s="11" t="s">
        <v>78</v>
      </c>
      <c r="L316" s="9" t="s">
        <v>147</v>
      </c>
      <c r="M316" s="9" t="s">
        <v>148</v>
      </c>
      <c r="N316" s="9" t="s">
        <v>149</v>
      </c>
      <c r="O316" s="9" t="s">
        <v>82</v>
      </c>
      <c r="P316" s="9" t="s">
        <v>83</v>
      </c>
      <c r="Q316" s="9" t="s">
        <v>150</v>
      </c>
      <c r="R316" s="9" t="s">
        <v>151</v>
      </c>
      <c r="S316" s="11" t="s">
        <v>86</v>
      </c>
      <c r="T316" s="9" t="s">
        <v>150</v>
      </c>
      <c r="U316" s="11" t="s">
        <v>152</v>
      </c>
      <c r="V316" s="11" t="s">
        <v>88</v>
      </c>
      <c r="W316" s="11" t="s">
        <v>1963</v>
      </c>
      <c r="X316" s="9" t="n">
        <f aca="false">IF(AND(COUNT($E316:$G316)=0,LEFT($H316,2)&lt;&gt;"定性",LEFT($H316,2)&lt;&gt;"文字",LEFT($H316,2)&lt;&gt;"日期"),1,0)</f>
        <v>0</v>
      </c>
      <c r="Y316" s="9" t="n">
        <f aca="false">IF(OR($L316="",$M316=""),1,0)</f>
        <v>0</v>
      </c>
      <c r="Z316" s="9" t="n">
        <f aca="false">IF(AND(ISNUMBER($E316),ISNUMBER($F316)),IF($F316&gt;$E316,1,0),0)+IF(AND(ISNUMBER($E316),ISNUMBER($G316)),IF($E316&gt;$G316,1,0),0)+IF(AND(ISNUMBER($F316),ISNUMBER($G316)),IF($F316&gt;$G316,1,0),0)</f>
        <v>0</v>
      </c>
      <c r="AA316" s="9" t="n">
        <f aca="false">IF(AND($P316="Derived",$V316="觀測"),1,0)</f>
        <v>0</v>
      </c>
      <c r="AB316" s="12" t="s">
        <v>90</v>
      </c>
    </row>
    <row r="317" customFormat="false" ht="15" hidden="false" customHeight="false" outlineLevel="0" collapsed="false">
      <c r="A317" s="9" t="s">
        <v>1964</v>
      </c>
      <c r="B317" s="9" t="s">
        <v>1965</v>
      </c>
      <c r="C317" s="9" t="s">
        <v>1882</v>
      </c>
      <c r="D317" s="9" t="s">
        <v>1966</v>
      </c>
      <c r="E317" s="10" t="n">
        <v>183</v>
      </c>
      <c r="F317" s="9"/>
      <c r="G317" s="9"/>
      <c r="H317" s="9" t="s">
        <v>482</v>
      </c>
      <c r="I317" s="9" t="s">
        <v>149</v>
      </c>
      <c r="J317" s="13" t="n">
        <v>45902</v>
      </c>
      <c r="K317" s="9"/>
      <c r="L317" s="9" t="s">
        <v>147</v>
      </c>
      <c r="M317" s="9" t="s">
        <v>148</v>
      </c>
      <c r="N317" s="9" t="s">
        <v>149</v>
      </c>
      <c r="O317" s="9" t="s">
        <v>82</v>
      </c>
      <c r="P317" s="9" t="s">
        <v>83</v>
      </c>
      <c r="Q317" s="9" t="s">
        <v>150</v>
      </c>
      <c r="R317" s="9" t="s">
        <v>151</v>
      </c>
      <c r="S317" s="11" t="s">
        <v>86</v>
      </c>
      <c r="T317" s="9" t="s">
        <v>150</v>
      </c>
      <c r="U317" s="11" t="s">
        <v>152</v>
      </c>
      <c r="V317" s="11" t="s">
        <v>88</v>
      </c>
      <c r="W317" s="11" t="s">
        <v>1967</v>
      </c>
      <c r="X317" s="9" t="n">
        <f aca="false">IF(AND(COUNT($E317:$G317)=0,LEFT($H317,2)&lt;&gt;"定性",LEFT($H317,2)&lt;&gt;"文字",LEFT($H317,2)&lt;&gt;"日期"),1,0)</f>
        <v>0</v>
      </c>
      <c r="Y317" s="9" t="n">
        <f aca="false">IF(OR($L317="",$M317=""),1,0)</f>
        <v>0</v>
      </c>
      <c r="Z317" s="9" t="n">
        <f aca="false">IF(AND(ISNUMBER($E317),ISNUMBER($F317)),IF($F317&gt;$E317,1,0),0)+IF(AND(ISNUMBER($E317),ISNUMBER($G317)),IF($E317&gt;$G317,1,0),0)+IF(AND(ISNUMBER($F317),ISNUMBER($G317)),IF($F317&gt;$G317,1,0),0)</f>
        <v>0</v>
      </c>
      <c r="AA317" s="9" t="n">
        <f aca="false">IF(AND($P317="Derived",$V317="觀測"),1,0)</f>
        <v>0</v>
      </c>
      <c r="AB317" s="12" t="s">
        <v>90</v>
      </c>
    </row>
    <row r="318" customFormat="false" ht="15" hidden="false" customHeight="false" outlineLevel="0" collapsed="false">
      <c r="A318" s="9" t="s">
        <v>1968</v>
      </c>
      <c r="B318" s="9" t="s">
        <v>1969</v>
      </c>
      <c r="C318" s="9" t="s">
        <v>1882</v>
      </c>
      <c r="D318" s="9" t="s">
        <v>1970</v>
      </c>
      <c r="E318" s="10" t="n">
        <v>3.5</v>
      </c>
      <c r="F318" s="9"/>
      <c r="G318" s="9"/>
      <c r="H318" s="9" t="s">
        <v>482</v>
      </c>
      <c r="I318" s="9" t="s">
        <v>1971</v>
      </c>
      <c r="J318" s="13" t="n">
        <v>45719</v>
      </c>
      <c r="K318" s="11" t="s">
        <v>78</v>
      </c>
      <c r="L318" s="9" t="s">
        <v>1972</v>
      </c>
      <c r="M318" s="9" t="s">
        <v>1973</v>
      </c>
      <c r="N318" s="9" t="s">
        <v>1971</v>
      </c>
      <c r="O318" s="9" t="s">
        <v>82</v>
      </c>
      <c r="P318" s="9" t="s">
        <v>83</v>
      </c>
      <c r="Q318" s="9" t="s">
        <v>150</v>
      </c>
      <c r="R318" s="9" t="s">
        <v>151</v>
      </c>
      <c r="S318" s="11" t="s">
        <v>86</v>
      </c>
      <c r="T318" s="9" t="s">
        <v>150</v>
      </c>
      <c r="U318" s="11" t="s">
        <v>152</v>
      </c>
      <c r="V318" s="11" t="s">
        <v>88</v>
      </c>
      <c r="W318" s="11" t="s">
        <v>1974</v>
      </c>
      <c r="X318" s="9" t="n">
        <f aca="false">IF(AND(COUNT($E318:$G318)=0,LEFT($H318,2)&lt;&gt;"定性",LEFT($H318,2)&lt;&gt;"文字",LEFT($H318,2)&lt;&gt;"日期"),1,0)</f>
        <v>0</v>
      </c>
      <c r="Y318" s="9" t="n">
        <f aca="false">IF(OR($L318="",$M318=""),1,0)</f>
        <v>0</v>
      </c>
      <c r="Z318" s="9" t="n">
        <f aca="false">IF(AND(ISNUMBER($E318),ISNUMBER($F318)),IF($F318&gt;$E318,1,0),0)+IF(AND(ISNUMBER($E318),ISNUMBER($G318)),IF($E318&gt;$G318,1,0),0)+IF(AND(ISNUMBER($F318),ISNUMBER($G318)),IF($F318&gt;$G318,1,0),0)</f>
        <v>0</v>
      </c>
      <c r="AA318" s="9" t="n">
        <f aca="false">IF(AND($P318="Derived",$V318="觀測"),1,0)</f>
        <v>0</v>
      </c>
      <c r="AB318" s="12" t="s">
        <v>90</v>
      </c>
    </row>
    <row r="319" customFormat="false" ht="15" hidden="false" customHeight="false" outlineLevel="0" collapsed="false">
      <c r="A319" s="9" t="s">
        <v>1975</v>
      </c>
      <c r="B319" s="9" t="s">
        <v>1976</v>
      </c>
      <c r="C319" s="9" t="s">
        <v>1882</v>
      </c>
      <c r="D319" s="9" t="s">
        <v>1977</v>
      </c>
      <c r="E319" s="10" t="n">
        <v>61.5</v>
      </c>
      <c r="F319" s="9"/>
      <c r="G319" s="9"/>
      <c r="H319" s="9" t="s">
        <v>482</v>
      </c>
      <c r="I319" s="9" t="s">
        <v>1971</v>
      </c>
      <c r="J319" s="13" t="n">
        <v>45719</v>
      </c>
      <c r="K319" s="9"/>
      <c r="L319" s="9" t="s">
        <v>1978</v>
      </c>
      <c r="M319" s="9" t="s">
        <v>1973</v>
      </c>
      <c r="N319" s="9" t="s">
        <v>1971</v>
      </c>
      <c r="O319" s="9" t="s">
        <v>82</v>
      </c>
      <c r="P319" s="9" t="s">
        <v>83</v>
      </c>
      <c r="Q319" s="9" t="s">
        <v>150</v>
      </c>
      <c r="R319" s="9" t="s">
        <v>151</v>
      </c>
      <c r="S319" s="11" t="s">
        <v>86</v>
      </c>
      <c r="T319" s="9" t="s">
        <v>150</v>
      </c>
      <c r="U319" s="11" t="s">
        <v>152</v>
      </c>
      <c r="V319" s="11" t="s">
        <v>88</v>
      </c>
      <c r="W319" s="11" t="s">
        <v>1979</v>
      </c>
      <c r="X319" s="9" t="n">
        <f aca="false">IF(AND(COUNT($E319:$G319)=0,LEFT($H319,2)&lt;&gt;"定性",LEFT($H319,2)&lt;&gt;"文字",LEFT($H319,2)&lt;&gt;"日期"),1,0)</f>
        <v>0</v>
      </c>
      <c r="Y319" s="9" t="n">
        <f aca="false">IF(OR($L319="",$M319=""),1,0)</f>
        <v>0</v>
      </c>
      <c r="Z319" s="9" t="n">
        <f aca="false">IF(AND(ISNUMBER($E319),ISNUMBER($F319)),IF($F319&gt;$E319,1,0),0)+IF(AND(ISNUMBER($E319),ISNUMBER($G319)),IF($E319&gt;$G319,1,0),0)+IF(AND(ISNUMBER($F319),ISNUMBER($G319)),IF($F319&gt;$G319,1,0),0)</f>
        <v>0</v>
      </c>
      <c r="AA319" s="9" t="n">
        <f aca="false">IF(AND($P319="Derived",$V319="觀測"),1,0)</f>
        <v>0</v>
      </c>
      <c r="AB319" s="12" t="s">
        <v>90</v>
      </c>
    </row>
    <row r="320" customFormat="false" ht="15" hidden="false" customHeight="false" outlineLevel="0" collapsed="false">
      <c r="A320" s="9" t="s">
        <v>1980</v>
      </c>
      <c r="B320" s="9" t="s">
        <v>1981</v>
      </c>
      <c r="C320" s="9" t="s">
        <v>1882</v>
      </c>
      <c r="D320" s="9" t="s">
        <v>1982</v>
      </c>
      <c r="E320" s="9"/>
      <c r="F320" s="9"/>
      <c r="G320" s="9"/>
      <c r="H320" s="11" t="s">
        <v>1899</v>
      </c>
      <c r="I320" s="9" t="s">
        <v>218</v>
      </c>
      <c r="J320" s="13" t="n">
        <v>46065</v>
      </c>
      <c r="K320" s="9"/>
      <c r="L320" s="9" t="s">
        <v>448</v>
      </c>
      <c r="M320" s="9" t="s">
        <v>217</v>
      </c>
      <c r="N320" s="9" t="s">
        <v>218</v>
      </c>
      <c r="O320" s="9" t="s">
        <v>82</v>
      </c>
      <c r="P320" s="9" t="s">
        <v>83</v>
      </c>
      <c r="Q320" s="9" t="s">
        <v>150</v>
      </c>
      <c r="R320" s="9" t="s">
        <v>151</v>
      </c>
      <c r="S320" s="11" t="s">
        <v>86</v>
      </c>
      <c r="T320" s="9" t="s">
        <v>150</v>
      </c>
      <c r="U320" s="11" t="s">
        <v>152</v>
      </c>
      <c r="V320" s="11" t="s">
        <v>88</v>
      </c>
      <c r="W320" s="11" t="s">
        <v>1983</v>
      </c>
      <c r="X320" s="9" t="n">
        <f aca="false">IF(AND(COUNT($E320:$G320)=0,LEFT($H320,2)&lt;&gt;"定性",LEFT($H320,2)&lt;&gt;"文字",LEFT($H320,2)&lt;&gt;"日期"),1,0)</f>
        <v>0</v>
      </c>
      <c r="Y320" s="9" t="n">
        <f aca="false">IF(OR($L320="",$M320=""),1,0)</f>
        <v>0</v>
      </c>
      <c r="Z320" s="9" t="n">
        <f aca="false">IF(AND(ISNUMBER($E320),ISNUMBER($F320)),IF($F320&gt;$E320,1,0),0)+IF(AND(ISNUMBER($E320),ISNUMBER($G320)),IF($E320&gt;$G320,1,0),0)+IF(AND(ISNUMBER($F320),ISNUMBER($G320)),IF($F320&gt;$G320,1,0),0)</f>
        <v>0</v>
      </c>
      <c r="AA320" s="9" t="n">
        <f aca="false">IF(AND($P320="Derived",$V320="觀測"),1,0)</f>
        <v>0</v>
      </c>
      <c r="AB320" s="12" t="s">
        <v>90</v>
      </c>
    </row>
    <row r="321" customFormat="false" ht="15" hidden="false" customHeight="false" outlineLevel="0" collapsed="false">
      <c r="A321" s="9" t="s">
        <v>1984</v>
      </c>
      <c r="B321" s="9" t="s">
        <v>1985</v>
      </c>
      <c r="C321" s="9" t="s">
        <v>1882</v>
      </c>
      <c r="D321" s="9" t="s">
        <v>1986</v>
      </c>
      <c r="E321" s="10" t="n">
        <v>8</v>
      </c>
      <c r="F321" s="9"/>
      <c r="G321" s="9"/>
      <c r="H321" s="9" t="s">
        <v>482</v>
      </c>
      <c r="I321" s="9" t="s">
        <v>483</v>
      </c>
      <c r="J321" s="13" t="n">
        <v>46022</v>
      </c>
      <c r="K321" s="11" t="s">
        <v>78</v>
      </c>
      <c r="L321" s="9" t="s">
        <v>1987</v>
      </c>
      <c r="M321" s="9" t="s">
        <v>1988</v>
      </c>
      <c r="N321" s="9" t="s">
        <v>1989</v>
      </c>
      <c r="O321" s="9" t="s">
        <v>82</v>
      </c>
      <c r="P321" s="9" t="s">
        <v>1129</v>
      </c>
      <c r="Q321" s="9"/>
      <c r="R321" s="9" t="s">
        <v>151</v>
      </c>
      <c r="S321" s="11" t="s">
        <v>1130</v>
      </c>
      <c r="T321" s="11" t="s">
        <v>1131</v>
      </c>
      <c r="U321" s="11" t="s">
        <v>152</v>
      </c>
      <c r="V321" s="11" t="s">
        <v>88</v>
      </c>
      <c r="W321" s="11" t="s">
        <v>1990</v>
      </c>
      <c r="X321" s="9" t="n">
        <f aca="false">IF(AND(COUNT($E321:$G321)=0,LEFT($H321,2)&lt;&gt;"定性",LEFT($H321,2)&lt;&gt;"文字",LEFT($H321,2)&lt;&gt;"日期"),1,0)</f>
        <v>0</v>
      </c>
      <c r="Y321" s="9" t="n">
        <f aca="false">IF(OR($L321="",$M321=""),1,0)</f>
        <v>0</v>
      </c>
      <c r="Z321" s="9" t="n">
        <f aca="false">IF(AND(ISNUMBER($E321),ISNUMBER($F321)),IF($F321&gt;$E321,1,0),0)+IF(AND(ISNUMBER($E321),ISNUMBER($G321)),IF($E321&gt;$G321,1,0),0)+IF(AND(ISNUMBER($F321),ISNUMBER($G321)),IF($F321&gt;$G321,1,0),0)</f>
        <v>0</v>
      </c>
      <c r="AA321" s="9" t="n">
        <f aca="false">IF(AND($P321="Derived",$V321="觀測"),1,0)</f>
        <v>0</v>
      </c>
      <c r="AB321" s="12" t="s">
        <v>90</v>
      </c>
    </row>
    <row r="322" customFormat="false" ht="15" hidden="false" customHeight="false" outlineLevel="0" collapsed="false">
      <c r="A322" s="9" t="s">
        <v>1991</v>
      </c>
      <c r="B322" s="9" t="s">
        <v>1992</v>
      </c>
      <c r="C322" s="9" t="s">
        <v>1882</v>
      </c>
      <c r="D322" s="9" t="s">
        <v>1993</v>
      </c>
      <c r="E322" s="10" t="n">
        <v>4</v>
      </c>
      <c r="F322" s="9"/>
      <c r="G322" s="9"/>
      <c r="H322" s="9" t="s">
        <v>482</v>
      </c>
      <c r="I322" s="9" t="s">
        <v>1994</v>
      </c>
      <c r="J322" s="13" t="n">
        <v>45618</v>
      </c>
      <c r="K322" s="11" t="s">
        <v>78</v>
      </c>
      <c r="L322" s="9" t="s">
        <v>1995</v>
      </c>
      <c r="M322" s="9" t="s">
        <v>1996</v>
      </c>
      <c r="N322" s="9" t="s">
        <v>1994</v>
      </c>
      <c r="O322" s="9" t="s">
        <v>82</v>
      </c>
      <c r="P322" s="9" t="s">
        <v>83</v>
      </c>
      <c r="Q322" s="9" t="s">
        <v>150</v>
      </c>
      <c r="R322" s="9" t="s">
        <v>151</v>
      </c>
      <c r="S322" s="11" t="s">
        <v>86</v>
      </c>
      <c r="T322" s="9" t="s">
        <v>150</v>
      </c>
      <c r="U322" s="11" t="s">
        <v>152</v>
      </c>
      <c r="V322" s="11" t="s">
        <v>88</v>
      </c>
      <c r="W322" s="11" t="s">
        <v>1997</v>
      </c>
      <c r="X322" s="9" t="n">
        <f aca="false">IF(AND(COUNT($E322:$G322)=0,LEFT($H322,2)&lt;&gt;"定性",LEFT($H322,2)&lt;&gt;"文字",LEFT($H322,2)&lt;&gt;"日期"),1,0)</f>
        <v>0</v>
      </c>
      <c r="Y322" s="9" t="n">
        <f aca="false">IF(OR($L322="",$M322=""),1,0)</f>
        <v>0</v>
      </c>
      <c r="Z322" s="9" t="n">
        <f aca="false">IF(AND(ISNUMBER($E322),ISNUMBER($F322)),IF($F322&gt;$E322,1,0),0)+IF(AND(ISNUMBER($E322),ISNUMBER($G322)),IF($E322&gt;$G322,1,0),0)+IF(AND(ISNUMBER($F322),ISNUMBER($G322)),IF($F322&gt;$G322,1,0),0)</f>
        <v>0</v>
      </c>
      <c r="AA322" s="9" t="n">
        <f aca="false">IF(AND($P322="Derived",$V322="觀測"),1,0)</f>
        <v>0</v>
      </c>
      <c r="AB322" s="12" t="s">
        <v>90</v>
      </c>
    </row>
    <row r="323" customFormat="false" ht="15" hidden="false" customHeight="false" outlineLevel="0" collapsed="false">
      <c r="A323" s="9" t="s">
        <v>1998</v>
      </c>
      <c r="B323" s="9" t="s">
        <v>1999</v>
      </c>
      <c r="C323" s="9" t="s">
        <v>1882</v>
      </c>
      <c r="D323" s="9" t="s">
        <v>2000</v>
      </c>
      <c r="E323" s="10" t="n">
        <v>5</v>
      </c>
      <c r="F323" s="9"/>
      <c r="G323" s="9"/>
      <c r="H323" s="9" t="s">
        <v>482</v>
      </c>
      <c r="I323" s="9" t="s">
        <v>121</v>
      </c>
      <c r="J323" s="9"/>
      <c r="K323" s="11" t="s">
        <v>78</v>
      </c>
      <c r="L323" s="9" t="s">
        <v>2001</v>
      </c>
      <c r="M323" s="9" t="s">
        <v>2002</v>
      </c>
      <c r="N323" s="9" t="s">
        <v>2003</v>
      </c>
      <c r="O323" s="9" t="s">
        <v>82</v>
      </c>
      <c r="P323" s="9" t="s">
        <v>1129</v>
      </c>
      <c r="Q323" s="9"/>
      <c r="R323" s="9" t="s">
        <v>151</v>
      </c>
      <c r="S323" s="11" t="s">
        <v>1130</v>
      </c>
      <c r="T323" s="11" t="s">
        <v>1131</v>
      </c>
      <c r="U323" s="11" t="s">
        <v>152</v>
      </c>
      <c r="V323" s="11" t="s">
        <v>88</v>
      </c>
      <c r="W323" s="11" t="s">
        <v>2004</v>
      </c>
      <c r="X323" s="9" t="n">
        <f aca="false">IF(AND(COUNT($E323:$G323)=0,LEFT($H323,2)&lt;&gt;"定性",LEFT($H323,2)&lt;&gt;"文字",LEFT($H323,2)&lt;&gt;"日期"),1,0)</f>
        <v>0</v>
      </c>
      <c r="Y323" s="9" t="n">
        <f aca="false">IF(OR($L323="",$M323=""),1,0)</f>
        <v>0</v>
      </c>
      <c r="Z323" s="9" t="n">
        <f aca="false">IF(AND(ISNUMBER($E323),ISNUMBER($F323)),IF($F323&gt;$E323,1,0),0)+IF(AND(ISNUMBER($E323),ISNUMBER($G323)),IF($E323&gt;$G323,1,0),0)+IF(AND(ISNUMBER($F323),ISNUMBER($G323)),IF($F323&gt;$G323,1,0),0)</f>
        <v>0</v>
      </c>
      <c r="AA323" s="9" t="n">
        <f aca="false">IF(AND($P323="Derived",$V323="觀測"),1,0)</f>
        <v>0</v>
      </c>
      <c r="AB323" s="12" t="s">
        <v>90</v>
      </c>
    </row>
    <row r="324" customFormat="false" ht="15" hidden="false" customHeight="false" outlineLevel="0" collapsed="false">
      <c r="A324" s="9" t="s">
        <v>2005</v>
      </c>
      <c r="B324" s="9" t="s">
        <v>2006</v>
      </c>
      <c r="C324" s="9" t="s">
        <v>1882</v>
      </c>
      <c r="D324" s="9" t="s">
        <v>2007</v>
      </c>
      <c r="E324" s="10" t="n">
        <v>5</v>
      </c>
      <c r="F324" s="9"/>
      <c r="G324" s="9"/>
      <c r="H324" s="9" t="s">
        <v>482</v>
      </c>
      <c r="I324" s="9" t="s">
        <v>121</v>
      </c>
      <c r="J324" s="9"/>
      <c r="K324" s="11" t="s">
        <v>78</v>
      </c>
      <c r="L324" s="9" t="s">
        <v>2001</v>
      </c>
      <c r="M324" s="9" t="s">
        <v>2002</v>
      </c>
      <c r="N324" s="9" t="s">
        <v>2003</v>
      </c>
      <c r="O324" s="9" t="s">
        <v>82</v>
      </c>
      <c r="P324" s="9" t="s">
        <v>1129</v>
      </c>
      <c r="Q324" s="9"/>
      <c r="R324" s="9" t="s">
        <v>151</v>
      </c>
      <c r="S324" s="11" t="s">
        <v>1130</v>
      </c>
      <c r="T324" s="11" t="s">
        <v>1131</v>
      </c>
      <c r="U324" s="11" t="s">
        <v>152</v>
      </c>
      <c r="V324" s="11" t="s">
        <v>88</v>
      </c>
      <c r="W324" s="9" t="s">
        <v>2008</v>
      </c>
      <c r="X324" s="9" t="n">
        <f aca="false">IF(AND(COUNT($E324:$G324)=0,LEFT($H324,2)&lt;&gt;"定性",LEFT($H324,2)&lt;&gt;"文字",LEFT($H324,2)&lt;&gt;"日期"),1,0)</f>
        <v>0</v>
      </c>
      <c r="Y324" s="9" t="n">
        <f aca="false">IF(OR($L324="",$M324=""),1,0)</f>
        <v>0</v>
      </c>
      <c r="Z324" s="9" t="n">
        <f aca="false">IF(AND(ISNUMBER($E324),ISNUMBER($F324)),IF($F324&gt;$E324,1,0),0)+IF(AND(ISNUMBER($E324),ISNUMBER($G324)),IF($E324&gt;$G324,1,0),0)+IF(AND(ISNUMBER($F324),ISNUMBER($G324)),IF($F324&gt;$G324,1,0),0)</f>
        <v>0</v>
      </c>
      <c r="AA324" s="9" t="n">
        <f aca="false">IF(AND($P324="Derived",$V324="觀測"),1,0)</f>
        <v>0</v>
      </c>
      <c r="AB324" s="12" t="s">
        <v>90</v>
      </c>
    </row>
    <row r="325" customFormat="false" ht="15" hidden="false" customHeight="false" outlineLevel="0" collapsed="false">
      <c r="A325" s="9" t="s">
        <v>2009</v>
      </c>
      <c r="B325" s="9" t="s">
        <v>2010</v>
      </c>
      <c r="C325" s="9" t="s">
        <v>1882</v>
      </c>
      <c r="D325" s="9" t="s">
        <v>2011</v>
      </c>
      <c r="E325" s="10" t="n">
        <v>20</v>
      </c>
      <c r="F325" s="9"/>
      <c r="G325" s="9"/>
      <c r="H325" s="9" t="s">
        <v>482</v>
      </c>
      <c r="I325" s="9" t="s">
        <v>229</v>
      </c>
      <c r="J325" s="9"/>
      <c r="K325" s="11" t="s">
        <v>78</v>
      </c>
      <c r="L325" s="9" t="s">
        <v>2012</v>
      </c>
      <c r="M325" s="9" t="s">
        <v>1988</v>
      </c>
      <c r="N325" s="9" t="s">
        <v>1989</v>
      </c>
      <c r="O325" s="9" t="s">
        <v>82</v>
      </c>
      <c r="P325" s="9" t="s">
        <v>1129</v>
      </c>
      <c r="Q325" s="9"/>
      <c r="R325" s="9" t="s">
        <v>151</v>
      </c>
      <c r="S325" s="11" t="s">
        <v>1130</v>
      </c>
      <c r="T325" s="11" t="s">
        <v>1131</v>
      </c>
      <c r="U325" s="11" t="s">
        <v>152</v>
      </c>
      <c r="V325" s="11" t="s">
        <v>88</v>
      </c>
      <c r="W325" s="11" t="s">
        <v>2013</v>
      </c>
      <c r="X325" s="9" t="n">
        <f aca="false">IF(AND(COUNT($E325:$G325)=0,LEFT($H325,2)&lt;&gt;"定性",LEFT($H325,2)&lt;&gt;"文字",LEFT($H325,2)&lt;&gt;"日期"),1,0)</f>
        <v>0</v>
      </c>
      <c r="Y325" s="9" t="n">
        <f aca="false">IF(OR($L325="",$M325=""),1,0)</f>
        <v>0</v>
      </c>
      <c r="Z325" s="9" t="n">
        <f aca="false">IF(AND(ISNUMBER($E325),ISNUMBER($F325)),IF($F325&gt;$E325,1,0),0)+IF(AND(ISNUMBER($E325),ISNUMBER($G325)),IF($E325&gt;$G325,1,0),0)+IF(AND(ISNUMBER($F325),ISNUMBER($G325)),IF($F325&gt;$G325,1,0),0)</f>
        <v>0</v>
      </c>
      <c r="AA325" s="9" t="n">
        <f aca="false">IF(AND($P325="Derived",$V325="觀測"),1,0)</f>
        <v>0</v>
      </c>
      <c r="AB325" s="12" t="s">
        <v>90</v>
      </c>
    </row>
    <row r="326" customFormat="false" ht="15" hidden="false" customHeight="false" outlineLevel="0" collapsed="false">
      <c r="A326" s="9" t="s">
        <v>2014</v>
      </c>
      <c r="B326" s="9" t="s">
        <v>2015</v>
      </c>
      <c r="C326" s="9" t="s">
        <v>1882</v>
      </c>
      <c r="D326" s="9" t="s">
        <v>2016</v>
      </c>
      <c r="E326" s="10" t="n">
        <v>15</v>
      </c>
      <c r="F326" s="9"/>
      <c r="G326" s="9"/>
      <c r="H326" s="9" t="s">
        <v>482</v>
      </c>
      <c r="I326" s="9" t="s">
        <v>679</v>
      </c>
      <c r="J326" s="13" t="n">
        <v>46203</v>
      </c>
      <c r="K326" s="11" t="s">
        <v>78</v>
      </c>
      <c r="L326" s="9" t="s">
        <v>2001</v>
      </c>
      <c r="M326" s="9" t="s">
        <v>2002</v>
      </c>
      <c r="N326" s="9" t="s">
        <v>2003</v>
      </c>
      <c r="O326" s="9" t="s">
        <v>82</v>
      </c>
      <c r="P326" s="9" t="s">
        <v>1129</v>
      </c>
      <c r="Q326" s="9"/>
      <c r="R326" s="9" t="s">
        <v>151</v>
      </c>
      <c r="S326" s="11" t="s">
        <v>1130</v>
      </c>
      <c r="T326" s="11" t="s">
        <v>1131</v>
      </c>
      <c r="U326" s="11" t="s">
        <v>152</v>
      </c>
      <c r="V326" s="11" t="s">
        <v>88</v>
      </c>
      <c r="W326" s="11" t="s">
        <v>2017</v>
      </c>
      <c r="X326" s="9" t="n">
        <f aca="false">IF(AND(COUNT($E326:$G326)=0,LEFT($H326,2)&lt;&gt;"定性",LEFT($H326,2)&lt;&gt;"文字",LEFT($H326,2)&lt;&gt;"日期"),1,0)</f>
        <v>0</v>
      </c>
      <c r="Y326" s="9" t="n">
        <f aca="false">IF(OR($L326="",$M326=""),1,0)</f>
        <v>0</v>
      </c>
      <c r="Z326" s="9" t="n">
        <f aca="false">IF(AND(ISNUMBER($E326),ISNUMBER($F326)),IF($F326&gt;$E326,1,0),0)+IF(AND(ISNUMBER($E326),ISNUMBER($G326)),IF($E326&gt;$G326,1,0),0)+IF(AND(ISNUMBER($F326),ISNUMBER($G326)),IF($F326&gt;$G326,1,0),0)</f>
        <v>0</v>
      </c>
      <c r="AA326" s="9" t="n">
        <f aca="false">IF(AND($P326="Derived",$V326="觀測"),1,0)</f>
        <v>0</v>
      </c>
      <c r="AB326" s="12" t="s">
        <v>90</v>
      </c>
    </row>
    <row r="327" customFormat="false" ht="15" hidden="false" customHeight="false" outlineLevel="0" collapsed="false">
      <c r="A327" s="9" t="s">
        <v>2018</v>
      </c>
      <c r="B327" s="9" t="s">
        <v>2019</v>
      </c>
      <c r="C327" s="9" t="s">
        <v>1882</v>
      </c>
      <c r="D327" s="9" t="s">
        <v>2020</v>
      </c>
      <c r="E327" s="9" t="n">
        <f aca="false">SRC_ANT_317+SRC_ANT_319+SRC_ANT_320</f>
        <v>18</v>
      </c>
      <c r="F327" s="9"/>
      <c r="G327" s="9"/>
      <c r="H327" s="9" t="s">
        <v>482</v>
      </c>
      <c r="I327" s="9" t="s">
        <v>679</v>
      </c>
      <c r="J327" s="13" t="n">
        <v>46203</v>
      </c>
      <c r="K327" s="11" t="s">
        <v>78</v>
      </c>
      <c r="L327" s="9" t="s">
        <v>2021</v>
      </c>
      <c r="M327" s="9" t="s">
        <v>2002</v>
      </c>
      <c r="N327" s="9" t="s">
        <v>2003</v>
      </c>
      <c r="O327" s="9" t="s">
        <v>82</v>
      </c>
      <c r="P327" s="9" t="s">
        <v>102</v>
      </c>
      <c r="Q327" s="9"/>
      <c r="R327" s="11" t="s">
        <v>103</v>
      </c>
      <c r="S327" s="11" t="s">
        <v>104</v>
      </c>
      <c r="T327" s="11" t="s">
        <v>105</v>
      </c>
      <c r="U327" s="11" t="s">
        <v>104</v>
      </c>
      <c r="V327" s="9" t="s">
        <v>106</v>
      </c>
      <c r="W327" s="11" t="s">
        <v>2022</v>
      </c>
      <c r="X327" s="9" t="n">
        <f aca="false">IF(AND(COUNT($E327:$G327)=0,LEFT($H327,2)&lt;&gt;"定性",LEFT($H327,2)&lt;&gt;"文字",LEFT($H327,2)&lt;&gt;"日期"),1,0)</f>
        <v>0</v>
      </c>
      <c r="Y327" s="9" t="n">
        <f aca="false">IF(OR($L327="",$M327=""),1,0)</f>
        <v>0</v>
      </c>
      <c r="Z327" s="9" t="n">
        <f aca="false">IF(AND(ISNUMBER($E327),ISNUMBER($F327)),IF($F327&gt;$E327,1,0),0)+IF(AND(ISNUMBER($E327),ISNUMBER($G327)),IF($E327&gt;$G327,1,0),0)+IF(AND(ISNUMBER($F327),ISNUMBER($G327)),IF($F327&gt;$G327,1,0),0)</f>
        <v>0</v>
      </c>
      <c r="AA327" s="9" t="n">
        <f aca="false">IF(AND($P327="Derived",$V327="觀測"),1,0)</f>
        <v>0</v>
      </c>
      <c r="AB327" s="12" t="s">
        <v>90</v>
      </c>
    </row>
    <row r="328" customFormat="false" ht="15" hidden="false" customHeight="false" outlineLevel="0" collapsed="false">
      <c r="A328" s="9" t="s">
        <v>2023</v>
      </c>
      <c r="B328" s="9" t="s">
        <v>2024</v>
      </c>
      <c r="C328" s="9" t="s">
        <v>1882</v>
      </c>
      <c r="D328" s="9" t="s">
        <v>2025</v>
      </c>
      <c r="E328" s="10" t="n">
        <v>25</v>
      </c>
      <c r="F328" s="10" t="n">
        <v>5</v>
      </c>
      <c r="G328" s="10" t="n">
        <v>25</v>
      </c>
      <c r="H328" s="9" t="s">
        <v>482</v>
      </c>
      <c r="I328" s="9" t="s">
        <v>990</v>
      </c>
      <c r="J328" s="13" t="n">
        <v>46132</v>
      </c>
      <c r="K328" s="11" t="s">
        <v>78</v>
      </c>
      <c r="L328" s="9" t="s">
        <v>2026</v>
      </c>
      <c r="M328" s="9" t="s">
        <v>2027</v>
      </c>
      <c r="N328" s="9" t="s">
        <v>990</v>
      </c>
      <c r="O328" s="9" t="s">
        <v>82</v>
      </c>
      <c r="P328" s="9" t="s">
        <v>83</v>
      </c>
      <c r="Q328" s="9" t="s">
        <v>2028</v>
      </c>
      <c r="R328" s="11" t="s">
        <v>103</v>
      </c>
      <c r="S328" s="11" t="s">
        <v>86</v>
      </c>
      <c r="T328" s="9" t="s">
        <v>2028</v>
      </c>
      <c r="U328" s="11" t="s">
        <v>103</v>
      </c>
      <c r="V328" s="11" t="s">
        <v>88</v>
      </c>
      <c r="W328" s="11" t="s">
        <v>2029</v>
      </c>
      <c r="X328" s="9" t="n">
        <f aca="false">IF(AND(COUNT($E328:$G328)=0,LEFT($H328,2)&lt;&gt;"定性",LEFT($H328,2)&lt;&gt;"文字",LEFT($H328,2)&lt;&gt;"日期"),1,0)</f>
        <v>0</v>
      </c>
      <c r="Y328" s="9" t="n">
        <f aca="false">IF(OR($L328="",$M328=""),1,0)</f>
        <v>0</v>
      </c>
      <c r="Z328" s="9" t="n">
        <f aca="false">IF(AND(ISNUMBER($E328),ISNUMBER($F328)),IF($F328&gt;$E328,1,0),0)+IF(AND(ISNUMBER($E328),ISNUMBER($G328)),IF($E328&gt;$G328,1,0),0)+IF(AND(ISNUMBER($F328),ISNUMBER($G328)),IF($F328&gt;$G328,1,0),0)</f>
        <v>0</v>
      </c>
      <c r="AA328" s="9" t="n">
        <f aca="false">IF(AND($P328="Derived",$V328="觀測"),1,0)</f>
        <v>0</v>
      </c>
      <c r="AB328" s="12" t="s">
        <v>90</v>
      </c>
    </row>
    <row r="329" customFormat="false" ht="15" hidden="false" customHeight="false" outlineLevel="0" collapsed="false">
      <c r="A329" s="9" t="s">
        <v>2030</v>
      </c>
      <c r="B329" s="9" t="s">
        <v>2031</v>
      </c>
      <c r="C329" s="9" t="s">
        <v>1882</v>
      </c>
      <c r="D329" s="9" t="s">
        <v>2032</v>
      </c>
      <c r="E329" s="10" t="n">
        <v>92.5</v>
      </c>
      <c r="F329" s="9"/>
      <c r="G329" s="9"/>
      <c r="H329" s="9" t="s">
        <v>482</v>
      </c>
      <c r="I329" s="9" t="s">
        <v>679</v>
      </c>
      <c r="J329" s="13" t="n">
        <v>46203</v>
      </c>
      <c r="K329" s="9"/>
      <c r="L329" s="9" t="s">
        <v>2001</v>
      </c>
      <c r="M329" s="9" t="s">
        <v>2002</v>
      </c>
      <c r="N329" s="9" t="s">
        <v>2003</v>
      </c>
      <c r="O329" s="9" t="s">
        <v>82</v>
      </c>
      <c r="P329" s="9" t="s">
        <v>1129</v>
      </c>
      <c r="Q329" s="9"/>
      <c r="R329" s="9" t="s">
        <v>151</v>
      </c>
      <c r="S329" s="11" t="s">
        <v>1130</v>
      </c>
      <c r="T329" s="11" t="s">
        <v>1131</v>
      </c>
      <c r="U329" s="11" t="s">
        <v>152</v>
      </c>
      <c r="V329" s="11" t="s">
        <v>88</v>
      </c>
      <c r="W329" s="9" t="s">
        <v>2033</v>
      </c>
      <c r="X329" s="9" t="n">
        <f aca="false">IF(AND(COUNT($E329:$G329)=0,LEFT($H329,2)&lt;&gt;"定性",LEFT($H329,2)&lt;&gt;"文字",LEFT($H329,2)&lt;&gt;"日期"),1,0)</f>
        <v>0</v>
      </c>
      <c r="Y329" s="9" t="n">
        <f aca="false">IF(OR($L329="",$M329=""),1,0)</f>
        <v>0</v>
      </c>
      <c r="Z329" s="9" t="n">
        <f aca="false">IF(AND(ISNUMBER($E329),ISNUMBER($F329)),IF($F329&gt;$E329,1,0),0)+IF(AND(ISNUMBER($E329),ISNUMBER($G329)),IF($E329&gt;$G329,1,0),0)+IF(AND(ISNUMBER($F329),ISNUMBER($G329)),IF($F329&gt;$G329,1,0),0)</f>
        <v>0</v>
      </c>
      <c r="AA329" s="9" t="n">
        <f aca="false">IF(AND($P329="Derived",$V329="觀測"),1,0)</f>
        <v>0</v>
      </c>
      <c r="AB329" s="12" t="s">
        <v>90</v>
      </c>
    </row>
    <row r="330" customFormat="false" ht="15" hidden="false" customHeight="false" outlineLevel="0" collapsed="false">
      <c r="A330" s="9" t="s">
        <v>2034</v>
      </c>
      <c r="B330" s="9" t="s">
        <v>2035</v>
      </c>
      <c r="C330" s="9" t="s">
        <v>1882</v>
      </c>
      <c r="D330" s="9" t="s">
        <v>2036</v>
      </c>
      <c r="E330" s="10" t="n">
        <v>97.9</v>
      </c>
      <c r="F330" s="9"/>
      <c r="G330" s="9"/>
      <c r="H330" s="9" t="s">
        <v>482</v>
      </c>
      <c r="I330" s="9" t="s">
        <v>679</v>
      </c>
      <c r="J330" s="13" t="n">
        <v>46203</v>
      </c>
      <c r="K330" s="9"/>
      <c r="L330" s="9" t="s">
        <v>2001</v>
      </c>
      <c r="M330" s="9" t="s">
        <v>2002</v>
      </c>
      <c r="N330" s="9" t="s">
        <v>2003</v>
      </c>
      <c r="O330" s="9" t="s">
        <v>82</v>
      </c>
      <c r="P330" s="9" t="s">
        <v>1129</v>
      </c>
      <c r="Q330" s="9"/>
      <c r="R330" s="9" t="s">
        <v>151</v>
      </c>
      <c r="S330" s="11" t="s">
        <v>1130</v>
      </c>
      <c r="T330" s="11" t="s">
        <v>1131</v>
      </c>
      <c r="U330" s="11" t="s">
        <v>152</v>
      </c>
      <c r="V330" s="11" t="s">
        <v>88</v>
      </c>
      <c r="W330" s="9" t="s">
        <v>2037</v>
      </c>
      <c r="X330" s="9" t="n">
        <f aca="false">IF(AND(COUNT($E330:$G330)=0,LEFT($H330,2)&lt;&gt;"定性",LEFT($H330,2)&lt;&gt;"文字",LEFT($H330,2)&lt;&gt;"日期"),1,0)</f>
        <v>0</v>
      </c>
      <c r="Y330" s="9" t="n">
        <f aca="false">IF(OR($L330="",$M330=""),1,0)</f>
        <v>0</v>
      </c>
      <c r="Z330" s="9" t="n">
        <f aca="false">IF(AND(ISNUMBER($E330),ISNUMBER($F330)),IF($F330&gt;$E330,1,0),0)+IF(AND(ISNUMBER($E330),ISNUMBER($G330)),IF($E330&gt;$G330,1,0),0)+IF(AND(ISNUMBER($F330),ISNUMBER($G330)),IF($F330&gt;$G330,1,0),0)</f>
        <v>0</v>
      </c>
      <c r="AA330" s="9" t="n">
        <f aca="false">IF(AND($P330="Derived",$V330="觀測"),1,0)</f>
        <v>0</v>
      </c>
      <c r="AB330" s="12" t="s">
        <v>90</v>
      </c>
    </row>
    <row r="331" customFormat="false" ht="15" hidden="false" customHeight="false" outlineLevel="0" collapsed="false">
      <c r="A331" s="9" t="s">
        <v>2038</v>
      </c>
      <c r="B331" s="9" t="s">
        <v>2039</v>
      </c>
      <c r="C331" s="9" t="s">
        <v>1882</v>
      </c>
      <c r="D331" s="9" t="s">
        <v>2040</v>
      </c>
      <c r="E331" s="10" t="n">
        <v>3</v>
      </c>
      <c r="F331" s="10" t="n">
        <v>3</v>
      </c>
      <c r="G331" s="9"/>
      <c r="H331" s="9" t="s">
        <v>482</v>
      </c>
      <c r="I331" s="9" t="s">
        <v>2041</v>
      </c>
      <c r="J331" s="9"/>
      <c r="K331" s="11" t="s">
        <v>78</v>
      </c>
      <c r="L331" s="9" t="s">
        <v>2042</v>
      </c>
      <c r="M331" s="9" t="s">
        <v>2043</v>
      </c>
      <c r="N331" s="9" t="s">
        <v>2044</v>
      </c>
      <c r="O331" s="9" t="s">
        <v>82</v>
      </c>
      <c r="P331" s="9" t="s">
        <v>1129</v>
      </c>
      <c r="Q331" s="9"/>
      <c r="R331" s="9" t="s">
        <v>85</v>
      </c>
      <c r="S331" s="11" t="s">
        <v>1130</v>
      </c>
      <c r="T331" s="11" t="s">
        <v>1131</v>
      </c>
      <c r="U331" s="11" t="s">
        <v>87</v>
      </c>
      <c r="V331" s="11" t="s">
        <v>88</v>
      </c>
      <c r="W331" s="11" t="s">
        <v>2045</v>
      </c>
      <c r="X331" s="9" t="n">
        <f aca="false">IF(AND(COUNT($E331:$G331)=0,LEFT($H331,2)&lt;&gt;"定性",LEFT($H331,2)&lt;&gt;"文字",LEFT($H331,2)&lt;&gt;"日期"),1,0)</f>
        <v>0</v>
      </c>
      <c r="Y331" s="9" t="n">
        <f aca="false">IF(OR($L331="",$M331=""),1,0)</f>
        <v>0</v>
      </c>
      <c r="Z331" s="9" t="n">
        <f aca="false">IF(AND(ISNUMBER($E331),ISNUMBER($F331)),IF($F331&gt;$E331,1,0),0)+IF(AND(ISNUMBER($E331),ISNUMBER($G331)),IF($E331&gt;$G331,1,0),0)+IF(AND(ISNUMBER($F331),ISNUMBER($G331)),IF($F331&gt;$G331,1,0),0)</f>
        <v>0</v>
      </c>
      <c r="AA331" s="9" t="n">
        <f aca="false">IF(AND($P331="Derived",$V331="觀測"),1,0)</f>
        <v>0</v>
      </c>
      <c r="AB331" s="12" t="s">
        <v>90</v>
      </c>
    </row>
    <row r="332" customFormat="false" ht="15" hidden="false" customHeight="false" outlineLevel="0" collapsed="false">
      <c r="A332" s="9" t="s">
        <v>2046</v>
      </c>
      <c r="B332" s="9" t="s">
        <v>2047</v>
      </c>
      <c r="C332" s="9" t="s">
        <v>1882</v>
      </c>
      <c r="D332" s="9" t="s">
        <v>2048</v>
      </c>
      <c r="E332" s="10" t="n">
        <v>10</v>
      </c>
      <c r="F332" s="9"/>
      <c r="G332" s="9"/>
      <c r="H332" s="9" t="s">
        <v>482</v>
      </c>
      <c r="I332" s="9" t="s">
        <v>2049</v>
      </c>
      <c r="J332" s="13" t="n">
        <v>46136</v>
      </c>
      <c r="K332" s="11" t="s">
        <v>78</v>
      </c>
      <c r="L332" s="9" t="s">
        <v>2050</v>
      </c>
      <c r="M332" s="9" t="s">
        <v>2051</v>
      </c>
      <c r="N332" s="9" t="s">
        <v>2049</v>
      </c>
      <c r="O332" s="9" t="s">
        <v>82</v>
      </c>
      <c r="P332" s="9" t="s">
        <v>83</v>
      </c>
      <c r="Q332" s="9" t="s">
        <v>2052</v>
      </c>
      <c r="R332" s="9" t="s">
        <v>85</v>
      </c>
      <c r="S332" s="11" t="s">
        <v>86</v>
      </c>
      <c r="T332" s="9" t="s">
        <v>2052</v>
      </c>
      <c r="U332" s="11" t="s">
        <v>87</v>
      </c>
      <c r="V332" s="11" t="s">
        <v>88</v>
      </c>
      <c r="W332" s="11" t="s">
        <v>2053</v>
      </c>
      <c r="X332" s="9" t="n">
        <f aca="false">IF(AND(COUNT($E332:$G332)=0,LEFT($H332,2)&lt;&gt;"定性",LEFT($H332,2)&lt;&gt;"文字",LEFT($H332,2)&lt;&gt;"日期"),1,0)</f>
        <v>0</v>
      </c>
      <c r="Y332" s="9" t="n">
        <f aca="false">IF(OR($L332="",$M332=""),1,0)</f>
        <v>0</v>
      </c>
      <c r="Z332" s="9" t="n">
        <f aca="false">IF(AND(ISNUMBER($E332),ISNUMBER($F332)),IF($F332&gt;$E332,1,0),0)+IF(AND(ISNUMBER($E332),ISNUMBER($G332)),IF($E332&gt;$G332,1,0),0)+IF(AND(ISNUMBER($F332),ISNUMBER($G332)),IF($F332&gt;$G332,1,0),0)</f>
        <v>0</v>
      </c>
      <c r="AA332" s="9" t="n">
        <f aca="false">IF(AND($P332="Derived",$V332="觀測"),1,0)</f>
        <v>0</v>
      </c>
      <c r="AB332" s="12" t="s">
        <v>90</v>
      </c>
    </row>
    <row r="333" customFormat="false" ht="15" hidden="false" customHeight="false" outlineLevel="0" collapsed="false">
      <c r="A333" s="9" t="s">
        <v>2054</v>
      </c>
      <c r="B333" s="9" t="s">
        <v>2055</v>
      </c>
      <c r="C333" s="9" t="s">
        <v>1882</v>
      </c>
      <c r="D333" s="9" t="s">
        <v>2056</v>
      </c>
      <c r="E333" s="10" t="n">
        <v>30</v>
      </c>
      <c r="F333" s="10" t="n">
        <v>0</v>
      </c>
      <c r="G333" s="10" t="n">
        <v>30</v>
      </c>
      <c r="H333" s="9" t="s">
        <v>482</v>
      </c>
      <c r="I333" s="9" t="s">
        <v>2049</v>
      </c>
      <c r="J333" s="13" t="n">
        <v>46136</v>
      </c>
      <c r="K333" s="11" t="s">
        <v>78</v>
      </c>
      <c r="L333" s="9" t="s">
        <v>2057</v>
      </c>
      <c r="M333" s="9" t="s">
        <v>2051</v>
      </c>
      <c r="N333" s="9" t="s">
        <v>2049</v>
      </c>
      <c r="O333" s="9" t="s">
        <v>82</v>
      </c>
      <c r="P333" s="9" t="s">
        <v>83</v>
      </c>
      <c r="Q333" s="9" t="s">
        <v>2052</v>
      </c>
      <c r="R333" s="9" t="s">
        <v>85</v>
      </c>
      <c r="S333" s="11" t="s">
        <v>86</v>
      </c>
      <c r="T333" s="9" t="s">
        <v>2052</v>
      </c>
      <c r="U333" s="11" t="s">
        <v>87</v>
      </c>
      <c r="V333" s="11" t="s">
        <v>88</v>
      </c>
      <c r="W333" s="11" t="s">
        <v>2058</v>
      </c>
      <c r="X333" s="9" t="n">
        <f aca="false">IF(AND(COUNT($E333:$G333)=0,LEFT($H333,2)&lt;&gt;"定性",LEFT($H333,2)&lt;&gt;"文字",LEFT($H333,2)&lt;&gt;"日期"),1,0)</f>
        <v>0</v>
      </c>
      <c r="Y333" s="9" t="n">
        <f aca="false">IF(OR($L333="",$M333=""),1,0)</f>
        <v>0</v>
      </c>
      <c r="Z333" s="9" t="n">
        <f aca="false">IF(AND(ISNUMBER($E333),ISNUMBER($F333)),IF($F333&gt;$E333,1,0),0)+IF(AND(ISNUMBER($E333),ISNUMBER($G333)),IF($E333&gt;$G333,1,0),0)+IF(AND(ISNUMBER($F333),ISNUMBER($G333)),IF($F333&gt;$G333,1,0),0)</f>
        <v>0</v>
      </c>
      <c r="AA333" s="9" t="n">
        <f aca="false">IF(AND($P333="Derived",$V333="觀測"),1,0)</f>
        <v>0</v>
      </c>
      <c r="AB333" s="12" t="s">
        <v>90</v>
      </c>
    </row>
    <row r="334" customFormat="false" ht="15" hidden="false" customHeight="false" outlineLevel="0" collapsed="false">
      <c r="A334" s="9" t="s">
        <v>2059</v>
      </c>
      <c r="B334" s="9" t="s">
        <v>2060</v>
      </c>
      <c r="C334" s="9" t="s">
        <v>1882</v>
      </c>
      <c r="D334" s="9" t="s">
        <v>2061</v>
      </c>
      <c r="E334" s="10" t="n">
        <v>15</v>
      </c>
      <c r="F334" s="9"/>
      <c r="G334" s="10" t="n">
        <v>15</v>
      </c>
      <c r="H334" s="9" t="s">
        <v>482</v>
      </c>
      <c r="I334" s="9" t="s">
        <v>1273</v>
      </c>
      <c r="J334" s="13" t="n">
        <v>45979</v>
      </c>
      <c r="K334" s="11" t="s">
        <v>78</v>
      </c>
      <c r="L334" s="9" t="s">
        <v>2062</v>
      </c>
      <c r="M334" s="9" t="s">
        <v>1272</v>
      </c>
      <c r="N334" s="9" t="s">
        <v>1273</v>
      </c>
      <c r="O334" s="9" t="s">
        <v>82</v>
      </c>
      <c r="P334" s="9" t="s">
        <v>83</v>
      </c>
      <c r="Q334" s="9" t="s">
        <v>2063</v>
      </c>
      <c r="R334" s="9" t="s">
        <v>151</v>
      </c>
      <c r="S334" s="11" t="s">
        <v>86</v>
      </c>
      <c r="T334" s="9" t="s">
        <v>2063</v>
      </c>
      <c r="U334" s="11" t="s">
        <v>152</v>
      </c>
      <c r="V334" s="11" t="s">
        <v>88</v>
      </c>
      <c r="W334" s="11" t="s">
        <v>2064</v>
      </c>
      <c r="X334" s="9" t="n">
        <f aca="false">IF(AND(COUNT($E334:$G334)=0,LEFT($H334,2)&lt;&gt;"定性",LEFT($H334,2)&lt;&gt;"文字",LEFT($H334,2)&lt;&gt;"日期"),1,0)</f>
        <v>0</v>
      </c>
      <c r="Y334" s="9" t="n">
        <f aca="false">IF(OR($L334="",$M334=""),1,0)</f>
        <v>0</v>
      </c>
      <c r="Z334" s="9" t="n">
        <f aca="false">IF(AND(ISNUMBER($E334),ISNUMBER($F334)),IF($F334&gt;$E334,1,0),0)+IF(AND(ISNUMBER($E334),ISNUMBER($G334)),IF($E334&gt;$G334,1,0),0)+IF(AND(ISNUMBER($F334),ISNUMBER($G334)),IF($F334&gt;$G334,1,0),0)</f>
        <v>0</v>
      </c>
      <c r="AA334" s="9" t="n">
        <f aca="false">IF(AND($P334="Derived",$V334="觀測"),1,0)</f>
        <v>0</v>
      </c>
      <c r="AB334" s="12" t="s">
        <v>90</v>
      </c>
    </row>
    <row r="335" customFormat="false" ht="15" hidden="false" customHeight="false" outlineLevel="0" collapsed="false">
      <c r="A335" s="9" t="s">
        <v>2065</v>
      </c>
      <c r="B335" s="9" t="s">
        <v>2066</v>
      </c>
      <c r="C335" s="9" t="s">
        <v>1882</v>
      </c>
      <c r="D335" s="9" t="s">
        <v>2067</v>
      </c>
      <c r="E335" s="10" t="n">
        <v>5</v>
      </c>
      <c r="F335" s="9"/>
      <c r="G335" s="9"/>
      <c r="H335" s="9" t="s">
        <v>482</v>
      </c>
      <c r="I335" s="9" t="s">
        <v>2068</v>
      </c>
      <c r="J335" s="9"/>
      <c r="K335" s="11" t="s">
        <v>78</v>
      </c>
      <c r="L335" s="9" t="s">
        <v>2069</v>
      </c>
      <c r="M335" s="9" t="s">
        <v>2070</v>
      </c>
      <c r="N335" s="9" t="s">
        <v>2071</v>
      </c>
      <c r="O335" s="9" t="s">
        <v>82</v>
      </c>
      <c r="P335" s="9" t="s">
        <v>83</v>
      </c>
      <c r="Q335" s="11" t="s">
        <v>2072</v>
      </c>
      <c r="R335" s="9" t="s">
        <v>85</v>
      </c>
      <c r="S335" s="11" t="s">
        <v>86</v>
      </c>
      <c r="T335" s="11" t="s">
        <v>2072</v>
      </c>
      <c r="U335" s="11" t="s">
        <v>87</v>
      </c>
      <c r="V335" s="11" t="s">
        <v>88</v>
      </c>
      <c r="W335" s="11" t="s">
        <v>2073</v>
      </c>
      <c r="X335" s="9" t="n">
        <f aca="false">IF(AND(COUNT($E335:$G335)=0,LEFT($H335,2)&lt;&gt;"定性",LEFT($H335,2)&lt;&gt;"文字",LEFT($H335,2)&lt;&gt;"日期"),1,0)</f>
        <v>0</v>
      </c>
      <c r="Y335" s="9" t="n">
        <f aca="false">IF(OR($L335="",$M335=""),1,0)</f>
        <v>0</v>
      </c>
      <c r="Z335" s="9" t="n">
        <f aca="false">IF(AND(ISNUMBER($E335),ISNUMBER($F335)),IF($F335&gt;$E335,1,0),0)+IF(AND(ISNUMBER($E335),ISNUMBER($G335)),IF($E335&gt;$G335,1,0),0)+IF(AND(ISNUMBER($F335),ISNUMBER($G335)),IF($F335&gt;$G335,1,0),0)</f>
        <v>0</v>
      </c>
      <c r="AA335" s="9" t="n">
        <f aca="false">IF(AND($P335="Derived",$V335="觀測"),1,0)</f>
        <v>0</v>
      </c>
      <c r="AB335" s="12" t="s">
        <v>90</v>
      </c>
    </row>
    <row r="336" customFormat="false" ht="15" hidden="false" customHeight="false" outlineLevel="0" collapsed="false">
      <c r="A336" s="9" t="s">
        <v>2074</v>
      </c>
      <c r="B336" s="9" t="s">
        <v>2075</v>
      </c>
      <c r="C336" s="9" t="s">
        <v>1882</v>
      </c>
      <c r="D336" s="9" t="s">
        <v>2076</v>
      </c>
      <c r="E336" s="10" t="n">
        <v>5</v>
      </c>
      <c r="F336" s="9"/>
      <c r="G336" s="10" t="n">
        <v>5</v>
      </c>
      <c r="H336" s="9" t="s">
        <v>482</v>
      </c>
      <c r="I336" s="9" t="s">
        <v>847</v>
      </c>
      <c r="J336" s="9"/>
      <c r="K336" s="11" t="s">
        <v>78</v>
      </c>
      <c r="L336" s="9" t="s">
        <v>1749</v>
      </c>
      <c r="M336" s="9" t="s">
        <v>1750</v>
      </c>
      <c r="N336" s="9" t="s">
        <v>81</v>
      </c>
      <c r="O336" s="9" t="s">
        <v>82</v>
      </c>
      <c r="P336" s="9" t="s">
        <v>83</v>
      </c>
      <c r="Q336" s="9" t="s">
        <v>1751</v>
      </c>
      <c r="R336" s="9" t="s">
        <v>85</v>
      </c>
      <c r="S336" s="11" t="s">
        <v>86</v>
      </c>
      <c r="T336" s="9" t="s">
        <v>1751</v>
      </c>
      <c r="U336" s="11" t="s">
        <v>1289</v>
      </c>
      <c r="V336" s="11" t="s">
        <v>88</v>
      </c>
      <c r="W336" s="11" t="s">
        <v>2077</v>
      </c>
      <c r="X336" s="9" t="n">
        <f aca="false">IF(AND(COUNT($E336:$G336)=0,LEFT($H336,2)&lt;&gt;"定性",LEFT($H336,2)&lt;&gt;"文字",LEFT($H336,2)&lt;&gt;"日期"),1,0)</f>
        <v>0</v>
      </c>
      <c r="Y336" s="9" t="n">
        <f aca="false">IF(OR($L336="",$M336=""),1,0)</f>
        <v>0</v>
      </c>
      <c r="Z336" s="9" t="n">
        <f aca="false">IF(AND(ISNUMBER($E336),ISNUMBER($F336)),IF($F336&gt;$E336,1,0),0)+IF(AND(ISNUMBER($E336),ISNUMBER($G336)),IF($E336&gt;$G336,1,0),0)+IF(AND(ISNUMBER($F336),ISNUMBER($G336)),IF($F336&gt;$G336,1,0),0)</f>
        <v>0</v>
      </c>
      <c r="AA336" s="9" t="n">
        <f aca="false">IF(AND($P336="Derived",$V336="觀測"),1,0)</f>
        <v>0</v>
      </c>
      <c r="AB336" s="12" t="s">
        <v>90</v>
      </c>
    </row>
    <row r="337" customFormat="false" ht="15" hidden="false" customHeight="false" outlineLevel="0" collapsed="false">
      <c r="A337" s="9" t="s">
        <v>2078</v>
      </c>
      <c r="B337" s="9" t="s">
        <v>2079</v>
      </c>
      <c r="C337" s="9" t="s">
        <v>1882</v>
      </c>
      <c r="D337" s="9" t="s">
        <v>2080</v>
      </c>
      <c r="E337" s="10" t="n">
        <v>10</v>
      </c>
      <c r="F337" s="9"/>
      <c r="G337" s="10" t="n">
        <v>10</v>
      </c>
      <c r="H337" s="9" t="s">
        <v>482</v>
      </c>
      <c r="I337" s="9" t="s">
        <v>2081</v>
      </c>
      <c r="J337" s="13" t="n">
        <v>46276</v>
      </c>
      <c r="K337" s="11" t="s">
        <v>78</v>
      </c>
      <c r="L337" s="9" t="s">
        <v>2082</v>
      </c>
      <c r="M337" s="9" t="s">
        <v>2083</v>
      </c>
      <c r="N337" s="9" t="s">
        <v>399</v>
      </c>
      <c r="O337" s="9" t="s">
        <v>82</v>
      </c>
      <c r="P337" s="9" t="s">
        <v>83</v>
      </c>
      <c r="Q337" s="11" t="s">
        <v>2084</v>
      </c>
      <c r="R337" s="9" t="s">
        <v>85</v>
      </c>
      <c r="S337" s="11" t="s">
        <v>86</v>
      </c>
      <c r="T337" s="11" t="s">
        <v>2084</v>
      </c>
      <c r="U337" s="11" t="s">
        <v>87</v>
      </c>
      <c r="V337" s="11" t="s">
        <v>88</v>
      </c>
      <c r="W337" s="11" t="s">
        <v>2085</v>
      </c>
      <c r="X337" s="9" t="n">
        <f aca="false">IF(AND(COUNT($E337:$G337)=0,LEFT($H337,2)&lt;&gt;"定性",LEFT($H337,2)&lt;&gt;"文字",LEFT($H337,2)&lt;&gt;"日期"),1,0)</f>
        <v>0</v>
      </c>
      <c r="Y337" s="9" t="n">
        <f aca="false">IF(OR($L337="",$M337=""),1,0)</f>
        <v>0</v>
      </c>
      <c r="Z337" s="9" t="n">
        <f aca="false">IF(AND(ISNUMBER($E337),ISNUMBER($F337)),IF($F337&gt;$E337,1,0),0)+IF(AND(ISNUMBER($E337),ISNUMBER($G337)),IF($E337&gt;$G337,1,0),0)+IF(AND(ISNUMBER($F337),ISNUMBER($G337)),IF($F337&gt;$G337,1,0),0)</f>
        <v>0</v>
      </c>
      <c r="AA337" s="9" t="n">
        <f aca="false">IF(AND($P337="Derived",$V337="觀測"),1,0)</f>
        <v>0</v>
      </c>
      <c r="AB337" s="12" t="s">
        <v>90</v>
      </c>
    </row>
    <row r="338" customFormat="false" ht="15" hidden="false" customHeight="false" outlineLevel="0" collapsed="false">
      <c r="A338" s="9" t="s">
        <v>2086</v>
      </c>
      <c r="B338" s="9" t="s">
        <v>2087</v>
      </c>
      <c r="C338" s="9" t="s">
        <v>1882</v>
      </c>
      <c r="D338" s="9" t="s">
        <v>2088</v>
      </c>
      <c r="E338" s="10" t="n">
        <v>56.09</v>
      </c>
      <c r="F338" s="9"/>
      <c r="G338" s="9"/>
      <c r="H338" s="9" t="s">
        <v>2089</v>
      </c>
      <c r="I338" s="9" t="s">
        <v>174</v>
      </c>
      <c r="J338" s="9"/>
      <c r="K338" s="9"/>
      <c r="L338" s="9" t="s">
        <v>2090</v>
      </c>
      <c r="M338" s="9" t="s">
        <v>2091</v>
      </c>
      <c r="N338" s="9" t="s">
        <v>2092</v>
      </c>
      <c r="O338" s="9" t="s">
        <v>82</v>
      </c>
      <c r="P338" s="9" t="s">
        <v>83</v>
      </c>
      <c r="Q338" s="11" t="s">
        <v>2093</v>
      </c>
      <c r="R338" s="9" t="s">
        <v>85</v>
      </c>
      <c r="S338" s="11" t="s">
        <v>86</v>
      </c>
      <c r="T338" s="11" t="s">
        <v>2093</v>
      </c>
      <c r="U338" s="11" t="s">
        <v>87</v>
      </c>
      <c r="V338" s="11" t="s">
        <v>88</v>
      </c>
      <c r="W338" s="11" t="s">
        <v>2094</v>
      </c>
      <c r="X338" s="9" t="n">
        <f aca="false">IF(AND(COUNT($E338:$G338)=0,LEFT($H338,2)&lt;&gt;"定性",LEFT($H338,2)&lt;&gt;"文字",LEFT($H338,2)&lt;&gt;"日期"),1,0)</f>
        <v>0</v>
      </c>
      <c r="Y338" s="9" t="n">
        <f aca="false">IF(OR($L338="",$M338=""),1,0)</f>
        <v>0</v>
      </c>
      <c r="Z338" s="9" t="n">
        <f aca="false">IF(AND(ISNUMBER($E338),ISNUMBER($F338)),IF($F338&gt;$E338,1,0),0)+IF(AND(ISNUMBER($E338),ISNUMBER($G338)),IF($E338&gt;$G338,1,0),0)+IF(AND(ISNUMBER($F338),ISNUMBER($G338)),IF($F338&gt;$G338,1,0),0)</f>
        <v>0</v>
      </c>
      <c r="AA338" s="9" t="n">
        <f aca="false">IF(AND($P338="Derived",$V338="觀測"),1,0)</f>
        <v>0</v>
      </c>
      <c r="AB338" s="12" t="s">
        <v>90</v>
      </c>
    </row>
    <row r="339" customFormat="false" ht="15" hidden="false" customHeight="false" outlineLevel="0" collapsed="false">
      <c r="A339" s="9" t="s">
        <v>2095</v>
      </c>
      <c r="B339" s="9" t="s">
        <v>2096</v>
      </c>
      <c r="C339" s="9" t="s">
        <v>1882</v>
      </c>
      <c r="D339" s="9" t="s">
        <v>2097</v>
      </c>
      <c r="E339" s="9"/>
      <c r="F339" s="10" t="n">
        <v>5</v>
      </c>
      <c r="G339" s="10" t="n">
        <v>6</v>
      </c>
      <c r="H339" s="9" t="s">
        <v>482</v>
      </c>
      <c r="I339" s="9" t="s">
        <v>215</v>
      </c>
      <c r="J339" s="9"/>
      <c r="K339" s="11" t="s">
        <v>78</v>
      </c>
      <c r="L339" s="9" t="s">
        <v>2098</v>
      </c>
      <c r="M339" s="9" t="s">
        <v>2099</v>
      </c>
      <c r="N339" s="9" t="s">
        <v>2100</v>
      </c>
      <c r="O339" s="9" t="s">
        <v>82</v>
      </c>
      <c r="P339" s="9" t="s">
        <v>83</v>
      </c>
      <c r="Q339" s="11" t="s">
        <v>2093</v>
      </c>
      <c r="R339" s="9" t="s">
        <v>85</v>
      </c>
      <c r="S339" s="11" t="s">
        <v>86</v>
      </c>
      <c r="T339" s="11" t="s">
        <v>2093</v>
      </c>
      <c r="U339" s="11" t="s">
        <v>87</v>
      </c>
      <c r="V339" s="11" t="s">
        <v>88</v>
      </c>
      <c r="W339" s="11" t="s">
        <v>2101</v>
      </c>
      <c r="X339" s="9" t="n">
        <f aca="false">IF(AND(COUNT($E339:$G339)=0,LEFT($H339,2)&lt;&gt;"定性",LEFT($H339,2)&lt;&gt;"文字",LEFT($H339,2)&lt;&gt;"日期"),1,0)</f>
        <v>0</v>
      </c>
      <c r="Y339" s="9" t="n">
        <f aca="false">IF(OR($L339="",$M339=""),1,0)</f>
        <v>0</v>
      </c>
      <c r="Z339" s="9" t="n">
        <f aca="false">IF(AND(ISNUMBER($E339),ISNUMBER($F339)),IF($F339&gt;$E339,1,0),0)+IF(AND(ISNUMBER($E339),ISNUMBER($G339)),IF($E339&gt;$G339,1,0),0)+IF(AND(ISNUMBER($F339),ISNUMBER($G339)),IF($F339&gt;$G339,1,0),0)</f>
        <v>0</v>
      </c>
      <c r="AA339" s="9" t="n">
        <f aca="false">IF(AND($P339="Derived",$V339="觀測"),1,0)</f>
        <v>0</v>
      </c>
      <c r="AB339" s="12" t="s">
        <v>90</v>
      </c>
    </row>
    <row r="340" customFormat="false" ht="15" hidden="false" customHeight="false" outlineLevel="0" collapsed="false">
      <c r="A340" s="9" t="s">
        <v>2102</v>
      </c>
      <c r="B340" s="9" t="s">
        <v>2103</v>
      </c>
      <c r="C340" s="9" t="s">
        <v>1882</v>
      </c>
      <c r="D340" s="9" t="s">
        <v>2104</v>
      </c>
      <c r="E340" s="9"/>
      <c r="F340" s="9"/>
      <c r="G340" s="10" t="n">
        <v>6</v>
      </c>
      <c r="H340" s="9" t="s">
        <v>482</v>
      </c>
      <c r="I340" s="9" t="s">
        <v>229</v>
      </c>
      <c r="J340" s="9"/>
      <c r="K340" s="11" t="s">
        <v>78</v>
      </c>
      <c r="L340" s="9" t="s">
        <v>2105</v>
      </c>
      <c r="M340" s="9" t="s">
        <v>2106</v>
      </c>
      <c r="N340" s="9" t="s">
        <v>2107</v>
      </c>
      <c r="O340" s="9" t="s">
        <v>82</v>
      </c>
      <c r="P340" s="9" t="s">
        <v>83</v>
      </c>
      <c r="Q340" s="11" t="s">
        <v>2108</v>
      </c>
      <c r="R340" s="9" t="s">
        <v>85</v>
      </c>
      <c r="S340" s="11" t="s">
        <v>86</v>
      </c>
      <c r="T340" s="11" t="s">
        <v>2108</v>
      </c>
      <c r="U340" s="11" t="s">
        <v>87</v>
      </c>
      <c r="V340" s="11" t="s">
        <v>88</v>
      </c>
      <c r="W340" s="11" t="s">
        <v>2109</v>
      </c>
      <c r="X340" s="9" t="n">
        <f aca="false">IF(AND(COUNT($E340:$G340)=0,LEFT($H340,2)&lt;&gt;"定性",LEFT($H340,2)&lt;&gt;"文字",LEFT($H340,2)&lt;&gt;"日期"),1,0)</f>
        <v>0</v>
      </c>
      <c r="Y340" s="9" t="n">
        <f aca="false">IF(OR($L340="",$M340=""),1,0)</f>
        <v>0</v>
      </c>
      <c r="Z340" s="9" t="n">
        <f aca="false">IF(AND(ISNUMBER($E340),ISNUMBER($F340)),IF($F340&gt;$E340,1,0),0)+IF(AND(ISNUMBER($E340),ISNUMBER($G340)),IF($E340&gt;$G340,1,0),0)+IF(AND(ISNUMBER($F340),ISNUMBER($G340)),IF($F340&gt;$G340,1,0),0)</f>
        <v>0</v>
      </c>
      <c r="AA340" s="9" t="n">
        <f aca="false">IF(AND($P340="Derived",$V340="觀測"),1,0)</f>
        <v>0</v>
      </c>
      <c r="AB340" s="12" t="s">
        <v>90</v>
      </c>
    </row>
    <row r="341" customFormat="false" ht="15" hidden="false" customHeight="false" outlineLevel="0" collapsed="false">
      <c r="A341" s="9" t="s">
        <v>2110</v>
      </c>
      <c r="B341" s="9" t="s">
        <v>2111</v>
      </c>
      <c r="C341" s="9" t="s">
        <v>1882</v>
      </c>
      <c r="D341" s="9" t="s">
        <v>2112</v>
      </c>
      <c r="E341" s="10" t="n">
        <v>0.45</v>
      </c>
      <c r="F341" s="9"/>
      <c r="G341" s="9"/>
      <c r="H341" s="9" t="s">
        <v>482</v>
      </c>
      <c r="I341" s="9" t="s">
        <v>2113</v>
      </c>
      <c r="J341" s="13" t="n">
        <v>45069</v>
      </c>
      <c r="K341" s="11" t="s">
        <v>78</v>
      </c>
      <c r="L341" s="9" t="s">
        <v>2114</v>
      </c>
      <c r="M341" s="9" t="s">
        <v>2115</v>
      </c>
      <c r="N341" s="9" t="s">
        <v>2113</v>
      </c>
      <c r="O341" s="9" t="s">
        <v>82</v>
      </c>
      <c r="P341" s="9" t="s">
        <v>83</v>
      </c>
      <c r="Q341" s="9" t="s">
        <v>150</v>
      </c>
      <c r="R341" s="9" t="s">
        <v>151</v>
      </c>
      <c r="S341" s="11" t="s">
        <v>86</v>
      </c>
      <c r="T341" s="9" t="s">
        <v>150</v>
      </c>
      <c r="U341" s="11" t="s">
        <v>152</v>
      </c>
      <c r="V341" s="11" t="s">
        <v>88</v>
      </c>
      <c r="W341" s="11" t="s">
        <v>2116</v>
      </c>
      <c r="X341" s="9" t="n">
        <f aca="false">IF(AND(COUNT($E341:$G341)=0,LEFT($H341,2)&lt;&gt;"定性",LEFT($H341,2)&lt;&gt;"文字",LEFT($H341,2)&lt;&gt;"日期"),1,0)</f>
        <v>0</v>
      </c>
      <c r="Y341" s="9" t="n">
        <f aca="false">IF(OR($L341="",$M341=""),1,0)</f>
        <v>0</v>
      </c>
      <c r="Z341" s="9" t="n">
        <f aca="false">IF(AND(ISNUMBER($E341),ISNUMBER($F341)),IF($F341&gt;$E341,1,0),0)+IF(AND(ISNUMBER($E341),ISNUMBER($G341)),IF($E341&gt;$G341,1,0),0)+IF(AND(ISNUMBER($F341),ISNUMBER($G341)),IF($F341&gt;$G341,1,0),0)</f>
        <v>0</v>
      </c>
      <c r="AA341" s="9" t="n">
        <f aca="false">IF(AND($P341="Derived",$V341="觀測"),1,0)</f>
        <v>0</v>
      </c>
      <c r="AB341" s="12" t="s">
        <v>90</v>
      </c>
    </row>
    <row r="342" customFormat="false" ht="15" hidden="false" customHeight="false" outlineLevel="0" collapsed="false">
      <c r="A342" s="9" t="s">
        <v>2117</v>
      </c>
      <c r="B342" s="9" t="s">
        <v>2118</v>
      </c>
      <c r="C342" s="9" t="s">
        <v>1882</v>
      </c>
      <c r="D342" s="9" t="s">
        <v>2119</v>
      </c>
      <c r="E342" s="10" t="n">
        <v>0.75</v>
      </c>
      <c r="F342" s="9"/>
      <c r="G342" s="9"/>
      <c r="H342" s="9" t="s">
        <v>482</v>
      </c>
      <c r="I342" s="9" t="s">
        <v>2120</v>
      </c>
      <c r="J342" s="9"/>
      <c r="K342" s="11" t="s">
        <v>78</v>
      </c>
      <c r="L342" s="9" t="s">
        <v>2121</v>
      </c>
      <c r="M342" s="9" t="s">
        <v>2122</v>
      </c>
      <c r="N342" s="9" t="s">
        <v>2123</v>
      </c>
      <c r="O342" s="9" t="s">
        <v>82</v>
      </c>
      <c r="P342" s="9" t="s">
        <v>83</v>
      </c>
      <c r="Q342" s="11" t="s">
        <v>1946</v>
      </c>
      <c r="R342" s="9" t="s">
        <v>85</v>
      </c>
      <c r="S342" s="11" t="s">
        <v>86</v>
      </c>
      <c r="T342" s="11" t="s">
        <v>1946</v>
      </c>
      <c r="U342" s="11" t="s">
        <v>87</v>
      </c>
      <c r="V342" s="11" t="s">
        <v>88</v>
      </c>
      <c r="W342" s="11" t="s">
        <v>2124</v>
      </c>
      <c r="X342" s="9" t="n">
        <f aca="false">IF(AND(COUNT($E342:$G342)=0,LEFT($H342,2)&lt;&gt;"定性",LEFT($H342,2)&lt;&gt;"文字",LEFT($H342,2)&lt;&gt;"日期"),1,0)</f>
        <v>0</v>
      </c>
      <c r="Y342" s="9" t="n">
        <f aca="false">IF(OR($L342="",$M342=""),1,0)</f>
        <v>0</v>
      </c>
      <c r="Z342" s="9" t="n">
        <f aca="false">IF(AND(ISNUMBER($E342),ISNUMBER($F342)),IF($F342&gt;$E342,1,0),0)+IF(AND(ISNUMBER($E342),ISNUMBER($G342)),IF($E342&gt;$G342,1,0),0)+IF(AND(ISNUMBER($F342),ISNUMBER($G342)),IF($F342&gt;$G342,1,0),0)</f>
        <v>0</v>
      </c>
      <c r="AA342" s="9" t="n">
        <f aca="false">IF(AND($P342="Derived",$V342="觀測"),1,0)</f>
        <v>0</v>
      </c>
      <c r="AB342" s="12" t="s">
        <v>90</v>
      </c>
    </row>
    <row r="343" customFormat="false" ht="15" hidden="false" customHeight="false" outlineLevel="0" collapsed="false">
      <c r="A343" s="9" t="s">
        <v>2125</v>
      </c>
      <c r="B343" s="9" t="s">
        <v>2126</v>
      </c>
      <c r="C343" s="9" t="s">
        <v>1882</v>
      </c>
      <c r="D343" s="11" t="s">
        <v>2127</v>
      </c>
      <c r="E343" s="10" t="n">
        <v>1000</v>
      </c>
      <c r="F343" s="10" t="n">
        <v>960</v>
      </c>
      <c r="G343" s="10" t="n">
        <v>1150</v>
      </c>
      <c r="H343" s="9" t="s">
        <v>482</v>
      </c>
      <c r="I343" s="9" t="s">
        <v>229</v>
      </c>
      <c r="J343" s="9"/>
      <c r="K343" s="9"/>
      <c r="L343" s="9" t="s">
        <v>2128</v>
      </c>
      <c r="M343" s="9" t="s">
        <v>2129</v>
      </c>
      <c r="N343" s="9" t="s">
        <v>2130</v>
      </c>
      <c r="O343" s="9" t="s">
        <v>82</v>
      </c>
      <c r="P343" s="9" t="s">
        <v>299</v>
      </c>
      <c r="Q343" s="9"/>
      <c r="R343" s="9" t="s">
        <v>85</v>
      </c>
      <c r="S343" s="11" t="s">
        <v>300</v>
      </c>
      <c r="T343" s="11" t="s">
        <v>301</v>
      </c>
      <c r="U343" s="11" t="s">
        <v>87</v>
      </c>
      <c r="V343" s="11" t="s">
        <v>88</v>
      </c>
      <c r="W343" s="11" t="s">
        <v>2131</v>
      </c>
      <c r="X343" s="9" t="n">
        <f aca="false">IF(AND(COUNT($E343:$G343)=0,LEFT($H343,2)&lt;&gt;"定性",LEFT($H343,2)&lt;&gt;"文字",LEFT($H343,2)&lt;&gt;"日期"),1,0)</f>
        <v>0</v>
      </c>
      <c r="Y343" s="9" t="n">
        <f aca="false">IF(OR($L343="",$M343=""),1,0)</f>
        <v>0</v>
      </c>
      <c r="Z343" s="9" t="n">
        <f aca="false">IF(AND(ISNUMBER($E343),ISNUMBER($F343)),IF($F343&gt;$E343,1,0),0)+IF(AND(ISNUMBER($E343),ISNUMBER($G343)),IF($E343&gt;$G343,1,0),0)+IF(AND(ISNUMBER($F343),ISNUMBER($G343)),IF($F343&gt;$G343,1,0),0)</f>
        <v>0</v>
      </c>
      <c r="AA343" s="9" t="n">
        <f aca="false">IF(AND($P343="Derived",$V343="觀測"),1,0)</f>
        <v>0</v>
      </c>
      <c r="AB343" s="12" t="s">
        <v>90</v>
      </c>
    </row>
    <row r="344" customFormat="false" ht="15" hidden="false" customHeight="false" outlineLevel="0" collapsed="false">
      <c r="A344" s="9" t="s">
        <v>2132</v>
      </c>
      <c r="B344" s="9" t="s">
        <v>2133</v>
      </c>
      <c r="C344" s="9" t="s">
        <v>1882</v>
      </c>
      <c r="D344" s="9" t="s">
        <v>2134</v>
      </c>
      <c r="E344" s="9"/>
      <c r="F344" s="9"/>
      <c r="G344" s="9"/>
      <c r="H344" s="11" t="s">
        <v>1899</v>
      </c>
      <c r="I344" s="9" t="s">
        <v>2135</v>
      </c>
      <c r="J344" s="9"/>
      <c r="K344" s="9"/>
      <c r="L344" s="9" t="s">
        <v>2136</v>
      </c>
      <c r="M344" s="9" t="s">
        <v>2137</v>
      </c>
      <c r="N344" s="9" t="s">
        <v>2138</v>
      </c>
      <c r="O344" s="9" t="s">
        <v>82</v>
      </c>
      <c r="P344" s="9" t="s">
        <v>83</v>
      </c>
      <c r="Q344" s="11" t="s">
        <v>2139</v>
      </c>
      <c r="R344" s="9" t="s">
        <v>85</v>
      </c>
      <c r="S344" s="11" t="s">
        <v>86</v>
      </c>
      <c r="T344" s="11" t="s">
        <v>2139</v>
      </c>
      <c r="U344" s="11" t="s">
        <v>87</v>
      </c>
      <c r="V344" s="11" t="s">
        <v>88</v>
      </c>
      <c r="W344" s="11" t="s">
        <v>2140</v>
      </c>
      <c r="X344" s="9" t="n">
        <f aca="false">IF(AND(COUNT($E344:$G344)=0,LEFT($H344,2)&lt;&gt;"定性",LEFT($H344,2)&lt;&gt;"文字",LEFT($H344,2)&lt;&gt;"日期"),1,0)</f>
        <v>0</v>
      </c>
      <c r="Y344" s="9" t="n">
        <f aca="false">IF(OR($L344="",$M344=""),1,0)</f>
        <v>0</v>
      </c>
      <c r="Z344" s="9" t="n">
        <f aca="false">IF(AND(ISNUMBER($E344),ISNUMBER($F344)),IF($F344&gt;$E344,1,0),0)+IF(AND(ISNUMBER($E344),ISNUMBER($G344)),IF($E344&gt;$G344,1,0),0)+IF(AND(ISNUMBER($F344),ISNUMBER($G344)),IF($F344&gt;$G344,1,0),0)</f>
        <v>0</v>
      </c>
      <c r="AA344" s="9" t="n">
        <f aca="false">IF(AND($P344="Derived",$V344="觀測"),1,0)</f>
        <v>0</v>
      </c>
      <c r="AB344" s="12" t="s">
        <v>90</v>
      </c>
    </row>
    <row r="345" customFormat="false" ht="15" hidden="false" customHeight="false" outlineLevel="0" collapsed="false">
      <c r="A345" s="9" t="s">
        <v>2141</v>
      </c>
      <c r="B345" s="9" t="s">
        <v>2142</v>
      </c>
      <c r="C345" s="9" t="s">
        <v>1882</v>
      </c>
      <c r="D345" s="9" t="s">
        <v>2143</v>
      </c>
      <c r="E345" s="10" t="n">
        <v>100</v>
      </c>
      <c r="F345" s="9"/>
      <c r="G345" s="10" t="n">
        <v>100</v>
      </c>
      <c r="H345" s="9" t="s">
        <v>482</v>
      </c>
      <c r="I345" s="9" t="s">
        <v>2135</v>
      </c>
      <c r="J345" s="9"/>
      <c r="K345" s="11" t="s">
        <v>78</v>
      </c>
      <c r="L345" s="9" t="s">
        <v>2144</v>
      </c>
      <c r="M345" s="9" t="s">
        <v>2137</v>
      </c>
      <c r="N345" s="9" t="s">
        <v>2138</v>
      </c>
      <c r="O345" s="9" t="s">
        <v>82</v>
      </c>
      <c r="P345" s="9" t="s">
        <v>83</v>
      </c>
      <c r="Q345" s="11" t="s">
        <v>1946</v>
      </c>
      <c r="R345" s="9" t="s">
        <v>85</v>
      </c>
      <c r="S345" s="11" t="s">
        <v>86</v>
      </c>
      <c r="T345" s="11" t="s">
        <v>1946</v>
      </c>
      <c r="U345" s="11" t="s">
        <v>87</v>
      </c>
      <c r="V345" s="11" t="s">
        <v>88</v>
      </c>
      <c r="W345" s="11" t="s">
        <v>2145</v>
      </c>
      <c r="X345" s="9" t="n">
        <f aca="false">IF(AND(COUNT($E345:$G345)=0,LEFT($H345,2)&lt;&gt;"定性",LEFT($H345,2)&lt;&gt;"文字",LEFT($H345,2)&lt;&gt;"日期"),1,0)</f>
        <v>0</v>
      </c>
      <c r="Y345" s="9" t="n">
        <f aca="false">IF(OR($L345="",$M345=""),1,0)</f>
        <v>0</v>
      </c>
      <c r="Z345" s="9" t="n">
        <f aca="false">IF(AND(ISNUMBER($E345),ISNUMBER($F345)),IF($F345&gt;$E345,1,0),0)+IF(AND(ISNUMBER($E345),ISNUMBER($G345)),IF($E345&gt;$G345,1,0),0)+IF(AND(ISNUMBER($F345),ISNUMBER($G345)),IF($F345&gt;$G345,1,0),0)</f>
        <v>0</v>
      </c>
      <c r="AA345" s="9" t="n">
        <f aca="false">IF(AND($P345="Derived",$V345="觀測"),1,0)</f>
        <v>0</v>
      </c>
      <c r="AB345" s="12" t="s">
        <v>90</v>
      </c>
    </row>
    <row r="346" customFormat="false" ht="15" hidden="false" customHeight="false" outlineLevel="0" collapsed="false">
      <c r="A346" s="9" t="s">
        <v>2146</v>
      </c>
      <c r="B346" s="9" t="s">
        <v>2147</v>
      </c>
      <c r="C346" s="9" t="s">
        <v>1882</v>
      </c>
      <c r="D346" s="9" t="s">
        <v>2148</v>
      </c>
      <c r="E346" s="9"/>
      <c r="F346" s="10" t="n">
        <v>1800</v>
      </c>
      <c r="G346" s="10" t="n">
        <v>2000</v>
      </c>
      <c r="H346" s="9" t="s">
        <v>482</v>
      </c>
      <c r="I346" s="9" t="s">
        <v>2135</v>
      </c>
      <c r="J346" s="9"/>
      <c r="K346" s="9"/>
      <c r="L346" s="9" t="s">
        <v>2144</v>
      </c>
      <c r="M346" s="9" t="s">
        <v>2137</v>
      </c>
      <c r="N346" s="9" t="s">
        <v>2138</v>
      </c>
      <c r="O346" s="9" t="s">
        <v>82</v>
      </c>
      <c r="P346" s="9" t="s">
        <v>83</v>
      </c>
      <c r="Q346" s="11" t="s">
        <v>2149</v>
      </c>
      <c r="R346" s="9" t="s">
        <v>85</v>
      </c>
      <c r="S346" s="11" t="s">
        <v>86</v>
      </c>
      <c r="T346" s="11" t="s">
        <v>2149</v>
      </c>
      <c r="U346" s="11" t="s">
        <v>87</v>
      </c>
      <c r="V346" s="11" t="s">
        <v>88</v>
      </c>
      <c r="W346" s="11" t="s">
        <v>2150</v>
      </c>
      <c r="X346" s="9" t="n">
        <f aca="false">IF(AND(COUNT($E346:$G346)=0,LEFT($H346,2)&lt;&gt;"定性",LEFT($H346,2)&lt;&gt;"文字",LEFT($H346,2)&lt;&gt;"日期"),1,0)</f>
        <v>0</v>
      </c>
      <c r="Y346" s="9" t="n">
        <f aca="false">IF(OR($L346="",$M346=""),1,0)</f>
        <v>0</v>
      </c>
      <c r="Z346" s="9" t="n">
        <f aca="false">IF(AND(ISNUMBER($E346),ISNUMBER($F346)),IF($F346&gt;$E346,1,0),0)+IF(AND(ISNUMBER($E346),ISNUMBER($G346)),IF($E346&gt;$G346,1,0),0)+IF(AND(ISNUMBER($F346),ISNUMBER($G346)),IF($F346&gt;$G346,1,0),0)</f>
        <v>0</v>
      </c>
      <c r="AA346" s="9" t="n">
        <f aca="false">IF(AND($P346="Derived",$V346="觀測"),1,0)</f>
        <v>0</v>
      </c>
      <c r="AB346" s="12" t="s">
        <v>90</v>
      </c>
    </row>
    <row r="347" customFormat="false" ht="15" hidden="false" customHeight="false" outlineLevel="0" collapsed="false">
      <c r="A347" s="9" t="s">
        <v>2151</v>
      </c>
      <c r="B347" s="9" t="s">
        <v>2152</v>
      </c>
      <c r="C347" s="9" t="s">
        <v>1882</v>
      </c>
      <c r="D347" s="11" t="s">
        <v>2153</v>
      </c>
      <c r="E347" s="9"/>
      <c r="F347" s="9"/>
      <c r="G347" s="9"/>
      <c r="H347" s="11" t="s">
        <v>1899</v>
      </c>
      <c r="I347" s="9" t="s">
        <v>709</v>
      </c>
      <c r="J347" s="13" t="n">
        <v>46287</v>
      </c>
      <c r="K347" s="9"/>
      <c r="L347" s="9" t="s">
        <v>2154</v>
      </c>
      <c r="M347" s="9" t="s">
        <v>2155</v>
      </c>
      <c r="N347" s="9" t="s">
        <v>709</v>
      </c>
      <c r="O347" s="9" t="s">
        <v>82</v>
      </c>
      <c r="P347" s="9" t="s">
        <v>83</v>
      </c>
      <c r="Q347" s="11" t="s">
        <v>2156</v>
      </c>
      <c r="R347" s="11" t="s">
        <v>103</v>
      </c>
      <c r="S347" s="11" t="s">
        <v>86</v>
      </c>
      <c r="T347" s="11" t="s">
        <v>2156</v>
      </c>
      <c r="U347" s="11" t="s">
        <v>103</v>
      </c>
      <c r="V347" s="11" t="s">
        <v>88</v>
      </c>
      <c r="W347" s="11" t="s">
        <v>2157</v>
      </c>
      <c r="X347" s="9" t="n">
        <f aca="false">IF(AND(COUNT($E347:$G347)=0,LEFT($H347,2)&lt;&gt;"定性",LEFT($H347,2)&lt;&gt;"文字",LEFT($H347,2)&lt;&gt;"日期"),1,0)</f>
        <v>0</v>
      </c>
      <c r="Y347" s="9" t="n">
        <f aca="false">IF(OR($L347="",$M347=""),1,0)</f>
        <v>0</v>
      </c>
      <c r="Z347" s="9" t="n">
        <f aca="false">IF(AND(ISNUMBER($E347),ISNUMBER($F347)),IF($F347&gt;$E347,1,0),0)+IF(AND(ISNUMBER($E347),ISNUMBER($G347)),IF($E347&gt;$G347,1,0),0)+IF(AND(ISNUMBER($F347),ISNUMBER($G347)),IF($F347&gt;$G347,1,0),0)</f>
        <v>0</v>
      </c>
      <c r="AA347" s="9" t="n">
        <f aca="false">IF(AND($P347="Derived",$V347="觀測"),1,0)</f>
        <v>0</v>
      </c>
      <c r="AB347" s="12" t="s">
        <v>90</v>
      </c>
    </row>
    <row r="348" customFormat="false" ht="15" hidden="false" customHeight="false" outlineLevel="0" collapsed="false">
      <c r="A348" s="9" t="s">
        <v>2158</v>
      </c>
      <c r="B348" s="9" t="s">
        <v>2159</v>
      </c>
      <c r="C348" s="9" t="s">
        <v>1882</v>
      </c>
      <c r="D348" s="11" t="s">
        <v>2160</v>
      </c>
      <c r="E348" s="10" t="n">
        <v>15</v>
      </c>
      <c r="F348" s="10" t="n">
        <v>10</v>
      </c>
      <c r="G348" s="10" t="n">
        <v>15</v>
      </c>
      <c r="H348" s="9" t="s">
        <v>482</v>
      </c>
      <c r="I348" s="9" t="s">
        <v>2161</v>
      </c>
      <c r="J348" s="13" t="n">
        <v>46268</v>
      </c>
      <c r="K348" s="11" t="s">
        <v>78</v>
      </c>
      <c r="L348" s="9" t="s">
        <v>2162</v>
      </c>
      <c r="M348" s="9" t="s">
        <v>2163</v>
      </c>
      <c r="N348" s="9" t="s">
        <v>2164</v>
      </c>
      <c r="O348" s="9" t="s">
        <v>82</v>
      </c>
      <c r="P348" s="9" t="s">
        <v>83</v>
      </c>
      <c r="Q348" s="11" t="s">
        <v>1853</v>
      </c>
      <c r="R348" s="9" t="s">
        <v>85</v>
      </c>
      <c r="S348" s="11" t="s">
        <v>86</v>
      </c>
      <c r="T348" s="11" t="s">
        <v>1853</v>
      </c>
      <c r="U348" s="11" t="s">
        <v>87</v>
      </c>
      <c r="V348" s="11" t="s">
        <v>88</v>
      </c>
      <c r="W348" s="11" t="s">
        <v>2165</v>
      </c>
      <c r="X348" s="9" t="n">
        <f aca="false">IF(AND(COUNT($E348:$G348)=0,LEFT($H348,2)&lt;&gt;"定性",LEFT($H348,2)&lt;&gt;"文字",LEFT($H348,2)&lt;&gt;"日期"),1,0)</f>
        <v>0</v>
      </c>
      <c r="Y348" s="9" t="n">
        <f aca="false">IF(OR($L348="",$M348=""),1,0)</f>
        <v>0</v>
      </c>
      <c r="Z348" s="9" t="n">
        <f aca="false">IF(AND(ISNUMBER($E348),ISNUMBER($F348)),IF($F348&gt;$E348,1,0),0)+IF(AND(ISNUMBER($E348),ISNUMBER($G348)),IF($E348&gt;$G348,1,0),0)+IF(AND(ISNUMBER($F348),ISNUMBER($G348)),IF($F348&gt;$G348,1,0),0)</f>
        <v>0</v>
      </c>
      <c r="AA348" s="9" t="n">
        <f aca="false">IF(AND($P348="Derived",$V348="觀測"),1,0)</f>
        <v>0</v>
      </c>
      <c r="AB348" s="12" t="s">
        <v>90</v>
      </c>
    </row>
    <row r="349" customFormat="false" ht="15" hidden="false" customHeight="false" outlineLevel="0" collapsed="false">
      <c r="A349" s="9" t="s">
        <v>2166</v>
      </c>
      <c r="B349" s="9" t="s">
        <v>2167</v>
      </c>
      <c r="C349" s="9" t="s">
        <v>1882</v>
      </c>
      <c r="D349" s="11" t="s">
        <v>2168</v>
      </c>
      <c r="E349" s="10" t="n">
        <v>0.19</v>
      </c>
      <c r="F349" s="9"/>
      <c r="G349" s="9"/>
      <c r="H349" s="11" t="s">
        <v>269</v>
      </c>
      <c r="I349" s="9" t="s">
        <v>847</v>
      </c>
      <c r="J349" s="9"/>
      <c r="K349" s="9"/>
      <c r="L349" s="9" t="s">
        <v>2169</v>
      </c>
      <c r="M349" s="9" t="s">
        <v>2170</v>
      </c>
      <c r="N349" s="9" t="s">
        <v>81</v>
      </c>
      <c r="O349" s="9" t="s">
        <v>82</v>
      </c>
      <c r="P349" s="9" t="s">
        <v>83</v>
      </c>
      <c r="Q349" s="9" t="s">
        <v>2171</v>
      </c>
      <c r="R349" s="11" t="s">
        <v>103</v>
      </c>
      <c r="S349" s="11" t="s">
        <v>86</v>
      </c>
      <c r="T349" s="9" t="s">
        <v>2171</v>
      </c>
      <c r="U349" s="11" t="s">
        <v>103</v>
      </c>
      <c r="V349" s="11" t="s">
        <v>88</v>
      </c>
      <c r="W349" s="11" t="s">
        <v>2172</v>
      </c>
      <c r="X349" s="9" t="n">
        <f aca="false">IF(AND(COUNT($E349:$G349)=0,LEFT($H349,2)&lt;&gt;"定性",LEFT($H349,2)&lt;&gt;"文字",LEFT($H349,2)&lt;&gt;"日期"),1,0)</f>
        <v>0</v>
      </c>
      <c r="Y349" s="9" t="n">
        <f aca="false">IF(OR($L349="",$M349=""),1,0)</f>
        <v>0</v>
      </c>
      <c r="Z349" s="9" t="n">
        <f aca="false">IF(AND(ISNUMBER($E349),ISNUMBER($F349)),IF($F349&gt;$E349,1,0),0)+IF(AND(ISNUMBER($E349),ISNUMBER($G349)),IF($E349&gt;$G349,1,0),0)+IF(AND(ISNUMBER($F349),ISNUMBER($G349)),IF($F349&gt;$G349,1,0),0)</f>
        <v>0</v>
      </c>
      <c r="AA349" s="9" t="n">
        <f aca="false">IF(AND($P349="Derived",$V349="觀測"),1,0)</f>
        <v>0</v>
      </c>
      <c r="AB349" s="12" t="s">
        <v>90</v>
      </c>
    </row>
    <row r="350" customFormat="false" ht="15" hidden="false" customHeight="false" outlineLevel="0" collapsed="false">
      <c r="A350" s="9" t="s">
        <v>2173</v>
      </c>
      <c r="B350" s="9" t="s">
        <v>2174</v>
      </c>
      <c r="C350" s="9" t="s">
        <v>2175</v>
      </c>
      <c r="D350" s="9" t="s">
        <v>2176</v>
      </c>
      <c r="E350" s="10" t="n">
        <v>0.56</v>
      </c>
      <c r="F350" s="9"/>
      <c r="G350" s="9"/>
      <c r="H350" s="9" t="s">
        <v>1788</v>
      </c>
      <c r="I350" s="9" t="s">
        <v>121</v>
      </c>
      <c r="J350" s="9"/>
      <c r="K350" s="9"/>
      <c r="L350" s="9" t="s">
        <v>1789</v>
      </c>
      <c r="M350" s="9" t="s">
        <v>1790</v>
      </c>
      <c r="N350" s="9" t="s">
        <v>414</v>
      </c>
      <c r="O350" s="9" t="s">
        <v>82</v>
      </c>
      <c r="P350" s="9" t="s">
        <v>83</v>
      </c>
      <c r="Q350" s="9" t="s">
        <v>1791</v>
      </c>
      <c r="R350" s="9" t="s">
        <v>85</v>
      </c>
      <c r="S350" s="11" t="s">
        <v>86</v>
      </c>
      <c r="T350" s="9" t="s">
        <v>1791</v>
      </c>
      <c r="U350" s="11" t="s">
        <v>87</v>
      </c>
      <c r="V350" s="11" t="s">
        <v>88</v>
      </c>
      <c r="W350" s="11" t="s">
        <v>2177</v>
      </c>
      <c r="X350" s="9" t="n">
        <f aca="false">IF(AND(COUNT($E350:$G350)=0,LEFT($H350,2)&lt;&gt;"定性",LEFT($H350,2)&lt;&gt;"文字",LEFT($H350,2)&lt;&gt;"日期"),1,0)</f>
        <v>0</v>
      </c>
      <c r="Y350" s="9" t="n">
        <f aca="false">IF(OR($L350="",$M350=""),1,0)</f>
        <v>0</v>
      </c>
      <c r="Z350" s="9" t="n">
        <f aca="false">IF(AND(ISNUMBER($E350),ISNUMBER($F350)),IF($F350&gt;$E350,1,0),0)+IF(AND(ISNUMBER($E350),ISNUMBER($G350)),IF($E350&gt;$G350,1,0),0)+IF(AND(ISNUMBER($F350),ISNUMBER($G350)),IF($F350&gt;$G350,1,0),0)</f>
        <v>0</v>
      </c>
      <c r="AA350" s="9" t="n">
        <f aca="false">IF(AND($P350="Derived",$V350="觀測"),1,0)</f>
        <v>0</v>
      </c>
      <c r="AB350" s="12" t="s">
        <v>90</v>
      </c>
    </row>
    <row r="351" customFormat="false" ht="15" hidden="false" customHeight="false" outlineLevel="0" collapsed="false">
      <c r="A351" s="9" t="s">
        <v>2178</v>
      </c>
      <c r="B351" s="9" t="s">
        <v>2179</v>
      </c>
      <c r="C351" s="9" t="s">
        <v>2175</v>
      </c>
      <c r="D351" s="9" t="s">
        <v>2180</v>
      </c>
      <c r="E351" s="10" t="n">
        <v>10.9</v>
      </c>
      <c r="F351" s="9"/>
      <c r="G351" s="9"/>
      <c r="H351" s="9" t="s">
        <v>482</v>
      </c>
      <c r="I351" s="9" t="s">
        <v>121</v>
      </c>
      <c r="J351" s="9"/>
      <c r="K351" s="9"/>
      <c r="L351" s="9" t="s">
        <v>1789</v>
      </c>
      <c r="M351" s="9" t="s">
        <v>1790</v>
      </c>
      <c r="N351" s="9" t="s">
        <v>414</v>
      </c>
      <c r="O351" s="9" t="s">
        <v>82</v>
      </c>
      <c r="P351" s="9" t="s">
        <v>83</v>
      </c>
      <c r="Q351" s="9" t="s">
        <v>1791</v>
      </c>
      <c r="R351" s="9" t="s">
        <v>85</v>
      </c>
      <c r="S351" s="11" t="s">
        <v>86</v>
      </c>
      <c r="T351" s="9" t="s">
        <v>1791</v>
      </c>
      <c r="U351" s="11" t="s">
        <v>87</v>
      </c>
      <c r="V351" s="11" t="s">
        <v>88</v>
      </c>
      <c r="W351" s="11" t="s">
        <v>2181</v>
      </c>
      <c r="X351" s="9" t="n">
        <f aca="false">IF(AND(COUNT($E351:$G351)=0,LEFT($H351,2)&lt;&gt;"定性",LEFT($H351,2)&lt;&gt;"文字",LEFT($H351,2)&lt;&gt;"日期"),1,0)</f>
        <v>0</v>
      </c>
      <c r="Y351" s="9" t="n">
        <f aca="false">IF(OR($L351="",$M351=""),1,0)</f>
        <v>0</v>
      </c>
      <c r="Z351" s="9" t="n">
        <f aca="false">IF(AND(ISNUMBER($E351),ISNUMBER($F351)),IF($F351&gt;$E351,1,0),0)+IF(AND(ISNUMBER($E351),ISNUMBER($G351)),IF($E351&gt;$G351,1,0),0)+IF(AND(ISNUMBER($F351),ISNUMBER($G351)),IF($F351&gt;$G351,1,0),0)</f>
        <v>0</v>
      </c>
      <c r="AA351" s="9" t="n">
        <f aca="false">IF(AND($P351="Derived",$V351="觀測"),1,0)</f>
        <v>0</v>
      </c>
      <c r="AB351" s="12" t="s">
        <v>90</v>
      </c>
    </row>
    <row r="352" customFormat="false" ht="15" hidden="false" customHeight="false" outlineLevel="0" collapsed="false">
      <c r="A352" s="9" t="s">
        <v>2182</v>
      </c>
      <c r="B352" s="9" t="s">
        <v>2183</v>
      </c>
      <c r="C352" s="9" t="s">
        <v>2175</v>
      </c>
      <c r="D352" s="9" t="s">
        <v>2184</v>
      </c>
      <c r="E352" s="10" t="n">
        <v>0.559</v>
      </c>
      <c r="F352" s="9"/>
      <c r="G352" s="9"/>
      <c r="H352" s="9" t="s">
        <v>482</v>
      </c>
      <c r="I352" s="9" t="s">
        <v>121</v>
      </c>
      <c r="J352" s="9"/>
      <c r="K352" s="9"/>
      <c r="L352" s="9" t="s">
        <v>1789</v>
      </c>
      <c r="M352" s="9" t="s">
        <v>1790</v>
      </c>
      <c r="N352" s="9" t="s">
        <v>414</v>
      </c>
      <c r="O352" s="9" t="s">
        <v>82</v>
      </c>
      <c r="P352" s="9" t="s">
        <v>83</v>
      </c>
      <c r="Q352" s="9" t="s">
        <v>1791</v>
      </c>
      <c r="R352" s="9" t="s">
        <v>85</v>
      </c>
      <c r="S352" s="11" t="s">
        <v>86</v>
      </c>
      <c r="T352" s="9" t="s">
        <v>1791</v>
      </c>
      <c r="U352" s="11" t="s">
        <v>87</v>
      </c>
      <c r="V352" s="11" t="s">
        <v>88</v>
      </c>
      <c r="W352" s="11" t="s">
        <v>2185</v>
      </c>
      <c r="X352" s="9" t="n">
        <f aca="false">IF(AND(COUNT($E352:$G352)=0,LEFT($H352,2)&lt;&gt;"定性",LEFT($H352,2)&lt;&gt;"文字",LEFT($H352,2)&lt;&gt;"日期"),1,0)</f>
        <v>0</v>
      </c>
      <c r="Y352" s="9" t="n">
        <f aca="false">IF(OR($L352="",$M352=""),1,0)</f>
        <v>0</v>
      </c>
      <c r="Z352" s="9" t="n">
        <f aca="false">IF(AND(ISNUMBER($E352),ISNUMBER($F352)),IF($F352&gt;$E352,1,0),0)+IF(AND(ISNUMBER($E352),ISNUMBER($G352)),IF($E352&gt;$G352,1,0),0)+IF(AND(ISNUMBER($F352),ISNUMBER($G352)),IF($F352&gt;$G352,1,0),0)</f>
        <v>0</v>
      </c>
      <c r="AA352" s="9" t="n">
        <f aca="false">IF(AND($P352="Derived",$V352="觀測"),1,0)</f>
        <v>0</v>
      </c>
      <c r="AB352" s="12" t="s">
        <v>90</v>
      </c>
    </row>
    <row r="353" customFormat="false" ht="15" hidden="false" customHeight="false" outlineLevel="0" collapsed="false">
      <c r="A353" s="9" t="s">
        <v>2186</v>
      </c>
      <c r="B353" s="9" t="s">
        <v>2187</v>
      </c>
      <c r="C353" s="9" t="s">
        <v>2175</v>
      </c>
      <c r="D353" s="11" t="s">
        <v>2188</v>
      </c>
      <c r="E353" s="10" t="n">
        <v>2028</v>
      </c>
      <c r="F353" s="9"/>
      <c r="G353" s="9"/>
      <c r="H353" s="11" t="s">
        <v>2189</v>
      </c>
      <c r="I353" s="9" t="s">
        <v>2190</v>
      </c>
      <c r="J353" s="9"/>
      <c r="K353" s="9"/>
      <c r="L353" s="9" t="s">
        <v>2191</v>
      </c>
      <c r="M353" s="9" t="s">
        <v>1790</v>
      </c>
      <c r="N353" s="9" t="s">
        <v>414</v>
      </c>
      <c r="O353" s="9" t="s">
        <v>82</v>
      </c>
      <c r="P353" s="9" t="s">
        <v>83</v>
      </c>
      <c r="Q353" s="9" t="s">
        <v>1791</v>
      </c>
      <c r="R353" s="9" t="s">
        <v>85</v>
      </c>
      <c r="S353" s="11" t="s">
        <v>86</v>
      </c>
      <c r="T353" s="9" t="s">
        <v>1791</v>
      </c>
      <c r="U353" s="11" t="s">
        <v>87</v>
      </c>
      <c r="V353" s="11" t="s">
        <v>88</v>
      </c>
      <c r="W353" s="11" t="s">
        <v>2192</v>
      </c>
      <c r="X353" s="9" t="n">
        <f aca="false">IF(AND(COUNT($E353:$G353)=0,LEFT($H353,2)&lt;&gt;"定性",LEFT($H353,2)&lt;&gt;"文字",LEFT($H353,2)&lt;&gt;"日期"),1,0)</f>
        <v>0</v>
      </c>
      <c r="Y353" s="9" t="n">
        <f aca="false">IF(OR($L353="",$M353=""),1,0)</f>
        <v>0</v>
      </c>
      <c r="Z353" s="9" t="n">
        <f aca="false">IF(AND(ISNUMBER($E353),ISNUMBER($F353)),IF($F353&gt;$E353,1,0),0)+IF(AND(ISNUMBER($E353),ISNUMBER($G353)),IF($E353&gt;$G353,1,0),0)+IF(AND(ISNUMBER($F353),ISNUMBER($G353)),IF($F353&gt;$G353,1,0),0)</f>
        <v>0</v>
      </c>
      <c r="AA353" s="9" t="n">
        <f aca="false">IF(AND($P353="Derived",$V353="觀測"),1,0)</f>
        <v>0</v>
      </c>
      <c r="AB353" s="12" t="s">
        <v>90</v>
      </c>
    </row>
    <row r="354" customFormat="false" ht="15" hidden="false" customHeight="false" outlineLevel="0" collapsed="false">
      <c r="A354" s="9" t="s">
        <v>2193</v>
      </c>
      <c r="B354" s="9" t="s">
        <v>2194</v>
      </c>
      <c r="C354" s="9" t="s">
        <v>2175</v>
      </c>
      <c r="D354" s="9" t="s">
        <v>2195</v>
      </c>
      <c r="E354" s="10" t="n">
        <v>11.5</v>
      </c>
      <c r="F354" s="10" t="n">
        <v>11.5</v>
      </c>
      <c r="G354" s="9"/>
      <c r="H354" s="9" t="s">
        <v>482</v>
      </c>
      <c r="I354" s="9" t="s">
        <v>121</v>
      </c>
      <c r="J354" s="9"/>
      <c r="K354" s="9"/>
      <c r="L354" s="9" t="s">
        <v>2196</v>
      </c>
      <c r="M354" s="9" t="s">
        <v>130</v>
      </c>
      <c r="N354" s="9" t="s">
        <v>131</v>
      </c>
      <c r="O354" s="9" t="s">
        <v>82</v>
      </c>
      <c r="P354" s="9" t="s">
        <v>83</v>
      </c>
      <c r="Q354" s="9" t="s">
        <v>2197</v>
      </c>
      <c r="R354" s="9" t="s">
        <v>85</v>
      </c>
      <c r="S354" s="11" t="s">
        <v>86</v>
      </c>
      <c r="T354" s="9" t="s">
        <v>2197</v>
      </c>
      <c r="U354" s="11" t="s">
        <v>1289</v>
      </c>
      <c r="V354" s="11" t="s">
        <v>88</v>
      </c>
      <c r="W354" s="11" t="s">
        <v>2198</v>
      </c>
      <c r="X354" s="9" t="n">
        <f aca="false">IF(AND(COUNT($E354:$G354)=0,LEFT($H354,2)&lt;&gt;"定性",LEFT($H354,2)&lt;&gt;"文字",LEFT($H354,2)&lt;&gt;"日期"),1,0)</f>
        <v>0</v>
      </c>
      <c r="Y354" s="9" t="n">
        <f aca="false">IF(OR($L354="",$M354=""),1,0)</f>
        <v>0</v>
      </c>
      <c r="Z354" s="9" t="n">
        <f aca="false">IF(AND(ISNUMBER($E354),ISNUMBER($F354)),IF($F354&gt;$E354,1,0),0)+IF(AND(ISNUMBER($E354),ISNUMBER($G354)),IF($E354&gt;$G354,1,0),0)+IF(AND(ISNUMBER($F354),ISNUMBER($G354)),IF($F354&gt;$G354,1,0),0)</f>
        <v>0</v>
      </c>
      <c r="AA354" s="9" t="n">
        <f aca="false">IF(AND($P354="Derived",$V354="觀測"),1,0)</f>
        <v>0</v>
      </c>
      <c r="AB354" s="12" t="s">
        <v>90</v>
      </c>
    </row>
    <row r="355" customFormat="false" ht="15" hidden="false" customHeight="false" outlineLevel="0" collapsed="false">
      <c r="A355" s="9" t="s">
        <v>2199</v>
      </c>
      <c r="B355" s="9" t="s">
        <v>2200</v>
      </c>
      <c r="C355" s="9" t="s">
        <v>2175</v>
      </c>
      <c r="D355" s="11" t="s">
        <v>2201</v>
      </c>
      <c r="E355" s="9"/>
      <c r="F355" s="9"/>
      <c r="G355" s="9"/>
      <c r="H355" s="11" t="s">
        <v>1899</v>
      </c>
      <c r="I355" s="9" t="s">
        <v>396</v>
      </c>
      <c r="J355" s="9"/>
      <c r="K355" s="9"/>
      <c r="L355" s="9" t="s">
        <v>2202</v>
      </c>
      <c r="M355" s="9" t="s">
        <v>1750</v>
      </c>
      <c r="N355" s="9" t="s">
        <v>81</v>
      </c>
      <c r="O355" s="9" t="s">
        <v>82</v>
      </c>
      <c r="P355" s="9" t="s">
        <v>83</v>
      </c>
      <c r="Q355" s="9" t="s">
        <v>150</v>
      </c>
      <c r="R355" s="9" t="s">
        <v>85</v>
      </c>
      <c r="S355" s="11" t="s">
        <v>86</v>
      </c>
      <c r="T355" s="9" t="s">
        <v>150</v>
      </c>
      <c r="U355" s="11" t="s">
        <v>87</v>
      </c>
      <c r="V355" s="11" t="s">
        <v>88</v>
      </c>
      <c r="W355" s="11" t="s">
        <v>2203</v>
      </c>
      <c r="X355" s="9" t="n">
        <f aca="false">IF(AND(COUNT($E355:$G355)=0,LEFT($H355,2)&lt;&gt;"定性",LEFT($H355,2)&lt;&gt;"文字",LEFT($H355,2)&lt;&gt;"日期"),1,0)</f>
        <v>0</v>
      </c>
      <c r="Y355" s="9" t="n">
        <f aca="false">IF(OR($L355="",$M355=""),1,0)</f>
        <v>0</v>
      </c>
      <c r="Z355" s="9" t="n">
        <f aca="false">IF(AND(ISNUMBER($E355),ISNUMBER($F355)),IF($F355&gt;$E355,1,0),0)+IF(AND(ISNUMBER($E355),ISNUMBER($G355)),IF($E355&gt;$G355,1,0),0)+IF(AND(ISNUMBER($F355),ISNUMBER($G355)),IF($F355&gt;$G355,1,0),0)</f>
        <v>0</v>
      </c>
      <c r="AA355" s="9" t="n">
        <f aca="false">IF(AND($P355="Derived",$V355="觀測"),1,0)</f>
        <v>0</v>
      </c>
      <c r="AB355" s="12" t="s">
        <v>90</v>
      </c>
    </row>
    <row r="356" customFormat="false" ht="15" hidden="false" customHeight="false" outlineLevel="0" collapsed="false">
      <c r="A356" s="9" t="s">
        <v>2204</v>
      </c>
      <c r="B356" s="9" t="s">
        <v>2205</v>
      </c>
      <c r="C356" s="9" t="s">
        <v>2175</v>
      </c>
      <c r="D356" s="9" t="s">
        <v>2206</v>
      </c>
      <c r="E356" s="10" t="n">
        <v>3</v>
      </c>
      <c r="F356" s="9"/>
      <c r="G356" s="9"/>
      <c r="H356" s="9" t="s">
        <v>482</v>
      </c>
      <c r="I356" s="9" t="s">
        <v>1748</v>
      </c>
      <c r="J356" s="9"/>
      <c r="K356" s="9"/>
      <c r="L356" s="9" t="s">
        <v>2207</v>
      </c>
      <c r="M356" s="9" t="s">
        <v>1834</v>
      </c>
      <c r="N356" s="9" t="s">
        <v>1835</v>
      </c>
      <c r="O356" s="9" t="s">
        <v>82</v>
      </c>
      <c r="P356" s="9" t="s">
        <v>83</v>
      </c>
      <c r="Q356" s="9" t="s">
        <v>1791</v>
      </c>
      <c r="R356" s="9" t="s">
        <v>85</v>
      </c>
      <c r="S356" s="11" t="s">
        <v>86</v>
      </c>
      <c r="T356" s="9" t="s">
        <v>1791</v>
      </c>
      <c r="U356" s="11" t="s">
        <v>87</v>
      </c>
      <c r="V356" s="11" t="s">
        <v>88</v>
      </c>
      <c r="W356" s="11" t="s">
        <v>2208</v>
      </c>
      <c r="X356" s="9" t="n">
        <f aca="false">IF(AND(COUNT($E356:$G356)=0,LEFT($H356,2)&lt;&gt;"定性",LEFT($H356,2)&lt;&gt;"文字",LEFT($H356,2)&lt;&gt;"日期"),1,0)</f>
        <v>0</v>
      </c>
      <c r="Y356" s="9" t="n">
        <f aca="false">IF(OR($L356="",$M356=""),1,0)</f>
        <v>0</v>
      </c>
      <c r="Z356" s="9" t="n">
        <f aca="false">IF(AND(ISNUMBER($E356),ISNUMBER($F356)),IF($F356&gt;$E356,1,0),0)+IF(AND(ISNUMBER($E356),ISNUMBER($G356)),IF($E356&gt;$G356,1,0),0)+IF(AND(ISNUMBER($F356),ISNUMBER($G356)),IF($F356&gt;$G356,1,0),0)</f>
        <v>0</v>
      </c>
      <c r="AA356" s="9" t="n">
        <f aca="false">IF(AND($P356="Derived",$V356="觀測"),1,0)</f>
        <v>0</v>
      </c>
      <c r="AB356" s="12" t="s">
        <v>90</v>
      </c>
    </row>
    <row r="357" customFormat="false" ht="15" hidden="false" customHeight="false" outlineLevel="0" collapsed="false">
      <c r="A357" s="9" t="s">
        <v>2209</v>
      </c>
      <c r="B357" s="9" t="s">
        <v>2210</v>
      </c>
      <c r="C357" s="9" t="s">
        <v>2175</v>
      </c>
      <c r="D357" s="9" t="s">
        <v>2211</v>
      </c>
      <c r="E357" s="10" t="n">
        <v>0.33</v>
      </c>
      <c r="F357" s="9"/>
      <c r="G357" s="9"/>
      <c r="H357" s="11" t="s">
        <v>269</v>
      </c>
      <c r="I357" s="9" t="s">
        <v>2212</v>
      </c>
      <c r="J357" s="9"/>
      <c r="K357" s="9"/>
      <c r="L357" s="9" t="s">
        <v>2213</v>
      </c>
      <c r="M357" s="9" t="s">
        <v>2214</v>
      </c>
      <c r="N357" s="9" t="s">
        <v>2215</v>
      </c>
      <c r="O357" s="9" t="s">
        <v>82</v>
      </c>
      <c r="P357" s="9" t="s">
        <v>83</v>
      </c>
      <c r="Q357" s="9" t="s">
        <v>1791</v>
      </c>
      <c r="R357" s="9" t="s">
        <v>85</v>
      </c>
      <c r="S357" s="11" t="s">
        <v>86</v>
      </c>
      <c r="T357" s="9" t="s">
        <v>1791</v>
      </c>
      <c r="U357" s="11" t="s">
        <v>87</v>
      </c>
      <c r="V357" s="11" t="s">
        <v>88</v>
      </c>
      <c r="W357" s="11" t="s">
        <v>2216</v>
      </c>
      <c r="X357" s="9" t="n">
        <f aca="false">IF(AND(COUNT($E357:$G357)=0,LEFT($H357,2)&lt;&gt;"定性",LEFT($H357,2)&lt;&gt;"文字",LEFT($H357,2)&lt;&gt;"日期"),1,0)</f>
        <v>0</v>
      </c>
      <c r="Y357" s="9" t="n">
        <f aca="false">IF(OR($L357="",$M357=""),1,0)</f>
        <v>0</v>
      </c>
      <c r="Z357" s="9" t="n">
        <f aca="false">IF(AND(ISNUMBER($E357),ISNUMBER($F357)),IF($F357&gt;$E357,1,0),0)+IF(AND(ISNUMBER($E357),ISNUMBER($G357)),IF($E357&gt;$G357,1,0),0)+IF(AND(ISNUMBER($F357),ISNUMBER($G357)),IF($F357&gt;$G357,1,0),0)</f>
        <v>0</v>
      </c>
      <c r="AA357" s="9" t="n">
        <f aca="false">IF(AND($P357="Derived",$V357="觀測"),1,0)</f>
        <v>0</v>
      </c>
      <c r="AB357" s="12" t="s">
        <v>90</v>
      </c>
    </row>
    <row r="358" customFormat="false" ht="15" hidden="false" customHeight="false" outlineLevel="0" collapsed="false">
      <c r="A358" s="9" t="s">
        <v>2217</v>
      </c>
      <c r="B358" s="9" t="s">
        <v>2218</v>
      </c>
      <c r="C358" s="9" t="s">
        <v>2175</v>
      </c>
      <c r="D358" s="9" t="s">
        <v>2219</v>
      </c>
      <c r="E358" s="10" t="n">
        <v>0.09</v>
      </c>
      <c r="F358" s="9"/>
      <c r="G358" s="9"/>
      <c r="H358" s="11" t="s">
        <v>269</v>
      </c>
      <c r="I358" s="9" t="s">
        <v>2220</v>
      </c>
      <c r="J358" s="9"/>
      <c r="K358" s="9"/>
      <c r="L358" s="9" t="s">
        <v>2213</v>
      </c>
      <c r="M358" s="9" t="s">
        <v>2214</v>
      </c>
      <c r="N358" s="9" t="s">
        <v>2215</v>
      </c>
      <c r="O358" s="9" t="s">
        <v>82</v>
      </c>
      <c r="P358" s="9" t="s">
        <v>83</v>
      </c>
      <c r="Q358" s="9" t="s">
        <v>1791</v>
      </c>
      <c r="R358" s="9" t="s">
        <v>85</v>
      </c>
      <c r="S358" s="11" t="s">
        <v>86</v>
      </c>
      <c r="T358" s="9" t="s">
        <v>1791</v>
      </c>
      <c r="U358" s="11" t="s">
        <v>87</v>
      </c>
      <c r="V358" s="11" t="s">
        <v>88</v>
      </c>
      <c r="W358" s="11" t="s">
        <v>2221</v>
      </c>
      <c r="X358" s="9" t="n">
        <f aca="false">IF(AND(COUNT($E358:$G358)=0,LEFT($H358,2)&lt;&gt;"定性",LEFT($H358,2)&lt;&gt;"文字",LEFT($H358,2)&lt;&gt;"日期"),1,0)</f>
        <v>0</v>
      </c>
      <c r="Y358" s="9" t="n">
        <f aca="false">IF(OR($L358="",$M358=""),1,0)</f>
        <v>0</v>
      </c>
      <c r="Z358" s="9" t="n">
        <f aca="false">IF(AND(ISNUMBER($E358),ISNUMBER($F358)),IF($F358&gt;$E358,1,0),0)+IF(AND(ISNUMBER($E358),ISNUMBER($G358)),IF($E358&gt;$G358,1,0),0)+IF(AND(ISNUMBER($F358),ISNUMBER($G358)),IF($F358&gt;$G358,1,0),0)</f>
        <v>0</v>
      </c>
      <c r="AA358" s="9" t="n">
        <f aca="false">IF(AND($P358="Derived",$V358="觀測"),1,0)</f>
        <v>0</v>
      </c>
      <c r="AB358" s="12" t="s">
        <v>90</v>
      </c>
    </row>
    <row r="359" customFormat="false" ht="15" hidden="false" customHeight="false" outlineLevel="0" collapsed="false">
      <c r="A359" s="9" t="s">
        <v>2222</v>
      </c>
      <c r="B359" s="9" t="s">
        <v>2223</v>
      </c>
      <c r="C359" s="9" t="s">
        <v>2175</v>
      </c>
      <c r="D359" s="9" t="s">
        <v>2224</v>
      </c>
      <c r="E359" s="10" t="n">
        <v>12</v>
      </c>
      <c r="F359" s="9"/>
      <c r="G359" s="9"/>
      <c r="H359" s="9" t="s">
        <v>482</v>
      </c>
      <c r="I359" s="9" t="s">
        <v>2212</v>
      </c>
      <c r="J359" s="9"/>
      <c r="K359" s="9"/>
      <c r="L359" s="9" t="s">
        <v>2225</v>
      </c>
      <c r="M359" s="9" t="s">
        <v>1632</v>
      </c>
      <c r="N359" s="9" t="s">
        <v>1633</v>
      </c>
      <c r="O359" s="9" t="s">
        <v>82</v>
      </c>
      <c r="P359" s="9" t="s">
        <v>83</v>
      </c>
      <c r="Q359" s="9" t="s">
        <v>1791</v>
      </c>
      <c r="R359" s="9" t="s">
        <v>85</v>
      </c>
      <c r="S359" s="11" t="s">
        <v>86</v>
      </c>
      <c r="T359" s="9" t="s">
        <v>1791</v>
      </c>
      <c r="U359" s="11" t="s">
        <v>87</v>
      </c>
      <c r="V359" s="11" t="s">
        <v>88</v>
      </c>
      <c r="W359" s="11" t="s">
        <v>2226</v>
      </c>
      <c r="X359" s="9" t="n">
        <f aca="false">IF(AND(COUNT($E359:$G359)=0,LEFT($H359,2)&lt;&gt;"定性",LEFT($H359,2)&lt;&gt;"文字",LEFT($H359,2)&lt;&gt;"日期"),1,0)</f>
        <v>0</v>
      </c>
      <c r="Y359" s="9" t="n">
        <f aca="false">IF(OR($L359="",$M359=""),1,0)</f>
        <v>0</v>
      </c>
      <c r="Z359" s="9" t="n">
        <f aca="false">IF(AND(ISNUMBER($E359),ISNUMBER($F359)),IF($F359&gt;$E359,1,0),0)+IF(AND(ISNUMBER($E359),ISNUMBER($G359)),IF($E359&gt;$G359,1,0),0)+IF(AND(ISNUMBER($F359),ISNUMBER($G359)),IF($F359&gt;$G359,1,0),0)</f>
        <v>0</v>
      </c>
      <c r="AA359" s="9" t="n">
        <f aca="false">IF(AND($P359="Derived",$V359="觀測"),1,0)</f>
        <v>0</v>
      </c>
      <c r="AB359" s="12" t="s">
        <v>90</v>
      </c>
    </row>
    <row r="360" customFormat="false" ht="15" hidden="false" customHeight="false" outlineLevel="0" collapsed="false">
      <c r="A360" s="9" t="s">
        <v>2227</v>
      </c>
      <c r="B360" s="9" t="s">
        <v>2228</v>
      </c>
      <c r="C360" s="9" t="s">
        <v>2175</v>
      </c>
      <c r="D360" s="9" t="s">
        <v>2229</v>
      </c>
      <c r="E360" s="10" t="n">
        <v>7</v>
      </c>
      <c r="F360" s="9"/>
      <c r="G360" s="9"/>
      <c r="H360" s="9" t="s">
        <v>482</v>
      </c>
      <c r="I360" s="9" t="s">
        <v>2212</v>
      </c>
      <c r="J360" s="9"/>
      <c r="K360" s="9"/>
      <c r="L360" s="9" t="s">
        <v>2230</v>
      </c>
      <c r="M360" s="9" t="s">
        <v>1632</v>
      </c>
      <c r="N360" s="9" t="s">
        <v>1633</v>
      </c>
      <c r="O360" s="9" t="s">
        <v>82</v>
      </c>
      <c r="P360" s="9" t="s">
        <v>83</v>
      </c>
      <c r="Q360" s="9" t="s">
        <v>1791</v>
      </c>
      <c r="R360" s="9" t="s">
        <v>85</v>
      </c>
      <c r="S360" s="11" t="s">
        <v>86</v>
      </c>
      <c r="T360" s="9" t="s">
        <v>1791</v>
      </c>
      <c r="U360" s="11" t="s">
        <v>87</v>
      </c>
      <c r="V360" s="11" t="s">
        <v>88</v>
      </c>
      <c r="W360" s="11" t="s">
        <v>2231</v>
      </c>
      <c r="X360" s="9" t="n">
        <f aca="false">IF(AND(COUNT($E360:$G360)=0,LEFT($H360,2)&lt;&gt;"定性",LEFT($H360,2)&lt;&gt;"文字",LEFT($H360,2)&lt;&gt;"日期"),1,0)</f>
        <v>0</v>
      </c>
      <c r="Y360" s="9" t="n">
        <f aca="false">IF(OR($L360="",$M360=""),1,0)</f>
        <v>0</v>
      </c>
      <c r="Z360" s="9" t="n">
        <f aca="false">IF(AND(ISNUMBER($E360),ISNUMBER($F360)),IF($F360&gt;$E360,1,0),0)+IF(AND(ISNUMBER($E360),ISNUMBER($G360)),IF($E360&gt;$G360,1,0),0)+IF(AND(ISNUMBER($F360),ISNUMBER($G360)),IF($F360&gt;$G360,1,0),0)</f>
        <v>0</v>
      </c>
      <c r="AA360" s="9" t="n">
        <f aca="false">IF(AND($P360="Derived",$V360="觀測"),1,0)</f>
        <v>0</v>
      </c>
      <c r="AB360" s="12" t="s">
        <v>90</v>
      </c>
    </row>
    <row r="361" customFormat="false" ht="15" hidden="false" customHeight="false" outlineLevel="0" collapsed="false">
      <c r="A361" s="9" t="s">
        <v>2232</v>
      </c>
      <c r="B361" s="9" t="s">
        <v>2233</v>
      </c>
      <c r="C361" s="9" t="s">
        <v>2175</v>
      </c>
      <c r="D361" s="11" t="s">
        <v>2234</v>
      </c>
      <c r="E361" s="10" t="n">
        <v>30</v>
      </c>
      <c r="F361" s="9"/>
      <c r="G361" s="9"/>
      <c r="H361" s="9" t="s">
        <v>76</v>
      </c>
      <c r="I361" s="9" t="s">
        <v>2190</v>
      </c>
      <c r="J361" s="9"/>
      <c r="K361" s="9"/>
      <c r="L361" s="9" t="s">
        <v>2235</v>
      </c>
      <c r="M361" s="9" t="s">
        <v>1662</v>
      </c>
      <c r="N361" s="9" t="s">
        <v>633</v>
      </c>
      <c r="O361" s="9" t="s">
        <v>82</v>
      </c>
      <c r="P361" s="9" t="s">
        <v>83</v>
      </c>
      <c r="Q361" s="9" t="s">
        <v>2236</v>
      </c>
      <c r="R361" s="9" t="s">
        <v>85</v>
      </c>
      <c r="S361" s="11" t="s">
        <v>86</v>
      </c>
      <c r="T361" s="9" t="s">
        <v>2236</v>
      </c>
      <c r="U361" s="11" t="s">
        <v>1289</v>
      </c>
      <c r="V361" s="11" t="s">
        <v>88</v>
      </c>
      <c r="W361" s="11" t="s">
        <v>2237</v>
      </c>
      <c r="X361" s="9" t="n">
        <f aca="false">IF(AND(COUNT($E361:$G361)=0,LEFT($H361,2)&lt;&gt;"定性",LEFT($H361,2)&lt;&gt;"文字",LEFT($H361,2)&lt;&gt;"日期"),1,0)</f>
        <v>0</v>
      </c>
      <c r="Y361" s="9" t="n">
        <f aca="false">IF(OR($L361="",$M361=""),1,0)</f>
        <v>0</v>
      </c>
      <c r="Z361" s="9" t="n">
        <f aca="false">IF(AND(ISNUMBER($E361),ISNUMBER($F361)),IF($F361&gt;$E361,1,0),0)+IF(AND(ISNUMBER($E361),ISNUMBER($G361)),IF($E361&gt;$G361,1,0),0)+IF(AND(ISNUMBER($F361),ISNUMBER($G361)),IF($F361&gt;$G361,1,0),0)</f>
        <v>0</v>
      </c>
      <c r="AA361" s="9" t="n">
        <f aca="false">IF(AND($P361="Derived",$V361="觀測"),1,0)</f>
        <v>0</v>
      </c>
      <c r="AB361" s="12" t="s">
        <v>90</v>
      </c>
    </row>
    <row r="362" customFormat="false" ht="15" hidden="false" customHeight="false" outlineLevel="0" collapsed="false">
      <c r="A362" s="9" t="s">
        <v>2238</v>
      </c>
      <c r="B362" s="9" t="s">
        <v>2239</v>
      </c>
      <c r="C362" s="9" t="s">
        <v>2175</v>
      </c>
      <c r="D362" s="9" t="s">
        <v>2240</v>
      </c>
      <c r="E362" s="10" t="n">
        <v>2.2</v>
      </c>
      <c r="F362" s="9"/>
      <c r="G362" s="9"/>
      <c r="H362" s="9" t="s">
        <v>482</v>
      </c>
      <c r="I362" s="9" t="s">
        <v>1748</v>
      </c>
      <c r="J362" s="9"/>
      <c r="K362" s="9"/>
      <c r="L362" s="9" t="s">
        <v>2207</v>
      </c>
      <c r="M362" s="9" t="s">
        <v>1834</v>
      </c>
      <c r="N362" s="9" t="s">
        <v>1835</v>
      </c>
      <c r="O362" s="9" t="s">
        <v>82</v>
      </c>
      <c r="P362" s="9" t="s">
        <v>83</v>
      </c>
      <c r="Q362" s="9" t="s">
        <v>1791</v>
      </c>
      <c r="R362" s="9" t="s">
        <v>85</v>
      </c>
      <c r="S362" s="11" t="s">
        <v>86</v>
      </c>
      <c r="T362" s="9" t="s">
        <v>1791</v>
      </c>
      <c r="U362" s="11" t="s">
        <v>87</v>
      </c>
      <c r="V362" s="11" t="s">
        <v>88</v>
      </c>
      <c r="W362" s="11" t="s">
        <v>2241</v>
      </c>
      <c r="X362" s="9" t="n">
        <f aca="false">IF(AND(COUNT($E362:$G362)=0,LEFT($H362,2)&lt;&gt;"定性",LEFT($H362,2)&lt;&gt;"文字",LEFT($H362,2)&lt;&gt;"日期"),1,0)</f>
        <v>0</v>
      </c>
      <c r="Y362" s="9" t="n">
        <f aca="false">IF(OR($L362="",$M362=""),1,0)</f>
        <v>0</v>
      </c>
      <c r="Z362" s="9" t="n">
        <f aca="false">IF(AND(ISNUMBER($E362),ISNUMBER($F362)),IF($F362&gt;$E362,1,0),0)+IF(AND(ISNUMBER($E362),ISNUMBER($G362)),IF($E362&gt;$G362,1,0),0)+IF(AND(ISNUMBER($F362),ISNUMBER($G362)),IF($F362&gt;$G362,1,0),0)</f>
        <v>0</v>
      </c>
      <c r="AA362" s="9" t="n">
        <f aca="false">IF(AND($P362="Derived",$V362="觀測"),1,0)</f>
        <v>0</v>
      </c>
      <c r="AB362" s="12" t="s">
        <v>90</v>
      </c>
    </row>
    <row r="363" customFormat="false" ht="15" hidden="false" customHeight="false" outlineLevel="0" collapsed="false">
      <c r="A363" s="9" t="s">
        <v>2242</v>
      </c>
      <c r="B363" s="9" t="s">
        <v>2243</v>
      </c>
      <c r="C363" s="9" t="s">
        <v>2175</v>
      </c>
      <c r="D363" s="9" t="s">
        <v>2244</v>
      </c>
      <c r="E363" s="10" t="n">
        <v>12</v>
      </c>
      <c r="F363" s="9"/>
      <c r="G363" s="9"/>
      <c r="H363" s="9" t="s">
        <v>482</v>
      </c>
      <c r="I363" s="9" t="s">
        <v>2220</v>
      </c>
      <c r="J363" s="9"/>
      <c r="K363" s="9"/>
      <c r="L363" s="9" t="s">
        <v>2207</v>
      </c>
      <c r="M363" s="9" t="s">
        <v>1834</v>
      </c>
      <c r="N363" s="9" t="s">
        <v>1835</v>
      </c>
      <c r="O363" s="9" t="s">
        <v>82</v>
      </c>
      <c r="P363" s="9" t="s">
        <v>83</v>
      </c>
      <c r="Q363" s="9" t="s">
        <v>1791</v>
      </c>
      <c r="R363" s="9" t="s">
        <v>85</v>
      </c>
      <c r="S363" s="11" t="s">
        <v>86</v>
      </c>
      <c r="T363" s="9" t="s">
        <v>1791</v>
      </c>
      <c r="U363" s="11" t="s">
        <v>87</v>
      </c>
      <c r="V363" s="11" t="s">
        <v>88</v>
      </c>
      <c r="W363" s="11" t="s">
        <v>2245</v>
      </c>
      <c r="X363" s="9" t="n">
        <f aca="false">IF(AND(COUNT($E363:$G363)=0,LEFT($H363,2)&lt;&gt;"定性",LEFT($H363,2)&lt;&gt;"文字",LEFT($H363,2)&lt;&gt;"日期"),1,0)</f>
        <v>0</v>
      </c>
      <c r="Y363" s="9" t="n">
        <f aca="false">IF(OR($L363="",$M363=""),1,0)</f>
        <v>0</v>
      </c>
      <c r="Z363" s="9" t="n">
        <f aca="false">IF(AND(ISNUMBER($E363),ISNUMBER($F363)),IF($F363&gt;$E363,1,0),0)+IF(AND(ISNUMBER($E363),ISNUMBER($G363)),IF($E363&gt;$G363,1,0),0)+IF(AND(ISNUMBER($F363),ISNUMBER($G363)),IF($F363&gt;$G363,1,0),0)</f>
        <v>0</v>
      </c>
      <c r="AA363" s="9" t="n">
        <f aca="false">IF(AND($P363="Derived",$V363="觀測"),1,0)</f>
        <v>0</v>
      </c>
      <c r="AB363" s="12" t="s">
        <v>90</v>
      </c>
    </row>
    <row r="364" customFormat="false" ht="15" hidden="false" customHeight="false" outlineLevel="0" collapsed="false">
      <c r="A364" s="9" t="s">
        <v>2246</v>
      </c>
      <c r="B364" s="9" t="s">
        <v>2247</v>
      </c>
      <c r="C364" s="9" t="s">
        <v>2175</v>
      </c>
      <c r="D364" s="9" t="s">
        <v>2248</v>
      </c>
      <c r="E364" s="10" t="n">
        <v>34.5</v>
      </c>
      <c r="F364" s="9"/>
      <c r="G364" s="9"/>
      <c r="H364" s="9" t="s">
        <v>482</v>
      </c>
      <c r="I364" s="9" t="s">
        <v>2220</v>
      </c>
      <c r="J364" s="9"/>
      <c r="K364" s="9"/>
      <c r="L364" s="9" t="s">
        <v>2207</v>
      </c>
      <c r="M364" s="9" t="s">
        <v>1834</v>
      </c>
      <c r="N364" s="9" t="s">
        <v>1835</v>
      </c>
      <c r="O364" s="9" t="s">
        <v>82</v>
      </c>
      <c r="P364" s="9" t="s">
        <v>83</v>
      </c>
      <c r="Q364" s="9" t="s">
        <v>1791</v>
      </c>
      <c r="R364" s="9" t="s">
        <v>85</v>
      </c>
      <c r="S364" s="11" t="s">
        <v>86</v>
      </c>
      <c r="T364" s="9" t="s">
        <v>1791</v>
      </c>
      <c r="U364" s="11" t="s">
        <v>87</v>
      </c>
      <c r="V364" s="11" t="s">
        <v>88</v>
      </c>
      <c r="W364" s="11" t="s">
        <v>2249</v>
      </c>
      <c r="X364" s="9" t="n">
        <f aca="false">IF(AND(COUNT($E364:$G364)=0,LEFT($H364,2)&lt;&gt;"定性",LEFT($H364,2)&lt;&gt;"文字",LEFT($H364,2)&lt;&gt;"日期"),1,0)</f>
        <v>0</v>
      </c>
      <c r="Y364" s="9" t="n">
        <f aca="false">IF(OR($L364="",$M364=""),1,0)</f>
        <v>0</v>
      </c>
      <c r="Z364" s="9" t="n">
        <f aca="false">IF(AND(ISNUMBER($E364),ISNUMBER($F364)),IF($F364&gt;$E364,1,0),0)+IF(AND(ISNUMBER($E364),ISNUMBER($G364)),IF($E364&gt;$G364,1,0),0)+IF(AND(ISNUMBER($F364),ISNUMBER($G364)),IF($F364&gt;$G364,1,0),0)</f>
        <v>0</v>
      </c>
      <c r="AA364" s="9" t="n">
        <f aca="false">IF(AND($P364="Derived",$V364="觀測"),1,0)</f>
        <v>0</v>
      </c>
      <c r="AB364" s="12" t="s">
        <v>90</v>
      </c>
    </row>
    <row r="365" customFormat="false" ht="15" hidden="false" customHeight="false" outlineLevel="0" collapsed="false">
      <c r="A365" s="9" t="s">
        <v>2250</v>
      </c>
      <c r="B365" s="9" t="s">
        <v>2251</v>
      </c>
      <c r="C365" s="9" t="s">
        <v>2175</v>
      </c>
      <c r="D365" s="11" t="s">
        <v>2252</v>
      </c>
      <c r="E365" s="10" t="n">
        <v>2027</v>
      </c>
      <c r="F365" s="9"/>
      <c r="G365" s="9"/>
      <c r="H365" s="11" t="s">
        <v>2189</v>
      </c>
      <c r="I365" s="9" t="s">
        <v>2220</v>
      </c>
      <c r="J365" s="9"/>
      <c r="K365" s="9"/>
      <c r="L365" s="9" t="s">
        <v>2207</v>
      </c>
      <c r="M365" s="9" t="s">
        <v>1834</v>
      </c>
      <c r="N365" s="9" t="s">
        <v>1835</v>
      </c>
      <c r="O365" s="9" t="s">
        <v>82</v>
      </c>
      <c r="P365" s="9" t="s">
        <v>83</v>
      </c>
      <c r="Q365" s="9" t="s">
        <v>1791</v>
      </c>
      <c r="R365" s="9" t="s">
        <v>85</v>
      </c>
      <c r="S365" s="11" t="s">
        <v>86</v>
      </c>
      <c r="T365" s="9" t="s">
        <v>1791</v>
      </c>
      <c r="U365" s="11" t="s">
        <v>87</v>
      </c>
      <c r="V365" s="11" t="s">
        <v>88</v>
      </c>
      <c r="W365" s="11" t="s">
        <v>2253</v>
      </c>
      <c r="X365" s="9" t="n">
        <f aca="false">IF(AND(COUNT($E365:$G365)=0,LEFT($H365,2)&lt;&gt;"定性",LEFT($H365,2)&lt;&gt;"文字",LEFT($H365,2)&lt;&gt;"日期"),1,0)</f>
        <v>0</v>
      </c>
      <c r="Y365" s="9" t="n">
        <f aca="false">IF(OR($L365="",$M365=""),1,0)</f>
        <v>0</v>
      </c>
      <c r="Z365" s="9" t="n">
        <f aca="false">IF(AND(ISNUMBER($E365),ISNUMBER($F365)),IF($F365&gt;$E365,1,0),0)+IF(AND(ISNUMBER($E365),ISNUMBER($G365)),IF($E365&gt;$G365,1,0),0)+IF(AND(ISNUMBER($F365),ISNUMBER($G365)),IF($F365&gt;$G365,1,0),0)</f>
        <v>0</v>
      </c>
      <c r="AA365" s="9" t="n">
        <f aca="false">IF(AND($P365="Derived",$V365="觀測"),1,0)</f>
        <v>0</v>
      </c>
      <c r="AB365" s="12" t="s">
        <v>90</v>
      </c>
    </row>
    <row r="366" customFormat="false" ht="15" hidden="false" customHeight="false" outlineLevel="0" collapsed="false">
      <c r="A366" s="9" t="s">
        <v>2254</v>
      </c>
      <c r="B366" s="9" t="s">
        <v>2255</v>
      </c>
      <c r="C366" s="9" t="s">
        <v>2175</v>
      </c>
      <c r="D366" s="9" t="s">
        <v>2256</v>
      </c>
      <c r="E366" s="10" t="n">
        <v>70</v>
      </c>
      <c r="F366" s="9"/>
      <c r="G366" s="10" t="n">
        <v>70</v>
      </c>
      <c r="H366" s="9" t="s">
        <v>482</v>
      </c>
      <c r="I366" s="9" t="s">
        <v>2190</v>
      </c>
      <c r="J366" s="9"/>
      <c r="K366" s="9"/>
      <c r="L366" s="9" t="s">
        <v>1840</v>
      </c>
      <c r="M366" s="9" t="s">
        <v>1841</v>
      </c>
      <c r="N366" s="9" t="s">
        <v>1037</v>
      </c>
      <c r="O366" s="9" t="s">
        <v>82</v>
      </c>
      <c r="P366" s="9" t="s">
        <v>83</v>
      </c>
      <c r="Q366" s="9" t="s">
        <v>1791</v>
      </c>
      <c r="R366" s="9" t="s">
        <v>85</v>
      </c>
      <c r="S366" s="11" t="s">
        <v>86</v>
      </c>
      <c r="T366" s="9" t="s">
        <v>1791</v>
      </c>
      <c r="U366" s="11" t="s">
        <v>87</v>
      </c>
      <c r="V366" s="11" t="s">
        <v>88</v>
      </c>
      <c r="W366" s="11" t="s">
        <v>2257</v>
      </c>
      <c r="X366" s="9" t="n">
        <f aca="false">IF(AND(COUNT($E366:$G366)=0,LEFT($H366,2)&lt;&gt;"定性",LEFT($H366,2)&lt;&gt;"文字",LEFT($H366,2)&lt;&gt;"日期"),1,0)</f>
        <v>0</v>
      </c>
      <c r="Y366" s="9" t="n">
        <f aca="false">IF(OR($L366="",$M366=""),1,0)</f>
        <v>0</v>
      </c>
      <c r="Z366" s="9" t="n">
        <f aca="false">IF(AND(ISNUMBER($E366),ISNUMBER($F366)),IF($F366&gt;$E366,1,0),0)+IF(AND(ISNUMBER($E366),ISNUMBER($G366)),IF($E366&gt;$G366,1,0),0)+IF(AND(ISNUMBER($F366),ISNUMBER($G366)),IF($F366&gt;$G366,1,0),0)</f>
        <v>0</v>
      </c>
      <c r="AA366" s="9" t="n">
        <f aca="false">IF(AND($P366="Derived",$V366="觀測"),1,0)</f>
        <v>0</v>
      </c>
      <c r="AB366" s="12" t="s">
        <v>90</v>
      </c>
    </row>
    <row r="367" customFormat="false" ht="15" hidden="false" customHeight="false" outlineLevel="0" collapsed="false">
      <c r="A367" s="9" t="s">
        <v>2258</v>
      </c>
      <c r="B367" s="9" t="s">
        <v>2259</v>
      </c>
      <c r="C367" s="9" t="s">
        <v>2175</v>
      </c>
      <c r="D367" s="11" t="s">
        <v>2260</v>
      </c>
      <c r="E367" s="9"/>
      <c r="F367" s="10" t="n">
        <v>15.2</v>
      </c>
      <c r="G367" s="10" t="n">
        <v>38.9</v>
      </c>
      <c r="H367" s="9" t="s">
        <v>482</v>
      </c>
      <c r="I367" s="9" t="s">
        <v>2261</v>
      </c>
      <c r="J367" s="9"/>
      <c r="K367" s="9"/>
      <c r="L367" s="9" t="s">
        <v>2262</v>
      </c>
      <c r="M367" s="9" t="s">
        <v>2263</v>
      </c>
      <c r="N367" s="9" t="s">
        <v>2068</v>
      </c>
      <c r="O367" s="9" t="s">
        <v>82</v>
      </c>
      <c r="P367" s="9" t="s">
        <v>83</v>
      </c>
      <c r="Q367" s="9" t="s">
        <v>1791</v>
      </c>
      <c r="R367" s="9" t="s">
        <v>85</v>
      </c>
      <c r="S367" s="11" t="s">
        <v>86</v>
      </c>
      <c r="T367" s="9" t="s">
        <v>1791</v>
      </c>
      <c r="U367" s="11" t="s">
        <v>87</v>
      </c>
      <c r="V367" s="11" t="s">
        <v>88</v>
      </c>
      <c r="W367" s="9" t="s">
        <v>2264</v>
      </c>
      <c r="X367" s="9" t="n">
        <f aca="false">IF(AND(COUNT($E367:$G367)=0,LEFT($H367,2)&lt;&gt;"定性",LEFT($H367,2)&lt;&gt;"文字",LEFT($H367,2)&lt;&gt;"日期"),1,0)</f>
        <v>0</v>
      </c>
      <c r="Y367" s="9" t="n">
        <f aca="false">IF(OR($L367="",$M367=""),1,0)</f>
        <v>0</v>
      </c>
      <c r="Z367" s="9" t="n">
        <f aca="false">IF(AND(ISNUMBER($E367),ISNUMBER($F367)),IF($F367&gt;$E367,1,0),0)+IF(AND(ISNUMBER($E367),ISNUMBER($G367)),IF($E367&gt;$G367,1,0),0)+IF(AND(ISNUMBER($F367),ISNUMBER($G367)),IF($F367&gt;$G367,1,0),0)</f>
        <v>0</v>
      </c>
      <c r="AA367" s="9" t="n">
        <f aca="false">IF(AND($P367="Derived",$V367="觀測"),1,0)</f>
        <v>0</v>
      </c>
      <c r="AB367" s="12" t="s">
        <v>90</v>
      </c>
    </row>
    <row r="368" customFormat="false" ht="15" hidden="false" customHeight="false" outlineLevel="0" collapsed="false">
      <c r="A368" s="9" t="s">
        <v>2265</v>
      </c>
      <c r="B368" s="9" t="s">
        <v>2266</v>
      </c>
      <c r="C368" s="9" t="s">
        <v>2175</v>
      </c>
      <c r="D368" s="9" t="s">
        <v>2267</v>
      </c>
      <c r="E368" s="9"/>
      <c r="F368" s="10" t="n">
        <v>20</v>
      </c>
      <c r="G368" s="10" t="n">
        <v>26</v>
      </c>
      <c r="H368" s="9" t="s">
        <v>76</v>
      </c>
      <c r="I368" s="9" t="s">
        <v>1247</v>
      </c>
      <c r="J368" s="9"/>
      <c r="K368" s="9"/>
      <c r="L368" s="9" t="s">
        <v>1840</v>
      </c>
      <c r="M368" s="9" t="s">
        <v>1841</v>
      </c>
      <c r="N368" s="9" t="s">
        <v>1037</v>
      </c>
      <c r="O368" s="9" t="s">
        <v>82</v>
      </c>
      <c r="P368" s="9" t="s">
        <v>83</v>
      </c>
      <c r="Q368" s="9" t="s">
        <v>1791</v>
      </c>
      <c r="R368" s="9" t="s">
        <v>85</v>
      </c>
      <c r="S368" s="11" t="s">
        <v>86</v>
      </c>
      <c r="T368" s="9" t="s">
        <v>1791</v>
      </c>
      <c r="U368" s="11" t="s">
        <v>87</v>
      </c>
      <c r="V368" s="11" t="s">
        <v>88</v>
      </c>
      <c r="W368" s="11" t="s">
        <v>2268</v>
      </c>
      <c r="X368" s="9" t="n">
        <f aca="false">IF(AND(COUNT($E368:$G368)=0,LEFT($H368,2)&lt;&gt;"定性",LEFT($H368,2)&lt;&gt;"文字",LEFT($H368,2)&lt;&gt;"日期"),1,0)</f>
        <v>0</v>
      </c>
      <c r="Y368" s="9" t="n">
        <f aca="false">IF(OR($L368="",$M368=""),1,0)</f>
        <v>0</v>
      </c>
      <c r="Z368" s="9" t="n">
        <f aca="false">IF(AND(ISNUMBER($E368),ISNUMBER($F368)),IF($F368&gt;$E368,1,0),0)+IF(AND(ISNUMBER($E368),ISNUMBER($G368)),IF($E368&gt;$G368,1,0),0)+IF(AND(ISNUMBER($F368),ISNUMBER($G368)),IF($F368&gt;$G368,1,0),0)</f>
        <v>0</v>
      </c>
      <c r="AA368" s="9" t="n">
        <f aca="false">IF(AND($P368="Derived",$V368="觀測"),1,0)</f>
        <v>0</v>
      </c>
      <c r="AB368" s="12" t="s">
        <v>90</v>
      </c>
    </row>
    <row r="369" customFormat="false" ht="15" hidden="false" customHeight="false" outlineLevel="0" collapsed="false">
      <c r="A369" s="9" t="s">
        <v>2269</v>
      </c>
      <c r="B369" s="9" t="s">
        <v>2270</v>
      </c>
      <c r="C369" s="9" t="s">
        <v>2175</v>
      </c>
      <c r="D369" s="9" t="s">
        <v>2271</v>
      </c>
      <c r="E369" s="10" t="n">
        <v>17</v>
      </c>
      <c r="F369" s="9"/>
      <c r="G369" s="9"/>
      <c r="H369" s="9" t="s">
        <v>482</v>
      </c>
      <c r="I369" s="9" t="s">
        <v>2190</v>
      </c>
      <c r="J369" s="9"/>
      <c r="K369" s="9"/>
      <c r="L369" s="9" t="s">
        <v>1840</v>
      </c>
      <c r="M369" s="9" t="s">
        <v>1841</v>
      </c>
      <c r="N369" s="9" t="s">
        <v>1037</v>
      </c>
      <c r="O369" s="9" t="s">
        <v>82</v>
      </c>
      <c r="P369" s="9" t="s">
        <v>83</v>
      </c>
      <c r="Q369" s="9" t="s">
        <v>1791</v>
      </c>
      <c r="R369" s="9" t="s">
        <v>85</v>
      </c>
      <c r="S369" s="11" t="s">
        <v>86</v>
      </c>
      <c r="T369" s="9" t="s">
        <v>1791</v>
      </c>
      <c r="U369" s="11" t="s">
        <v>87</v>
      </c>
      <c r="V369" s="11" t="s">
        <v>88</v>
      </c>
      <c r="W369" s="11" t="s">
        <v>2272</v>
      </c>
      <c r="X369" s="9" t="n">
        <f aca="false">IF(AND(COUNT($E369:$G369)=0,LEFT($H369,2)&lt;&gt;"定性",LEFT($H369,2)&lt;&gt;"文字",LEFT($H369,2)&lt;&gt;"日期"),1,0)</f>
        <v>0</v>
      </c>
      <c r="Y369" s="9" t="n">
        <f aca="false">IF(OR($L369="",$M369=""),1,0)</f>
        <v>0</v>
      </c>
      <c r="Z369" s="9" t="n">
        <f aca="false">IF(AND(ISNUMBER($E369),ISNUMBER($F369)),IF($F369&gt;$E369,1,0),0)+IF(AND(ISNUMBER($E369),ISNUMBER($G369)),IF($E369&gt;$G369,1,0),0)+IF(AND(ISNUMBER($F369),ISNUMBER($G369)),IF($F369&gt;$G369,1,0),0)</f>
        <v>0</v>
      </c>
      <c r="AA369" s="9" t="n">
        <f aca="false">IF(AND($P369="Derived",$V369="觀測"),1,0)</f>
        <v>0</v>
      </c>
      <c r="AB369" s="12" t="s">
        <v>90</v>
      </c>
    </row>
    <row r="370" customFormat="false" ht="15" hidden="false" customHeight="false" outlineLevel="0" collapsed="false">
      <c r="A370" s="9" t="s">
        <v>2273</v>
      </c>
      <c r="B370" s="9" t="s">
        <v>2274</v>
      </c>
      <c r="C370" s="9" t="s">
        <v>2175</v>
      </c>
      <c r="D370" s="11" t="s">
        <v>2275</v>
      </c>
      <c r="E370" s="10" t="n">
        <v>2028</v>
      </c>
      <c r="F370" s="9"/>
      <c r="G370" s="9"/>
      <c r="H370" s="11" t="s">
        <v>2189</v>
      </c>
      <c r="I370" s="9" t="s">
        <v>2190</v>
      </c>
      <c r="J370" s="9"/>
      <c r="K370" s="9"/>
      <c r="L370" s="9" t="s">
        <v>1840</v>
      </c>
      <c r="M370" s="9" t="s">
        <v>1841</v>
      </c>
      <c r="N370" s="9" t="s">
        <v>1037</v>
      </c>
      <c r="O370" s="9" t="s">
        <v>82</v>
      </c>
      <c r="P370" s="9" t="s">
        <v>83</v>
      </c>
      <c r="Q370" s="9" t="s">
        <v>1791</v>
      </c>
      <c r="R370" s="9" t="s">
        <v>85</v>
      </c>
      <c r="S370" s="11" t="s">
        <v>86</v>
      </c>
      <c r="T370" s="9" t="s">
        <v>1791</v>
      </c>
      <c r="U370" s="11" t="s">
        <v>87</v>
      </c>
      <c r="V370" s="11" t="s">
        <v>88</v>
      </c>
      <c r="W370" s="11" t="s">
        <v>2276</v>
      </c>
      <c r="X370" s="9" t="n">
        <f aca="false">IF(AND(COUNT($E370:$G370)=0,LEFT($H370,2)&lt;&gt;"定性",LEFT($H370,2)&lt;&gt;"文字",LEFT($H370,2)&lt;&gt;"日期"),1,0)</f>
        <v>0</v>
      </c>
      <c r="Y370" s="9" t="n">
        <f aca="false">IF(OR($L370="",$M370=""),1,0)</f>
        <v>0</v>
      </c>
      <c r="Z370" s="9" t="n">
        <f aca="false">IF(AND(ISNUMBER($E370),ISNUMBER($F370)),IF($F370&gt;$E370,1,0),0)+IF(AND(ISNUMBER($E370),ISNUMBER($G370)),IF($E370&gt;$G370,1,0),0)+IF(AND(ISNUMBER($F370),ISNUMBER($G370)),IF($F370&gt;$G370,1,0),0)</f>
        <v>0</v>
      </c>
      <c r="AA370" s="9" t="n">
        <f aca="false">IF(AND($P370="Derived",$V370="觀測"),1,0)</f>
        <v>0</v>
      </c>
      <c r="AB370" s="12" t="s">
        <v>90</v>
      </c>
    </row>
    <row r="371" customFormat="false" ht="15" hidden="false" customHeight="false" outlineLevel="0" collapsed="false">
      <c r="A371" s="9" t="s">
        <v>2277</v>
      </c>
      <c r="B371" s="9" t="s">
        <v>2278</v>
      </c>
      <c r="C371" s="9" t="s">
        <v>2175</v>
      </c>
      <c r="D371" s="11" t="s">
        <v>2279</v>
      </c>
      <c r="E371" s="10" t="n">
        <v>2028</v>
      </c>
      <c r="F371" s="9"/>
      <c r="G371" s="9"/>
      <c r="H371" s="11" t="s">
        <v>2189</v>
      </c>
      <c r="I371" s="9" t="s">
        <v>2190</v>
      </c>
      <c r="J371" s="9"/>
      <c r="K371" s="9"/>
      <c r="L371" s="9" t="s">
        <v>2213</v>
      </c>
      <c r="M371" s="9" t="s">
        <v>2214</v>
      </c>
      <c r="N371" s="9" t="s">
        <v>2215</v>
      </c>
      <c r="O371" s="9" t="s">
        <v>82</v>
      </c>
      <c r="P371" s="9" t="s">
        <v>83</v>
      </c>
      <c r="Q371" s="9" t="s">
        <v>1791</v>
      </c>
      <c r="R371" s="9" t="s">
        <v>85</v>
      </c>
      <c r="S371" s="11" t="s">
        <v>86</v>
      </c>
      <c r="T371" s="9" t="s">
        <v>1791</v>
      </c>
      <c r="U371" s="11" t="s">
        <v>87</v>
      </c>
      <c r="V371" s="11" t="s">
        <v>88</v>
      </c>
      <c r="W371" s="11" t="s">
        <v>2280</v>
      </c>
      <c r="X371" s="9" t="n">
        <f aca="false">IF(AND(COUNT($E371:$G371)=0,LEFT($H371,2)&lt;&gt;"定性",LEFT($H371,2)&lt;&gt;"文字",LEFT($H371,2)&lt;&gt;"日期"),1,0)</f>
        <v>0</v>
      </c>
      <c r="Y371" s="9" t="n">
        <f aca="false">IF(OR($L371="",$M371=""),1,0)</f>
        <v>0</v>
      </c>
      <c r="Z371" s="9" t="n">
        <f aca="false">IF(AND(ISNUMBER($E371),ISNUMBER($F371)),IF($F371&gt;$E371,1,0),0)+IF(AND(ISNUMBER($E371),ISNUMBER($G371)),IF($E371&gt;$G371,1,0),0)+IF(AND(ISNUMBER($F371),ISNUMBER($G371)),IF($F371&gt;$G371,1,0),0)</f>
        <v>0</v>
      </c>
      <c r="AA371" s="9" t="n">
        <f aca="false">IF(AND($P371="Derived",$V371="觀測"),1,0)</f>
        <v>0</v>
      </c>
      <c r="AB371" s="12" t="s">
        <v>90</v>
      </c>
    </row>
    <row r="372" customFormat="false" ht="15" hidden="false" customHeight="false" outlineLevel="0" collapsed="false">
      <c r="A372" s="9" t="s">
        <v>2281</v>
      </c>
      <c r="B372" s="9" t="s">
        <v>2282</v>
      </c>
      <c r="C372" s="9" t="s">
        <v>2175</v>
      </c>
      <c r="D372" s="9" t="s">
        <v>2283</v>
      </c>
      <c r="E372" s="10" t="n">
        <v>18</v>
      </c>
      <c r="F372" s="9"/>
      <c r="G372" s="10" t="n">
        <v>18</v>
      </c>
      <c r="H372" s="9" t="s">
        <v>482</v>
      </c>
      <c r="I372" s="9" t="s">
        <v>2212</v>
      </c>
      <c r="J372" s="9"/>
      <c r="K372" s="9"/>
      <c r="L372" s="9" t="s">
        <v>2284</v>
      </c>
      <c r="M372" s="9" t="s">
        <v>2285</v>
      </c>
      <c r="N372" s="9" t="s">
        <v>1647</v>
      </c>
      <c r="O372" s="9" t="s">
        <v>82</v>
      </c>
      <c r="P372" s="9" t="s">
        <v>83</v>
      </c>
      <c r="Q372" s="9" t="s">
        <v>1791</v>
      </c>
      <c r="R372" s="9" t="s">
        <v>85</v>
      </c>
      <c r="S372" s="11" t="s">
        <v>86</v>
      </c>
      <c r="T372" s="9" t="s">
        <v>1791</v>
      </c>
      <c r="U372" s="11" t="s">
        <v>87</v>
      </c>
      <c r="V372" s="11" t="s">
        <v>88</v>
      </c>
      <c r="W372" s="11" t="s">
        <v>2286</v>
      </c>
      <c r="X372" s="9" t="n">
        <f aca="false">IF(AND(COUNT($E372:$G372)=0,LEFT($H372,2)&lt;&gt;"定性",LEFT($H372,2)&lt;&gt;"文字",LEFT($H372,2)&lt;&gt;"日期"),1,0)</f>
        <v>0</v>
      </c>
      <c r="Y372" s="9" t="n">
        <f aca="false">IF(OR($L372="",$M372=""),1,0)</f>
        <v>0</v>
      </c>
      <c r="Z372" s="9" t="n">
        <f aca="false">IF(AND(ISNUMBER($E372),ISNUMBER($F372)),IF($F372&gt;$E372,1,0),0)+IF(AND(ISNUMBER($E372),ISNUMBER($G372)),IF($E372&gt;$G372,1,0),0)+IF(AND(ISNUMBER($F372),ISNUMBER($G372)),IF($F372&gt;$G372,1,0),0)</f>
        <v>0</v>
      </c>
      <c r="AA372" s="9" t="n">
        <f aca="false">IF(AND($P372="Derived",$V372="觀測"),1,0)</f>
        <v>0</v>
      </c>
      <c r="AB372" s="12" t="s">
        <v>90</v>
      </c>
    </row>
    <row r="373" customFormat="false" ht="15" hidden="false" customHeight="false" outlineLevel="0" collapsed="false">
      <c r="A373" s="9" t="s">
        <v>2287</v>
      </c>
      <c r="B373" s="9" t="s">
        <v>2288</v>
      </c>
      <c r="C373" s="9" t="s">
        <v>2175</v>
      </c>
      <c r="D373" s="9" t="s">
        <v>2289</v>
      </c>
      <c r="E373" s="10" t="n">
        <v>55</v>
      </c>
      <c r="F373" s="9"/>
      <c r="G373" s="9"/>
      <c r="H373" s="9" t="s">
        <v>482</v>
      </c>
      <c r="I373" s="9" t="s">
        <v>2220</v>
      </c>
      <c r="J373" s="9"/>
      <c r="K373" s="9"/>
      <c r="L373" s="9" t="s">
        <v>2290</v>
      </c>
      <c r="M373" s="9" t="s">
        <v>2285</v>
      </c>
      <c r="N373" s="9" t="s">
        <v>1647</v>
      </c>
      <c r="O373" s="9" t="s">
        <v>82</v>
      </c>
      <c r="P373" s="9" t="s">
        <v>83</v>
      </c>
      <c r="Q373" s="9" t="s">
        <v>1791</v>
      </c>
      <c r="R373" s="9" t="s">
        <v>85</v>
      </c>
      <c r="S373" s="11" t="s">
        <v>86</v>
      </c>
      <c r="T373" s="9" t="s">
        <v>1791</v>
      </c>
      <c r="U373" s="11" t="s">
        <v>87</v>
      </c>
      <c r="V373" s="11" t="s">
        <v>88</v>
      </c>
      <c r="W373" s="11" t="s">
        <v>2291</v>
      </c>
      <c r="X373" s="9" t="n">
        <f aca="false">IF(AND(COUNT($E373:$G373)=0,LEFT($H373,2)&lt;&gt;"定性",LEFT($H373,2)&lt;&gt;"文字",LEFT($H373,2)&lt;&gt;"日期"),1,0)</f>
        <v>0</v>
      </c>
      <c r="Y373" s="9" t="n">
        <f aca="false">IF(OR($L373="",$M373=""),1,0)</f>
        <v>0</v>
      </c>
      <c r="Z373" s="9" t="n">
        <f aca="false">IF(AND(ISNUMBER($E373),ISNUMBER($F373)),IF($F373&gt;$E373,1,0),0)+IF(AND(ISNUMBER($E373),ISNUMBER($G373)),IF($E373&gt;$G373,1,0),0)+IF(AND(ISNUMBER($F373),ISNUMBER($G373)),IF($F373&gt;$G373,1,0),0)</f>
        <v>0</v>
      </c>
      <c r="AA373" s="9" t="n">
        <f aca="false">IF(AND($P373="Derived",$V373="觀測"),1,0)</f>
        <v>0</v>
      </c>
      <c r="AB373" s="12" t="s">
        <v>90</v>
      </c>
    </row>
    <row r="374" customFormat="false" ht="15" hidden="false" customHeight="false" outlineLevel="0" collapsed="false">
      <c r="A374" s="9" t="s">
        <v>2292</v>
      </c>
      <c r="B374" s="9" t="s">
        <v>2293</v>
      </c>
      <c r="C374" s="9" t="s">
        <v>2175</v>
      </c>
      <c r="D374" s="9" t="s">
        <v>2294</v>
      </c>
      <c r="E374" s="10" t="n">
        <v>148</v>
      </c>
      <c r="F374" s="9"/>
      <c r="G374" s="10" t="n">
        <v>148</v>
      </c>
      <c r="H374" s="9" t="s">
        <v>482</v>
      </c>
      <c r="I374" s="9" t="s">
        <v>2295</v>
      </c>
      <c r="J374" s="9"/>
      <c r="K374" s="9"/>
      <c r="L374" s="9" t="s">
        <v>2230</v>
      </c>
      <c r="M374" s="9" t="s">
        <v>1632</v>
      </c>
      <c r="N374" s="9" t="s">
        <v>1633</v>
      </c>
      <c r="O374" s="9" t="s">
        <v>82</v>
      </c>
      <c r="P374" s="9" t="s">
        <v>83</v>
      </c>
      <c r="Q374" s="9" t="s">
        <v>1791</v>
      </c>
      <c r="R374" s="9" t="s">
        <v>85</v>
      </c>
      <c r="S374" s="11" t="s">
        <v>86</v>
      </c>
      <c r="T374" s="9" t="s">
        <v>1791</v>
      </c>
      <c r="U374" s="11" t="s">
        <v>87</v>
      </c>
      <c r="V374" s="11" t="s">
        <v>88</v>
      </c>
      <c r="W374" s="11" t="s">
        <v>2296</v>
      </c>
      <c r="X374" s="9" t="n">
        <f aca="false">IF(AND(COUNT($E374:$G374)=0,LEFT($H374,2)&lt;&gt;"定性",LEFT($H374,2)&lt;&gt;"文字",LEFT($H374,2)&lt;&gt;"日期"),1,0)</f>
        <v>0</v>
      </c>
      <c r="Y374" s="9" t="n">
        <f aca="false">IF(OR($L374="",$M374=""),1,0)</f>
        <v>0</v>
      </c>
      <c r="Z374" s="9" t="n">
        <f aca="false">IF(AND(ISNUMBER($E374),ISNUMBER($F374)),IF($F374&gt;$E374,1,0),0)+IF(AND(ISNUMBER($E374),ISNUMBER($G374)),IF($E374&gt;$G374,1,0),0)+IF(AND(ISNUMBER($F374),ISNUMBER($G374)),IF($F374&gt;$G374,1,0),0)</f>
        <v>0</v>
      </c>
      <c r="AA374" s="9" t="n">
        <f aca="false">IF(AND($P374="Derived",$V374="觀測"),1,0)</f>
        <v>0</v>
      </c>
      <c r="AB374" s="12" t="s">
        <v>90</v>
      </c>
    </row>
    <row r="375" customFormat="false" ht="15" hidden="false" customHeight="false" outlineLevel="0" collapsed="false">
      <c r="A375" s="9" t="s">
        <v>2297</v>
      </c>
      <c r="B375" s="9" t="s">
        <v>2298</v>
      </c>
      <c r="C375" s="9" t="s">
        <v>2175</v>
      </c>
      <c r="D375" s="11" t="s">
        <v>2299</v>
      </c>
      <c r="E375" s="10" t="n">
        <v>2028</v>
      </c>
      <c r="F375" s="9"/>
      <c r="G375" s="9"/>
      <c r="H375" s="11" t="s">
        <v>2189</v>
      </c>
      <c r="I375" s="9" t="s">
        <v>2190</v>
      </c>
      <c r="J375" s="9"/>
      <c r="K375" s="9"/>
      <c r="L375" s="9" t="s">
        <v>2290</v>
      </c>
      <c r="M375" s="9" t="s">
        <v>2285</v>
      </c>
      <c r="N375" s="9" t="s">
        <v>1647</v>
      </c>
      <c r="O375" s="9" t="s">
        <v>82</v>
      </c>
      <c r="P375" s="9" t="s">
        <v>83</v>
      </c>
      <c r="Q375" s="9" t="s">
        <v>1791</v>
      </c>
      <c r="R375" s="9" t="s">
        <v>85</v>
      </c>
      <c r="S375" s="11" t="s">
        <v>86</v>
      </c>
      <c r="T375" s="9" t="s">
        <v>1791</v>
      </c>
      <c r="U375" s="11" t="s">
        <v>87</v>
      </c>
      <c r="V375" s="11" t="s">
        <v>88</v>
      </c>
      <c r="W375" s="11" t="s">
        <v>2300</v>
      </c>
      <c r="X375" s="9" t="n">
        <f aca="false">IF(AND(COUNT($E375:$G375)=0,LEFT($H375,2)&lt;&gt;"定性",LEFT($H375,2)&lt;&gt;"文字",LEFT($H375,2)&lt;&gt;"日期"),1,0)</f>
        <v>0</v>
      </c>
      <c r="Y375" s="9" t="n">
        <f aca="false">IF(OR($L375="",$M375=""),1,0)</f>
        <v>0</v>
      </c>
      <c r="Z375" s="9" t="n">
        <f aca="false">IF(AND(ISNUMBER($E375),ISNUMBER($F375)),IF($F375&gt;$E375,1,0),0)+IF(AND(ISNUMBER($E375),ISNUMBER($G375)),IF($E375&gt;$G375,1,0),0)+IF(AND(ISNUMBER($F375),ISNUMBER($G375)),IF($F375&gt;$G375,1,0),0)</f>
        <v>0</v>
      </c>
      <c r="AA375" s="9" t="n">
        <f aca="false">IF(AND($P375="Derived",$V375="觀測"),1,0)</f>
        <v>0</v>
      </c>
      <c r="AB375" s="12" t="s">
        <v>90</v>
      </c>
    </row>
    <row r="376" customFormat="false" ht="15" hidden="false" customHeight="false" outlineLevel="0" collapsed="false">
      <c r="A376" s="9" t="s">
        <v>2301</v>
      </c>
      <c r="B376" s="9" t="s">
        <v>2302</v>
      </c>
      <c r="C376" s="9" t="s">
        <v>2175</v>
      </c>
      <c r="D376" s="11" t="s">
        <v>2303</v>
      </c>
      <c r="E376" s="10" t="n">
        <v>2028</v>
      </c>
      <c r="F376" s="9"/>
      <c r="G376" s="9"/>
      <c r="H376" s="11" t="s">
        <v>2189</v>
      </c>
      <c r="I376" s="9" t="s">
        <v>2190</v>
      </c>
      <c r="J376" s="9"/>
      <c r="K376" s="9"/>
      <c r="L376" s="9" t="s">
        <v>2304</v>
      </c>
      <c r="M376" s="9" t="s">
        <v>2305</v>
      </c>
      <c r="N376" s="9" t="s">
        <v>229</v>
      </c>
      <c r="O376" s="9" t="s">
        <v>82</v>
      </c>
      <c r="P376" s="9" t="s">
        <v>83</v>
      </c>
      <c r="Q376" s="9" t="s">
        <v>1791</v>
      </c>
      <c r="R376" s="9" t="s">
        <v>85</v>
      </c>
      <c r="S376" s="11" t="s">
        <v>86</v>
      </c>
      <c r="T376" s="9" t="s">
        <v>1791</v>
      </c>
      <c r="U376" s="11" t="s">
        <v>87</v>
      </c>
      <c r="V376" s="11" t="s">
        <v>88</v>
      </c>
      <c r="W376" s="11" t="s">
        <v>2306</v>
      </c>
      <c r="X376" s="9" t="n">
        <f aca="false">IF(AND(COUNT($E376:$G376)=0,LEFT($H376,2)&lt;&gt;"定性",LEFT($H376,2)&lt;&gt;"文字",LEFT($H376,2)&lt;&gt;"日期"),1,0)</f>
        <v>0</v>
      </c>
      <c r="Y376" s="9" t="n">
        <f aca="false">IF(OR($L376="",$M376=""),1,0)</f>
        <v>0</v>
      </c>
      <c r="Z376" s="9" t="n">
        <f aca="false">IF(AND(ISNUMBER($E376),ISNUMBER($F376)),IF($F376&gt;$E376,1,0),0)+IF(AND(ISNUMBER($E376),ISNUMBER($G376)),IF($E376&gt;$G376,1,0),0)+IF(AND(ISNUMBER($F376),ISNUMBER($G376)),IF($F376&gt;$G376,1,0),0)</f>
        <v>0</v>
      </c>
      <c r="AA376" s="9" t="n">
        <f aca="false">IF(AND($P376="Derived",$V376="觀測"),1,0)</f>
        <v>0</v>
      </c>
      <c r="AB376" s="12" t="s">
        <v>90</v>
      </c>
    </row>
    <row r="377" customFormat="false" ht="15" hidden="false" customHeight="false" outlineLevel="0" collapsed="false">
      <c r="A377" s="9" t="s">
        <v>2307</v>
      </c>
      <c r="B377" s="9" t="s">
        <v>2308</v>
      </c>
      <c r="C377" s="9" t="s">
        <v>2175</v>
      </c>
      <c r="D377" s="9" t="s">
        <v>2309</v>
      </c>
      <c r="E377" s="9"/>
      <c r="F377" s="10" t="n">
        <v>100</v>
      </c>
      <c r="G377" s="10" t="n">
        <v>120</v>
      </c>
      <c r="H377" s="9" t="s">
        <v>76</v>
      </c>
      <c r="I377" s="9" t="s">
        <v>1247</v>
      </c>
      <c r="J377" s="9"/>
      <c r="K377" s="9"/>
      <c r="L377" s="9" t="s">
        <v>2310</v>
      </c>
      <c r="M377" s="9" t="s">
        <v>242</v>
      </c>
      <c r="N377" s="9" t="s">
        <v>115</v>
      </c>
      <c r="O377" s="9" t="s">
        <v>82</v>
      </c>
      <c r="P377" s="9" t="s">
        <v>83</v>
      </c>
      <c r="Q377" s="11" t="s">
        <v>2311</v>
      </c>
      <c r="R377" s="9" t="s">
        <v>85</v>
      </c>
      <c r="S377" s="11" t="s">
        <v>86</v>
      </c>
      <c r="T377" s="11" t="s">
        <v>2311</v>
      </c>
      <c r="U377" s="11" t="s">
        <v>87</v>
      </c>
      <c r="V377" s="11" t="s">
        <v>88</v>
      </c>
      <c r="W377" s="11" t="s">
        <v>2312</v>
      </c>
      <c r="X377" s="9" t="n">
        <f aca="false">IF(AND(COUNT($E377:$G377)=0,LEFT($H377,2)&lt;&gt;"定性",LEFT($H377,2)&lt;&gt;"文字",LEFT($H377,2)&lt;&gt;"日期"),1,0)</f>
        <v>0</v>
      </c>
      <c r="Y377" s="9" t="n">
        <f aca="false">IF(OR($L377="",$M377=""),1,0)</f>
        <v>0</v>
      </c>
      <c r="Z377" s="9" t="n">
        <f aca="false">IF(AND(ISNUMBER($E377),ISNUMBER($F377)),IF($F377&gt;$E377,1,0),0)+IF(AND(ISNUMBER($E377),ISNUMBER($G377)),IF($E377&gt;$G377,1,0),0)+IF(AND(ISNUMBER($F377),ISNUMBER($G377)),IF($F377&gt;$G377,1,0),0)</f>
        <v>0</v>
      </c>
      <c r="AA377" s="9" t="n">
        <f aca="false">IF(AND($P377="Derived",$V377="觀測"),1,0)</f>
        <v>0</v>
      </c>
      <c r="AB377" s="12" t="s">
        <v>90</v>
      </c>
    </row>
    <row r="378" customFormat="false" ht="15" hidden="false" customHeight="false" outlineLevel="0" collapsed="false">
      <c r="A378" s="9" t="s">
        <v>2313</v>
      </c>
      <c r="B378" s="9" t="s">
        <v>2314</v>
      </c>
      <c r="C378" s="9" t="s">
        <v>2175</v>
      </c>
      <c r="D378" s="11" t="s">
        <v>2315</v>
      </c>
      <c r="E378" s="10" t="n">
        <v>30000</v>
      </c>
      <c r="F378" s="10" t="n">
        <v>30000</v>
      </c>
      <c r="G378" s="9"/>
      <c r="H378" s="9" t="s">
        <v>482</v>
      </c>
      <c r="I378" s="9" t="s">
        <v>465</v>
      </c>
      <c r="J378" s="9"/>
      <c r="K378" s="9"/>
      <c r="L378" s="9" t="s">
        <v>2191</v>
      </c>
      <c r="M378" s="9" t="s">
        <v>2316</v>
      </c>
      <c r="N378" s="9" t="s">
        <v>2317</v>
      </c>
      <c r="O378" s="9" t="s">
        <v>82</v>
      </c>
      <c r="P378" s="9" t="s">
        <v>83</v>
      </c>
      <c r="Q378" s="9" t="s">
        <v>2318</v>
      </c>
      <c r="R378" s="9" t="s">
        <v>85</v>
      </c>
      <c r="S378" s="11" t="s">
        <v>86</v>
      </c>
      <c r="T378" s="9" t="s">
        <v>2318</v>
      </c>
      <c r="U378" s="11" t="s">
        <v>87</v>
      </c>
      <c r="V378" s="11" t="s">
        <v>88</v>
      </c>
      <c r="W378" s="11" t="s">
        <v>2319</v>
      </c>
      <c r="X378" s="9" t="n">
        <f aca="false">IF(AND(COUNT($E378:$G378)=0,LEFT($H378,2)&lt;&gt;"定性",LEFT($H378,2)&lt;&gt;"文字",LEFT($H378,2)&lt;&gt;"日期"),1,0)</f>
        <v>0</v>
      </c>
      <c r="Y378" s="9" t="n">
        <f aca="false">IF(OR($L378="",$M378=""),1,0)</f>
        <v>0</v>
      </c>
      <c r="Z378" s="9" t="n">
        <f aca="false">IF(AND(ISNUMBER($E378),ISNUMBER($F378)),IF($F378&gt;$E378,1,0),0)+IF(AND(ISNUMBER($E378),ISNUMBER($G378)),IF($E378&gt;$G378,1,0),0)+IF(AND(ISNUMBER($F378),ISNUMBER($G378)),IF($F378&gt;$G378,1,0),0)</f>
        <v>0</v>
      </c>
      <c r="AA378" s="9" t="n">
        <f aca="false">IF(AND($P378="Derived",$V378="觀測"),1,0)</f>
        <v>0</v>
      </c>
      <c r="AB378" s="12" t="s">
        <v>90</v>
      </c>
    </row>
    <row r="379" customFormat="false" ht="15" hidden="false" customHeight="false" outlineLevel="0" collapsed="false">
      <c r="A379" s="9" t="s">
        <v>2320</v>
      </c>
      <c r="B379" s="9" t="s">
        <v>2321</v>
      </c>
      <c r="C379" s="9" t="s">
        <v>2175</v>
      </c>
      <c r="D379" s="9" t="s">
        <v>2322</v>
      </c>
      <c r="E379" s="10" t="n">
        <v>0.5</v>
      </c>
      <c r="F379" s="9"/>
      <c r="G379" s="9"/>
      <c r="H379" s="11" t="s">
        <v>269</v>
      </c>
      <c r="I379" s="9" t="s">
        <v>1748</v>
      </c>
      <c r="J379" s="9"/>
      <c r="K379" s="9"/>
      <c r="L379" s="9" t="s">
        <v>1840</v>
      </c>
      <c r="M379" s="9" t="s">
        <v>1841</v>
      </c>
      <c r="N379" s="9" t="s">
        <v>1037</v>
      </c>
      <c r="O379" s="9" t="s">
        <v>82</v>
      </c>
      <c r="P379" s="9" t="s">
        <v>83</v>
      </c>
      <c r="Q379" s="9" t="s">
        <v>1791</v>
      </c>
      <c r="R379" s="9" t="s">
        <v>85</v>
      </c>
      <c r="S379" s="11" t="s">
        <v>86</v>
      </c>
      <c r="T379" s="9" t="s">
        <v>1791</v>
      </c>
      <c r="U379" s="11" t="s">
        <v>87</v>
      </c>
      <c r="V379" s="11" t="s">
        <v>88</v>
      </c>
      <c r="W379" s="11" t="s">
        <v>2323</v>
      </c>
      <c r="X379" s="9" t="n">
        <f aca="false">IF(AND(COUNT($E379:$G379)=0,LEFT($H379,2)&lt;&gt;"定性",LEFT($H379,2)&lt;&gt;"文字",LEFT($H379,2)&lt;&gt;"日期"),1,0)</f>
        <v>0</v>
      </c>
      <c r="Y379" s="9" t="n">
        <f aca="false">IF(OR($L379="",$M379=""),1,0)</f>
        <v>0</v>
      </c>
      <c r="Z379" s="9" t="n">
        <f aca="false">IF(AND(ISNUMBER($E379),ISNUMBER($F379)),IF($F379&gt;$E379,1,0),0)+IF(AND(ISNUMBER($E379),ISNUMBER($G379)),IF($E379&gt;$G379,1,0),0)+IF(AND(ISNUMBER($F379),ISNUMBER($G379)),IF($F379&gt;$G379,1,0),0)</f>
        <v>0</v>
      </c>
      <c r="AA379" s="9" t="n">
        <f aca="false">IF(AND($P379="Derived",$V379="觀測"),1,0)</f>
        <v>0</v>
      </c>
      <c r="AB379" s="12" t="s">
        <v>90</v>
      </c>
    </row>
    <row r="380" customFormat="false" ht="15" hidden="false" customHeight="false" outlineLevel="0" collapsed="false">
      <c r="A380" s="9" t="s">
        <v>2324</v>
      </c>
      <c r="B380" s="9" t="s">
        <v>2325</v>
      </c>
      <c r="C380" s="9" t="s">
        <v>2175</v>
      </c>
      <c r="D380" s="9" t="s">
        <v>2326</v>
      </c>
      <c r="E380" s="10" t="n">
        <v>0.77</v>
      </c>
      <c r="F380" s="9"/>
      <c r="G380" s="9"/>
      <c r="H380" s="11" t="s">
        <v>269</v>
      </c>
      <c r="I380" s="9" t="s">
        <v>2190</v>
      </c>
      <c r="J380" s="9"/>
      <c r="K380" s="9"/>
      <c r="L380" s="9" t="s">
        <v>1840</v>
      </c>
      <c r="M380" s="9" t="s">
        <v>1841</v>
      </c>
      <c r="N380" s="9" t="s">
        <v>1037</v>
      </c>
      <c r="O380" s="9" t="s">
        <v>82</v>
      </c>
      <c r="P380" s="9" t="s">
        <v>83</v>
      </c>
      <c r="Q380" s="9" t="s">
        <v>1791</v>
      </c>
      <c r="R380" s="9" t="s">
        <v>85</v>
      </c>
      <c r="S380" s="11" t="s">
        <v>86</v>
      </c>
      <c r="T380" s="9" t="s">
        <v>1791</v>
      </c>
      <c r="U380" s="11" t="s">
        <v>87</v>
      </c>
      <c r="V380" s="11" t="s">
        <v>88</v>
      </c>
      <c r="W380" s="11" t="s">
        <v>2327</v>
      </c>
      <c r="X380" s="9" t="n">
        <f aca="false">IF(AND(COUNT($E380:$G380)=0,LEFT($H380,2)&lt;&gt;"定性",LEFT($H380,2)&lt;&gt;"文字",LEFT($H380,2)&lt;&gt;"日期"),1,0)</f>
        <v>0</v>
      </c>
      <c r="Y380" s="9" t="n">
        <f aca="false">IF(OR($L380="",$M380=""),1,0)</f>
        <v>0</v>
      </c>
      <c r="Z380" s="9" t="n">
        <f aca="false">IF(AND(ISNUMBER($E380),ISNUMBER($F380)),IF($F380&gt;$E380,1,0),0)+IF(AND(ISNUMBER($E380),ISNUMBER($G380)),IF($E380&gt;$G380,1,0),0)+IF(AND(ISNUMBER($F380),ISNUMBER($G380)),IF($F380&gt;$G380,1,0),0)</f>
        <v>0</v>
      </c>
      <c r="AA380" s="9" t="n">
        <f aca="false">IF(AND($P380="Derived",$V380="觀測"),1,0)</f>
        <v>0</v>
      </c>
      <c r="AB380" s="12" t="s">
        <v>90</v>
      </c>
    </row>
    <row r="381" customFormat="false" ht="15" hidden="false" customHeight="false" outlineLevel="0" collapsed="false">
      <c r="A381" s="9" t="s">
        <v>2328</v>
      </c>
      <c r="B381" s="9" t="s">
        <v>2329</v>
      </c>
      <c r="C381" s="9" t="s">
        <v>74</v>
      </c>
      <c r="D381" s="9" t="s">
        <v>2330</v>
      </c>
      <c r="E381" s="10" t="n">
        <v>10.88</v>
      </c>
      <c r="F381" s="9"/>
      <c r="G381" s="9"/>
      <c r="H381" s="11" t="s">
        <v>2331</v>
      </c>
      <c r="I381" s="9" t="s">
        <v>77</v>
      </c>
      <c r="J381" s="9"/>
      <c r="K381" s="11" t="s">
        <v>78</v>
      </c>
      <c r="L381" s="9" t="s">
        <v>79</v>
      </c>
      <c r="M381" s="9" t="s">
        <v>80</v>
      </c>
      <c r="N381" s="9" t="s">
        <v>81</v>
      </c>
      <c r="O381" s="9" t="s">
        <v>82</v>
      </c>
      <c r="P381" s="9" t="s">
        <v>83</v>
      </c>
      <c r="Q381" s="9" t="s">
        <v>84</v>
      </c>
      <c r="R381" s="9" t="s">
        <v>85</v>
      </c>
      <c r="S381" s="11" t="s">
        <v>86</v>
      </c>
      <c r="T381" s="9" t="s">
        <v>84</v>
      </c>
      <c r="U381" s="11" t="s">
        <v>87</v>
      </c>
      <c r="V381" s="11" t="s">
        <v>88</v>
      </c>
      <c r="W381" s="9" t="s">
        <v>2332</v>
      </c>
      <c r="X381" s="9" t="n">
        <f aca="false">IF(AND(COUNT($E381:$G381)=0,LEFT($H381,2)&lt;&gt;"定性",LEFT($H381,2)&lt;&gt;"文字",LEFT($H381,2)&lt;&gt;"日期"),1,0)</f>
        <v>0</v>
      </c>
      <c r="Y381" s="9" t="n">
        <f aca="false">IF(OR($L381="",$M381=""),1,0)</f>
        <v>0</v>
      </c>
      <c r="Z381" s="9" t="n">
        <f aca="false">IF(AND(ISNUMBER($E381),ISNUMBER($F381)),IF($F381&gt;$E381,1,0),0)+IF(AND(ISNUMBER($E381),ISNUMBER($G381)),IF($E381&gt;$G381,1,0),0)+IF(AND(ISNUMBER($F381),ISNUMBER($G381)),IF($F381&gt;$G381,1,0),0)</f>
        <v>0</v>
      </c>
      <c r="AA381" s="9" t="n">
        <f aca="false">IF(AND($P381="Derived",$V381="觀測"),1,0)</f>
        <v>0</v>
      </c>
      <c r="AB381" s="12" t="s">
        <v>90</v>
      </c>
    </row>
    <row r="382" customFormat="false" ht="15" hidden="false" customHeight="false" outlineLevel="0" collapsed="false">
      <c r="A382" s="9" t="s">
        <v>2333</v>
      </c>
      <c r="B382" s="9" t="s">
        <v>2334</v>
      </c>
      <c r="C382" s="9" t="s">
        <v>1746</v>
      </c>
      <c r="D382" s="11" t="s">
        <v>2335</v>
      </c>
      <c r="E382" s="10" t="n">
        <v>0.1</v>
      </c>
      <c r="F382" s="9"/>
      <c r="G382" s="9"/>
      <c r="H382" s="11" t="s">
        <v>269</v>
      </c>
      <c r="I382" s="9" t="s">
        <v>112</v>
      </c>
      <c r="J382" s="9"/>
      <c r="K382" s="9"/>
      <c r="L382" s="9" t="s">
        <v>1871</v>
      </c>
      <c r="M382" s="9" t="s">
        <v>1872</v>
      </c>
      <c r="N382" s="9" t="s">
        <v>880</v>
      </c>
      <c r="O382" s="9" t="s">
        <v>82</v>
      </c>
      <c r="P382" s="9" t="s">
        <v>83</v>
      </c>
      <c r="Q382" s="9" t="s">
        <v>1873</v>
      </c>
      <c r="R382" s="11" t="s">
        <v>103</v>
      </c>
      <c r="S382" s="11" t="s">
        <v>86</v>
      </c>
      <c r="T382" s="9" t="s">
        <v>1873</v>
      </c>
      <c r="U382" s="11" t="s">
        <v>103</v>
      </c>
      <c r="V382" s="11" t="s">
        <v>88</v>
      </c>
      <c r="W382" s="9" t="s">
        <v>2336</v>
      </c>
      <c r="X382" s="9" t="n">
        <f aca="false">IF(AND(COUNT($E382:$G382)=0,LEFT($H382,2)&lt;&gt;"定性",LEFT($H382,2)&lt;&gt;"文字",LEFT($H382,2)&lt;&gt;"日期"),1,0)</f>
        <v>0</v>
      </c>
      <c r="Y382" s="9" t="n">
        <f aca="false">IF(OR($L382="",$M382=""),1,0)</f>
        <v>0</v>
      </c>
      <c r="Z382" s="9" t="n">
        <f aca="false">IF(AND(ISNUMBER($E382),ISNUMBER($F382)),IF($F382&gt;$E382,1,0),0)+IF(AND(ISNUMBER($E382),ISNUMBER($G382)),IF($E382&gt;$G382,1,0),0)+IF(AND(ISNUMBER($F382),ISNUMBER($G382)),IF($F382&gt;$G382,1,0),0)</f>
        <v>0</v>
      </c>
      <c r="AA382" s="9" t="n">
        <f aca="false">IF(AND($P382="Derived",$V382="觀測"),1,0)</f>
        <v>0</v>
      </c>
      <c r="AB382" s="12" t="s">
        <v>90</v>
      </c>
    </row>
    <row r="383" customFormat="false" ht="15" hidden="false" customHeight="false" outlineLevel="0" collapsed="false">
      <c r="A383" s="9" t="s">
        <v>2337</v>
      </c>
      <c r="B383" s="9" t="s">
        <v>2338</v>
      </c>
      <c r="C383" s="9" t="s">
        <v>1095</v>
      </c>
      <c r="D383" s="9" t="s">
        <v>2339</v>
      </c>
      <c r="E383" s="10" t="n">
        <v>2</v>
      </c>
      <c r="F383" s="9"/>
      <c r="G383" s="9"/>
      <c r="H383" s="11" t="s">
        <v>747</v>
      </c>
      <c r="I383" s="9" t="s">
        <v>1693</v>
      </c>
      <c r="J383" s="9"/>
      <c r="K383" s="11" t="s">
        <v>146</v>
      </c>
      <c r="L383" s="9" t="s">
        <v>1703</v>
      </c>
      <c r="M383" s="9" t="s">
        <v>1704</v>
      </c>
      <c r="N383" s="9" t="s">
        <v>1696</v>
      </c>
      <c r="O383" s="9" t="s">
        <v>82</v>
      </c>
      <c r="P383" s="9" t="s">
        <v>83</v>
      </c>
      <c r="Q383" s="9" t="s">
        <v>1705</v>
      </c>
      <c r="R383" s="9" t="s">
        <v>85</v>
      </c>
      <c r="S383" s="11" t="s">
        <v>86</v>
      </c>
      <c r="T383" s="9" t="s">
        <v>1705</v>
      </c>
      <c r="U383" s="11" t="s">
        <v>87</v>
      </c>
      <c r="V383" s="11" t="s">
        <v>88</v>
      </c>
      <c r="W383" s="9" t="s">
        <v>2340</v>
      </c>
      <c r="X383" s="9" t="n">
        <f aca="false">IF(AND(COUNT($E383:$G383)=0,LEFT($H383,2)&lt;&gt;"定性",LEFT($H383,2)&lt;&gt;"文字",LEFT($H383,2)&lt;&gt;"日期"),1,0)</f>
        <v>0</v>
      </c>
      <c r="Y383" s="9" t="n">
        <f aca="false">IF(OR($L383="",$M383=""),1,0)</f>
        <v>0</v>
      </c>
      <c r="Z383" s="9" t="n">
        <f aca="false">IF(AND(ISNUMBER($E383),ISNUMBER($F383)),IF($F383&gt;$E383,1,0),0)+IF(AND(ISNUMBER($E383),ISNUMBER($G383)),IF($E383&gt;$G383,1,0),0)+IF(AND(ISNUMBER($F383),ISNUMBER($G383)),IF($F383&gt;$G383,1,0),0)</f>
        <v>0</v>
      </c>
      <c r="AA383" s="9" t="n">
        <f aca="false">IF(AND($P383="Derived",$V383="觀測"),1,0)</f>
        <v>0</v>
      </c>
      <c r="AB383" s="12" t="s">
        <v>90</v>
      </c>
    </row>
    <row r="384" customFormat="false" ht="15" hidden="false" customHeight="false" outlineLevel="0" collapsed="false">
      <c r="A384" s="9" t="s">
        <v>2341</v>
      </c>
      <c r="B384" s="9" t="s">
        <v>2342</v>
      </c>
      <c r="C384" s="9" t="s">
        <v>74</v>
      </c>
      <c r="D384" s="9" t="s">
        <v>2343</v>
      </c>
      <c r="E384" s="10" t="n">
        <v>16.3</v>
      </c>
      <c r="F384" s="9"/>
      <c r="G384" s="9"/>
      <c r="H384" s="9" t="s">
        <v>137</v>
      </c>
      <c r="I384" s="9" t="s">
        <v>138</v>
      </c>
      <c r="J384" s="9"/>
      <c r="K384" s="11" t="s">
        <v>78</v>
      </c>
      <c r="L384" s="9" t="s">
        <v>2344</v>
      </c>
      <c r="M384" s="9" t="s">
        <v>2345</v>
      </c>
      <c r="N384" s="9" t="s">
        <v>2346</v>
      </c>
      <c r="O384" s="9" t="s">
        <v>2346</v>
      </c>
      <c r="P384" s="9" t="s">
        <v>83</v>
      </c>
      <c r="Q384" s="9" t="s">
        <v>2347</v>
      </c>
      <c r="R384" s="9" t="s">
        <v>85</v>
      </c>
      <c r="S384" s="11" t="s">
        <v>86</v>
      </c>
      <c r="T384" s="9" t="s">
        <v>2347</v>
      </c>
      <c r="U384" s="11" t="s">
        <v>1132</v>
      </c>
      <c r="V384" s="11" t="s">
        <v>88</v>
      </c>
      <c r="W384" s="9" t="s">
        <v>2348</v>
      </c>
      <c r="X384" s="9" t="n">
        <f aca="false">IF(AND(COUNT($E384:$G384)=0,LEFT($H384,2)&lt;&gt;"定性",LEFT($H384,2)&lt;&gt;"文字",LEFT($H384,2)&lt;&gt;"日期"),1,0)</f>
        <v>0</v>
      </c>
      <c r="Y384" s="9" t="n">
        <f aca="false">IF(OR($L384="",$M384=""),1,0)</f>
        <v>0</v>
      </c>
      <c r="Z384" s="9" t="n">
        <f aca="false">IF(AND(ISNUMBER($E384),ISNUMBER($F384)),IF($F384&gt;$E384,1,0),0)+IF(AND(ISNUMBER($E384),ISNUMBER($G384)),IF($E384&gt;$G384,1,0),0)+IF(AND(ISNUMBER($F384),ISNUMBER($G384)),IF($F384&gt;$G384,1,0),0)</f>
        <v>0</v>
      </c>
      <c r="AA384" s="9" t="n">
        <f aca="false">IF(AND($P384="Derived",$V384="觀測"),1,0)</f>
        <v>0</v>
      </c>
      <c r="AB384" s="12" t="s">
        <v>90</v>
      </c>
    </row>
    <row r="385" customFormat="false" ht="15" hidden="false" customHeight="false" outlineLevel="0" collapsed="false">
      <c r="A385" s="9" t="s">
        <v>2349</v>
      </c>
      <c r="B385" s="9" t="s">
        <v>2350</v>
      </c>
      <c r="C385" s="9" t="s">
        <v>74</v>
      </c>
      <c r="D385" s="9" t="s">
        <v>2351</v>
      </c>
      <c r="E385" s="10" t="n">
        <v>1.1</v>
      </c>
      <c r="F385" s="9"/>
      <c r="G385" s="9"/>
      <c r="H385" s="9" t="s">
        <v>137</v>
      </c>
      <c r="I385" s="9" t="s">
        <v>2352</v>
      </c>
      <c r="J385" s="9"/>
      <c r="K385" s="11" t="s">
        <v>78</v>
      </c>
      <c r="L385" s="9" t="s">
        <v>2344</v>
      </c>
      <c r="M385" s="9" t="s">
        <v>2345</v>
      </c>
      <c r="N385" s="9" t="s">
        <v>2346</v>
      </c>
      <c r="O385" s="9" t="s">
        <v>2346</v>
      </c>
      <c r="P385" s="9" t="s">
        <v>83</v>
      </c>
      <c r="Q385" s="9" t="s">
        <v>2347</v>
      </c>
      <c r="R385" s="9" t="s">
        <v>85</v>
      </c>
      <c r="S385" s="11" t="s">
        <v>86</v>
      </c>
      <c r="T385" s="9" t="s">
        <v>2347</v>
      </c>
      <c r="U385" s="11" t="s">
        <v>1132</v>
      </c>
      <c r="V385" s="11" t="s">
        <v>88</v>
      </c>
      <c r="W385" s="9" t="s">
        <v>2353</v>
      </c>
      <c r="X385" s="9" t="n">
        <f aca="false">IF(AND(COUNT($E385:$G385)=0,LEFT($H385,2)&lt;&gt;"定性",LEFT($H385,2)&lt;&gt;"文字",LEFT($H385,2)&lt;&gt;"日期"),1,0)</f>
        <v>0</v>
      </c>
      <c r="Y385" s="9" t="n">
        <f aca="false">IF(OR($L385="",$M385=""),1,0)</f>
        <v>0</v>
      </c>
      <c r="Z385" s="9" t="n">
        <f aca="false">IF(AND(ISNUMBER($E385),ISNUMBER($F385)),IF($F385&gt;$E385,1,0),0)+IF(AND(ISNUMBER($E385),ISNUMBER($G385)),IF($E385&gt;$G385,1,0),0)+IF(AND(ISNUMBER($F385),ISNUMBER($G385)),IF($F385&gt;$G385,1,0),0)</f>
        <v>0</v>
      </c>
      <c r="AA385" s="9" t="n">
        <f aca="false">IF(AND($P385="Derived",$V385="觀測"),1,0)</f>
        <v>0</v>
      </c>
      <c r="AB385" s="12" t="s">
        <v>90</v>
      </c>
    </row>
    <row r="386" customFormat="false" ht="15" hidden="false" customHeight="false" outlineLevel="0" collapsed="false">
      <c r="A386" s="9" t="s">
        <v>2354</v>
      </c>
      <c r="B386" s="9" t="s">
        <v>2355</v>
      </c>
      <c r="C386" s="9" t="s">
        <v>74</v>
      </c>
      <c r="D386" s="9" t="s">
        <v>2356</v>
      </c>
      <c r="E386" s="10" t="n">
        <v>11.6</v>
      </c>
      <c r="F386" s="9"/>
      <c r="G386" s="9"/>
      <c r="H386" s="9" t="s">
        <v>111</v>
      </c>
      <c r="I386" s="9" t="s">
        <v>121</v>
      </c>
      <c r="J386" s="9"/>
      <c r="K386" s="11" t="s">
        <v>146</v>
      </c>
      <c r="L386" s="9" t="s">
        <v>2357</v>
      </c>
      <c r="M386" s="9" t="s">
        <v>2358</v>
      </c>
      <c r="N386" s="9" t="s">
        <v>2359</v>
      </c>
      <c r="O386" s="9" t="s">
        <v>2346</v>
      </c>
      <c r="P386" s="9" t="s">
        <v>83</v>
      </c>
      <c r="Q386" s="9" t="s">
        <v>2360</v>
      </c>
      <c r="R386" s="9" t="s">
        <v>85</v>
      </c>
      <c r="S386" s="11" t="s">
        <v>86</v>
      </c>
      <c r="T386" s="9" t="s">
        <v>2360</v>
      </c>
      <c r="U386" s="11" t="s">
        <v>87</v>
      </c>
      <c r="V386" s="11" t="s">
        <v>88</v>
      </c>
      <c r="W386" s="9" t="s">
        <v>2361</v>
      </c>
      <c r="X386" s="9" t="n">
        <f aca="false">IF(AND(COUNT($E386:$G386)=0,LEFT($H386,2)&lt;&gt;"定性",LEFT($H386,2)&lt;&gt;"文字",LEFT($H386,2)&lt;&gt;"日期"),1,0)</f>
        <v>0</v>
      </c>
      <c r="Y386" s="9" t="n">
        <f aca="false">IF(OR($L386="",$M386=""),1,0)</f>
        <v>0</v>
      </c>
      <c r="Z386" s="9" t="n">
        <f aca="false">IF(AND(ISNUMBER($E386),ISNUMBER($F386)),IF($F386&gt;$E386,1,0),0)+IF(AND(ISNUMBER($E386),ISNUMBER($G386)),IF($E386&gt;$G386,1,0),0)+IF(AND(ISNUMBER($F386),ISNUMBER($G386)),IF($F386&gt;$G386,1,0),0)</f>
        <v>0</v>
      </c>
      <c r="AA386" s="9" t="n">
        <f aca="false">IF(AND($P386="Derived",$V386="觀測"),1,0)</f>
        <v>0</v>
      </c>
      <c r="AB386" s="12" t="s">
        <v>90</v>
      </c>
    </row>
    <row r="387" customFormat="false" ht="15" hidden="false" customHeight="false" outlineLevel="0" collapsed="false">
      <c r="A387" s="9" t="s">
        <v>2362</v>
      </c>
      <c r="B387" s="9" t="s">
        <v>2363</v>
      </c>
      <c r="C387" s="9" t="s">
        <v>74</v>
      </c>
      <c r="D387" s="9" t="s">
        <v>2364</v>
      </c>
      <c r="E387" s="10" t="n">
        <v>11.5</v>
      </c>
      <c r="F387" s="9"/>
      <c r="G387" s="9"/>
      <c r="H387" s="9" t="s">
        <v>111</v>
      </c>
      <c r="I387" s="9" t="s">
        <v>121</v>
      </c>
      <c r="J387" s="9"/>
      <c r="K387" s="11" t="s">
        <v>146</v>
      </c>
      <c r="L387" s="9" t="s">
        <v>2365</v>
      </c>
      <c r="M387" s="9" t="s">
        <v>2366</v>
      </c>
      <c r="N387" s="9" t="s">
        <v>2359</v>
      </c>
      <c r="O387" s="9" t="s">
        <v>2346</v>
      </c>
      <c r="P387" s="9" t="s">
        <v>83</v>
      </c>
      <c r="Q387" s="9" t="s">
        <v>2360</v>
      </c>
      <c r="R387" s="11" t="s">
        <v>103</v>
      </c>
      <c r="S387" s="11" t="s">
        <v>86</v>
      </c>
      <c r="T387" s="9" t="s">
        <v>2360</v>
      </c>
      <c r="U387" s="11" t="s">
        <v>103</v>
      </c>
      <c r="V387" s="11" t="s">
        <v>88</v>
      </c>
      <c r="W387" s="9" t="s">
        <v>2367</v>
      </c>
      <c r="X387" s="9" t="n">
        <f aca="false">IF(AND(COUNT($E387:$G387)=0,LEFT($H387,2)&lt;&gt;"定性",LEFT($H387,2)&lt;&gt;"文字",LEFT($H387,2)&lt;&gt;"日期"),1,0)</f>
        <v>0</v>
      </c>
      <c r="Y387" s="9" t="n">
        <f aca="false">IF(OR($L387="",$M387=""),1,0)</f>
        <v>0</v>
      </c>
      <c r="Z387" s="9" t="n">
        <f aca="false">IF(AND(ISNUMBER($E387),ISNUMBER($F387)),IF($F387&gt;$E387,1,0),0)+IF(AND(ISNUMBER($E387),ISNUMBER($G387)),IF($E387&gt;$G387,1,0),0)+IF(AND(ISNUMBER($F387),ISNUMBER($G387)),IF($F387&gt;$G387,1,0),0)</f>
        <v>0</v>
      </c>
      <c r="AA387" s="9" t="n">
        <f aca="false">IF(AND($P387="Derived",$V387="觀測"),1,0)</f>
        <v>0</v>
      </c>
      <c r="AB387" s="12" t="s">
        <v>90</v>
      </c>
    </row>
    <row r="388" customFormat="false" ht="15" hidden="false" customHeight="false" outlineLevel="0" collapsed="false">
      <c r="A388" s="9" t="s">
        <v>2368</v>
      </c>
      <c r="B388" s="9" t="s">
        <v>2369</v>
      </c>
      <c r="C388" s="9" t="s">
        <v>74</v>
      </c>
      <c r="D388" s="9" t="s">
        <v>2370</v>
      </c>
      <c r="E388" s="10" t="n">
        <v>16.8</v>
      </c>
      <c r="F388" s="9"/>
      <c r="G388" s="9"/>
      <c r="H388" s="9" t="s">
        <v>111</v>
      </c>
      <c r="I388" s="9" t="s">
        <v>396</v>
      </c>
      <c r="J388" s="9"/>
      <c r="K388" s="11" t="s">
        <v>146</v>
      </c>
      <c r="L388" s="9" t="s">
        <v>2371</v>
      </c>
      <c r="M388" s="9" t="s">
        <v>2358</v>
      </c>
      <c r="N388" s="9" t="s">
        <v>2359</v>
      </c>
      <c r="O388" s="9" t="s">
        <v>2346</v>
      </c>
      <c r="P388" s="9" t="s">
        <v>83</v>
      </c>
      <c r="Q388" s="9" t="s">
        <v>2360</v>
      </c>
      <c r="R388" s="9" t="s">
        <v>85</v>
      </c>
      <c r="S388" s="11" t="s">
        <v>86</v>
      </c>
      <c r="T388" s="9" t="s">
        <v>2360</v>
      </c>
      <c r="U388" s="11" t="s">
        <v>87</v>
      </c>
      <c r="V388" s="11" t="s">
        <v>88</v>
      </c>
      <c r="W388" s="9" t="s">
        <v>2372</v>
      </c>
      <c r="X388" s="9" t="n">
        <f aca="false">IF(AND(COUNT($E388:$G388)=0,LEFT($H388,2)&lt;&gt;"定性",LEFT($H388,2)&lt;&gt;"文字",LEFT($H388,2)&lt;&gt;"日期"),1,0)</f>
        <v>0</v>
      </c>
      <c r="Y388" s="9" t="n">
        <f aca="false">IF(OR($L388="",$M388=""),1,0)</f>
        <v>0</v>
      </c>
      <c r="Z388" s="9" t="n">
        <f aca="false">IF(AND(ISNUMBER($E388),ISNUMBER($F388)),IF($F388&gt;$E388,1,0),0)+IF(AND(ISNUMBER($E388),ISNUMBER($G388)),IF($E388&gt;$G388,1,0),0)+IF(AND(ISNUMBER($F388),ISNUMBER($G388)),IF($F388&gt;$G388,1,0),0)</f>
        <v>0</v>
      </c>
      <c r="AA388" s="9" t="n">
        <f aca="false">IF(AND($P388="Derived",$V388="觀測"),1,0)</f>
        <v>0</v>
      </c>
      <c r="AB388" s="12" t="s">
        <v>90</v>
      </c>
    </row>
    <row r="389" customFormat="false" ht="15" hidden="false" customHeight="false" outlineLevel="0" collapsed="false">
      <c r="A389" s="9" t="s">
        <v>2373</v>
      </c>
      <c r="B389" s="9" t="s">
        <v>2374</v>
      </c>
      <c r="C389" s="9" t="s">
        <v>74</v>
      </c>
      <c r="D389" s="9" t="s">
        <v>2375</v>
      </c>
      <c r="E389" s="10" t="n">
        <v>0.11</v>
      </c>
      <c r="F389" s="9"/>
      <c r="G389" s="9"/>
      <c r="H389" s="11" t="s">
        <v>269</v>
      </c>
      <c r="I389" s="9" t="s">
        <v>396</v>
      </c>
      <c r="J389" s="9"/>
      <c r="K389" s="11" t="s">
        <v>146</v>
      </c>
      <c r="L389" s="9" t="s">
        <v>2376</v>
      </c>
      <c r="M389" s="9" t="s">
        <v>2358</v>
      </c>
      <c r="N389" s="9" t="s">
        <v>2359</v>
      </c>
      <c r="O389" s="9" t="s">
        <v>2346</v>
      </c>
      <c r="P389" s="9" t="s">
        <v>83</v>
      </c>
      <c r="Q389" s="9" t="s">
        <v>2360</v>
      </c>
      <c r="R389" s="9" t="s">
        <v>85</v>
      </c>
      <c r="S389" s="11" t="s">
        <v>86</v>
      </c>
      <c r="T389" s="9" t="s">
        <v>2360</v>
      </c>
      <c r="U389" s="11" t="s">
        <v>87</v>
      </c>
      <c r="V389" s="11" t="s">
        <v>88</v>
      </c>
      <c r="W389" s="9" t="s">
        <v>2377</v>
      </c>
      <c r="X389" s="9" t="n">
        <f aca="false">IF(AND(COUNT($E389:$G389)=0,LEFT($H389,2)&lt;&gt;"定性",LEFT($H389,2)&lt;&gt;"文字",LEFT($H389,2)&lt;&gt;"日期"),1,0)</f>
        <v>0</v>
      </c>
      <c r="Y389" s="9" t="n">
        <f aca="false">IF(OR($L389="",$M389=""),1,0)</f>
        <v>0</v>
      </c>
      <c r="Z389" s="9" t="n">
        <f aca="false">IF(AND(ISNUMBER($E389),ISNUMBER($F389)),IF($F389&gt;$E389,1,0),0)+IF(AND(ISNUMBER($E389),ISNUMBER($G389)),IF($E389&gt;$G389,1,0),0)+IF(AND(ISNUMBER($F389),ISNUMBER($G389)),IF($F389&gt;$G389,1,0),0)</f>
        <v>0</v>
      </c>
      <c r="AA389" s="9" t="n">
        <f aca="false">IF(AND($P389="Derived",$V389="觀測"),1,0)</f>
        <v>0</v>
      </c>
      <c r="AB389" s="12" t="s">
        <v>90</v>
      </c>
    </row>
    <row r="390" customFormat="false" ht="15" hidden="false" customHeight="false" outlineLevel="0" collapsed="false">
      <c r="A390" s="9" t="s">
        <v>2378</v>
      </c>
      <c r="B390" s="9" t="s">
        <v>2379</v>
      </c>
      <c r="C390" s="9" t="s">
        <v>74</v>
      </c>
      <c r="D390" s="9" t="s">
        <v>2380</v>
      </c>
      <c r="E390" s="9"/>
      <c r="F390" s="9"/>
      <c r="G390" s="9"/>
      <c r="H390" s="11" t="s">
        <v>1899</v>
      </c>
      <c r="I390" s="9" t="s">
        <v>396</v>
      </c>
      <c r="J390" s="9"/>
      <c r="K390" s="11" t="s">
        <v>146</v>
      </c>
      <c r="L390" s="9" t="s">
        <v>2381</v>
      </c>
      <c r="M390" s="9" t="s">
        <v>2366</v>
      </c>
      <c r="N390" s="9" t="s">
        <v>2359</v>
      </c>
      <c r="O390" s="9" t="s">
        <v>2346</v>
      </c>
      <c r="P390" s="9" t="s">
        <v>83</v>
      </c>
      <c r="Q390" s="9" t="s">
        <v>2360</v>
      </c>
      <c r="R390" s="9" t="s">
        <v>85</v>
      </c>
      <c r="S390" s="11" t="s">
        <v>86</v>
      </c>
      <c r="T390" s="9" t="s">
        <v>2360</v>
      </c>
      <c r="U390" s="11" t="s">
        <v>87</v>
      </c>
      <c r="V390" s="11" t="s">
        <v>88</v>
      </c>
      <c r="W390" s="9" t="s">
        <v>2382</v>
      </c>
      <c r="X390" s="9" t="n">
        <f aca="false">IF(AND(COUNT($E390:$G390)=0,LEFT($H390,2)&lt;&gt;"定性",LEFT($H390,2)&lt;&gt;"文字",LEFT($H390,2)&lt;&gt;"日期"),1,0)</f>
        <v>0</v>
      </c>
      <c r="Y390" s="9" t="n">
        <f aca="false">IF(OR($L390="",$M390=""),1,0)</f>
        <v>0</v>
      </c>
      <c r="Z390" s="9" t="n">
        <f aca="false">IF(AND(ISNUMBER($E390),ISNUMBER($F390)),IF($F390&gt;$E390,1,0),0)+IF(AND(ISNUMBER($E390),ISNUMBER($G390)),IF($E390&gt;$G390,1,0),0)+IF(AND(ISNUMBER($F390),ISNUMBER($G390)),IF($F390&gt;$G390,1,0),0)</f>
        <v>0</v>
      </c>
      <c r="AA390" s="9" t="n">
        <f aca="false">IF(AND($P390="Derived",$V390="觀測"),1,0)</f>
        <v>0</v>
      </c>
      <c r="AB390" s="12" t="s">
        <v>90</v>
      </c>
    </row>
    <row r="391" customFormat="false" ht="15" hidden="false" customHeight="false" outlineLevel="0" collapsed="false">
      <c r="A391" s="9" t="s">
        <v>2383</v>
      </c>
      <c r="B391" s="9" t="s">
        <v>2384</v>
      </c>
      <c r="C391" s="9" t="s">
        <v>74</v>
      </c>
      <c r="D391" s="9" t="s">
        <v>2385</v>
      </c>
      <c r="E391" s="10" t="n">
        <v>1.7</v>
      </c>
      <c r="F391" s="9"/>
      <c r="G391" s="9"/>
      <c r="H391" s="11" t="s">
        <v>747</v>
      </c>
      <c r="I391" s="9" t="s">
        <v>396</v>
      </c>
      <c r="J391" s="9"/>
      <c r="K391" s="11" t="s">
        <v>146</v>
      </c>
      <c r="L391" s="9" t="s">
        <v>2386</v>
      </c>
      <c r="M391" s="9" t="s">
        <v>2358</v>
      </c>
      <c r="N391" s="9" t="s">
        <v>2359</v>
      </c>
      <c r="O391" s="9" t="s">
        <v>2346</v>
      </c>
      <c r="P391" s="9" t="s">
        <v>83</v>
      </c>
      <c r="Q391" s="9" t="s">
        <v>2360</v>
      </c>
      <c r="R391" s="9" t="s">
        <v>85</v>
      </c>
      <c r="S391" s="11" t="s">
        <v>86</v>
      </c>
      <c r="T391" s="9" t="s">
        <v>2360</v>
      </c>
      <c r="U391" s="11" t="s">
        <v>87</v>
      </c>
      <c r="V391" s="11" t="s">
        <v>88</v>
      </c>
      <c r="W391" s="9" t="s">
        <v>2387</v>
      </c>
      <c r="X391" s="9" t="n">
        <f aca="false">IF(AND(COUNT($E391:$G391)=0,LEFT($H391,2)&lt;&gt;"定性",LEFT($H391,2)&lt;&gt;"文字",LEFT($H391,2)&lt;&gt;"日期"),1,0)</f>
        <v>0</v>
      </c>
      <c r="Y391" s="9" t="n">
        <f aca="false">IF(OR($L391="",$M391=""),1,0)</f>
        <v>0</v>
      </c>
      <c r="Z391" s="9" t="n">
        <f aca="false">IF(AND(ISNUMBER($E391),ISNUMBER($F391)),IF($F391&gt;$E391,1,0),0)+IF(AND(ISNUMBER($E391),ISNUMBER($G391)),IF($E391&gt;$G391,1,0),0)+IF(AND(ISNUMBER($F391),ISNUMBER($G391)),IF($F391&gt;$G391,1,0),0)</f>
        <v>0</v>
      </c>
      <c r="AA391" s="9" t="n">
        <f aca="false">IF(AND($P391="Derived",$V391="觀測"),1,0)</f>
        <v>0</v>
      </c>
      <c r="AB391" s="12" t="s">
        <v>90</v>
      </c>
    </row>
    <row r="392" customFormat="false" ht="15" hidden="false" customHeight="false" outlineLevel="0" collapsed="false">
      <c r="A392" s="9" t="s">
        <v>2388</v>
      </c>
      <c r="B392" s="9" t="s">
        <v>2389</v>
      </c>
      <c r="C392" s="9" t="s">
        <v>74</v>
      </c>
      <c r="D392" s="11" t="s">
        <v>2390</v>
      </c>
      <c r="E392" s="10" t="n">
        <v>74</v>
      </c>
      <c r="F392" s="9"/>
      <c r="G392" s="9"/>
      <c r="H392" s="9" t="s">
        <v>76</v>
      </c>
      <c r="I392" s="9" t="s">
        <v>877</v>
      </c>
      <c r="J392" s="9"/>
      <c r="K392" s="11" t="s">
        <v>146</v>
      </c>
      <c r="L392" s="9" t="s">
        <v>2391</v>
      </c>
      <c r="M392" s="9" t="s">
        <v>2366</v>
      </c>
      <c r="N392" s="9" t="s">
        <v>2359</v>
      </c>
      <c r="O392" s="9" t="s">
        <v>2346</v>
      </c>
      <c r="P392" s="9" t="s">
        <v>299</v>
      </c>
      <c r="Q392" s="9" t="s">
        <v>2392</v>
      </c>
      <c r="R392" s="9" t="s">
        <v>85</v>
      </c>
      <c r="S392" s="11" t="s">
        <v>300</v>
      </c>
      <c r="T392" s="9" t="s">
        <v>2393</v>
      </c>
      <c r="U392" s="11" t="s">
        <v>87</v>
      </c>
      <c r="V392" s="11" t="s">
        <v>88</v>
      </c>
      <c r="W392" s="9" t="s">
        <v>2394</v>
      </c>
      <c r="X392" s="9" t="n">
        <f aca="false">IF(AND(COUNT($E392:$G392)=0,LEFT($H392,2)&lt;&gt;"定性",LEFT($H392,2)&lt;&gt;"文字",LEFT($H392,2)&lt;&gt;"日期"),1,0)</f>
        <v>0</v>
      </c>
      <c r="Y392" s="9" t="n">
        <f aca="false">IF(OR($L392="",$M392=""),1,0)</f>
        <v>0</v>
      </c>
      <c r="Z392" s="9" t="n">
        <f aca="false">IF(AND(ISNUMBER($E392),ISNUMBER($F392)),IF($F392&gt;$E392,1,0),0)+IF(AND(ISNUMBER($E392),ISNUMBER($G392)),IF($E392&gt;$G392,1,0),0)+IF(AND(ISNUMBER($F392),ISNUMBER($G392)),IF($F392&gt;$G392,1,0),0)</f>
        <v>0</v>
      </c>
      <c r="AA392" s="9" t="n">
        <f aca="false">IF(AND($P392="Derived",$V392="觀測"),1,0)</f>
        <v>0</v>
      </c>
      <c r="AB392" s="12" t="s">
        <v>90</v>
      </c>
    </row>
    <row r="393" customFormat="false" ht="15" hidden="false" customHeight="false" outlineLevel="0" collapsed="false">
      <c r="A393" s="9" t="s">
        <v>2395</v>
      </c>
      <c r="B393" s="9" t="s">
        <v>2396</v>
      </c>
      <c r="C393" s="9" t="s">
        <v>74</v>
      </c>
      <c r="D393" s="11" t="s">
        <v>2397</v>
      </c>
      <c r="E393" s="10" t="n">
        <v>110</v>
      </c>
      <c r="F393" s="10" t="n">
        <v>100</v>
      </c>
      <c r="G393" s="10" t="n">
        <v>120</v>
      </c>
      <c r="H393" s="9" t="s">
        <v>76</v>
      </c>
      <c r="I393" s="9" t="s">
        <v>1247</v>
      </c>
      <c r="J393" s="9"/>
      <c r="K393" s="11" t="s">
        <v>146</v>
      </c>
      <c r="L393" s="9" t="s">
        <v>2398</v>
      </c>
      <c r="M393" s="9" t="s">
        <v>2358</v>
      </c>
      <c r="N393" s="9" t="s">
        <v>2359</v>
      </c>
      <c r="O393" s="9" t="s">
        <v>2346</v>
      </c>
      <c r="P393" s="9" t="s">
        <v>299</v>
      </c>
      <c r="Q393" s="11" t="s">
        <v>2399</v>
      </c>
      <c r="R393" s="11" t="s">
        <v>103</v>
      </c>
      <c r="S393" s="11" t="s">
        <v>300</v>
      </c>
      <c r="T393" s="11" t="s">
        <v>2399</v>
      </c>
      <c r="U393" s="11" t="s">
        <v>103</v>
      </c>
      <c r="V393" s="11" t="s">
        <v>88</v>
      </c>
      <c r="W393" s="9" t="s">
        <v>2400</v>
      </c>
      <c r="X393" s="9" t="n">
        <f aca="false">IF(AND(COUNT($E393:$G393)=0,LEFT($H393,2)&lt;&gt;"定性",LEFT($H393,2)&lt;&gt;"文字",LEFT($H393,2)&lt;&gt;"日期"),1,0)</f>
        <v>0</v>
      </c>
      <c r="Y393" s="9" t="n">
        <f aca="false">IF(OR($L393="",$M393=""),1,0)</f>
        <v>0</v>
      </c>
      <c r="Z393" s="9" t="n">
        <f aca="false">IF(AND(ISNUMBER($E393),ISNUMBER($F393)),IF($F393&gt;$E393,1,0),0)+IF(AND(ISNUMBER($E393),ISNUMBER($G393)),IF($E393&gt;$G393,1,0),0)+IF(AND(ISNUMBER($F393),ISNUMBER($G393)),IF($F393&gt;$G393,1,0),0)</f>
        <v>0</v>
      </c>
      <c r="AA393" s="9" t="n">
        <f aca="false">IF(AND($P393="Derived",$V393="觀測"),1,0)</f>
        <v>0</v>
      </c>
      <c r="AB393" s="12" t="s">
        <v>90</v>
      </c>
    </row>
    <row r="394" customFormat="false" ht="15" hidden="false" customHeight="false" outlineLevel="0" collapsed="false">
      <c r="A394" s="9" t="s">
        <v>2401</v>
      </c>
      <c r="B394" s="9" t="s">
        <v>2402</v>
      </c>
      <c r="C394" s="9" t="s">
        <v>74</v>
      </c>
      <c r="D394" s="11" t="s">
        <v>2403</v>
      </c>
      <c r="E394" s="10" t="n">
        <v>100</v>
      </c>
      <c r="F394" s="9"/>
      <c r="G394" s="10" t="n">
        <v>100</v>
      </c>
      <c r="H394" s="9" t="s">
        <v>76</v>
      </c>
      <c r="I394" s="9" t="s">
        <v>1247</v>
      </c>
      <c r="J394" s="9"/>
      <c r="K394" s="11" t="s">
        <v>146</v>
      </c>
      <c r="L394" s="9" t="s">
        <v>2404</v>
      </c>
      <c r="M394" s="9" t="s">
        <v>2366</v>
      </c>
      <c r="N394" s="9" t="s">
        <v>2359</v>
      </c>
      <c r="O394" s="9" t="s">
        <v>2346</v>
      </c>
      <c r="P394" s="9" t="s">
        <v>299</v>
      </c>
      <c r="Q394" s="11" t="s">
        <v>2405</v>
      </c>
      <c r="R394" s="11" t="s">
        <v>103</v>
      </c>
      <c r="S394" s="11" t="s">
        <v>300</v>
      </c>
      <c r="T394" s="11" t="s">
        <v>2405</v>
      </c>
      <c r="U394" s="11" t="s">
        <v>103</v>
      </c>
      <c r="V394" s="11" t="s">
        <v>88</v>
      </c>
      <c r="W394" s="9" t="s">
        <v>2406</v>
      </c>
      <c r="X394" s="9" t="n">
        <f aca="false">IF(AND(COUNT($E394:$G394)=0,LEFT($H394,2)&lt;&gt;"定性",LEFT($H394,2)&lt;&gt;"文字",LEFT($H394,2)&lt;&gt;"日期"),1,0)</f>
        <v>0</v>
      </c>
      <c r="Y394" s="9" t="n">
        <f aca="false">IF(OR($L394="",$M394=""),1,0)</f>
        <v>0</v>
      </c>
      <c r="Z394" s="9" t="n">
        <f aca="false">IF(AND(ISNUMBER($E394),ISNUMBER($F394)),IF($F394&gt;$E394,1,0),0)+IF(AND(ISNUMBER($E394),ISNUMBER($G394)),IF($E394&gt;$G394,1,0),0)+IF(AND(ISNUMBER($F394),ISNUMBER($G394)),IF($F394&gt;$G394,1,0),0)</f>
        <v>0</v>
      </c>
      <c r="AA394" s="9" t="n">
        <f aca="false">IF(AND($P394="Derived",$V394="觀測"),1,0)</f>
        <v>0</v>
      </c>
      <c r="AB394" s="12" t="s">
        <v>90</v>
      </c>
    </row>
    <row r="395" customFormat="false" ht="15" hidden="false" customHeight="false" outlineLevel="0" collapsed="false">
      <c r="A395" s="9" t="s">
        <v>2407</v>
      </c>
      <c r="B395" s="9" t="s">
        <v>2408</v>
      </c>
      <c r="C395" s="9" t="s">
        <v>1882</v>
      </c>
      <c r="D395" s="9" t="s">
        <v>2409</v>
      </c>
      <c r="E395" s="10" t="n">
        <v>80.7</v>
      </c>
      <c r="F395" s="9"/>
      <c r="G395" s="9"/>
      <c r="H395" s="9" t="s">
        <v>137</v>
      </c>
      <c r="I395" s="9" t="s">
        <v>138</v>
      </c>
      <c r="J395" s="9"/>
      <c r="K395" s="11" t="s">
        <v>78</v>
      </c>
      <c r="L395" s="9" t="s">
        <v>2344</v>
      </c>
      <c r="M395" s="9" t="s">
        <v>2345</v>
      </c>
      <c r="N395" s="9" t="s">
        <v>2346</v>
      </c>
      <c r="O395" s="9" t="s">
        <v>2346</v>
      </c>
      <c r="P395" s="9" t="s">
        <v>83</v>
      </c>
      <c r="Q395" s="9" t="s">
        <v>2347</v>
      </c>
      <c r="R395" s="9" t="s">
        <v>85</v>
      </c>
      <c r="S395" s="11" t="s">
        <v>86</v>
      </c>
      <c r="T395" s="9" t="s">
        <v>2347</v>
      </c>
      <c r="U395" s="11" t="s">
        <v>1132</v>
      </c>
      <c r="V395" s="11" t="s">
        <v>88</v>
      </c>
      <c r="W395" s="9" t="s">
        <v>2410</v>
      </c>
      <c r="X395" s="9" t="n">
        <f aca="false">IF(AND(COUNT($E395:$G395)=0,LEFT($H395,2)&lt;&gt;"定性",LEFT($H395,2)&lt;&gt;"文字",LEFT($H395,2)&lt;&gt;"日期"),1,0)</f>
        <v>0</v>
      </c>
      <c r="Y395" s="9" t="n">
        <f aca="false">IF(OR($L395="",$M395=""),1,0)</f>
        <v>0</v>
      </c>
      <c r="Z395" s="9" t="n">
        <f aca="false">IF(AND(ISNUMBER($E395),ISNUMBER($F395)),IF($F395&gt;$E395,1,0),0)+IF(AND(ISNUMBER($E395),ISNUMBER($G395)),IF($E395&gt;$G395,1,0),0)+IF(AND(ISNUMBER($F395),ISNUMBER($G395)),IF($F395&gt;$G395,1,0),0)</f>
        <v>0</v>
      </c>
      <c r="AA395" s="9" t="n">
        <f aca="false">IF(AND($P395="Derived",$V395="觀測"),1,0)</f>
        <v>0</v>
      </c>
      <c r="AB395" s="12" t="s">
        <v>90</v>
      </c>
    </row>
    <row r="396" customFormat="false" ht="15" hidden="false" customHeight="false" outlineLevel="0" collapsed="false">
      <c r="A396" s="9" t="s">
        <v>2411</v>
      </c>
      <c r="B396" s="9" t="s">
        <v>2412</v>
      </c>
      <c r="C396" s="9" t="s">
        <v>1882</v>
      </c>
      <c r="D396" s="9" t="s">
        <v>2413</v>
      </c>
      <c r="E396" s="10" t="n">
        <v>72</v>
      </c>
      <c r="F396" s="9"/>
      <c r="G396" s="9"/>
      <c r="H396" s="9" t="s">
        <v>137</v>
      </c>
      <c r="I396" s="9" t="s">
        <v>138</v>
      </c>
      <c r="J396" s="9"/>
      <c r="K396" s="11" t="s">
        <v>2414</v>
      </c>
      <c r="L396" s="9" t="s">
        <v>2415</v>
      </c>
      <c r="M396" s="9" t="s">
        <v>2416</v>
      </c>
      <c r="N396" s="9" t="s">
        <v>2346</v>
      </c>
      <c r="O396" s="9" t="s">
        <v>2346</v>
      </c>
      <c r="P396" s="9" t="s">
        <v>83</v>
      </c>
      <c r="Q396" s="9" t="s">
        <v>2347</v>
      </c>
      <c r="R396" s="9" t="s">
        <v>85</v>
      </c>
      <c r="S396" s="11" t="s">
        <v>86</v>
      </c>
      <c r="T396" s="9" t="s">
        <v>2347</v>
      </c>
      <c r="U396" s="11" t="s">
        <v>1132</v>
      </c>
      <c r="V396" s="11" t="s">
        <v>88</v>
      </c>
      <c r="W396" s="9" t="s">
        <v>2417</v>
      </c>
      <c r="X396" s="9" t="n">
        <f aca="false">IF(AND(COUNT($E396:$G396)=0,LEFT($H396,2)&lt;&gt;"定性",LEFT($H396,2)&lt;&gt;"文字",LEFT($H396,2)&lt;&gt;"日期"),1,0)</f>
        <v>0</v>
      </c>
      <c r="Y396" s="9" t="n">
        <f aca="false">IF(OR($L396="",$M396=""),1,0)</f>
        <v>0</v>
      </c>
      <c r="Z396" s="9" t="n">
        <f aca="false">IF(AND(ISNUMBER($E396),ISNUMBER($F396)),IF($F396&gt;$E396,1,0),0)+IF(AND(ISNUMBER($E396),ISNUMBER($G396)),IF($E396&gt;$G396,1,0),0)+IF(AND(ISNUMBER($F396),ISNUMBER($G396)),IF($F396&gt;$G396,1,0),0)</f>
        <v>0</v>
      </c>
      <c r="AA396" s="9" t="n">
        <f aca="false">IF(AND($P396="Derived",$V396="觀測"),1,0)</f>
        <v>0</v>
      </c>
      <c r="AB396" s="12" t="s">
        <v>90</v>
      </c>
    </row>
    <row r="397" customFormat="false" ht="15" hidden="false" customHeight="false" outlineLevel="0" collapsed="false">
      <c r="A397" s="9" t="s">
        <v>2418</v>
      </c>
      <c r="B397" s="9" t="s">
        <v>2419</v>
      </c>
      <c r="C397" s="9" t="s">
        <v>1882</v>
      </c>
      <c r="D397" s="9" t="s">
        <v>2420</v>
      </c>
      <c r="E397" s="10" t="n">
        <v>13</v>
      </c>
      <c r="F397" s="9"/>
      <c r="G397" s="9"/>
      <c r="H397" s="9" t="s">
        <v>137</v>
      </c>
      <c r="I397" s="9" t="s">
        <v>2352</v>
      </c>
      <c r="J397" s="9"/>
      <c r="K397" s="11" t="s">
        <v>78</v>
      </c>
      <c r="L397" s="9" t="s">
        <v>2344</v>
      </c>
      <c r="M397" s="9" t="s">
        <v>2345</v>
      </c>
      <c r="N397" s="9" t="s">
        <v>2346</v>
      </c>
      <c r="O397" s="9" t="s">
        <v>2346</v>
      </c>
      <c r="P397" s="9" t="s">
        <v>83</v>
      </c>
      <c r="Q397" s="9" t="s">
        <v>2347</v>
      </c>
      <c r="R397" s="9" t="s">
        <v>85</v>
      </c>
      <c r="S397" s="11" t="s">
        <v>86</v>
      </c>
      <c r="T397" s="9" t="s">
        <v>2347</v>
      </c>
      <c r="U397" s="11" t="s">
        <v>1132</v>
      </c>
      <c r="V397" s="11" t="s">
        <v>88</v>
      </c>
      <c r="W397" s="9" t="s">
        <v>2421</v>
      </c>
      <c r="X397" s="9" t="n">
        <f aca="false">IF(AND(COUNT($E397:$G397)=0,LEFT($H397,2)&lt;&gt;"定性",LEFT($H397,2)&lt;&gt;"文字",LEFT($H397,2)&lt;&gt;"日期"),1,0)</f>
        <v>0</v>
      </c>
      <c r="Y397" s="9" t="n">
        <f aca="false">IF(OR($L397="",$M397=""),1,0)</f>
        <v>0</v>
      </c>
      <c r="Z397" s="9" t="n">
        <f aca="false">IF(AND(ISNUMBER($E397),ISNUMBER($F397)),IF($F397&gt;$E397,1,0),0)+IF(AND(ISNUMBER($E397),ISNUMBER($G397)),IF($E397&gt;$G397,1,0),0)+IF(AND(ISNUMBER($F397),ISNUMBER($G397)),IF($F397&gt;$G397,1,0),0)</f>
        <v>0</v>
      </c>
      <c r="AA397" s="9" t="n">
        <f aca="false">IF(AND($P397="Derived",$V397="觀測"),1,0)</f>
        <v>0</v>
      </c>
      <c r="AB397" s="12" t="s">
        <v>90</v>
      </c>
    </row>
    <row r="398" customFormat="false" ht="15" hidden="false" customHeight="false" outlineLevel="0" collapsed="false">
      <c r="A398" s="9" t="s">
        <v>2422</v>
      </c>
      <c r="B398" s="9" t="s">
        <v>2423</v>
      </c>
      <c r="C398" s="9" t="s">
        <v>1095</v>
      </c>
      <c r="D398" s="9" t="s">
        <v>2424</v>
      </c>
      <c r="E398" s="10" t="n">
        <v>9</v>
      </c>
      <c r="F398" s="9"/>
      <c r="G398" s="9"/>
      <c r="H398" s="9" t="s">
        <v>137</v>
      </c>
      <c r="I398" s="9" t="s">
        <v>138</v>
      </c>
      <c r="J398" s="9"/>
      <c r="K398" s="11" t="s">
        <v>146</v>
      </c>
      <c r="L398" s="9" t="s">
        <v>2344</v>
      </c>
      <c r="M398" s="9" t="s">
        <v>2345</v>
      </c>
      <c r="N398" s="9" t="s">
        <v>2346</v>
      </c>
      <c r="O398" s="9" t="s">
        <v>2346</v>
      </c>
      <c r="P398" s="9" t="s">
        <v>83</v>
      </c>
      <c r="Q398" s="9" t="s">
        <v>2347</v>
      </c>
      <c r="R398" s="9" t="s">
        <v>85</v>
      </c>
      <c r="S398" s="11" t="s">
        <v>86</v>
      </c>
      <c r="T398" s="9" t="s">
        <v>2347</v>
      </c>
      <c r="U398" s="11" t="s">
        <v>1132</v>
      </c>
      <c r="V398" s="11" t="s">
        <v>88</v>
      </c>
      <c r="W398" s="9" t="s">
        <v>2425</v>
      </c>
      <c r="X398" s="9" t="n">
        <f aca="false">IF(AND(COUNT($E398:$G398)=0,LEFT($H398,2)&lt;&gt;"定性",LEFT($H398,2)&lt;&gt;"文字",LEFT($H398,2)&lt;&gt;"日期"),1,0)</f>
        <v>0</v>
      </c>
      <c r="Y398" s="9" t="n">
        <f aca="false">IF(OR($L398="",$M398=""),1,0)</f>
        <v>0</v>
      </c>
      <c r="Z398" s="9" t="n">
        <f aca="false">IF(AND(ISNUMBER($E398),ISNUMBER($F398)),IF($F398&gt;$E398,1,0),0)+IF(AND(ISNUMBER($E398),ISNUMBER($G398)),IF($E398&gt;$G398,1,0),0)+IF(AND(ISNUMBER($F398),ISNUMBER($G398)),IF($F398&gt;$G398,1,0),0)</f>
        <v>0</v>
      </c>
      <c r="AA398" s="9" t="n">
        <f aca="false">IF(AND($P398="Derived",$V398="觀測"),1,0)</f>
        <v>0</v>
      </c>
      <c r="AB398" s="12" t="s">
        <v>90</v>
      </c>
    </row>
    <row r="399" customFormat="false" ht="15" hidden="false" customHeight="false" outlineLevel="0" collapsed="false">
      <c r="A399" s="9" t="s">
        <v>2426</v>
      </c>
      <c r="B399" s="9" t="s">
        <v>2427</v>
      </c>
      <c r="C399" s="9" t="s">
        <v>1095</v>
      </c>
      <c r="D399" s="9" t="s">
        <v>2428</v>
      </c>
      <c r="E399" s="10" t="n">
        <v>2.3</v>
      </c>
      <c r="F399" s="9"/>
      <c r="G399" s="9"/>
      <c r="H399" s="9" t="s">
        <v>137</v>
      </c>
      <c r="I399" s="9" t="s">
        <v>2352</v>
      </c>
      <c r="J399" s="9"/>
      <c r="K399" s="11" t="s">
        <v>146</v>
      </c>
      <c r="L399" s="9" t="s">
        <v>2415</v>
      </c>
      <c r="M399" s="9" t="s">
        <v>2416</v>
      </c>
      <c r="N399" s="9" t="s">
        <v>2346</v>
      </c>
      <c r="O399" s="9" t="s">
        <v>2346</v>
      </c>
      <c r="P399" s="9" t="s">
        <v>83</v>
      </c>
      <c r="Q399" s="9" t="s">
        <v>2347</v>
      </c>
      <c r="R399" s="9" t="s">
        <v>85</v>
      </c>
      <c r="S399" s="11" t="s">
        <v>86</v>
      </c>
      <c r="T399" s="9" t="s">
        <v>2347</v>
      </c>
      <c r="U399" s="11" t="s">
        <v>1132</v>
      </c>
      <c r="V399" s="11" t="s">
        <v>88</v>
      </c>
      <c r="W399" s="9" t="s">
        <v>2429</v>
      </c>
      <c r="X399" s="9" t="n">
        <f aca="false">IF(AND(COUNT($E399:$G399)=0,LEFT($H399,2)&lt;&gt;"定性",LEFT($H399,2)&lt;&gt;"文字",LEFT($H399,2)&lt;&gt;"日期"),1,0)</f>
        <v>0</v>
      </c>
      <c r="Y399" s="9" t="n">
        <f aca="false">IF(OR($L399="",$M399=""),1,0)</f>
        <v>0</v>
      </c>
      <c r="Z399" s="9" t="n">
        <f aca="false">IF(AND(ISNUMBER($E399),ISNUMBER($F399)),IF($F399&gt;$E399,1,0),0)+IF(AND(ISNUMBER($E399),ISNUMBER($G399)),IF($E399&gt;$G399,1,0),0)+IF(AND(ISNUMBER($F399),ISNUMBER($G399)),IF($F399&gt;$G399,1,0),0)</f>
        <v>0</v>
      </c>
      <c r="AA399" s="9" t="n">
        <f aca="false">IF(AND($P399="Derived",$V399="觀測"),1,0)</f>
        <v>0</v>
      </c>
      <c r="AB399" s="12" t="s">
        <v>90</v>
      </c>
    </row>
    <row r="400" customFormat="false" ht="15" hidden="false" customHeight="false" outlineLevel="0" collapsed="false">
      <c r="A400" s="9" t="s">
        <v>2430</v>
      </c>
      <c r="B400" s="9" t="s">
        <v>2431</v>
      </c>
      <c r="C400" s="9" t="s">
        <v>1095</v>
      </c>
      <c r="D400" s="11" t="s">
        <v>2432</v>
      </c>
      <c r="E400" s="10" t="n">
        <v>450</v>
      </c>
      <c r="F400" s="9"/>
      <c r="G400" s="9"/>
      <c r="H400" s="9" t="s">
        <v>482</v>
      </c>
      <c r="I400" s="11" t="s">
        <v>2433</v>
      </c>
      <c r="J400" s="9"/>
      <c r="K400" s="11" t="s">
        <v>78</v>
      </c>
      <c r="L400" s="9" t="s">
        <v>2344</v>
      </c>
      <c r="M400" s="9" t="s">
        <v>2345</v>
      </c>
      <c r="N400" s="9" t="s">
        <v>2346</v>
      </c>
      <c r="O400" s="9" t="s">
        <v>2346</v>
      </c>
      <c r="P400" s="9" t="s">
        <v>83</v>
      </c>
      <c r="Q400" s="9" t="s">
        <v>2347</v>
      </c>
      <c r="R400" s="9" t="s">
        <v>85</v>
      </c>
      <c r="S400" s="11" t="s">
        <v>86</v>
      </c>
      <c r="T400" s="9" t="s">
        <v>2347</v>
      </c>
      <c r="U400" s="11" t="s">
        <v>1132</v>
      </c>
      <c r="V400" s="11" t="s">
        <v>88</v>
      </c>
      <c r="W400" s="9" t="s">
        <v>2434</v>
      </c>
      <c r="X400" s="9" t="n">
        <f aca="false">IF(AND(COUNT($E400:$G400)=0,LEFT($H400,2)&lt;&gt;"定性",LEFT($H400,2)&lt;&gt;"文字",LEFT($H400,2)&lt;&gt;"日期"),1,0)</f>
        <v>0</v>
      </c>
      <c r="Y400" s="9" t="n">
        <f aca="false">IF(OR($L400="",$M400=""),1,0)</f>
        <v>0</v>
      </c>
      <c r="Z400" s="9" t="n">
        <f aca="false">IF(AND(ISNUMBER($E400),ISNUMBER($F400)),IF($F400&gt;$E400,1,0),0)+IF(AND(ISNUMBER($E400),ISNUMBER($G400)),IF($E400&gt;$G400,1,0),0)+IF(AND(ISNUMBER($F400),ISNUMBER($G400)),IF($F400&gt;$G400,1,0),0)</f>
        <v>0</v>
      </c>
      <c r="AA400" s="9" t="n">
        <f aca="false">IF(AND($P400="Derived",$V400="觀測"),1,0)</f>
        <v>0</v>
      </c>
      <c r="AB400" s="12" t="s">
        <v>90</v>
      </c>
    </row>
    <row r="401" customFormat="false" ht="15" hidden="false" customHeight="false" outlineLevel="0" collapsed="false">
      <c r="A401" s="9" t="s">
        <v>2435</v>
      </c>
      <c r="B401" s="9" t="s">
        <v>2436</v>
      </c>
      <c r="C401" s="9" t="s">
        <v>1095</v>
      </c>
      <c r="D401" s="9" t="s">
        <v>2437</v>
      </c>
      <c r="E401" s="10" t="n">
        <v>111</v>
      </c>
      <c r="F401" s="9"/>
      <c r="G401" s="9"/>
      <c r="H401" s="9" t="s">
        <v>482</v>
      </c>
      <c r="I401" s="11" t="s">
        <v>2433</v>
      </c>
      <c r="J401" s="9"/>
      <c r="K401" s="11" t="s">
        <v>78</v>
      </c>
      <c r="L401" s="9" t="s">
        <v>2344</v>
      </c>
      <c r="M401" s="9" t="s">
        <v>2345</v>
      </c>
      <c r="N401" s="9" t="s">
        <v>2346</v>
      </c>
      <c r="O401" s="9" t="s">
        <v>2346</v>
      </c>
      <c r="P401" s="9" t="s">
        <v>83</v>
      </c>
      <c r="Q401" s="9" t="s">
        <v>2347</v>
      </c>
      <c r="R401" s="9" t="s">
        <v>85</v>
      </c>
      <c r="S401" s="11" t="s">
        <v>86</v>
      </c>
      <c r="T401" s="9" t="s">
        <v>2347</v>
      </c>
      <c r="U401" s="11" t="s">
        <v>1132</v>
      </c>
      <c r="V401" s="11" t="s">
        <v>88</v>
      </c>
      <c r="W401" s="9" t="s">
        <v>2438</v>
      </c>
      <c r="X401" s="9" t="n">
        <f aca="false">IF(AND(COUNT($E401:$G401)=0,LEFT($H401,2)&lt;&gt;"定性",LEFT($H401,2)&lt;&gt;"文字",LEFT($H401,2)&lt;&gt;"日期"),1,0)</f>
        <v>0</v>
      </c>
      <c r="Y401" s="9" t="n">
        <f aca="false">IF(OR($L401="",$M401=""),1,0)</f>
        <v>0</v>
      </c>
      <c r="Z401" s="9" t="n">
        <f aca="false">IF(AND(ISNUMBER($E401),ISNUMBER($F401)),IF($F401&gt;$E401,1,0),0)+IF(AND(ISNUMBER($E401),ISNUMBER($G401)),IF($E401&gt;$G401,1,0),0)+IF(AND(ISNUMBER($F401),ISNUMBER($G401)),IF($F401&gt;$G401,1,0),0)</f>
        <v>0</v>
      </c>
      <c r="AA401" s="9" t="n">
        <f aca="false">IF(AND($P401="Derived",$V401="觀測"),1,0)</f>
        <v>0</v>
      </c>
      <c r="AB401" s="12" t="s">
        <v>90</v>
      </c>
    </row>
    <row r="402" customFormat="false" ht="15" hidden="false" customHeight="false" outlineLevel="0" collapsed="false">
      <c r="A402" s="9" t="s">
        <v>2439</v>
      </c>
      <c r="B402" s="9" t="s">
        <v>2440</v>
      </c>
      <c r="C402" s="9" t="s">
        <v>1095</v>
      </c>
      <c r="D402" s="9" t="s">
        <v>2441</v>
      </c>
      <c r="E402" s="10" t="n">
        <v>110</v>
      </c>
      <c r="F402" s="9"/>
      <c r="G402" s="9"/>
      <c r="H402" s="9" t="s">
        <v>482</v>
      </c>
      <c r="I402" s="11" t="s">
        <v>2433</v>
      </c>
      <c r="J402" s="9"/>
      <c r="K402" s="11" t="s">
        <v>78</v>
      </c>
      <c r="L402" s="9" t="s">
        <v>2344</v>
      </c>
      <c r="M402" s="9" t="s">
        <v>2345</v>
      </c>
      <c r="N402" s="9" t="s">
        <v>2346</v>
      </c>
      <c r="O402" s="9" t="s">
        <v>2346</v>
      </c>
      <c r="P402" s="9" t="s">
        <v>83</v>
      </c>
      <c r="Q402" s="9" t="s">
        <v>2347</v>
      </c>
      <c r="R402" s="9" t="s">
        <v>85</v>
      </c>
      <c r="S402" s="11" t="s">
        <v>86</v>
      </c>
      <c r="T402" s="9" t="s">
        <v>2347</v>
      </c>
      <c r="U402" s="11" t="s">
        <v>1132</v>
      </c>
      <c r="V402" s="11" t="s">
        <v>88</v>
      </c>
      <c r="W402" s="9" t="s">
        <v>2442</v>
      </c>
      <c r="X402" s="9" t="n">
        <f aca="false">IF(AND(COUNT($E402:$G402)=0,LEFT($H402,2)&lt;&gt;"定性",LEFT($H402,2)&lt;&gt;"文字",LEFT($H402,2)&lt;&gt;"日期"),1,0)</f>
        <v>0</v>
      </c>
      <c r="Y402" s="9" t="n">
        <f aca="false">IF(OR($L402="",$M402=""),1,0)</f>
        <v>0</v>
      </c>
      <c r="Z402" s="9" t="n">
        <f aca="false">IF(AND(ISNUMBER($E402),ISNUMBER($F402)),IF($F402&gt;$E402,1,0),0)+IF(AND(ISNUMBER($E402),ISNUMBER($G402)),IF($E402&gt;$G402,1,0),0)+IF(AND(ISNUMBER($F402),ISNUMBER($G402)),IF($F402&gt;$G402,1,0),0)</f>
        <v>0</v>
      </c>
      <c r="AA402" s="9" t="n">
        <f aca="false">IF(AND($P402="Derived",$V402="觀測"),1,0)</f>
        <v>0</v>
      </c>
      <c r="AB402" s="12" t="s">
        <v>90</v>
      </c>
    </row>
    <row r="403" customFormat="false" ht="15" hidden="false" customHeight="false" outlineLevel="0" collapsed="false">
      <c r="A403" s="9" t="s">
        <v>2443</v>
      </c>
      <c r="B403" s="9" t="s">
        <v>2444</v>
      </c>
      <c r="C403" s="9" t="s">
        <v>1095</v>
      </c>
      <c r="D403" s="9" t="s">
        <v>2445</v>
      </c>
      <c r="E403" s="10" t="n">
        <v>31</v>
      </c>
      <c r="F403" s="9"/>
      <c r="G403" s="9"/>
      <c r="H403" s="9" t="s">
        <v>482</v>
      </c>
      <c r="I403" s="11" t="s">
        <v>2433</v>
      </c>
      <c r="J403" s="9"/>
      <c r="K403" s="11" t="s">
        <v>78</v>
      </c>
      <c r="L403" s="9" t="s">
        <v>2344</v>
      </c>
      <c r="M403" s="9" t="s">
        <v>2345</v>
      </c>
      <c r="N403" s="9" t="s">
        <v>2346</v>
      </c>
      <c r="O403" s="9" t="s">
        <v>2346</v>
      </c>
      <c r="P403" s="9" t="s">
        <v>83</v>
      </c>
      <c r="Q403" s="9" t="s">
        <v>2347</v>
      </c>
      <c r="R403" s="9" t="s">
        <v>85</v>
      </c>
      <c r="S403" s="11" t="s">
        <v>86</v>
      </c>
      <c r="T403" s="9" t="s">
        <v>2347</v>
      </c>
      <c r="U403" s="11" t="s">
        <v>1132</v>
      </c>
      <c r="V403" s="11" t="s">
        <v>88</v>
      </c>
      <c r="W403" s="9" t="s">
        <v>2446</v>
      </c>
      <c r="X403" s="9" t="n">
        <f aca="false">IF(AND(COUNT($E403:$G403)=0,LEFT($H403,2)&lt;&gt;"定性",LEFT($H403,2)&lt;&gt;"文字",LEFT($H403,2)&lt;&gt;"日期"),1,0)</f>
        <v>0</v>
      </c>
      <c r="Y403" s="9" t="n">
        <f aca="false">IF(OR($L403="",$M403=""),1,0)</f>
        <v>0</v>
      </c>
      <c r="Z403" s="9" t="n">
        <f aca="false">IF(AND(ISNUMBER($E403),ISNUMBER($F403)),IF($F403&gt;$E403,1,0),0)+IF(AND(ISNUMBER($E403),ISNUMBER($G403)),IF($E403&gt;$G403,1,0),0)+IF(AND(ISNUMBER($F403),ISNUMBER($G403)),IF($F403&gt;$G403,1,0),0)</f>
        <v>0</v>
      </c>
      <c r="AA403" s="9" t="n">
        <f aca="false">IF(AND($P403="Derived",$V403="觀測"),1,0)</f>
        <v>0</v>
      </c>
      <c r="AB403" s="12" t="s">
        <v>90</v>
      </c>
    </row>
    <row r="404" customFormat="false" ht="15" hidden="false" customHeight="false" outlineLevel="0" collapsed="false">
      <c r="A404" s="9" t="s">
        <v>2447</v>
      </c>
      <c r="B404" s="9" t="s">
        <v>2448</v>
      </c>
      <c r="C404" s="9" t="s">
        <v>1095</v>
      </c>
      <c r="D404" s="9" t="s">
        <v>2449</v>
      </c>
      <c r="E404" s="10" t="n">
        <v>86</v>
      </c>
      <c r="F404" s="9"/>
      <c r="G404" s="10" t="n">
        <v>86</v>
      </c>
      <c r="H404" s="9" t="s">
        <v>482</v>
      </c>
      <c r="I404" s="11" t="s">
        <v>2450</v>
      </c>
      <c r="J404" s="9"/>
      <c r="K404" s="11" t="s">
        <v>78</v>
      </c>
      <c r="L404" s="9" t="s">
        <v>2451</v>
      </c>
      <c r="M404" s="9" t="s">
        <v>2452</v>
      </c>
      <c r="N404" s="9" t="s">
        <v>2453</v>
      </c>
      <c r="O404" s="9" t="s">
        <v>2346</v>
      </c>
      <c r="P404" s="9" t="s">
        <v>83</v>
      </c>
      <c r="Q404" s="9" t="s">
        <v>2347</v>
      </c>
      <c r="R404" s="9" t="s">
        <v>85</v>
      </c>
      <c r="S404" s="11" t="s">
        <v>86</v>
      </c>
      <c r="T404" s="9" t="s">
        <v>2347</v>
      </c>
      <c r="U404" s="11" t="s">
        <v>1132</v>
      </c>
      <c r="V404" s="11" t="s">
        <v>88</v>
      </c>
      <c r="W404" s="9" t="s">
        <v>2454</v>
      </c>
      <c r="X404" s="9" t="n">
        <f aca="false">IF(AND(COUNT($E404:$G404)=0,LEFT($H404,2)&lt;&gt;"定性",LEFT($H404,2)&lt;&gt;"文字",LEFT($H404,2)&lt;&gt;"日期"),1,0)</f>
        <v>0</v>
      </c>
      <c r="Y404" s="9" t="n">
        <f aca="false">IF(OR($L404="",$M404=""),1,0)</f>
        <v>0</v>
      </c>
      <c r="Z404" s="9" t="n">
        <f aca="false">IF(AND(ISNUMBER($E404),ISNUMBER($F404)),IF($F404&gt;$E404,1,0),0)+IF(AND(ISNUMBER($E404),ISNUMBER($G404)),IF($E404&gt;$G404,1,0),0)+IF(AND(ISNUMBER($F404),ISNUMBER($G404)),IF($F404&gt;$G404,1,0),0)</f>
        <v>0</v>
      </c>
      <c r="AA404" s="9" t="n">
        <f aca="false">IF(AND($P404="Derived",$V404="觀測"),1,0)</f>
        <v>0</v>
      </c>
      <c r="AB404" s="12" t="s">
        <v>90</v>
      </c>
    </row>
    <row r="405" customFormat="false" ht="15" hidden="false" customHeight="false" outlineLevel="0" collapsed="false">
      <c r="A405" s="9" t="s">
        <v>2455</v>
      </c>
      <c r="B405" s="9" t="s">
        <v>2456</v>
      </c>
      <c r="C405" s="9" t="s">
        <v>1095</v>
      </c>
      <c r="D405" s="9" t="s">
        <v>2457</v>
      </c>
      <c r="E405" s="10" t="n">
        <v>160</v>
      </c>
      <c r="F405" s="10" t="n">
        <v>160</v>
      </c>
      <c r="G405" s="9"/>
      <c r="H405" s="9" t="s">
        <v>482</v>
      </c>
      <c r="I405" s="11" t="s">
        <v>2458</v>
      </c>
      <c r="J405" s="9"/>
      <c r="K405" s="11" t="s">
        <v>78</v>
      </c>
      <c r="L405" s="9" t="s">
        <v>2451</v>
      </c>
      <c r="M405" s="9" t="s">
        <v>2452</v>
      </c>
      <c r="N405" s="9" t="s">
        <v>2453</v>
      </c>
      <c r="O405" s="9" t="s">
        <v>2346</v>
      </c>
      <c r="P405" s="9" t="s">
        <v>83</v>
      </c>
      <c r="Q405" s="9" t="s">
        <v>2347</v>
      </c>
      <c r="R405" s="9" t="s">
        <v>85</v>
      </c>
      <c r="S405" s="11" t="s">
        <v>86</v>
      </c>
      <c r="T405" s="9" t="s">
        <v>2347</v>
      </c>
      <c r="U405" s="11" t="s">
        <v>1132</v>
      </c>
      <c r="V405" s="11" t="s">
        <v>88</v>
      </c>
      <c r="W405" s="9" t="s">
        <v>2459</v>
      </c>
      <c r="X405" s="9" t="n">
        <f aca="false">IF(AND(COUNT($E405:$G405)=0,LEFT($H405,2)&lt;&gt;"定性",LEFT($H405,2)&lt;&gt;"文字",LEFT($H405,2)&lt;&gt;"日期"),1,0)</f>
        <v>0</v>
      </c>
      <c r="Y405" s="9" t="n">
        <f aca="false">IF(OR($L405="",$M405=""),1,0)</f>
        <v>0</v>
      </c>
      <c r="Z405" s="9" t="n">
        <f aca="false">IF(AND(ISNUMBER($E405),ISNUMBER($F405)),IF($F405&gt;$E405,1,0),0)+IF(AND(ISNUMBER($E405),ISNUMBER($G405)),IF($E405&gt;$G405,1,0),0)+IF(AND(ISNUMBER($F405),ISNUMBER($G405)),IF($F405&gt;$G405,1,0),0)</f>
        <v>0</v>
      </c>
      <c r="AA405" s="9" t="n">
        <f aca="false">IF(AND($P405="Derived",$V405="觀測"),1,0)</f>
        <v>0</v>
      </c>
      <c r="AB405" s="12" t="s">
        <v>90</v>
      </c>
    </row>
    <row r="406" customFormat="false" ht="15" hidden="false" customHeight="false" outlineLevel="0" collapsed="false">
      <c r="A406" s="9" t="s">
        <v>2460</v>
      </c>
      <c r="B406" s="9" t="s">
        <v>2461</v>
      </c>
      <c r="C406" s="9" t="s">
        <v>1095</v>
      </c>
      <c r="D406" s="11" t="s">
        <v>2462</v>
      </c>
      <c r="E406" s="10" t="n">
        <v>600</v>
      </c>
      <c r="F406" s="10" t="n">
        <v>600</v>
      </c>
      <c r="G406" s="9"/>
      <c r="H406" s="9" t="s">
        <v>482</v>
      </c>
      <c r="I406" s="11" t="s">
        <v>2458</v>
      </c>
      <c r="J406" s="9"/>
      <c r="K406" s="11" t="s">
        <v>78</v>
      </c>
      <c r="L406" s="9" t="s">
        <v>2451</v>
      </c>
      <c r="M406" s="9" t="s">
        <v>2452</v>
      </c>
      <c r="N406" s="9" t="s">
        <v>2453</v>
      </c>
      <c r="O406" s="9" t="s">
        <v>2346</v>
      </c>
      <c r="P406" s="9" t="s">
        <v>83</v>
      </c>
      <c r="Q406" s="9" t="s">
        <v>2347</v>
      </c>
      <c r="R406" s="9" t="s">
        <v>85</v>
      </c>
      <c r="S406" s="11" t="s">
        <v>86</v>
      </c>
      <c r="T406" s="9" t="s">
        <v>2347</v>
      </c>
      <c r="U406" s="11" t="s">
        <v>1132</v>
      </c>
      <c r="V406" s="11" t="s">
        <v>88</v>
      </c>
      <c r="W406" s="9" t="s">
        <v>2463</v>
      </c>
      <c r="X406" s="9" t="n">
        <f aca="false">IF(AND(COUNT($E406:$G406)=0,LEFT($H406,2)&lt;&gt;"定性",LEFT($H406,2)&lt;&gt;"文字",LEFT($H406,2)&lt;&gt;"日期"),1,0)</f>
        <v>0</v>
      </c>
      <c r="Y406" s="9" t="n">
        <f aca="false">IF(OR($L406="",$M406=""),1,0)</f>
        <v>0</v>
      </c>
      <c r="Z406" s="9" t="n">
        <f aca="false">IF(AND(ISNUMBER($E406),ISNUMBER($F406)),IF($F406&gt;$E406,1,0),0)+IF(AND(ISNUMBER($E406),ISNUMBER($G406)),IF($E406&gt;$G406,1,0),0)+IF(AND(ISNUMBER($F406),ISNUMBER($G406)),IF($F406&gt;$G406,1,0),0)</f>
        <v>0</v>
      </c>
      <c r="AA406" s="9" t="n">
        <f aca="false">IF(AND($P406="Derived",$V406="觀測"),1,0)</f>
        <v>0</v>
      </c>
      <c r="AB406" s="12" t="s">
        <v>90</v>
      </c>
    </row>
    <row r="407" customFormat="false" ht="15" hidden="false" customHeight="false" outlineLevel="0" collapsed="false">
      <c r="A407" s="9" t="s">
        <v>2464</v>
      </c>
      <c r="B407" s="9" t="s">
        <v>2465</v>
      </c>
      <c r="C407" s="9" t="s">
        <v>1095</v>
      </c>
      <c r="D407" s="11" t="s">
        <v>2466</v>
      </c>
      <c r="E407" s="10" t="n">
        <v>150</v>
      </c>
      <c r="F407" s="9"/>
      <c r="G407" s="10" t="n">
        <v>150</v>
      </c>
      <c r="H407" s="9" t="s">
        <v>482</v>
      </c>
      <c r="I407" s="11" t="s">
        <v>2467</v>
      </c>
      <c r="J407" s="9"/>
      <c r="K407" s="11" t="s">
        <v>78</v>
      </c>
      <c r="L407" s="9" t="s">
        <v>2451</v>
      </c>
      <c r="M407" s="9" t="s">
        <v>2452</v>
      </c>
      <c r="N407" s="9" t="s">
        <v>2453</v>
      </c>
      <c r="O407" s="9" t="s">
        <v>2346</v>
      </c>
      <c r="P407" s="9" t="s">
        <v>83</v>
      </c>
      <c r="Q407" s="9" t="s">
        <v>2347</v>
      </c>
      <c r="R407" s="9" t="s">
        <v>85</v>
      </c>
      <c r="S407" s="11" t="s">
        <v>86</v>
      </c>
      <c r="T407" s="9" t="s">
        <v>2347</v>
      </c>
      <c r="U407" s="11" t="s">
        <v>1132</v>
      </c>
      <c r="V407" s="11" t="s">
        <v>88</v>
      </c>
      <c r="W407" s="9" t="s">
        <v>2468</v>
      </c>
      <c r="X407" s="9" t="n">
        <f aca="false">IF(AND(COUNT($E407:$G407)=0,LEFT($H407,2)&lt;&gt;"定性",LEFT($H407,2)&lt;&gt;"文字",LEFT($H407,2)&lt;&gt;"日期"),1,0)</f>
        <v>0</v>
      </c>
      <c r="Y407" s="9" t="n">
        <f aca="false">IF(OR($L407="",$M407=""),1,0)</f>
        <v>0</v>
      </c>
      <c r="Z407" s="9" t="n">
        <f aca="false">IF(AND(ISNUMBER($E407),ISNUMBER($F407)),IF($F407&gt;$E407,1,0),0)+IF(AND(ISNUMBER($E407),ISNUMBER($G407)),IF($E407&gt;$G407,1,0),0)+IF(AND(ISNUMBER($F407),ISNUMBER($G407)),IF($F407&gt;$G407,1,0),0)</f>
        <v>0</v>
      </c>
      <c r="AA407" s="9" t="n">
        <f aca="false">IF(AND($P407="Derived",$V407="觀測"),1,0)</f>
        <v>0</v>
      </c>
      <c r="AB407" s="12" t="s">
        <v>90</v>
      </c>
    </row>
    <row r="408" customFormat="false" ht="15" hidden="false" customHeight="false" outlineLevel="0" collapsed="false">
      <c r="A408" s="9" t="s">
        <v>2469</v>
      </c>
      <c r="B408" s="9" t="s">
        <v>2470</v>
      </c>
      <c r="C408" s="9" t="s">
        <v>1095</v>
      </c>
      <c r="D408" s="11" t="s">
        <v>2471</v>
      </c>
      <c r="E408" s="10" t="n">
        <v>750</v>
      </c>
      <c r="F408" s="9"/>
      <c r="G408" s="10" t="n">
        <v>750</v>
      </c>
      <c r="H408" s="9" t="s">
        <v>482</v>
      </c>
      <c r="I408" s="11" t="s">
        <v>2458</v>
      </c>
      <c r="J408" s="9"/>
      <c r="K408" s="11" t="s">
        <v>78</v>
      </c>
      <c r="L408" s="9" t="s">
        <v>2451</v>
      </c>
      <c r="M408" s="9" t="s">
        <v>2452</v>
      </c>
      <c r="N408" s="9" t="s">
        <v>2453</v>
      </c>
      <c r="O408" s="9" t="s">
        <v>2346</v>
      </c>
      <c r="P408" s="9" t="s">
        <v>83</v>
      </c>
      <c r="Q408" s="9" t="s">
        <v>2347</v>
      </c>
      <c r="R408" s="9" t="s">
        <v>85</v>
      </c>
      <c r="S408" s="11" t="s">
        <v>86</v>
      </c>
      <c r="T408" s="9" t="s">
        <v>2347</v>
      </c>
      <c r="U408" s="11" t="s">
        <v>1132</v>
      </c>
      <c r="V408" s="11" t="s">
        <v>88</v>
      </c>
      <c r="W408" s="9" t="s">
        <v>2472</v>
      </c>
      <c r="X408" s="9" t="n">
        <f aca="false">IF(AND(COUNT($E408:$G408)=0,LEFT($H408,2)&lt;&gt;"定性",LEFT($H408,2)&lt;&gt;"文字",LEFT($H408,2)&lt;&gt;"日期"),1,0)</f>
        <v>0</v>
      </c>
      <c r="Y408" s="9" t="n">
        <f aca="false">IF(OR($L408="",$M408=""),1,0)</f>
        <v>0</v>
      </c>
      <c r="Z408" s="9" t="n">
        <f aca="false">IF(AND(ISNUMBER($E408),ISNUMBER($F408)),IF($F408&gt;$E408,1,0),0)+IF(AND(ISNUMBER($E408),ISNUMBER($G408)),IF($E408&gt;$G408,1,0),0)+IF(AND(ISNUMBER($F408),ISNUMBER($G408)),IF($F408&gt;$G408,1,0),0)</f>
        <v>0</v>
      </c>
      <c r="AA408" s="9" t="n">
        <f aca="false">IF(AND($P408="Derived",$V408="觀測"),1,0)</f>
        <v>0</v>
      </c>
      <c r="AB408" s="12" t="s">
        <v>90</v>
      </c>
    </row>
    <row r="409" customFormat="false" ht="15" hidden="false" customHeight="false" outlineLevel="0" collapsed="false">
      <c r="A409" s="9" t="s">
        <v>2473</v>
      </c>
      <c r="B409" s="9" t="s">
        <v>2474</v>
      </c>
      <c r="C409" s="9" t="s">
        <v>74</v>
      </c>
      <c r="D409" s="9" t="s">
        <v>2475</v>
      </c>
      <c r="E409" s="10" t="n">
        <v>0.2</v>
      </c>
      <c r="F409" s="9"/>
      <c r="G409" s="9"/>
      <c r="H409" s="11" t="s">
        <v>269</v>
      </c>
      <c r="I409" s="9" t="s">
        <v>138</v>
      </c>
      <c r="J409" s="9"/>
      <c r="K409" s="11" t="s">
        <v>78</v>
      </c>
      <c r="L409" s="9" t="s">
        <v>2344</v>
      </c>
      <c r="M409" s="9" t="s">
        <v>2345</v>
      </c>
      <c r="N409" s="9" t="s">
        <v>2346</v>
      </c>
      <c r="O409" s="9" t="s">
        <v>2346</v>
      </c>
      <c r="P409" s="9" t="s">
        <v>83</v>
      </c>
      <c r="Q409" s="9" t="s">
        <v>2347</v>
      </c>
      <c r="R409" s="9" t="s">
        <v>85</v>
      </c>
      <c r="S409" s="11" t="s">
        <v>86</v>
      </c>
      <c r="T409" s="9" t="s">
        <v>2347</v>
      </c>
      <c r="U409" s="11" t="s">
        <v>1132</v>
      </c>
      <c r="V409" s="11" t="s">
        <v>88</v>
      </c>
      <c r="W409" s="9" t="s">
        <v>2476</v>
      </c>
      <c r="X409" s="9" t="n">
        <f aca="false">IF(AND(COUNT($E409:$G409)=0,LEFT($H409,2)&lt;&gt;"定性",LEFT($H409,2)&lt;&gt;"文字",LEFT($H409,2)&lt;&gt;"日期"),1,0)</f>
        <v>0</v>
      </c>
      <c r="Y409" s="9" t="n">
        <f aca="false">IF(OR($L409="",$M409=""),1,0)</f>
        <v>0</v>
      </c>
      <c r="Z409" s="9" t="n">
        <f aca="false">IF(AND(ISNUMBER($E409),ISNUMBER($F409)),IF($F409&gt;$E409,1,0),0)+IF(AND(ISNUMBER($E409),ISNUMBER($G409)),IF($E409&gt;$G409,1,0),0)+IF(AND(ISNUMBER($F409),ISNUMBER($G409)),IF($F409&gt;$G409,1,0),0)</f>
        <v>0</v>
      </c>
      <c r="AA409" s="9" t="n">
        <f aca="false">IF(AND($P409="Derived",$V409="觀測"),1,0)</f>
        <v>0</v>
      </c>
      <c r="AB409" s="12" t="s">
        <v>90</v>
      </c>
    </row>
    <row r="410" customFormat="false" ht="15" hidden="false" customHeight="false" outlineLevel="0" collapsed="false">
      <c r="A410" s="9" t="s">
        <v>2477</v>
      </c>
      <c r="B410" s="9" t="s">
        <v>2478</v>
      </c>
      <c r="C410" s="9" t="s">
        <v>74</v>
      </c>
      <c r="D410" s="9" t="s">
        <v>2479</v>
      </c>
      <c r="E410" s="10" t="n">
        <v>3.26</v>
      </c>
      <c r="F410" s="9"/>
      <c r="G410" s="9"/>
      <c r="H410" s="9" t="s">
        <v>137</v>
      </c>
      <c r="I410" s="9" t="s">
        <v>138</v>
      </c>
      <c r="J410" s="9"/>
      <c r="K410" s="11" t="s">
        <v>78</v>
      </c>
      <c r="L410" s="9" t="s">
        <v>2344</v>
      </c>
      <c r="M410" s="9" t="s">
        <v>2345</v>
      </c>
      <c r="N410" s="9" t="s">
        <v>2346</v>
      </c>
      <c r="O410" s="9" t="s">
        <v>2346</v>
      </c>
      <c r="P410" s="9" t="s">
        <v>83</v>
      </c>
      <c r="Q410" s="9" t="s">
        <v>2347</v>
      </c>
      <c r="R410" s="9" t="s">
        <v>85</v>
      </c>
      <c r="S410" s="11" t="s">
        <v>86</v>
      </c>
      <c r="T410" s="9" t="s">
        <v>2347</v>
      </c>
      <c r="U410" s="11" t="s">
        <v>1132</v>
      </c>
      <c r="V410" s="11" t="s">
        <v>88</v>
      </c>
      <c r="W410" s="9" t="s">
        <v>2480</v>
      </c>
      <c r="X410" s="9" t="n">
        <f aca="false">IF(AND(COUNT($E410:$G410)=0,LEFT($H410,2)&lt;&gt;"定性",LEFT($H410,2)&lt;&gt;"文字",LEFT($H410,2)&lt;&gt;"日期"),1,0)</f>
        <v>0</v>
      </c>
      <c r="Y410" s="9" t="n">
        <f aca="false">IF(OR($L410="",$M410=""),1,0)</f>
        <v>0</v>
      </c>
      <c r="Z410" s="9" t="n">
        <f aca="false">IF(AND(ISNUMBER($E410),ISNUMBER($F410)),IF($F410&gt;$E410,1,0),0)+IF(AND(ISNUMBER($E410),ISNUMBER($G410)),IF($E410&gt;$G410,1,0),0)+IF(AND(ISNUMBER($F410),ISNUMBER($G410)),IF($F410&gt;$G410,1,0),0)</f>
        <v>0</v>
      </c>
      <c r="AA410" s="9" t="n">
        <f aca="false">IF(AND($P410="Derived",$V410="觀測"),1,0)</f>
        <v>0</v>
      </c>
      <c r="AB410" s="12" t="s">
        <v>90</v>
      </c>
    </row>
    <row r="411" customFormat="false" ht="15" hidden="false" customHeight="false" outlineLevel="0" collapsed="false">
      <c r="A411" s="9" t="s">
        <v>2481</v>
      </c>
      <c r="B411" s="9" t="s">
        <v>2482</v>
      </c>
      <c r="C411" s="9" t="s">
        <v>1095</v>
      </c>
      <c r="D411" s="11" t="s">
        <v>2483</v>
      </c>
      <c r="E411" s="9"/>
      <c r="F411" s="9"/>
      <c r="G411" s="9"/>
      <c r="H411" s="11" t="s">
        <v>1899</v>
      </c>
      <c r="I411" s="9" t="s">
        <v>138</v>
      </c>
      <c r="J411" s="9"/>
      <c r="K411" s="11" t="s">
        <v>281</v>
      </c>
      <c r="L411" s="9" t="s">
        <v>2344</v>
      </c>
      <c r="M411" s="9" t="s">
        <v>2345</v>
      </c>
      <c r="N411" s="9" t="s">
        <v>2346</v>
      </c>
      <c r="O411" s="9" t="s">
        <v>2346</v>
      </c>
      <c r="P411" s="9" t="s">
        <v>83</v>
      </c>
      <c r="Q411" s="9" t="s">
        <v>2347</v>
      </c>
      <c r="R411" s="9" t="s">
        <v>85</v>
      </c>
      <c r="S411" s="11" t="s">
        <v>86</v>
      </c>
      <c r="T411" s="9" t="s">
        <v>2347</v>
      </c>
      <c r="U411" s="11" t="s">
        <v>1132</v>
      </c>
      <c r="V411" s="11" t="s">
        <v>88</v>
      </c>
      <c r="W411" s="9" t="s">
        <v>2484</v>
      </c>
      <c r="X411" s="9" t="n">
        <f aca="false">IF(AND(COUNT($E411:$G411)=0,LEFT($H411,2)&lt;&gt;"定性",LEFT($H411,2)&lt;&gt;"文字",LEFT($H411,2)&lt;&gt;"日期"),1,0)</f>
        <v>0</v>
      </c>
      <c r="Y411" s="9" t="n">
        <f aca="false">IF(OR($L411="",$M411=""),1,0)</f>
        <v>0</v>
      </c>
      <c r="Z411" s="9" t="n">
        <f aca="false">IF(AND(ISNUMBER($E411),ISNUMBER($F411)),IF($F411&gt;$E411,1,0),0)+IF(AND(ISNUMBER($E411),ISNUMBER($G411)),IF($E411&gt;$G411,1,0),0)+IF(AND(ISNUMBER($F411),ISNUMBER($G411)),IF($F411&gt;$G411,1,0),0)</f>
        <v>0</v>
      </c>
      <c r="AA411" s="9" t="n">
        <f aca="false">IF(AND($P411="Derived",$V411="觀測"),1,0)</f>
        <v>0</v>
      </c>
      <c r="AB411" s="12" t="s">
        <v>90</v>
      </c>
    </row>
    <row r="412" customFormat="false" ht="15" hidden="false" customHeight="false" outlineLevel="0" collapsed="false">
      <c r="A412" s="9" t="s">
        <v>2485</v>
      </c>
      <c r="B412" s="9" t="s">
        <v>2486</v>
      </c>
      <c r="C412" s="9" t="s">
        <v>1095</v>
      </c>
      <c r="D412" s="9" t="s">
        <v>2487</v>
      </c>
      <c r="E412" s="9" t="n">
        <f aca="false">SRC_ANT_384/SRC_ANT_387</f>
        <v>9.88235294117647</v>
      </c>
      <c r="F412" s="9"/>
      <c r="G412" s="9"/>
      <c r="H412" s="9" t="s">
        <v>111</v>
      </c>
      <c r="I412" s="9" t="s">
        <v>396</v>
      </c>
      <c r="J412" s="9"/>
      <c r="K412" s="11" t="s">
        <v>146</v>
      </c>
      <c r="L412" s="11" t="s">
        <v>2488</v>
      </c>
      <c r="M412" s="9" t="s">
        <v>2358</v>
      </c>
      <c r="N412" s="9" t="s">
        <v>2359</v>
      </c>
      <c r="O412" s="9" t="s">
        <v>2346</v>
      </c>
      <c r="P412" s="9" t="s">
        <v>102</v>
      </c>
      <c r="Q412" s="9"/>
      <c r="R412" s="11" t="s">
        <v>103</v>
      </c>
      <c r="S412" s="11" t="s">
        <v>104</v>
      </c>
      <c r="T412" s="11" t="s">
        <v>105</v>
      </c>
      <c r="U412" s="11" t="s">
        <v>104</v>
      </c>
      <c r="V412" s="9" t="s">
        <v>106</v>
      </c>
      <c r="W412" s="9" t="s">
        <v>2489</v>
      </c>
      <c r="X412" s="9" t="n">
        <f aca="false">IF(AND(COUNT($E412:$G412)=0,LEFT($H412,2)&lt;&gt;"定性",LEFT($H412,2)&lt;&gt;"文字",LEFT($H412,2)&lt;&gt;"日期"),1,0)</f>
        <v>0</v>
      </c>
      <c r="Y412" s="9" t="n">
        <f aca="false">IF(OR($L412="",$M412=""),1,0)</f>
        <v>0</v>
      </c>
      <c r="Z412" s="9" t="n">
        <f aca="false">IF(AND(ISNUMBER($E412),ISNUMBER($F412)),IF($F412&gt;$E412,1,0),0)+IF(AND(ISNUMBER($E412),ISNUMBER($G412)),IF($E412&gt;$G412,1,0),0)+IF(AND(ISNUMBER($F412),ISNUMBER($G412)),IF($F412&gt;$G412,1,0),0)</f>
        <v>0</v>
      </c>
      <c r="AA412" s="9" t="n">
        <f aca="false">IF(AND($P412="Derived",$V412="觀測"),1,0)</f>
        <v>0</v>
      </c>
      <c r="AB412" s="12" t="s">
        <v>90</v>
      </c>
    </row>
    <row r="413" customFormat="false" ht="15" hidden="false" customHeight="false" outlineLevel="0" collapsed="false">
      <c r="A413" s="9" t="s">
        <v>2490</v>
      </c>
      <c r="B413" s="9" t="s">
        <v>2491</v>
      </c>
      <c r="C413" s="9" t="s">
        <v>1095</v>
      </c>
      <c r="D413" s="9" t="s">
        <v>2492</v>
      </c>
      <c r="E413" s="9" t="n">
        <f aca="false">SRC_ANT_394+SRC_ANT_408</f>
        <v>18.8823529411765</v>
      </c>
      <c r="F413" s="9"/>
      <c r="G413" s="9"/>
      <c r="H413" s="9" t="s">
        <v>2493</v>
      </c>
      <c r="I413" s="9" t="s">
        <v>2494</v>
      </c>
      <c r="J413" s="9"/>
      <c r="K413" s="11" t="s">
        <v>146</v>
      </c>
      <c r="L413" s="9" t="s">
        <v>2451</v>
      </c>
      <c r="M413" s="9" t="s">
        <v>2452</v>
      </c>
      <c r="N413" s="9" t="s">
        <v>2453</v>
      </c>
      <c r="O413" s="9" t="s">
        <v>2346</v>
      </c>
      <c r="P413" s="9" t="s">
        <v>102</v>
      </c>
      <c r="Q413" s="9"/>
      <c r="R413" s="11" t="s">
        <v>103</v>
      </c>
      <c r="S413" s="11" t="s">
        <v>104</v>
      </c>
      <c r="T413" s="11" t="s">
        <v>105</v>
      </c>
      <c r="U413" s="11" t="s">
        <v>104</v>
      </c>
      <c r="V413" s="9" t="s">
        <v>106</v>
      </c>
      <c r="W413" s="9" t="s">
        <v>2495</v>
      </c>
      <c r="X413" s="9" t="n">
        <f aca="false">IF(AND(COUNT($E413:$G413)=0,LEFT($H413,2)&lt;&gt;"定性",LEFT($H413,2)&lt;&gt;"文字",LEFT($H413,2)&lt;&gt;"日期"),1,0)</f>
        <v>0</v>
      </c>
      <c r="Y413" s="9" t="n">
        <f aca="false">IF(OR($L413="",$M413=""),1,0)</f>
        <v>0</v>
      </c>
      <c r="Z413" s="9" t="n">
        <f aca="false">IF(AND(ISNUMBER($E413),ISNUMBER($F413)),IF($F413&gt;$E413,1,0),0)+IF(AND(ISNUMBER($E413),ISNUMBER($G413)),IF($E413&gt;$G413,1,0),0)+IF(AND(ISNUMBER($F413),ISNUMBER($G413)),IF($F413&gt;$G413,1,0),0)</f>
        <v>0</v>
      </c>
      <c r="AA413" s="9" t="n">
        <f aca="false">IF(AND($P413="Derived",$V413="觀測"),1,0)</f>
        <v>0</v>
      </c>
      <c r="AB413" s="1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2496</v>
      </c>
    </row>
    <row r="2" customFormat="false" ht="15" hidden="false" customHeight="false" outlineLevel="0" collapsed="false">
      <c r="A2" s="2" t="s">
        <v>2497</v>
      </c>
    </row>
    <row r="3" customFormat="false" ht="15" hidden="false" customHeight="false" outlineLevel="0" collapsed="false">
      <c r="A3" s="5" t="s">
        <v>2498</v>
      </c>
      <c r="B3" s="9" t="s">
        <v>2499</v>
      </c>
      <c r="C3" s="11" t="s">
        <v>2500</v>
      </c>
    </row>
    <row r="4" customFormat="false" ht="15" hidden="false" customHeight="false" outlineLevel="0" collapsed="false">
      <c r="A4" s="5" t="s">
        <v>2501</v>
      </c>
      <c r="B4" s="9" t="s">
        <v>2502</v>
      </c>
    </row>
    <row r="5" customFormat="false" ht="15" hidden="false" customHeight="false" outlineLevel="0" collapsed="false">
      <c r="A5" s="5" t="s">
        <v>2503</v>
      </c>
      <c r="B5" s="9" t="s">
        <v>2504</v>
      </c>
    </row>
    <row r="6" customFormat="false" ht="15" hidden="false" customHeight="false" outlineLevel="0" collapsed="false">
      <c r="A6" s="3" t="s">
        <v>2505</v>
      </c>
      <c r="B6" s="9" t="s">
        <v>2506</v>
      </c>
    </row>
    <row r="7" customFormat="false" ht="15" hidden="false" customHeight="false" outlineLevel="0" collapsed="false">
      <c r="I7" s="3" t="s">
        <v>2507</v>
      </c>
      <c r="J7" s="9" t="s">
        <v>2508</v>
      </c>
      <c r="K7" s="9" t="s">
        <v>2508</v>
      </c>
      <c r="L7" s="9" t="s">
        <v>2508</v>
      </c>
      <c r="M7" s="9" t="s">
        <v>2509</v>
      </c>
      <c r="N7" s="9" t="s">
        <v>2509</v>
      </c>
      <c r="O7" s="9" t="s">
        <v>2509</v>
      </c>
      <c r="P7" s="9" t="s">
        <v>2510</v>
      </c>
      <c r="Q7" s="9" t="s">
        <v>2510</v>
      </c>
      <c r="R7" s="9" t="s">
        <v>2510</v>
      </c>
      <c r="S7" s="9" t="s">
        <v>2511</v>
      </c>
      <c r="T7" s="9" t="s">
        <v>2511</v>
      </c>
      <c r="U7" s="9" t="s">
        <v>2511</v>
      </c>
      <c r="V7" s="9" t="s">
        <v>2512</v>
      </c>
      <c r="W7" s="9" t="s">
        <v>2512</v>
      </c>
      <c r="X7" s="9" t="s">
        <v>2512</v>
      </c>
    </row>
    <row r="8" customFormat="false" ht="15" hidden="false" customHeight="false" outlineLevel="0" collapsed="false">
      <c r="I8" s="3" t="s">
        <v>2513</v>
      </c>
      <c r="J8" s="11" t="s">
        <v>2514</v>
      </c>
      <c r="K8" s="11" t="s">
        <v>2515</v>
      </c>
      <c r="L8" s="11" t="s">
        <v>2516</v>
      </c>
      <c r="M8" s="11" t="s">
        <v>2514</v>
      </c>
      <c r="N8" s="11" t="s">
        <v>2515</v>
      </c>
      <c r="O8" s="11" t="s">
        <v>2516</v>
      </c>
      <c r="P8" s="11" t="s">
        <v>2514</v>
      </c>
      <c r="Q8" s="11" t="s">
        <v>2515</v>
      </c>
      <c r="R8" s="11" t="s">
        <v>2516</v>
      </c>
      <c r="S8" s="11" t="s">
        <v>2514</v>
      </c>
      <c r="T8" s="11" t="s">
        <v>2515</v>
      </c>
      <c r="U8" s="11" t="s">
        <v>2516</v>
      </c>
      <c r="V8" s="11" t="s">
        <v>2514</v>
      </c>
      <c r="W8" s="11" t="s">
        <v>2515</v>
      </c>
      <c r="X8" s="11" t="s">
        <v>2516</v>
      </c>
    </row>
    <row r="9" customFormat="false" ht="26.85" hidden="false" customHeight="false" outlineLevel="0" collapsed="false">
      <c r="A9" s="7" t="s">
        <v>2517</v>
      </c>
      <c r="B9" s="8" t="s">
        <v>2518</v>
      </c>
      <c r="C9" s="8" t="s">
        <v>2519</v>
      </c>
      <c r="D9" s="8" t="s">
        <v>52</v>
      </c>
      <c r="E9" s="8" t="s">
        <v>2520</v>
      </c>
      <c r="F9" s="8" t="s">
        <v>2521</v>
      </c>
      <c r="G9" s="7" t="s">
        <v>2501</v>
      </c>
      <c r="H9" s="8" t="s">
        <v>2522</v>
      </c>
      <c r="I9" s="8" t="s">
        <v>2505</v>
      </c>
      <c r="J9" s="8" t="s">
        <v>2523</v>
      </c>
      <c r="K9" s="8" t="s">
        <v>2524</v>
      </c>
      <c r="L9" s="8" t="s">
        <v>2525</v>
      </c>
      <c r="M9" s="8" t="s">
        <v>2526</v>
      </c>
      <c r="N9" s="8" t="s">
        <v>2527</v>
      </c>
      <c r="O9" s="8" t="s">
        <v>2528</v>
      </c>
      <c r="P9" s="8" t="s">
        <v>2529</v>
      </c>
      <c r="Q9" s="8" t="s">
        <v>2530</v>
      </c>
      <c r="R9" s="8" t="s">
        <v>2531</v>
      </c>
      <c r="S9" s="8" t="s">
        <v>2532</v>
      </c>
      <c r="T9" s="8" t="s">
        <v>2533</v>
      </c>
      <c r="U9" s="8" t="s">
        <v>2534</v>
      </c>
      <c r="V9" s="8" t="s">
        <v>2535</v>
      </c>
      <c r="W9" s="8" t="s">
        <v>2536</v>
      </c>
      <c r="X9" s="8" t="s">
        <v>2537</v>
      </c>
    </row>
    <row r="10" customFormat="false" ht="15" hidden="false" customHeight="false" outlineLevel="0" collapsed="false">
      <c r="A10" s="9" t="s">
        <v>2538</v>
      </c>
      <c r="B10" s="9" t="s">
        <v>2539</v>
      </c>
      <c r="C10" s="11" t="s">
        <v>2540</v>
      </c>
      <c r="D10" s="9" t="s">
        <v>2541</v>
      </c>
      <c r="E10" s="9" t="n">
        <v>15</v>
      </c>
      <c r="F10" s="9" t="s">
        <v>2542</v>
      </c>
      <c r="G10" s="9" t="s">
        <v>2502</v>
      </c>
      <c r="H10" s="9" t="s">
        <v>2543</v>
      </c>
      <c r="I10" s="9" t="s">
        <v>2506</v>
      </c>
      <c r="J10" s="10" t="n">
        <v>6809025705.99183</v>
      </c>
      <c r="K10" s="10" t="n">
        <v>6809025705.99183</v>
      </c>
      <c r="L10" s="10" t="n">
        <v>6809025705.99183</v>
      </c>
      <c r="M10" s="10" t="n">
        <v>33674781620.6943</v>
      </c>
      <c r="N10" s="10" t="n">
        <v>33674781620.6943</v>
      </c>
      <c r="O10" s="10" t="n">
        <v>33674781620.6943</v>
      </c>
      <c r="P10" s="10" t="n">
        <v>39257828144.5082</v>
      </c>
      <c r="Q10" s="10" t="n">
        <v>39257828144.5082</v>
      </c>
      <c r="R10" s="10" t="n">
        <v>39257828144.5082</v>
      </c>
      <c r="S10" s="10" t="n">
        <v>69625193603.6778</v>
      </c>
      <c r="T10" s="10" t="n">
        <v>69625193603.6778</v>
      </c>
      <c r="U10" s="10" t="n">
        <v>69625193603.6778</v>
      </c>
      <c r="V10" s="10" t="n">
        <v>98521567397.5749</v>
      </c>
      <c r="W10" s="10" t="n">
        <v>98521567397.5749</v>
      </c>
      <c r="X10" s="10" t="n">
        <v>98521567397.5749</v>
      </c>
    </row>
    <row r="11" customFormat="false" ht="15" hidden="false" customHeight="false" outlineLevel="0" collapsed="false">
      <c r="A11" s="9" t="s">
        <v>2544</v>
      </c>
      <c r="B11" s="9" t="s">
        <v>2545</v>
      </c>
      <c r="C11" s="11" t="s">
        <v>2540</v>
      </c>
      <c r="D11" s="9" t="s">
        <v>2541</v>
      </c>
      <c r="E11" s="9" t="n">
        <v>15</v>
      </c>
      <c r="F11" s="9" t="s">
        <v>2542</v>
      </c>
      <c r="G11" s="9" t="s">
        <v>2502</v>
      </c>
      <c r="H11" s="9" t="s">
        <v>2543</v>
      </c>
      <c r="I11" s="9" t="s">
        <v>2506</v>
      </c>
      <c r="J11" s="10" t="n">
        <v>132127787230.323</v>
      </c>
      <c r="K11" s="10" t="n">
        <v>132127787230.323</v>
      </c>
      <c r="L11" s="10" t="n">
        <v>132127787230.323</v>
      </c>
      <c r="M11" s="10" t="n">
        <v>657207761225.876</v>
      </c>
      <c r="N11" s="10" t="n">
        <v>657207761225.876</v>
      </c>
      <c r="O11" s="10" t="n">
        <v>657207761225.876</v>
      </c>
      <c r="P11" s="10" t="n">
        <v>852150688542.553</v>
      </c>
      <c r="Q11" s="10" t="n">
        <v>852150688542.553</v>
      </c>
      <c r="R11" s="10" t="n">
        <v>852150688542.553</v>
      </c>
      <c r="S11" s="10" t="n">
        <v>1229271098522.29</v>
      </c>
      <c r="T11" s="10" t="n">
        <v>1229271098522.29</v>
      </c>
      <c r="U11" s="10" t="n">
        <v>1229271098522.29</v>
      </c>
      <c r="V11" s="10" t="n">
        <v>1654989853130.96</v>
      </c>
      <c r="W11" s="10" t="n">
        <v>1654989853130.96</v>
      </c>
      <c r="X11" s="10" t="n">
        <v>1654989853130.96</v>
      </c>
    </row>
    <row r="12" customFormat="false" ht="15" hidden="false" customHeight="false" outlineLevel="0" collapsed="false">
      <c r="A12" s="9" t="s">
        <v>2546</v>
      </c>
      <c r="B12" s="9" t="s">
        <v>2547</v>
      </c>
      <c r="C12" s="11" t="s">
        <v>2540</v>
      </c>
      <c r="D12" s="9" t="s">
        <v>2541</v>
      </c>
      <c r="E12" s="9" t="n">
        <v>15</v>
      </c>
      <c r="F12" s="9" t="s">
        <v>2542</v>
      </c>
      <c r="G12" s="9" t="s">
        <v>2502</v>
      </c>
      <c r="H12" s="9" t="s">
        <v>2543</v>
      </c>
      <c r="I12" s="9" t="s">
        <v>2506</v>
      </c>
      <c r="J12" s="10" t="n">
        <v>33634916325.118</v>
      </c>
      <c r="K12" s="10" t="n">
        <v>33634916325.118</v>
      </c>
      <c r="L12" s="10" t="n">
        <v>33634916325.118</v>
      </c>
      <c r="M12" s="10" t="n">
        <v>163715850475.954</v>
      </c>
      <c r="N12" s="10" t="n">
        <v>163715850475.954</v>
      </c>
      <c r="O12" s="10" t="n">
        <v>163715850475.954</v>
      </c>
      <c r="P12" s="10" t="n">
        <v>212334321421.888</v>
      </c>
      <c r="Q12" s="10" t="n">
        <v>212334321421.888</v>
      </c>
      <c r="R12" s="10" t="n">
        <v>212334321421.888</v>
      </c>
      <c r="S12" s="10" t="n">
        <v>318984897819.054</v>
      </c>
      <c r="T12" s="10" t="n">
        <v>318984897819.054</v>
      </c>
      <c r="U12" s="10" t="n">
        <v>318984897819.054</v>
      </c>
      <c r="V12" s="10" t="n">
        <v>434380455314.928</v>
      </c>
      <c r="W12" s="10" t="n">
        <v>434380455314.928</v>
      </c>
      <c r="X12" s="10" t="n">
        <v>434380455314.928</v>
      </c>
    </row>
    <row r="13" customFormat="false" ht="15" hidden="false" customHeight="false" outlineLevel="0" collapsed="false">
      <c r="A13" s="9" t="s">
        <v>2548</v>
      </c>
      <c r="B13" s="9" t="s">
        <v>2549</v>
      </c>
      <c r="C13" s="11" t="s">
        <v>2550</v>
      </c>
      <c r="D13" s="9" t="s">
        <v>1958</v>
      </c>
      <c r="E13" s="9" t="n">
        <v>1</v>
      </c>
      <c r="F13" s="9" t="s">
        <v>2542</v>
      </c>
      <c r="G13" s="9" t="s">
        <v>2502</v>
      </c>
      <c r="H13" s="9" t="s">
        <v>2543</v>
      </c>
      <c r="I13" s="9" t="s">
        <v>2506</v>
      </c>
      <c r="J13" s="10" t="n">
        <v>0.6</v>
      </c>
    </row>
    <row r="14" customFormat="false" ht="15" hidden="false" customHeight="false" outlineLevel="0" collapsed="false">
      <c r="A14" s="9" t="s">
        <v>2551</v>
      </c>
      <c r="B14" s="9" t="s">
        <v>2552</v>
      </c>
      <c r="C14" s="11" t="s">
        <v>2553</v>
      </c>
      <c r="D14" s="9" t="s">
        <v>76</v>
      </c>
      <c r="E14" s="9" t="n">
        <v>15</v>
      </c>
      <c r="F14" s="9" t="s">
        <v>2542</v>
      </c>
      <c r="G14" s="9" t="s">
        <v>2502</v>
      </c>
      <c r="H14" s="9" t="s">
        <v>2543</v>
      </c>
      <c r="I14" s="9" t="s">
        <v>2506</v>
      </c>
      <c r="J14" s="10" t="n">
        <v>6.79107465326444</v>
      </c>
      <c r="K14" s="10" t="n">
        <v>9.70308728611469</v>
      </c>
      <c r="L14" s="10" t="n">
        <v>16.6637697337026</v>
      </c>
      <c r="M14" s="10" t="n">
        <v>6.6118162762144</v>
      </c>
      <c r="N14" s="10" t="n">
        <v>8.82816556596761</v>
      </c>
      <c r="O14" s="10" t="n">
        <v>14.3185748619737</v>
      </c>
      <c r="P14" s="10" t="n">
        <v>8.42889912085495</v>
      </c>
      <c r="Q14" s="10" t="n">
        <v>10.8864110021101</v>
      </c>
      <c r="R14" s="10" t="n">
        <v>18.5346455040469</v>
      </c>
      <c r="S14" s="10" t="n">
        <v>9.51207691858967</v>
      </c>
      <c r="T14" s="10" t="n">
        <v>12.2254710045841</v>
      </c>
      <c r="U14" s="10" t="n">
        <v>19.7506269894487</v>
      </c>
      <c r="V14" s="10" t="n">
        <v>10.1025446864987</v>
      </c>
      <c r="W14" s="10" t="n">
        <v>15.3544827030524</v>
      </c>
      <c r="X14" s="10" t="n">
        <v>28.0302450108258</v>
      </c>
    </row>
    <row r="15" customFormat="false" ht="15" hidden="false" customHeight="false" outlineLevel="0" collapsed="false">
      <c r="A15" s="9" t="s">
        <v>2554</v>
      </c>
      <c r="B15" s="9" t="s">
        <v>2555</v>
      </c>
      <c r="C15" s="11" t="s">
        <v>2556</v>
      </c>
      <c r="D15" s="9" t="s">
        <v>2557</v>
      </c>
      <c r="E15" s="9" t="n">
        <v>15</v>
      </c>
      <c r="F15" s="9" t="s">
        <v>2542</v>
      </c>
      <c r="G15" s="9" t="s">
        <v>2502</v>
      </c>
      <c r="H15" s="9" t="s">
        <v>2543</v>
      </c>
      <c r="I15" s="9" t="s">
        <v>2506</v>
      </c>
      <c r="J15" s="10" t="n">
        <v>4.40215155977747</v>
      </c>
      <c r="K15" s="10" t="n">
        <v>6.28969830892934</v>
      </c>
      <c r="L15" s="10" t="n">
        <v>10.8015652485185</v>
      </c>
      <c r="M15" s="10" t="n">
        <v>0.527542142863801</v>
      </c>
      <c r="N15" s="10" t="n">
        <v>0.704304901204787</v>
      </c>
      <c r="O15" s="10" t="n">
        <v>1.14218709606907</v>
      </c>
      <c r="P15" s="10" t="n">
        <v>0.595425724008689</v>
      </c>
      <c r="Q15" s="10" t="n">
        <v>0.768961693862178</v>
      </c>
      <c r="R15" s="10" t="n">
        <v>1.30903794011929</v>
      </c>
      <c r="S15" s="10" t="n">
        <v>0.327501318162834</v>
      </c>
      <c r="T15" s="10" t="n">
        <v>0.420859941907998</v>
      </c>
      <c r="U15" s="10" t="n">
        <v>0.6797748595165</v>
      </c>
      <c r="V15" s="10" t="n">
        <v>0.223480505442</v>
      </c>
      <c r="W15" s="10" t="n">
        <v>0.339543672923743</v>
      </c>
      <c r="X15" s="10" t="n">
        <v>0.619666766351121</v>
      </c>
    </row>
    <row r="16" customFormat="false" ht="15" hidden="false" customHeight="false" outlineLevel="0" collapsed="false">
      <c r="A16" s="9" t="s">
        <v>2558</v>
      </c>
      <c r="B16" s="9" t="s">
        <v>2559</v>
      </c>
      <c r="C16" s="11" t="s">
        <v>2556</v>
      </c>
      <c r="D16" s="9" t="s">
        <v>2557</v>
      </c>
      <c r="E16" s="9" t="n">
        <v>15</v>
      </c>
      <c r="F16" s="9" t="s">
        <v>2542</v>
      </c>
      <c r="G16" s="9" t="s">
        <v>2502</v>
      </c>
      <c r="H16" s="9" t="s">
        <v>2543</v>
      </c>
      <c r="I16" s="9" t="s">
        <v>2506</v>
      </c>
      <c r="J16" s="10" t="n">
        <v>0.130073138324249</v>
      </c>
      <c r="K16" s="10" t="n">
        <v>0.185843851679121</v>
      </c>
      <c r="L16" s="10" t="n">
        <v>0.319154477175531</v>
      </c>
      <c r="M16" s="10" t="n">
        <v>0.0193994963706716</v>
      </c>
      <c r="N16" s="10" t="n">
        <v>0.0258987773227102</v>
      </c>
      <c r="O16" s="10" t="n">
        <v>0.0419989979519242</v>
      </c>
      <c r="P16" s="10" t="n">
        <v>0.0198012970151484</v>
      </c>
      <c r="Q16" s="10" t="n">
        <v>0.0255713627363651</v>
      </c>
      <c r="R16" s="10" t="n">
        <v>0.043528881503238</v>
      </c>
      <c r="S16" s="10" t="n">
        <v>0.0144241608164481</v>
      </c>
      <c r="T16" s="10" t="n">
        <v>0.018535675091673</v>
      </c>
      <c r="U16" s="10" t="n">
        <v>0.0299382894095727</v>
      </c>
      <c r="V16" s="10" t="n">
        <v>0.0109623745297502</v>
      </c>
      <c r="W16" s="10" t="n">
        <v>0.0166556747966897</v>
      </c>
      <c r="X16" s="10" t="n">
        <v>0.0303966825357456</v>
      </c>
    </row>
    <row r="17" customFormat="false" ht="15" hidden="false" customHeight="false" outlineLevel="0" collapsed="false">
      <c r="A17" s="9" t="s">
        <v>2560</v>
      </c>
      <c r="B17" s="9" t="s">
        <v>2561</v>
      </c>
      <c r="C17" s="11" t="s">
        <v>2556</v>
      </c>
      <c r="D17" s="9" t="s">
        <v>2557</v>
      </c>
      <c r="E17" s="9" t="n">
        <v>15</v>
      </c>
      <c r="F17" s="9" t="s">
        <v>2542</v>
      </c>
      <c r="G17" s="9" t="s">
        <v>2502</v>
      </c>
      <c r="H17" s="9" t="s">
        <v>2543</v>
      </c>
      <c r="I17" s="9" t="s">
        <v>2506</v>
      </c>
      <c r="J17" s="10" t="n">
        <v>0.449003921791307</v>
      </c>
      <c r="K17" s="10" t="n">
        <v>0.641530202321758</v>
      </c>
      <c r="L17" s="10" t="n">
        <v>1.10173229295487</v>
      </c>
      <c r="M17" s="10" t="n">
        <v>0.075009294610848</v>
      </c>
      <c r="N17" s="10" t="n">
        <v>0.100148035833413</v>
      </c>
      <c r="O17" s="10" t="n">
        <v>0.16242250634958</v>
      </c>
      <c r="P17" s="10" t="n">
        <v>0.0754368685943805</v>
      </c>
      <c r="Q17" s="10" t="n">
        <v>0.0974266010393181</v>
      </c>
      <c r="R17" s="10" t="n">
        <v>0.16586274234816</v>
      </c>
      <c r="S17" s="10" t="n">
        <v>0.0537236271858081</v>
      </c>
      <c r="T17" s="10" t="n">
        <v>0.0690443270737789</v>
      </c>
      <c r="U17" s="10" t="n">
        <v>0.111533789643689</v>
      </c>
      <c r="V17" s="10" t="n">
        <v>0.0408701604371429</v>
      </c>
      <c r="W17" s="10" t="n">
        <v>0.0621090512218459</v>
      </c>
      <c r="X17" s="10" t="n">
        <v>0.113369962987959</v>
      </c>
    </row>
    <row r="18" customFormat="false" ht="15" hidden="false" customHeight="false" outlineLevel="0" collapsed="false">
      <c r="A18" s="9" t="s">
        <v>2562</v>
      </c>
      <c r="B18" s="9" t="s">
        <v>2563</v>
      </c>
      <c r="C18" s="11" t="s">
        <v>2564</v>
      </c>
      <c r="D18" s="9" t="s">
        <v>2557</v>
      </c>
      <c r="E18" s="9" t="n">
        <v>1</v>
      </c>
      <c r="F18" s="9" t="s">
        <v>2542</v>
      </c>
      <c r="G18" s="9" t="s">
        <v>2502</v>
      </c>
      <c r="H18" s="9" t="s">
        <v>2543</v>
      </c>
      <c r="I18" s="9" t="s">
        <v>2506</v>
      </c>
      <c r="J18" s="10" t="n">
        <v>0.8</v>
      </c>
    </row>
    <row r="19" customFormat="false" ht="15" hidden="false" customHeight="false" outlineLevel="0" collapsed="false">
      <c r="A19" s="9" t="s">
        <v>2565</v>
      </c>
      <c r="B19" s="9" t="s">
        <v>2566</v>
      </c>
      <c r="C19" s="11" t="s">
        <v>2564</v>
      </c>
      <c r="D19" s="9" t="s">
        <v>2557</v>
      </c>
      <c r="E19" s="9" t="n">
        <v>1</v>
      </c>
      <c r="F19" s="9" t="s">
        <v>2542</v>
      </c>
      <c r="G19" s="9" t="s">
        <v>2502</v>
      </c>
      <c r="H19" s="9" t="s">
        <v>2543</v>
      </c>
      <c r="I19" s="9" t="s">
        <v>2506</v>
      </c>
      <c r="J19" s="10" t="n">
        <v>0.008</v>
      </c>
    </row>
    <row r="20" customFormat="false" ht="15" hidden="false" customHeight="false" outlineLevel="0" collapsed="false">
      <c r="A20" s="9" t="s">
        <v>2567</v>
      </c>
      <c r="B20" s="9" t="s">
        <v>2568</v>
      </c>
      <c r="C20" s="11" t="s">
        <v>2564</v>
      </c>
      <c r="D20" s="9" t="s">
        <v>2557</v>
      </c>
      <c r="E20" s="9" t="n">
        <v>1</v>
      </c>
      <c r="F20" s="9" t="s">
        <v>2542</v>
      </c>
      <c r="G20" s="9" t="s">
        <v>2502</v>
      </c>
      <c r="H20" s="9" t="s">
        <v>2543</v>
      </c>
      <c r="I20" s="9" t="s">
        <v>2506</v>
      </c>
      <c r="J20" s="10" t="n">
        <v>0.16</v>
      </c>
    </row>
    <row r="21" customFormat="false" ht="15" hidden="false" customHeight="false" outlineLevel="0" collapsed="false">
      <c r="A21" s="9" t="s">
        <v>2569</v>
      </c>
      <c r="B21" s="9" t="s">
        <v>2570</v>
      </c>
      <c r="C21" s="11" t="s">
        <v>2571</v>
      </c>
      <c r="D21" s="9" t="s">
        <v>2557</v>
      </c>
      <c r="E21" s="9" t="n">
        <v>1</v>
      </c>
      <c r="F21" s="9" t="s">
        <v>2542</v>
      </c>
      <c r="G21" s="9" t="s">
        <v>2502</v>
      </c>
      <c r="H21" s="9" t="s">
        <v>2543</v>
      </c>
      <c r="I21" s="9" t="s">
        <v>2506</v>
      </c>
      <c r="J21" s="10" t="n">
        <v>8</v>
      </c>
    </row>
    <row r="22" customFormat="false" ht="15" hidden="false" customHeight="false" outlineLevel="0" collapsed="false">
      <c r="A22" s="9" t="s">
        <v>2572</v>
      </c>
      <c r="B22" s="9" t="s">
        <v>2573</v>
      </c>
      <c r="C22" s="11" t="s">
        <v>2571</v>
      </c>
      <c r="D22" s="9" t="s">
        <v>2557</v>
      </c>
      <c r="E22" s="9" t="n">
        <v>1</v>
      </c>
      <c r="F22" s="9" t="s">
        <v>2542</v>
      </c>
      <c r="G22" s="9" t="s">
        <v>2502</v>
      </c>
      <c r="H22" s="9" t="s">
        <v>2543</v>
      </c>
      <c r="I22" s="9" t="s">
        <v>2506</v>
      </c>
      <c r="J22" s="10" t="n">
        <v>0.08</v>
      </c>
    </row>
    <row r="23" customFormat="false" ht="15" hidden="false" customHeight="false" outlineLevel="0" collapsed="false">
      <c r="A23" s="9" t="s">
        <v>2574</v>
      </c>
      <c r="B23" s="9" t="s">
        <v>2575</v>
      </c>
      <c r="C23" s="11" t="s">
        <v>2571</v>
      </c>
      <c r="D23" s="9" t="s">
        <v>2557</v>
      </c>
      <c r="E23" s="9" t="n">
        <v>1</v>
      </c>
      <c r="F23" s="9" t="s">
        <v>2542</v>
      </c>
      <c r="G23" s="9" t="s">
        <v>2502</v>
      </c>
      <c r="H23" s="9" t="s">
        <v>2543</v>
      </c>
      <c r="I23" s="9" t="s">
        <v>2506</v>
      </c>
      <c r="J23" s="10" t="n">
        <v>1.6</v>
      </c>
    </row>
    <row r="24" customFormat="false" ht="15" hidden="false" customHeight="false" outlineLevel="0" collapsed="false">
      <c r="A24" s="9" t="s">
        <v>2576</v>
      </c>
      <c r="B24" s="9" t="s">
        <v>2577</v>
      </c>
      <c r="C24" s="11" t="s">
        <v>2578</v>
      </c>
      <c r="D24" s="9" t="s">
        <v>2557</v>
      </c>
      <c r="E24" s="9" t="n">
        <v>1</v>
      </c>
      <c r="F24" s="9" t="s">
        <v>2542</v>
      </c>
      <c r="G24" s="9" t="s">
        <v>2502</v>
      </c>
      <c r="H24" s="9" t="s">
        <v>2543</v>
      </c>
      <c r="I24" s="9" t="s">
        <v>2506</v>
      </c>
      <c r="J24" s="10" t="n">
        <v>40</v>
      </c>
    </row>
    <row r="25" customFormat="false" ht="15" hidden="false" customHeight="false" outlineLevel="0" collapsed="false">
      <c r="A25" s="9" t="s">
        <v>2579</v>
      </c>
      <c r="B25" s="9" t="s">
        <v>2580</v>
      </c>
      <c r="C25" s="11" t="s">
        <v>2578</v>
      </c>
      <c r="D25" s="9" t="s">
        <v>2557</v>
      </c>
      <c r="E25" s="9" t="n">
        <v>1</v>
      </c>
      <c r="F25" s="9" t="s">
        <v>2542</v>
      </c>
      <c r="G25" s="9" t="s">
        <v>2502</v>
      </c>
      <c r="H25" s="9" t="s">
        <v>2543</v>
      </c>
      <c r="I25" s="9" t="s">
        <v>2506</v>
      </c>
      <c r="J25" s="10" t="n">
        <v>0.4</v>
      </c>
    </row>
    <row r="26" customFormat="false" ht="15" hidden="false" customHeight="false" outlineLevel="0" collapsed="false">
      <c r="A26" s="9" t="s">
        <v>2581</v>
      </c>
      <c r="B26" s="9" t="s">
        <v>2582</v>
      </c>
      <c r="C26" s="11" t="s">
        <v>2578</v>
      </c>
      <c r="D26" s="9" t="s">
        <v>2557</v>
      </c>
      <c r="E26" s="9" t="n">
        <v>1</v>
      </c>
      <c r="F26" s="9" t="s">
        <v>2542</v>
      </c>
      <c r="G26" s="9" t="s">
        <v>2502</v>
      </c>
      <c r="H26" s="9" t="s">
        <v>2543</v>
      </c>
      <c r="I26" s="9" t="s">
        <v>2506</v>
      </c>
      <c r="J26" s="10" t="n">
        <v>8</v>
      </c>
    </row>
    <row r="27" customFormat="false" ht="15" hidden="false" customHeight="false" outlineLevel="0" collapsed="false">
      <c r="A27" s="9" t="s">
        <v>2583</v>
      </c>
      <c r="B27" s="9" t="s">
        <v>2584</v>
      </c>
      <c r="C27" s="11" t="s">
        <v>2585</v>
      </c>
      <c r="D27" s="9" t="s">
        <v>2557</v>
      </c>
      <c r="E27" s="9" t="n">
        <v>1</v>
      </c>
      <c r="F27" s="9" t="s">
        <v>2542</v>
      </c>
      <c r="G27" s="9" t="s">
        <v>2502</v>
      </c>
      <c r="H27" s="9" t="s">
        <v>2543</v>
      </c>
      <c r="I27" s="9" t="s">
        <v>2506</v>
      </c>
      <c r="J27" s="10" t="n">
        <v>8.03555555555555</v>
      </c>
    </row>
    <row r="28" customFormat="false" ht="15" hidden="false" customHeight="false" outlineLevel="0" collapsed="false">
      <c r="A28" s="9" t="s">
        <v>2586</v>
      </c>
      <c r="B28" s="9" t="s">
        <v>2587</v>
      </c>
      <c r="C28" s="11" t="s">
        <v>2585</v>
      </c>
      <c r="D28" s="9" t="s">
        <v>2557</v>
      </c>
      <c r="E28" s="9" t="n">
        <v>1</v>
      </c>
      <c r="F28" s="9" t="s">
        <v>2542</v>
      </c>
      <c r="G28" s="9" t="s">
        <v>2502</v>
      </c>
      <c r="H28" s="9" t="s">
        <v>2543</v>
      </c>
      <c r="I28" s="9" t="s">
        <v>2506</v>
      </c>
      <c r="J28" s="10" t="n">
        <v>0.0803555555555556</v>
      </c>
    </row>
    <row r="29" customFormat="false" ht="15" hidden="false" customHeight="false" outlineLevel="0" collapsed="false">
      <c r="A29" s="9" t="s">
        <v>2588</v>
      </c>
      <c r="B29" s="9" t="s">
        <v>2589</v>
      </c>
      <c r="C29" s="11" t="s">
        <v>2585</v>
      </c>
      <c r="D29" s="9" t="s">
        <v>2557</v>
      </c>
      <c r="E29" s="9" t="n">
        <v>1</v>
      </c>
      <c r="F29" s="9" t="s">
        <v>2542</v>
      </c>
      <c r="G29" s="9" t="s">
        <v>2502</v>
      </c>
      <c r="H29" s="9" t="s">
        <v>2543</v>
      </c>
      <c r="I29" s="9" t="s">
        <v>2506</v>
      </c>
      <c r="J29" s="10" t="n">
        <v>1.60711111111111</v>
      </c>
    </row>
    <row r="30" customFormat="false" ht="15" hidden="false" customHeight="false" outlineLevel="0" collapsed="false">
      <c r="A30" s="9" t="s">
        <v>2590</v>
      </c>
      <c r="B30" s="9" t="s">
        <v>2591</v>
      </c>
      <c r="C30" s="11" t="s">
        <v>2592</v>
      </c>
      <c r="D30" s="9" t="s">
        <v>2557</v>
      </c>
      <c r="E30" s="9" t="n">
        <v>1</v>
      </c>
      <c r="F30" s="9" t="s">
        <v>2542</v>
      </c>
      <c r="G30" s="9" t="s">
        <v>2502</v>
      </c>
      <c r="H30" s="9" t="s">
        <v>2543</v>
      </c>
      <c r="I30" s="9" t="s">
        <v>2506</v>
      </c>
      <c r="J30" s="10" t="n">
        <v>40</v>
      </c>
    </row>
    <row r="31" customFormat="false" ht="15" hidden="false" customHeight="false" outlineLevel="0" collapsed="false">
      <c r="A31" s="9" t="s">
        <v>2593</v>
      </c>
      <c r="B31" s="9" t="s">
        <v>2594</v>
      </c>
      <c r="C31" s="11" t="s">
        <v>2592</v>
      </c>
      <c r="D31" s="9" t="s">
        <v>2557</v>
      </c>
      <c r="E31" s="9" t="n">
        <v>1</v>
      </c>
      <c r="F31" s="9" t="s">
        <v>2542</v>
      </c>
      <c r="G31" s="9" t="s">
        <v>2502</v>
      </c>
      <c r="H31" s="9" t="s">
        <v>2543</v>
      </c>
      <c r="I31" s="9" t="s">
        <v>2506</v>
      </c>
      <c r="J31" s="10" t="n">
        <v>0.4</v>
      </c>
    </row>
    <row r="32" customFormat="false" ht="15" hidden="false" customHeight="false" outlineLevel="0" collapsed="false">
      <c r="A32" s="9" t="s">
        <v>2595</v>
      </c>
      <c r="B32" s="9" t="s">
        <v>2596</v>
      </c>
      <c r="C32" s="11" t="s">
        <v>2592</v>
      </c>
      <c r="D32" s="9" t="s">
        <v>2557</v>
      </c>
      <c r="E32" s="9" t="n">
        <v>1</v>
      </c>
      <c r="F32" s="9" t="s">
        <v>2542</v>
      </c>
      <c r="G32" s="9" t="s">
        <v>2502</v>
      </c>
      <c r="H32" s="9" t="s">
        <v>2543</v>
      </c>
      <c r="I32" s="9" t="s">
        <v>2506</v>
      </c>
      <c r="J32" s="10" t="n">
        <v>8</v>
      </c>
    </row>
    <row r="33" customFormat="false" ht="15" hidden="false" customHeight="false" outlineLevel="0" collapsed="false">
      <c r="A33" s="9" t="s">
        <v>2597</v>
      </c>
      <c r="B33" s="9" t="s">
        <v>2598</v>
      </c>
      <c r="C33" s="11" t="s">
        <v>2599</v>
      </c>
      <c r="D33" s="9" t="s">
        <v>2557</v>
      </c>
      <c r="E33" s="9" t="n">
        <v>1</v>
      </c>
      <c r="F33" s="9" t="s">
        <v>2542</v>
      </c>
      <c r="G33" s="9" t="s">
        <v>2502</v>
      </c>
      <c r="H33" s="9" t="s">
        <v>2543</v>
      </c>
      <c r="I33" s="9" t="s">
        <v>2506</v>
      </c>
      <c r="J33" s="10" t="n">
        <v>7.74222222222222</v>
      </c>
    </row>
    <row r="34" customFormat="false" ht="15" hidden="false" customHeight="false" outlineLevel="0" collapsed="false">
      <c r="A34" s="9" t="s">
        <v>2600</v>
      </c>
      <c r="B34" s="9" t="s">
        <v>2601</v>
      </c>
      <c r="C34" s="11" t="s">
        <v>2599</v>
      </c>
      <c r="D34" s="9" t="s">
        <v>2557</v>
      </c>
      <c r="E34" s="9" t="n">
        <v>1</v>
      </c>
      <c r="F34" s="9" t="s">
        <v>2542</v>
      </c>
      <c r="G34" s="9" t="s">
        <v>2502</v>
      </c>
      <c r="H34" s="9" t="s">
        <v>2543</v>
      </c>
      <c r="I34" s="9" t="s">
        <v>2506</v>
      </c>
      <c r="J34" s="10" t="n">
        <v>0.0803555555555556</v>
      </c>
    </row>
    <row r="35" customFormat="false" ht="15" hidden="false" customHeight="false" outlineLevel="0" collapsed="false">
      <c r="A35" s="9" t="s">
        <v>2602</v>
      </c>
      <c r="B35" s="9" t="s">
        <v>2603</v>
      </c>
      <c r="C35" s="11" t="s">
        <v>2599</v>
      </c>
      <c r="D35" s="9" t="s">
        <v>2557</v>
      </c>
      <c r="E35" s="9" t="n">
        <v>1</v>
      </c>
      <c r="F35" s="9" t="s">
        <v>2542</v>
      </c>
      <c r="G35" s="9" t="s">
        <v>2502</v>
      </c>
      <c r="H35" s="9" t="s">
        <v>2543</v>
      </c>
      <c r="I35" s="9" t="s">
        <v>2506</v>
      </c>
      <c r="J35" s="10" t="n">
        <v>1.60711111111111</v>
      </c>
    </row>
    <row r="36" customFormat="false" ht="15" hidden="false" customHeight="false" outlineLevel="0" collapsed="false">
      <c r="A36" s="9" t="s">
        <v>2604</v>
      </c>
      <c r="B36" s="9" t="s">
        <v>2605</v>
      </c>
      <c r="C36" s="11" t="s">
        <v>2606</v>
      </c>
      <c r="D36" s="9" t="s">
        <v>1958</v>
      </c>
      <c r="E36" s="9" t="n">
        <v>15</v>
      </c>
      <c r="F36" s="9" t="s">
        <v>2542</v>
      </c>
      <c r="G36" s="9" t="s">
        <v>2502</v>
      </c>
      <c r="H36" s="9" t="s">
        <v>2543</v>
      </c>
      <c r="I36" s="9" t="s">
        <v>2506</v>
      </c>
      <c r="J36" s="10" t="n">
        <v>0.156848141308111</v>
      </c>
      <c r="K36" s="10" t="n">
        <v>0.156848141308111</v>
      </c>
      <c r="L36" s="10" t="n">
        <v>0.156848141308111</v>
      </c>
      <c r="M36" s="10" t="n">
        <v>0.0578355294019958</v>
      </c>
      <c r="N36" s="10" t="n">
        <v>0.0578355294019958</v>
      </c>
      <c r="O36" s="10" t="n">
        <v>0.0578355294019958</v>
      </c>
      <c r="P36" s="10" t="n">
        <v>0.0655864074968763</v>
      </c>
      <c r="Q36" s="10" t="n">
        <v>0.0655864074968763</v>
      </c>
      <c r="R36" s="10" t="n">
        <v>0.0655864074968763</v>
      </c>
      <c r="S36" s="10" t="n">
        <v>0.0400178434586299</v>
      </c>
      <c r="T36" s="10" t="n">
        <v>0.0400178434586299</v>
      </c>
      <c r="U36" s="10" t="n">
        <v>0.0400178434586299</v>
      </c>
      <c r="V36" s="10" t="n">
        <v>0.0272504145323638</v>
      </c>
      <c r="W36" s="10" t="n">
        <v>0.0272504145323638</v>
      </c>
      <c r="X36" s="10" t="n">
        <v>0.0272504145323638</v>
      </c>
    </row>
    <row r="37" customFormat="false" ht="15" hidden="false" customHeight="false" outlineLevel="0" collapsed="false">
      <c r="A37" s="9" t="s">
        <v>2607</v>
      </c>
      <c r="B37" s="9" t="s">
        <v>2608</v>
      </c>
      <c r="C37" s="11" t="s">
        <v>2606</v>
      </c>
      <c r="D37" s="9" t="s">
        <v>1958</v>
      </c>
      <c r="E37" s="9" t="n">
        <v>15</v>
      </c>
      <c r="F37" s="9" t="s">
        <v>2542</v>
      </c>
      <c r="G37" s="9" t="s">
        <v>2502</v>
      </c>
      <c r="H37" s="9" t="s">
        <v>2543</v>
      </c>
      <c r="I37" s="9" t="s">
        <v>2506</v>
      </c>
      <c r="J37" s="10" t="n">
        <v>0.00903697160624934</v>
      </c>
      <c r="K37" s="10" t="n">
        <v>0.00903697160624934</v>
      </c>
      <c r="L37" s="10" t="n">
        <v>0.00903697160624934</v>
      </c>
      <c r="M37" s="10" t="n">
        <v>0.00268687931602744</v>
      </c>
      <c r="N37" s="10" t="n">
        <v>0.00268687931602744</v>
      </c>
      <c r="O37" s="10" t="n">
        <v>0.00268687931602744</v>
      </c>
      <c r="P37" s="10" t="n">
        <v>0.00323819749885875</v>
      </c>
      <c r="Q37" s="10" t="n">
        <v>0.00323819749885875</v>
      </c>
      <c r="R37" s="10" t="n">
        <v>0.00323819749885875</v>
      </c>
      <c r="S37" s="10" t="n">
        <v>0.00214392298727248</v>
      </c>
      <c r="T37" s="10" t="n">
        <v>0.00214392298727248</v>
      </c>
      <c r="U37" s="10" t="n">
        <v>0.00214392298727248</v>
      </c>
      <c r="V37" s="10" t="n">
        <v>0.00139046087118783</v>
      </c>
      <c r="W37" s="10" t="n">
        <v>0.00139046087118783</v>
      </c>
      <c r="X37" s="10" t="n">
        <v>0.00139046087118783</v>
      </c>
    </row>
    <row r="38" customFormat="false" ht="15" hidden="false" customHeight="false" outlineLevel="0" collapsed="false">
      <c r="A38" s="9" t="s">
        <v>2609</v>
      </c>
      <c r="B38" s="9" t="s">
        <v>2610</v>
      </c>
      <c r="C38" s="11" t="s">
        <v>2606</v>
      </c>
      <c r="D38" s="9" t="s">
        <v>1958</v>
      </c>
      <c r="E38" s="9" t="n">
        <v>15</v>
      </c>
      <c r="F38" s="9" t="s">
        <v>2542</v>
      </c>
      <c r="G38" s="9" t="s">
        <v>2502</v>
      </c>
      <c r="H38" s="9" t="s">
        <v>2543</v>
      </c>
      <c r="I38" s="9" t="s">
        <v>2506</v>
      </c>
      <c r="J38" s="10" t="n">
        <v>0.0257573532274046</v>
      </c>
      <c r="K38" s="10" t="n">
        <v>0.0257573532274046</v>
      </c>
      <c r="L38" s="10" t="n">
        <v>0.0257573532274046</v>
      </c>
      <c r="M38" s="10" t="n">
        <v>0.00887775506681788</v>
      </c>
      <c r="N38" s="10" t="n">
        <v>0.00887775506681788</v>
      </c>
      <c r="O38" s="10" t="n">
        <v>0.00887775506681788</v>
      </c>
      <c r="P38" s="10" t="n">
        <v>0.0102273044724078</v>
      </c>
      <c r="Q38" s="10" t="n">
        <v>0.0102273044724078</v>
      </c>
      <c r="R38" s="10" t="n">
        <v>0.0102273044724078</v>
      </c>
      <c r="S38" s="10" t="n">
        <v>0.00642112099901794</v>
      </c>
      <c r="T38" s="10" t="n">
        <v>0.00642112099901794</v>
      </c>
      <c r="U38" s="10" t="n">
        <v>0.00642112099901794</v>
      </c>
      <c r="V38" s="10" t="n">
        <v>0.00430948556016603</v>
      </c>
      <c r="W38" s="10" t="n">
        <v>0.00430948556016603</v>
      </c>
      <c r="X38" s="10" t="n">
        <v>0.00430948556016603</v>
      </c>
    </row>
    <row r="39" customFormat="false" ht="15" hidden="false" customHeight="false" outlineLevel="0" collapsed="false">
      <c r="A39" s="9" t="s">
        <v>2611</v>
      </c>
      <c r="B39" s="9" t="s">
        <v>2612</v>
      </c>
      <c r="C39" s="11" t="s">
        <v>2613</v>
      </c>
      <c r="D39" s="9" t="s">
        <v>2614</v>
      </c>
      <c r="E39" s="9" t="n">
        <v>1</v>
      </c>
      <c r="F39" s="9" t="s">
        <v>2542</v>
      </c>
      <c r="G39" s="9" t="s">
        <v>2502</v>
      </c>
      <c r="H39" s="9" t="s">
        <v>2543</v>
      </c>
      <c r="I39" s="9" t="s">
        <v>2506</v>
      </c>
      <c r="J39" s="10" t="n">
        <v>8</v>
      </c>
    </row>
    <row r="40" customFormat="false" ht="15" hidden="false" customHeight="false" outlineLevel="0" collapsed="false">
      <c r="A40" s="9" t="s">
        <v>2615</v>
      </c>
      <c r="B40" s="9" t="s">
        <v>2616</v>
      </c>
      <c r="C40" s="11" t="s">
        <v>2617</v>
      </c>
      <c r="D40" s="11" t="s">
        <v>2618</v>
      </c>
      <c r="E40" s="9" t="n">
        <v>1</v>
      </c>
      <c r="F40" s="9" t="s">
        <v>2542</v>
      </c>
      <c r="G40" s="9" t="s">
        <v>2502</v>
      </c>
      <c r="H40" s="9" t="s">
        <v>2543</v>
      </c>
      <c r="I40" s="9" t="s">
        <v>2506</v>
      </c>
      <c r="J40" s="10" t="n">
        <v>4</v>
      </c>
    </row>
    <row r="41" customFormat="false" ht="15" hidden="false" customHeight="false" outlineLevel="0" collapsed="false">
      <c r="A41" s="9" t="s">
        <v>2619</v>
      </c>
      <c r="B41" s="9" t="s">
        <v>2620</v>
      </c>
      <c r="C41" s="9" t="s">
        <v>2621</v>
      </c>
      <c r="D41" s="9" t="s">
        <v>482</v>
      </c>
      <c r="E41" s="9" t="n">
        <v>1</v>
      </c>
      <c r="F41" s="9" t="s">
        <v>2542</v>
      </c>
      <c r="G41" s="9" t="s">
        <v>2502</v>
      </c>
      <c r="H41" s="9" t="s">
        <v>2543</v>
      </c>
      <c r="I41" s="9" t="s">
        <v>2506</v>
      </c>
      <c r="J41" s="10" t="n">
        <v>8.4</v>
      </c>
    </row>
    <row r="42" customFormat="false" ht="15" hidden="false" customHeight="false" outlineLevel="0" collapsed="false">
      <c r="A42" s="9" t="s">
        <v>2622</v>
      </c>
      <c r="B42" s="9" t="s">
        <v>2623</v>
      </c>
      <c r="C42" s="9" t="s">
        <v>2624</v>
      </c>
      <c r="D42" s="9" t="s">
        <v>482</v>
      </c>
      <c r="E42" s="9" t="n">
        <v>1</v>
      </c>
      <c r="F42" s="9" t="s">
        <v>2542</v>
      </c>
      <c r="G42" s="9" t="s">
        <v>2502</v>
      </c>
      <c r="H42" s="9" t="s">
        <v>2543</v>
      </c>
      <c r="I42" s="9" t="s">
        <v>2506</v>
      </c>
      <c r="J42" s="10" t="n">
        <v>3.9</v>
      </c>
    </row>
    <row r="43" customFormat="false" ht="15" hidden="false" customHeight="false" outlineLevel="0" collapsed="false">
      <c r="A43" s="9" t="s">
        <v>2625</v>
      </c>
      <c r="B43" s="9" t="s">
        <v>2626</v>
      </c>
      <c r="C43" s="9" t="s">
        <v>2627</v>
      </c>
      <c r="D43" s="9" t="s">
        <v>482</v>
      </c>
      <c r="E43" s="9" t="n">
        <v>1</v>
      </c>
      <c r="F43" s="9" t="s">
        <v>2542</v>
      </c>
      <c r="G43" s="9" t="s">
        <v>2502</v>
      </c>
      <c r="H43" s="9" t="s">
        <v>2543</v>
      </c>
      <c r="I43" s="9" t="s">
        <v>2506</v>
      </c>
      <c r="J43" s="10" t="n">
        <v>12</v>
      </c>
    </row>
    <row r="44" customFormat="false" ht="15" hidden="false" customHeight="false" outlineLevel="0" collapsed="false">
      <c r="A44" s="9" t="s">
        <v>2628</v>
      </c>
      <c r="B44" s="9" t="s">
        <v>2629</v>
      </c>
      <c r="C44" s="9" t="s">
        <v>2630</v>
      </c>
      <c r="D44" s="9" t="s">
        <v>482</v>
      </c>
      <c r="E44" s="9" t="n">
        <v>1</v>
      </c>
      <c r="F44" s="9" t="s">
        <v>2542</v>
      </c>
      <c r="G44" s="9" t="s">
        <v>2502</v>
      </c>
      <c r="H44" s="9" t="s">
        <v>2543</v>
      </c>
      <c r="I44" s="9" t="s">
        <v>2506</v>
      </c>
      <c r="J44" s="10" t="n">
        <v>13.07</v>
      </c>
    </row>
    <row r="45" customFormat="false" ht="15" hidden="false" customHeight="false" outlineLevel="0" collapsed="false">
      <c r="A45" s="9" t="s">
        <v>2631</v>
      </c>
      <c r="B45" s="9" t="s">
        <v>2632</v>
      </c>
      <c r="C45" s="9" t="s">
        <v>2633</v>
      </c>
      <c r="D45" s="9" t="s">
        <v>1106</v>
      </c>
      <c r="E45" s="9" t="n">
        <v>1</v>
      </c>
      <c r="F45" s="9" t="s">
        <v>2542</v>
      </c>
      <c r="G45" s="9" t="s">
        <v>2502</v>
      </c>
      <c r="H45" s="9" t="s">
        <v>2543</v>
      </c>
      <c r="I45" s="9" t="s">
        <v>2506</v>
      </c>
      <c r="J45" s="10" t="n">
        <v>0.6</v>
      </c>
    </row>
    <row r="46" customFormat="false" ht="15" hidden="false" customHeight="false" outlineLevel="0" collapsed="false">
      <c r="A46" s="9" t="s">
        <v>2634</v>
      </c>
      <c r="B46" s="9" t="s">
        <v>2635</v>
      </c>
      <c r="C46" s="9" t="s">
        <v>2636</v>
      </c>
      <c r="D46" s="9" t="s">
        <v>1106</v>
      </c>
      <c r="E46" s="9" t="n">
        <v>1</v>
      </c>
      <c r="F46" s="9" t="s">
        <v>2542</v>
      </c>
      <c r="G46" s="9" t="s">
        <v>2502</v>
      </c>
      <c r="H46" s="9" t="s">
        <v>2543</v>
      </c>
      <c r="I46" s="9" t="s">
        <v>2506</v>
      </c>
      <c r="J46" s="10" t="n">
        <v>1.9</v>
      </c>
    </row>
    <row r="47" customFormat="false" ht="15" hidden="false" customHeight="false" outlineLevel="0" collapsed="false">
      <c r="A47" s="9" t="s">
        <v>2637</v>
      </c>
      <c r="B47" s="9" t="s">
        <v>2638</v>
      </c>
      <c r="C47" s="9" t="s">
        <v>2639</v>
      </c>
      <c r="D47" s="9" t="s">
        <v>2640</v>
      </c>
      <c r="E47" s="9" t="n">
        <v>1</v>
      </c>
      <c r="F47" s="9" t="s">
        <v>2542</v>
      </c>
      <c r="G47" s="9" t="s">
        <v>2502</v>
      </c>
      <c r="H47" s="9" t="s">
        <v>2543</v>
      </c>
      <c r="I47" s="9" t="s">
        <v>2506</v>
      </c>
      <c r="J47" s="10" t="n">
        <v>6</v>
      </c>
    </row>
    <row r="48" customFormat="false" ht="15" hidden="false" customHeight="false" outlineLevel="0" collapsed="false">
      <c r="A48" s="9" t="s">
        <v>2641</v>
      </c>
      <c r="B48" s="9" t="s">
        <v>2642</v>
      </c>
      <c r="C48" s="9" t="s">
        <v>2643</v>
      </c>
      <c r="D48" s="9" t="s">
        <v>2640</v>
      </c>
      <c r="E48" s="9" t="n">
        <v>1</v>
      </c>
      <c r="F48" s="9" t="s">
        <v>2542</v>
      </c>
      <c r="G48" s="9" t="s">
        <v>2502</v>
      </c>
      <c r="H48" s="9" t="s">
        <v>2543</v>
      </c>
      <c r="I48" s="9" t="s">
        <v>2506</v>
      </c>
      <c r="J48" s="10" t="n">
        <v>15</v>
      </c>
    </row>
    <row r="49" customFormat="false" ht="15" hidden="false" customHeight="false" outlineLevel="0" collapsed="false">
      <c r="A49" s="9" t="s">
        <v>2644</v>
      </c>
      <c r="B49" s="9" t="s">
        <v>2645</v>
      </c>
      <c r="C49" s="9" t="s">
        <v>2646</v>
      </c>
      <c r="D49" s="9" t="s">
        <v>2647</v>
      </c>
      <c r="E49" s="9" t="n">
        <v>1</v>
      </c>
      <c r="F49" s="9" t="s">
        <v>2542</v>
      </c>
      <c r="G49" s="9" t="s">
        <v>2502</v>
      </c>
      <c r="H49" s="9" t="s">
        <v>2543</v>
      </c>
      <c r="I49" s="9" t="s">
        <v>2506</v>
      </c>
      <c r="J49" s="10" t="n">
        <v>2.5</v>
      </c>
    </row>
    <row r="50" customFormat="false" ht="15" hidden="false" customHeight="false" outlineLevel="0" collapsed="false">
      <c r="A50" s="9" t="s">
        <v>2648</v>
      </c>
      <c r="B50" s="9" t="s">
        <v>2649</v>
      </c>
      <c r="C50" s="11" t="s">
        <v>2650</v>
      </c>
      <c r="D50" s="9" t="s">
        <v>2651</v>
      </c>
      <c r="E50" s="9" t="n">
        <v>1</v>
      </c>
      <c r="F50" s="9" t="s">
        <v>2542</v>
      </c>
      <c r="G50" s="9" t="s">
        <v>2502</v>
      </c>
      <c r="H50" s="9" t="s">
        <v>2543</v>
      </c>
      <c r="I50" s="9" t="s">
        <v>2506</v>
      </c>
      <c r="J50" s="10"/>
    </row>
    <row r="51" customFormat="false" ht="15" hidden="false" customHeight="false" outlineLevel="0" collapsed="false">
      <c r="A51" s="9" t="s">
        <v>2652</v>
      </c>
      <c r="B51" s="9" t="s">
        <v>2653</v>
      </c>
      <c r="C51" s="11" t="s">
        <v>2650</v>
      </c>
      <c r="D51" s="9" t="s">
        <v>2651</v>
      </c>
      <c r="E51" s="9" t="n">
        <v>1</v>
      </c>
      <c r="F51" s="9" t="s">
        <v>2542</v>
      </c>
      <c r="G51" s="9" t="s">
        <v>2502</v>
      </c>
      <c r="H51" s="9" t="s">
        <v>2543</v>
      </c>
      <c r="I51" s="9" t="s">
        <v>2506</v>
      </c>
      <c r="J51" s="10" t="n">
        <v>10</v>
      </c>
    </row>
    <row r="52" customFormat="false" ht="15" hidden="false" customHeight="false" outlineLevel="0" collapsed="false">
      <c r="A52" s="9" t="s">
        <v>2654</v>
      </c>
      <c r="B52" s="9" t="s">
        <v>2655</v>
      </c>
      <c r="C52" s="11" t="s">
        <v>2650</v>
      </c>
      <c r="D52" s="9" t="s">
        <v>2651</v>
      </c>
      <c r="E52" s="9" t="n">
        <v>1</v>
      </c>
      <c r="F52" s="9" t="s">
        <v>2542</v>
      </c>
      <c r="G52" s="9" t="s">
        <v>2502</v>
      </c>
      <c r="H52" s="9" t="s">
        <v>2543</v>
      </c>
      <c r="I52" s="9" t="s">
        <v>2506</v>
      </c>
      <c r="J52" s="10" t="n">
        <v>100</v>
      </c>
    </row>
    <row r="53" customFormat="false" ht="15" hidden="false" customHeight="false" outlineLevel="0" collapsed="false">
      <c r="A53" s="9" t="s">
        <v>2656</v>
      </c>
      <c r="B53" s="9" t="s">
        <v>2657</v>
      </c>
      <c r="C53" s="11" t="s">
        <v>2658</v>
      </c>
      <c r="D53" s="9" t="s">
        <v>1958</v>
      </c>
      <c r="E53" s="9" t="n">
        <v>1</v>
      </c>
      <c r="F53" s="9" t="s">
        <v>2542</v>
      </c>
      <c r="G53" s="9" t="s">
        <v>2502</v>
      </c>
      <c r="H53" s="9" t="s">
        <v>2543</v>
      </c>
      <c r="I53" s="9" t="s">
        <v>2506</v>
      </c>
      <c r="J53" s="10" t="n">
        <v>0.184073753247684</v>
      </c>
    </row>
    <row r="54" customFormat="false" ht="15" hidden="false" customHeight="false" outlineLevel="0" collapsed="false">
      <c r="A54" s="9" t="s">
        <v>2659</v>
      </c>
      <c r="B54" s="9" t="s">
        <v>2660</v>
      </c>
      <c r="C54" s="11" t="s">
        <v>2661</v>
      </c>
      <c r="D54" s="9" t="s">
        <v>1958</v>
      </c>
      <c r="E54" s="9" t="n">
        <v>1</v>
      </c>
      <c r="F54" s="9" t="s">
        <v>2542</v>
      </c>
      <c r="G54" s="9" t="s">
        <v>2502</v>
      </c>
      <c r="H54" s="9" t="s">
        <v>2543</v>
      </c>
      <c r="I54" s="9" t="s">
        <v>2506</v>
      </c>
      <c r="J54" s="10" t="n">
        <v>0.562896653525545</v>
      </c>
    </row>
    <row r="55" customFormat="false" ht="15" hidden="false" customHeight="false" outlineLevel="0" collapsed="false">
      <c r="A55" s="9" t="s">
        <v>2662</v>
      </c>
      <c r="B55" s="9" t="s">
        <v>2663</v>
      </c>
      <c r="C55" s="11" t="s">
        <v>2664</v>
      </c>
      <c r="D55" s="9" t="s">
        <v>1958</v>
      </c>
      <c r="E55" s="9" t="n">
        <v>1</v>
      </c>
      <c r="F55" s="9" t="s">
        <v>2542</v>
      </c>
      <c r="G55" s="9" t="s">
        <v>2502</v>
      </c>
      <c r="H55" s="9" t="s">
        <v>2543</v>
      </c>
      <c r="I55" s="9" t="s">
        <v>2506</v>
      </c>
      <c r="J55" s="10" t="n">
        <v>0.1847342364668</v>
      </c>
    </row>
    <row r="56" customFormat="false" ht="15" hidden="false" customHeight="false" outlineLevel="0" collapsed="false">
      <c r="A56" s="9" t="s">
        <v>2665</v>
      </c>
      <c r="B56" s="9" t="s">
        <v>2666</v>
      </c>
      <c r="C56" s="11" t="s">
        <v>2667</v>
      </c>
      <c r="D56" s="9" t="s">
        <v>1106</v>
      </c>
      <c r="E56" s="9" t="n">
        <v>1</v>
      </c>
      <c r="F56" s="9" t="s">
        <v>2542</v>
      </c>
      <c r="G56" s="9" t="s">
        <v>2502</v>
      </c>
      <c r="H56" s="9" t="s">
        <v>2543</v>
      </c>
      <c r="I56" s="9" t="s">
        <v>2506</v>
      </c>
      <c r="J56" s="10" t="n">
        <v>0.89809617101894</v>
      </c>
    </row>
    <row r="57" customFormat="false" ht="15" hidden="false" customHeight="false" outlineLevel="0" collapsed="false">
      <c r="A57" s="9" t="s">
        <v>2668</v>
      </c>
      <c r="B57" s="9" t="s">
        <v>2669</v>
      </c>
      <c r="C57" s="11" t="s">
        <v>2670</v>
      </c>
      <c r="D57" s="9" t="s">
        <v>2671</v>
      </c>
      <c r="E57" s="9" t="n">
        <v>1</v>
      </c>
      <c r="F57" s="9" t="s">
        <v>2542</v>
      </c>
      <c r="G57" s="9" t="s">
        <v>2502</v>
      </c>
      <c r="H57" s="9" t="s">
        <v>2543</v>
      </c>
      <c r="I57" s="9" t="s">
        <v>2506</v>
      </c>
      <c r="J57" s="10" t="n">
        <v>0.202611367920628</v>
      </c>
    </row>
    <row r="58" customFormat="false" ht="15" hidden="false" customHeight="false" outlineLevel="0" collapsed="false">
      <c r="A58" s="9" t="s">
        <v>2672</v>
      </c>
      <c r="B58" s="9" t="s">
        <v>2673</v>
      </c>
      <c r="C58" s="11" t="s">
        <v>2674</v>
      </c>
      <c r="D58" s="9" t="s">
        <v>2541</v>
      </c>
      <c r="E58" s="9" t="n">
        <v>1</v>
      </c>
      <c r="F58" s="9" t="s">
        <v>2542</v>
      </c>
      <c r="G58" s="9" t="s">
        <v>2502</v>
      </c>
      <c r="H58" s="9" t="s">
        <v>2543</v>
      </c>
      <c r="I58" s="9" t="s">
        <v>2506</v>
      </c>
      <c r="J58" s="10" t="n">
        <v>6015200000</v>
      </c>
    </row>
    <row r="59" customFormat="false" ht="15" hidden="false" customHeight="false" outlineLevel="0" collapsed="false">
      <c r="A59" s="9" t="s">
        <v>2675</v>
      </c>
      <c r="B59" s="9" t="s">
        <v>2676</v>
      </c>
      <c r="C59" s="11" t="s">
        <v>2677</v>
      </c>
      <c r="D59" s="11" t="s">
        <v>2678</v>
      </c>
      <c r="E59" s="9" t="n">
        <v>1</v>
      </c>
      <c r="F59" s="9" t="s">
        <v>2542</v>
      </c>
      <c r="G59" s="9" t="s">
        <v>2502</v>
      </c>
      <c r="H59" s="9" t="s">
        <v>2543</v>
      </c>
      <c r="I59" s="9" t="s">
        <v>2506</v>
      </c>
      <c r="J59" s="10" t="n">
        <v>11.3720988983824</v>
      </c>
    </row>
    <row r="60" customFormat="false" ht="15" hidden="false" customHeight="false" outlineLevel="0" collapsed="false">
      <c r="A60" s="9" t="s">
        <v>2679</v>
      </c>
      <c r="B60" s="9" t="s">
        <v>2680</v>
      </c>
      <c r="C60" s="11" t="s">
        <v>2681</v>
      </c>
      <c r="D60" s="9" t="s">
        <v>2682</v>
      </c>
      <c r="E60" s="9" t="n">
        <v>15</v>
      </c>
      <c r="F60" s="9" t="s">
        <v>2542</v>
      </c>
      <c r="G60" s="9" t="s">
        <v>2502</v>
      </c>
      <c r="H60" s="9" t="s">
        <v>2543</v>
      </c>
      <c r="I60" s="9" t="s">
        <v>2506</v>
      </c>
      <c r="J60" s="10" t="n">
        <v>133.145929606144</v>
      </c>
      <c r="K60" s="10" t="n">
        <v>190.238900722181</v>
      </c>
      <c r="L60" s="10" t="n">
        <v>326.710163739702</v>
      </c>
      <c r="M60" s="10" t="n">
        <v>47.799736830449</v>
      </c>
      <c r="N60" s="10" t="n">
        <v>63.8227036445258</v>
      </c>
      <c r="O60" s="10" t="n">
        <v>103.515294678045</v>
      </c>
      <c r="P60" s="10" t="n">
        <v>69.1026515613069</v>
      </c>
      <c r="Q60" s="10" t="n">
        <v>89.2500735203584</v>
      </c>
      <c r="R60" s="10" t="n">
        <v>151.95260160482</v>
      </c>
      <c r="S60" s="10" t="n">
        <v>47.581600636821</v>
      </c>
      <c r="T60" s="10" t="n">
        <v>61.1546231086832</v>
      </c>
      <c r="U60" s="10" t="n">
        <v>98.7971873841935</v>
      </c>
      <c r="V60" s="10" t="n">
        <v>34.4123163173522</v>
      </c>
      <c r="W60" s="10" t="n">
        <v>52.3020023235234</v>
      </c>
      <c r="X60" s="10" t="n">
        <v>95.4794744985908</v>
      </c>
    </row>
    <row r="61" customFormat="false" ht="15" hidden="false" customHeight="false" outlineLevel="0" collapsed="false">
      <c r="A61" s="9" t="s">
        <v>2683</v>
      </c>
      <c r="B61" s="9" t="s">
        <v>2684</v>
      </c>
      <c r="C61" s="11" t="s">
        <v>2685</v>
      </c>
      <c r="D61" s="9" t="s">
        <v>2682</v>
      </c>
      <c r="E61" s="9" t="n">
        <v>15</v>
      </c>
      <c r="F61" s="9" t="s">
        <v>2542</v>
      </c>
      <c r="G61" s="9" t="s">
        <v>2502</v>
      </c>
      <c r="H61" s="9" t="s">
        <v>2543</v>
      </c>
      <c r="I61" s="9" t="s">
        <v>2506</v>
      </c>
      <c r="J61" s="10" t="n">
        <v>7.67134360218379</v>
      </c>
      <c r="K61" s="10" t="n">
        <v>10.9608155371972</v>
      </c>
      <c r="L61" s="10" t="n">
        <v>18.8237517420685</v>
      </c>
      <c r="M61" s="10" t="n">
        <v>2.22064404924176</v>
      </c>
      <c r="N61" s="10" t="n">
        <v>2.96502693220801</v>
      </c>
      <c r="O61" s="10" t="n">
        <v>4.80903532895346</v>
      </c>
      <c r="P61" s="10" t="n">
        <v>3.41180500641065</v>
      </c>
      <c r="Q61" s="10" t="n">
        <v>4.40654360982264</v>
      </c>
      <c r="R61" s="10" t="n">
        <v>7.50235533917976</v>
      </c>
      <c r="S61" s="10" t="n">
        <v>2.54914504530855</v>
      </c>
      <c r="T61" s="10" t="n">
        <v>3.27630853962013</v>
      </c>
      <c r="U61" s="10" t="n">
        <v>5.29297790196542</v>
      </c>
      <c r="V61" s="10" t="n">
        <v>1.75589913575037</v>
      </c>
      <c r="W61" s="10" t="n">
        <v>2.66872592449059</v>
      </c>
      <c r="X61" s="10" t="n">
        <v>4.87186986217016</v>
      </c>
    </row>
    <row r="62" customFormat="false" ht="15" hidden="false" customHeight="false" outlineLevel="0" collapsed="false">
      <c r="A62" s="9" t="s">
        <v>2686</v>
      </c>
      <c r="B62" s="9" t="s">
        <v>2687</v>
      </c>
      <c r="C62" s="11" t="s">
        <v>2688</v>
      </c>
      <c r="D62" s="9" t="s">
        <v>2682</v>
      </c>
      <c r="E62" s="9" t="n">
        <v>15</v>
      </c>
      <c r="F62" s="9" t="s">
        <v>2542</v>
      </c>
      <c r="G62" s="9" t="s">
        <v>2502</v>
      </c>
      <c r="H62" s="9" t="s">
        <v>2543</v>
      </c>
      <c r="I62" s="9" t="s">
        <v>2506</v>
      </c>
      <c r="J62" s="10" t="n">
        <v>21.8650135797258</v>
      </c>
      <c r="K62" s="10" t="n">
        <v>31.2407308280994</v>
      </c>
      <c r="L62" s="10" t="n">
        <v>53.6518253913892</v>
      </c>
      <c r="M62" s="10" t="n">
        <v>7.33726068087892</v>
      </c>
      <c r="N62" s="10" t="n">
        <v>9.79678644799702</v>
      </c>
      <c r="O62" s="10" t="n">
        <v>15.8896000663123</v>
      </c>
      <c r="P62" s="10" t="n">
        <v>10.7756147095243</v>
      </c>
      <c r="Q62" s="10" t="n">
        <v>13.9173299912937</v>
      </c>
      <c r="R62" s="10" t="n">
        <v>23.6949328572539</v>
      </c>
      <c r="S62" s="10" t="n">
        <v>7.63477460577875</v>
      </c>
      <c r="T62" s="10" t="n">
        <v>9.8126535738025</v>
      </c>
      <c r="U62" s="10" t="n">
        <v>15.8526457132149</v>
      </c>
      <c r="V62" s="10" t="n">
        <v>5.44209630592475</v>
      </c>
      <c r="W62" s="10" t="n">
        <v>8.27124018657791</v>
      </c>
      <c r="X62" s="10" t="n">
        <v>15.0994920152587</v>
      </c>
    </row>
    <row r="63" customFormat="false" ht="15" hidden="false" customHeight="false" outlineLevel="0" collapsed="false">
      <c r="A63" s="9" t="s">
        <v>2689</v>
      </c>
      <c r="B63" s="9" t="s">
        <v>2690</v>
      </c>
      <c r="C63" s="11" t="s">
        <v>2691</v>
      </c>
      <c r="D63" s="9" t="s">
        <v>76</v>
      </c>
      <c r="E63" s="9" t="n">
        <v>15</v>
      </c>
      <c r="F63" s="9" t="s">
        <v>2542</v>
      </c>
      <c r="G63" s="9" t="s">
        <v>2502</v>
      </c>
      <c r="H63" s="9" t="s">
        <v>2543</v>
      </c>
      <c r="I63" s="9" t="s">
        <v>2506</v>
      </c>
      <c r="J63" s="10" t="n">
        <v>32.8285826038219</v>
      </c>
      <c r="K63" s="10" t="n">
        <v>32.8285826038219</v>
      </c>
      <c r="L63" s="10" t="n">
        <v>32.8285826038219</v>
      </c>
      <c r="M63" s="10" t="n">
        <v>162.357347120574</v>
      </c>
      <c r="N63" s="10" t="n">
        <v>162.357347120574</v>
      </c>
      <c r="O63" s="10" t="n">
        <v>162.357347120574</v>
      </c>
      <c r="P63" s="10" t="n">
        <v>189.275075427389</v>
      </c>
      <c r="Q63" s="10" t="n">
        <v>189.275075427389</v>
      </c>
      <c r="R63" s="10" t="n">
        <v>189.275075427389</v>
      </c>
      <c r="S63" s="10" t="n">
        <v>335.686266761199</v>
      </c>
      <c r="T63" s="10" t="n">
        <v>335.686266761199</v>
      </c>
      <c r="U63" s="10" t="n">
        <v>335.686266761199</v>
      </c>
      <c r="V63" s="10" t="n">
        <v>475.005316946174</v>
      </c>
      <c r="W63" s="10" t="n">
        <v>475.005316946174</v>
      </c>
      <c r="X63" s="10" t="n">
        <v>475.005316946174</v>
      </c>
    </row>
    <row r="64" customFormat="false" ht="15" hidden="false" customHeight="false" outlineLevel="0" collapsed="false">
      <c r="A64" s="9" t="s">
        <v>2692</v>
      </c>
      <c r="B64" s="9" t="s">
        <v>2693</v>
      </c>
      <c r="C64" s="11" t="s">
        <v>2691</v>
      </c>
      <c r="D64" s="9" t="s">
        <v>76</v>
      </c>
      <c r="E64" s="9" t="n">
        <v>15</v>
      </c>
      <c r="F64" s="9" t="s">
        <v>2542</v>
      </c>
      <c r="G64" s="9" t="s">
        <v>2502</v>
      </c>
      <c r="H64" s="9" t="s">
        <v>2543</v>
      </c>
      <c r="I64" s="9" t="s">
        <v>2506</v>
      </c>
      <c r="J64" s="10" t="n">
        <v>6.37032104833132</v>
      </c>
      <c r="K64" s="10" t="n">
        <v>6.37032104833132</v>
      </c>
      <c r="L64" s="10" t="n">
        <v>6.37032104833132</v>
      </c>
      <c r="M64" s="10" t="n">
        <v>31.6861768612369</v>
      </c>
      <c r="N64" s="10" t="n">
        <v>31.6861768612369</v>
      </c>
      <c r="O64" s="10" t="n">
        <v>31.6861768612369</v>
      </c>
      <c r="P64" s="10" t="n">
        <v>41.0850251969316</v>
      </c>
      <c r="Q64" s="10" t="n">
        <v>41.0850251969316</v>
      </c>
      <c r="R64" s="10" t="n">
        <v>41.0850251969316</v>
      </c>
      <c r="S64" s="10" t="n">
        <v>59.2672572300878</v>
      </c>
      <c r="T64" s="10" t="n">
        <v>59.2672572300878</v>
      </c>
      <c r="U64" s="10" t="n">
        <v>59.2672572300878</v>
      </c>
      <c r="V64" s="10" t="n">
        <v>79.7925774522872</v>
      </c>
      <c r="W64" s="10" t="n">
        <v>79.7925774522872</v>
      </c>
      <c r="X64" s="10" t="n">
        <v>79.7925774522872</v>
      </c>
    </row>
    <row r="65" customFormat="false" ht="15" hidden="false" customHeight="false" outlineLevel="0" collapsed="false">
      <c r="A65" s="9" t="s">
        <v>2694</v>
      </c>
      <c r="B65" s="9" t="s">
        <v>2695</v>
      </c>
      <c r="C65" s="11" t="s">
        <v>2691</v>
      </c>
      <c r="D65" s="9" t="s">
        <v>76</v>
      </c>
      <c r="E65" s="9" t="n">
        <v>15</v>
      </c>
      <c r="F65" s="9" t="s">
        <v>2542</v>
      </c>
      <c r="G65" s="9" t="s">
        <v>2502</v>
      </c>
      <c r="H65" s="9" t="s">
        <v>2543</v>
      </c>
      <c r="I65" s="9" t="s">
        <v>2506</v>
      </c>
      <c r="J65" s="10" t="n">
        <v>32.4330286484338</v>
      </c>
      <c r="K65" s="10" t="n">
        <v>32.4330286484338</v>
      </c>
      <c r="L65" s="10" t="n">
        <v>32.4330286484338</v>
      </c>
      <c r="M65" s="10" t="n">
        <v>157.865737418946</v>
      </c>
      <c r="N65" s="10" t="n">
        <v>157.865737418946</v>
      </c>
      <c r="O65" s="10" t="n">
        <v>157.865737418946</v>
      </c>
      <c r="P65" s="10" t="n">
        <v>204.746908336412</v>
      </c>
      <c r="Q65" s="10" t="n">
        <v>204.746908336412</v>
      </c>
      <c r="R65" s="10" t="n">
        <v>204.746908336412</v>
      </c>
      <c r="S65" s="10" t="n">
        <v>307.586504136986</v>
      </c>
      <c r="T65" s="10" t="n">
        <v>307.586504136986</v>
      </c>
      <c r="U65" s="10" t="n">
        <v>307.586504136986</v>
      </c>
      <c r="V65" s="10" t="n">
        <v>418.858593711675</v>
      </c>
      <c r="W65" s="10" t="n">
        <v>418.858593711675</v>
      </c>
      <c r="X65" s="10" t="n">
        <v>418.858593711675</v>
      </c>
    </row>
    <row r="66" customFormat="false" ht="15" hidden="false" customHeight="false" outlineLevel="0" collapsed="false">
      <c r="A66" s="9" t="s">
        <v>2696</v>
      </c>
      <c r="B66" s="9" t="s">
        <v>2697</v>
      </c>
      <c r="C66" s="11" t="s">
        <v>2698</v>
      </c>
      <c r="D66" s="9" t="s">
        <v>2557</v>
      </c>
      <c r="E66" s="9" t="n">
        <v>15</v>
      </c>
      <c r="F66" s="9" t="s">
        <v>2542</v>
      </c>
      <c r="G66" s="9" t="s">
        <v>2502</v>
      </c>
      <c r="H66" s="9" t="s">
        <v>2543</v>
      </c>
      <c r="I66" s="9" t="s">
        <v>2506</v>
      </c>
      <c r="J66" s="10" t="n">
        <v>8.29001168966685</v>
      </c>
      <c r="K66" s="10" t="n">
        <v>11.8443817960704</v>
      </c>
      <c r="L66" s="10" t="n">
        <v>20.340513074065</v>
      </c>
      <c r="M66" s="10" t="n">
        <v>1.65882880013521</v>
      </c>
      <c r="N66" s="10" t="n">
        <v>2.21457941075841</v>
      </c>
      <c r="O66" s="10" t="n">
        <v>3.59130208390999</v>
      </c>
      <c r="P66" s="10" t="n">
        <v>1.74607457195511</v>
      </c>
      <c r="Q66" s="10" t="n">
        <v>2.25488503780915</v>
      </c>
      <c r="R66" s="10" t="n">
        <v>3.83839793537605</v>
      </c>
      <c r="S66" s="10" t="n">
        <v>1.17470997231079</v>
      </c>
      <c r="T66" s="10" t="n">
        <v>1.5095516322911</v>
      </c>
      <c r="U66" s="10" t="n">
        <v>2.4381803687466</v>
      </c>
      <c r="V66" s="10" t="n">
        <v>0.898870428757044</v>
      </c>
      <c r="W66" s="10" t="n">
        <v>1.36570096644468</v>
      </c>
      <c r="X66" s="10" t="n">
        <v>2.49241512702448</v>
      </c>
    </row>
    <row r="67" customFormat="false" ht="15" hidden="false" customHeight="false" outlineLevel="0" collapsed="false">
      <c r="A67" s="9" t="s">
        <v>2699</v>
      </c>
      <c r="B67" s="9" t="s">
        <v>2700</v>
      </c>
      <c r="C67" s="11" t="s">
        <v>2701</v>
      </c>
      <c r="D67" s="9" t="s">
        <v>2557</v>
      </c>
      <c r="E67" s="9" t="n">
        <v>15</v>
      </c>
      <c r="F67" s="9" t="s">
        <v>2542</v>
      </c>
      <c r="G67" s="9" t="s">
        <v>2502</v>
      </c>
      <c r="H67" s="9" t="s">
        <v>2543</v>
      </c>
      <c r="I67" s="9" t="s">
        <v>2506</v>
      </c>
      <c r="J67" s="10" t="n">
        <v>0.193074031215918</v>
      </c>
      <c r="K67" s="10" t="n">
        <v>0.275854810851785</v>
      </c>
      <c r="L67" s="10" t="n">
        <v>0.473728512809262</v>
      </c>
      <c r="M67" s="10" t="n">
        <v>0.0341810009028684</v>
      </c>
      <c r="N67" s="10" t="n">
        <v>0.045632175011385</v>
      </c>
      <c r="O67" s="10" t="n">
        <v>0.0739993791638425</v>
      </c>
      <c r="P67" s="10" t="n">
        <v>0.0357793857272419</v>
      </c>
      <c r="Q67" s="10" t="n">
        <v>0.0462051252011937</v>
      </c>
      <c r="R67" s="10" t="n">
        <v>0.0786519674570117</v>
      </c>
      <c r="S67" s="10" t="n">
        <v>0.0271896779934102</v>
      </c>
      <c r="T67" s="10" t="n">
        <v>0.0349397951463465</v>
      </c>
      <c r="U67" s="10" t="n">
        <v>0.0564334811456825</v>
      </c>
      <c r="V67" s="10" t="n">
        <v>0.0206548066169291</v>
      </c>
      <c r="W67" s="10" t="n">
        <v>0.0313819233456712</v>
      </c>
      <c r="X67" s="10" t="n">
        <v>0.0572722483024193</v>
      </c>
    </row>
    <row r="68" customFormat="false" ht="15" hidden="false" customHeight="false" outlineLevel="0" collapsed="false">
      <c r="A68" s="9" t="s">
        <v>2702</v>
      </c>
      <c r="B68" s="9" t="s">
        <v>2703</v>
      </c>
      <c r="C68" s="11" t="s">
        <v>2704</v>
      </c>
      <c r="D68" s="9" t="s">
        <v>2557</v>
      </c>
      <c r="E68" s="9" t="n">
        <v>15</v>
      </c>
      <c r="F68" s="9" t="s">
        <v>2542</v>
      </c>
      <c r="G68" s="9" t="s">
        <v>2502</v>
      </c>
      <c r="H68" s="9" t="s">
        <v>2543</v>
      </c>
      <c r="I68" s="9" t="s">
        <v>2506</v>
      </c>
      <c r="J68" s="10" t="n">
        <v>0.608618479268893</v>
      </c>
      <c r="K68" s="10" t="n">
        <v>0.869575532428143</v>
      </c>
      <c r="L68" s="10" t="n">
        <v>1.49335001712945</v>
      </c>
      <c r="M68" s="10" t="n">
        <v>0.118422426458432</v>
      </c>
      <c r="N68" s="10" t="n">
        <v>0.158104828647922</v>
      </c>
      <c r="O68" s="10" t="n">
        <v>0.256407307808724</v>
      </c>
      <c r="P68" s="10" t="n">
        <v>0.12029386167383</v>
      </c>
      <c r="Q68" s="10" t="n">
        <v>0.15535396373992</v>
      </c>
      <c r="R68" s="10" t="n">
        <v>0.264467528686895</v>
      </c>
      <c r="S68" s="10" t="n">
        <v>0.0877086499252458</v>
      </c>
      <c r="T68" s="10" t="n">
        <v>0.112716227346229</v>
      </c>
      <c r="U68" s="10" t="n">
        <v>0.182070664973933</v>
      </c>
      <c r="V68" s="10" t="n">
        <v>0.0675723516877666</v>
      </c>
      <c r="W68" s="10" t="n">
        <v>0.102679168362959</v>
      </c>
      <c r="X68" s="10" t="n">
        <v>0.187410873526783</v>
      </c>
    </row>
    <row r="69" customFormat="false" ht="15" hidden="false" customHeight="false" outlineLevel="0" collapsed="false">
      <c r="A69" s="9" t="s">
        <v>2705</v>
      </c>
      <c r="B69" s="9" t="s">
        <v>2706</v>
      </c>
      <c r="C69" s="11" t="s">
        <v>2707</v>
      </c>
      <c r="D69" s="9" t="s">
        <v>76</v>
      </c>
      <c r="E69" s="9" t="n">
        <v>1</v>
      </c>
      <c r="F69" s="9" t="s">
        <v>2542</v>
      </c>
      <c r="G69" s="9" t="s">
        <v>2502</v>
      </c>
      <c r="H69" s="9" t="s">
        <v>2543</v>
      </c>
      <c r="I69" s="9" t="s">
        <v>2506</v>
      </c>
      <c r="J69" s="10" t="n">
        <v>1.90338863194263</v>
      </c>
    </row>
    <row r="70" customFormat="false" ht="15" hidden="false" customHeight="false" outlineLevel="0" collapsed="false">
      <c r="A70" s="9" t="s">
        <v>2708</v>
      </c>
      <c r="B70" s="9" t="s">
        <v>2709</v>
      </c>
      <c r="C70" s="11" t="s">
        <v>2710</v>
      </c>
      <c r="D70" s="9" t="s">
        <v>76</v>
      </c>
      <c r="E70" s="9" t="n">
        <v>1</v>
      </c>
      <c r="F70" s="9" t="s">
        <v>2542</v>
      </c>
      <c r="G70" s="9" t="s">
        <v>2502</v>
      </c>
      <c r="H70" s="9" t="s">
        <v>2543</v>
      </c>
      <c r="I70" s="9" t="s">
        <v>2506</v>
      </c>
      <c r="J70" s="10" t="n">
        <v>0.951694315971314</v>
      </c>
    </row>
    <row r="71" customFormat="false" ht="15" hidden="false" customHeight="false" outlineLevel="0" collapsed="false">
      <c r="A71" s="9" t="s">
        <v>2711</v>
      </c>
      <c r="B71" s="9" t="s">
        <v>2712</v>
      </c>
      <c r="C71" s="11" t="s">
        <v>2713</v>
      </c>
      <c r="D71" s="9" t="s">
        <v>76</v>
      </c>
      <c r="E71" s="9" t="n">
        <v>1</v>
      </c>
      <c r="F71" s="9" t="s">
        <v>2542</v>
      </c>
      <c r="G71" s="9" t="s">
        <v>2502</v>
      </c>
      <c r="H71" s="9" t="s">
        <v>2543</v>
      </c>
      <c r="I71" s="9" t="s">
        <v>2506</v>
      </c>
      <c r="J71" s="10" t="n">
        <v>13.3237204235984</v>
      </c>
    </row>
    <row r="72" customFormat="false" ht="15" hidden="false" customHeight="false" outlineLevel="0" collapsed="false">
      <c r="A72" s="9" t="s">
        <v>2714</v>
      </c>
      <c r="B72" s="9" t="s">
        <v>2715</v>
      </c>
      <c r="C72" s="11" t="s">
        <v>2716</v>
      </c>
      <c r="D72" s="9" t="s">
        <v>482</v>
      </c>
      <c r="E72" s="9" t="n">
        <v>15</v>
      </c>
      <c r="F72" s="9" t="s">
        <v>2542</v>
      </c>
      <c r="G72" s="9" t="s">
        <v>2502</v>
      </c>
      <c r="H72" s="9" t="s">
        <v>2543</v>
      </c>
      <c r="I72" s="9" t="s">
        <v>2506</v>
      </c>
      <c r="J72" s="10" t="n">
        <v>31.6322694</v>
      </c>
      <c r="K72" s="10" t="n">
        <v>40.180214</v>
      </c>
      <c r="L72" s="10" t="n">
        <v>50.3067434</v>
      </c>
      <c r="M72" s="10" t="n">
        <v>30.8513904</v>
      </c>
      <c r="N72" s="10" t="n">
        <v>36.685174</v>
      </c>
      <c r="O72" s="10" t="n">
        <v>43.8362044</v>
      </c>
      <c r="P72" s="10" t="n">
        <v>38.7669024</v>
      </c>
      <c r="Q72" s="10" t="n">
        <v>44.907224</v>
      </c>
      <c r="R72" s="10" t="n">
        <v>55.4686064</v>
      </c>
      <c r="S72" s="10" t="n">
        <v>43.4854032</v>
      </c>
      <c r="T72" s="10" t="n">
        <v>50.256352</v>
      </c>
      <c r="U72" s="10" t="n">
        <v>58.8235752</v>
      </c>
      <c r="V72" s="10" t="n">
        <v>46.057578</v>
      </c>
      <c r="W72" s="10" t="n">
        <v>62.75578</v>
      </c>
      <c r="X72" s="10" t="n">
        <v>81.667558</v>
      </c>
    </row>
    <row r="73" customFormat="false" ht="15" hidden="false" customHeight="false" outlineLevel="0" collapsed="false">
      <c r="A73" s="9" t="s">
        <v>2717</v>
      </c>
      <c r="B73" s="9" t="s">
        <v>2718</v>
      </c>
      <c r="C73" s="11" t="s">
        <v>2719</v>
      </c>
      <c r="D73" s="9"/>
      <c r="E73" s="9" t="n">
        <v>5</v>
      </c>
      <c r="F73" s="9" t="s">
        <v>2542</v>
      </c>
      <c r="G73" s="9" t="s">
        <v>2502</v>
      </c>
      <c r="H73" s="9" t="s">
        <v>2543</v>
      </c>
      <c r="I73" s="9" t="s">
        <v>2506</v>
      </c>
      <c r="J73" s="14" t="s">
        <v>2720</v>
      </c>
      <c r="K73" s="14" t="s">
        <v>2721</v>
      </c>
      <c r="L73" s="14" t="s">
        <v>2722</v>
      </c>
      <c r="M73" s="14" t="s">
        <v>2723</v>
      </c>
      <c r="N73" s="10" t="s">
        <v>2724</v>
      </c>
    </row>
    <row r="74" customFormat="false" ht="15" hidden="false" customHeight="false" outlineLevel="0" collapsed="false">
      <c r="A74" s="9" t="s">
        <v>2725</v>
      </c>
      <c r="B74" s="9" t="s">
        <v>2726</v>
      </c>
      <c r="C74" s="11" t="s">
        <v>2727</v>
      </c>
      <c r="D74" s="9" t="s">
        <v>2728</v>
      </c>
      <c r="E74" s="9" t="n">
        <v>5</v>
      </c>
      <c r="F74" s="9" t="s">
        <v>2542</v>
      </c>
      <c r="G74" s="9" t="s">
        <v>2502</v>
      </c>
      <c r="H74" s="9" t="s">
        <v>2543</v>
      </c>
      <c r="I74" s="9" t="s">
        <v>2506</v>
      </c>
      <c r="J74" s="10" t="n">
        <v>0.02</v>
      </c>
      <c r="K74" s="10" t="n">
        <v>0.1</v>
      </c>
      <c r="L74" s="10" t="n">
        <v>0.5</v>
      </c>
      <c r="M74" s="10" t="n">
        <v>2</v>
      </c>
      <c r="N74" s="10" t="n">
        <v>8</v>
      </c>
    </row>
    <row r="75" customFormat="false" ht="15" hidden="false" customHeight="false" outlineLevel="0" collapsed="false">
      <c r="A75" s="9" t="s">
        <v>2729</v>
      </c>
      <c r="B75" s="9" t="s">
        <v>2730</v>
      </c>
      <c r="C75" s="11" t="s">
        <v>2731</v>
      </c>
      <c r="D75" s="9" t="s">
        <v>2732</v>
      </c>
      <c r="E75" s="9" t="n">
        <v>5</v>
      </c>
      <c r="F75" s="9" t="s">
        <v>2542</v>
      </c>
      <c r="G75" s="9" t="s">
        <v>2502</v>
      </c>
      <c r="H75" s="9" t="s">
        <v>2543</v>
      </c>
      <c r="I75" s="9" t="s">
        <v>2506</v>
      </c>
      <c r="J75" s="10" t="n">
        <v>1500</v>
      </c>
      <c r="K75" s="10" t="n">
        <v>1500</v>
      </c>
      <c r="L75" s="10" t="n">
        <v>6840</v>
      </c>
      <c r="M75" s="10" t="n">
        <v>27360</v>
      </c>
      <c r="N75" s="10" t="n">
        <v>200400</v>
      </c>
    </row>
    <row r="76" customFormat="false" ht="15" hidden="false" customHeight="false" outlineLevel="0" collapsed="false">
      <c r="A76" s="9" t="s">
        <v>2733</v>
      </c>
      <c r="B76" s="9" t="s">
        <v>2734</v>
      </c>
      <c r="C76" s="11" t="s">
        <v>2735</v>
      </c>
      <c r="D76" s="9" t="s">
        <v>2732</v>
      </c>
      <c r="E76" s="9" t="n">
        <v>5</v>
      </c>
      <c r="F76" s="9" t="s">
        <v>2542</v>
      </c>
      <c r="G76" s="9" t="s">
        <v>2502</v>
      </c>
      <c r="H76" s="9" t="s">
        <v>2543</v>
      </c>
      <c r="I76" s="9" t="s">
        <v>2506</v>
      </c>
      <c r="J76" s="10" t="n">
        <v>1000</v>
      </c>
      <c r="K76" s="10" t="n">
        <v>1000</v>
      </c>
      <c r="L76" s="10" t="n">
        <v>18360</v>
      </c>
      <c r="M76" s="10" t="n">
        <v>73440</v>
      </c>
      <c r="N76" s="10" t="n">
        <v>1263600</v>
      </c>
    </row>
    <row r="77" customFormat="false" ht="15" hidden="false" customHeight="false" outlineLevel="0" collapsed="false">
      <c r="A77" s="9" t="s">
        <v>2736</v>
      </c>
      <c r="B77" s="9" t="s">
        <v>2737</v>
      </c>
      <c r="C77" s="11" t="s">
        <v>2738</v>
      </c>
      <c r="D77" s="9" t="s">
        <v>2732</v>
      </c>
      <c r="E77" s="9" t="n">
        <v>5</v>
      </c>
      <c r="F77" s="9" t="s">
        <v>2542</v>
      </c>
      <c r="G77" s="9" t="s">
        <v>2502</v>
      </c>
      <c r="H77" s="9" t="s">
        <v>2543</v>
      </c>
      <c r="I77" s="9" t="s">
        <v>2506</v>
      </c>
      <c r="J77" s="10" t="n">
        <v>500</v>
      </c>
      <c r="K77" s="10" t="n">
        <v>3700</v>
      </c>
      <c r="L77" s="10" t="n">
        <v>2400</v>
      </c>
      <c r="M77" s="10" t="n">
        <v>9600</v>
      </c>
      <c r="N77" s="10" t="n">
        <v>30000</v>
      </c>
    </row>
    <row r="78" customFormat="false" ht="15" hidden="false" customHeight="false" outlineLevel="0" collapsed="false">
      <c r="A78" s="9" t="s">
        <v>2739</v>
      </c>
      <c r="B78" s="9" t="s">
        <v>2740</v>
      </c>
      <c r="C78" s="9" t="s">
        <v>2741</v>
      </c>
      <c r="D78" s="9" t="s">
        <v>2742</v>
      </c>
      <c r="E78" s="9" t="n">
        <v>1</v>
      </c>
      <c r="F78" s="9" t="s">
        <v>2542</v>
      </c>
      <c r="G78" s="9" t="s">
        <v>2502</v>
      </c>
      <c r="H78" s="9" t="s">
        <v>2543</v>
      </c>
      <c r="I78" s="9" t="s">
        <v>2506</v>
      </c>
      <c r="J78" s="10" t="n">
        <v>49.5137840363362</v>
      </c>
    </row>
    <row r="79" customFormat="false" ht="15" hidden="false" customHeight="false" outlineLevel="0" collapsed="false">
      <c r="A79" s="9" t="s">
        <v>2743</v>
      </c>
      <c r="B79" s="9" t="s">
        <v>2744</v>
      </c>
      <c r="C79" s="9" t="s">
        <v>2745</v>
      </c>
      <c r="D79" s="9" t="s">
        <v>2742</v>
      </c>
      <c r="E79" s="9" t="n">
        <v>1</v>
      </c>
      <c r="F79" s="9" t="s">
        <v>2542</v>
      </c>
      <c r="G79" s="9" t="s">
        <v>2502</v>
      </c>
      <c r="H79" s="9" t="s">
        <v>2543</v>
      </c>
      <c r="I79" s="9" t="s">
        <v>2506</v>
      </c>
      <c r="J79" s="10" t="n">
        <v>36.2295980753679</v>
      </c>
    </row>
    <row r="80" customFormat="false" ht="15" hidden="false" customHeight="false" outlineLevel="0" collapsed="false">
      <c r="A80" s="9" t="s">
        <v>2746</v>
      </c>
      <c r="B80" s="9" t="s">
        <v>2747</v>
      </c>
      <c r="C80" s="9" t="s">
        <v>2748</v>
      </c>
      <c r="D80" s="9" t="s">
        <v>2742</v>
      </c>
      <c r="E80" s="9" t="n">
        <v>1</v>
      </c>
      <c r="F80" s="9" t="s">
        <v>2542</v>
      </c>
      <c r="G80" s="9" t="s">
        <v>2502</v>
      </c>
      <c r="H80" s="9" t="s">
        <v>2543</v>
      </c>
      <c r="I80" s="9" t="s">
        <v>2506</v>
      </c>
      <c r="J80" s="10" t="n">
        <v>78.4974624966305</v>
      </c>
    </row>
    <row r="81" customFormat="false" ht="15" hidden="false" customHeight="false" outlineLevel="0" collapsed="false">
      <c r="A81" s="9" t="s">
        <v>2749</v>
      </c>
      <c r="B81" s="9" t="s">
        <v>2750</v>
      </c>
      <c r="C81" s="9" t="s">
        <v>2751</v>
      </c>
      <c r="D81" s="9" t="s">
        <v>2742</v>
      </c>
      <c r="E81" s="9" t="n">
        <v>1</v>
      </c>
      <c r="F81" s="9" t="s">
        <v>2542</v>
      </c>
      <c r="G81" s="9" t="s">
        <v>2502</v>
      </c>
      <c r="H81" s="9" t="s">
        <v>2543</v>
      </c>
      <c r="I81" s="9" t="s">
        <v>2506</v>
      </c>
      <c r="J81" s="10" t="n">
        <v>52.7760211320419</v>
      </c>
    </row>
    <row r="82" customFormat="false" ht="15" hidden="false" customHeight="false" outlineLevel="0" collapsed="false">
      <c r="A82" s="9" t="s">
        <v>2752</v>
      </c>
      <c r="B82" s="9" t="s">
        <v>2753</v>
      </c>
      <c r="C82" s="9" t="s">
        <v>2754</v>
      </c>
      <c r="D82" s="9" t="s">
        <v>2742</v>
      </c>
      <c r="E82" s="9" t="n">
        <v>1</v>
      </c>
      <c r="F82" s="9" t="s">
        <v>2542</v>
      </c>
      <c r="G82" s="9" t="s">
        <v>2502</v>
      </c>
      <c r="H82" s="9" t="s">
        <v>2543</v>
      </c>
      <c r="I82" s="9" t="s">
        <v>2506</v>
      </c>
      <c r="J82" s="10" t="n">
        <v>38.6166008283233</v>
      </c>
    </row>
    <row r="83" customFormat="false" ht="15" hidden="false" customHeight="false" outlineLevel="0" collapsed="false">
      <c r="A83" s="9" t="s">
        <v>2755</v>
      </c>
      <c r="B83" s="9" t="s">
        <v>2756</v>
      </c>
      <c r="C83" s="9" t="s">
        <v>2757</v>
      </c>
      <c r="D83" s="9" t="s">
        <v>2742</v>
      </c>
      <c r="E83" s="9" t="n">
        <v>1</v>
      </c>
      <c r="F83" s="9" t="s">
        <v>2542</v>
      </c>
      <c r="G83" s="9" t="s">
        <v>2502</v>
      </c>
      <c r="H83" s="9" t="s">
        <v>2543</v>
      </c>
      <c r="I83" s="9" t="s">
        <v>2506</v>
      </c>
      <c r="J83" s="10" t="n">
        <v>83.6693017947006</v>
      </c>
    </row>
    <row r="84" customFormat="false" ht="15" hidden="false" customHeight="false" outlineLevel="0" collapsed="false">
      <c r="A84" s="9" t="s">
        <v>2758</v>
      </c>
      <c r="B84" s="9" t="s">
        <v>2759</v>
      </c>
      <c r="C84" s="9" t="s">
        <v>2760</v>
      </c>
      <c r="D84" s="9" t="s">
        <v>2742</v>
      </c>
      <c r="E84" s="9" t="n">
        <v>1</v>
      </c>
      <c r="F84" s="9" t="s">
        <v>2542</v>
      </c>
      <c r="G84" s="9" t="s">
        <v>2502</v>
      </c>
      <c r="H84" s="9" t="s">
        <v>2543</v>
      </c>
      <c r="I84" s="9" t="s">
        <v>2506</v>
      </c>
      <c r="J84" s="10" t="n">
        <v>34.6024369655691</v>
      </c>
    </row>
    <row r="85" customFormat="false" ht="15" hidden="false" customHeight="false" outlineLevel="0" collapsed="false">
      <c r="A85" s="9" t="s">
        <v>2761</v>
      </c>
      <c r="B85" s="9" t="s">
        <v>2762</v>
      </c>
      <c r="C85" s="9" t="s">
        <v>2763</v>
      </c>
      <c r="D85" s="9" t="s">
        <v>2742</v>
      </c>
      <c r="E85" s="9" t="n">
        <v>1</v>
      </c>
      <c r="F85" s="9" t="s">
        <v>2542</v>
      </c>
      <c r="G85" s="9" t="s">
        <v>2502</v>
      </c>
      <c r="H85" s="9" t="s">
        <v>2543</v>
      </c>
      <c r="I85" s="9" t="s">
        <v>2506</v>
      </c>
      <c r="J85" s="10" t="n">
        <v>16.1280081996611</v>
      </c>
    </row>
    <row r="86" customFormat="false" ht="15" hidden="false" customHeight="false" outlineLevel="0" collapsed="false">
      <c r="A86" s="9" t="s">
        <v>2764</v>
      </c>
      <c r="B86" s="9" t="s">
        <v>2765</v>
      </c>
      <c r="C86" s="9" t="s">
        <v>2766</v>
      </c>
      <c r="D86" s="9" t="s">
        <v>2742</v>
      </c>
      <c r="E86" s="9" t="n">
        <v>1</v>
      </c>
      <c r="F86" s="9" t="s">
        <v>2542</v>
      </c>
      <c r="G86" s="9" t="s">
        <v>2502</v>
      </c>
      <c r="H86" s="9" t="s">
        <v>2543</v>
      </c>
      <c r="I86" s="9" t="s">
        <v>2506</v>
      </c>
      <c r="J86" s="10" t="n">
        <v>85.8875600439659</v>
      </c>
    </row>
    <row r="87" customFormat="false" ht="15" hidden="false" customHeight="false" outlineLevel="0" collapsed="false">
      <c r="A87" s="9" t="s">
        <v>2767</v>
      </c>
      <c r="B87" s="9" t="s">
        <v>2768</v>
      </c>
      <c r="C87" s="9" t="s">
        <v>2769</v>
      </c>
      <c r="D87" s="9" t="s">
        <v>2541</v>
      </c>
      <c r="E87" s="9" t="n">
        <v>1</v>
      </c>
      <c r="F87" s="9" t="s">
        <v>2542</v>
      </c>
      <c r="G87" s="9" t="s">
        <v>2502</v>
      </c>
      <c r="H87" s="9" t="s">
        <v>2543</v>
      </c>
      <c r="I87" s="9" t="s">
        <v>2506</v>
      </c>
      <c r="J87" s="10" t="n">
        <v>18800929768.0786</v>
      </c>
    </row>
    <row r="88" customFormat="false" ht="15" hidden="false" customHeight="false" outlineLevel="0" collapsed="false">
      <c r="A88" s="9" t="s">
        <v>2770</v>
      </c>
      <c r="B88" s="9" t="s">
        <v>2771</v>
      </c>
      <c r="C88" s="9" t="s">
        <v>2772</v>
      </c>
      <c r="D88" s="9" t="s">
        <v>2541</v>
      </c>
      <c r="E88" s="9" t="n">
        <v>1</v>
      </c>
      <c r="F88" s="9" t="s">
        <v>2542</v>
      </c>
      <c r="G88" s="9" t="s">
        <v>2502</v>
      </c>
      <c r="H88" s="9" t="s">
        <v>2543</v>
      </c>
      <c r="I88" s="9" t="s">
        <v>2506</v>
      </c>
      <c r="J88" s="10" t="n">
        <v>13756777879.0819</v>
      </c>
    </row>
    <row r="89" customFormat="false" ht="15" hidden="false" customHeight="false" outlineLevel="0" collapsed="false">
      <c r="A89" s="9" t="s">
        <v>2773</v>
      </c>
      <c r="B89" s="9" t="s">
        <v>2774</v>
      </c>
      <c r="C89" s="9" t="s">
        <v>2775</v>
      </c>
      <c r="D89" s="9" t="s">
        <v>2541</v>
      </c>
      <c r="E89" s="9" t="n">
        <v>1</v>
      </c>
      <c r="F89" s="9" t="s">
        <v>2542</v>
      </c>
      <c r="G89" s="9" t="s">
        <v>2502</v>
      </c>
      <c r="H89" s="9" t="s">
        <v>2543</v>
      </c>
      <c r="I89" s="9" t="s">
        <v>2506</v>
      </c>
      <c r="J89" s="10" t="n">
        <v>29806352071.3441</v>
      </c>
    </row>
    <row r="90" customFormat="false" ht="15" hidden="false" customHeight="false" outlineLevel="0" collapsed="false">
      <c r="A90" s="9" t="s">
        <v>2776</v>
      </c>
      <c r="B90" s="9" t="s">
        <v>2777</v>
      </c>
      <c r="C90" s="9" t="s">
        <v>2778</v>
      </c>
      <c r="D90" s="9" t="s">
        <v>2614</v>
      </c>
      <c r="E90" s="9" t="n">
        <v>1</v>
      </c>
      <c r="F90" s="9" t="s">
        <v>2542</v>
      </c>
      <c r="G90" s="9" t="s">
        <v>2502</v>
      </c>
      <c r="H90" s="9" t="s">
        <v>2543</v>
      </c>
      <c r="I90" s="9" t="s">
        <v>2506</v>
      </c>
      <c r="J90" s="10" t="n">
        <v>3.01947256066794</v>
      </c>
    </row>
    <row r="91" customFormat="false" ht="15" hidden="false" customHeight="false" outlineLevel="0" collapsed="false">
      <c r="A91" s="9" t="s">
        <v>2779</v>
      </c>
      <c r="B91" s="9" t="s">
        <v>2780</v>
      </c>
      <c r="C91" s="11" t="s">
        <v>2781</v>
      </c>
      <c r="D91" s="9" t="s">
        <v>2614</v>
      </c>
      <c r="E91" s="9" t="n">
        <v>1</v>
      </c>
      <c r="F91" s="9" t="s">
        <v>2542</v>
      </c>
      <c r="G91" s="9" t="s">
        <v>2502</v>
      </c>
      <c r="H91" s="9" t="s">
        <v>2543</v>
      </c>
      <c r="I91" s="9" t="s">
        <v>2506</v>
      </c>
      <c r="J91" s="10" t="n">
        <v>1.34320115513779</v>
      </c>
    </row>
    <row r="92" customFormat="false" ht="15" hidden="false" customHeight="false" outlineLevel="0" collapsed="false">
      <c r="A92" s="9" t="s">
        <v>2782</v>
      </c>
      <c r="B92" s="9" t="s">
        <v>2783</v>
      </c>
      <c r="C92" s="9" t="s">
        <v>2784</v>
      </c>
      <c r="D92" s="11" t="s">
        <v>747</v>
      </c>
      <c r="E92" s="9" t="n">
        <v>1</v>
      </c>
      <c r="F92" s="11" t="s">
        <v>2785</v>
      </c>
      <c r="G92" s="9" t="s">
        <v>2502</v>
      </c>
      <c r="H92" s="9" t="s">
        <v>2543</v>
      </c>
      <c r="I92" s="9" t="s">
        <v>2506</v>
      </c>
      <c r="J92" s="10" t="n">
        <v>0.8</v>
      </c>
    </row>
    <row r="93" customFormat="false" ht="15" hidden="false" customHeight="false" outlineLevel="0" collapsed="false">
      <c r="A93" s="9" t="s">
        <v>2786</v>
      </c>
      <c r="B93" s="9" t="s">
        <v>2787</v>
      </c>
      <c r="C93" s="9" t="s">
        <v>2788</v>
      </c>
      <c r="D93" s="11" t="s">
        <v>747</v>
      </c>
      <c r="E93" s="9" t="n">
        <v>1</v>
      </c>
      <c r="F93" s="11" t="s">
        <v>2785</v>
      </c>
      <c r="G93" s="9" t="s">
        <v>2502</v>
      </c>
      <c r="H93" s="9" t="s">
        <v>2543</v>
      </c>
      <c r="I93" s="9" t="s">
        <v>2506</v>
      </c>
      <c r="J93" s="10" t="n">
        <v>0.6</v>
      </c>
    </row>
    <row r="94" customFormat="false" ht="15" hidden="false" customHeight="false" outlineLevel="0" collapsed="false">
      <c r="A94" s="9" t="s">
        <v>2789</v>
      </c>
      <c r="B94" s="9" t="s">
        <v>2790</v>
      </c>
      <c r="C94" s="9" t="s">
        <v>2791</v>
      </c>
      <c r="D94" s="11" t="s">
        <v>747</v>
      </c>
      <c r="E94" s="9" t="n">
        <v>1</v>
      </c>
      <c r="F94" s="11" t="s">
        <v>2785</v>
      </c>
      <c r="G94" s="9" t="s">
        <v>2502</v>
      </c>
      <c r="H94" s="9" t="s">
        <v>2543</v>
      </c>
      <c r="I94" s="9" t="s">
        <v>2506</v>
      </c>
      <c r="J94" s="10" t="n">
        <v>1.1</v>
      </c>
    </row>
    <row r="95" customFormat="false" ht="15" hidden="false" customHeight="false" outlineLevel="0" collapsed="false">
      <c r="A95" s="9" t="s">
        <v>2792</v>
      </c>
      <c r="B95" s="9" t="s">
        <v>2793</v>
      </c>
      <c r="C95" s="9" t="s">
        <v>2794</v>
      </c>
      <c r="D95" s="11" t="s">
        <v>747</v>
      </c>
      <c r="E95" s="9" t="n">
        <v>1</v>
      </c>
      <c r="F95" s="11" t="s">
        <v>2785</v>
      </c>
      <c r="G95" s="9" t="s">
        <v>2502</v>
      </c>
      <c r="H95" s="9" t="s">
        <v>2543</v>
      </c>
      <c r="I95" s="9" t="s">
        <v>2506</v>
      </c>
      <c r="J95" s="10" t="n">
        <v>0.8</v>
      </c>
    </row>
    <row r="96" customFormat="false" ht="15" hidden="false" customHeight="false" outlineLevel="0" collapsed="false">
      <c r="A96" s="9" t="s">
        <v>2795</v>
      </c>
      <c r="B96" s="9" t="s">
        <v>2796</v>
      </c>
      <c r="C96" s="9" t="s">
        <v>2797</v>
      </c>
      <c r="D96" s="11" t="s">
        <v>747</v>
      </c>
      <c r="E96" s="9" t="n">
        <v>1</v>
      </c>
      <c r="F96" s="11" t="s">
        <v>2785</v>
      </c>
      <c r="G96" s="9" t="s">
        <v>2502</v>
      </c>
      <c r="H96" s="9" t="s">
        <v>2543</v>
      </c>
      <c r="I96" s="9" t="s">
        <v>2506</v>
      </c>
      <c r="J96" s="10" t="n">
        <v>0.7</v>
      </c>
    </row>
    <row r="97" customFormat="false" ht="15" hidden="false" customHeight="false" outlineLevel="0" collapsed="false">
      <c r="A97" s="9" t="s">
        <v>2798</v>
      </c>
      <c r="B97" s="9" t="s">
        <v>2799</v>
      </c>
      <c r="C97" s="9" t="s">
        <v>2800</v>
      </c>
      <c r="D97" s="11" t="s">
        <v>747</v>
      </c>
      <c r="E97" s="9" t="n">
        <v>1</v>
      </c>
      <c r="F97" s="11" t="s">
        <v>2785</v>
      </c>
      <c r="G97" s="9" t="s">
        <v>2502</v>
      </c>
      <c r="H97" s="9" t="s">
        <v>2543</v>
      </c>
      <c r="I97" s="9" t="s">
        <v>2506</v>
      </c>
      <c r="J97" s="10" t="n">
        <v>1</v>
      </c>
    </row>
    <row r="98" customFormat="false" ht="15" hidden="false" customHeight="false" outlineLevel="0" collapsed="false">
      <c r="A98" s="9" t="s">
        <v>2801</v>
      </c>
      <c r="B98" s="9" t="s">
        <v>2802</v>
      </c>
      <c r="C98" s="9" t="s">
        <v>2803</v>
      </c>
      <c r="D98" s="11" t="s">
        <v>747</v>
      </c>
      <c r="E98" s="9" t="n">
        <v>1</v>
      </c>
      <c r="F98" s="11" t="s">
        <v>2785</v>
      </c>
      <c r="G98" s="9" t="s">
        <v>2502</v>
      </c>
      <c r="H98" s="9" t="s">
        <v>2543</v>
      </c>
      <c r="I98" s="9" t="s">
        <v>2506</v>
      </c>
      <c r="J98" s="10" t="n">
        <v>0.5</v>
      </c>
    </row>
    <row r="99" customFormat="false" ht="15" hidden="false" customHeight="false" outlineLevel="0" collapsed="false">
      <c r="A99" s="9" t="s">
        <v>2804</v>
      </c>
      <c r="B99" s="9" t="s">
        <v>2805</v>
      </c>
      <c r="C99" s="9" t="s">
        <v>2806</v>
      </c>
      <c r="D99" s="11" t="s">
        <v>747</v>
      </c>
      <c r="E99" s="9" t="n">
        <v>1</v>
      </c>
      <c r="F99" s="11" t="s">
        <v>2785</v>
      </c>
      <c r="G99" s="9" t="s">
        <v>2502</v>
      </c>
      <c r="H99" s="9" t="s">
        <v>2543</v>
      </c>
      <c r="I99" s="9" t="s">
        <v>2506</v>
      </c>
      <c r="J99" s="10" t="n">
        <v>0.3</v>
      </c>
    </row>
    <row r="100" customFormat="false" ht="15" hidden="false" customHeight="false" outlineLevel="0" collapsed="false">
      <c r="A100" s="9" t="s">
        <v>2807</v>
      </c>
      <c r="B100" s="9" t="s">
        <v>2808</v>
      </c>
      <c r="C100" s="9" t="s">
        <v>2809</v>
      </c>
      <c r="D100" s="11" t="s">
        <v>747</v>
      </c>
      <c r="E100" s="9" t="n">
        <v>1</v>
      </c>
      <c r="F100" s="11" t="s">
        <v>2785</v>
      </c>
      <c r="G100" s="9" t="s">
        <v>2502</v>
      </c>
      <c r="H100" s="9" t="s">
        <v>2543</v>
      </c>
      <c r="I100" s="9" t="s">
        <v>2506</v>
      </c>
      <c r="J100" s="10" t="n">
        <v>0.8</v>
      </c>
    </row>
    <row r="101" customFormat="false" ht="15" hidden="false" customHeight="false" outlineLevel="0" collapsed="false">
      <c r="A101" s="9" t="s">
        <v>2810</v>
      </c>
      <c r="B101" s="9" t="s">
        <v>2811</v>
      </c>
      <c r="C101" s="9" t="s">
        <v>2812</v>
      </c>
      <c r="D101" s="11" t="s">
        <v>747</v>
      </c>
      <c r="E101" s="9" t="n">
        <v>1</v>
      </c>
      <c r="F101" s="11" t="s">
        <v>2785</v>
      </c>
      <c r="G101" s="9" t="s">
        <v>2502</v>
      </c>
      <c r="H101" s="9" t="s">
        <v>2543</v>
      </c>
      <c r="I101" s="9" t="s">
        <v>2506</v>
      </c>
      <c r="J101" s="10" t="n">
        <v>0.7</v>
      </c>
    </row>
    <row r="102" customFormat="false" ht="15" hidden="false" customHeight="false" outlineLevel="0" collapsed="false">
      <c r="A102" s="9" t="s">
        <v>2813</v>
      </c>
      <c r="B102" s="9" t="s">
        <v>2814</v>
      </c>
      <c r="C102" s="9" t="s">
        <v>2815</v>
      </c>
      <c r="D102" s="11" t="s">
        <v>747</v>
      </c>
      <c r="E102" s="9" t="n">
        <v>1</v>
      </c>
      <c r="F102" s="11" t="s">
        <v>2785</v>
      </c>
      <c r="G102" s="9" t="s">
        <v>2502</v>
      </c>
      <c r="H102" s="9" t="s">
        <v>2543</v>
      </c>
      <c r="I102" s="9" t="s">
        <v>2506</v>
      </c>
      <c r="J102" s="10" t="n">
        <v>0.6</v>
      </c>
    </row>
    <row r="103" customFormat="false" ht="15" hidden="false" customHeight="false" outlineLevel="0" collapsed="false">
      <c r="A103" s="9" t="s">
        <v>2816</v>
      </c>
      <c r="B103" s="9" t="s">
        <v>2817</v>
      </c>
      <c r="C103" s="9" t="s">
        <v>2818</v>
      </c>
      <c r="D103" s="11" t="s">
        <v>747</v>
      </c>
      <c r="E103" s="9" t="n">
        <v>1</v>
      </c>
      <c r="F103" s="11" t="s">
        <v>2785</v>
      </c>
      <c r="G103" s="9" t="s">
        <v>2502</v>
      </c>
      <c r="H103" s="9" t="s">
        <v>2543</v>
      </c>
      <c r="I103" s="9" t="s">
        <v>2506</v>
      </c>
      <c r="J103" s="10" t="n">
        <v>0.9</v>
      </c>
    </row>
    <row r="104" customFormat="false" ht="15" hidden="false" customHeight="false" outlineLevel="0" collapsed="false">
      <c r="A104" s="9" t="s">
        <v>2819</v>
      </c>
      <c r="B104" s="9" t="s">
        <v>2820</v>
      </c>
      <c r="C104" s="9" t="s">
        <v>2821</v>
      </c>
      <c r="D104" s="11" t="s">
        <v>747</v>
      </c>
      <c r="E104" s="9" t="n">
        <v>1</v>
      </c>
      <c r="F104" s="11" t="s">
        <v>2785</v>
      </c>
      <c r="G104" s="9" t="s">
        <v>2502</v>
      </c>
      <c r="H104" s="9" t="s">
        <v>2543</v>
      </c>
      <c r="I104" s="9" t="s">
        <v>2506</v>
      </c>
      <c r="J104" s="10" t="n">
        <v>0.7</v>
      </c>
    </row>
    <row r="105" customFormat="false" ht="15" hidden="false" customHeight="false" outlineLevel="0" collapsed="false">
      <c r="A105" s="9" t="s">
        <v>2822</v>
      </c>
      <c r="B105" s="9" t="s">
        <v>2823</v>
      </c>
      <c r="C105" s="9" t="s">
        <v>2824</v>
      </c>
      <c r="D105" s="11" t="s">
        <v>747</v>
      </c>
      <c r="E105" s="9" t="n">
        <v>1</v>
      </c>
      <c r="F105" s="11" t="s">
        <v>2785</v>
      </c>
      <c r="G105" s="9" t="s">
        <v>2502</v>
      </c>
      <c r="H105" s="9" t="s">
        <v>2543</v>
      </c>
      <c r="I105" s="9" t="s">
        <v>2506</v>
      </c>
      <c r="J105" s="10" t="n">
        <v>0.5</v>
      </c>
    </row>
    <row r="106" customFormat="false" ht="15" hidden="false" customHeight="false" outlineLevel="0" collapsed="false">
      <c r="A106" s="9" t="s">
        <v>2825</v>
      </c>
      <c r="B106" s="9" t="s">
        <v>2826</v>
      </c>
      <c r="C106" s="9" t="s">
        <v>2827</v>
      </c>
      <c r="D106" s="11" t="s">
        <v>747</v>
      </c>
      <c r="E106" s="9" t="n">
        <v>1</v>
      </c>
      <c r="F106" s="11" t="s">
        <v>2785</v>
      </c>
      <c r="G106" s="9" t="s">
        <v>2502</v>
      </c>
      <c r="H106" s="9" t="s">
        <v>2543</v>
      </c>
      <c r="I106" s="9" t="s">
        <v>2506</v>
      </c>
      <c r="J106" s="10" t="n">
        <v>1</v>
      </c>
    </row>
    <row r="107" customFormat="false" ht="15" hidden="false" customHeight="false" outlineLevel="0" collapsed="false">
      <c r="A107" s="9" t="s">
        <v>2828</v>
      </c>
      <c r="B107" s="9" t="s">
        <v>2829</v>
      </c>
      <c r="C107" s="9" t="s">
        <v>2830</v>
      </c>
      <c r="D107" s="11" t="s">
        <v>747</v>
      </c>
      <c r="E107" s="9" t="n">
        <v>1</v>
      </c>
      <c r="F107" s="11" t="s">
        <v>2785</v>
      </c>
      <c r="G107" s="9" t="s">
        <v>2502</v>
      </c>
      <c r="H107" s="9" t="s">
        <v>2543</v>
      </c>
      <c r="I107" s="9" t="s">
        <v>2506</v>
      </c>
      <c r="J107" s="10" t="n">
        <v>0.9</v>
      </c>
    </row>
    <row r="108" customFormat="false" ht="15" hidden="false" customHeight="false" outlineLevel="0" collapsed="false">
      <c r="A108" s="9" t="s">
        <v>2831</v>
      </c>
      <c r="B108" s="9" t="s">
        <v>2832</v>
      </c>
      <c r="C108" s="9" t="s">
        <v>2833</v>
      </c>
      <c r="D108" s="11" t="s">
        <v>747</v>
      </c>
      <c r="E108" s="9" t="n">
        <v>1</v>
      </c>
      <c r="F108" s="11" t="s">
        <v>2785</v>
      </c>
      <c r="G108" s="9" t="s">
        <v>2502</v>
      </c>
      <c r="H108" s="9" t="s">
        <v>2543</v>
      </c>
      <c r="I108" s="9" t="s">
        <v>2506</v>
      </c>
      <c r="J108" s="10" t="n">
        <v>0.8</v>
      </c>
    </row>
    <row r="109" customFormat="false" ht="15" hidden="false" customHeight="false" outlineLevel="0" collapsed="false">
      <c r="A109" s="9" t="s">
        <v>2834</v>
      </c>
      <c r="B109" s="9" t="s">
        <v>2835</v>
      </c>
      <c r="C109" s="9" t="s">
        <v>2836</v>
      </c>
      <c r="D109" s="11" t="s">
        <v>747</v>
      </c>
      <c r="E109" s="9" t="n">
        <v>1</v>
      </c>
      <c r="F109" s="11" t="s">
        <v>2785</v>
      </c>
      <c r="G109" s="9" t="s">
        <v>2502</v>
      </c>
      <c r="H109" s="9" t="s">
        <v>2543</v>
      </c>
      <c r="I109" s="9" t="s">
        <v>2506</v>
      </c>
      <c r="J109" s="10" t="n">
        <v>1</v>
      </c>
    </row>
    <row r="110" customFormat="false" ht="15" hidden="false" customHeight="false" outlineLevel="0" collapsed="false">
      <c r="A110" s="9" t="s">
        <v>2837</v>
      </c>
      <c r="B110" s="9" t="s">
        <v>2838</v>
      </c>
      <c r="C110" s="9" t="s">
        <v>2839</v>
      </c>
      <c r="D110" s="9" t="s">
        <v>2840</v>
      </c>
      <c r="E110" s="9" t="n">
        <v>1</v>
      </c>
      <c r="F110" s="11" t="s">
        <v>2785</v>
      </c>
      <c r="G110" s="9" t="s">
        <v>2502</v>
      </c>
      <c r="H110" s="9" t="s">
        <v>2543</v>
      </c>
      <c r="I110" s="9" t="s">
        <v>2506</v>
      </c>
      <c r="J110" s="10" t="n">
        <v>1.2</v>
      </c>
    </row>
    <row r="111" customFormat="false" ht="15" hidden="false" customHeight="false" outlineLevel="0" collapsed="false">
      <c r="A111" s="9" t="s">
        <v>2841</v>
      </c>
      <c r="B111" s="9" t="s">
        <v>2842</v>
      </c>
      <c r="C111" s="9" t="s">
        <v>2843</v>
      </c>
      <c r="D111" s="9" t="s">
        <v>2840</v>
      </c>
      <c r="E111" s="9" t="n">
        <v>1</v>
      </c>
      <c r="F111" s="11" t="s">
        <v>2785</v>
      </c>
      <c r="G111" s="9" t="s">
        <v>2502</v>
      </c>
      <c r="H111" s="9" t="s">
        <v>2543</v>
      </c>
      <c r="I111" s="9" t="s">
        <v>2506</v>
      </c>
      <c r="J111" s="10" t="n">
        <v>1.1</v>
      </c>
    </row>
    <row r="112" customFormat="false" ht="15" hidden="false" customHeight="false" outlineLevel="0" collapsed="false">
      <c r="A112" s="9" t="s">
        <v>2844</v>
      </c>
      <c r="B112" s="9" t="s">
        <v>2845</v>
      </c>
      <c r="C112" s="9" t="s">
        <v>2846</v>
      </c>
      <c r="D112" s="9" t="s">
        <v>2840</v>
      </c>
      <c r="E112" s="9" t="n">
        <v>1</v>
      </c>
      <c r="F112" s="11" t="s">
        <v>2785</v>
      </c>
      <c r="G112" s="9" t="s">
        <v>2502</v>
      </c>
      <c r="H112" s="9" t="s">
        <v>2543</v>
      </c>
      <c r="I112" s="9" t="s">
        <v>2506</v>
      </c>
      <c r="J112" s="10" t="n">
        <v>1.3</v>
      </c>
    </row>
    <row r="113" customFormat="false" ht="15" hidden="false" customHeight="false" outlineLevel="0" collapsed="false">
      <c r="A113" s="9" t="s">
        <v>2847</v>
      </c>
      <c r="B113" s="9" t="s">
        <v>2848</v>
      </c>
      <c r="C113" s="11" t="s">
        <v>2849</v>
      </c>
      <c r="D113" s="9" t="s">
        <v>2614</v>
      </c>
      <c r="E113" s="9" t="n">
        <v>1</v>
      </c>
      <c r="F113" s="9" t="s">
        <v>2542</v>
      </c>
      <c r="G113" s="9" t="s">
        <v>2502</v>
      </c>
      <c r="H113" s="9" t="s">
        <v>2543</v>
      </c>
      <c r="I113" s="9" t="s">
        <v>2506</v>
      </c>
      <c r="J113" s="10" t="n">
        <v>0.41</v>
      </c>
    </row>
    <row r="114" customFormat="false" ht="15" hidden="false" customHeight="false" outlineLevel="0" collapsed="false">
      <c r="A114" s="9" t="s">
        <v>2850</v>
      </c>
      <c r="B114" s="9" t="s">
        <v>2851</v>
      </c>
      <c r="C114" s="11" t="s">
        <v>2849</v>
      </c>
      <c r="D114" s="9" t="s">
        <v>2614</v>
      </c>
      <c r="E114" s="9" t="n">
        <v>1</v>
      </c>
      <c r="F114" s="9" t="s">
        <v>2542</v>
      </c>
      <c r="G114" s="9" t="s">
        <v>2502</v>
      </c>
      <c r="H114" s="9" t="s">
        <v>2543</v>
      </c>
      <c r="I114" s="9" t="s">
        <v>2506</v>
      </c>
      <c r="J114" s="10" t="n">
        <v>0.3</v>
      </c>
    </row>
    <row r="115" customFormat="false" ht="15" hidden="false" customHeight="false" outlineLevel="0" collapsed="false">
      <c r="A115" s="9" t="s">
        <v>2852</v>
      </c>
      <c r="B115" s="9" t="s">
        <v>2853</v>
      </c>
      <c r="C115" s="11" t="s">
        <v>2849</v>
      </c>
      <c r="D115" s="9" t="s">
        <v>2614</v>
      </c>
      <c r="E115" s="9" t="n">
        <v>1</v>
      </c>
      <c r="F115" s="9" t="s">
        <v>2542</v>
      </c>
      <c r="G115" s="9" t="s">
        <v>2502</v>
      </c>
      <c r="H115" s="9" t="s">
        <v>2543</v>
      </c>
      <c r="I115" s="9" t="s">
        <v>2506</v>
      </c>
      <c r="J115" s="10" t="n">
        <v>0.65</v>
      </c>
    </row>
    <row r="116" customFormat="false" ht="15" hidden="false" customHeight="false" outlineLevel="0" collapsed="false">
      <c r="A116" s="9" t="s">
        <v>2854</v>
      </c>
      <c r="B116" s="9" t="s">
        <v>2855</v>
      </c>
      <c r="C116" s="9" t="s">
        <v>2856</v>
      </c>
      <c r="D116" s="9" t="s">
        <v>2857</v>
      </c>
      <c r="E116" s="9" t="n">
        <v>1</v>
      </c>
      <c r="F116" s="9" t="s">
        <v>2542</v>
      </c>
      <c r="G116" s="9" t="s">
        <v>2502</v>
      </c>
      <c r="H116" s="9" t="s">
        <v>2543</v>
      </c>
      <c r="I116" s="9" t="s">
        <v>2506</v>
      </c>
      <c r="J116" s="10" t="n">
        <v>257035462226.142</v>
      </c>
    </row>
    <row r="117" customFormat="false" ht="15" hidden="false" customHeight="false" outlineLevel="0" collapsed="false">
      <c r="A117" s="9" t="s">
        <v>2858</v>
      </c>
      <c r="B117" s="9" t="s">
        <v>2859</v>
      </c>
      <c r="C117" s="9" t="s">
        <v>2860</v>
      </c>
      <c r="D117" s="9" t="s">
        <v>2861</v>
      </c>
      <c r="E117" s="9" t="n">
        <v>3</v>
      </c>
      <c r="F117" s="9" t="s">
        <v>2542</v>
      </c>
      <c r="G117" s="9" t="s">
        <v>2502</v>
      </c>
      <c r="H117" s="9" t="s">
        <v>2543</v>
      </c>
      <c r="I117" s="9" t="s">
        <v>2506</v>
      </c>
      <c r="J117" s="10" t="n">
        <v>0.4</v>
      </c>
      <c r="K117" s="10" t="n">
        <v>0.45</v>
      </c>
      <c r="L117" s="10" t="n">
        <v>0.15</v>
      </c>
    </row>
    <row r="118" customFormat="false" ht="15" hidden="false" customHeight="false" outlineLevel="0" collapsed="false">
      <c r="A118" s="9" t="s">
        <v>2862</v>
      </c>
      <c r="B118" s="9" t="s">
        <v>2863</v>
      </c>
      <c r="C118" s="11" t="s">
        <v>2864</v>
      </c>
      <c r="D118" s="9" t="s">
        <v>2614</v>
      </c>
      <c r="E118" s="9" t="n">
        <v>1</v>
      </c>
      <c r="F118" s="9" t="s">
        <v>2542</v>
      </c>
      <c r="G118" s="9" t="s">
        <v>2502</v>
      </c>
      <c r="H118" s="9" t="s">
        <v>2543</v>
      </c>
      <c r="I118" s="9" t="s">
        <v>2506</v>
      </c>
      <c r="J118" s="10" t="n">
        <v>1.29879572787952</v>
      </c>
    </row>
    <row r="119" customFormat="false" ht="15" hidden="false" customHeight="false" outlineLevel="0" collapsed="false">
      <c r="A119" s="9" t="s">
        <v>2865</v>
      </c>
      <c r="B119" s="9" t="s">
        <v>2866</v>
      </c>
      <c r="C119" s="11" t="s">
        <v>2867</v>
      </c>
      <c r="D119" s="9" t="s">
        <v>2614</v>
      </c>
      <c r="E119" s="9" t="n">
        <v>1</v>
      </c>
      <c r="F119" s="9" t="s">
        <v>2542</v>
      </c>
      <c r="G119" s="9" t="s">
        <v>2502</v>
      </c>
      <c r="H119" s="9" t="s">
        <v>2543</v>
      </c>
      <c r="I119" s="9" t="s">
        <v>2506</v>
      </c>
      <c r="J119" s="10" t="n">
        <v>1</v>
      </c>
    </row>
    <row r="120" customFormat="false" ht="15" hidden="false" customHeight="false" outlineLevel="0" collapsed="false">
      <c r="A120" s="9" t="s">
        <v>2868</v>
      </c>
      <c r="B120" s="9" t="s">
        <v>2869</v>
      </c>
      <c r="C120" s="11" t="s">
        <v>2870</v>
      </c>
      <c r="D120" s="9" t="s">
        <v>2614</v>
      </c>
      <c r="E120" s="9" t="n">
        <v>1</v>
      </c>
      <c r="F120" s="9" t="s">
        <v>2542</v>
      </c>
      <c r="G120" s="9" t="s">
        <v>2502</v>
      </c>
      <c r="H120" s="9" t="s">
        <v>2543</v>
      </c>
      <c r="I120" s="9" t="s">
        <v>2506</v>
      </c>
      <c r="J120" s="10" t="n">
        <v>2.34458077545782</v>
      </c>
    </row>
    <row r="121" customFormat="false" ht="15" hidden="false" customHeight="false" outlineLevel="0" collapsed="false">
      <c r="A121" s="9" t="s">
        <v>2871</v>
      </c>
      <c r="B121" s="9" t="s">
        <v>2872</v>
      </c>
      <c r="C121" s="11" t="s">
        <v>2873</v>
      </c>
      <c r="D121" s="9" t="s">
        <v>2614</v>
      </c>
      <c r="E121" s="9" t="n">
        <v>1</v>
      </c>
      <c r="F121" s="9" t="s">
        <v>2542</v>
      </c>
      <c r="G121" s="9" t="s">
        <v>2502</v>
      </c>
      <c r="H121" s="9" t="s">
        <v>2543</v>
      </c>
      <c r="I121" s="9" t="s">
        <v>2506</v>
      </c>
      <c r="J121" s="10" t="n">
        <v>1.8</v>
      </c>
    </row>
    <row r="122" customFormat="false" ht="15" hidden="false" customHeight="false" outlineLevel="0" collapsed="false">
      <c r="A122" s="9" t="s">
        <v>2874</v>
      </c>
      <c r="B122" s="9" t="s">
        <v>2875</v>
      </c>
      <c r="C122" s="11" t="s">
        <v>2876</v>
      </c>
      <c r="D122" s="9" t="s">
        <v>2614</v>
      </c>
      <c r="E122" s="9" t="n">
        <v>1</v>
      </c>
      <c r="F122" s="9" t="s">
        <v>2542</v>
      </c>
      <c r="G122" s="9" t="s">
        <v>2502</v>
      </c>
      <c r="H122" s="9" t="s">
        <v>2543</v>
      </c>
      <c r="I122" s="9" t="s">
        <v>2506</v>
      </c>
      <c r="J122" s="10" t="n">
        <v>0.85</v>
      </c>
    </row>
    <row r="123" customFormat="false" ht="15" hidden="false" customHeight="false" outlineLevel="0" collapsed="false">
      <c r="A123" s="9" t="s">
        <v>2877</v>
      </c>
      <c r="B123" s="9" t="s">
        <v>2878</v>
      </c>
      <c r="C123" s="11" t="s">
        <v>2879</v>
      </c>
      <c r="D123" s="9" t="s">
        <v>2614</v>
      </c>
      <c r="E123" s="9" t="n">
        <v>1</v>
      </c>
      <c r="F123" s="9" t="s">
        <v>2542</v>
      </c>
      <c r="G123" s="9" t="s">
        <v>2502</v>
      </c>
      <c r="H123" s="9" t="s">
        <v>2543</v>
      </c>
      <c r="I123" s="9" t="s">
        <v>2506</v>
      </c>
      <c r="J123" s="10" t="n">
        <v>2.3</v>
      </c>
    </row>
    <row r="124" customFormat="false" ht="15" hidden="false" customHeight="false" outlineLevel="0" collapsed="false">
      <c r="A124" s="9" t="s">
        <v>2880</v>
      </c>
      <c r="B124" s="9" t="s">
        <v>2881</v>
      </c>
      <c r="C124" s="11" t="s">
        <v>2882</v>
      </c>
      <c r="D124" s="9" t="s">
        <v>2614</v>
      </c>
      <c r="E124" s="9" t="n">
        <v>1</v>
      </c>
      <c r="F124" s="9" t="s">
        <v>2542</v>
      </c>
      <c r="G124" s="9" t="s">
        <v>2502</v>
      </c>
      <c r="H124" s="9" t="s">
        <v>2543</v>
      </c>
      <c r="I124" s="9" t="s">
        <v>2506</v>
      </c>
      <c r="J124" s="10" t="n">
        <v>1</v>
      </c>
    </row>
    <row r="125" customFormat="false" ht="15" hidden="false" customHeight="false" outlineLevel="0" collapsed="false">
      <c r="A125" s="9" t="s">
        <v>2883</v>
      </c>
      <c r="B125" s="9" t="s">
        <v>2884</v>
      </c>
      <c r="C125" s="11" t="s">
        <v>2885</v>
      </c>
      <c r="D125" s="9" t="s">
        <v>2614</v>
      </c>
      <c r="E125" s="9" t="n">
        <v>1</v>
      </c>
      <c r="F125" s="9" t="s">
        <v>2542</v>
      </c>
      <c r="G125" s="9" t="s">
        <v>2502</v>
      </c>
      <c r="H125" s="9" t="s">
        <v>2543</v>
      </c>
      <c r="I125" s="9" t="s">
        <v>2506</v>
      </c>
      <c r="J125" s="10" t="n">
        <v>0.833333333333333</v>
      </c>
    </row>
    <row r="126" customFormat="false" ht="15" hidden="false" customHeight="false" outlineLevel="0" collapsed="false">
      <c r="A126" s="9" t="s">
        <v>2886</v>
      </c>
      <c r="B126" s="9" t="s">
        <v>2887</v>
      </c>
      <c r="C126" s="11" t="s">
        <v>2888</v>
      </c>
      <c r="D126" s="9" t="s">
        <v>2614</v>
      </c>
      <c r="E126" s="9" t="n">
        <v>1</v>
      </c>
      <c r="F126" s="9" t="s">
        <v>2542</v>
      </c>
      <c r="G126" s="9" t="s">
        <v>2502</v>
      </c>
      <c r="H126" s="9" t="s">
        <v>2543</v>
      </c>
      <c r="I126" s="9" t="s">
        <v>2506</v>
      </c>
      <c r="J126" s="10" t="n">
        <v>1.53846153846154</v>
      </c>
    </row>
    <row r="127" customFormat="false" ht="15" hidden="false" customHeight="false" outlineLevel="0" collapsed="false">
      <c r="A127" s="9" t="s">
        <v>2889</v>
      </c>
      <c r="B127" s="9" t="s">
        <v>2890</v>
      </c>
      <c r="C127" s="11" t="s">
        <v>2891</v>
      </c>
      <c r="D127" s="9" t="s">
        <v>2614</v>
      </c>
      <c r="E127" s="9" t="n">
        <v>1</v>
      </c>
      <c r="F127" s="9" t="s">
        <v>2542</v>
      </c>
      <c r="G127" s="9" t="s">
        <v>2502</v>
      </c>
      <c r="H127" s="9" t="s">
        <v>2543</v>
      </c>
      <c r="I127" s="9" t="s">
        <v>2506</v>
      </c>
      <c r="J127" s="10" t="n">
        <v>1.72166427546628</v>
      </c>
    </row>
    <row r="128" customFormat="false" ht="15" hidden="false" customHeight="false" outlineLevel="0" collapsed="false">
      <c r="A128" s="9" t="s">
        <v>2892</v>
      </c>
      <c r="B128" s="9" t="s">
        <v>2893</v>
      </c>
      <c r="C128" s="11" t="s">
        <v>2894</v>
      </c>
      <c r="D128" s="9" t="s">
        <v>2614</v>
      </c>
      <c r="E128" s="9" t="n">
        <v>1</v>
      </c>
      <c r="F128" s="9" t="s">
        <v>2542</v>
      </c>
      <c r="G128" s="9" t="s">
        <v>2502</v>
      </c>
      <c r="H128" s="9" t="s">
        <v>2543</v>
      </c>
      <c r="I128" s="9" t="s">
        <v>2506</v>
      </c>
      <c r="J128" s="10" t="n">
        <v>1.08597285067873</v>
      </c>
    </row>
    <row r="129" customFormat="false" ht="15" hidden="false" customHeight="false" outlineLevel="0" collapsed="false">
      <c r="A129" s="9" t="s">
        <v>2895</v>
      </c>
      <c r="B129" s="9" t="s">
        <v>2896</v>
      </c>
      <c r="C129" s="11" t="s">
        <v>2897</v>
      </c>
      <c r="D129" s="9" t="s">
        <v>2614</v>
      </c>
      <c r="E129" s="9" t="n">
        <v>1</v>
      </c>
      <c r="F129" s="9" t="s">
        <v>2542</v>
      </c>
      <c r="G129" s="9" t="s">
        <v>2502</v>
      </c>
      <c r="H129" s="9" t="s">
        <v>2543</v>
      </c>
      <c r="I129" s="9" t="s">
        <v>2506</v>
      </c>
      <c r="J129" s="10" t="n">
        <v>2.35294117647059</v>
      </c>
    </row>
    <row r="130" customFormat="false" ht="15" hidden="false" customHeight="false" outlineLevel="0" collapsed="false">
      <c r="A130" s="9" t="s">
        <v>2898</v>
      </c>
      <c r="B130" s="9" t="s">
        <v>2899</v>
      </c>
      <c r="C130" s="11" t="s">
        <v>2900</v>
      </c>
      <c r="D130" s="9" t="s">
        <v>2614</v>
      </c>
      <c r="E130" s="9" t="n">
        <v>1</v>
      </c>
      <c r="F130" s="9" t="s">
        <v>2542</v>
      </c>
      <c r="G130" s="9" t="s">
        <v>2502</v>
      </c>
      <c r="H130" s="9" t="s">
        <v>2543</v>
      </c>
      <c r="I130" s="9" t="s">
        <v>2506</v>
      </c>
      <c r="J130" s="10" t="n">
        <v>4.02496237047311</v>
      </c>
    </row>
    <row r="131" customFormat="false" ht="15" hidden="false" customHeight="false" outlineLevel="0" collapsed="false">
      <c r="A131" s="9" t="s">
        <v>2901</v>
      </c>
      <c r="B131" s="9" t="s">
        <v>2902</v>
      </c>
      <c r="C131" s="11" t="s">
        <v>2903</v>
      </c>
      <c r="D131" s="9" t="s">
        <v>2614</v>
      </c>
      <c r="E131" s="9" t="n">
        <v>1</v>
      </c>
      <c r="F131" s="9" t="s">
        <v>2542</v>
      </c>
      <c r="G131" s="9" t="s">
        <v>2502</v>
      </c>
      <c r="H131" s="9" t="s">
        <v>2543</v>
      </c>
      <c r="I131" s="9" t="s">
        <v>2506</v>
      </c>
      <c r="J131" s="10" t="n">
        <v>0.769230769230769</v>
      </c>
    </row>
    <row r="132" customFormat="false" ht="15" hidden="false" customHeight="false" outlineLevel="0" collapsed="false">
      <c r="A132" s="9" t="s">
        <v>2904</v>
      </c>
      <c r="B132" s="9" t="s">
        <v>2905</v>
      </c>
      <c r="C132" s="11" t="s">
        <v>2906</v>
      </c>
      <c r="D132" s="9" t="s">
        <v>2614</v>
      </c>
      <c r="E132" s="9" t="n">
        <v>1</v>
      </c>
      <c r="F132" s="9" t="s">
        <v>2542</v>
      </c>
      <c r="G132" s="9" t="s">
        <v>2502</v>
      </c>
      <c r="H132" s="9" t="s">
        <v>2543</v>
      </c>
      <c r="I132" s="9" t="s">
        <v>2506</v>
      </c>
      <c r="J132" s="10" t="n">
        <v>19.5204915241737</v>
      </c>
    </row>
    <row r="133" customFormat="false" ht="15" hidden="false" customHeight="false" outlineLevel="0" collapsed="false">
      <c r="A133" s="9" t="s">
        <v>2907</v>
      </c>
      <c r="B133" s="9" t="s">
        <v>2908</v>
      </c>
      <c r="C133" s="11" t="s">
        <v>2909</v>
      </c>
      <c r="D133" s="9" t="s">
        <v>2614</v>
      </c>
      <c r="E133" s="9" t="n">
        <v>1</v>
      </c>
      <c r="F133" s="9" t="s">
        <v>2542</v>
      </c>
      <c r="G133" s="9" t="s">
        <v>2502</v>
      </c>
      <c r="H133" s="9" t="s">
        <v>2543</v>
      </c>
      <c r="I133" s="9" t="s">
        <v>2506</v>
      </c>
      <c r="J133" s="10" t="n">
        <v>2.65196815080688</v>
      </c>
    </row>
    <row r="134" customFormat="false" ht="15" hidden="false" customHeight="false" outlineLevel="0" collapsed="false">
      <c r="A134" s="9" t="s">
        <v>2910</v>
      </c>
      <c r="B134" s="9" t="s">
        <v>2911</v>
      </c>
      <c r="C134" s="11" t="s">
        <v>2912</v>
      </c>
      <c r="D134" s="9" t="s">
        <v>2614</v>
      </c>
      <c r="E134" s="9" t="n">
        <v>1</v>
      </c>
      <c r="F134" s="9" t="s">
        <v>2542</v>
      </c>
      <c r="G134" s="9" t="s">
        <v>2502</v>
      </c>
      <c r="H134" s="9" t="s">
        <v>2543</v>
      </c>
      <c r="I134" s="9" t="s">
        <v>2506</v>
      </c>
      <c r="J134" s="10" t="n">
        <v>0.546813690704065</v>
      </c>
    </row>
    <row r="135" customFormat="false" ht="15" hidden="false" customHeight="false" outlineLevel="0" collapsed="false">
      <c r="A135" s="9" t="s">
        <v>2913</v>
      </c>
      <c r="B135" s="9" t="s">
        <v>2914</v>
      </c>
      <c r="C135" s="11" t="s">
        <v>2915</v>
      </c>
      <c r="D135" s="9" t="s">
        <v>2614</v>
      </c>
      <c r="E135" s="9" t="n">
        <v>1</v>
      </c>
      <c r="F135" s="9" t="s">
        <v>2542</v>
      </c>
      <c r="G135" s="9" t="s">
        <v>2502</v>
      </c>
      <c r="H135" s="9" t="s">
        <v>2543</v>
      </c>
      <c r="I135" s="9" t="s">
        <v>2506</v>
      </c>
      <c r="J135" s="10" t="n">
        <v>13.8762936190981</v>
      </c>
    </row>
    <row r="136" customFormat="false" ht="15" hidden="false" customHeight="false" outlineLevel="0" collapsed="false">
      <c r="A136" s="9" t="s">
        <v>2916</v>
      </c>
      <c r="B136" s="9" t="s">
        <v>2917</v>
      </c>
      <c r="C136" s="11" t="s">
        <v>2918</v>
      </c>
      <c r="D136" s="9" t="s">
        <v>2614</v>
      </c>
      <c r="E136" s="9" t="n">
        <v>1</v>
      </c>
      <c r="F136" s="9" t="s">
        <v>2542</v>
      </c>
      <c r="G136" s="9" t="s">
        <v>2502</v>
      </c>
      <c r="H136" s="9" t="s">
        <v>2543</v>
      </c>
      <c r="I136" s="9" t="s">
        <v>2506</v>
      </c>
      <c r="J136" s="10" t="n">
        <v>0.85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1" t="s">
        <v>2919</v>
      </c>
    </row>
    <row r="2" customFormat="false" ht="15" hidden="false" customHeight="false" outlineLevel="0" collapsed="false">
      <c r="A2" s="2" t="s">
        <v>2920</v>
      </c>
    </row>
    <row r="3" customFormat="false" ht="15" hidden="false" customHeight="false" outlineLevel="0" collapsed="false">
      <c r="A3" s="12" t="s">
        <v>2921</v>
      </c>
    </row>
    <row r="4" customFormat="false" ht="15" hidden="false" customHeight="false" outlineLevel="0" collapsed="false">
      <c r="A4" s="5" t="s">
        <v>2922</v>
      </c>
      <c r="B4" s="9" t="s">
        <v>2923</v>
      </c>
    </row>
    <row r="5" customFormat="false" ht="15" hidden="false" customHeight="false" outlineLevel="0" collapsed="false">
      <c r="A5" s="3" t="s">
        <v>2924</v>
      </c>
      <c r="B5" s="9" t="s">
        <v>2925</v>
      </c>
    </row>
    <row r="6" customFormat="false" ht="15" hidden="false" customHeight="false" outlineLevel="0" collapsed="false">
      <c r="A6" s="5" t="s">
        <v>2926</v>
      </c>
      <c r="B6" s="9" t="s">
        <v>2927</v>
      </c>
    </row>
    <row r="7" customFormat="false" ht="15" hidden="false" customHeight="false" outlineLevel="0" collapsed="false">
      <c r="A7" s="3" t="s">
        <v>2505</v>
      </c>
      <c r="B7" s="9" t="s">
        <v>2506</v>
      </c>
    </row>
    <row r="9" customFormat="false" ht="26.85" hidden="false" customHeight="false" outlineLevel="0" collapsed="false">
      <c r="A9" s="7" t="s">
        <v>2928</v>
      </c>
      <c r="B9" s="8" t="s">
        <v>2518</v>
      </c>
      <c r="C9" s="8" t="s">
        <v>2519</v>
      </c>
      <c r="D9" s="7" t="s">
        <v>77</v>
      </c>
      <c r="E9" s="7" t="s">
        <v>306</v>
      </c>
      <c r="F9" s="7" t="s">
        <v>2929</v>
      </c>
      <c r="G9" s="7" t="s">
        <v>1660</v>
      </c>
      <c r="H9" s="7" t="s">
        <v>2930</v>
      </c>
      <c r="I9" s="7" t="s">
        <v>2931</v>
      </c>
      <c r="J9" s="8" t="s">
        <v>52</v>
      </c>
      <c r="K9" s="7" t="s">
        <v>2932</v>
      </c>
    </row>
    <row r="10" customFormat="false" ht="15" hidden="false" customHeight="false" outlineLevel="0" collapsed="false">
      <c r="A10" s="9" t="s">
        <v>2933</v>
      </c>
      <c r="B10" s="9" t="s">
        <v>2934</v>
      </c>
      <c r="C10" s="11" t="s">
        <v>2935</v>
      </c>
      <c r="D10" s="10" t="n">
        <v>13.07</v>
      </c>
      <c r="E10" s="10" t="n">
        <v>34.2037814299461</v>
      </c>
      <c r="F10" s="10" t="n">
        <v>54.7956532383272</v>
      </c>
      <c r="G10" s="10" t="n">
        <v>78.4240890026059</v>
      </c>
      <c r="H10" s="10" t="n">
        <v>102.127374380687</v>
      </c>
      <c r="I10" s="10" t="n">
        <v>126.38309270298</v>
      </c>
      <c r="J10" s="9" t="s">
        <v>482</v>
      </c>
      <c r="K10" s="12" t="s">
        <v>2936</v>
      </c>
    </row>
    <row r="11" customFormat="false" ht="15" hidden="false" customHeight="false" outlineLevel="0" collapsed="false">
      <c r="A11" s="9" t="s">
        <v>2937</v>
      </c>
      <c r="B11" s="9" t="s">
        <v>2938</v>
      </c>
      <c r="C11" s="11" t="s">
        <v>2939</v>
      </c>
      <c r="D11" s="10" t="n">
        <v>10.456</v>
      </c>
      <c r="E11" s="10" t="n">
        <v>27.3630251439569</v>
      </c>
      <c r="F11" s="10" t="n">
        <v>43.8365225906617</v>
      </c>
      <c r="G11" s="10" t="n">
        <v>62.7392712020847</v>
      </c>
      <c r="H11" s="10" t="n">
        <v>97.6120791148627</v>
      </c>
      <c r="I11" s="10" t="n">
        <v>126.38309270298</v>
      </c>
      <c r="J11" s="9" t="s">
        <v>482</v>
      </c>
      <c r="K11" s="12" t="s">
        <v>2940</v>
      </c>
    </row>
    <row r="12" customFormat="false" ht="15" hidden="false" customHeight="false" outlineLevel="0" collapsed="false">
      <c r="A12" s="9" t="s">
        <v>2941</v>
      </c>
      <c r="B12" s="9" t="s">
        <v>2942</v>
      </c>
      <c r="C12" s="11" t="s">
        <v>2943</v>
      </c>
      <c r="D12" s="10" t="n">
        <v>10.456</v>
      </c>
      <c r="E12" s="10" t="n">
        <v>27.3630251439569</v>
      </c>
      <c r="F12" s="10" t="n">
        <v>43.8365225906617</v>
      </c>
      <c r="G12" s="10" t="n">
        <v>62.7392712020847</v>
      </c>
      <c r="H12" s="10" t="n">
        <v>97.6120791148627</v>
      </c>
      <c r="I12" s="10" t="n">
        <v>126.38309270298</v>
      </c>
      <c r="J12" s="9" t="s">
        <v>482</v>
      </c>
      <c r="K12" s="12" t="s">
        <v>2944</v>
      </c>
    </row>
    <row r="13" customFormat="false" ht="15" hidden="false" customHeight="false" outlineLevel="0" collapsed="false">
      <c r="A13" s="9" t="s">
        <v>2945</v>
      </c>
      <c r="B13" s="9" t="s">
        <v>2946</v>
      </c>
      <c r="C13" s="11" t="s">
        <v>2947</v>
      </c>
      <c r="D13" s="10" t="n">
        <v>8.92141935483871</v>
      </c>
      <c r="E13" s="10" t="n">
        <v>16.9365290322581</v>
      </c>
      <c r="F13" s="10" t="n">
        <v>25.3829520336606</v>
      </c>
      <c r="G13" s="10" t="n">
        <v>33.851418513324</v>
      </c>
      <c r="H13" s="10" t="n">
        <v>40.6852316970547</v>
      </c>
      <c r="I13" s="10" t="n">
        <v>46.5651399719495</v>
      </c>
      <c r="J13" s="9" t="s">
        <v>482</v>
      </c>
      <c r="K13" s="12" t="s">
        <v>2948</v>
      </c>
    </row>
    <row r="14" customFormat="false" ht="15" hidden="false" customHeight="false" outlineLevel="0" collapsed="false">
      <c r="A14" s="9" t="s">
        <v>2949</v>
      </c>
      <c r="B14" s="9" t="s">
        <v>2950</v>
      </c>
      <c r="C14" s="9" t="s">
        <v>2951</v>
      </c>
      <c r="D14" s="10" t="n">
        <v>4.14858064516129</v>
      </c>
      <c r="E14" s="10" t="n">
        <v>16.5243023976881</v>
      </c>
      <c r="F14" s="10" t="n">
        <v>27.5542742481448</v>
      </c>
      <c r="G14" s="10" t="n">
        <v>41.662062663195</v>
      </c>
      <c r="H14" s="10" t="n">
        <v>57.2853361618931</v>
      </c>
      <c r="I14" s="10" t="n">
        <v>74.2417956658134</v>
      </c>
      <c r="J14" s="9" t="s">
        <v>482</v>
      </c>
      <c r="K14" s="12" t="s">
        <v>2952</v>
      </c>
    </row>
    <row r="15" customFormat="false" ht="15" hidden="false" customHeight="false" outlineLevel="0" collapsed="false">
      <c r="A15" s="9" t="s">
        <v>2953</v>
      </c>
      <c r="B15" s="9" t="s">
        <v>2954</v>
      </c>
      <c r="C15" s="9" t="s">
        <v>2955</v>
      </c>
      <c r="D15" s="10" t="n">
        <v>3538.06010994171</v>
      </c>
      <c r="E15" s="10" t="n">
        <v>10018.6243193776</v>
      </c>
      <c r="F15" s="10" t="n">
        <v>22447.299009042</v>
      </c>
      <c r="G15" s="10" t="n">
        <v>47137.5517848678</v>
      </c>
      <c r="H15" s="10" t="n">
        <v>92412.3198790402</v>
      </c>
      <c r="I15" s="10" t="n">
        <v>173673.865896334</v>
      </c>
      <c r="J15" s="9" t="s">
        <v>2956</v>
      </c>
      <c r="K15" s="12" t="s">
        <v>2957</v>
      </c>
    </row>
    <row r="16" customFormat="false" ht="15" hidden="false" customHeight="false" outlineLevel="0" collapsed="false">
      <c r="A16" s="9" t="s">
        <v>2958</v>
      </c>
      <c r="B16" s="9" t="s">
        <v>2959</v>
      </c>
      <c r="C16" s="11" t="s">
        <v>2960</v>
      </c>
      <c r="D16" s="10" t="n">
        <v>1.22960317460317</v>
      </c>
      <c r="E16" s="10" t="n">
        <v>2.83420634920635</v>
      </c>
      <c r="F16" s="10" t="n">
        <v>9.33676916879132</v>
      </c>
      <c r="G16" s="10" t="n">
        <v>11.5383118108672</v>
      </c>
      <c r="H16" s="10" t="n">
        <v>14.0383241866794</v>
      </c>
      <c r="I16" s="10" t="n">
        <v>16.0901396295613</v>
      </c>
      <c r="J16" s="9" t="s">
        <v>1106</v>
      </c>
      <c r="K16" s="12" t="s">
        <v>2961</v>
      </c>
    </row>
    <row r="17" customFormat="false" ht="15" hidden="false" customHeight="false" outlineLevel="0" collapsed="false">
      <c r="A17" s="9" t="s">
        <v>2962</v>
      </c>
      <c r="B17" s="9" t="s">
        <v>2963</v>
      </c>
      <c r="C17" s="11" t="s">
        <v>2964</v>
      </c>
      <c r="D17" s="10" t="n">
        <v>0.282644620596551</v>
      </c>
      <c r="E17" s="10" t="n">
        <v>1.15652519056375</v>
      </c>
      <c r="F17" s="10" t="n">
        <v>5.75203207098036</v>
      </c>
      <c r="G17" s="10" t="n">
        <v>8.94117740372192</v>
      </c>
      <c r="H17" s="10" t="n">
        <v>12.1464088498934</v>
      </c>
      <c r="I17" s="10" t="n">
        <v>14.9447258544384</v>
      </c>
      <c r="J17" s="9" t="s">
        <v>1106</v>
      </c>
      <c r="K17" s="12" t="s">
        <v>2965</v>
      </c>
    </row>
    <row r="18" customFormat="false" ht="15" hidden="false" customHeight="false" outlineLevel="0" collapsed="false">
      <c r="A18" s="9" t="s">
        <v>2966</v>
      </c>
      <c r="B18" s="9" t="s">
        <v>2967</v>
      </c>
      <c r="C18" s="11" t="s">
        <v>2968</v>
      </c>
      <c r="D18" s="10" t="n">
        <v>14.7552380952381</v>
      </c>
      <c r="E18" s="10" t="n">
        <v>53.2406349206349</v>
      </c>
      <c r="F18" s="10" t="n">
        <v>141.726031746032</v>
      </c>
      <c r="G18" s="10" t="n">
        <v>175.211428571429</v>
      </c>
      <c r="H18" s="10" t="n">
        <v>208.696825396825</v>
      </c>
      <c r="I18" s="10" t="n">
        <v>228.222222222222</v>
      </c>
      <c r="J18" s="9" t="s">
        <v>482</v>
      </c>
      <c r="K18" s="12" t="s">
        <v>2969</v>
      </c>
    </row>
    <row r="19" customFormat="false" ht="15" hidden="false" customHeight="false" outlineLevel="0" collapsed="false">
      <c r="A19" s="9" t="s">
        <v>2970</v>
      </c>
      <c r="B19" s="9" t="s">
        <v>2971</v>
      </c>
      <c r="C19" s="11" t="s">
        <v>2972</v>
      </c>
      <c r="D19" s="10" t="n">
        <v>29.2352380952381</v>
      </c>
      <c r="E19" s="10" t="n">
        <v>76.0789549206349</v>
      </c>
      <c r="F19" s="10" t="n">
        <v>171.943842226032</v>
      </c>
      <c r="G19" s="10" t="n">
        <v>212.125402324709</v>
      </c>
      <c r="H19" s="10" t="n">
        <v>251.920901307586</v>
      </c>
      <c r="I19" s="10" t="n">
        <v>276.644521629114</v>
      </c>
      <c r="J19" s="9" t="s">
        <v>482</v>
      </c>
      <c r="K19" s="12" t="s">
        <v>2973</v>
      </c>
    </row>
    <row r="20" customFormat="false" ht="15" hidden="false" customHeight="false" outlineLevel="0" collapsed="false">
      <c r="A20" s="9" t="s">
        <v>2974</v>
      </c>
      <c r="B20" s="9" t="s">
        <v>2975</v>
      </c>
      <c r="C20" s="11" t="s">
        <v>2976</v>
      </c>
      <c r="D20" s="10" t="n">
        <v>36.9934512743654</v>
      </c>
      <c r="E20" s="10" t="n">
        <v>23.6596879749924</v>
      </c>
      <c r="F20" s="10" t="n">
        <v>7.62104975245563</v>
      </c>
      <c r="G20" s="10" t="n">
        <v>7.01689144160907</v>
      </c>
      <c r="H20" s="10" t="n">
        <v>8.03629124633981</v>
      </c>
      <c r="I20" s="10" t="n">
        <v>8.45670197860781</v>
      </c>
      <c r="J20" s="9" t="s">
        <v>2742</v>
      </c>
      <c r="K20" s="12" t="s">
        <v>2977</v>
      </c>
    </row>
    <row r="21" customFormat="false" ht="15" hidden="false" customHeight="false" outlineLevel="0" collapsed="false">
      <c r="A21" s="9" t="s">
        <v>2978</v>
      </c>
      <c r="B21" s="9" t="s">
        <v>2979</v>
      </c>
      <c r="C21" s="11" t="s">
        <v>2980</v>
      </c>
      <c r="D21" s="10" t="n">
        <v>103.434617059168</v>
      </c>
      <c r="E21" s="10" t="n">
        <v>65.7823586908213</v>
      </c>
      <c r="F21" s="10" t="n">
        <v>29.8927127151303</v>
      </c>
      <c r="G21" s="10" t="n">
        <v>23.7245490998096</v>
      </c>
      <c r="H21" s="10" t="n">
        <v>20.7403607453734</v>
      </c>
      <c r="I21" s="10" t="n">
        <v>18.5111807552464</v>
      </c>
      <c r="J21" s="9" t="s">
        <v>2742</v>
      </c>
      <c r="K21" s="12" t="s">
        <v>2981</v>
      </c>
    </row>
    <row r="22" customFormat="false" ht="15" hidden="false" customHeight="false" outlineLevel="0" collapsed="false">
      <c r="A22" s="9" t="s">
        <v>2982</v>
      </c>
      <c r="B22" s="9" t="s">
        <v>2983</v>
      </c>
      <c r="C22" s="11" t="s">
        <v>2984</v>
      </c>
      <c r="D22" s="10" t="n">
        <v>-66.4411657848026</v>
      </c>
      <c r="E22" s="10" t="n">
        <v>-42.1226707158289</v>
      </c>
      <c r="F22" s="10" t="n">
        <v>-22.2716629626746</v>
      </c>
      <c r="G22" s="10" t="n">
        <v>-16.7076576582005</v>
      </c>
      <c r="H22" s="10" t="n">
        <v>-12.7040694990336</v>
      </c>
      <c r="I22" s="10" t="n">
        <v>-10.0544787766386</v>
      </c>
      <c r="J22" s="9" t="s">
        <v>2742</v>
      </c>
      <c r="K22" s="12" t="s">
        <v>2985</v>
      </c>
    </row>
    <row r="23" customFormat="false" ht="15" hidden="false" customHeight="false" outlineLevel="0" collapsed="false">
      <c r="A23" s="9" t="s">
        <v>2986</v>
      </c>
      <c r="B23" s="9" t="s">
        <v>2987</v>
      </c>
      <c r="C23" s="11" t="s">
        <v>2988</v>
      </c>
      <c r="D23" s="10" t="n">
        <v>0.357650584747695</v>
      </c>
      <c r="E23" s="10" t="n">
        <v>0.359666154359005</v>
      </c>
      <c r="F23" s="10" t="n">
        <v>0.254946743210703</v>
      </c>
      <c r="G23" s="10" t="n">
        <v>0.295765007465006</v>
      </c>
      <c r="H23" s="10" t="n">
        <v>0.387471141172531</v>
      </c>
      <c r="I23" s="10" t="n">
        <v>0.456842925927943</v>
      </c>
      <c r="J23" s="11" t="s">
        <v>747</v>
      </c>
      <c r="K23" s="12" t="s">
        <v>2989</v>
      </c>
    </row>
    <row r="24" customFormat="false" ht="15" hidden="false" customHeight="false" outlineLevel="0" collapsed="false">
      <c r="A24" s="9" t="s">
        <v>2990</v>
      </c>
      <c r="B24" s="9" t="s">
        <v>2991</v>
      </c>
      <c r="C24" s="11" t="s">
        <v>2992</v>
      </c>
      <c r="D24" s="10"/>
      <c r="E24" s="10" t="n">
        <v>0</v>
      </c>
      <c r="F24" s="10" t="n">
        <v>38.4332494120481</v>
      </c>
      <c r="G24" s="10" t="n">
        <v>134.878131122624</v>
      </c>
      <c r="H24" s="10" t="n">
        <v>137.624622192723</v>
      </c>
      <c r="I24" s="10" t="n">
        <v>131.908808926133</v>
      </c>
      <c r="J24" s="9" t="s">
        <v>482</v>
      </c>
      <c r="K24" s="12" t="s">
        <v>2993</v>
      </c>
    </row>
    <row r="25" customFormat="false" ht="15" hidden="false" customHeight="false" outlineLevel="0" collapsed="false">
      <c r="A25" s="9" t="s">
        <v>2994</v>
      </c>
      <c r="B25" s="9" t="s">
        <v>2995</v>
      </c>
      <c r="C25" s="11" t="s">
        <v>2996</v>
      </c>
      <c r="D25" s="10"/>
      <c r="E25" s="10" t="n">
        <v>0</v>
      </c>
      <c r="F25" s="10" t="n">
        <v>38.4332494120481</v>
      </c>
      <c r="G25" s="10" t="n">
        <v>173.311380534672</v>
      </c>
      <c r="H25" s="10" t="n">
        <v>310.936002727395</v>
      </c>
      <c r="I25" s="10" t="n">
        <v>442.844811653528</v>
      </c>
      <c r="J25" s="9" t="s">
        <v>482</v>
      </c>
      <c r="K25" s="12" t="s">
        <v>2997</v>
      </c>
    </row>
    <row r="26" customFormat="false" ht="15" hidden="false" customHeight="false" outlineLevel="0" collapsed="false">
      <c r="A26" s="9" t="s">
        <v>2998</v>
      </c>
      <c r="B26" s="9" t="s">
        <v>2999</v>
      </c>
      <c r="C26" s="11" t="s">
        <v>3000</v>
      </c>
      <c r="D26" s="10" t="n">
        <v>40</v>
      </c>
      <c r="E26" s="10" t="n">
        <v>87.584070223322</v>
      </c>
      <c r="F26" s="10" t="n">
        <v>10</v>
      </c>
      <c r="G26" s="10" t="n">
        <v>10</v>
      </c>
      <c r="H26" s="10" t="n">
        <v>10</v>
      </c>
      <c r="I26" s="10" t="n">
        <v>10</v>
      </c>
      <c r="J26" s="9" t="s">
        <v>482</v>
      </c>
      <c r="K26" s="12" t="s">
        <v>3001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60"/>
    <col collapsed="false" customWidth="true" hidden="false" outlineLevel="0" max="11" min="10" style="0" width="40"/>
    <col collapsed="false" customWidth="true" hidden="false" outlineLevel="0" max="14" min="14" style="0" width="30"/>
  </cols>
  <sheetData>
    <row r="1" customFormat="false" ht="20.1" hidden="false" customHeight="false" outlineLevel="0" collapsed="false">
      <c r="A1" s="1" t="s">
        <v>3002</v>
      </c>
    </row>
    <row r="2" customFormat="false" ht="15" hidden="false" customHeight="false" outlineLevel="0" collapsed="false">
      <c r="A2" s="2" t="s">
        <v>3003</v>
      </c>
    </row>
    <row r="3" customFormat="false" ht="15" hidden="false" customHeight="false" outlineLevel="0" collapsed="false">
      <c r="A3" s="2" t="s">
        <v>3004</v>
      </c>
    </row>
    <row r="4" customFormat="false" ht="66.4" hidden="false" customHeight="false" outlineLevel="0" collapsed="false">
      <c r="A4" s="7" t="s">
        <v>3005</v>
      </c>
      <c r="B4" s="8" t="s">
        <v>3006</v>
      </c>
      <c r="C4" s="8" t="s">
        <v>2618</v>
      </c>
      <c r="D4" s="8" t="s">
        <v>52</v>
      </c>
      <c r="E4" s="8" t="s">
        <v>49</v>
      </c>
      <c r="F4" s="8" t="s">
        <v>50</v>
      </c>
      <c r="G4" s="8" t="s">
        <v>51</v>
      </c>
      <c r="H4" s="8" t="s">
        <v>38</v>
      </c>
      <c r="I4" s="8" t="s">
        <v>3007</v>
      </c>
      <c r="J4" s="8" t="s">
        <v>3008</v>
      </c>
      <c r="K4" s="8" t="s">
        <v>3009</v>
      </c>
      <c r="L4" s="8" t="s">
        <v>69</v>
      </c>
      <c r="M4" s="7" t="s">
        <v>3010</v>
      </c>
      <c r="N4" s="7" t="s">
        <v>46</v>
      </c>
    </row>
    <row r="5" customFormat="false" ht="15" hidden="false" customHeight="false" outlineLevel="0" collapsed="false">
      <c r="A5" s="9" t="s">
        <v>3011</v>
      </c>
      <c r="B5" s="11" t="s">
        <v>3012</v>
      </c>
      <c r="C5" s="11" t="s">
        <v>3013</v>
      </c>
      <c r="D5" s="11" t="s">
        <v>2189</v>
      </c>
      <c r="E5" s="10" t="n">
        <v>2025</v>
      </c>
      <c r="F5" s="10" t="n">
        <v>2025</v>
      </c>
      <c r="G5" s="10" t="n">
        <v>2025</v>
      </c>
      <c r="H5" s="9" t="s">
        <v>3014</v>
      </c>
      <c r="I5" s="11" t="s">
        <v>3015</v>
      </c>
      <c r="J5" s="11" t="s">
        <v>3016</v>
      </c>
      <c r="K5" s="9" t="s">
        <v>3017</v>
      </c>
      <c r="L5" s="9" t="n">
        <f aca="false">IF(AND(ISNUMBER($E5),ISNUMBER($F5),ISNUMBER($G5)),IF(AND($F5&lt;=$E5,$E5&lt;=$G5),0,1),0)</f>
        <v>0</v>
      </c>
      <c r="M5" s="9" t="n">
        <f aca="false">IF(AND(OR($H5="Analogy",$H5="Assumed"),OR(NOT(ISNUMBER($F5)),NOT(ISNUMBER($G5)))),1,0)</f>
        <v>0</v>
      </c>
      <c r="N5" s="12" t="s">
        <v>3018</v>
      </c>
    </row>
    <row r="6" customFormat="false" ht="15" hidden="false" customHeight="false" outlineLevel="0" collapsed="false">
      <c r="A6" s="9" t="s">
        <v>3019</v>
      </c>
      <c r="B6" s="11" t="s">
        <v>3012</v>
      </c>
      <c r="C6" s="11" t="s">
        <v>3020</v>
      </c>
      <c r="D6" s="11" t="s">
        <v>2189</v>
      </c>
      <c r="E6" s="10" t="n">
        <v>2026</v>
      </c>
      <c r="F6" s="10" t="n">
        <v>2026</v>
      </c>
      <c r="G6" s="10" t="n">
        <v>2026</v>
      </c>
      <c r="H6" s="9" t="s">
        <v>3014</v>
      </c>
      <c r="I6" s="9" t="s">
        <v>3021</v>
      </c>
      <c r="J6" s="11" t="s">
        <v>3016</v>
      </c>
      <c r="K6" s="9"/>
      <c r="L6" s="9" t="n">
        <f aca="false">IF(AND(ISNUMBER($E6),ISNUMBER($F6),ISNUMBER($G6)),IF(AND($F6&lt;=$E6,$E6&lt;=$G6),0,1),0)</f>
        <v>0</v>
      </c>
      <c r="M6" s="9" t="n">
        <f aca="false">IF(AND(OR($H6="Analogy",$H6="Assumed"),OR(NOT(ISNUMBER($F6)),NOT(ISNUMBER($G6)))),1,0)</f>
        <v>0</v>
      </c>
      <c r="N6" s="12" t="s">
        <v>3022</v>
      </c>
    </row>
    <row r="7" customFormat="false" ht="15" hidden="false" customHeight="false" outlineLevel="0" collapsed="false">
      <c r="A7" s="9" t="s">
        <v>3023</v>
      </c>
      <c r="B7" s="11" t="s">
        <v>3012</v>
      </c>
      <c r="C7" s="11" t="s">
        <v>3024</v>
      </c>
      <c r="D7" s="11" t="s">
        <v>2189</v>
      </c>
      <c r="E7" s="10" t="n">
        <v>2027</v>
      </c>
      <c r="F7" s="10" t="n">
        <v>2027</v>
      </c>
      <c r="G7" s="10" t="n">
        <v>2027</v>
      </c>
      <c r="H7" s="9" t="s">
        <v>3014</v>
      </c>
      <c r="I7" s="11" t="s">
        <v>3025</v>
      </c>
      <c r="J7" s="11" t="s">
        <v>3016</v>
      </c>
      <c r="K7" s="9"/>
      <c r="L7" s="9" t="n">
        <f aca="false">IF(AND(ISNUMBER($E7),ISNUMBER($F7),ISNUMBER($G7)),IF(AND($F7&lt;=$E7,$E7&lt;=$G7),0,1),0)</f>
        <v>0</v>
      </c>
      <c r="M7" s="9" t="n">
        <f aca="false">IF(AND(OR($H7="Analogy",$H7="Assumed"),OR(NOT(ISNUMBER($F7)),NOT(ISNUMBER($G7)))),1,0)</f>
        <v>0</v>
      </c>
      <c r="N7" s="12" t="s">
        <v>3026</v>
      </c>
    </row>
    <row r="8" customFormat="false" ht="15" hidden="false" customHeight="false" outlineLevel="0" collapsed="false">
      <c r="A8" s="9" t="s">
        <v>3027</v>
      </c>
      <c r="B8" s="11" t="s">
        <v>3012</v>
      </c>
      <c r="C8" s="11" t="s">
        <v>3028</v>
      </c>
      <c r="D8" s="11" t="s">
        <v>2189</v>
      </c>
      <c r="E8" s="10" t="n">
        <v>2028</v>
      </c>
      <c r="F8" s="10" t="n">
        <v>2028</v>
      </c>
      <c r="G8" s="10" t="n">
        <v>2028</v>
      </c>
      <c r="H8" s="9" t="s">
        <v>3014</v>
      </c>
      <c r="I8" s="11" t="s">
        <v>3025</v>
      </c>
      <c r="J8" s="11" t="s">
        <v>3016</v>
      </c>
      <c r="K8" s="9"/>
      <c r="L8" s="9" t="n">
        <f aca="false">IF(AND(ISNUMBER($E8),ISNUMBER($F8),ISNUMBER($G8)),IF(AND($F8&lt;=$E8,$E8&lt;=$G8),0,1),0)</f>
        <v>0</v>
      </c>
      <c r="M8" s="9" t="n">
        <f aca="false">IF(AND(OR($H8="Analogy",$H8="Assumed"),OR(NOT(ISNUMBER($F8)),NOT(ISNUMBER($G8)))),1,0)</f>
        <v>0</v>
      </c>
      <c r="N8" s="12" t="s">
        <v>3029</v>
      </c>
    </row>
    <row r="9" customFormat="false" ht="15" hidden="false" customHeight="false" outlineLevel="0" collapsed="false">
      <c r="A9" s="9" t="s">
        <v>3030</v>
      </c>
      <c r="B9" s="11" t="s">
        <v>3012</v>
      </c>
      <c r="C9" s="11" t="s">
        <v>3031</v>
      </c>
      <c r="D9" s="11" t="s">
        <v>2189</v>
      </c>
      <c r="E9" s="10" t="n">
        <v>2029</v>
      </c>
      <c r="F9" s="10" t="n">
        <v>2029</v>
      </c>
      <c r="G9" s="10" t="n">
        <v>2029</v>
      </c>
      <c r="H9" s="9" t="s">
        <v>3014</v>
      </c>
      <c r="I9" s="11" t="s">
        <v>3025</v>
      </c>
      <c r="J9" s="11" t="s">
        <v>3016</v>
      </c>
      <c r="K9" s="9"/>
      <c r="L9" s="9" t="n">
        <f aca="false">IF(AND(ISNUMBER($E9),ISNUMBER($F9),ISNUMBER($G9)),IF(AND($F9&lt;=$E9,$E9&lt;=$G9),0,1),0)</f>
        <v>0</v>
      </c>
      <c r="M9" s="9" t="n">
        <f aca="false">IF(AND(OR($H9="Analogy",$H9="Assumed"),OR(NOT(ISNUMBER($F9)),NOT(ISNUMBER($G9)))),1,0)</f>
        <v>0</v>
      </c>
      <c r="N9" s="12" t="s">
        <v>3032</v>
      </c>
    </row>
    <row r="10" customFormat="false" ht="15" hidden="false" customHeight="false" outlineLevel="0" collapsed="false">
      <c r="A10" s="9" t="s">
        <v>3033</v>
      </c>
      <c r="B10" s="11" t="s">
        <v>3012</v>
      </c>
      <c r="C10" s="11" t="s">
        <v>3034</v>
      </c>
      <c r="D10" s="11" t="s">
        <v>2189</v>
      </c>
      <c r="E10" s="10" t="n">
        <v>2030</v>
      </c>
      <c r="F10" s="10" t="n">
        <v>2030</v>
      </c>
      <c r="G10" s="10" t="n">
        <v>2030</v>
      </c>
      <c r="H10" s="9" t="s">
        <v>3014</v>
      </c>
      <c r="I10" s="11" t="s">
        <v>3025</v>
      </c>
      <c r="J10" s="11" t="s">
        <v>3016</v>
      </c>
      <c r="K10" s="9"/>
      <c r="L10" s="9" t="n">
        <f aca="false">IF(AND(ISNUMBER($E10),ISNUMBER($F10),ISNUMBER($G10)),IF(AND($F10&lt;=$E10,$E10&lt;=$G10),0,1),0)</f>
        <v>0</v>
      </c>
      <c r="M10" s="9" t="n">
        <f aca="false">IF(AND(OR($H10="Analogy",$H10="Assumed"),OR(NOT(ISNUMBER($F10)),NOT(ISNUMBER($G10)))),1,0)</f>
        <v>0</v>
      </c>
      <c r="N10" s="12" t="s">
        <v>3035</v>
      </c>
    </row>
    <row r="11" customFormat="false" ht="15" hidden="false" customHeight="false" outlineLevel="0" collapsed="false">
      <c r="A11" s="9" t="s">
        <v>3036</v>
      </c>
      <c r="B11" s="11" t="s">
        <v>3037</v>
      </c>
      <c r="C11" s="9" t="s">
        <v>3038</v>
      </c>
      <c r="D11" s="11" t="s">
        <v>3039</v>
      </c>
      <c r="E11" s="10" t="n">
        <v>365</v>
      </c>
      <c r="F11" s="10" t="n">
        <v>365</v>
      </c>
      <c r="G11" s="10" t="n">
        <v>365</v>
      </c>
      <c r="H11" s="9" t="s">
        <v>3014</v>
      </c>
      <c r="I11" s="11" t="s">
        <v>3040</v>
      </c>
      <c r="J11" s="11" t="s">
        <v>3041</v>
      </c>
      <c r="K11" s="11" t="s">
        <v>3042</v>
      </c>
      <c r="L11" s="9" t="n">
        <f aca="false">IF(AND(ISNUMBER($E11),ISNUMBER($F11),ISNUMBER($G11)),IF(AND($F11&lt;=$E11,$E11&lt;=$G11),0,1),0)</f>
        <v>0</v>
      </c>
      <c r="M11" s="9" t="n">
        <f aca="false">IF(AND(OR($H11="Analogy",$H11="Assumed"),OR(NOT(ISNUMBER($F11)),NOT(ISNUMBER($G11)))),1,0)</f>
        <v>0</v>
      </c>
      <c r="N11" s="12" t="s">
        <v>3043</v>
      </c>
    </row>
    <row r="12" customFormat="false" ht="15" hidden="false" customHeight="false" outlineLevel="0" collapsed="false">
      <c r="A12" s="9" t="s">
        <v>3044</v>
      </c>
      <c r="B12" s="11" t="s">
        <v>3045</v>
      </c>
      <c r="C12" s="9" t="s">
        <v>3038</v>
      </c>
      <c r="D12" s="11" t="s">
        <v>3046</v>
      </c>
      <c r="E12" s="10" t="n">
        <v>12</v>
      </c>
      <c r="F12" s="10" t="n">
        <v>12</v>
      </c>
      <c r="G12" s="10" t="n">
        <v>12</v>
      </c>
      <c r="H12" s="9" t="s">
        <v>3014</v>
      </c>
      <c r="I12" s="11" t="s">
        <v>3040</v>
      </c>
      <c r="J12" s="11" t="s">
        <v>3041</v>
      </c>
      <c r="K12" s="11" t="s">
        <v>3047</v>
      </c>
      <c r="L12" s="9" t="n">
        <f aca="false">IF(AND(ISNUMBER($E12),ISNUMBER($F12),ISNUMBER($G12)),IF(AND($F12&lt;=$E12,$E12&lt;=$G12),0,1),0)</f>
        <v>0</v>
      </c>
      <c r="M12" s="9" t="n">
        <f aca="false">IF(AND(OR($H12="Analogy",$H12="Assumed"),OR(NOT(ISNUMBER($F12)),NOT(ISNUMBER($G12)))),1,0)</f>
        <v>0</v>
      </c>
      <c r="N12" s="12" t="s">
        <v>3048</v>
      </c>
    </row>
    <row r="13" customFormat="false" ht="15" hidden="false" customHeight="false" outlineLevel="0" collapsed="false">
      <c r="A13" s="9" t="s">
        <v>3049</v>
      </c>
      <c r="B13" s="11" t="s">
        <v>3050</v>
      </c>
      <c r="C13" s="9" t="s">
        <v>3038</v>
      </c>
      <c r="D13" s="11" t="s">
        <v>3046</v>
      </c>
      <c r="E13" s="10" t="n">
        <v>6</v>
      </c>
      <c r="F13" s="10" t="n">
        <v>6</v>
      </c>
      <c r="G13" s="10" t="n">
        <v>6</v>
      </c>
      <c r="H13" s="9" t="s">
        <v>3014</v>
      </c>
      <c r="I13" s="11" t="s">
        <v>3051</v>
      </c>
      <c r="J13" s="11" t="s">
        <v>3041</v>
      </c>
      <c r="K13" s="9" t="s">
        <v>3052</v>
      </c>
      <c r="L13" s="9" t="n">
        <f aca="false">IF(AND(ISNUMBER($E13),ISNUMBER($F13),ISNUMBER($G13)),IF(AND($F13&lt;=$E13,$E13&lt;=$G13),0,1),0)</f>
        <v>0</v>
      </c>
      <c r="M13" s="9" t="n">
        <f aca="false">IF(AND(OR($H13="Analogy",$H13="Assumed"),OR(NOT(ISNUMBER($F13)),NOT(ISNUMBER($G13)))),1,0)</f>
        <v>0</v>
      </c>
      <c r="N13" s="12" t="s">
        <v>3053</v>
      </c>
    </row>
    <row r="14" customFormat="false" ht="15" hidden="false" customHeight="false" outlineLevel="0" collapsed="false">
      <c r="A14" s="9" t="s">
        <v>3054</v>
      </c>
      <c r="B14" s="11" t="s">
        <v>3055</v>
      </c>
      <c r="C14" s="9" t="s">
        <v>3038</v>
      </c>
      <c r="D14" s="11" t="s">
        <v>3046</v>
      </c>
      <c r="E14" s="10" t="n">
        <v>1</v>
      </c>
      <c r="F14" s="10" t="n">
        <v>1</v>
      </c>
      <c r="G14" s="10" t="n">
        <v>1</v>
      </c>
      <c r="H14" s="9" t="s">
        <v>3014</v>
      </c>
      <c r="I14" s="11" t="s">
        <v>3025</v>
      </c>
      <c r="J14" s="11" t="s">
        <v>3041</v>
      </c>
      <c r="K14" s="9" t="s">
        <v>3056</v>
      </c>
      <c r="L14" s="9" t="n">
        <f aca="false">IF(AND(ISNUMBER($E14),ISNUMBER($F14),ISNUMBER($G14)),IF(AND($F14&lt;=$E14,$E14&lt;=$G14),0,1),0)</f>
        <v>0</v>
      </c>
      <c r="M14" s="9" t="n">
        <f aca="false">IF(AND(OR($H14="Analogy",$H14="Assumed"),OR(NOT(ISNUMBER($F14)),NOT(ISNUMBER($G14)))),1,0)</f>
        <v>0</v>
      </c>
      <c r="N14" s="12" t="s">
        <v>3057</v>
      </c>
    </row>
    <row r="15" customFormat="false" ht="15" hidden="false" customHeight="false" outlineLevel="0" collapsed="false">
      <c r="A15" s="9" t="s">
        <v>3058</v>
      </c>
      <c r="B15" s="11" t="s">
        <v>3059</v>
      </c>
      <c r="C15" s="9" t="s">
        <v>3038</v>
      </c>
      <c r="D15" s="11" t="s">
        <v>3060</v>
      </c>
      <c r="E15" s="10" t="n">
        <v>1</v>
      </c>
      <c r="F15" s="10" t="n">
        <v>1</v>
      </c>
      <c r="G15" s="10" t="n">
        <v>1</v>
      </c>
      <c r="H15" s="9" t="s">
        <v>3014</v>
      </c>
      <c r="I15" s="11" t="s">
        <v>3025</v>
      </c>
      <c r="J15" s="11" t="s">
        <v>3041</v>
      </c>
      <c r="K15" s="11" t="s">
        <v>3061</v>
      </c>
      <c r="L15" s="9" t="n">
        <f aca="false">IF(AND(ISNUMBER($E15),ISNUMBER($F15),ISNUMBER($G15)),IF(AND($F15&lt;=$E15,$E15&lt;=$G15),0,1),0)</f>
        <v>0</v>
      </c>
      <c r="M15" s="9" t="n">
        <f aca="false">IF(AND(OR($H15="Analogy",$H15="Assumed"),OR(NOT(ISNUMBER($F15)),NOT(ISNUMBER($G15)))),1,0)</f>
        <v>0</v>
      </c>
      <c r="N15" s="12" t="s">
        <v>3062</v>
      </c>
    </row>
    <row r="16" customFormat="false" ht="15" hidden="false" customHeight="false" outlineLevel="0" collapsed="false">
      <c r="A16" s="9" t="s">
        <v>3063</v>
      </c>
      <c r="B16" s="11" t="s">
        <v>3064</v>
      </c>
      <c r="C16" s="9" t="s">
        <v>3038</v>
      </c>
      <c r="D16" s="9" t="s">
        <v>3065</v>
      </c>
      <c r="E16" s="10" t="n">
        <v>1000</v>
      </c>
      <c r="F16" s="10" t="n">
        <v>1000</v>
      </c>
      <c r="G16" s="10" t="n">
        <v>1000</v>
      </c>
      <c r="H16" s="9" t="s">
        <v>3014</v>
      </c>
      <c r="I16" s="11" t="s">
        <v>3040</v>
      </c>
      <c r="J16" s="11" t="s">
        <v>3041</v>
      </c>
      <c r="K16" s="11" t="s">
        <v>3066</v>
      </c>
      <c r="L16" s="9" t="n">
        <f aca="false">IF(AND(ISNUMBER($E16),ISNUMBER($F16),ISNUMBER($G16)),IF(AND($F16&lt;=$E16,$E16&lt;=$G16),0,1),0)</f>
        <v>0</v>
      </c>
      <c r="M16" s="9" t="n">
        <f aca="false">IF(AND(OR($H16="Analogy",$H16="Assumed"),OR(NOT(ISNUMBER($F16)),NOT(ISNUMBER($G16)))),1,0)</f>
        <v>0</v>
      </c>
      <c r="N16" s="12" t="s">
        <v>3067</v>
      </c>
    </row>
    <row r="17" customFormat="false" ht="15" hidden="false" customHeight="false" outlineLevel="0" collapsed="false">
      <c r="A17" s="9" t="s">
        <v>3068</v>
      </c>
      <c r="B17" s="11" t="s">
        <v>3069</v>
      </c>
      <c r="C17" s="9" t="s">
        <v>3038</v>
      </c>
      <c r="D17" s="9" t="s">
        <v>3070</v>
      </c>
      <c r="E17" s="10" t="n">
        <v>1000</v>
      </c>
      <c r="F17" s="10" t="n">
        <v>1000</v>
      </c>
      <c r="G17" s="10" t="n">
        <v>1000</v>
      </c>
      <c r="H17" s="9" t="s">
        <v>3014</v>
      </c>
      <c r="I17" s="11" t="s">
        <v>3040</v>
      </c>
      <c r="J17" s="11" t="s">
        <v>3041</v>
      </c>
      <c r="K17" s="11" t="s">
        <v>3071</v>
      </c>
      <c r="L17" s="9" t="n">
        <f aca="false">IF(AND(ISNUMBER($E17),ISNUMBER($F17),ISNUMBER($G17)),IF(AND($F17&lt;=$E17,$E17&lt;=$G17),0,1),0)</f>
        <v>0</v>
      </c>
      <c r="M17" s="9" t="n">
        <f aca="false">IF(AND(OR($H17="Analogy",$H17="Assumed"),OR(NOT(ISNUMBER($F17)),NOT(ISNUMBER($G17)))),1,0)</f>
        <v>0</v>
      </c>
      <c r="N17" s="12" t="s">
        <v>3072</v>
      </c>
    </row>
    <row r="18" customFormat="false" ht="15" hidden="false" customHeight="false" outlineLevel="0" collapsed="false">
      <c r="A18" s="9" t="s">
        <v>3073</v>
      </c>
      <c r="B18" s="9" t="s">
        <v>3074</v>
      </c>
      <c r="C18" s="9" t="s">
        <v>3038</v>
      </c>
      <c r="D18" s="11" t="s">
        <v>3046</v>
      </c>
      <c r="E18" s="10" t="n">
        <v>36</v>
      </c>
      <c r="F18" s="10" t="n">
        <v>36</v>
      </c>
      <c r="G18" s="10" t="n">
        <v>36</v>
      </c>
      <c r="H18" s="9" t="s">
        <v>3014</v>
      </c>
      <c r="I18" s="9" t="s">
        <v>3075</v>
      </c>
      <c r="J18" s="11" t="s">
        <v>3076</v>
      </c>
      <c r="K18" s="9" t="s">
        <v>3077</v>
      </c>
      <c r="L18" s="9" t="n">
        <f aca="false">IF(AND(ISNUMBER($E18),ISNUMBER($F18),ISNUMBER($G18)),IF(AND($F18&lt;=$E18,$E18&lt;=$G18),0,1),0)</f>
        <v>0</v>
      </c>
      <c r="M18" s="9" t="n">
        <f aca="false">IF(AND(OR($H18="Analogy",$H18="Assumed"),OR(NOT(ISNUMBER($F18)),NOT(ISNUMBER($G18)))),1,0)</f>
        <v>0</v>
      </c>
      <c r="N18" s="12" t="s">
        <v>3078</v>
      </c>
    </row>
    <row r="19" customFormat="false" ht="15" hidden="false" customHeight="false" outlineLevel="0" collapsed="false">
      <c r="A19" s="9" t="s">
        <v>3079</v>
      </c>
      <c r="B19" s="11" t="s">
        <v>3080</v>
      </c>
      <c r="C19" s="9" t="s">
        <v>3038</v>
      </c>
      <c r="D19" s="11" t="s">
        <v>2189</v>
      </c>
      <c r="E19" s="10" t="n">
        <v>2027</v>
      </c>
      <c r="F19" s="10" t="n">
        <v>2027</v>
      </c>
      <c r="G19" s="10" t="n">
        <v>2027</v>
      </c>
      <c r="H19" s="9" t="s">
        <v>3014</v>
      </c>
      <c r="I19" s="9" t="s">
        <v>3081</v>
      </c>
      <c r="J19" s="11" t="s">
        <v>3016</v>
      </c>
      <c r="K19" s="9" t="s">
        <v>3082</v>
      </c>
      <c r="L19" s="9" t="n">
        <f aca="false">IF(AND(ISNUMBER($E19),ISNUMBER($F19),ISNUMBER($G19)),IF(AND($F19&lt;=$E19,$E19&lt;=$G19),0,1),0)</f>
        <v>0</v>
      </c>
      <c r="M19" s="9" t="n">
        <f aca="false">IF(AND(OR($H19="Analogy",$H19="Assumed"),OR(NOT(ISNUMBER($F19)),NOT(ISNUMBER($G19)))),1,0)</f>
        <v>0</v>
      </c>
      <c r="N19" s="12" t="s">
        <v>3083</v>
      </c>
    </row>
    <row r="20" customFormat="false" ht="15" hidden="false" customHeight="false" outlineLevel="0" collapsed="false">
      <c r="A20" s="9" t="s">
        <v>3084</v>
      </c>
      <c r="B20" s="11" t="s">
        <v>3085</v>
      </c>
      <c r="C20" s="9" t="s">
        <v>3038</v>
      </c>
      <c r="D20" s="9" t="s">
        <v>76</v>
      </c>
      <c r="E20" s="10" t="n">
        <v>0</v>
      </c>
      <c r="F20" s="10" t="n">
        <v>0</v>
      </c>
      <c r="G20" s="10" t="n">
        <v>0</v>
      </c>
      <c r="H20" s="9" t="s">
        <v>3014</v>
      </c>
      <c r="I20" s="11" t="s">
        <v>3086</v>
      </c>
      <c r="J20" s="11" t="s">
        <v>3087</v>
      </c>
      <c r="K20" s="9" t="s">
        <v>3088</v>
      </c>
      <c r="L20" s="9" t="n">
        <f aca="false">IF(AND(ISNUMBER($E20),ISNUMBER($F20),ISNUMBER($G20)),IF(AND($F20&lt;=$E20,$E20&lt;=$G20),0,1),0)</f>
        <v>0</v>
      </c>
      <c r="M20" s="9" t="n">
        <f aca="false">IF(AND(OR($H20="Analogy",$H20="Assumed"),OR(NOT(ISNUMBER($F20)),NOT(ISNUMBER($G20)))),1,0)</f>
        <v>0</v>
      </c>
      <c r="N20" s="12" t="s">
        <v>3089</v>
      </c>
    </row>
    <row r="21" customFormat="false" ht="15" hidden="false" customHeight="false" outlineLevel="0" collapsed="false">
      <c r="A21" s="9" t="s">
        <v>3090</v>
      </c>
      <c r="B21" s="9" t="s">
        <v>3091</v>
      </c>
      <c r="C21" s="9" t="s">
        <v>3038</v>
      </c>
      <c r="D21" s="11" t="s">
        <v>269</v>
      </c>
      <c r="E21" s="10" t="n">
        <v>0.25</v>
      </c>
      <c r="F21" s="10" t="n">
        <v>0.25</v>
      </c>
      <c r="G21" s="10" t="n">
        <v>0.25</v>
      </c>
      <c r="H21" s="9" t="s">
        <v>3014</v>
      </c>
      <c r="I21" s="11" t="s">
        <v>3092</v>
      </c>
      <c r="J21" s="11" t="s">
        <v>3093</v>
      </c>
      <c r="K21" s="9" t="s">
        <v>34</v>
      </c>
      <c r="L21" s="9" t="n">
        <f aca="false">IF(AND(ISNUMBER($E21),ISNUMBER($F21),ISNUMBER($G21)),IF(AND($F21&lt;=$E21,$E21&lt;=$G21),0,1),0)</f>
        <v>0</v>
      </c>
      <c r="M21" s="9" t="n">
        <f aca="false">IF(AND(OR($H21="Analogy",$H21="Assumed"),OR(NOT(ISNUMBER($F21)),NOT(ISNUMBER($G21)))),1,0)</f>
        <v>0</v>
      </c>
      <c r="N21" s="12" t="s">
        <v>3094</v>
      </c>
    </row>
    <row r="22" customFormat="false" ht="15" hidden="false" customHeight="false" outlineLevel="0" collapsed="false">
      <c r="A22" s="9" t="s">
        <v>3095</v>
      </c>
      <c r="B22" s="9" t="s">
        <v>3096</v>
      </c>
      <c r="C22" s="9" t="s">
        <v>3038</v>
      </c>
      <c r="D22" s="11" t="s">
        <v>3097</v>
      </c>
      <c r="E22" s="10" t="n">
        <v>1</v>
      </c>
      <c r="F22" s="10" t="n">
        <v>0</v>
      </c>
      <c r="G22" s="10" t="n">
        <v>1</v>
      </c>
      <c r="H22" s="9" t="s">
        <v>3014</v>
      </c>
      <c r="I22" s="11" t="s">
        <v>3098</v>
      </c>
      <c r="J22" s="11" t="s">
        <v>3097</v>
      </c>
      <c r="K22" s="11" t="s">
        <v>3099</v>
      </c>
      <c r="L22" s="9" t="n">
        <f aca="false">IF(AND(ISNUMBER($E22),ISNUMBER($F22),ISNUMBER($G22)),IF(AND($F22&lt;=$E22,$E22&lt;=$G22),0,1),0)</f>
        <v>0</v>
      </c>
      <c r="M22" s="9" t="n">
        <f aca="false">IF(AND(OR($H22="Analogy",$H22="Assumed"),OR(NOT(ISNUMBER($F22)),NOT(ISNUMBER($G22)))),1,0)</f>
        <v>0</v>
      </c>
      <c r="N22" s="12" t="s">
        <v>3100</v>
      </c>
    </row>
    <row r="23" customFormat="false" ht="15" hidden="false" customHeight="false" outlineLevel="0" collapsed="false">
      <c r="A23" s="9" t="s">
        <v>3101</v>
      </c>
      <c r="B23" s="9" t="s">
        <v>3102</v>
      </c>
      <c r="C23" s="9" t="s">
        <v>306</v>
      </c>
      <c r="D23" s="11" t="s">
        <v>269</v>
      </c>
      <c r="E23" s="10" t="n">
        <v>0</v>
      </c>
      <c r="F23" s="10" t="n">
        <v>0</v>
      </c>
      <c r="G23" s="10" t="n">
        <v>0.45</v>
      </c>
      <c r="H23" s="9" t="s">
        <v>3014</v>
      </c>
      <c r="I23" s="11" t="s">
        <v>3103</v>
      </c>
      <c r="J23" s="11" t="s">
        <v>3104</v>
      </c>
      <c r="K23" s="9" t="s">
        <v>3105</v>
      </c>
      <c r="L23" s="9" t="n">
        <f aca="false">IF(AND(ISNUMBER($E23),ISNUMBER($F23),ISNUMBER($G23)),IF(AND($F23&lt;=$E23,$E23&lt;=$G23),0,1),0)</f>
        <v>0</v>
      </c>
      <c r="M23" s="9" t="n">
        <f aca="false">IF(AND(OR($H23="Analogy",$H23="Assumed"),OR(NOT(ISNUMBER($F23)),NOT(ISNUMBER($G23)))),1,0)</f>
        <v>0</v>
      </c>
      <c r="N23" s="12" t="s">
        <v>3106</v>
      </c>
    </row>
    <row r="24" customFormat="false" ht="15" hidden="false" customHeight="false" outlineLevel="0" collapsed="false">
      <c r="A24" s="9" t="s">
        <v>3107</v>
      </c>
      <c r="B24" s="9" t="s">
        <v>3108</v>
      </c>
      <c r="C24" s="9" t="s">
        <v>3038</v>
      </c>
      <c r="D24" s="11" t="s">
        <v>3097</v>
      </c>
      <c r="E24" s="10" t="n">
        <v>1</v>
      </c>
      <c r="F24" s="10" t="n">
        <v>0</v>
      </c>
      <c r="G24" s="10" t="n">
        <v>1</v>
      </c>
      <c r="H24" s="9" t="s">
        <v>3014</v>
      </c>
      <c r="I24" s="11" t="s">
        <v>3109</v>
      </c>
      <c r="J24" s="11" t="s">
        <v>3097</v>
      </c>
      <c r="K24" s="11" t="s">
        <v>3110</v>
      </c>
      <c r="L24" s="9" t="n">
        <f aca="false">IF(AND(ISNUMBER($E24),ISNUMBER($F24),ISNUMBER($G24)),IF(AND($F24&lt;=$E24,$E24&lt;=$G24),0,1),0)</f>
        <v>0</v>
      </c>
      <c r="M24" s="9" t="n">
        <f aca="false">IF(AND(OR($H24="Analogy",$H24="Assumed"),OR(NOT(ISNUMBER($F24)),NOT(ISNUMBER($G24)))),1,0)</f>
        <v>0</v>
      </c>
      <c r="N24" s="12" t="s">
        <v>3111</v>
      </c>
    </row>
    <row r="25" customFormat="false" ht="15" hidden="false" customHeight="false" outlineLevel="0" collapsed="false">
      <c r="A25" s="9" t="s">
        <v>3112</v>
      </c>
      <c r="B25" s="9" t="s">
        <v>3113</v>
      </c>
      <c r="C25" s="9" t="s">
        <v>3038</v>
      </c>
      <c r="D25" s="11" t="s">
        <v>269</v>
      </c>
      <c r="E25" s="10" t="n">
        <v>0.25</v>
      </c>
      <c r="F25" s="10" t="n">
        <v>0.25</v>
      </c>
      <c r="G25" s="10" t="n">
        <v>0.25</v>
      </c>
      <c r="H25" s="9" t="s">
        <v>3014</v>
      </c>
      <c r="I25" s="11" t="s">
        <v>3114</v>
      </c>
      <c r="J25" s="11" t="s">
        <v>3115</v>
      </c>
      <c r="K25" s="9" t="s">
        <v>34</v>
      </c>
      <c r="L25" s="9" t="n">
        <f aca="false">IF(AND(ISNUMBER($E25),ISNUMBER($F25),ISNUMBER($G25)),IF(AND($F25&lt;=$E25,$E25&lt;=$G25),0,1),0)</f>
        <v>0</v>
      </c>
      <c r="M25" s="9" t="n">
        <f aca="false">IF(AND(OR($H25="Analogy",$H25="Assumed"),OR(NOT(ISNUMBER($F25)),NOT(ISNUMBER($G25)))),1,0)</f>
        <v>0</v>
      </c>
      <c r="N25" s="12" t="s">
        <v>3116</v>
      </c>
    </row>
    <row r="26" customFormat="false" ht="15" hidden="false" customHeight="false" outlineLevel="0" collapsed="false">
      <c r="A26" s="9" t="s">
        <v>3117</v>
      </c>
      <c r="B26" s="9" t="s">
        <v>3118</v>
      </c>
      <c r="C26" s="9" t="s">
        <v>3038</v>
      </c>
      <c r="D26" s="11" t="s">
        <v>269</v>
      </c>
      <c r="E26" s="10" t="n">
        <v>0.3</v>
      </c>
      <c r="F26" s="10" t="n">
        <v>0.1</v>
      </c>
      <c r="G26" s="10" t="n">
        <v>0.5</v>
      </c>
      <c r="H26" s="9" t="s">
        <v>2861</v>
      </c>
      <c r="I26" s="11" t="s">
        <v>3119</v>
      </c>
      <c r="J26" s="11" t="s">
        <v>3120</v>
      </c>
      <c r="K26" s="9" t="s">
        <v>3121</v>
      </c>
      <c r="L26" s="9" t="n">
        <f aca="false">IF(AND(ISNUMBER($E26),ISNUMBER($F26),ISNUMBER($G26)),IF(AND($F26&lt;=$E26,$E26&lt;=$G26),0,1),0)</f>
        <v>0</v>
      </c>
      <c r="M26" s="9" t="n">
        <f aca="false">IF(AND(OR($H26="Analogy",$H26="Assumed"),OR(NOT(ISNUMBER($F26)),NOT(ISNUMBER($G26)))),1,0)</f>
        <v>0</v>
      </c>
      <c r="N26" s="12" t="s">
        <v>3122</v>
      </c>
    </row>
    <row r="27" customFormat="false" ht="15" hidden="false" customHeight="false" outlineLevel="0" collapsed="false">
      <c r="A27" s="9" t="s">
        <v>3123</v>
      </c>
      <c r="B27" s="9" t="s">
        <v>3124</v>
      </c>
      <c r="C27" s="9" t="s">
        <v>3038</v>
      </c>
      <c r="D27" s="11" t="s">
        <v>269</v>
      </c>
      <c r="E27" s="10" t="n">
        <v>0.3</v>
      </c>
      <c r="F27" s="10" t="n">
        <v>0.1</v>
      </c>
      <c r="G27" s="10" t="n">
        <v>0.5</v>
      </c>
      <c r="H27" s="9" t="s">
        <v>2861</v>
      </c>
      <c r="I27" s="11" t="s">
        <v>3125</v>
      </c>
      <c r="J27" s="11" t="s">
        <v>3061</v>
      </c>
      <c r="K27" s="9"/>
      <c r="L27" s="9" t="n">
        <f aca="false">IF(AND(ISNUMBER($E27),ISNUMBER($F27),ISNUMBER($G27)),IF(AND($F27&lt;=$E27,$E27&lt;=$G27),0,1),0)</f>
        <v>0</v>
      </c>
      <c r="M27" s="9" t="n">
        <f aca="false">IF(AND(OR($H27="Analogy",$H27="Assumed"),OR(NOT(ISNUMBER($F27)),NOT(ISNUMBER($G27)))),1,0)</f>
        <v>0</v>
      </c>
      <c r="N27" s="12" t="s">
        <v>3126</v>
      </c>
    </row>
    <row r="28" customFormat="false" ht="15" hidden="false" customHeight="false" outlineLevel="0" collapsed="false">
      <c r="A28" s="9" t="s">
        <v>3127</v>
      </c>
      <c r="B28" s="11" t="s">
        <v>3128</v>
      </c>
      <c r="C28" s="9" t="s">
        <v>77</v>
      </c>
      <c r="D28" s="11" t="s">
        <v>269</v>
      </c>
      <c r="E28" s="10" t="n">
        <v>0.85</v>
      </c>
      <c r="F28" s="10" t="n">
        <v>0.75</v>
      </c>
      <c r="G28" s="10" t="n">
        <v>0.95</v>
      </c>
      <c r="H28" s="9" t="s">
        <v>2861</v>
      </c>
      <c r="I28" s="11" t="s">
        <v>3129</v>
      </c>
      <c r="J28" s="9" t="s">
        <v>3130</v>
      </c>
      <c r="K28" s="9" t="s">
        <v>3131</v>
      </c>
      <c r="L28" s="9" t="n">
        <f aca="false">IF(AND(ISNUMBER($E28),ISNUMBER($F28),ISNUMBER($G28)),IF(AND($F28&lt;=$E28,$E28&lt;=$G28),0,1),0)</f>
        <v>0</v>
      </c>
      <c r="M28" s="9" t="n">
        <f aca="false">IF(AND(OR($H28="Analogy",$H28="Assumed"),OR(NOT(ISNUMBER($F28)),NOT(ISNUMBER($G28)))),1,0)</f>
        <v>0</v>
      </c>
      <c r="N28" s="12" t="s">
        <v>3132</v>
      </c>
    </row>
    <row r="29" customFormat="false" ht="15" hidden="false" customHeight="false" outlineLevel="0" collapsed="false">
      <c r="A29" s="9" t="s">
        <v>3133</v>
      </c>
      <c r="B29" s="11" t="s">
        <v>3134</v>
      </c>
      <c r="C29" s="9" t="s">
        <v>77</v>
      </c>
      <c r="D29" s="11" t="s">
        <v>269</v>
      </c>
      <c r="E29" s="10" t="n">
        <v>0.1</v>
      </c>
      <c r="F29" s="10" t="n">
        <v>0.03</v>
      </c>
      <c r="G29" s="10" t="n">
        <v>0.15</v>
      </c>
      <c r="H29" s="9" t="s">
        <v>2861</v>
      </c>
      <c r="I29" s="11" t="s">
        <v>3135</v>
      </c>
      <c r="J29" s="11" t="s">
        <v>3136</v>
      </c>
      <c r="K29" s="9"/>
      <c r="L29" s="9" t="n">
        <f aca="false">IF(AND(ISNUMBER($E29),ISNUMBER($F29),ISNUMBER($G29)),IF(AND($F29&lt;=$E29,$E29&lt;=$G29),0,1),0)</f>
        <v>0</v>
      </c>
      <c r="M29" s="9" t="n">
        <f aca="false">IF(AND(OR($H29="Analogy",$H29="Assumed"),OR(NOT(ISNUMBER($F29)),NOT(ISNUMBER($G29)))),1,0)</f>
        <v>0</v>
      </c>
      <c r="N29" s="12" t="s">
        <v>3137</v>
      </c>
    </row>
    <row r="30" customFormat="false" ht="15" hidden="false" customHeight="false" outlineLevel="0" collapsed="false">
      <c r="A30" s="9" t="s">
        <v>3138</v>
      </c>
      <c r="B30" s="11" t="s">
        <v>3128</v>
      </c>
      <c r="C30" s="9" t="s">
        <v>3139</v>
      </c>
      <c r="D30" s="11" t="s">
        <v>269</v>
      </c>
      <c r="E30" s="10" t="n">
        <v>0.7</v>
      </c>
      <c r="F30" s="10" t="n">
        <v>0.55</v>
      </c>
      <c r="G30" s="10" t="n">
        <v>0.85</v>
      </c>
      <c r="H30" s="9" t="s">
        <v>2861</v>
      </c>
      <c r="I30" s="9" t="s">
        <v>3140</v>
      </c>
      <c r="J30" s="9" t="s">
        <v>3141</v>
      </c>
      <c r="K30" s="9" t="s">
        <v>3142</v>
      </c>
      <c r="L30" s="9" t="n">
        <f aca="false">IF(AND(ISNUMBER($E30),ISNUMBER($F30),ISNUMBER($G30)),IF(AND($F30&lt;=$E30,$E30&lt;=$G30),0,1),0)</f>
        <v>0</v>
      </c>
      <c r="M30" s="9" t="n">
        <f aca="false">IF(AND(OR($H30="Analogy",$H30="Assumed"),OR(NOT(ISNUMBER($F30)),NOT(ISNUMBER($G30)))),1,0)</f>
        <v>0</v>
      </c>
      <c r="N30" s="12" t="s">
        <v>3143</v>
      </c>
    </row>
    <row r="31" customFormat="false" ht="15" hidden="false" customHeight="false" outlineLevel="0" collapsed="false">
      <c r="A31" s="9" t="s">
        <v>3144</v>
      </c>
      <c r="B31" s="11" t="s">
        <v>3134</v>
      </c>
      <c r="C31" s="9" t="s">
        <v>3139</v>
      </c>
      <c r="D31" s="11" t="s">
        <v>269</v>
      </c>
      <c r="E31" s="10" t="n">
        <v>0.18</v>
      </c>
      <c r="F31" s="10" t="n">
        <v>0.1</v>
      </c>
      <c r="G31" s="10" t="n">
        <v>0.25</v>
      </c>
      <c r="H31" s="9" t="s">
        <v>2861</v>
      </c>
      <c r="I31" s="11" t="s">
        <v>3061</v>
      </c>
      <c r="J31" s="11" t="s">
        <v>3061</v>
      </c>
      <c r="K31" s="9"/>
      <c r="L31" s="9" t="n">
        <f aca="false">IF(AND(ISNUMBER($E31),ISNUMBER($F31),ISNUMBER($G31)),IF(AND($F31&lt;=$E31,$E31&lt;=$G31),0,1),0)</f>
        <v>0</v>
      </c>
      <c r="M31" s="9" t="n">
        <f aca="false">IF(AND(OR($H31="Analogy",$H31="Assumed"),OR(NOT(ISNUMBER($F31)),NOT(ISNUMBER($G31)))),1,0)</f>
        <v>0</v>
      </c>
      <c r="N31" s="12" t="s">
        <v>3145</v>
      </c>
    </row>
    <row r="32" customFormat="false" ht="15" hidden="false" customHeight="false" outlineLevel="0" collapsed="false">
      <c r="A32" s="9" t="s">
        <v>3146</v>
      </c>
      <c r="B32" s="11" t="s">
        <v>3147</v>
      </c>
      <c r="C32" s="9" t="s">
        <v>77</v>
      </c>
      <c r="D32" s="11" t="s">
        <v>269</v>
      </c>
      <c r="E32" s="10" t="n">
        <v>0.5</v>
      </c>
      <c r="F32" s="10" t="n">
        <v>0.3</v>
      </c>
      <c r="G32" s="10" t="n">
        <v>0.7</v>
      </c>
      <c r="H32" s="9" t="s">
        <v>2861</v>
      </c>
      <c r="I32" s="11" t="s">
        <v>3148</v>
      </c>
      <c r="J32" s="9" t="s">
        <v>3149</v>
      </c>
      <c r="K32" s="9" t="s">
        <v>3150</v>
      </c>
      <c r="L32" s="9" t="n">
        <f aca="false">IF(AND(ISNUMBER($E32),ISNUMBER($F32),ISNUMBER($G32)),IF(AND($F32&lt;=$E32,$E32&lt;=$G32),0,1),0)</f>
        <v>0</v>
      </c>
      <c r="M32" s="9" t="n">
        <f aca="false">IF(AND(OR($H32="Analogy",$H32="Assumed"),OR(NOT(ISNUMBER($F32)),NOT(ISNUMBER($G32)))),1,0)</f>
        <v>0</v>
      </c>
      <c r="N32" s="12" t="s">
        <v>3151</v>
      </c>
    </row>
    <row r="33" customFormat="false" ht="15" hidden="false" customHeight="false" outlineLevel="0" collapsed="false">
      <c r="A33" s="9" t="s">
        <v>3152</v>
      </c>
      <c r="B33" s="11" t="s">
        <v>3153</v>
      </c>
      <c r="C33" s="9" t="s">
        <v>77</v>
      </c>
      <c r="D33" s="11" t="s">
        <v>269</v>
      </c>
      <c r="E33" s="10" t="n">
        <v>0.15</v>
      </c>
      <c r="F33" s="10" t="n">
        <v>0.05</v>
      </c>
      <c r="G33" s="10" t="n">
        <v>0.3</v>
      </c>
      <c r="H33" s="9" t="s">
        <v>2861</v>
      </c>
      <c r="I33" s="9" t="s">
        <v>3154</v>
      </c>
      <c r="J33" s="11" t="s">
        <v>3061</v>
      </c>
      <c r="K33" s="9"/>
      <c r="L33" s="9" t="n">
        <f aca="false">IF(AND(ISNUMBER($E33),ISNUMBER($F33),ISNUMBER($G33)),IF(AND($F33&lt;=$E33,$E33&lt;=$G33),0,1),0)</f>
        <v>0</v>
      </c>
      <c r="M33" s="9" t="n">
        <f aca="false">IF(AND(OR($H33="Analogy",$H33="Assumed"),OR(NOT(ISNUMBER($F33)),NOT(ISNUMBER($G33)))),1,0)</f>
        <v>0</v>
      </c>
      <c r="N33" s="12" t="s">
        <v>3155</v>
      </c>
    </row>
    <row r="34" customFormat="false" ht="15" hidden="false" customHeight="false" outlineLevel="0" collapsed="false">
      <c r="A34" s="9" t="s">
        <v>3156</v>
      </c>
      <c r="B34" s="11" t="s">
        <v>3147</v>
      </c>
      <c r="C34" s="9" t="s">
        <v>3139</v>
      </c>
      <c r="D34" s="11" t="s">
        <v>269</v>
      </c>
      <c r="E34" s="10" t="n">
        <v>0.35</v>
      </c>
      <c r="F34" s="10" t="n">
        <v>0.2</v>
      </c>
      <c r="G34" s="10" t="n">
        <v>0.5</v>
      </c>
      <c r="H34" s="9" t="s">
        <v>2861</v>
      </c>
      <c r="I34" s="9" t="s">
        <v>3157</v>
      </c>
      <c r="J34" s="9" t="s">
        <v>3158</v>
      </c>
      <c r="K34" s="9" t="s">
        <v>3142</v>
      </c>
      <c r="L34" s="9" t="n">
        <f aca="false">IF(AND(ISNUMBER($E34),ISNUMBER($F34),ISNUMBER($G34)),IF(AND($F34&lt;=$E34,$E34&lt;=$G34),0,1),0)</f>
        <v>0</v>
      </c>
      <c r="M34" s="9" t="n">
        <f aca="false">IF(AND(OR($H34="Analogy",$H34="Assumed"),OR(NOT(ISNUMBER($F34)),NOT(ISNUMBER($G34)))),1,0)</f>
        <v>0</v>
      </c>
      <c r="N34" s="12" t="s">
        <v>3159</v>
      </c>
    </row>
    <row r="35" customFormat="false" ht="15" hidden="false" customHeight="false" outlineLevel="0" collapsed="false">
      <c r="A35" s="9" t="s">
        <v>3160</v>
      </c>
      <c r="B35" s="11" t="s">
        <v>3153</v>
      </c>
      <c r="C35" s="9" t="s">
        <v>3139</v>
      </c>
      <c r="D35" s="11" t="s">
        <v>269</v>
      </c>
      <c r="E35" s="10" t="n">
        <v>0.2</v>
      </c>
      <c r="F35" s="10" t="n">
        <v>0.1</v>
      </c>
      <c r="G35" s="10" t="n">
        <v>0.35</v>
      </c>
      <c r="H35" s="9" t="s">
        <v>2861</v>
      </c>
      <c r="I35" s="11" t="s">
        <v>3061</v>
      </c>
      <c r="J35" s="11" t="s">
        <v>3061</v>
      </c>
      <c r="K35" s="9"/>
      <c r="L35" s="9" t="n">
        <f aca="false">IF(AND(ISNUMBER($E35),ISNUMBER($F35),ISNUMBER($G35)),IF(AND($F35&lt;=$E35,$E35&lt;=$G35),0,1),0)</f>
        <v>0</v>
      </c>
      <c r="M35" s="9" t="n">
        <f aca="false">IF(AND(OR($H35="Analogy",$H35="Assumed"),OR(NOT(ISNUMBER($F35)),NOT(ISNUMBER($G35)))),1,0)</f>
        <v>0</v>
      </c>
      <c r="N35" s="12" t="s">
        <v>3161</v>
      </c>
    </row>
    <row r="36" customFormat="false" ht="15" hidden="false" customHeight="false" outlineLevel="0" collapsed="false">
      <c r="A36" s="9" t="s">
        <v>3162</v>
      </c>
      <c r="B36" s="11" t="s">
        <v>3163</v>
      </c>
      <c r="C36" s="9" t="s">
        <v>77</v>
      </c>
      <c r="D36" s="11" t="s">
        <v>269</v>
      </c>
      <c r="E36" s="10" t="n">
        <v>0.05</v>
      </c>
      <c r="F36" s="10" t="n">
        <v>0.03</v>
      </c>
      <c r="G36" s="10" t="n">
        <v>0.08</v>
      </c>
      <c r="H36" s="9" t="s">
        <v>299</v>
      </c>
      <c r="I36" s="9" t="s">
        <v>3164</v>
      </c>
      <c r="J36" s="11" t="s">
        <v>3165</v>
      </c>
      <c r="K36" s="11" t="s">
        <v>3166</v>
      </c>
      <c r="L36" s="9" t="n">
        <f aca="false">IF(AND(ISNUMBER($E36),ISNUMBER($F36),ISNUMBER($G36)),IF(AND($F36&lt;=$E36,$E36&lt;=$G36),0,1),0)</f>
        <v>0</v>
      </c>
      <c r="M36" s="9" t="n">
        <f aca="false">IF(AND(OR($H36="Analogy",$H36="Assumed"),OR(NOT(ISNUMBER($F36)),NOT(ISNUMBER($G36)))),1,0)</f>
        <v>0</v>
      </c>
      <c r="N36" s="12" t="s">
        <v>3167</v>
      </c>
    </row>
    <row r="37" customFormat="false" ht="15" hidden="false" customHeight="false" outlineLevel="0" collapsed="false">
      <c r="A37" s="9" t="s">
        <v>3168</v>
      </c>
      <c r="B37" s="11" t="s">
        <v>3169</v>
      </c>
      <c r="C37" s="9" t="s">
        <v>306</v>
      </c>
      <c r="D37" s="11" t="s">
        <v>3170</v>
      </c>
      <c r="E37" s="10" t="n">
        <v>3</v>
      </c>
      <c r="F37" s="10" t="n">
        <v>1.5</v>
      </c>
      <c r="G37" s="10" t="n">
        <v>5</v>
      </c>
      <c r="H37" s="9" t="s">
        <v>2861</v>
      </c>
      <c r="I37" s="11" t="s">
        <v>3171</v>
      </c>
      <c r="J37" s="11" t="s">
        <v>3172</v>
      </c>
      <c r="K37" s="9" t="s">
        <v>3173</v>
      </c>
      <c r="L37" s="9" t="n">
        <f aca="false">IF(AND(ISNUMBER($E37),ISNUMBER($F37),ISNUMBER($G37)),IF(AND($F37&lt;=$E37,$E37&lt;=$G37),0,1),0)</f>
        <v>0</v>
      </c>
      <c r="M37" s="9" t="n">
        <f aca="false">IF(AND(OR($H37="Analogy",$H37="Assumed"),OR(NOT(ISNUMBER($F37)),NOT(ISNUMBER($G37)))),1,0)</f>
        <v>0</v>
      </c>
      <c r="N37" s="12" t="s">
        <v>3174</v>
      </c>
    </row>
    <row r="38" customFormat="false" ht="15" hidden="false" customHeight="false" outlineLevel="0" collapsed="false">
      <c r="A38" s="9" t="s">
        <v>3175</v>
      </c>
      <c r="B38" s="11" t="s">
        <v>3169</v>
      </c>
      <c r="C38" s="9" t="s">
        <v>2929</v>
      </c>
      <c r="D38" s="11" t="s">
        <v>3170</v>
      </c>
      <c r="E38" s="10" t="n">
        <v>0.6</v>
      </c>
      <c r="F38" s="10" t="n">
        <v>0.3</v>
      </c>
      <c r="G38" s="10" t="n">
        <v>1</v>
      </c>
      <c r="H38" s="9" t="s">
        <v>2861</v>
      </c>
      <c r="I38" s="11" t="s">
        <v>3176</v>
      </c>
      <c r="J38" s="9" t="s">
        <v>3177</v>
      </c>
      <c r="K38" s="9"/>
      <c r="L38" s="9" t="n">
        <f aca="false">IF(AND(ISNUMBER($E38),ISNUMBER($F38),ISNUMBER($G38)),IF(AND($F38&lt;=$E38,$E38&lt;=$G38),0,1),0)</f>
        <v>0</v>
      </c>
      <c r="M38" s="9" t="n">
        <f aca="false">IF(AND(OR($H38="Analogy",$H38="Assumed"),OR(NOT(ISNUMBER($F38)),NOT(ISNUMBER($G38)))),1,0)</f>
        <v>0</v>
      </c>
      <c r="N38" s="12" t="s">
        <v>3178</v>
      </c>
    </row>
    <row r="39" customFormat="false" ht="15" hidden="false" customHeight="false" outlineLevel="0" collapsed="false">
      <c r="A39" s="9" t="s">
        <v>3179</v>
      </c>
      <c r="B39" s="11" t="s">
        <v>3169</v>
      </c>
      <c r="C39" s="9" t="s">
        <v>1660</v>
      </c>
      <c r="D39" s="11" t="s">
        <v>3170</v>
      </c>
      <c r="E39" s="10" t="n">
        <v>0.4</v>
      </c>
      <c r="F39" s="10" t="n">
        <v>0.2</v>
      </c>
      <c r="G39" s="10" t="n">
        <v>0.7</v>
      </c>
      <c r="H39" s="9" t="s">
        <v>2861</v>
      </c>
      <c r="I39" s="11" t="s">
        <v>3061</v>
      </c>
      <c r="J39" s="11" t="s">
        <v>3061</v>
      </c>
      <c r="K39" s="9"/>
      <c r="L39" s="9" t="n">
        <f aca="false">IF(AND(ISNUMBER($E39),ISNUMBER($F39),ISNUMBER($G39)),IF(AND($F39&lt;=$E39,$E39&lt;=$G39),0,1),0)</f>
        <v>0</v>
      </c>
      <c r="M39" s="9" t="n">
        <f aca="false">IF(AND(OR($H39="Analogy",$H39="Assumed"),OR(NOT(ISNUMBER($F39)),NOT(ISNUMBER($G39)))),1,0)</f>
        <v>0</v>
      </c>
      <c r="N39" s="12" t="s">
        <v>3180</v>
      </c>
    </row>
    <row r="40" customFormat="false" ht="15" hidden="false" customHeight="false" outlineLevel="0" collapsed="false">
      <c r="A40" s="9" t="s">
        <v>3181</v>
      </c>
      <c r="B40" s="11" t="s">
        <v>3169</v>
      </c>
      <c r="C40" s="9" t="s">
        <v>2930</v>
      </c>
      <c r="D40" s="11" t="s">
        <v>3170</v>
      </c>
      <c r="E40" s="10" t="n">
        <v>0.3</v>
      </c>
      <c r="F40" s="10" t="n">
        <v>0.1</v>
      </c>
      <c r="G40" s="10" t="n">
        <v>0.5</v>
      </c>
      <c r="H40" s="9" t="s">
        <v>2861</v>
      </c>
      <c r="I40" s="11" t="s">
        <v>3061</v>
      </c>
      <c r="J40" s="11" t="s">
        <v>3061</v>
      </c>
      <c r="K40" s="9"/>
      <c r="L40" s="9" t="n">
        <f aca="false">IF(AND(ISNUMBER($E40),ISNUMBER($F40),ISNUMBER($G40)),IF(AND($F40&lt;=$E40,$E40&lt;=$G40),0,1),0)</f>
        <v>0</v>
      </c>
      <c r="M40" s="9" t="n">
        <f aca="false">IF(AND(OR($H40="Analogy",$H40="Assumed"),OR(NOT(ISNUMBER($F40)),NOT(ISNUMBER($G40)))),1,0)</f>
        <v>0</v>
      </c>
      <c r="N40" s="12" t="s">
        <v>3182</v>
      </c>
    </row>
    <row r="41" customFormat="false" ht="15" hidden="false" customHeight="false" outlineLevel="0" collapsed="false">
      <c r="A41" s="9" t="s">
        <v>3183</v>
      </c>
      <c r="B41" s="11" t="s">
        <v>3169</v>
      </c>
      <c r="C41" s="9" t="s">
        <v>2931</v>
      </c>
      <c r="D41" s="11" t="s">
        <v>3170</v>
      </c>
      <c r="E41" s="10" t="n">
        <v>0.2</v>
      </c>
      <c r="F41" s="10" t="n">
        <v>0.05</v>
      </c>
      <c r="G41" s="10" t="n">
        <v>0.4</v>
      </c>
      <c r="H41" s="9" t="s">
        <v>2861</v>
      </c>
      <c r="I41" s="11" t="s">
        <v>3061</v>
      </c>
      <c r="J41" s="11" t="s">
        <v>3061</v>
      </c>
      <c r="K41" s="9"/>
      <c r="L41" s="9" t="n">
        <f aca="false">IF(AND(ISNUMBER($E41),ISNUMBER($F41),ISNUMBER($G41)),IF(AND($F41&lt;=$E41,$E41&lt;=$G41),0,1),0)</f>
        <v>0</v>
      </c>
      <c r="M41" s="9" t="n">
        <f aca="false">IF(AND(OR($H41="Analogy",$H41="Assumed"),OR(NOT(ISNUMBER($F41)),NOT(ISNUMBER($G41)))),1,0)</f>
        <v>0</v>
      </c>
      <c r="N41" s="12" t="s">
        <v>3184</v>
      </c>
    </row>
    <row r="42" customFormat="false" ht="15" hidden="false" customHeight="false" outlineLevel="0" collapsed="false">
      <c r="A42" s="9" t="s">
        <v>3185</v>
      </c>
      <c r="B42" s="11" t="s">
        <v>3186</v>
      </c>
      <c r="C42" s="9" t="s">
        <v>306</v>
      </c>
      <c r="D42" s="11" t="s">
        <v>3170</v>
      </c>
      <c r="E42" s="10" t="n">
        <v>1</v>
      </c>
      <c r="F42" s="10" t="n">
        <v>0.5</v>
      </c>
      <c r="G42" s="10" t="n">
        <v>2</v>
      </c>
      <c r="H42" s="9" t="s">
        <v>2861</v>
      </c>
      <c r="I42" s="11" t="s">
        <v>3187</v>
      </c>
      <c r="J42" s="11" t="s">
        <v>3188</v>
      </c>
      <c r="K42" s="11" t="s">
        <v>3189</v>
      </c>
      <c r="L42" s="9" t="n">
        <f aca="false">IF(AND(ISNUMBER($E42),ISNUMBER($F42),ISNUMBER($G42)),IF(AND($F42&lt;=$E42,$E42&lt;=$G42),0,1),0)</f>
        <v>0</v>
      </c>
      <c r="M42" s="9" t="n">
        <f aca="false">IF(AND(OR($H42="Analogy",$H42="Assumed"),OR(NOT(ISNUMBER($F42)),NOT(ISNUMBER($G42)))),1,0)</f>
        <v>0</v>
      </c>
      <c r="N42" s="12" t="s">
        <v>3190</v>
      </c>
    </row>
    <row r="43" customFormat="false" ht="15" hidden="false" customHeight="false" outlineLevel="0" collapsed="false">
      <c r="A43" s="9" t="s">
        <v>3191</v>
      </c>
      <c r="B43" s="11" t="s">
        <v>3186</v>
      </c>
      <c r="C43" s="9" t="s">
        <v>2929</v>
      </c>
      <c r="D43" s="11" t="s">
        <v>3170</v>
      </c>
      <c r="E43" s="10" t="n">
        <v>0.5</v>
      </c>
      <c r="F43" s="10" t="n">
        <v>0.2</v>
      </c>
      <c r="G43" s="10" t="n">
        <v>0.8</v>
      </c>
      <c r="H43" s="9" t="s">
        <v>2861</v>
      </c>
      <c r="I43" s="11" t="s">
        <v>3192</v>
      </c>
      <c r="J43" s="9" t="s">
        <v>3193</v>
      </c>
      <c r="K43" s="9"/>
      <c r="L43" s="9" t="n">
        <f aca="false">IF(AND(ISNUMBER($E43),ISNUMBER($F43),ISNUMBER($G43)),IF(AND($F43&lt;=$E43,$E43&lt;=$G43),0,1),0)</f>
        <v>0</v>
      </c>
      <c r="M43" s="9" t="n">
        <f aca="false">IF(AND(OR($H43="Analogy",$H43="Assumed"),OR(NOT(ISNUMBER($F43)),NOT(ISNUMBER($G43)))),1,0)</f>
        <v>0</v>
      </c>
      <c r="N43" s="12" t="s">
        <v>3194</v>
      </c>
    </row>
    <row r="44" customFormat="false" ht="15" hidden="false" customHeight="false" outlineLevel="0" collapsed="false">
      <c r="A44" s="9" t="s">
        <v>3195</v>
      </c>
      <c r="B44" s="11" t="s">
        <v>3186</v>
      </c>
      <c r="C44" s="9" t="s">
        <v>1660</v>
      </c>
      <c r="D44" s="11" t="s">
        <v>3170</v>
      </c>
      <c r="E44" s="10" t="n">
        <v>0.3</v>
      </c>
      <c r="F44" s="10" t="n">
        <v>0.1</v>
      </c>
      <c r="G44" s="10" t="n">
        <v>0.5</v>
      </c>
      <c r="H44" s="9" t="s">
        <v>2861</v>
      </c>
      <c r="I44" s="11" t="s">
        <v>3061</v>
      </c>
      <c r="J44" s="9" t="s">
        <v>3149</v>
      </c>
      <c r="K44" s="9"/>
      <c r="L44" s="9" t="n">
        <f aca="false">IF(AND(ISNUMBER($E44),ISNUMBER($F44),ISNUMBER($G44)),IF(AND($F44&lt;=$E44,$E44&lt;=$G44),0,1),0)</f>
        <v>0</v>
      </c>
      <c r="M44" s="9" t="n">
        <f aca="false">IF(AND(OR($H44="Analogy",$H44="Assumed"),OR(NOT(ISNUMBER($F44)),NOT(ISNUMBER($G44)))),1,0)</f>
        <v>0</v>
      </c>
      <c r="N44" s="12" t="s">
        <v>3196</v>
      </c>
    </row>
    <row r="45" customFormat="false" ht="15" hidden="false" customHeight="false" outlineLevel="0" collapsed="false">
      <c r="A45" s="9" t="s">
        <v>3197</v>
      </c>
      <c r="B45" s="11" t="s">
        <v>3186</v>
      </c>
      <c r="C45" s="9" t="s">
        <v>2930</v>
      </c>
      <c r="D45" s="11" t="s">
        <v>3170</v>
      </c>
      <c r="E45" s="10" t="n">
        <v>0.2</v>
      </c>
      <c r="F45" s="10" t="n">
        <v>0.05</v>
      </c>
      <c r="G45" s="10" t="n">
        <v>0.4</v>
      </c>
      <c r="H45" s="9" t="s">
        <v>2861</v>
      </c>
      <c r="I45" s="11" t="s">
        <v>3061</v>
      </c>
      <c r="J45" s="11" t="s">
        <v>3061</v>
      </c>
      <c r="K45" s="9"/>
      <c r="L45" s="9" t="n">
        <f aca="false">IF(AND(ISNUMBER($E45),ISNUMBER($F45),ISNUMBER($G45)),IF(AND($F45&lt;=$E45,$E45&lt;=$G45),0,1),0)</f>
        <v>0</v>
      </c>
      <c r="M45" s="9" t="n">
        <f aca="false">IF(AND(OR($H45="Analogy",$H45="Assumed"),OR(NOT(ISNUMBER($F45)),NOT(ISNUMBER($G45)))),1,0)</f>
        <v>0</v>
      </c>
      <c r="N45" s="12" t="s">
        <v>3198</v>
      </c>
    </row>
    <row r="46" customFormat="false" ht="15" hidden="false" customHeight="false" outlineLevel="0" collapsed="false">
      <c r="A46" s="9" t="s">
        <v>3199</v>
      </c>
      <c r="B46" s="11" t="s">
        <v>3186</v>
      </c>
      <c r="C46" s="9" t="s">
        <v>2931</v>
      </c>
      <c r="D46" s="11" t="s">
        <v>3170</v>
      </c>
      <c r="E46" s="10" t="n">
        <v>0.15</v>
      </c>
      <c r="F46" s="10" t="n">
        <v>0.05</v>
      </c>
      <c r="G46" s="10" t="n">
        <v>0.3</v>
      </c>
      <c r="H46" s="9" t="s">
        <v>2861</v>
      </c>
      <c r="I46" s="11" t="s">
        <v>3061</v>
      </c>
      <c r="J46" s="11" t="s">
        <v>3061</v>
      </c>
      <c r="K46" s="9"/>
      <c r="L46" s="9" t="n">
        <f aca="false">IF(AND(ISNUMBER($E46),ISNUMBER($F46),ISNUMBER($G46)),IF(AND($F46&lt;=$E46,$E46&lt;=$G46),0,1),0)</f>
        <v>0</v>
      </c>
      <c r="M46" s="9" t="n">
        <f aca="false">IF(AND(OR($H46="Analogy",$H46="Assumed"),OR(NOT(ISNUMBER($F46)),NOT(ISNUMBER($G46)))),1,0)</f>
        <v>0</v>
      </c>
      <c r="N46" s="12" t="s">
        <v>3200</v>
      </c>
    </row>
    <row r="47" customFormat="false" ht="15" hidden="false" customHeight="false" outlineLevel="0" collapsed="false">
      <c r="A47" s="9" t="s">
        <v>3201</v>
      </c>
      <c r="B47" s="11" t="s">
        <v>3202</v>
      </c>
      <c r="C47" s="9" t="s">
        <v>306</v>
      </c>
      <c r="D47" s="11" t="s">
        <v>3170</v>
      </c>
      <c r="E47" s="10" t="n">
        <v>3</v>
      </c>
      <c r="F47" s="10" t="n">
        <v>1</v>
      </c>
      <c r="G47" s="10" t="n">
        <v>5</v>
      </c>
      <c r="H47" s="9" t="s">
        <v>2861</v>
      </c>
      <c r="I47" s="9" t="s">
        <v>3203</v>
      </c>
      <c r="J47" s="11" t="s">
        <v>3204</v>
      </c>
      <c r="K47" s="9" t="s">
        <v>3205</v>
      </c>
      <c r="L47" s="9" t="n">
        <f aca="false">IF(AND(ISNUMBER($E47),ISNUMBER($F47),ISNUMBER($G47)),IF(AND($F47&lt;=$E47,$E47&lt;=$G47),0,1),0)</f>
        <v>0</v>
      </c>
      <c r="M47" s="9" t="n">
        <f aca="false">IF(AND(OR($H47="Analogy",$H47="Assumed"),OR(NOT(ISNUMBER($F47)),NOT(ISNUMBER($G47)))),1,0)</f>
        <v>0</v>
      </c>
      <c r="N47" s="12" t="s">
        <v>3206</v>
      </c>
    </row>
    <row r="48" customFormat="false" ht="15" hidden="false" customHeight="false" outlineLevel="0" collapsed="false">
      <c r="A48" s="9" t="s">
        <v>3207</v>
      </c>
      <c r="B48" s="11" t="s">
        <v>3202</v>
      </c>
      <c r="C48" s="9" t="s">
        <v>2929</v>
      </c>
      <c r="D48" s="11" t="s">
        <v>3170</v>
      </c>
      <c r="E48" s="10" t="n">
        <v>1</v>
      </c>
      <c r="F48" s="10" t="n">
        <v>0.5</v>
      </c>
      <c r="G48" s="10" t="n">
        <v>1.5</v>
      </c>
      <c r="H48" s="9" t="s">
        <v>2861</v>
      </c>
      <c r="I48" s="11" t="s">
        <v>3176</v>
      </c>
      <c r="J48" s="9" t="s">
        <v>3208</v>
      </c>
      <c r="K48" s="9"/>
      <c r="L48" s="9" t="n">
        <f aca="false">IF(AND(ISNUMBER($E48),ISNUMBER($F48),ISNUMBER($G48)),IF(AND($F48&lt;=$E48,$E48&lt;=$G48),0,1),0)</f>
        <v>0</v>
      </c>
      <c r="M48" s="9" t="n">
        <f aca="false">IF(AND(OR($H48="Analogy",$H48="Assumed"),OR(NOT(ISNUMBER($F48)),NOT(ISNUMBER($G48)))),1,0)</f>
        <v>0</v>
      </c>
      <c r="N48" s="12" t="s">
        <v>3209</v>
      </c>
    </row>
    <row r="49" customFormat="false" ht="15" hidden="false" customHeight="false" outlineLevel="0" collapsed="false">
      <c r="A49" s="9" t="s">
        <v>3210</v>
      </c>
      <c r="B49" s="11" t="s">
        <v>3202</v>
      </c>
      <c r="C49" s="9" t="s">
        <v>1660</v>
      </c>
      <c r="D49" s="11" t="s">
        <v>3170</v>
      </c>
      <c r="E49" s="10" t="n">
        <v>0.5</v>
      </c>
      <c r="F49" s="10" t="n">
        <v>0.25</v>
      </c>
      <c r="G49" s="10" t="n">
        <v>0.8</v>
      </c>
      <c r="H49" s="9" t="s">
        <v>2861</v>
      </c>
      <c r="I49" s="11" t="s">
        <v>3061</v>
      </c>
      <c r="J49" s="11" t="s">
        <v>3061</v>
      </c>
      <c r="K49" s="9"/>
      <c r="L49" s="9" t="n">
        <f aca="false">IF(AND(ISNUMBER($E49),ISNUMBER($F49),ISNUMBER($G49)),IF(AND($F49&lt;=$E49,$E49&lt;=$G49),0,1),0)</f>
        <v>0</v>
      </c>
      <c r="M49" s="9" t="n">
        <f aca="false">IF(AND(OR($H49="Analogy",$H49="Assumed"),OR(NOT(ISNUMBER($F49)),NOT(ISNUMBER($G49)))),1,0)</f>
        <v>0</v>
      </c>
      <c r="N49" s="12" t="s">
        <v>3211</v>
      </c>
    </row>
    <row r="50" customFormat="false" ht="15" hidden="false" customHeight="false" outlineLevel="0" collapsed="false">
      <c r="A50" s="9" t="s">
        <v>3212</v>
      </c>
      <c r="B50" s="11" t="s">
        <v>3202</v>
      </c>
      <c r="C50" s="9" t="s">
        <v>2930</v>
      </c>
      <c r="D50" s="11" t="s">
        <v>3170</v>
      </c>
      <c r="E50" s="10" t="n">
        <v>0.35</v>
      </c>
      <c r="F50" s="10" t="n">
        <v>0.15</v>
      </c>
      <c r="G50" s="10" t="n">
        <v>0.5</v>
      </c>
      <c r="H50" s="9" t="s">
        <v>2861</v>
      </c>
      <c r="I50" s="11" t="s">
        <v>3061</v>
      </c>
      <c r="J50" s="11" t="s">
        <v>3061</v>
      </c>
      <c r="K50" s="9"/>
      <c r="L50" s="9" t="n">
        <f aca="false">IF(AND(ISNUMBER($E50),ISNUMBER($F50),ISNUMBER($G50)),IF(AND($F50&lt;=$E50,$E50&lt;=$G50),0,1),0)</f>
        <v>0</v>
      </c>
      <c r="M50" s="9" t="n">
        <f aca="false">IF(AND(OR($H50="Analogy",$H50="Assumed"),OR(NOT(ISNUMBER($F50)),NOT(ISNUMBER($G50)))),1,0)</f>
        <v>0</v>
      </c>
      <c r="N50" s="12" t="s">
        <v>3213</v>
      </c>
    </row>
    <row r="51" customFormat="false" ht="15" hidden="false" customHeight="false" outlineLevel="0" collapsed="false">
      <c r="A51" s="9" t="s">
        <v>3214</v>
      </c>
      <c r="B51" s="11" t="s">
        <v>3202</v>
      </c>
      <c r="C51" s="9" t="s">
        <v>2931</v>
      </c>
      <c r="D51" s="11" t="s">
        <v>3170</v>
      </c>
      <c r="E51" s="10" t="n">
        <v>0.25</v>
      </c>
      <c r="F51" s="10" t="n">
        <v>0.1</v>
      </c>
      <c r="G51" s="10" t="n">
        <v>0.4</v>
      </c>
      <c r="H51" s="9" t="s">
        <v>2861</v>
      </c>
      <c r="I51" s="11" t="s">
        <v>3061</v>
      </c>
      <c r="J51" s="11" t="s">
        <v>3061</v>
      </c>
      <c r="K51" s="9"/>
      <c r="L51" s="9" t="n">
        <f aca="false">IF(AND(ISNUMBER($E51),ISNUMBER($F51),ISNUMBER($G51)),IF(AND($F51&lt;=$E51,$E51&lt;=$G51),0,1),0)</f>
        <v>0</v>
      </c>
      <c r="M51" s="9" t="n">
        <f aca="false">IF(AND(OR($H51="Analogy",$H51="Assumed"),OR(NOT(ISNUMBER($F51)),NOT(ISNUMBER($G51)))),1,0)</f>
        <v>0</v>
      </c>
      <c r="N51" s="12" t="s">
        <v>3215</v>
      </c>
    </row>
    <row r="52" customFormat="false" ht="15" hidden="false" customHeight="false" outlineLevel="0" collapsed="false">
      <c r="A52" s="9" t="s">
        <v>3216</v>
      </c>
      <c r="B52" s="11" t="s">
        <v>3217</v>
      </c>
      <c r="C52" s="9" t="s">
        <v>77</v>
      </c>
      <c r="D52" s="11" t="s">
        <v>3218</v>
      </c>
      <c r="E52" s="10" t="n">
        <v>2</v>
      </c>
      <c r="F52" s="10" t="n">
        <v>1</v>
      </c>
      <c r="G52" s="10" t="n">
        <v>4</v>
      </c>
      <c r="H52" s="9" t="s">
        <v>299</v>
      </c>
      <c r="I52" s="9" t="s">
        <v>3219</v>
      </c>
      <c r="J52" s="9" t="s">
        <v>3220</v>
      </c>
      <c r="K52" s="9" t="s">
        <v>3221</v>
      </c>
      <c r="L52" s="9" t="n">
        <f aca="false">IF(AND(ISNUMBER($E52),ISNUMBER($F52),ISNUMBER($G52)),IF(AND($F52&lt;=$E52,$E52&lt;=$G52),0,1),0)</f>
        <v>0</v>
      </c>
      <c r="M52" s="9" t="n">
        <f aca="false">IF(AND(OR($H52="Analogy",$H52="Assumed"),OR(NOT(ISNUMBER($F52)),NOT(ISNUMBER($G52)))),1,0)</f>
        <v>0</v>
      </c>
      <c r="N52" s="12" t="s">
        <v>3222</v>
      </c>
    </row>
    <row r="53" customFormat="false" ht="15" hidden="false" customHeight="false" outlineLevel="0" collapsed="false">
      <c r="A53" s="9" t="s">
        <v>3223</v>
      </c>
      <c r="B53" s="11" t="s">
        <v>3224</v>
      </c>
      <c r="C53" s="9" t="s">
        <v>77</v>
      </c>
      <c r="D53" s="11" t="s">
        <v>3218</v>
      </c>
      <c r="E53" s="10" t="n">
        <v>8</v>
      </c>
      <c r="F53" s="10" t="n">
        <v>4</v>
      </c>
      <c r="G53" s="10" t="n">
        <v>15</v>
      </c>
      <c r="H53" s="9" t="s">
        <v>299</v>
      </c>
      <c r="I53" s="9" t="s">
        <v>3225</v>
      </c>
      <c r="J53" s="9" t="s">
        <v>3220</v>
      </c>
      <c r="K53" s="9"/>
      <c r="L53" s="9" t="n">
        <f aca="false">IF(AND(ISNUMBER($E53),ISNUMBER($F53),ISNUMBER($G53)),IF(AND($F53&lt;=$E53,$E53&lt;=$G53),0,1),0)</f>
        <v>0</v>
      </c>
      <c r="M53" s="9" t="n">
        <f aca="false">IF(AND(OR($H53="Analogy",$H53="Assumed"),OR(NOT(ISNUMBER($F53)),NOT(ISNUMBER($G53)))),1,0)</f>
        <v>0</v>
      </c>
      <c r="N53" s="12" t="s">
        <v>3226</v>
      </c>
    </row>
    <row r="54" customFormat="false" ht="15" hidden="false" customHeight="false" outlineLevel="0" collapsed="false">
      <c r="A54" s="9" t="s">
        <v>3227</v>
      </c>
      <c r="B54" s="11" t="s">
        <v>3228</v>
      </c>
      <c r="C54" s="9" t="s">
        <v>77</v>
      </c>
      <c r="D54" s="11" t="s">
        <v>3218</v>
      </c>
      <c r="E54" s="10" t="n">
        <v>20</v>
      </c>
      <c r="F54" s="10" t="n">
        <v>10</v>
      </c>
      <c r="G54" s="10" t="n">
        <v>40</v>
      </c>
      <c r="H54" s="9" t="s">
        <v>299</v>
      </c>
      <c r="I54" s="9" t="s">
        <v>3229</v>
      </c>
      <c r="J54" s="9" t="s">
        <v>3220</v>
      </c>
      <c r="K54" s="9"/>
      <c r="L54" s="9" t="n">
        <f aca="false">IF(AND(ISNUMBER($E54),ISNUMBER($F54),ISNUMBER($G54)),IF(AND($F54&lt;=$E54,$E54&lt;=$G54),0,1),0)</f>
        <v>0</v>
      </c>
      <c r="M54" s="9" t="n">
        <f aca="false">IF(AND(OR($H54="Analogy",$H54="Assumed"),OR(NOT(ISNUMBER($F54)),NOT(ISNUMBER($G54)))),1,0)</f>
        <v>0</v>
      </c>
      <c r="N54" s="12" t="s">
        <v>3230</v>
      </c>
    </row>
    <row r="55" customFormat="false" ht="15" hidden="false" customHeight="false" outlineLevel="0" collapsed="false">
      <c r="A55" s="9" t="s">
        <v>3231</v>
      </c>
      <c r="B55" s="11" t="s">
        <v>3232</v>
      </c>
      <c r="C55" s="9" t="s">
        <v>77</v>
      </c>
      <c r="D55" s="11" t="s">
        <v>3218</v>
      </c>
      <c r="E55" s="10" t="n">
        <v>40</v>
      </c>
      <c r="F55" s="10" t="n">
        <v>20</v>
      </c>
      <c r="G55" s="10" t="n">
        <v>80</v>
      </c>
      <c r="H55" s="9" t="s">
        <v>299</v>
      </c>
      <c r="I55" s="11" t="s">
        <v>3233</v>
      </c>
      <c r="J55" s="9" t="s">
        <v>3220</v>
      </c>
      <c r="K55" s="9"/>
      <c r="L55" s="9" t="n">
        <f aca="false">IF(AND(ISNUMBER($E55),ISNUMBER($F55),ISNUMBER($G55)),IF(AND($F55&lt;=$E55,$E55&lt;=$G55),0,1),0)</f>
        <v>0</v>
      </c>
      <c r="M55" s="9" t="n">
        <f aca="false">IF(AND(OR($H55="Analogy",$H55="Assumed"),OR(NOT(ISNUMBER($F55)),NOT(ISNUMBER($G55)))),1,0)</f>
        <v>0</v>
      </c>
      <c r="N55" s="12" t="s">
        <v>3234</v>
      </c>
    </row>
    <row r="56" customFormat="false" ht="15" hidden="false" customHeight="false" outlineLevel="0" collapsed="false">
      <c r="A56" s="9" t="s">
        <v>3235</v>
      </c>
      <c r="B56" s="11" t="s">
        <v>3236</v>
      </c>
      <c r="C56" s="9" t="s">
        <v>77</v>
      </c>
      <c r="D56" s="11" t="s">
        <v>3218</v>
      </c>
      <c r="E56" s="10" t="n">
        <v>6</v>
      </c>
      <c r="F56" s="10" t="n">
        <v>3</v>
      </c>
      <c r="G56" s="10" t="n">
        <v>12</v>
      </c>
      <c r="H56" s="9" t="s">
        <v>299</v>
      </c>
      <c r="I56" s="9" t="s">
        <v>3237</v>
      </c>
      <c r="J56" s="9" t="s">
        <v>3220</v>
      </c>
      <c r="K56" s="9"/>
      <c r="L56" s="9" t="n">
        <f aca="false">IF(AND(ISNUMBER($E56),ISNUMBER($F56),ISNUMBER($G56)),IF(AND($F56&lt;=$E56,$E56&lt;=$G56),0,1),0)</f>
        <v>0</v>
      </c>
      <c r="M56" s="9" t="n">
        <f aca="false">IF(AND(OR($H56="Analogy",$H56="Assumed"),OR(NOT(ISNUMBER($F56)),NOT(ISNUMBER($G56)))),1,0)</f>
        <v>0</v>
      </c>
      <c r="N56" s="12" t="s">
        <v>3238</v>
      </c>
    </row>
    <row r="57" customFormat="false" ht="15" hidden="false" customHeight="false" outlineLevel="0" collapsed="false">
      <c r="A57" s="9" t="s">
        <v>3239</v>
      </c>
      <c r="B57" s="11" t="s">
        <v>3240</v>
      </c>
      <c r="C57" s="9" t="s">
        <v>77</v>
      </c>
      <c r="D57" s="11" t="s">
        <v>3218</v>
      </c>
      <c r="E57" s="10" t="n">
        <v>15</v>
      </c>
      <c r="F57" s="10" t="n">
        <v>8</v>
      </c>
      <c r="G57" s="10" t="n">
        <v>30</v>
      </c>
      <c r="H57" s="9" t="s">
        <v>2861</v>
      </c>
      <c r="I57" s="9" t="s">
        <v>3241</v>
      </c>
      <c r="J57" s="9" t="s">
        <v>3220</v>
      </c>
      <c r="K57" s="9"/>
      <c r="L57" s="9" t="n">
        <f aca="false">IF(AND(ISNUMBER($E57),ISNUMBER($F57),ISNUMBER($G57)),IF(AND($F57&lt;=$E57,$E57&lt;=$G57),0,1),0)</f>
        <v>0</v>
      </c>
      <c r="M57" s="9" t="n">
        <f aca="false">IF(AND(OR($H57="Analogy",$H57="Assumed"),OR(NOT(ISNUMBER($F57)),NOT(ISNUMBER($G57)))),1,0)</f>
        <v>0</v>
      </c>
      <c r="N57" s="12" t="s">
        <v>3242</v>
      </c>
    </row>
    <row r="58" customFormat="false" ht="15" hidden="false" customHeight="false" outlineLevel="0" collapsed="false">
      <c r="A58" s="9" t="s">
        <v>3243</v>
      </c>
      <c r="B58" s="11" t="s">
        <v>3244</v>
      </c>
      <c r="C58" s="9" t="s">
        <v>77</v>
      </c>
      <c r="D58" s="11" t="s">
        <v>3218</v>
      </c>
      <c r="E58" s="10" t="n">
        <v>8</v>
      </c>
      <c r="F58" s="10" t="n">
        <v>4</v>
      </c>
      <c r="G58" s="10" t="n">
        <v>15</v>
      </c>
      <c r="H58" s="9" t="s">
        <v>299</v>
      </c>
      <c r="I58" s="9" t="s">
        <v>3245</v>
      </c>
      <c r="J58" s="9" t="s">
        <v>3220</v>
      </c>
      <c r="K58" s="9"/>
      <c r="L58" s="9" t="n">
        <f aca="false">IF(AND(ISNUMBER($E58),ISNUMBER($F58),ISNUMBER($G58)),IF(AND($F58&lt;=$E58,$E58&lt;=$G58),0,1),0)</f>
        <v>0</v>
      </c>
      <c r="M58" s="9" t="n">
        <f aca="false">IF(AND(OR($H58="Analogy",$H58="Assumed"),OR(NOT(ISNUMBER($F58)),NOT(ISNUMBER($G58)))),1,0)</f>
        <v>0</v>
      </c>
      <c r="N58" s="12" t="s">
        <v>3246</v>
      </c>
    </row>
    <row r="59" customFormat="false" ht="15" hidden="false" customHeight="false" outlineLevel="0" collapsed="false">
      <c r="A59" s="9" t="s">
        <v>3247</v>
      </c>
      <c r="B59" s="11" t="s">
        <v>3248</v>
      </c>
      <c r="C59" s="9" t="s">
        <v>3139</v>
      </c>
      <c r="D59" s="11" t="s">
        <v>3170</v>
      </c>
      <c r="E59" s="10" t="n">
        <v>0.1</v>
      </c>
      <c r="F59" s="10" t="n">
        <v>0.05</v>
      </c>
      <c r="G59" s="10" t="n">
        <v>0.2</v>
      </c>
      <c r="H59" s="9" t="s">
        <v>299</v>
      </c>
      <c r="I59" s="9" t="s">
        <v>3249</v>
      </c>
      <c r="J59" s="11" t="s">
        <v>3250</v>
      </c>
      <c r="K59" s="11" t="s">
        <v>3251</v>
      </c>
      <c r="L59" s="9" t="n">
        <f aca="false">IF(AND(ISNUMBER($E59),ISNUMBER($F59),ISNUMBER($G59)),IF(AND($F59&lt;=$E59,$E59&lt;=$G59),0,1),0)</f>
        <v>0</v>
      </c>
      <c r="M59" s="9" t="n">
        <f aca="false">IF(AND(OR($H59="Analogy",$H59="Assumed"),OR(NOT(ISNUMBER($F59)),NOT(ISNUMBER($G59)))),1,0)</f>
        <v>0</v>
      </c>
      <c r="N59" s="12" t="s">
        <v>3252</v>
      </c>
    </row>
    <row r="60" customFormat="false" ht="15" hidden="false" customHeight="false" outlineLevel="0" collapsed="false">
      <c r="A60" s="9" t="s">
        <v>3253</v>
      </c>
      <c r="B60" s="11" t="s">
        <v>3254</v>
      </c>
      <c r="C60" s="9" t="s">
        <v>3255</v>
      </c>
      <c r="D60" s="11" t="s">
        <v>269</v>
      </c>
      <c r="E60" s="10" t="n">
        <v>0.95</v>
      </c>
      <c r="F60" s="10" t="n">
        <v>0.85</v>
      </c>
      <c r="G60" s="10" t="n">
        <v>1</v>
      </c>
      <c r="H60" s="9" t="s">
        <v>2861</v>
      </c>
      <c r="I60" s="11" t="s">
        <v>3256</v>
      </c>
      <c r="J60" s="9" t="s">
        <v>3257</v>
      </c>
      <c r="K60" s="11" t="s">
        <v>3258</v>
      </c>
      <c r="L60" s="9" t="n">
        <f aca="false">IF(AND(ISNUMBER($E60),ISNUMBER($F60),ISNUMBER($G60)),IF(AND($F60&lt;=$E60,$E60&lt;=$G60),0,1),0)</f>
        <v>0</v>
      </c>
      <c r="M60" s="9" t="n">
        <f aca="false">IF(AND(OR($H60="Analogy",$H60="Assumed"),OR(NOT(ISNUMBER($F60)),NOT(ISNUMBER($G60)))),1,0)</f>
        <v>0</v>
      </c>
      <c r="N60" s="12" t="s">
        <v>3259</v>
      </c>
    </row>
    <row r="61" customFormat="false" ht="15" hidden="false" customHeight="false" outlineLevel="0" collapsed="false">
      <c r="A61" s="9" t="s">
        <v>3260</v>
      </c>
      <c r="B61" s="11" t="s">
        <v>3261</v>
      </c>
      <c r="C61" s="9" t="s">
        <v>3255</v>
      </c>
      <c r="D61" s="11" t="s">
        <v>269</v>
      </c>
      <c r="E61" s="10" t="n">
        <v>0</v>
      </c>
      <c r="F61" s="10" t="n">
        <v>0</v>
      </c>
      <c r="G61" s="10" t="n">
        <v>0.05</v>
      </c>
      <c r="H61" s="9" t="s">
        <v>2861</v>
      </c>
      <c r="I61" s="11" t="s">
        <v>3256</v>
      </c>
      <c r="J61" s="11" t="s">
        <v>3262</v>
      </c>
      <c r="K61" s="9"/>
      <c r="L61" s="9" t="n">
        <f aca="false">IF(AND(ISNUMBER($E61),ISNUMBER($F61),ISNUMBER($G61)),IF(AND($F61&lt;=$E61,$E61&lt;=$G61),0,1),0)</f>
        <v>0</v>
      </c>
      <c r="M61" s="9" t="n">
        <f aca="false">IF(AND(OR($H61="Analogy",$H61="Assumed"),OR(NOT(ISNUMBER($F61)),NOT(ISNUMBER($G61)))),1,0)</f>
        <v>0</v>
      </c>
      <c r="N61" s="12" t="s">
        <v>3263</v>
      </c>
    </row>
    <row r="62" customFormat="false" ht="15" hidden="false" customHeight="false" outlineLevel="0" collapsed="false">
      <c r="A62" s="9" t="s">
        <v>3264</v>
      </c>
      <c r="B62" s="11" t="s">
        <v>3254</v>
      </c>
      <c r="C62" s="9" t="s">
        <v>3265</v>
      </c>
      <c r="D62" s="11" t="s">
        <v>269</v>
      </c>
      <c r="E62" s="10" t="n">
        <v>0.65</v>
      </c>
      <c r="F62" s="10" t="n">
        <v>0.5</v>
      </c>
      <c r="G62" s="10" t="n">
        <v>0.8</v>
      </c>
      <c r="H62" s="9" t="s">
        <v>2861</v>
      </c>
      <c r="I62" s="9" t="s">
        <v>3266</v>
      </c>
      <c r="J62" s="9" t="s">
        <v>3158</v>
      </c>
      <c r="K62" s="9"/>
      <c r="L62" s="9" t="n">
        <f aca="false">IF(AND(ISNUMBER($E62),ISNUMBER($F62),ISNUMBER($G62)),IF(AND($F62&lt;=$E62,$E62&lt;=$G62),0,1),0)</f>
        <v>0</v>
      </c>
      <c r="M62" s="9" t="n">
        <f aca="false">IF(AND(OR($H62="Analogy",$H62="Assumed"),OR(NOT(ISNUMBER($F62)),NOT(ISNUMBER($G62)))),1,0)</f>
        <v>0</v>
      </c>
      <c r="N62" s="12" t="s">
        <v>3267</v>
      </c>
    </row>
    <row r="63" customFormat="false" ht="15" hidden="false" customHeight="false" outlineLevel="0" collapsed="false">
      <c r="A63" s="9" t="s">
        <v>3268</v>
      </c>
      <c r="B63" s="11" t="s">
        <v>3261</v>
      </c>
      <c r="C63" s="9" t="s">
        <v>3265</v>
      </c>
      <c r="D63" s="11" t="s">
        <v>269</v>
      </c>
      <c r="E63" s="10" t="n">
        <v>0.25</v>
      </c>
      <c r="F63" s="10" t="n">
        <v>0.1</v>
      </c>
      <c r="G63" s="10" t="n">
        <v>0.4</v>
      </c>
      <c r="H63" s="9" t="s">
        <v>2861</v>
      </c>
      <c r="I63" s="11" t="s">
        <v>3061</v>
      </c>
      <c r="J63" s="9" t="s">
        <v>3158</v>
      </c>
      <c r="K63" s="9"/>
      <c r="L63" s="9" t="n">
        <f aca="false">IF(AND(ISNUMBER($E63),ISNUMBER($F63),ISNUMBER($G63)),IF(AND($F63&lt;=$E63,$E63&lt;=$G63),0,1),0)</f>
        <v>0</v>
      </c>
      <c r="M63" s="9" t="n">
        <f aca="false">IF(AND(OR($H63="Analogy",$H63="Assumed"),OR(NOT(ISNUMBER($F63)),NOT(ISNUMBER($G63)))),1,0)</f>
        <v>0</v>
      </c>
      <c r="N63" s="12" t="s">
        <v>3269</v>
      </c>
    </row>
    <row r="64" customFormat="false" ht="15" hidden="false" customHeight="false" outlineLevel="0" collapsed="false">
      <c r="A64" s="9" t="s">
        <v>3270</v>
      </c>
      <c r="B64" s="11" t="s">
        <v>3254</v>
      </c>
      <c r="C64" s="9" t="s">
        <v>3271</v>
      </c>
      <c r="D64" s="11" t="s">
        <v>269</v>
      </c>
      <c r="E64" s="10" t="n">
        <v>0.3</v>
      </c>
      <c r="F64" s="10" t="n">
        <v>0.15</v>
      </c>
      <c r="G64" s="10" t="n">
        <v>0.5</v>
      </c>
      <c r="H64" s="9" t="s">
        <v>2861</v>
      </c>
      <c r="I64" s="9" t="s">
        <v>3272</v>
      </c>
      <c r="J64" s="9" t="s">
        <v>3273</v>
      </c>
      <c r="K64" s="9"/>
      <c r="L64" s="9" t="n">
        <f aca="false">IF(AND(ISNUMBER($E64),ISNUMBER($F64),ISNUMBER($G64)),IF(AND($F64&lt;=$E64,$E64&lt;=$G64),0,1),0)</f>
        <v>0</v>
      </c>
      <c r="M64" s="9" t="n">
        <f aca="false">IF(AND(OR($H64="Analogy",$H64="Assumed"),OR(NOT(ISNUMBER($F64)),NOT(ISNUMBER($G64)))),1,0)</f>
        <v>0</v>
      </c>
      <c r="N64" s="12" t="s">
        <v>3274</v>
      </c>
    </row>
    <row r="65" customFormat="false" ht="15" hidden="false" customHeight="false" outlineLevel="0" collapsed="false">
      <c r="A65" s="9" t="s">
        <v>3275</v>
      </c>
      <c r="B65" s="11" t="s">
        <v>3261</v>
      </c>
      <c r="C65" s="9" t="s">
        <v>3271</v>
      </c>
      <c r="D65" s="11" t="s">
        <v>269</v>
      </c>
      <c r="E65" s="10" t="n">
        <v>0.6</v>
      </c>
      <c r="F65" s="10" t="n">
        <v>0.4</v>
      </c>
      <c r="G65" s="10" t="n">
        <v>0.75</v>
      </c>
      <c r="H65" s="9" t="s">
        <v>2861</v>
      </c>
      <c r="I65" s="11" t="s">
        <v>3061</v>
      </c>
      <c r="J65" s="11" t="s">
        <v>3061</v>
      </c>
      <c r="K65" s="9"/>
      <c r="L65" s="9" t="n">
        <f aca="false">IF(AND(ISNUMBER($E65),ISNUMBER($F65),ISNUMBER($G65)),IF(AND($F65&lt;=$E65,$E65&lt;=$G65),0,1),0)</f>
        <v>0</v>
      </c>
      <c r="M65" s="9" t="n">
        <f aca="false">IF(AND(OR($H65="Analogy",$H65="Assumed"),OR(NOT(ISNUMBER($F65)),NOT(ISNUMBER($G65)))),1,0)</f>
        <v>0</v>
      </c>
      <c r="N65" s="12" t="s">
        <v>3276</v>
      </c>
    </row>
    <row r="66" customFormat="false" ht="15" hidden="false" customHeight="false" outlineLevel="0" collapsed="false">
      <c r="A66" s="9" t="s">
        <v>3277</v>
      </c>
      <c r="B66" s="11" t="s">
        <v>3254</v>
      </c>
      <c r="C66" s="9" t="s">
        <v>3278</v>
      </c>
      <c r="D66" s="11" t="s">
        <v>269</v>
      </c>
      <c r="E66" s="10" t="n">
        <v>0.2</v>
      </c>
      <c r="F66" s="10" t="n">
        <v>0.1</v>
      </c>
      <c r="G66" s="10" t="n">
        <v>0.35</v>
      </c>
      <c r="H66" s="9" t="s">
        <v>2861</v>
      </c>
      <c r="I66" s="11" t="s">
        <v>3061</v>
      </c>
      <c r="J66" s="11" t="s">
        <v>3061</v>
      </c>
      <c r="K66" s="9"/>
      <c r="L66" s="9" t="n">
        <f aca="false">IF(AND(ISNUMBER($E66),ISNUMBER($F66),ISNUMBER($G66)),IF(AND($F66&lt;=$E66,$E66&lt;=$G66),0,1),0)</f>
        <v>0</v>
      </c>
      <c r="M66" s="9" t="n">
        <f aca="false">IF(AND(OR($H66="Analogy",$H66="Assumed"),OR(NOT(ISNUMBER($F66)),NOT(ISNUMBER($G66)))),1,0)</f>
        <v>0</v>
      </c>
      <c r="N66" s="12" t="s">
        <v>3279</v>
      </c>
    </row>
    <row r="67" customFormat="false" ht="15" hidden="false" customHeight="false" outlineLevel="0" collapsed="false">
      <c r="A67" s="9" t="s">
        <v>3280</v>
      </c>
      <c r="B67" s="11" t="s">
        <v>3261</v>
      </c>
      <c r="C67" s="9" t="s">
        <v>3278</v>
      </c>
      <c r="D67" s="11" t="s">
        <v>269</v>
      </c>
      <c r="E67" s="10" t="n">
        <v>0.7</v>
      </c>
      <c r="F67" s="10" t="n">
        <v>0.5</v>
      </c>
      <c r="G67" s="10" t="n">
        <v>0.85</v>
      </c>
      <c r="H67" s="9" t="s">
        <v>2861</v>
      </c>
      <c r="I67" s="11" t="s">
        <v>3061</v>
      </c>
      <c r="J67" s="11" t="s">
        <v>3061</v>
      </c>
      <c r="K67" s="9"/>
      <c r="L67" s="9" t="n">
        <f aca="false">IF(AND(ISNUMBER($E67),ISNUMBER($F67),ISNUMBER($G67)),IF(AND($F67&lt;=$E67,$E67&lt;=$G67),0,1),0)</f>
        <v>0</v>
      </c>
      <c r="M67" s="9" t="n">
        <f aca="false">IF(AND(OR($H67="Analogy",$H67="Assumed"),OR(NOT(ISNUMBER($F67)),NOT(ISNUMBER($G67)))),1,0)</f>
        <v>0</v>
      </c>
      <c r="N67" s="12" t="s">
        <v>3281</v>
      </c>
    </row>
    <row r="68" customFormat="false" ht="15" hidden="false" customHeight="false" outlineLevel="0" collapsed="false">
      <c r="A68" s="9" t="s">
        <v>3282</v>
      </c>
      <c r="B68" s="11" t="s">
        <v>3254</v>
      </c>
      <c r="C68" s="9" t="s">
        <v>3283</v>
      </c>
      <c r="D68" s="11" t="s">
        <v>269</v>
      </c>
      <c r="E68" s="10" t="n">
        <v>0.75</v>
      </c>
      <c r="F68" s="10" t="n">
        <v>0.6</v>
      </c>
      <c r="G68" s="10" t="n">
        <v>0.9</v>
      </c>
      <c r="H68" s="9" t="s">
        <v>2861</v>
      </c>
      <c r="I68" s="11" t="s">
        <v>3284</v>
      </c>
      <c r="J68" s="9" t="s">
        <v>3158</v>
      </c>
      <c r="K68" s="9"/>
      <c r="L68" s="9" t="n">
        <f aca="false">IF(AND(ISNUMBER($E68),ISNUMBER($F68),ISNUMBER($G68)),IF(AND($F68&lt;=$E68,$E68&lt;=$G68),0,1),0)</f>
        <v>0</v>
      </c>
      <c r="M68" s="9" t="n">
        <f aca="false">IF(AND(OR($H68="Analogy",$H68="Assumed"),OR(NOT(ISNUMBER($F68)),NOT(ISNUMBER($G68)))),1,0)</f>
        <v>0</v>
      </c>
      <c r="N68" s="12" t="s">
        <v>3285</v>
      </c>
    </row>
    <row r="69" customFormat="false" ht="15" hidden="false" customHeight="false" outlineLevel="0" collapsed="false">
      <c r="A69" s="9" t="s">
        <v>3286</v>
      </c>
      <c r="B69" s="11" t="s">
        <v>3261</v>
      </c>
      <c r="C69" s="9" t="s">
        <v>3283</v>
      </c>
      <c r="D69" s="11" t="s">
        <v>269</v>
      </c>
      <c r="E69" s="10" t="n">
        <v>0.15</v>
      </c>
      <c r="F69" s="10" t="n">
        <v>0.05</v>
      </c>
      <c r="G69" s="10" t="n">
        <v>0.3</v>
      </c>
      <c r="H69" s="9" t="s">
        <v>2861</v>
      </c>
      <c r="I69" s="11" t="s">
        <v>3061</v>
      </c>
      <c r="J69" s="11" t="s">
        <v>3061</v>
      </c>
      <c r="K69" s="9"/>
      <c r="L69" s="9" t="n">
        <f aca="false">IF(AND(ISNUMBER($E69),ISNUMBER($F69),ISNUMBER($G69)),IF(AND($F69&lt;=$E69,$E69&lt;=$G69),0,1),0)</f>
        <v>0</v>
      </c>
      <c r="M69" s="9" t="n">
        <f aca="false">IF(AND(OR($H69="Analogy",$H69="Assumed"),OR(NOT(ISNUMBER($F69)),NOT(ISNUMBER($G69)))),1,0)</f>
        <v>0</v>
      </c>
      <c r="N69" s="12" t="s">
        <v>3287</v>
      </c>
    </row>
    <row r="70" customFormat="false" ht="15" hidden="false" customHeight="false" outlineLevel="0" collapsed="false">
      <c r="A70" s="9" t="s">
        <v>3288</v>
      </c>
      <c r="B70" s="11" t="s">
        <v>3254</v>
      </c>
      <c r="C70" s="9" t="s">
        <v>3289</v>
      </c>
      <c r="D70" s="11" t="s">
        <v>269</v>
      </c>
      <c r="E70" s="10" t="n">
        <v>0.3</v>
      </c>
      <c r="F70" s="10" t="n">
        <v>0.15</v>
      </c>
      <c r="G70" s="10" t="n">
        <v>0.5</v>
      </c>
      <c r="H70" s="9" t="s">
        <v>2861</v>
      </c>
      <c r="I70" s="9" t="s">
        <v>3290</v>
      </c>
      <c r="J70" s="11" t="s">
        <v>3061</v>
      </c>
      <c r="K70" s="9"/>
      <c r="L70" s="9" t="n">
        <f aca="false">IF(AND(ISNUMBER($E70),ISNUMBER($F70),ISNUMBER($G70)),IF(AND($F70&lt;=$E70,$E70&lt;=$G70),0,1),0)</f>
        <v>0</v>
      </c>
      <c r="M70" s="9" t="n">
        <f aca="false">IF(AND(OR($H70="Analogy",$H70="Assumed"),OR(NOT(ISNUMBER($F70)),NOT(ISNUMBER($G70)))),1,0)</f>
        <v>0</v>
      </c>
      <c r="N70" s="12" t="s">
        <v>3291</v>
      </c>
    </row>
    <row r="71" customFormat="false" ht="15" hidden="false" customHeight="false" outlineLevel="0" collapsed="false">
      <c r="A71" s="9" t="s">
        <v>3292</v>
      </c>
      <c r="B71" s="11" t="s">
        <v>3261</v>
      </c>
      <c r="C71" s="9" t="s">
        <v>3289</v>
      </c>
      <c r="D71" s="11" t="s">
        <v>269</v>
      </c>
      <c r="E71" s="10" t="n">
        <v>0.6</v>
      </c>
      <c r="F71" s="10" t="n">
        <v>0.4</v>
      </c>
      <c r="G71" s="10" t="n">
        <v>0.75</v>
      </c>
      <c r="H71" s="9" t="s">
        <v>2861</v>
      </c>
      <c r="I71" s="11" t="s">
        <v>3061</v>
      </c>
      <c r="J71" s="11" t="s">
        <v>3061</v>
      </c>
      <c r="K71" s="9"/>
      <c r="L71" s="9" t="n">
        <f aca="false">IF(AND(ISNUMBER($E71),ISNUMBER($F71),ISNUMBER($G71)),IF(AND($F71&lt;=$E71,$E71&lt;=$G71),0,1),0)</f>
        <v>0</v>
      </c>
      <c r="M71" s="9" t="n">
        <f aca="false">IF(AND(OR($H71="Analogy",$H71="Assumed"),OR(NOT(ISNUMBER($F71)),NOT(ISNUMBER($G71)))),1,0)</f>
        <v>0</v>
      </c>
      <c r="N71" s="12" t="s">
        <v>3293</v>
      </c>
    </row>
    <row r="72" customFormat="false" ht="15" hidden="false" customHeight="false" outlineLevel="0" collapsed="false">
      <c r="A72" s="9" t="s">
        <v>3294</v>
      </c>
      <c r="B72" s="11" t="s">
        <v>3254</v>
      </c>
      <c r="C72" s="9" t="s">
        <v>3295</v>
      </c>
      <c r="D72" s="11" t="s">
        <v>269</v>
      </c>
      <c r="E72" s="10" t="n">
        <v>0.55</v>
      </c>
      <c r="F72" s="10" t="n">
        <v>0.4</v>
      </c>
      <c r="G72" s="10" t="n">
        <v>0.7</v>
      </c>
      <c r="H72" s="9" t="s">
        <v>2861</v>
      </c>
      <c r="I72" s="11" t="s">
        <v>3296</v>
      </c>
      <c r="J72" s="9" t="s">
        <v>3158</v>
      </c>
      <c r="K72" s="9"/>
      <c r="L72" s="9" t="n">
        <f aca="false">IF(AND(ISNUMBER($E72),ISNUMBER($F72),ISNUMBER($G72)),IF(AND($F72&lt;=$E72,$E72&lt;=$G72),0,1),0)</f>
        <v>0</v>
      </c>
      <c r="M72" s="9" t="n">
        <f aca="false">IF(AND(OR($H72="Analogy",$H72="Assumed"),OR(NOT(ISNUMBER($F72)),NOT(ISNUMBER($G72)))),1,0)</f>
        <v>0</v>
      </c>
      <c r="N72" s="12" t="s">
        <v>3297</v>
      </c>
    </row>
    <row r="73" customFormat="false" ht="15" hidden="false" customHeight="false" outlineLevel="0" collapsed="false">
      <c r="A73" s="9" t="s">
        <v>3298</v>
      </c>
      <c r="B73" s="11" t="s">
        <v>3261</v>
      </c>
      <c r="C73" s="9" t="s">
        <v>3295</v>
      </c>
      <c r="D73" s="11" t="s">
        <v>269</v>
      </c>
      <c r="E73" s="10" t="n">
        <v>0.3</v>
      </c>
      <c r="F73" s="10" t="n">
        <v>0.15</v>
      </c>
      <c r="G73" s="10" t="n">
        <v>0.45</v>
      </c>
      <c r="H73" s="9" t="s">
        <v>2861</v>
      </c>
      <c r="I73" s="11" t="s">
        <v>3061</v>
      </c>
      <c r="J73" s="11" t="s">
        <v>3061</v>
      </c>
      <c r="K73" s="9"/>
      <c r="L73" s="9" t="n">
        <f aca="false">IF(AND(ISNUMBER($E73),ISNUMBER($F73),ISNUMBER($G73)),IF(AND($F73&lt;=$E73,$E73&lt;=$G73),0,1),0)</f>
        <v>0</v>
      </c>
      <c r="M73" s="9" t="n">
        <f aca="false">IF(AND(OR($H73="Analogy",$H73="Assumed"),OR(NOT(ISNUMBER($F73)),NOT(ISNUMBER($G73)))),1,0)</f>
        <v>0</v>
      </c>
      <c r="N73" s="12" t="s">
        <v>3299</v>
      </c>
    </row>
    <row r="74" customFormat="false" ht="15" hidden="false" customHeight="false" outlineLevel="0" collapsed="false">
      <c r="A74" s="9" t="s">
        <v>3300</v>
      </c>
      <c r="B74" s="11" t="s">
        <v>3301</v>
      </c>
      <c r="C74" s="11" t="s">
        <v>3302</v>
      </c>
      <c r="D74" s="11" t="s">
        <v>3303</v>
      </c>
      <c r="E74" s="14" t="s">
        <v>2720</v>
      </c>
      <c r="F74" s="14" t="s">
        <v>2720</v>
      </c>
      <c r="G74" s="14" t="s">
        <v>2720</v>
      </c>
      <c r="H74" s="9" t="s">
        <v>3014</v>
      </c>
      <c r="I74" s="11" t="s">
        <v>3304</v>
      </c>
      <c r="J74" s="11" t="s">
        <v>3305</v>
      </c>
      <c r="K74" s="9" t="s">
        <v>3306</v>
      </c>
      <c r="L74" s="9" t="n">
        <f aca="false">IF(AND(ISNUMBER($E74),ISNUMBER($F74),ISNUMBER($G74)),IF(AND($F74&lt;=$E74,$E74&lt;=$G74),0,1),0)</f>
        <v>0</v>
      </c>
      <c r="M74" s="9" t="n">
        <f aca="false">IF(AND(OR($H74="Analogy",$H74="Assumed"),OR(NOT(ISNUMBER($F74)),NOT(ISNUMBER($G74)))),1,0)</f>
        <v>0</v>
      </c>
      <c r="N74" s="12" t="s">
        <v>3307</v>
      </c>
    </row>
    <row r="75" customFormat="false" ht="15" hidden="false" customHeight="false" outlineLevel="0" collapsed="false">
      <c r="A75" s="9" t="s">
        <v>3308</v>
      </c>
      <c r="B75" s="11" t="s">
        <v>3309</v>
      </c>
      <c r="C75" s="11" t="s">
        <v>3310</v>
      </c>
      <c r="D75" s="11" t="s">
        <v>3303</v>
      </c>
      <c r="E75" s="10" t="s">
        <v>2724</v>
      </c>
      <c r="F75" s="10" t="s">
        <v>2724</v>
      </c>
      <c r="G75" s="10" t="s">
        <v>2724</v>
      </c>
      <c r="H75" s="9" t="s">
        <v>3014</v>
      </c>
      <c r="I75" s="9" t="s">
        <v>3311</v>
      </c>
      <c r="J75" s="11" t="s">
        <v>3061</v>
      </c>
      <c r="K75" s="9"/>
      <c r="L75" s="9" t="n">
        <f aca="false">IF(AND(ISNUMBER($E75),ISNUMBER($F75),ISNUMBER($G75)),IF(AND($F75&lt;=$E75,$E75&lt;=$G75),0,1),0)</f>
        <v>0</v>
      </c>
      <c r="M75" s="9" t="n">
        <f aca="false">IF(AND(OR($H75="Analogy",$H75="Assumed"),OR(NOT(ISNUMBER($F75)),NOT(ISNUMBER($G75)))),1,0)</f>
        <v>0</v>
      </c>
      <c r="N75" s="12" t="s">
        <v>3312</v>
      </c>
    </row>
    <row r="76" customFormat="false" ht="15" hidden="false" customHeight="false" outlineLevel="0" collapsed="false">
      <c r="A76" s="9" t="s">
        <v>3313</v>
      </c>
      <c r="B76" s="11" t="s">
        <v>3314</v>
      </c>
      <c r="C76" s="11" t="s">
        <v>3315</v>
      </c>
      <c r="D76" s="11" t="s">
        <v>3303</v>
      </c>
      <c r="E76" s="14" t="s">
        <v>2722</v>
      </c>
      <c r="F76" s="14" t="s">
        <v>2722</v>
      </c>
      <c r="G76" s="14" t="s">
        <v>2722</v>
      </c>
      <c r="H76" s="9" t="s">
        <v>3014</v>
      </c>
      <c r="I76" s="9" t="s">
        <v>3316</v>
      </c>
      <c r="J76" s="11" t="s">
        <v>3061</v>
      </c>
      <c r="K76" s="9"/>
      <c r="L76" s="9" t="n">
        <f aca="false">IF(AND(ISNUMBER($E76),ISNUMBER($F76),ISNUMBER($G76)),IF(AND($F76&lt;=$E76,$E76&lt;=$G76),0,1),0)</f>
        <v>0</v>
      </c>
      <c r="M76" s="9" t="n">
        <f aca="false">IF(AND(OR($H76="Analogy",$H76="Assumed"),OR(NOT(ISNUMBER($F76)),NOT(ISNUMBER($G76)))),1,0)</f>
        <v>0</v>
      </c>
      <c r="N76" s="12" t="s">
        <v>3317</v>
      </c>
    </row>
    <row r="77" customFormat="false" ht="15" hidden="false" customHeight="false" outlineLevel="0" collapsed="false">
      <c r="A77" s="9" t="s">
        <v>3318</v>
      </c>
      <c r="B77" s="11" t="s">
        <v>3319</v>
      </c>
      <c r="C77" s="9" t="s">
        <v>77</v>
      </c>
      <c r="D77" s="11" t="s">
        <v>747</v>
      </c>
      <c r="E77" s="10" t="n">
        <v>1</v>
      </c>
      <c r="F77" s="10" t="n">
        <v>0.5</v>
      </c>
      <c r="G77" s="10" t="n">
        <v>2</v>
      </c>
      <c r="H77" s="9" t="s">
        <v>2861</v>
      </c>
      <c r="I77" s="9" t="s">
        <v>3320</v>
      </c>
      <c r="J77" s="9" t="s">
        <v>3220</v>
      </c>
      <c r="K77" s="9" t="s">
        <v>3321</v>
      </c>
      <c r="L77" s="9" t="n">
        <f aca="false">IF(AND(ISNUMBER($E77),ISNUMBER($F77),ISNUMBER($G77)),IF(AND($F77&lt;=$E77,$E77&lt;=$G77),0,1),0)</f>
        <v>0</v>
      </c>
      <c r="M77" s="9" t="n">
        <f aca="false">IF(AND(OR($H77="Analogy",$H77="Assumed"),OR(NOT(ISNUMBER($F77)),NOT(ISNUMBER($G77)))),1,0)</f>
        <v>0</v>
      </c>
      <c r="N77" s="12" t="s">
        <v>3322</v>
      </c>
    </row>
    <row r="78" customFormat="false" ht="15" hidden="false" customHeight="false" outlineLevel="0" collapsed="false">
      <c r="A78" s="9" t="s">
        <v>3323</v>
      </c>
      <c r="B78" s="11" t="s">
        <v>3324</v>
      </c>
      <c r="C78" s="9" t="s">
        <v>77</v>
      </c>
      <c r="D78" s="11" t="s">
        <v>747</v>
      </c>
      <c r="E78" s="10" t="n">
        <v>0.15</v>
      </c>
      <c r="F78" s="10" t="n">
        <v>0.05</v>
      </c>
      <c r="G78" s="10" t="n">
        <v>0.4</v>
      </c>
      <c r="H78" s="9" t="s">
        <v>2861</v>
      </c>
      <c r="I78" s="11" t="s">
        <v>3325</v>
      </c>
      <c r="J78" s="9" t="s">
        <v>3326</v>
      </c>
      <c r="K78" s="9" t="s">
        <v>3327</v>
      </c>
      <c r="L78" s="9" t="n">
        <f aca="false">IF(AND(ISNUMBER($E78),ISNUMBER($F78),ISNUMBER($G78)),IF(AND($F78&lt;=$E78,$E78&lt;=$G78),0,1),0)</f>
        <v>0</v>
      </c>
      <c r="M78" s="9" t="n">
        <f aca="false">IF(AND(OR($H78="Analogy",$H78="Assumed"),OR(NOT(ISNUMBER($F78)),NOT(ISNUMBER($G78)))),1,0)</f>
        <v>0</v>
      </c>
      <c r="N78" s="12" t="s">
        <v>3328</v>
      </c>
    </row>
    <row r="79" customFormat="false" ht="15" hidden="false" customHeight="false" outlineLevel="0" collapsed="false">
      <c r="A79" s="9" t="s">
        <v>3329</v>
      </c>
      <c r="B79" s="11" t="s">
        <v>3330</v>
      </c>
      <c r="C79" s="9" t="s">
        <v>77</v>
      </c>
      <c r="D79" s="11" t="s">
        <v>747</v>
      </c>
      <c r="E79" s="10" t="n">
        <v>1</v>
      </c>
      <c r="F79" s="10" t="n">
        <v>0.5</v>
      </c>
      <c r="G79" s="10" t="n">
        <v>4</v>
      </c>
      <c r="H79" s="9" t="s">
        <v>2861</v>
      </c>
      <c r="I79" s="11" t="s">
        <v>3331</v>
      </c>
      <c r="J79" s="11" t="s">
        <v>3332</v>
      </c>
      <c r="K79" s="9"/>
      <c r="L79" s="9" t="n">
        <f aca="false">IF(AND(ISNUMBER($E79),ISNUMBER($F79),ISNUMBER($G79)),IF(AND($F79&lt;=$E79,$E79&lt;=$G79),0,1),0)</f>
        <v>0</v>
      </c>
      <c r="M79" s="9" t="n">
        <f aca="false">IF(AND(OR($H79="Analogy",$H79="Assumed"),OR(NOT(ISNUMBER($F79)),NOT(ISNUMBER($G79)))),1,0)</f>
        <v>0</v>
      </c>
      <c r="N79" s="12" t="s">
        <v>3333</v>
      </c>
    </row>
    <row r="80" customFormat="false" ht="15" hidden="false" customHeight="false" outlineLevel="0" collapsed="false">
      <c r="A80" s="9" t="s">
        <v>3334</v>
      </c>
      <c r="B80" s="11" t="s">
        <v>3335</v>
      </c>
      <c r="C80" s="9" t="s">
        <v>3038</v>
      </c>
      <c r="D80" s="9" t="s">
        <v>3336</v>
      </c>
      <c r="E80" s="10" t="n">
        <v>1000</v>
      </c>
      <c r="F80" s="10" t="n">
        <v>1000</v>
      </c>
      <c r="G80" s="10" t="n">
        <v>1000</v>
      </c>
      <c r="H80" s="9" t="s">
        <v>3014</v>
      </c>
      <c r="I80" s="11" t="s">
        <v>3040</v>
      </c>
      <c r="J80" s="11" t="s">
        <v>3041</v>
      </c>
      <c r="K80" s="9" t="s">
        <v>3337</v>
      </c>
      <c r="L80" s="9" t="n">
        <f aca="false">IF(AND(ISNUMBER($E80),ISNUMBER($F80),ISNUMBER($G80)),IF(AND($F80&lt;=$E80,$E80&lt;=$G80),0,1),0)</f>
        <v>0</v>
      </c>
      <c r="M80" s="9" t="n">
        <f aca="false">IF(AND(OR($H80="Analogy",$H80="Assumed"),OR(NOT(ISNUMBER($F80)),NOT(ISNUMBER($G80)))),1,0)</f>
        <v>0</v>
      </c>
      <c r="N80" s="12" t="s">
        <v>3338</v>
      </c>
    </row>
    <row r="81" customFormat="false" ht="15" hidden="false" customHeight="false" outlineLevel="0" collapsed="false">
      <c r="A81" s="9" t="s">
        <v>3339</v>
      </c>
      <c r="B81" s="11" t="s">
        <v>3340</v>
      </c>
      <c r="C81" s="9" t="s">
        <v>3139</v>
      </c>
      <c r="D81" s="11" t="s">
        <v>3170</v>
      </c>
      <c r="E81" s="10" t="n">
        <v>0.15</v>
      </c>
      <c r="F81" s="10" t="n">
        <v>0.05</v>
      </c>
      <c r="G81" s="10" t="n">
        <v>0.3</v>
      </c>
      <c r="H81" s="9" t="s">
        <v>299</v>
      </c>
      <c r="I81" s="9" t="s">
        <v>3341</v>
      </c>
      <c r="J81" s="9" t="s">
        <v>3342</v>
      </c>
      <c r="K81" s="9"/>
      <c r="L81" s="9" t="n">
        <f aca="false">IF(AND(ISNUMBER($E81),ISNUMBER($F81),ISNUMBER($G81)),IF(AND($F81&lt;=$E81,$E81&lt;=$G81),0,1),0)</f>
        <v>0</v>
      </c>
      <c r="M81" s="9" t="n">
        <f aca="false">IF(AND(OR($H81="Analogy",$H81="Assumed"),OR(NOT(ISNUMBER($F81)),NOT(ISNUMBER($G81)))),1,0)</f>
        <v>0</v>
      </c>
      <c r="N81" s="12" t="s">
        <v>3343</v>
      </c>
    </row>
    <row r="82" customFormat="false" ht="15" hidden="false" customHeight="false" outlineLevel="0" collapsed="false">
      <c r="A82" s="9" t="s">
        <v>3344</v>
      </c>
      <c r="B82" s="11" t="s">
        <v>3345</v>
      </c>
      <c r="C82" s="11" t="s">
        <v>3302</v>
      </c>
      <c r="D82" s="11" t="s">
        <v>269</v>
      </c>
      <c r="E82" s="10" t="n">
        <v>0.3</v>
      </c>
      <c r="F82" s="10" t="n">
        <v>0.15</v>
      </c>
      <c r="G82" s="10" t="n">
        <v>0.5</v>
      </c>
      <c r="H82" s="9" t="s">
        <v>2861</v>
      </c>
      <c r="I82" s="11" t="s">
        <v>3346</v>
      </c>
      <c r="J82" s="9" t="s">
        <v>3273</v>
      </c>
      <c r="K82" s="9" t="s">
        <v>3347</v>
      </c>
      <c r="L82" s="9" t="n">
        <f aca="false">IF(AND(ISNUMBER($E82),ISNUMBER($F82),ISNUMBER($G82)),IF(AND($F82&lt;=$E82,$E82&lt;=$G82),0,1),0)</f>
        <v>0</v>
      </c>
      <c r="M82" s="9" t="n">
        <f aca="false">IF(AND(OR($H82="Analogy",$H82="Assumed"),OR(NOT(ISNUMBER($F82)),NOT(ISNUMBER($G82)))),1,0)</f>
        <v>0</v>
      </c>
      <c r="N82" s="12" t="s">
        <v>3348</v>
      </c>
    </row>
    <row r="83" customFormat="false" ht="15" hidden="false" customHeight="false" outlineLevel="0" collapsed="false">
      <c r="A83" s="9" t="s">
        <v>3349</v>
      </c>
      <c r="B83" s="11" t="s">
        <v>3350</v>
      </c>
      <c r="C83" s="11" t="s">
        <v>3302</v>
      </c>
      <c r="D83" s="11" t="s">
        <v>269</v>
      </c>
      <c r="E83" s="10" t="n">
        <v>0.65</v>
      </c>
      <c r="F83" s="10" t="n">
        <v>0.45</v>
      </c>
      <c r="G83" s="10" t="n">
        <v>0.8</v>
      </c>
      <c r="H83" s="9" t="s">
        <v>2861</v>
      </c>
      <c r="I83" s="11" t="s">
        <v>3061</v>
      </c>
      <c r="J83" s="11" t="s">
        <v>3061</v>
      </c>
      <c r="K83" s="9"/>
      <c r="L83" s="9" t="n">
        <f aca="false">IF(AND(ISNUMBER($E83),ISNUMBER($F83),ISNUMBER($G83)),IF(AND($F83&lt;=$E83,$E83&lt;=$G83),0,1),0)</f>
        <v>0</v>
      </c>
      <c r="M83" s="9" t="n">
        <f aca="false">IF(AND(OR($H83="Analogy",$H83="Assumed"),OR(NOT(ISNUMBER($F83)),NOT(ISNUMBER($G83)))),1,0)</f>
        <v>0</v>
      </c>
      <c r="N83" s="12" t="s">
        <v>3351</v>
      </c>
    </row>
    <row r="84" customFormat="false" ht="15" hidden="false" customHeight="false" outlineLevel="0" collapsed="false">
      <c r="A84" s="9" t="s">
        <v>3352</v>
      </c>
      <c r="B84" s="11" t="s">
        <v>3345</v>
      </c>
      <c r="C84" s="11" t="s">
        <v>3310</v>
      </c>
      <c r="D84" s="11" t="s">
        <v>269</v>
      </c>
      <c r="E84" s="10" t="n">
        <v>0.05</v>
      </c>
      <c r="F84" s="10" t="n">
        <v>0</v>
      </c>
      <c r="G84" s="10" t="n">
        <v>0.15</v>
      </c>
      <c r="H84" s="9" t="s">
        <v>2861</v>
      </c>
      <c r="I84" s="11" t="s">
        <v>3353</v>
      </c>
      <c r="J84" s="11" t="s">
        <v>3061</v>
      </c>
      <c r="K84" s="9"/>
      <c r="L84" s="9" t="n">
        <f aca="false">IF(AND(ISNUMBER($E84),ISNUMBER($F84),ISNUMBER($G84)),IF(AND($F84&lt;=$E84,$E84&lt;=$G84),0,1),0)</f>
        <v>0</v>
      </c>
      <c r="M84" s="9" t="n">
        <f aca="false">IF(AND(OR($H84="Analogy",$H84="Assumed"),OR(NOT(ISNUMBER($F84)),NOT(ISNUMBER($G84)))),1,0)</f>
        <v>0</v>
      </c>
      <c r="N84" s="12" t="s">
        <v>3354</v>
      </c>
    </row>
    <row r="85" customFormat="false" ht="15" hidden="false" customHeight="false" outlineLevel="0" collapsed="false">
      <c r="A85" s="9" t="s">
        <v>3355</v>
      </c>
      <c r="B85" s="11" t="s">
        <v>3350</v>
      </c>
      <c r="C85" s="11" t="s">
        <v>3310</v>
      </c>
      <c r="D85" s="11" t="s">
        <v>269</v>
      </c>
      <c r="E85" s="10" t="n">
        <v>0.6</v>
      </c>
      <c r="F85" s="10" t="n">
        <v>0.4</v>
      </c>
      <c r="G85" s="10" t="n">
        <v>0.8</v>
      </c>
      <c r="H85" s="9" t="s">
        <v>2861</v>
      </c>
      <c r="I85" s="11" t="s">
        <v>3061</v>
      </c>
      <c r="J85" s="11" t="s">
        <v>3061</v>
      </c>
      <c r="K85" s="9"/>
      <c r="L85" s="9" t="n">
        <f aca="false">IF(AND(ISNUMBER($E85),ISNUMBER($F85),ISNUMBER($G85)),IF(AND($F85&lt;=$E85,$E85&lt;=$G85),0,1),0)</f>
        <v>0</v>
      </c>
      <c r="M85" s="9" t="n">
        <f aca="false">IF(AND(OR($H85="Analogy",$H85="Assumed"),OR(NOT(ISNUMBER($F85)),NOT(ISNUMBER($G85)))),1,0)</f>
        <v>0</v>
      </c>
      <c r="N85" s="12" t="s">
        <v>3356</v>
      </c>
    </row>
    <row r="86" customFormat="false" ht="15" hidden="false" customHeight="false" outlineLevel="0" collapsed="false">
      <c r="A86" s="9" t="s">
        <v>3357</v>
      </c>
      <c r="B86" s="11" t="s">
        <v>3345</v>
      </c>
      <c r="C86" s="11" t="s">
        <v>3315</v>
      </c>
      <c r="D86" s="11" t="s">
        <v>269</v>
      </c>
      <c r="E86" s="10" t="n">
        <v>0.25</v>
      </c>
      <c r="F86" s="10" t="n">
        <v>0.1</v>
      </c>
      <c r="G86" s="10" t="n">
        <v>0.4</v>
      </c>
      <c r="H86" s="9" t="s">
        <v>2861</v>
      </c>
      <c r="I86" s="11" t="s">
        <v>3358</v>
      </c>
      <c r="J86" s="11" t="s">
        <v>3061</v>
      </c>
      <c r="K86" s="9"/>
      <c r="L86" s="9" t="n">
        <f aca="false">IF(AND(ISNUMBER($E86),ISNUMBER($F86),ISNUMBER($G86)),IF(AND($F86&lt;=$E86,$E86&lt;=$G86),0,1),0)</f>
        <v>0</v>
      </c>
      <c r="M86" s="9" t="n">
        <f aca="false">IF(AND(OR($H86="Analogy",$H86="Assumed"),OR(NOT(ISNUMBER($F86)),NOT(ISNUMBER($G86)))),1,0)</f>
        <v>0</v>
      </c>
      <c r="N86" s="12" t="s">
        <v>3359</v>
      </c>
    </row>
    <row r="87" customFormat="false" ht="15" hidden="false" customHeight="false" outlineLevel="0" collapsed="false">
      <c r="A87" s="9" t="s">
        <v>3360</v>
      </c>
      <c r="B87" s="11" t="s">
        <v>3350</v>
      </c>
      <c r="C87" s="11" t="s">
        <v>3315</v>
      </c>
      <c r="D87" s="11" t="s">
        <v>269</v>
      </c>
      <c r="E87" s="10" t="n">
        <v>0.6</v>
      </c>
      <c r="F87" s="10" t="n">
        <v>0.4</v>
      </c>
      <c r="G87" s="10" t="n">
        <v>0.75</v>
      </c>
      <c r="H87" s="9" t="s">
        <v>2861</v>
      </c>
      <c r="I87" s="11" t="s">
        <v>3061</v>
      </c>
      <c r="J87" s="11" t="s">
        <v>3061</v>
      </c>
      <c r="K87" s="9"/>
      <c r="L87" s="9" t="n">
        <f aca="false">IF(AND(ISNUMBER($E87),ISNUMBER($F87),ISNUMBER($G87)),IF(AND($F87&lt;=$E87,$E87&lt;=$G87),0,1),0)</f>
        <v>0</v>
      </c>
      <c r="M87" s="9" t="n">
        <f aca="false">IF(AND(OR($H87="Analogy",$H87="Assumed"),OR(NOT(ISNUMBER($F87)),NOT(ISNUMBER($G87)))),1,0)</f>
        <v>0</v>
      </c>
      <c r="N87" s="12" t="s">
        <v>3361</v>
      </c>
    </row>
    <row r="88" customFormat="false" ht="15" hidden="false" customHeight="false" outlineLevel="0" collapsed="false">
      <c r="A88" s="9" t="s">
        <v>3362</v>
      </c>
      <c r="B88" s="9" t="s">
        <v>3363</v>
      </c>
      <c r="C88" s="9" t="s">
        <v>77</v>
      </c>
      <c r="D88" s="11" t="s">
        <v>269</v>
      </c>
      <c r="E88" s="10" t="n">
        <v>0.2</v>
      </c>
      <c r="F88" s="10" t="n">
        <v>0.1</v>
      </c>
      <c r="G88" s="10" t="n">
        <v>0.35</v>
      </c>
      <c r="H88" s="9" t="s">
        <v>2861</v>
      </c>
      <c r="I88" s="11" t="s">
        <v>3364</v>
      </c>
      <c r="J88" s="9" t="s">
        <v>3365</v>
      </c>
      <c r="K88" s="9" t="s">
        <v>3347</v>
      </c>
      <c r="L88" s="9" t="n">
        <f aca="false">IF(AND(ISNUMBER($E88),ISNUMBER($F88),ISNUMBER($G88)),IF(AND($F88&lt;=$E88,$E88&lt;=$G88),0,1),0)</f>
        <v>0</v>
      </c>
      <c r="M88" s="9" t="n">
        <f aca="false">IF(AND(OR($H88="Analogy",$H88="Assumed"),OR(NOT(ISNUMBER($F88)),NOT(ISNUMBER($G88)))),1,0)</f>
        <v>0</v>
      </c>
      <c r="N88" s="12" t="s">
        <v>3366</v>
      </c>
    </row>
    <row r="89" customFormat="false" ht="15" hidden="false" customHeight="false" outlineLevel="0" collapsed="false">
      <c r="A89" s="9" t="s">
        <v>3367</v>
      </c>
      <c r="B89" s="9" t="s">
        <v>3368</v>
      </c>
      <c r="C89" s="9" t="s">
        <v>77</v>
      </c>
      <c r="D89" s="11" t="s">
        <v>269</v>
      </c>
      <c r="E89" s="10" t="n">
        <v>0.65</v>
      </c>
      <c r="F89" s="10" t="n">
        <v>0.5</v>
      </c>
      <c r="G89" s="10" t="n">
        <v>0.8</v>
      </c>
      <c r="H89" s="9" t="s">
        <v>2861</v>
      </c>
      <c r="I89" s="9" t="s">
        <v>3369</v>
      </c>
      <c r="J89" s="9" t="s">
        <v>3158</v>
      </c>
      <c r="K89" s="9"/>
      <c r="L89" s="9" t="n">
        <f aca="false">IF(AND(ISNUMBER($E89),ISNUMBER($F89),ISNUMBER($G89)),IF(AND($F89&lt;=$E89,$E89&lt;=$G89),0,1),0)</f>
        <v>0</v>
      </c>
      <c r="M89" s="9" t="n">
        <f aca="false">IF(AND(OR($H89="Analogy",$H89="Assumed"),OR(NOT(ISNUMBER($F89)),NOT(ISNUMBER($G89)))),1,0)</f>
        <v>0</v>
      </c>
      <c r="N89" s="12" t="s">
        <v>3370</v>
      </c>
    </row>
    <row r="90" customFormat="false" ht="15" hidden="false" customHeight="false" outlineLevel="0" collapsed="false">
      <c r="A90" s="9" t="s">
        <v>3371</v>
      </c>
      <c r="B90" s="9" t="s">
        <v>3363</v>
      </c>
      <c r="C90" s="9" t="s">
        <v>3139</v>
      </c>
      <c r="D90" s="11" t="s">
        <v>269</v>
      </c>
      <c r="E90" s="10" t="n">
        <v>0.15</v>
      </c>
      <c r="F90" s="10" t="n">
        <v>0.05</v>
      </c>
      <c r="G90" s="10" t="n">
        <v>0.3</v>
      </c>
      <c r="H90" s="9" t="s">
        <v>2861</v>
      </c>
      <c r="I90" s="11" t="s">
        <v>3061</v>
      </c>
      <c r="J90" s="11" t="s">
        <v>3061</v>
      </c>
      <c r="K90" s="9" t="s">
        <v>3142</v>
      </c>
      <c r="L90" s="9" t="n">
        <f aca="false">IF(AND(ISNUMBER($E90),ISNUMBER($F90),ISNUMBER($G90)),IF(AND($F90&lt;=$E90,$E90&lt;=$G90),0,1),0)</f>
        <v>0</v>
      </c>
      <c r="M90" s="9" t="n">
        <f aca="false">IF(AND(OR($H90="Analogy",$H90="Assumed"),OR(NOT(ISNUMBER($F90)),NOT(ISNUMBER($G90)))),1,0)</f>
        <v>0</v>
      </c>
      <c r="N90" s="12" t="s">
        <v>3372</v>
      </c>
    </row>
    <row r="91" customFormat="false" ht="15" hidden="false" customHeight="false" outlineLevel="0" collapsed="false">
      <c r="A91" s="9" t="s">
        <v>3373</v>
      </c>
      <c r="B91" s="9" t="s">
        <v>3368</v>
      </c>
      <c r="C91" s="9" t="s">
        <v>3139</v>
      </c>
      <c r="D91" s="11" t="s">
        <v>269</v>
      </c>
      <c r="E91" s="10" t="n">
        <v>0.5</v>
      </c>
      <c r="F91" s="10" t="n">
        <v>0.35</v>
      </c>
      <c r="G91" s="10" t="n">
        <v>0.65</v>
      </c>
      <c r="H91" s="9" t="s">
        <v>2861</v>
      </c>
      <c r="I91" s="9" t="s">
        <v>3374</v>
      </c>
      <c r="J91" s="9" t="s">
        <v>3158</v>
      </c>
      <c r="K91" s="9"/>
      <c r="L91" s="9" t="n">
        <f aca="false">IF(AND(ISNUMBER($E91),ISNUMBER($F91),ISNUMBER($G91)),IF(AND($F91&lt;=$E91,$E91&lt;=$G91),0,1),0)</f>
        <v>0</v>
      </c>
      <c r="M91" s="9" t="n">
        <f aca="false">IF(AND(OR($H91="Analogy",$H91="Assumed"),OR(NOT(ISNUMBER($F91)),NOT(ISNUMBER($G91)))),1,0)</f>
        <v>0</v>
      </c>
      <c r="N91" s="12" t="s">
        <v>3375</v>
      </c>
    </row>
    <row r="92" customFormat="false" ht="15" hidden="false" customHeight="false" outlineLevel="0" collapsed="false">
      <c r="A92" s="9" t="s">
        <v>3376</v>
      </c>
      <c r="B92" s="9" t="s">
        <v>3377</v>
      </c>
      <c r="C92" s="9" t="s">
        <v>3038</v>
      </c>
      <c r="D92" s="11" t="s">
        <v>269</v>
      </c>
      <c r="E92" s="10" t="n">
        <v>0.2</v>
      </c>
      <c r="F92" s="10" t="n">
        <v>0.1</v>
      </c>
      <c r="G92" s="10" t="n">
        <v>0.35</v>
      </c>
      <c r="H92" s="9" t="s">
        <v>299</v>
      </c>
      <c r="I92" s="9" t="s">
        <v>3378</v>
      </c>
      <c r="J92" s="11" t="s">
        <v>3250</v>
      </c>
      <c r="K92" s="11" t="s">
        <v>3379</v>
      </c>
      <c r="L92" s="9" t="n">
        <f aca="false">IF(AND(ISNUMBER($E92),ISNUMBER($F92),ISNUMBER($G92)),IF(AND($F92&lt;=$E92,$E92&lt;=$G92),0,1),0)</f>
        <v>0</v>
      </c>
      <c r="M92" s="9" t="n">
        <f aca="false">IF(AND(OR($H92="Analogy",$H92="Assumed"),OR(NOT(ISNUMBER($F92)),NOT(ISNUMBER($G92)))),1,0)</f>
        <v>0</v>
      </c>
      <c r="N92" s="12" t="s">
        <v>3380</v>
      </c>
    </row>
    <row r="93" customFormat="false" ht="15" hidden="false" customHeight="false" outlineLevel="0" collapsed="false">
      <c r="A93" s="9" t="s">
        <v>3381</v>
      </c>
      <c r="B93" s="9" t="s">
        <v>3382</v>
      </c>
      <c r="C93" s="9" t="s">
        <v>3038</v>
      </c>
      <c r="D93" s="11" t="s">
        <v>269</v>
      </c>
      <c r="E93" s="10" t="n">
        <v>0.6</v>
      </c>
      <c r="F93" s="10" t="n">
        <v>0.3</v>
      </c>
      <c r="G93" s="10" t="n">
        <v>0.85</v>
      </c>
      <c r="H93" s="9" t="s">
        <v>299</v>
      </c>
      <c r="I93" s="9" t="s">
        <v>3383</v>
      </c>
      <c r="J93" s="9" t="s">
        <v>3384</v>
      </c>
      <c r="K93" s="11" t="s">
        <v>3385</v>
      </c>
      <c r="L93" s="9" t="n">
        <f aca="false">IF(AND(ISNUMBER($E93),ISNUMBER($F93),ISNUMBER($G93)),IF(AND($F93&lt;=$E93,$E93&lt;=$G93),0,1),0)</f>
        <v>0</v>
      </c>
      <c r="M93" s="9" t="n">
        <f aca="false">IF(AND(OR($H93="Analogy",$H93="Assumed"),OR(NOT(ISNUMBER($F93)),NOT(ISNUMBER($G93)))),1,0)</f>
        <v>0</v>
      </c>
      <c r="N93" s="12" t="s">
        <v>3386</v>
      </c>
    </row>
    <row r="94" customFormat="false" ht="15" hidden="false" customHeight="false" outlineLevel="0" collapsed="false">
      <c r="A94" s="9" t="s">
        <v>3387</v>
      </c>
      <c r="B94" s="9" t="s">
        <v>3388</v>
      </c>
      <c r="C94" s="9" t="s">
        <v>3038</v>
      </c>
      <c r="D94" s="11" t="s">
        <v>269</v>
      </c>
      <c r="E94" s="10" t="n">
        <v>0.05</v>
      </c>
      <c r="F94" s="10" t="n">
        <v>0</v>
      </c>
      <c r="G94" s="10" t="n">
        <v>0.15</v>
      </c>
      <c r="H94" s="9" t="s">
        <v>2861</v>
      </c>
      <c r="I94" s="11" t="s">
        <v>3389</v>
      </c>
      <c r="J94" s="9" t="s">
        <v>3390</v>
      </c>
      <c r="K94" s="9"/>
      <c r="L94" s="9" t="n">
        <f aca="false">IF(AND(ISNUMBER($E94),ISNUMBER($F94),ISNUMBER($G94)),IF(AND($F94&lt;=$E94,$E94&lt;=$G94),0,1),0)</f>
        <v>0</v>
      </c>
      <c r="M94" s="9" t="n">
        <f aca="false">IF(AND(OR($H94="Analogy",$H94="Assumed"),OR(NOT(ISNUMBER($F94)),NOT(ISNUMBER($G94)))),1,0)</f>
        <v>0</v>
      </c>
      <c r="N94" s="12" t="s">
        <v>3391</v>
      </c>
    </row>
    <row r="95" customFormat="false" ht="15" hidden="false" customHeight="false" outlineLevel="0" collapsed="false">
      <c r="A95" s="9" t="s">
        <v>3392</v>
      </c>
      <c r="B95" s="9" t="s">
        <v>3393</v>
      </c>
      <c r="C95" s="9" t="s">
        <v>3038</v>
      </c>
      <c r="D95" s="11" t="s">
        <v>269</v>
      </c>
      <c r="E95" s="10" t="n">
        <v>0.05</v>
      </c>
      <c r="F95" s="10" t="n">
        <v>0</v>
      </c>
      <c r="G95" s="10" t="n">
        <v>0.2</v>
      </c>
      <c r="H95" s="9" t="s">
        <v>2861</v>
      </c>
      <c r="I95" s="9" t="s">
        <v>3394</v>
      </c>
      <c r="J95" s="9" t="s">
        <v>3395</v>
      </c>
      <c r="K95" s="9"/>
      <c r="L95" s="9" t="n">
        <f aca="false">IF(AND(ISNUMBER($E95),ISNUMBER($F95),ISNUMBER($G95)),IF(AND($F95&lt;=$E95,$E95&lt;=$G95),0,1),0)</f>
        <v>0</v>
      </c>
      <c r="M95" s="9" t="n">
        <f aca="false">IF(AND(OR($H95="Analogy",$H95="Assumed"),OR(NOT(ISNUMBER($F95)),NOT(ISNUMBER($G95)))),1,0)</f>
        <v>0</v>
      </c>
      <c r="N95" s="12" t="s">
        <v>3396</v>
      </c>
    </row>
    <row r="96" customFormat="false" ht="15" hidden="false" customHeight="false" outlineLevel="0" collapsed="false">
      <c r="A96" s="9" t="s">
        <v>3397</v>
      </c>
      <c r="B96" s="9" t="s">
        <v>3398</v>
      </c>
      <c r="C96" s="9" t="s">
        <v>3038</v>
      </c>
      <c r="D96" s="11" t="s">
        <v>269</v>
      </c>
      <c r="E96" s="10" t="n">
        <v>0.1</v>
      </c>
      <c r="F96" s="10" t="n">
        <v>0</v>
      </c>
      <c r="G96" s="10" t="n">
        <v>0.25</v>
      </c>
      <c r="H96" s="9" t="s">
        <v>2861</v>
      </c>
      <c r="I96" s="9" t="s">
        <v>3399</v>
      </c>
      <c r="J96" s="9" t="s">
        <v>3400</v>
      </c>
      <c r="K96" s="9"/>
      <c r="L96" s="9" t="n">
        <f aca="false">IF(AND(ISNUMBER($E96),ISNUMBER($F96),ISNUMBER($G96)),IF(AND($F96&lt;=$E96,$E96&lt;=$G96),0,1),0)</f>
        <v>0</v>
      </c>
      <c r="M96" s="9" t="n">
        <f aca="false">IF(AND(OR($H96="Analogy",$H96="Assumed"),OR(NOT(ISNUMBER($F96)),NOT(ISNUMBER($G96)))),1,0)</f>
        <v>0</v>
      </c>
      <c r="N96" s="12" t="s">
        <v>3401</v>
      </c>
    </row>
    <row r="97" customFormat="false" ht="15" hidden="false" customHeight="false" outlineLevel="0" collapsed="false">
      <c r="A97" s="9" t="s">
        <v>3402</v>
      </c>
      <c r="B97" s="9" t="s">
        <v>3403</v>
      </c>
      <c r="C97" s="9" t="s">
        <v>77</v>
      </c>
      <c r="D97" s="9" t="s">
        <v>3404</v>
      </c>
      <c r="E97" s="10" t="n">
        <v>50</v>
      </c>
      <c r="F97" s="10" t="n">
        <v>10</v>
      </c>
      <c r="G97" s="10" t="n">
        <v>200</v>
      </c>
      <c r="H97" s="9" t="s">
        <v>2861</v>
      </c>
      <c r="I97" s="11" t="s">
        <v>3405</v>
      </c>
      <c r="J97" s="11" t="s">
        <v>3406</v>
      </c>
      <c r="K97" s="9"/>
      <c r="L97" s="9" t="n">
        <f aca="false">IF(AND(ISNUMBER($E97),ISNUMBER($F97),ISNUMBER($G97)),IF(AND($F97&lt;=$E97,$E97&lt;=$G97),0,1),0)</f>
        <v>0</v>
      </c>
      <c r="M97" s="9" t="n">
        <f aca="false">IF(AND(OR($H97="Analogy",$H97="Assumed"),OR(NOT(ISNUMBER($F97)),NOT(ISNUMBER($G97)))),1,0)</f>
        <v>0</v>
      </c>
      <c r="N97" s="12" t="s">
        <v>3407</v>
      </c>
    </row>
    <row r="98" customFormat="false" ht="15" hidden="false" customHeight="false" outlineLevel="0" collapsed="false">
      <c r="A98" s="9" t="s">
        <v>3408</v>
      </c>
      <c r="B98" s="9" t="s">
        <v>3409</v>
      </c>
      <c r="C98" s="9" t="s">
        <v>306</v>
      </c>
      <c r="D98" s="11" t="s">
        <v>3170</v>
      </c>
      <c r="E98" s="10" t="n">
        <v>0.2</v>
      </c>
      <c r="F98" s="10" t="n">
        <v>0.1</v>
      </c>
      <c r="G98" s="10" t="n">
        <v>0.3</v>
      </c>
      <c r="H98" s="9" t="s">
        <v>299</v>
      </c>
      <c r="I98" s="9" t="s">
        <v>3410</v>
      </c>
      <c r="J98" s="11" t="s">
        <v>3250</v>
      </c>
      <c r="K98" s="9" t="s">
        <v>3411</v>
      </c>
      <c r="L98" s="9" t="n">
        <f aca="false">IF(AND(ISNUMBER($E98),ISNUMBER($F98),ISNUMBER($G98)),IF(AND($F98&lt;=$E98,$E98&lt;=$G98),0,1),0)</f>
        <v>0</v>
      </c>
      <c r="M98" s="9" t="n">
        <f aca="false">IF(AND(OR($H98="Analogy",$H98="Assumed"),OR(NOT(ISNUMBER($F98)),NOT(ISNUMBER($G98)))),1,0)</f>
        <v>0</v>
      </c>
      <c r="N98" s="12" t="s">
        <v>3412</v>
      </c>
    </row>
    <row r="99" customFormat="false" ht="15" hidden="false" customHeight="false" outlineLevel="0" collapsed="false">
      <c r="A99" s="9" t="s">
        <v>3413</v>
      </c>
      <c r="B99" s="9" t="s">
        <v>3409</v>
      </c>
      <c r="C99" s="9" t="s">
        <v>2929</v>
      </c>
      <c r="D99" s="11" t="s">
        <v>3170</v>
      </c>
      <c r="E99" s="10" t="n">
        <v>0.15</v>
      </c>
      <c r="F99" s="10" t="n">
        <v>0.075</v>
      </c>
      <c r="G99" s="10" t="n">
        <v>0.225</v>
      </c>
      <c r="H99" s="9" t="s">
        <v>299</v>
      </c>
      <c r="I99" s="9" t="s">
        <v>3414</v>
      </c>
      <c r="J99" s="9" t="s">
        <v>3415</v>
      </c>
      <c r="K99" s="9"/>
      <c r="L99" s="9" t="n">
        <f aca="false">IF(AND(ISNUMBER($E99),ISNUMBER($F99),ISNUMBER($G99)),IF(AND($F99&lt;=$E99,$E99&lt;=$G99),0,1),0)</f>
        <v>0</v>
      </c>
      <c r="M99" s="9" t="n">
        <f aca="false">IF(AND(OR($H99="Analogy",$H99="Assumed"),OR(NOT(ISNUMBER($F99)),NOT(ISNUMBER($G99)))),1,0)</f>
        <v>0</v>
      </c>
      <c r="N99" s="12" t="s">
        <v>3416</v>
      </c>
    </row>
    <row r="100" customFormat="false" ht="15" hidden="false" customHeight="false" outlineLevel="0" collapsed="false">
      <c r="A100" s="9" t="s">
        <v>3417</v>
      </c>
      <c r="B100" s="9" t="s">
        <v>3409</v>
      </c>
      <c r="C100" s="9" t="s">
        <v>1660</v>
      </c>
      <c r="D100" s="11" t="s">
        <v>3170</v>
      </c>
      <c r="E100" s="10" t="n">
        <v>0.12</v>
      </c>
      <c r="F100" s="10" t="n">
        <v>0.06</v>
      </c>
      <c r="G100" s="10" t="n">
        <v>0.18</v>
      </c>
      <c r="H100" s="9" t="s">
        <v>299</v>
      </c>
      <c r="I100" s="9" t="s">
        <v>3418</v>
      </c>
      <c r="J100" s="9" t="s">
        <v>3415</v>
      </c>
      <c r="K100" s="9"/>
      <c r="L100" s="9" t="n">
        <f aca="false">IF(AND(ISNUMBER($E100),ISNUMBER($F100),ISNUMBER($G100)),IF(AND($F100&lt;=$E100,$E100&lt;=$G100),0,1),0)</f>
        <v>0</v>
      </c>
      <c r="M100" s="9" t="n">
        <f aca="false">IF(AND(OR($H100="Analogy",$H100="Assumed"),OR(NOT(ISNUMBER($F100)),NOT(ISNUMBER($G100)))),1,0)</f>
        <v>0</v>
      </c>
      <c r="N100" s="12" t="s">
        <v>3419</v>
      </c>
    </row>
    <row r="101" customFormat="false" ht="15" hidden="false" customHeight="false" outlineLevel="0" collapsed="false">
      <c r="A101" s="9" t="s">
        <v>3420</v>
      </c>
      <c r="B101" s="9" t="s">
        <v>3409</v>
      </c>
      <c r="C101" s="9" t="s">
        <v>2930</v>
      </c>
      <c r="D101" s="11" t="s">
        <v>3170</v>
      </c>
      <c r="E101" s="10" t="n">
        <v>0.1</v>
      </c>
      <c r="F101" s="10" t="n">
        <v>0.05</v>
      </c>
      <c r="G101" s="10" t="n">
        <v>0.15</v>
      </c>
      <c r="H101" s="9" t="s">
        <v>299</v>
      </c>
      <c r="I101" s="9" t="s">
        <v>3421</v>
      </c>
      <c r="J101" s="9" t="s">
        <v>3415</v>
      </c>
      <c r="K101" s="9"/>
      <c r="L101" s="9" t="n">
        <f aca="false">IF(AND(ISNUMBER($E101),ISNUMBER($F101),ISNUMBER($G101)),IF(AND($F101&lt;=$E101,$E101&lt;=$G101),0,1),0)</f>
        <v>0</v>
      </c>
      <c r="M101" s="9" t="n">
        <f aca="false">IF(AND(OR($H101="Analogy",$H101="Assumed"),OR(NOT(ISNUMBER($F101)),NOT(ISNUMBER($G101)))),1,0)</f>
        <v>0</v>
      </c>
      <c r="N101" s="12" t="s">
        <v>3422</v>
      </c>
    </row>
    <row r="102" customFormat="false" ht="15" hidden="false" customHeight="false" outlineLevel="0" collapsed="false">
      <c r="A102" s="9" t="s">
        <v>3423</v>
      </c>
      <c r="B102" s="9" t="s">
        <v>3409</v>
      </c>
      <c r="C102" s="9" t="s">
        <v>2931</v>
      </c>
      <c r="D102" s="11" t="s">
        <v>3170</v>
      </c>
      <c r="E102" s="10" t="n">
        <v>0.08</v>
      </c>
      <c r="F102" s="10" t="n">
        <v>0.04</v>
      </c>
      <c r="G102" s="10" t="n">
        <v>0.12</v>
      </c>
      <c r="H102" s="9" t="s">
        <v>299</v>
      </c>
      <c r="I102" s="9" t="s">
        <v>3424</v>
      </c>
      <c r="J102" s="9" t="s">
        <v>3415</v>
      </c>
      <c r="K102" s="9"/>
      <c r="L102" s="9" t="n">
        <f aca="false">IF(AND(ISNUMBER($E102),ISNUMBER($F102),ISNUMBER($G102)),IF(AND($F102&lt;=$E102,$E102&lt;=$G102),0,1),0)</f>
        <v>0</v>
      </c>
      <c r="M102" s="9" t="n">
        <f aca="false">IF(AND(OR($H102="Analogy",$H102="Assumed"),OR(NOT(ISNUMBER($F102)),NOT(ISNUMBER($G102)))),1,0)</f>
        <v>0</v>
      </c>
      <c r="N102" s="12" t="s">
        <v>3425</v>
      </c>
    </row>
    <row r="103" customFormat="false" ht="15" hidden="false" customHeight="false" outlineLevel="0" collapsed="false">
      <c r="A103" s="9" t="s">
        <v>3426</v>
      </c>
      <c r="B103" s="9" t="s">
        <v>3427</v>
      </c>
      <c r="C103" s="9" t="s">
        <v>2929</v>
      </c>
      <c r="D103" s="11" t="s">
        <v>3170</v>
      </c>
      <c r="E103" s="10" t="n">
        <v>0.45</v>
      </c>
      <c r="F103" s="10" t="n">
        <v>0.225</v>
      </c>
      <c r="G103" s="10" t="n">
        <v>0.9</v>
      </c>
      <c r="H103" s="9" t="s">
        <v>299</v>
      </c>
      <c r="I103" s="9" t="s">
        <v>3428</v>
      </c>
      <c r="J103" s="9" t="s">
        <v>3220</v>
      </c>
      <c r="K103" s="9" t="s">
        <v>3429</v>
      </c>
      <c r="L103" s="9" t="n">
        <f aca="false">IF(AND(ISNUMBER($E103),ISNUMBER($F103),ISNUMBER($G103)),IF(AND($F103&lt;=$E103,$E103&lt;=$G103),0,1),0)</f>
        <v>0</v>
      </c>
      <c r="M103" s="9" t="n">
        <f aca="false">IF(AND(OR($H103="Analogy",$H103="Assumed"),OR(NOT(ISNUMBER($F103)),NOT(ISNUMBER($G103)))),1,0)</f>
        <v>0</v>
      </c>
      <c r="N103" s="12" t="s">
        <v>3430</v>
      </c>
    </row>
    <row r="104" customFormat="false" ht="15" hidden="false" customHeight="false" outlineLevel="0" collapsed="false">
      <c r="A104" s="9" t="s">
        <v>3431</v>
      </c>
      <c r="B104" s="9" t="s">
        <v>3427</v>
      </c>
      <c r="C104" s="9" t="s">
        <v>1660</v>
      </c>
      <c r="D104" s="11" t="s">
        <v>3170</v>
      </c>
      <c r="E104" s="10" t="n">
        <v>0.35</v>
      </c>
      <c r="F104" s="10" t="n">
        <v>0.175</v>
      </c>
      <c r="G104" s="10" t="n">
        <v>0.7</v>
      </c>
      <c r="H104" s="9" t="s">
        <v>299</v>
      </c>
      <c r="I104" s="9" t="s">
        <v>3432</v>
      </c>
      <c r="J104" s="9" t="s">
        <v>3220</v>
      </c>
      <c r="K104" s="9"/>
      <c r="L104" s="9" t="n">
        <f aca="false">IF(AND(ISNUMBER($E104),ISNUMBER($F104),ISNUMBER($G104)),IF(AND($F104&lt;=$E104,$E104&lt;=$G104),0,1),0)</f>
        <v>0</v>
      </c>
      <c r="M104" s="9" t="n">
        <f aca="false">IF(AND(OR($H104="Analogy",$H104="Assumed"),OR(NOT(ISNUMBER($F104)),NOT(ISNUMBER($G104)))),1,0)</f>
        <v>0</v>
      </c>
      <c r="N104" s="12" t="s">
        <v>3433</v>
      </c>
    </row>
    <row r="105" customFormat="false" ht="15" hidden="false" customHeight="false" outlineLevel="0" collapsed="false">
      <c r="A105" s="9" t="s">
        <v>3434</v>
      </c>
      <c r="B105" s="9" t="s">
        <v>3427</v>
      </c>
      <c r="C105" s="9" t="s">
        <v>2930</v>
      </c>
      <c r="D105" s="11" t="s">
        <v>3170</v>
      </c>
      <c r="E105" s="10" t="n">
        <v>0.25</v>
      </c>
      <c r="F105" s="10" t="n">
        <v>0.125</v>
      </c>
      <c r="G105" s="10" t="n">
        <v>0.5</v>
      </c>
      <c r="H105" s="9" t="s">
        <v>299</v>
      </c>
      <c r="I105" s="9" t="s">
        <v>3435</v>
      </c>
      <c r="J105" s="9" t="s">
        <v>3220</v>
      </c>
      <c r="K105" s="9"/>
      <c r="L105" s="9" t="n">
        <f aca="false">IF(AND(ISNUMBER($E105),ISNUMBER($F105),ISNUMBER($G105)),IF(AND($F105&lt;=$E105,$E105&lt;=$G105),0,1),0)</f>
        <v>0</v>
      </c>
      <c r="M105" s="9" t="n">
        <f aca="false">IF(AND(OR($H105="Analogy",$H105="Assumed"),OR(NOT(ISNUMBER($F105)),NOT(ISNUMBER($G105)))),1,0)</f>
        <v>0</v>
      </c>
      <c r="N105" s="12" t="s">
        <v>3436</v>
      </c>
    </row>
    <row r="106" customFormat="false" ht="15" hidden="false" customHeight="false" outlineLevel="0" collapsed="false">
      <c r="A106" s="9" t="s">
        <v>3437</v>
      </c>
      <c r="B106" s="9" t="s">
        <v>3427</v>
      </c>
      <c r="C106" s="9" t="s">
        <v>2931</v>
      </c>
      <c r="D106" s="11" t="s">
        <v>3170</v>
      </c>
      <c r="E106" s="10" t="n">
        <v>0.2</v>
      </c>
      <c r="F106" s="10" t="n">
        <v>0.1</v>
      </c>
      <c r="G106" s="10" t="n">
        <v>0.4</v>
      </c>
      <c r="H106" s="9" t="s">
        <v>299</v>
      </c>
      <c r="I106" s="9" t="s">
        <v>3438</v>
      </c>
      <c r="J106" s="9" t="s">
        <v>3220</v>
      </c>
      <c r="K106" s="9"/>
      <c r="L106" s="9" t="n">
        <f aca="false">IF(AND(ISNUMBER($E106),ISNUMBER($F106),ISNUMBER($G106)),IF(AND($F106&lt;=$E106,$E106&lt;=$G106),0,1),0)</f>
        <v>0</v>
      </c>
      <c r="M106" s="9" t="n">
        <f aca="false">IF(AND(OR($H106="Analogy",$H106="Assumed"),OR(NOT(ISNUMBER($F106)),NOT(ISNUMBER($G106)))),1,0)</f>
        <v>0</v>
      </c>
      <c r="N106" s="12" t="s">
        <v>3439</v>
      </c>
    </row>
    <row r="107" customFormat="false" ht="15" hidden="false" customHeight="false" outlineLevel="0" collapsed="false">
      <c r="A107" s="9" t="s">
        <v>3440</v>
      </c>
      <c r="B107" s="11" t="s">
        <v>3441</v>
      </c>
      <c r="C107" s="9" t="s">
        <v>3038</v>
      </c>
      <c r="D107" s="11" t="s">
        <v>3442</v>
      </c>
      <c r="E107" s="10" t="n">
        <v>-0.7</v>
      </c>
      <c r="F107" s="10" t="n">
        <v>-1.05</v>
      </c>
      <c r="G107" s="10" t="n">
        <v>-0.35</v>
      </c>
      <c r="H107" s="9" t="s">
        <v>299</v>
      </c>
      <c r="I107" s="9" t="s">
        <v>3443</v>
      </c>
      <c r="J107" s="11" t="s">
        <v>3250</v>
      </c>
      <c r="K107" s="11" t="s">
        <v>3444</v>
      </c>
      <c r="L107" s="9" t="n">
        <f aca="false">IF(AND(ISNUMBER($E107),ISNUMBER($F107),ISNUMBER($G107)),IF(AND($F107&lt;=$E107,$E107&lt;=$G107),0,1),0)</f>
        <v>0</v>
      </c>
      <c r="M107" s="9" t="n">
        <f aca="false">IF(AND(OR($H107="Analogy",$H107="Assumed"),OR(NOT(ISNUMBER($F107)),NOT(ISNUMBER($G107)))),1,0)</f>
        <v>0</v>
      </c>
      <c r="N107" s="12" t="s">
        <v>3445</v>
      </c>
    </row>
    <row r="108" customFormat="false" ht="15" hidden="false" customHeight="false" outlineLevel="0" collapsed="false">
      <c r="A108" s="9" t="s">
        <v>3446</v>
      </c>
      <c r="B108" s="11" t="s">
        <v>3447</v>
      </c>
      <c r="C108" s="9" t="s">
        <v>3038</v>
      </c>
      <c r="D108" s="11" t="s">
        <v>3442</v>
      </c>
      <c r="E108" s="10" t="n">
        <v>-0.3</v>
      </c>
      <c r="F108" s="10" t="n">
        <v>-0.45</v>
      </c>
      <c r="G108" s="10" t="n">
        <v>-0.15</v>
      </c>
      <c r="H108" s="9" t="s">
        <v>299</v>
      </c>
      <c r="I108" s="9" t="s">
        <v>3448</v>
      </c>
      <c r="J108" s="11" t="s">
        <v>3250</v>
      </c>
      <c r="K108" s="9"/>
      <c r="L108" s="9" t="n">
        <f aca="false">IF(AND(ISNUMBER($E108),ISNUMBER($F108),ISNUMBER($G108)),IF(AND($F108&lt;=$E108,$E108&lt;=$G108),0,1),0)</f>
        <v>0</v>
      </c>
      <c r="M108" s="9" t="n">
        <f aca="false">IF(AND(OR($H108="Analogy",$H108="Assumed"),OR(NOT(ISNUMBER($F108)),NOT(ISNUMBER($G108)))),1,0)</f>
        <v>0</v>
      </c>
      <c r="N108" s="12" t="s">
        <v>3449</v>
      </c>
    </row>
    <row r="109" customFormat="false" ht="15" hidden="false" customHeight="false" outlineLevel="0" collapsed="false">
      <c r="A109" s="9" t="s">
        <v>3450</v>
      </c>
      <c r="B109" s="9" t="s">
        <v>3451</v>
      </c>
      <c r="C109" s="9" t="s">
        <v>1121</v>
      </c>
      <c r="D109" s="11" t="s">
        <v>3170</v>
      </c>
      <c r="E109" s="10" t="n">
        <v>-0.15</v>
      </c>
      <c r="F109" s="10" t="n">
        <v>-0.35</v>
      </c>
      <c r="G109" s="10" t="n">
        <v>0</v>
      </c>
      <c r="H109" s="9" t="s">
        <v>2861</v>
      </c>
      <c r="I109" s="11" t="s">
        <v>3452</v>
      </c>
      <c r="J109" s="11" t="s">
        <v>3453</v>
      </c>
      <c r="K109" s="9" t="s">
        <v>3454</v>
      </c>
      <c r="L109" s="9" t="n">
        <f aca="false">IF(AND(ISNUMBER($E109),ISNUMBER($F109),ISNUMBER($G109)),IF(AND($F109&lt;=$E109,$E109&lt;=$G109),0,1),0)</f>
        <v>0</v>
      </c>
      <c r="M109" s="9" t="n">
        <f aca="false">IF(AND(OR($H109="Analogy",$H109="Assumed"),OR(NOT(ISNUMBER($F109)),NOT(ISNUMBER($G109)))),1,0)</f>
        <v>0</v>
      </c>
      <c r="N109" s="12" t="s">
        <v>3455</v>
      </c>
    </row>
    <row r="110" customFormat="false" ht="15" hidden="false" customHeight="false" outlineLevel="0" collapsed="false">
      <c r="A110" s="9" t="s">
        <v>3456</v>
      </c>
      <c r="B110" s="11" t="s">
        <v>3457</v>
      </c>
      <c r="C110" s="9" t="s">
        <v>3139</v>
      </c>
      <c r="D110" s="11" t="s">
        <v>3458</v>
      </c>
      <c r="E110" s="10" t="n">
        <v>0</v>
      </c>
      <c r="F110" s="10" t="n">
        <v>-0.15</v>
      </c>
      <c r="G110" s="10" t="n">
        <v>0.15</v>
      </c>
      <c r="H110" s="9" t="s">
        <v>2861</v>
      </c>
      <c r="I110" s="9" t="s">
        <v>3459</v>
      </c>
      <c r="J110" s="9" t="s">
        <v>3460</v>
      </c>
      <c r="K110" s="11" t="s">
        <v>3461</v>
      </c>
      <c r="L110" s="9" t="n">
        <f aca="false">IF(AND(ISNUMBER($E110),ISNUMBER($F110),ISNUMBER($G110)),IF(AND($F110&lt;=$E110,$E110&lt;=$G110),0,1),0)</f>
        <v>0</v>
      </c>
      <c r="M110" s="9" t="n">
        <f aca="false">IF(AND(OR($H110="Analogy",$H110="Assumed"),OR(NOT(ISNUMBER($F110)),NOT(ISNUMBER($G110)))),1,0)</f>
        <v>0</v>
      </c>
      <c r="N110" s="12" t="s">
        <v>3462</v>
      </c>
    </row>
    <row r="111" customFormat="false" ht="15" hidden="false" customHeight="false" outlineLevel="0" collapsed="false">
      <c r="A111" s="9" t="s">
        <v>3463</v>
      </c>
      <c r="B111" s="11" t="s">
        <v>3464</v>
      </c>
      <c r="C111" s="9" t="s">
        <v>3139</v>
      </c>
      <c r="D111" s="11" t="s">
        <v>269</v>
      </c>
      <c r="E111" s="10" t="n">
        <v>0.16</v>
      </c>
      <c r="F111" s="10" t="n">
        <v>0.16</v>
      </c>
      <c r="G111" s="10" t="n">
        <v>0.3</v>
      </c>
      <c r="H111" s="9" t="s">
        <v>299</v>
      </c>
      <c r="I111" s="11" t="s">
        <v>3465</v>
      </c>
      <c r="J111" s="11" t="s">
        <v>3466</v>
      </c>
      <c r="K111" s="9" t="s">
        <v>3467</v>
      </c>
      <c r="L111" s="9" t="n">
        <f aca="false">IF(AND(ISNUMBER($E111),ISNUMBER($F111),ISNUMBER($G111)),IF(AND($F111&lt;=$E111,$E111&lt;=$G111),0,1),0)</f>
        <v>0</v>
      </c>
      <c r="M111" s="9" t="n">
        <f aca="false">IF(AND(OR($H111="Analogy",$H111="Assumed"),OR(NOT(ISNUMBER($F111)),NOT(ISNUMBER($G111)))),1,0)</f>
        <v>0</v>
      </c>
      <c r="N111" s="12" t="s">
        <v>3468</v>
      </c>
    </row>
    <row r="112" customFormat="false" ht="15" hidden="false" customHeight="false" outlineLevel="0" collapsed="false">
      <c r="A112" s="9" t="s">
        <v>3469</v>
      </c>
      <c r="B112" s="11" t="s">
        <v>3470</v>
      </c>
      <c r="C112" s="9" t="s">
        <v>3139</v>
      </c>
      <c r="D112" s="11" t="s">
        <v>3170</v>
      </c>
      <c r="E112" s="10" t="n">
        <v>0</v>
      </c>
      <c r="F112" s="10" t="n">
        <v>0</v>
      </c>
      <c r="G112" s="10" t="n">
        <v>0.5</v>
      </c>
      <c r="H112" s="9" t="s">
        <v>2861</v>
      </c>
      <c r="I112" s="9" t="s">
        <v>3471</v>
      </c>
      <c r="J112" s="9" t="s">
        <v>3472</v>
      </c>
      <c r="K112" s="11" t="s">
        <v>3473</v>
      </c>
      <c r="L112" s="9" t="n">
        <f aca="false">IF(AND(ISNUMBER($E112),ISNUMBER($F112),ISNUMBER($G112)),IF(AND($F112&lt;=$E112,$E112&lt;=$G112),0,1),0)</f>
        <v>0</v>
      </c>
      <c r="M112" s="9" t="n">
        <f aca="false">IF(AND(OR($H112="Analogy",$H112="Assumed"),OR(NOT(ISNUMBER($F112)),NOT(ISNUMBER($G112)))),1,0)</f>
        <v>0</v>
      </c>
      <c r="N112" s="12" t="s">
        <v>3474</v>
      </c>
    </row>
    <row r="113" customFormat="false" ht="15" hidden="false" customHeight="false" outlineLevel="0" collapsed="false">
      <c r="A113" s="9" t="s">
        <v>3475</v>
      </c>
      <c r="B113" s="11" t="s">
        <v>3476</v>
      </c>
      <c r="C113" s="9" t="s">
        <v>3038</v>
      </c>
      <c r="D113" s="9" t="s">
        <v>3477</v>
      </c>
      <c r="E113" s="10" t="n">
        <v>1000000</v>
      </c>
      <c r="F113" s="10" t="n">
        <v>1000000</v>
      </c>
      <c r="G113" s="10" t="n">
        <v>1000000</v>
      </c>
      <c r="H113" s="9" t="s">
        <v>3014</v>
      </c>
      <c r="I113" s="11" t="s">
        <v>3040</v>
      </c>
      <c r="J113" s="11" t="s">
        <v>3041</v>
      </c>
      <c r="K113" s="9" t="s">
        <v>3478</v>
      </c>
      <c r="L113" s="9" t="n">
        <f aca="false">IF(AND(ISNUMBER($E113),ISNUMBER($F113),ISNUMBER($G113)),IF(AND($F113&lt;=$E113,$E113&lt;=$G113),0,1),0)</f>
        <v>0</v>
      </c>
      <c r="M113" s="9" t="n">
        <f aca="false">IF(AND(OR($H113="Analogy",$H113="Assumed"),OR(NOT(ISNUMBER($F113)),NOT(ISNUMBER($G113)))),1,0)</f>
        <v>0</v>
      </c>
      <c r="N113" s="12" t="s">
        <v>3479</v>
      </c>
    </row>
    <row r="114" customFormat="false" ht="15" hidden="false" customHeight="false" outlineLevel="0" collapsed="false">
      <c r="A114" s="9" t="s">
        <v>3480</v>
      </c>
      <c r="B114" s="11" t="s">
        <v>3481</v>
      </c>
      <c r="C114" s="9" t="s">
        <v>3038</v>
      </c>
      <c r="D114" s="9" t="s">
        <v>3482</v>
      </c>
      <c r="E114" s="10" t="n">
        <v>1000</v>
      </c>
      <c r="F114" s="10" t="n">
        <v>1000</v>
      </c>
      <c r="G114" s="10" t="n">
        <v>1000</v>
      </c>
      <c r="H114" s="9" t="s">
        <v>3014</v>
      </c>
      <c r="I114" s="11" t="s">
        <v>3040</v>
      </c>
      <c r="J114" s="11" t="s">
        <v>3041</v>
      </c>
      <c r="K114" s="9" t="s">
        <v>3483</v>
      </c>
      <c r="L114" s="9" t="n">
        <f aca="false">IF(AND(ISNUMBER($E114),ISNUMBER($F114),ISNUMBER($G114)),IF(AND($F114&lt;=$E114,$E114&lt;=$G114),0,1),0)</f>
        <v>0</v>
      </c>
      <c r="M114" s="9" t="n">
        <f aca="false">IF(AND(OR($H114="Analogy",$H114="Assumed"),OR(NOT(ISNUMBER($F114)),NOT(ISNUMBER($G114)))),1,0)</f>
        <v>0</v>
      </c>
      <c r="N114" s="12" t="s">
        <v>3484</v>
      </c>
    </row>
    <row r="115" customFormat="false" ht="15" hidden="false" customHeight="false" outlineLevel="0" collapsed="false">
      <c r="A115" s="9" t="s">
        <v>3485</v>
      </c>
      <c r="B115" s="11" t="s">
        <v>3486</v>
      </c>
      <c r="C115" s="9" t="s">
        <v>3038</v>
      </c>
      <c r="D115" s="9" t="s">
        <v>3487</v>
      </c>
      <c r="E115" s="10" t="n">
        <v>1000000000</v>
      </c>
      <c r="F115" s="10" t="n">
        <v>1000000000</v>
      </c>
      <c r="G115" s="10" t="n">
        <v>1000000000</v>
      </c>
      <c r="H115" s="9" t="s">
        <v>3014</v>
      </c>
      <c r="I115" s="11" t="s">
        <v>3040</v>
      </c>
      <c r="J115" s="11" t="s">
        <v>3041</v>
      </c>
      <c r="K115" s="9" t="s">
        <v>3488</v>
      </c>
      <c r="L115" s="9" t="n">
        <f aca="false">IF(AND(ISNUMBER($E115),ISNUMBER($F115),ISNUMBER($G115)),IF(AND($F115&lt;=$E115,$E115&lt;=$G115),0,1),0)</f>
        <v>0</v>
      </c>
      <c r="M115" s="9" t="n">
        <f aca="false">IF(AND(OR($H115="Analogy",$H115="Assumed"),OR(NOT(ISNUMBER($F115)),NOT(ISNUMBER($G115)))),1,0)</f>
        <v>0</v>
      </c>
      <c r="N115" s="12" t="s">
        <v>3489</v>
      </c>
    </row>
    <row r="116" customFormat="false" ht="15" hidden="false" customHeight="false" outlineLevel="0" collapsed="false">
      <c r="A116" s="9" t="s">
        <v>3490</v>
      </c>
      <c r="B116" s="11" t="s">
        <v>3491</v>
      </c>
      <c r="C116" s="9" t="s">
        <v>3038</v>
      </c>
      <c r="D116" s="9" t="s">
        <v>3038</v>
      </c>
      <c r="E116" s="10" t="n">
        <v>2</v>
      </c>
      <c r="F116" s="10" t="n">
        <v>2</v>
      </c>
      <c r="G116" s="10" t="n">
        <v>2</v>
      </c>
      <c r="H116" s="9" t="s">
        <v>3014</v>
      </c>
      <c r="I116" s="11" t="s">
        <v>3492</v>
      </c>
      <c r="J116" s="11" t="s">
        <v>3040</v>
      </c>
      <c r="K116" s="9" t="s">
        <v>3493</v>
      </c>
      <c r="L116" s="9" t="n">
        <f aca="false">IF(AND(ISNUMBER($E116),ISNUMBER($F116),ISNUMBER($G116)),IF(AND($F116&lt;=$E116,$E116&lt;=$G116),0,1),0)</f>
        <v>0</v>
      </c>
      <c r="M116" s="9" t="n">
        <f aca="false">IF(AND(OR($H116="Analogy",$H116="Assumed"),OR(NOT(ISNUMBER($F116)),NOT(ISNUMBER($G116)))),1,0)</f>
        <v>0</v>
      </c>
      <c r="N116" s="12" t="s">
        <v>3494</v>
      </c>
    </row>
    <row r="117" customFormat="false" ht="15" hidden="false" customHeight="false" outlineLevel="0" collapsed="false">
      <c r="A117" s="9" t="s">
        <v>3495</v>
      </c>
      <c r="B117" s="11" t="s">
        <v>3496</v>
      </c>
      <c r="C117" s="9" t="s">
        <v>3038</v>
      </c>
      <c r="D117" s="11" t="s">
        <v>2189</v>
      </c>
      <c r="E117" s="10" t="n">
        <v>2026</v>
      </c>
      <c r="F117" s="10" t="n">
        <v>2026</v>
      </c>
      <c r="G117" s="10" t="n">
        <v>2026</v>
      </c>
      <c r="H117" s="9" t="s">
        <v>3014</v>
      </c>
      <c r="I117" s="9" t="s">
        <v>3497</v>
      </c>
      <c r="J117" s="11" t="s">
        <v>3016</v>
      </c>
      <c r="K117" s="9" t="s">
        <v>3498</v>
      </c>
      <c r="L117" s="9" t="n">
        <f aca="false">IF(AND(ISNUMBER($E117),ISNUMBER($F117),ISNUMBER($G117)),IF(AND($F117&lt;=$E117,$E117&lt;=$G117),0,1),0)</f>
        <v>0</v>
      </c>
      <c r="M117" s="9" t="n">
        <f aca="false">IF(AND(OR($H117="Analogy",$H117="Assumed"),OR(NOT(ISNUMBER($F117)),NOT(ISNUMBER($G117)))),1,0)</f>
        <v>0</v>
      </c>
      <c r="N117" s="12" t="s">
        <v>3499</v>
      </c>
    </row>
    <row r="118" customFormat="false" ht="15" hidden="false" customHeight="false" outlineLevel="0" collapsed="false">
      <c r="A118" s="9" t="s">
        <v>3500</v>
      </c>
      <c r="B118" s="11" t="s">
        <v>3501</v>
      </c>
      <c r="C118" s="9" t="s">
        <v>3038</v>
      </c>
      <c r="D118" s="9" t="s">
        <v>2742</v>
      </c>
      <c r="E118" s="10" t="n">
        <v>12</v>
      </c>
      <c r="F118" s="10" t="n">
        <v>8</v>
      </c>
      <c r="G118" s="10" t="n">
        <v>20</v>
      </c>
      <c r="H118" s="9" t="s">
        <v>299</v>
      </c>
      <c r="I118" s="11" t="s">
        <v>3502</v>
      </c>
      <c r="J118" s="11" t="s">
        <v>3250</v>
      </c>
      <c r="K118" s="11" t="s">
        <v>3503</v>
      </c>
      <c r="L118" s="9" t="n">
        <f aca="false">IF(AND(ISNUMBER($E118),ISNUMBER($F118),ISNUMBER($G118)),IF(AND($F118&lt;=$E118,$E118&lt;=$G118),0,1),0)</f>
        <v>0</v>
      </c>
      <c r="M118" s="9" t="n">
        <f aca="false">IF(AND(OR($H118="Analogy",$H118="Assumed"),OR(NOT(ISNUMBER($F118)),NOT(ISNUMBER($G118)))),1,0)</f>
        <v>0</v>
      </c>
      <c r="N118" s="12" t="s">
        <v>3504</v>
      </c>
    </row>
    <row r="119" customFormat="false" ht="15" hidden="false" customHeight="false" outlineLevel="0" collapsed="false">
      <c r="A119" s="9" t="s">
        <v>3505</v>
      </c>
      <c r="B119" s="11" t="s">
        <v>3506</v>
      </c>
      <c r="C119" s="9" t="s">
        <v>3038</v>
      </c>
      <c r="D119" s="11" t="s">
        <v>269</v>
      </c>
      <c r="E119" s="10" t="n">
        <v>0.1</v>
      </c>
      <c r="F119" s="10" t="n">
        <v>0.05</v>
      </c>
      <c r="G119" s="10" t="n">
        <v>0.2</v>
      </c>
      <c r="H119" s="9" t="s">
        <v>299</v>
      </c>
      <c r="I119" s="11" t="s">
        <v>3507</v>
      </c>
      <c r="J119" s="11" t="s">
        <v>3508</v>
      </c>
      <c r="K119" s="9" t="s">
        <v>3509</v>
      </c>
      <c r="L119" s="9" t="n">
        <f aca="false">IF(AND(ISNUMBER($E119),ISNUMBER($F119),ISNUMBER($G119)),IF(AND($F119&lt;=$E119,$E119&lt;=$G119),0,1),0)</f>
        <v>0</v>
      </c>
      <c r="M119" s="9" t="n">
        <f aca="false">IF(AND(OR($H119="Analogy",$H119="Assumed"),OR(NOT(ISNUMBER($F119)),NOT(ISNUMBER($G119)))),1,0)</f>
        <v>0</v>
      </c>
      <c r="N119" s="12" t="s">
        <v>3510</v>
      </c>
    </row>
    <row r="120" customFormat="false" ht="15" hidden="false" customHeight="false" outlineLevel="0" collapsed="false">
      <c r="A120" s="9" t="s">
        <v>3511</v>
      </c>
      <c r="B120" s="11" t="s">
        <v>3512</v>
      </c>
      <c r="C120" s="9" t="s">
        <v>3038</v>
      </c>
      <c r="D120" s="11" t="s">
        <v>269</v>
      </c>
      <c r="E120" s="10" t="n">
        <v>0.3</v>
      </c>
      <c r="F120" s="10" t="n">
        <v>0.2</v>
      </c>
      <c r="G120" s="10" t="n">
        <v>0.4</v>
      </c>
      <c r="H120" s="9" t="s">
        <v>299</v>
      </c>
      <c r="I120" s="11" t="s">
        <v>3513</v>
      </c>
      <c r="J120" s="11" t="s">
        <v>3514</v>
      </c>
      <c r="K120" s="11" t="s">
        <v>3515</v>
      </c>
      <c r="L120" s="9" t="n">
        <f aca="false">IF(AND(ISNUMBER($E120),ISNUMBER($F120),ISNUMBER($G120)),IF(AND($F120&lt;=$E120,$E120&lt;=$G120),0,1),0)</f>
        <v>0</v>
      </c>
      <c r="M120" s="9" t="n">
        <f aca="false">IF(AND(OR($H120="Analogy",$H120="Assumed"),OR(NOT(ISNUMBER($F120)),NOT(ISNUMBER($G120)))),1,0)</f>
        <v>0</v>
      </c>
      <c r="N120" s="12" t="s">
        <v>3516</v>
      </c>
    </row>
    <row r="121" customFormat="false" ht="15" hidden="false" customHeight="false" outlineLevel="0" collapsed="false">
      <c r="A121" s="9" t="s">
        <v>3517</v>
      </c>
      <c r="B121" s="9" t="s">
        <v>3518</v>
      </c>
      <c r="C121" s="9" t="s">
        <v>3038</v>
      </c>
      <c r="D121" s="11" t="s">
        <v>3097</v>
      </c>
      <c r="E121" s="10" t="n">
        <v>0</v>
      </c>
      <c r="F121" s="10" t="n">
        <v>0</v>
      </c>
      <c r="G121" s="10" t="n">
        <v>1</v>
      </c>
      <c r="H121" s="9" t="s">
        <v>3014</v>
      </c>
      <c r="I121" s="11" t="s">
        <v>3519</v>
      </c>
      <c r="J121" s="11" t="s">
        <v>3097</v>
      </c>
      <c r="K121" s="9" t="s">
        <v>3520</v>
      </c>
      <c r="L121" s="9" t="n">
        <f aca="false">IF(AND(ISNUMBER($E121),ISNUMBER($F121),ISNUMBER($G121)),IF(AND($F121&lt;=$E121,$E121&lt;=$G121),0,1),0)</f>
        <v>0</v>
      </c>
      <c r="M121" s="9" t="n">
        <f aca="false">IF(AND(OR($H121="Analogy",$H121="Assumed"),OR(NOT(ISNUMBER($F121)),NOT(ISNUMBER($G121)))),1,0)</f>
        <v>0</v>
      </c>
      <c r="N121" s="12" t="s">
        <v>3521</v>
      </c>
    </row>
    <row r="122" customFormat="false" ht="15" hidden="false" customHeight="false" outlineLevel="0" collapsed="false">
      <c r="A122" s="9" t="s">
        <v>3522</v>
      </c>
      <c r="B122" s="9" t="s">
        <v>3523</v>
      </c>
      <c r="C122" s="9" t="s">
        <v>3038</v>
      </c>
      <c r="D122" s="11" t="s">
        <v>747</v>
      </c>
      <c r="E122" s="10" t="n">
        <v>1</v>
      </c>
      <c r="F122" s="10" t="n">
        <v>1</v>
      </c>
      <c r="G122" s="10" t="n">
        <v>1</v>
      </c>
      <c r="H122" s="9" t="s">
        <v>3014</v>
      </c>
      <c r="I122" s="11" t="s">
        <v>3524</v>
      </c>
      <c r="J122" s="11" t="s">
        <v>3016</v>
      </c>
      <c r="K122" s="9"/>
      <c r="L122" s="9" t="n">
        <f aca="false">IF(AND(ISNUMBER($E122),ISNUMBER($F122),ISNUMBER($G122)),IF(AND($F122&lt;=$E122,$E122&lt;=$G122),0,1),0)</f>
        <v>0</v>
      </c>
      <c r="M122" s="9" t="n">
        <f aca="false">IF(AND(OR($H122="Analogy",$H122="Assumed"),OR(NOT(ISNUMBER($F122)),NOT(ISNUMBER($G122)))),1,0)</f>
        <v>0</v>
      </c>
      <c r="N122" s="12" t="s">
        <v>3525</v>
      </c>
    </row>
    <row r="123" customFormat="false" ht="15" hidden="false" customHeight="false" outlineLevel="0" collapsed="false">
      <c r="A123" s="9" t="s">
        <v>3526</v>
      </c>
      <c r="B123" s="9" t="s">
        <v>3527</v>
      </c>
      <c r="C123" s="9" t="s">
        <v>3038</v>
      </c>
      <c r="D123" s="11" t="s">
        <v>2189</v>
      </c>
      <c r="E123" s="10" t="n">
        <v>2030</v>
      </c>
      <c r="F123" s="10" t="n">
        <v>2030</v>
      </c>
      <c r="G123" s="10" t="n">
        <v>2030</v>
      </c>
      <c r="H123" s="9" t="s">
        <v>3014</v>
      </c>
      <c r="I123" s="11" t="s">
        <v>3528</v>
      </c>
      <c r="J123" s="11" t="s">
        <v>3016</v>
      </c>
      <c r="K123" s="9"/>
      <c r="L123" s="9" t="n">
        <f aca="false">IF(AND(ISNUMBER($E123),ISNUMBER($F123),ISNUMBER($G123)),IF(AND($F123&lt;=$E123,$E123&lt;=$G123),0,1),0)</f>
        <v>0</v>
      </c>
      <c r="M123" s="9" t="n">
        <f aca="false">IF(AND(OR($H123="Analogy",$H123="Assumed"),OR(NOT(ISNUMBER($F123)),NOT(ISNUMBER($G123)))),1,0)</f>
        <v>0</v>
      </c>
      <c r="N123" s="12" t="s">
        <v>3529</v>
      </c>
    </row>
    <row r="124" customFormat="false" ht="15" hidden="false" customHeight="false" outlineLevel="0" collapsed="false">
      <c r="A124" s="9" t="s">
        <v>3530</v>
      </c>
      <c r="B124" s="9" t="s">
        <v>3531</v>
      </c>
      <c r="C124" s="9" t="s">
        <v>3038</v>
      </c>
      <c r="D124" s="11" t="s">
        <v>747</v>
      </c>
      <c r="E124" s="10" t="n">
        <v>0.5</v>
      </c>
      <c r="F124" s="10" t="n">
        <v>0.5</v>
      </c>
      <c r="G124" s="10" t="n">
        <v>0.5</v>
      </c>
      <c r="H124" s="9" t="s">
        <v>3014</v>
      </c>
      <c r="I124" s="11" t="s">
        <v>3532</v>
      </c>
      <c r="J124" s="11" t="s">
        <v>3115</v>
      </c>
      <c r="K124" s="9" t="s">
        <v>34</v>
      </c>
      <c r="L124" s="9" t="n">
        <f aca="false">IF(AND(ISNUMBER($E124),ISNUMBER($F124),ISNUMBER($G124)),IF(AND($F124&lt;=$E124,$E124&lt;=$G124),0,1),0)</f>
        <v>0</v>
      </c>
      <c r="M124" s="9" t="n">
        <f aca="false">IF(AND(OR($H124="Analogy",$H124="Assumed"),OR(NOT(ISNUMBER($F124)),NOT(ISNUMBER($G124)))),1,0)</f>
        <v>0</v>
      </c>
      <c r="N124" s="12" t="s">
        <v>3533</v>
      </c>
    </row>
    <row r="125" customFormat="false" ht="15" hidden="false" customHeight="false" outlineLevel="0" collapsed="false">
      <c r="A125" s="9" t="s">
        <v>3534</v>
      </c>
      <c r="B125" s="9" t="s">
        <v>3535</v>
      </c>
      <c r="C125" s="9" t="s">
        <v>3038</v>
      </c>
      <c r="D125" s="11" t="s">
        <v>747</v>
      </c>
      <c r="E125" s="10" t="n">
        <v>2</v>
      </c>
      <c r="F125" s="10" t="n">
        <v>2</v>
      </c>
      <c r="G125" s="10" t="n">
        <v>2</v>
      </c>
      <c r="H125" s="9" t="s">
        <v>3014</v>
      </c>
      <c r="I125" s="11" t="s">
        <v>3061</v>
      </c>
      <c r="J125" s="11" t="s">
        <v>3115</v>
      </c>
      <c r="K125" s="9" t="s">
        <v>34</v>
      </c>
      <c r="L125" s="9" t="n">
        <f aca="false">IF(AND(ISNUMBER($E125),ISNUMBER($F125),ISNUMBER($G125)),IF(AND($F125&lt;=$E125,$E125&lt;=$G125),0,1),0)</f>
        <v>0</v>
      </c>
      <c r="M125" s="9" t="n">
        <f aca="false">IF(AND(OR($H125="Analogy",$H125="Assumed"),OR(NOT(ISNUMBER($F125)),NOT(ISNUMBER($G125)))),1,0)</f>
        <v>0</v>
      </c>
      <c r="N125" s="12" t="s">
        <v>3536</v>
      </c>
    </row>
    <row r="126" customFormat="false" ht="15" hidden="false" customHeight="false" outlineLevel="0" collapsed="false">
      <c r="A126" s="9" t="s">
        <v>3537</v>
      </c>
      <c r="B126" s="11" t="s">
        <v>3538</v>
      </c>
      <c r="C126" s="9" t="s">
        <v>3038</v>
      </c>
      <c r="D126" s="11" t="s">
        <v>2189</v>
      </c>
      <c r="E126" s="10" t="n">
        <v>2</v>
      </c>
      <c r="F126" s="10" t="n">
        <v>1</v>
      </c>
      <c r="G126" s="10" t="n">
        <v>3</v>
      </c>
      <c r="H126" s="9" t="s">
        <v>2861</v>
      </c>
      <c r="I126" s="11" t="s">
        <v>3539</v>
      </c>
      <c r="J126" s="11" t="s">
        <v>3453</v>
      </c>
      <c r="K126" s="11" t="s">
        <v>3540</v>
      </c>
      <c r="L126" s="9" t="n">
        <f aca="false">IF(AND(ISNUMBER($E126),ISNUMBER($F126),ISNUMBER($G126)),IF(AND($F126&lt;=$E126,$E126&lt;=$G126),0,1),0)</f>
        <v>0</v>
      </c>
      <c r="M126" s="9" t="n">
        <f aca="false">IF(AND(OR($H126="Analogy",$H126="Assumed"),OR(NOT(ISNUMBER($F126)),NOT(ISNUMBER($G126)))),1,0)</f>
        <v>0</v>
      </c>
      <c r="N126" s="12" t="s">
        <v>3541</v>
      </c>
    </row>
    <row r="127" customFormat="false" ht="15" hidden="false" customHeight="false" outlineLevel="0" collapsed="false">
      <c r="A127" s="9" t="s">
        <v>3542</v>
      </c>
      <c r="B127" s="11" t="s">
        <v>3543</v>
      </c>
      <c r="C127" s="9" t="s">
        <v>3038</v>
      </c>
      <c r="D127" s="11" t="s">
        <v>269</v>
      </c>
      <c r="E127" s="10" t="n">
        <v>0.8</v>
      </c>
      <c r="F127" s="10" t="n">
        <v>0.5</v>
      </c>
      <c r="G127" s="10" t="n">
        <v>1</v>
      </c>
      <c r="H127" s="9" t="s">
        <v>2861</v>
      </c>
      <c r="I127" s="11" t="s">
        <v>3544</v>
      </c>
      <c r="J127" s="11" t="s">
        <v>3453</v>
      </c>
      <c r="K127" s="9" t="s">
        <v>3545</v>
      </c>
      <c r="L127" s="9" t="n">
        <f aca="false">IF(AND(ISNUMBER($E127),ISNUMBER($F127),ISNUMBER($G127)),IF(AND($F127&lt;=$E127,$E127&lt;=$G127),0,1),0)</f>
        <v>0</v>
      </c>
      <c r="M127" s="9" t="n">
        <f aca="false">IF(AND(OR($H127="Analogy",$H127="Assumed"),OR(NOT(ISNUMBER($F127)),NOT(ISNUMBER($G127)))),1,0)</f>
        <v>0</v>
      </c>
      <c r="N127" s="12" t="s">
        <v>3546</v>
      </c>
    </row>
    <row r="128" customFormat="false" ht="15" hidden="false" customHeight="false" outlineLevel="0" collapsed="false">
      <c r="A128" s="9" t="s">
        <v>3547</v>
      </c>
      <c r="B128" s="11" t="s">
        <v>3548</v>
      </c>
      <c r="C128" s="9" t="s">
        <v>3038</v>
      </c>
      <c r="D128" s="11" t="s">
        <v>269</v>
      </c>
      <c r="E128" s="10" t="n">
        <v>0</v>
      </c>
      <c r="F128" s="10" t="n">
        <v>0</v>
      </c>
      <c r="G128" s="10" t="n">
        <v>1</v>
      </c>
      <c r="H128" s="9" t="s">
        <v>2861</v>
      </c>
      <c r="I128" s="9" t="s">
        <v>3549</v>
      </c>
      <c r="J128" s="9" t="s">
        <v>3550</v>
      </c>
      <c r="K128" s="9" t="s">
        <v>3551</v>
      </c>
      <c r="L128" s="9" t="n">
        <f aca="false">IF(AND(ISNUMBER($E128),ISNUMBER($F128),ISNUMBER($G128)),IF(AND($F128&lt;=$E128,$E128&lt;=$G128),0,1),0)</f>
        <v>0</v>
      </c>
      <c r="M128" s="9" t="n">
        <f aca="false">IF(AND(OR($H128="Analogy",$H128="Assumed"),OR(NOT(ISNUMBER($F128)),NOT(ISNUMBER($G128)))),1,0)</f>
        <v>0</v>
      </c>
      <c r="N128" s="12" t="s">
        <v>3552</v>
      </c>
    </row>
    <row r="129" customFormat="false" ht="15" hidden="false" customHeight="false" outlineLevel="0" collapsed="false">
      <c r="A129" s="9" t="s">
        <v>3553</v>
      </c>
      <c r="B129" s="11" t="s">
        <v>3554</v>
      </c>
      <c r="C129" s="9" t="s">
        <v>3555</v>
      </c>
      <c r="D129" s="11" t="s">
        <v>269</v>
      </c>
      <c r="E129" s="10" t="n">
        <v>0.4</v>
      </c>
      <c r="F129" s="10" t="n">
        <v>0.2</v>
      </c>
      <c r="G129" s="10" t="n">
        <v>0.6</v>
      </c>
      <c r="H129" s="9" t="s">
        <v>2861</v>
      </c>
      <c r="I129" s="11" t="s">
        <v>3556</v>
      </c>
      <c r="J129" s="9" t="s">
        <v>3557</v>
      </c>
      <c r="K129" s="9" t="s">
        <v>3558</v>
      </c>
      <c r="L129" s="9" t="n">
        <f aca="false">IF(AND(ISNUMBER($E129),ISNUMBER($F129),ISNUMBER($G129)),IF(AND($F129&lt;=$E129,$E129&lt;=$G129),0,1),0)</f>
        <v>0</v>
      </c>
      <c r="M129" s="9" t="n">
        <f aca="false">IF(AND(OR($H129="Analogy",$H129="Assumed"),OR(NOT(ISNUMBER($F129)),NOT(ISNUMBER($G129)))),1,0)</f>
        <v>0</v>
      </c>
      <c r="N129" s="12" t="s">
        <v>3559</v>
      </c>
    </row>
    <row r="130" customFormat="false" ht="15" hidden="false" customHeight="false" outlineLevel="0" collapsed="false">
      <c r="A130" s="9" t="s">
        <v>3560</v>
      </c>
      <c r="B130" s="11" t="s">
        <v>3561</v>
      </c>
      <c r="C130" s="9" t="s">
        <v>3555</v>
      </c>
      <c r="D130" s="11" t="s">
        <v>269</v>
      </c>
      <c r="E130" s="10" t="n">
        <v>0.1</v>
      </c>
      <c r="F130" s="10" t="n">
        <v>0</v>
      </c>
      <c r="G130" s="10" t="n">
        <v>0.3</v>
      </c>
      <c r="H130" s="9" t="s">
        <v>2861</v>
      </c>
      <c r="I130" s="11" t="s">
        <v>3562</v>
      </c>
      <c r="J130" s="11" t="s">
        <v>3061</v>
      </c>
      <c r="K130" s="9"/>
      <c r="L130" s="9" t="n">
        <f aca="false">IF(AND(ISNUMBER($E130),ISNUMBER($F130),ISNUMBER($G130)),IF(AND($F130&lt;=$E130,$E130&lt;=$G130),0,1),0)</f>
        <v>0</v>
      </c>
      <c r="M130" s="9" t="n">
        <f aca="false">IF(AND(OR($H130="Analogy",$H130="Assumed"),OR(NOT(ISNUMBER($F130)),NOT(ISNUMBER($G130)))),1,0)</f>
        <v>0</v>
      </c>
      <c r="N130" s="12" t="s">
        <v>3563</v>
      </c>
    </row>
    <row r="131" customFormat="false" ht="15" hidden="false" customHeight="false" outlineLevel="0" collapsed="false">
      <c r="A131" s="9" t="s">
        <v>3564</v>
      </c>
      <c r="B131" s="11" t="s">
        <v>3565</v>
      </c>
      <c r="C131" s="9" t="s">
        <v>306</v>
      </c>
      <c r="D131" s="11" t="s">
        <v>269</v>
      </c>
      <c r="E131" s="10" t="n">
        <v>0.33</v>
      </c>
      <c r="F131" s="10" t="n">
        <v>0</v>
      </c>
      <c r="G131" s="10" t="n">
        <v>1</v>
      </c>
      <c r="H131" s="9" t="s">
        <v>2861</v>
      </c>
      <c r="I131" s="11" t="s">
        <v>3566</v>
      </c>
      <c r="J131" s="9" t="s">
        <v>3567</v>
      </c>
      <c r="K131" s="9" t="s">
        <v>3568</v>
      </c>
      <c r="L131" s="9" t="n">
        <f aca="false">IF(AND(ISNUMBER($E131),ISNUMBER($F131),ISNUMBER($G131)),IF(AND($F131&lt;=$E131,$E131&lt;=$G131),0,1),0)</f>
        <v>0</v>
      </c>
      <c r="M131" s="9" t="n">
        <f aca="false">IF(AND(OR($H131="Analogy",$H131="Assumed"),OR(NOT(ISNUMBER($F131)),NOT(ISNUMBER($G131)))),1,0)</f>
        <v>0</v>
      </c>
      <c r="N131" s="12" t="s">
        <v>3569</v>
      </c>
    </row>
    <row r="132" customFormat="false" ht="15" hidden="false" customHeight="false" outlineLevel="0" collapsed="false">
      <c r="A132" s="9" t="s">
        <v>3570</v>
      </c>
      <c r="B132" s="9" t="s">
        <v>3571</v>
      </c>
      <c r="C132" s="9" t="s">
        <v>3038</v>
      </c>
      <c r="D132" s="11" t="s">
        <v>3097</v>
      </c>
      <c r="E132" s="10" t="n">
        <v>0</v>
      </c>
      <c r="F132" s="10" t="n">
        <v>0</v>
      </c>
      <c r="G132" s="10" t="n">
        <v>1</v>
      </c>
      <c r="H132" s="9" t="s">
        <v>3014</v>
      </c>
      <c r="I132" s="9" t="s">
        <v>3572</v>
      </c>
      <c r="J132" s="11" t="s">
        <v>3573</v>
      </c>
      <c r="K132" s="11" t="s">
        <v>3574</v>
      </c>
      <c r="L132" s="9" t="n">
        <f aca="false">IF(AND(ISNUMBER($E132),ISNUMBER($F132),ISNUMBER($G132)),IF(AND($F132&lt;=$E132,$E132&lt;=$G132),0,1),0)</f>
        <v>0</v>
      </c>
      <c r="M132" s="9" t="n">
        <f aca="false">IF(AND(OR($H132="Analogy",$H132="Assumed"),OR(NOT(ISNUMBER($F132)),NOT(ISNUMBER($G132)))),1,0)</f>
        <v>0</v>
      </c>
      <c r="N132" s="12" t="s">
        <v>3575</v>
      </c>
    </row>
    <row r="133" customFormat="false" ht="15" hidden="false" customHeight="false" outlineLevel="0" collapsed="false">
      <c r="A133" s="9" t="s">
        <v>3576</v>
      </c>
      <c r="B133" s="11" t="s">
        <v>3577</v>
      </c>
      <c r="C133" s="9" t="s">
        <v>3038</v>
      </c>
      <c r="D133" s="11" t="s">
        <v>2189</v>
      </c>
      <c r="E133" s="10" t="n">
        <v>2026</v>
      </c>
      <c r="F133" s="10" t="n">
        <v>2026</v>
      </c>
      <c r="G133" s="10" t="n">
        <v>2026</v>
      </c>
      <c r="H133" s="9" t="s">
        <v>3014</v>
      </c>
      <c r="I133" s="9" t="s">
        <v>3578</v>
      </c>
      <c r="J133" s="11" t="s">
        <v>3579</v>
      </c>
      <c r="K133" s="9"/>
      <c r="L133" s="9" t="n">
        <f aca="false">IF(AND(ISNUMBER($E133),ISNUMBER($F133),ISNUMBER($G133)),IF(AND($F133&lt;=$E133,$E133&lt;=$G133),0,1),0)</f>
        <v>0</v>
      </c>
      <c r="M133" s="9" t="n">
        <f aca="false">IF(AND(OR($H133="Analogy",$H133="Assumed"),OR(NOT(ISNUMBER($F133)),NOT(ISNUMBER($G133)))),1,0)</f>
        <v>0</v>
      </c>
      <c r="N133" s="12" t="s">
        <v>3580</v>
      </c>
    </row>
    <row r="134" customFormat="false" ht="15" hidden="false" customHeight="false" outlineLevel="0" collapsed="false">
      <c r="A134" s="9" t="s">
        <v>3581</v>
      </c>
      <c r="B134" s="11" t="s">
        <v>3582</v>
      </c>
      <c r="C134" s="9" t="s">
        <v>3038</v>
      </c>
      <c r="D134" s="11" t="s">
        <v>2189</v>
      </c>
      <c r="E134" s="10" t="n">
        <v>2033</v>
      </c>
      <c r="F134" s="10" t="n">
        <v>2033</v>
      </c>
      <c r="G134" s="10" t="n">
        <v>2033</v>
      </c>
      <c r="H134" s="9" t="s">
        <v>3014</v>
      </c>
      <c r="I134" s="11" t="s">
        <v>3061</v>
      </c>
      <c r="J134" s="11" t="s">
        <v>3579</v>
      </c>
      <c r="K134" s="9"/>
      <c r="L134" s="9" t="n">
        <f aca="false">IF(AND(ISNUMBER($E134),ISNUMBER($F134),ISNUMBER($G134)),IF(AND($F134&lt;=$E134,$E134&lt;=$G134),0,1),0)</f>
        <v>0</v>
      </c>
      <c r="M134" s="9" t="n">
        <f aca="false">IF(AND(OR($H134="Analogy",$H134="Assumed"),OR(NOT(ISNUMBER($F134)),NOT(ISNUMBER($G134)))),1,0)</f>
        <v>0</v>
      </c>
      <c r="N134" s="12" t="s">
        <v>3583</v>
      </c>
    </row>
    <row r="135" customFormat="false" ht="15" hidden="false" customHeight="false" outlineLevel="0" collapsed="false">
      <c r="A135" s="9" t="s">
        <v>3584</v>
      </c>
      <c r="B135" s="11" t="s">
        <v>3585</v>
      </c>
      <c r="C135" s="9" t="s">
        <v>3038</v>
      </c>
      <c r="D135" s="11" t="s">
        <v>2189</v>
      </c>
      <c r="E135" s="10" t="n">
        <v>2027</v>
      </c>
      <c r="F135" s="10" t="n">
        <v>2027</v>
      </c>
      <c r="G135" s="10" t="n">
        <v>2027</v>
      </c>
      <c r="H135" s="9" t="s">
        <v>3014</v>
      </c>
      <c r="I135" s="9" t="s">
        <v>3586</v>
      </c>
      <c r="J135" s="11" t="s">
        <v>3579</v>
      </c>
      <c r="K135" s="9"/>
      <c r="L135" s="9" t="n">
        <f aca="false">IF(AND(ISNUMBER($E135),ISNUMBER($F135),ISNUMBER($G135)),IF(AND($F135&lt;=$E135,$E135&lt;=$G135),0,1),0)</f>
        <v>0</v>
      </c>
      <c r="M135" s="9" t="n">
        <f aca="false">IF(AND(OR($H135="Analogy",$H135="Assumed"),OR(NOT(ISNUMBER($F135)),NOT(ISNUMBER($G135)))),1,0)</f>
        <v>0</v>
      </c>
      <c r="N135" s="12" t="s">
        <v>3587</v>
      </c>
    </row>
    <row r="136" customFormat="false" ht="15" hidden="false" customHeight="false" outlineLevel="0" collapsed="false">
      <c r="A136" s="9" t="s">
        <v>3588</v>
      </c>
      <c r="B136" s="11" t="s">
        <v>3589</v>
      </c>
      <c r="C136" s="9" t="s">
        <v>3038</v>
      </c>
      <c r="D136" s="11" t="s">
        <v>2189</v>
      </c>
      <c r="E136" s="10" t="n">
        <v>2031</v>
      </c>
      <c r="F136" s="10" t="n">
        <v>2031</v>
      </c>
      <c r="G136" s="10" t="n">
        <v>2031</v>
      </c>
      <c r="H136" s="9" t="s">
        <v>3014</v>
      </c>
      <c r="I136" s="9" t="s">
        <v>3590</v>
      </c>
      <c r="J136" s="11" t="s">
        <v>3579</v>
      </c>
      <c r="K136" s="9"/>
      <c r="L136" s="9" t="n">
        <f aca="false">IF(AND(ISNUMBER($E136),ISNUMBER($F136),ISNUMBER($G136)),IF(AND($F136&lt;=$E136,$E136&lt;=$G136),0,1),0)</f>
        <v>0</v>
      </c>
      <c r="M136" s="9" t="n">
        <f aca="false">IF(AND(OR($H136="Analogy",$H136="Assumed"),OR(NOT(ISNUMBER($F136)),NOT(ISNUMBER($G136)))),1,0)</f>
        <v>0</v>
      </c>
      <c r="N136" s="12" t="s">
        <v>3591</v>
      </c>
    </row>
    <row r="137" customFormat="false" ht="15" hidden="false" customHeight="false" outlineLevel="0" collapsed="false">
      <c r="A137" s="9" t="s">
        <v>3592</v>
      </c>
      <c r="B137" s="11" t="s">
        <v>3593</v>
      </c>
      <c r="C137" s="9" t="s">
        <v>3038</v>
      </c>
      <c r="D137" s="11" t="s">
        <v>2189</v>
      </c>
      <c r="E137" s="10" t="n">
        <v>2026</v>
      </c>
      <c r="F137" s="10" t="n">
        <v>2026</v>
      </c>
      <c r="G137" s="10" t="n">
        <v>2026</v>
      </c>
      <c r="H137" s="9" t="s">
        <v>3014</v>
      </c>
      <c r="I137" s="9" t="s">
        <v>3594</v>
      </c>
      <c r="J137" s="11" t="s">
        <v>3579</v>
      </c>
      <c r="K137" s="9"/>
      <c r="L137" s="9" t="n">
        <f aca="false">IF(AND(ISNUMBER($E137),ISNUMBER($F137),ISNUMBER($G137)),IF(AND($F137&lt;=$E137,$E137&lt;=$G137),0,1),0)</f>
        <v>0</v>
      </c>
      <c r="M137" s="9" t="n">
        <f aca="false">IF(AND(OR($H137="Analogy",$H137="Assumed"),OR(NOT(ISNUMBER($F137)),NOT(ISNUMBER($G137)))),1,0)</f>
        <v>0</v>
      </c>
      <c r="N137" s="12" t="s">
        <v>3595</v>
      </c>
    </row>
    <row r="138" customFormat="false" ht="15" hidden="false" customHeight="false" outlineLevel="0" collapsed="false">
      <c r="A138" s="9" t="s">
        <v>3596</v>
      </c>
      <c r="B138" s="11" t="s">
        <v>3597</v>
      </c>
      <c r="C138" s="9" t="s">
        <v>3038</v>
      </c>
      <c r="D138" s="11" t="s">
        <v>2189</v>
      </c>
      <c r="E138" s="10" t="n">
        <v>2035</v>
      </c>
      <c r="F138" s="10" t="n">
        <v>2035</v>
      </c>
      <c r="G138" s="10" t="n">
        <v>2035</v>
      </c>
      <c r="H138" s="9" t="s">
        <v>3014</v>
      </c>
      <c r="I138" s="11" t="s">
        <v>3598</v>
      </c>
      <c r="J138" s="11" t="s">
        <v>3579</v>
      </c>
      <c r="K138" s="9"/>
      <c r="L138" s="9" t="n">
        <f aca="false">IF(AND(ISNUMBER($E138),ISNUMBER($F138),ISNUMBER($G138)),IF(AND($F138&lt;=$E138,$E138&lt;=$G138),0,1),0)</f>
        <v>0</v>
      </c>
      <c r="M138" s="9" t="n">
        <f aca="false">IF(AND(OR($H138="Analogy",$H138="Assumed"),OR(NOT(ISNUMBER($F138)),NOT(ISNUMBER($G138)))),1,0)</f>
        <v>0</v>
      </c>
      <c r="N138" s="12" t="s">
        <v>3599</v>
      </c>
    </row>
    <row r="139" customFormat="false" ht="15" hidden="false" customHeight="false" outlineLevel="0" collapsed="false">
      <c r="A139" s="9" t="s">
        <v>3600</v>
      </c>
      <c r="B139" s="11" t="s">
        <v>3601</v>
      </c>
      <c r="C139" s="9" t="s">
        <v>3038</v>
      </c>
      <c r="D139" s="11" t="s">
        <v>2189</v>
      </c>
      <c r="E139" s="10" t="n">
        <v>2027</v>
      </c>
      <c r="F139" s="10" t="n">
        <v>2026</v>
      </c>
      <c r="G139" s="10" t="n">
        <v>2027</v>
      </c>
      <c r="H139" s="9" t="s">
        <v>2861</v>
      </c>
      <c r="I139" s="9" t="s">
        <v>3602</v>
      </c>
      <c r="J139" s="9" t="s">
        <v>3603</v>
      </c>
      <c r="K139" s="9"/>
      <c r="L139" s="9" t="n">
        <f aca="false">IF(AND(ISNUMBER($E139),ISNUMBER($F139),ISNUMBER($G139)),IF(AND($F139&lt;=$E139,$E139&lt;=$G139),0,1),0)</f>
        <v>0</v>
      </c>
      <c r="M139" s="9" t="n">
        <f aca="false">IF(AND(OR($H139="Analogy",$H139="Assumed"),OR(NOT(ISNUMBER($F139)),NOT(ISNUMBER($G139)))),1,0)</f>
        <v>0</v>
      </c>
      <c r="N139" s="12" t="s">
        <v>3604</v>
      </c>
    </row>
    <row r="140" customFormat="false" ht="15" hidden="false" customHeight="false" outlineLevel="0" collapsed="false">
      <c r="A140" s="9" t="s">
        <v>3605</v>
      </c>
      <c r="B140" s="11" t="s">
        <v>3606</v>
      </c>
      <c r="C140" s="9" t="s">
        <v>3038</v>
      </c>
      <c r="D140" s="11" t="s">
        <v>2189</v>
      </c>
      <c r="E140" s="10" t="n">
        <v>2033</v>
      </c>
      <c r="F140" s="10" t="n">
        <v>2033</v>
      </c>
      <c r="G140" s="10" t="n">
        <v>2033</v>
      </c>
      <c r="H140" s="9" t="s">
        <v>3014</v>
      </c>
      <c r="I140" s="11" t="s">
        <v>3061</v>
      </c>
      <c r="J140" s="11" t="s">
        <v>3579</v>
      </c>
      <c r="K140" s="9"/>
      <c r="L140" s="9" t="n">
        <f aca="false">IF(AND(ISNUMBER($E140),ISNUMBER($F140),ISNUMBER($G140)),IF(AND($F140&lt;=$E140,$E140&lt;=$G140),0,1),0)</f>
        <v>0</v>
      </c>
      <c r="M140" s="9" t="n">
        <f aca="false">IF(AND(OR($H140="Analogy",$H140="Assumed"),OR(NOT(ISNUMBER($F140)),NOT(ISNUMBER($G140)))),1,0)</f>
        <v>0</v>
      </c>
      <c r="N140" s="12" t="s">
        <v>3607</v>
      </c>
    </row>
    <row r="141" customFormat="false" ht="15" hidden="false" customHeight="false" outlineLevel="0" collapsed="false">
      <c r="A141" s="9" t="s">
        <v>3608</v>
      </c>
      <c r="B141" s="11" t="s">
        <v>3609</v>
      </c>
      <c r="C141" s="9" t="s">
        <v>3038</v>
      </c>
      <c r="D141" s="11" t="s">
        <v>2189</v>
      </c>
      <c r="E141" s="10" t="n">
        <v>2027</v>
      </c>
      <c r="F141" s="10" t="n">
        <v>2027</v>
      </c>
      <c r="G141" s="10" t="n">
        <v>2027</v>
      </c>
      <c r="H141" s="9" t="s">
        <v>3014</v>
      </c>
      <c r="I141" s="9" t="s">
        <v>3610</v>
      </c>
      <c r="J141" s="11" t="s">
        <v>3579</v>
      </c>
      <c r="K141" s="9"/>
      <c r="L141" s="9" t="n">
        <f aca="false">IF(AND(ISNUMBER($E141),ISNUMBER($F141),ISNUMBER($G141)),IF(AND($F141&lt;=$E141,$E141&lt;=$G141),0,1),0)</f>
        <v>0</v>
      </c>
      <c r="M141" s="9" t="n">
        <f aca="false">IF(AND(OR($H141="Analogy",$H141="Assumed"),OR(NOT(ISNUMBER($F141)),NOT(ISNUMBER($G141)))),1,0)</f>
        <v>0</v>
      </c>
      <c r="N141" s="12" t="s">
        <v>3611</v>
      </c>
    </row>
    <row r="142" customFormat="false" ht="15" hidden="false" customHeight="false" outlineLevel="0" collapsed="false">
      <c r="A142" s="9" t="s">
        <v>3612</v>
      </c>
      <c r="B142" s="11" t="s">
        <v>3613</v>
      </c>
      <c r="C142" s="9" t="s">
        <v>3038</v>
      </c>
      <c r="D142" s="11" t="s">
        <v>2189</v>
      </c>
      <c r="E142" s="10" t="n">
        <v>5</v>
      </c>
      <c r="F142" s="10" t="n">
        <v>3</v>
      </c>
      <c r="G142" s="10" t="n">
        <v>7</v>
      </c>
      <c r="H142" s="9" t="s">
        <v>2861</v>
      </c>
      <c r="I142" s="11" t="s">
        <v>3614</v>
      </c>
      <c r="J142" s="11" t="s">
        <v>3615</v>
      </c>
      <c r="K142" s="11" t="s">
        <v>3616</v>
      </c>
      <c r="L142" s="9" t="n">
        <f aca="false">IF(AND(ISNUMBER($E142),ISNUMBER($F142),ISNUMBER($G142)),IF(AND($F142&lt;=$E142,$E142&lt;=$G142),0,1),0)</f>
        <v>0</v>
      </c>
      <c r="M142" s="9" t="n">
        <f aca="false">IF(AND(OR($H142="Analogy",$H142="Assumed"),OR(NOT(ISNUMBER($F142)),NOT(ISNUMBER($G142)))),1,0)</f>
        <v>0</v>
      </c>
      <c r="N142" s="12" t="s">
        <v>3617</v>
      </c>
    </row>
    <row r="143" customFormat="false" ht="15" hidden="false" customHeight="false" outlineLevel="0" collapsed="false">
      <c r="A143" s="9" t="s">
        <v>3618</v>
      </c>
      <c r="B143" s="11" t="s">
        <v>3619</v>
      </c>
      <c r="C143" s="9" t="s">
        <v>3038</v>
      </c>
      <c r="D143" s="11" t="s">
        <v>2189</v>
      </c>
      <c r="E143" s="10" t="n">
        <v>2026</v>
      </c>
      <c r="F143" s="10" t="n">
        <v>2026</v>
      </c>
      <c r="G143" s="10" t="n">
        <v>2026</v>
      </c>
      <c r="H143" s="9" t="s">
        <v>3014</v>
      </c>
      <c r="I143" s="9" t="s">
        <v>3620</v>
      </c>
      <c r="J143" s="11" t="s">
        <v>3579</v>
      </c>
      <c r="K143" s="9"/>
      <c r="L143" s="9" t="n">
        <f aca="false">IF(AND(ISNUMBER($E143),ISNUMBER($F143),ISNUMBER($G143)),IF(AND($F143&lt;=$E143,$E143&lt;=$G143),0,1),0)</f>
        <v>0</v>
      </c>
      <c r="M143" s="9" t="n">
        <f aca="false">IF(AND(OR($H143="Analogy",$H143="Assumed"),OR(NOT(ISNUMBER($F143)),NOT(ISNUMBER($G143)))),1,0)</f>
        <v>0</v>
      </c>
      <c r="N143" s="12" t="s">
        <v>3621</v>
      </c>
    </row>
    <row r="144" customFormat="false" ht="15" hidden="false" customHeight="false" outlineLevel="0" collapsed="false">
      <c r="A144" s="9" t="s">
        <v>3622</v>
      </c>
      <c r="B144" s="11" t="s">
        <v>3623</v>
      </c>
      <c r="C144" s="9" t="s">
        <v>3038</v>
      </c>
      <c r="D144" s="11" t="s">
        <v>2189</v>
      </c>
      <c r="E144" s="10" t="n">
        <v>2029</v>
      </c>
      <c r="F144" s="10" t="n">
        <v>2029</v>
      </c>
      <c r="G144" s="10" t="n">
        <v>2029</v>
      </c>
      <c r="H144" s="9" t="s">
        <v>3014</v>
      </c>
      <c r="I144" s="11" t="s">
        <v>3061</v>
      </c>
      <c r="J144" s="11" t="s">
        <v>3579</v>
      </c>
      <c r="K144" s="9"/>
      <c r="L144" s="9" t="n">
        <f aca="false">IF(AND(ISNUMBER($E144),ISNUMBER($F144),ISNUMBER($G144)),IF(AND($F144&lt;=$E144,$E144&lt;=$G144),0,1),0)</f>
        <v>0</v>
      </c>
      <c r="M144" s="9" t="n">
        <f aca="false">IF(AND(OR($H144="Analogy",$H144="Assumed"),OR(NOT(ISNUMBER($F144)),NOT(ISNUMBER($G144)))),1,0)</f>
        <v>0</v>
      </c>
      <c r="N144" s="12" t="s">
        <v>3624</v>
      </c>
    </row>
    <row r="145" customFormat="false" ht="15" hidden="false" customHeight="false" outlineLevel="0" collapsed="false">
      <c r="A145" s="9" t="s">
        <v>3625</v>
      </c>
      <c r="B145" s="9" t="s">
        <v>3626</v>
      </c>
      <c r="C145" s="9" t="s">
        <v>3038</v>
      </c>
      <c r="D145" s="11" t="s">
        <v>3046</v>
      </c>
      <c r="E145" s="10" t="n">
        <v>8</v>
      </c>
      <c r="F145" s="10" t="n">
        <v>8</v>
      </c>
      <c r="G145" s="10" t="n">
        <v>8</v>
      </c>
      <c r="H145" s="9" t="s">
        <v>3014</v>
      </c>
      <c r="I145" s="11" t="s">
        <v>3627</v>
      </c>
      <c r="J145" s="11" t="s">
        <v>3579</v>
      </c>
      <c r="K145" s="11" t="s">
        <v>3628</v>
      </c>
      <c r="L145" s="9" t="n">
        <f aca="false">IF(AND(ISNUMBER($E145),ISNUMBER($F145),ISNUMBER($G145)),IF(AND($F145&lt;=$E145,$E145&lt;=$G145),0,1),0)</f>
        <v>0</v>
      </c>
      <c r="M145" s="9" t="n">
        <f aca="false">IF(AND(OR($H145="Analogy",$H145="Assumed"),OR(NOT(ISNUMBER($F145)),NOT(ISNUMBER($G145)))),1,0)</f>
        <v>0</v>
      </c>
      <c r="N145" s="12" t="s">
        <v>3629</v>
      </c>
    </row>
    <row r="146" customFormat="false" ht="15" hidden="false" customHeight="false" outlineLevel="0" collapsed="false">
      <c r="A146" s="9" t="s">
        <v>3630</v>
      </c>
      <c r="B146" s="9" t="s">
        <v>3631</v>
      </c>
      <c r="C146" s="9" t="s">
        <v>3038</v>
      </c>
      <c r="D146" s="11" t="s">
        <v>3046</v>
      </c>
      <c r="E146" s="10" t="n">
        <v>4</v>
      </c>
      <c r="F146" s="10" t="n">
        <v>4</v>
      </c>
      <c r="G146" s="10" t="n">
        <v>4</v>
      </c>
      <c r="H146" s="9" t="s">
        <v>3014</v>
      </c>
      <c r="I146" s="11" t="s">
        <v>3632</v>
      </c>
      <c r="J146" s="11" t="s">
        <v>3579</v>
      </c>
      <c r="K146" s="9"/>
      <c r="L146" s="9" t="n">
        <f aca="false">IF(AND(ISNUMBER($E146),ISNUMBER($F146),ISNUMBER($G146)),IF(AND($F146&lt;=$E146,$E146&lt;=$G146),0,1),0)</f>
        <v>0</v>
      </c>
      <c r="M146" s="9" t="n">
        <f aca="false">IF(AND(OR($H146="Analogy",$H146="Assumed"),OR(NOT(ISNUMBER($F146)),NOT(ISNUMBER($G146)))),1,0)</f>
        <v>0</v>
      </c>
      <c r="N146" s="12" t="s">
        <v>3633</v>
      </c>
    </row>
    <row r="147" customFormat="false" ht="15" hidden="false" customHeight="false" outlineLevel="0" collapsed="false">
      <c r="A147" s="9" t="s">
        <v>3634</v>
      </c>
      <c r="B147" s="11" t="s">
        <v>3635</v>
      </c>
      <c r="C147" s="9" t="s">
        <v>3038</v>
      </c>
      <c r="D147" s="11" t="s">
        <v>2189</v>
      </c>
      <c r="E147" s="10" t="n">
        <v>2028</v>
      </c>
      <c r="F147" s="10" t="n">
        <v>2028</v>
      </c>
      <c r="G147" s="10" t="n">
        <v>2028</v>
      </c>
      <c r="H147" s="9" t="s">
        <v>3014</v>
      </c>
      <c r="I147" s="9" t="s">
        <v>3636</v>
      </c>
      <c r="J147" s="11" t="s">
        <v>3579</v>
      </c>
      <c r="K147" s="9"/>
      <c r="L147" s="9" t="n">
        <f aca="false">IF(AND(ISNUMBER($E147),ISNUMBER($F147),ISNUMBER($G147)),IF(AND($F147&lt;=$E147,$E147&lt;=$G147),0,1),0)</f>
        <v>0</v>
      </c>
      <c r="M147" s="9" t="n">
        <f aca="false">IF(AND(OR($H147="Analogy",$H147="Assumed"),OR(NOT(ISNUMBER($F147)),NOT(ISNUMBER($G147)))),1,0)</f>
        <v>0</v>
      </c>
      <c r="N147" s="12" t="s">
        <v>3637</v>
      </c>
    </row>
    <row r="148" customFormat="false" ht="15" hidden="false" customHeight="false" outlineLevel="0" collapsed="false">
      <c r="A148" s="9" t="s">
        <v>3638</v>
      </c>
      <c r="B148" s="11" t="s">
        <v>3639</v>
      </c>
      <c r="C148" s="9" t="s">
        <v>3038</v>
      </c>
      <c r="D148" s="11" t="s">
        <v>2189</v>
      </c>
      <c r="E148" s="10" t="n">
        <v>2033</v>
      </c>
      <c r="F148" s="10" t="n">
        <v>2033</v>
      </c>
      <c r="G148" s="10" t="n">
        <v>2033</v>
      </c>
      <c r="H148" s="9" t="s">
        <v>3014</v>
      </c>
      <c r="I148" s="11" t="s">
        <v>3640</v>
      </c>
      <c r="J148" s="11" t="s">
        <v>3579</v>
      </c>
      <c r="K148" s="9"/>
      <c r="L148" s="9" t="n">
        <f aca="false">IF(AND(ISNUMBER($E148),ISNUMBER($F148),ISNUMBER($G148)),IF(AND($F148&lt;=$E148,$E148&lt;=$G148),0,1),0)</f>
        <v>0</v>
      </c>
      <c r="M148" s="9" t="n">
        <f aca="false">IF(AND(OR($H148="Analogy",$H148="Assumed"),OR(NOT(ISNUMBER($F148)),NOT(ISNUMBER($G148)))),1,0)</f>
        <v>0</v>
      </c>
      <c r="N148" s="12" t="s">
        <v>3641</v>
      </c>
    </row>
    <row r="149" customFormat="false" ht="15" hidden="false" customHeight="false" outlineLevel="0" collapsed="false">
      <c r="A149" s="9" t="s">
        <v>3642</v>
      </c>
      <c r="B149" s="11" t="s">
        <v>3643</v>
      </c>
      <c r="C149" s="9" t="s">
        <v>3038</v>
      </c>
      <c r="D149" s="11" t="s">
        <v>2189</v>
      </c>
      <c r="E149" s="10" t="n">
        <v>2027</v>
      </c>
      <c r="F149" s="10" t="n">
        <v>2027</v>
      </c>
      <c r="G149" s="10" t="n">
        <v>2028</v>
      </c>
      <c r="H149" s="9" t="s">
        <v>2861</v>
      </c>
      <c r="I149" s="9" t="s">
        <v>3644</v>
      </c>
      <c r="J149" s="9" t="s">
        <v>3645</v>
      </c>
      <c r="K149" s="9"/>
      <c r="L149" s="9" t="n">
        <f aca="false">IF(AND(ISNUMBER($E149),ISNUMBER($F149),ISNUMBER($G149)),IF(AND($F149&lt;=$E149,$E149&lt;=$G149),0,1),0)</f>
        <v>0</v>
      </c>
      <c r="M149" s="9" t="n">
        <f aca="false">IF(AND(OR($H149="Analogy",$H149="Assumed"),OR(NOT(ISNUMBER($F149)),NOT(ISNUMBER($G149)))),1,0)</f>
        <v>0</v>
      </c>
      <c r="N149" s="12" t="s">
        <v>3646</v>
      </c>
    </row>
    <row r="150" customFormat="false" ht="15" hidden="false" customHeight="false" outlineLevel="0" collapsed="false">
      <c r="A150" s="9" t="s">
        <v>3647</v>
      </c>
      <c r="B150" s="11" t="s">
        <v>3648</v>
      </c>
      <c r="C150" s="9" t="s">
        <v>3038</v>
      </c>
      <c r="D150" s="11" t="s">
        <v>2189</v>
      </c>
      <c r="E150" s="10" t="n">
        <v>6</v>
      </c>
      <c r="F150" s="10" t="n">
        <v>4</v>
      </c>
      <c r="G150" s="10" t="n">
        <v>8</v>
      </c>
      <c r="H150" s="9" t="s">
        <v>2861</v>
      </c>
      <c r="I150" s="11" t="s">
        <v>3649</v>
      </c>
      <c r="J150" s="11" t="s">
        <v>3615</v>
      </c>
      <c r="K150" s="11" t="s">
        <v>3616</v>
      </c>
      <c r="L150" s="9" t="n">
        <f aca="false">IF(AND(ISNUMBER($E150),ISNUMBER($F150),ISNUMBER($G150)),IF(AND($F150&lt;=$E150,$E150&lt;=$G150),0,1),0)</f>
        <v>0</v>
      </c>
      <c r="M150" s="9" t="n">
        <f aca="false">IF(AND(OR($H150="Analogy",$H150="Assumed"),OR(NOT(ISNUMBER($F150)),NOT(ISNUMBER($G150)))),1,0)</f>
        <v>0</v>
      </c>
      <c r="N150" s="12" t="s">
        <v>3650</v>
      </c>
    </row>
    <row r="151" customFormat="false" ht="15" hidden="false" customHeight="false" outlineLevel="0" collapsed="false">
      <c r="A151" s="9" t="s">
        <v>3651</v>
      </c>
      <c r="B151" s="11" t="s">
        <v>3652</v>
      </c>
      <c r="C151" s="9" t="s">
        <v>3038</v>
      </c>
      <c r="D151" s="11" t="s">
        <v>2189</v>
      </c>
      <c r="E151" s="10" t="n">
        <v>2034</v>
      </c>
      <c r="F151" s="10" t="n">
        <v>2034</v>
      </c>
      <c r="G151" s="10" t="n">
        <v>2034</v>
      </c>
      <c r="H151" s="9" t="s">
        <v>3014</v>
      </c>
      <c r="I151" s="9" t="s">
        <v>3653</v>
      </c>
      <c r="J151" s="11" t="s">
        <v>3654</v>
      </c>
      <c r="K151" s="11" t="s">
        <v>3655</v>
      </c>
      <c r="L151" s="9" t="n">
        <f aca="false">IF(AND(ISNUMBER($E151),ISNUMBER($F151),ISNUMBER($G151)),IF(AND($F151&lt;=$E151,$E151&lt;=$G151),0,1),0)</f>
        <v>0</v>
      </c>
      <c r="M151" s="9" t="n">
        <f aca="false">IF(AND(OR($H151="Analogy",$H151="Assumed"),OR(NOT(ISNUMBER($F151)),NOT(ISNUMBER($G151)))),1,0)</f>
        <v>0</v>
      </c>
      <c r="N151" s="12" t="s">
        <v>3656</v>
      </c>
    </row>
    <row r="152" customFormat="false" ht="15" hidden="false" customHeight="false" outlineLevel="0" collapsed="false">
      <c r="A152" s="9" t="s">
        <v>3657</v>
      </c>
      <c r="B152" s="11" t="s">
        <v>3658</v>
      </c>
      <c r="C152" s="9" t="s">
        <v>3038</v>
      </c>
      <c r="D152" s="11" t="s">
        <v>2189</v>
      </c>
      <c r="E152" s="10" t="n">
        <v>2027</v>
      </c>
      <c r="F152" s="10" t="n">
        <v>2027</v>
      </c>
      <c r="G152" s="10" t="n">
        <v>2027</v>
      </c>
      <c r="H152" s="9" t="s">
        <v>3014</v>
      </c>
      <c r="I152" s="9" t="s">
        <v>3659</v>
      </c>
      <c r="J152" s="11" t="s">
        <v>3579</v>
      </c>
      <c r="K152" s="9"/>
      <c r="L152" s="9" t="n">
        <f aca="false">IF(AND(ISNUMBER($E152),ISNUMBER($F152),ISNUMBER($G152)),IF(AND($F152&lt;=$E152,$E152&lt;=$G152),0,1),0)</f>
        <v>0</v>
      </c>
      <c r="M152" s="9" t="n">
        <f aca="false">IF(AND(OR($H152="Analogy",$H152="Assumed"),OR(NOT(ISNUMBER($F152)),NOT(ISNUMBER($G152)))),1,0)</f>
        <v>0</v>
      </c>
      <c r="N152" s="12" t="s">
        <v>3660</v>
      </c>
    </row>
    <row r="153" customFormat="false" ht="15" hidden="false" customHeight="false" outlineLevel="0" collapsed="false">
      <c r="A153" s="9" t="s">
        <v>3661</v>
      </c>
      <c r="B153" s="11" t="s">
        <v>3662</v>
      </c>
      <c r="C153" s="9" t="s">
        <v>3038</v>
      </c>
      <c r="D153" s="11" t="s">
        <v>2189</v>
      </c>
      <c r="E153" s="10" t="n">
        <v>2032</v>
      </c>
      <c r="F153" s="10" t="n">
        <v>2032</v>
      </c>
      <c r="G153" s="10" t="n">
        <v>2032</v>
      </c>
      <c r="H153" s="9" t="s">
        <v>3014</v>
      </c>
      <c r="I153" s="11" t="s">
        <v>3640</v>
      </c>
      <c r="J153" s="11" t="s">
        <v>3579</v>
      </c>
      <c r="K153" s="9"/>
      <c r="L153" s="9" t="n">
        <f aca="false">IF(AND(ISNUMBER($E153),ISNUMBER($F153),ISNUMBER($G153)),IF(AND($F153&lt;=$E153,$E153&lt;=$G153),0,1),0)</f>
        <v>0</v>
      </c>
      <c r="M153" s="9" t="n">
        <f aca="false">IF(AND(OR($H153="Analogy",$H153="Assumed"),OR(NOT(ISNUMBER($F153)),NOT(ISNUMBER($G153)))),1,0)</f>
        <v>0</v>
      </c>
      <c r="N153" s="12" t="s">
        <v>3663</v>
      </c>
    </row>
    <row r="154" customFormat="false" ht="15" hidden="false" customHeight="false" outlineLevel="0" collapsed="false">
      <c r="A154" s="9" t="s">
        <v>3664</v>
      </c>
      <c r="B154" s="11" t="s">
        <v>3665</v>
      </c>
      <c r="C154" s="9" t="s">
        <v>3038</v>
      </c>
      <c r="D154" s="11" t="s">
        <v>2189</v>
      </c>
      <c r="E154" s="10" t="n">
        <v>2026</v>
      </c>
      <c r="F154" s="10" t="n">
        <v>2026</v>
      </c>
      <c r="G154" s="10" t="n">
        <v>2026</v>
      </c>
      <c r="H154" s="9" t="s">
        <v>3014</v>
      </c>
      <c r="I154" s="9" t="s">
        <v>3666</v>
      </c>
      <c r="J154" s="11" t="s">
        <v>3579</v>
      </c>
      <c r="K154" s="9"/>
      <c r="L154" s="9" t="n">
        <f aca="false">IF(AND(ISNUMBER($E154),ISNUMBER($F154),ISNUMBER($G154)),IF(AND($F154&lt;=$E154,$E154&lt;=$G154),0,1),0)</f>
        <v>0</v>
      </c>
      <c r="M154" s="9" t="n">
        <f aca="false">IF(AND(OR($H154="Analogy",$H154="Assumed"),OR(NOT(ISNUMBER($F154)),NOT(ISNUMBER($G154)))),1,0)</f>
        <v>0</v>
      </c>
      <c r="N154" s="12" t="s">
        <v>3667</v>
      </c>
    </row>
    <row r="155" customFormat="false" ht="15" hidden="false" customHeight="false" outlineLevel="0" collapsed="false">
      <c r="A155" s="9" t="s">
        <v>3668</v>
      </c>
      <c r="B155" s="11" t="s">
        <v>3669</v>
      </c>
      <c r="C155" s="9" t="s">
        <v>3038</v>
      </c>
      <c r="D155" s="11" t="s">
        <v>2189</v>
      </c>
      <c r="E155" s="10" t="n">
        <v>2032</v>
      </c>
      <c r="F155" s="10" t="n">
        <v>2032</v>
      </c>
      <c r="G155" s="10" t="n">
        <v>2032</v>
      </c>
      <c r="H155" s="9" t="s">
        <v>3014</v>
      </c>
      <c r="I155" s="11" t="s">
        <v>3670</v>
      </c>
      <c r="J155" s="11" t="s">
        <v>3579</v>
      </c>
      <c r="K155" s="9"/>
      <c r="L155" s="9" t="n">
        <f aca="false">IF(AND(ISNUMBER($E155),ISNUMBER($F155),ISNUMBER($G155)),IF(AND($F155&lt;=$E155,$E155&lt;=$G155),0,1),0)</f>
        <v>0</v>
      </c>
      <c r="M155" s="9" t="n">
        <f aca="false">IF(AND(OR($H155="Analogy",$H155="Assumed"),OR(NOT(ISNUMBER($F155)),NOT(ISNUMBER($G155)))),1,0)</f>
        <v>0</v>
      </c>
      <c r="N155" s="12" t="s">
        <v>3671</v>
      </c>
    </row>
    <row r="156" customFormat="false" ht="15" hidden="false" customHeight="false" outlineLevel="0" collapsed="false">
      <c r="A156" s="9" t="s">
        <v>3672</v>
      </c>
      <c r="B156" s="11" t="s">
        <v>3673</v>
      </c>
      <c r="C156" s="9" t="s">
        <v>3038</v>
      </c>
      <c r="D156" s="11" t="s">
        <v>2189</v>
      </c>
      <c r="E156" s="10" t="n">
        <v>2026</v>
      </c>
      <c r="F156" s="10" t="n">
        <v>2026</v>
      </c>
      <c r="G156" s="10" t="n">
        <v>2026</v>
      </c>
      <c r="H156" s="9" t="s">
        <v>3014</v>
      </c>
      <c r="I156" s="9" t="s">
        <v>3674</v>
      </c>
      <c r="J156" s="11" t="s">
        <v>3579</v>
      </c>
      <c r="K156" s="11" t="s">
        <v>3675</v>
      </c>
      <c r="L156" s="9" t="n">
        <f aca="false">IF(AND(ISNUMBER($E156),ISNUMBER($F156),ISNUMBER($G156)),IF(AND($F156&lt;=$E156,$E156&lt;=$G156),0,1),0)</f>
        <v>0</v>
      </c>
      <c r="M156" s="9" t="n">
        <f aca="false">IF(AND(OR($H156="Analogy",$H156="Assumed"),OR(NOT(ISNUMBER($F156)),NOT(ISNUMBER($G156)))),1,0)</f>
        <v>0</v>
      </c>
      <c r="N156" s="12" t="s">
        <v>3676</v>
      </c>
    </row>
    <row r="157" customFormat="false" ht="15" hidden="false" customHeight="false" outlineLevel="0" collapsed="false">
      <c r="A157" s="9" t="s">
        <v>3677</v>
      </c>
      <c r="B157" s="11" t="s">
        <v>3678</v>
      </c>
      <c r="C157" s="9" t="s">
        <v>3038</v>
      </c>
      <c r="D157" s="11" t="s">
        <v>2189</v>
      </c>
      <c r="E157" s="10" t="n">
        <v>3</v>
      </c>
      <c r="F157" s="10" t="n">
        <v>2</v>
      </c>
      <c r="G157" s="10" t="n">
        <v>5</v>
      </c>
      <c r="H157" s="9" t="s">
        <v>2861</v>
      </c>
      <c r="I157" s="11" t="s">
        <v>3679</v>
      </c>
      <c r="J157" s="9" t="s">
        <v>3680</v>
      </c>
      <c r="K157" s="11" t="s">
        <v>3681</v>
      </c>
      <c r="L157" s="9" t="n">
        <f aca="false">IF(AND(ISNUMBER($E157),ISNUMBER($F157),ISNUMBER($G157)),IF(AND($F157&lt;=$E157,$E157&lt;=$G157),0,1),0)</f>
        <v>0</v>
      </c>
      <c r="M157" s="9" t="n">
        <f aca="false">IF(AND(OR($H157="Analogy",$H157="Assumed"),OR(NOT(ISNUMBER($F157)),NOT(ISNUMBER($G157)))),1,0)</f>
        <v>0</v>
      </c>
      <c r="N157" s="12" t="s">
        <v>3682</v>
      </c>
    </row>
    <row r="158" customFormat="false" ht="15" hidden="false" customHeight="false" outlineLevel="0" collapsed="false">
      <c r="A158" s="9" t="s">
        <v>3683</v>
      </c>
      <c r="B158" s="11" t="s">
        <v>3684</v>
      </c>
      <c r="C158" s="9" t="s">
        <v>3038</v>
      </c>
      <c r="D158" s="11" t="s">
        <v>2189</v>
      </c>
      <c r="E158" s="10" t="n">
        <v>1</v>
      </c>
      <c r="F158" s="10" t="n">
        <v>1</v>
      </c>
      <c r="G158" s="10" t="n">
        <v>2</v>
      </c>
      <c r="H158" s="9" t="s">
        <v>299</v>
      </c>
      <c r="I158" s="11" t="s">
        <v>3685</v>
      </c>
      <c r="J158" s="11" t="s">
        <v>3250</v>
      </c>
      <c r="K158" s="11" t="s">
        <v>3686</v>
      </c>
      <c r="L158" s="9" t="n">
        <f aca="false">IF(AND(ISNUMBER($E158),ISNUMBER($F158),ISNUMBER($G158)),IF(AND($F158&lt;=$E158,$E158&lt;=$G158),0,1),0)</f>
        <v>0</v>
      </c>
      <c r="M158" s="9" t="n">
        <f aca="false">IF(AND(OR($H158="Analogy",$H158="Assumed"),OR(NOT(ISNUMBER($F158)),NOT(ISNUMBER($G158)))),1,0)</f>
        <v>0</v>
      </c>
      <c r="N158" s="12" t="s">
        <v>3687</v>
      </c>
    </row>
    <row r="159" customFormat="false" ht="15" hidden="false" customHeight="false" outlineLevel="0" collapsed="false">
      <c r="A159" s="9" t="s">
        <v>3688</v>
      </c>
      <c r="B159" s="11" t="s">
        <v>3689</v>
      </c>
      <c r="C159" s="9" t="s">
        <v>3038</v>
      </c>
      <c r="D159" s="11" t="s">
        <v>269</v>
      </c>
      <c r="E159" s="10" t="n">
        <v>0.25</v>
      </c>
      <c r="F159" s="10" t="n">
        <v>0.25</v>
      </c>
      <c r="G159" s="10" t="n">
        <v>0.25</v>
      </c>
      <c r="H159" s="9" t="s">
        <v>3014</v>
      </c>
      <c r="I159" s="9" t="s">
        <v>3690</v>
      </c>
      <c r="J159" s="11" t="s">
        <v>3115</v>
      </c>
      <c r="K159" s="9" t="s">
        <v>34</v>
      </c>
      <c r="L159" s="9" t="n">
        <f aca="false">IF(AND(ISNUMBER($E159),ISNUMBER($F159),ISNUMBER($G159)),IF(AND($F159&lt;=$E159,$E159&lt;=$G159),0,1),0)</f>
        <v>0</v>
      </c>
      <c r="M159" s="9" t="n">
        <f aca="false">IF(AND(OR($H159="Analogy",$H159="Assumed"),OR(NOT(ISNUMBER($F159)),NOT(ISNUMBER($G159)))),1,0)</f>
        <v>0</v>
      </c>
      <c r="N159" s="12" t="s">
        <v>3691</v>
      </c>
    </row>
    <row r="160" customFormat="false" ht="15" hidden="false" customHeight="false" outlineLevel="0" collapsed="false">
      <c r="A160" s="9" t="s">
        <v>3692</v>
      </c>
      <c r="B160" s="11" t="s">
        <v>3693</v>
      </c>
      <c r="C160" s="9" t="s">
        <v>3038</v>
      </c>
      <c r="D160" s="11" t="s">
        <v>269</v>
      </c>
      <c r="E160" s="10" t="n">
        <v>0.25</v>
      </c>
      <c r="F160" s="10" t="n">
        <v>0.25</v>
      </c>
      <c r="G160" s="10" t="n">
        <v>0.25</v>
      </c>
      <c r="H160" s="9" t="s">
        <v>3014</v>
      </c>
      <c r="I160" s="9" t="s">
        <v>3694</v>
      </c>
      <c r="J160" s="11" t="s">
        <v>3115</v>
      </c>
      <c r="K160" s="9" t="s">
        <v>34</v>
      </c>
      <c r="L160" s="9" t="n">
        <f aca="false">IF(AND(ISNUMBER($E160),ISNUMBER($F160),ISNUMBER($G160)),IF(AND($F160&lt;=$E160,$E160&lt;=$G160),0,1),0)</f>
        <v>0</v>
      </c>
      <c r="M160" s="9" t="n">
        <f aca="false">IF(AND(OR($H160="Analogy",$H160="Assumed"),OR(NOT(ISNUMBER($F160)),NOT(ISNUMBER($G160)))),1,0)</f>
        <v>0</v>
      </c>
      <c r="N160" s="12" t="s">
        <v>3695</v>
      </c>
    </row>
    <row r="161" customFormat="false" ht="15" hidden="false" customHeight="false" outlineLevel="0" collapsed="false">
      <c r="A161" s="9" t="s">
        <v>3696</v>
      </c>
      <c r="B161" s="11" t="s">
        <v>3697</v>
      </c>
      <c r="C161" s="9" t="s">
        <v>306</v>
      </c>
      <c r="D161" s="11" t="s">
        <v>269</v>
      </c>
      <c r="E161" s="10" t="n">
        <v>0.8</v>
      </c>
      <c r="F161" s="10" t="n">
        <v>0.5</v>
      </c>
      <c r="G161" s="10" t="n">
        <v>1.2</v>
      </c>
      <c r="H161" s="9" t="s">
        <v>2861</v>
      </c>
      <c r="I161" s="9" t="s">
        <v>3698</v>
      </c>
      <c r="J161" s="11" t="s">
        <v>3699</v>
      </c>
      <c r="K161" s="9" t="s">
        <v>3700</v>
      </c>
      <c r="L161" s="9" t="n">
        <f aca="false">IF(AND(ISNUMBER($E161),ISNUMBER($F161),ISNUMBER($G161)),IF(AND($F161&lt;=$E161,$E161&lt;=$G161),0,1),0)</f>
        <v>0</v>
      </c>
      <c r="M161" s="9" t="n">
        <f aca="false">IF(AND(OR($H161="Analogy",$H161="Assumed"),OR(NOT(ISNUMBER($F161)),NOT(ISNUMBER($G161)))),1,0)</f>
        <v>0</v>
      </c>
      <c r="N161" s="12" t="s">
        <v>3701</v>
      </c>
    </row>
    <row r="162" customFormat="false" ht="15" hidden="false" customHeight="false" outlineLevel="0" collapsed="false">
      <c r="A162" s="9" t="s">
        <v>3702</v>
      </c>
      <c r="B162" s="11" t="s">
        <v>3697</v>
      </c>
      <c r="C162" s="9" t="s">
        <v>2929</v>
      </c>
      <c r="D162" s="11" t="s">
        <v>269</v>
      </c>
      <c r="E162" s="10" t="n">
        <v>0.3</v>
      </c>
      <c r="F162" s="10" t="n">
        <v>0.1</v>
      </c>
      <c r="G162" s="10" t="n">
        <v>0.5</v>
      </c>
      <c r="H162" s="9" t="s">
        <v>299</v>
      </c>
      <c r="I162" s="11" t="s">
        <v>3703</v>
      </c>
      <c r="J162" s="11" t="s">
        <v>3250</v>
      </c>
      <c r="K162" s="9"/>
      <c r="L162" s="9" t="n">
        <f aca="false">IF(AND(ISNUMBER($E162),ISNUMBER($F162),ISNUMBER($G162)),IF(AND($F162&lt;=$E162,$E162&lt;=$G162),0,1),0)</f>
        <v>0</v>
      </c>
      <c r="M162" s="9" t="n">
        <f aca="false">IF(AND(OR($H162="Analogy",$H162="Assumed"),OR(NOT(ISNUMBER($F162)),NOT(ISNUMBER($G162)))),1,0)</f>
        <v>0</v>
      </c>
      <c r="N162" s="12" t="s">
        <v>3704</v>
      </c>
    </row>
    <row r="163" customFormat="false" ht="15" hidden="false" customHeight="false" outlineLevel="0" collapsed="false">
      <c r="A163" s="9" t="s">
        <v>3705</v>
      </c>
      <c r="B163" s="11" t="s">
        <v>3697</v>
      </c>
      <c r="C163" s="9" t="s">
        <v>1660</v>
      </c>
      <c r="D163" s="11" t="s">
        <v>269</v>
      </c>
      <c r="E163" s="10" t="n">
        <v>0.2</v>
      </c>
      <c r="F163" s="10" t="n">
        <v>0.05</v>
      </c>
      <c r="G163" s="10" t="n">
        <v>0.35</v>
      </c>
      <c r="H163" s="9" t="s">
        <v>299</v>
      </c>
      <c r="I163" s="11" t="s">
        <v>3706</v>
      </c>
      <c r="J163" s="11" t="s">
        <v>3250</v>
      </c>
      <c r="K163" s="9"/>
      <c r="L163" s="9" t="n">
        <f aca="false">IF(AND(ISNUMBER($E163),ISNUMBER($F163),ISNUMBER($G163)),IF(AND($F163&lt;=$E163,$E163&lt;=$G163),0,1),0)</f>
        <v>0</v>
      </c>
      <c r="M163" s="9" t="n">
        <f aca="false">IF(AND(OR($H163="Analogy",$H163="Assumed"),OR(NOT(ISNUMBER($F163)),NOT(ISNUMBER($G163)))),1,0)</f>
        <v>0</v>
      </c>
      <c r="N163" s="12" t="s">
        <v>3707</v>
      </c>
    </row>
    <row r="164" customFormat="false" ht="15" hidden="false" customHeight="false" outlineLevel="0" collapsed="false">
      <c r="A164" s="9" t="s">
        <v>3708</v>
      </c>
      <c r="B164" s="11" t="s">
        <v>3697</v>
      </c>
      <c r="C164" s="9" t="s">
        <v>2930</v>
      </c>
      <c r="D164" s="11" t="s">
        <v>269</v>
      </c>
      <c r="E164" s="10" t="n">
        <v>0.15</v>
      </c>
      <c r="F164" s="10" t="n">
        <v>0</v>
      </c>
      <c r="G164" s="10" t="n">
        <v>0.3</v>
      </c>
      <c r="H164" s="9" t="s">
        <v>299</v>
      </c>
      <c r="I164" s="11" t="s">
        <v>3709</v>
      </c>
      <c r="J164" s="11" t="s">
        <v>3250</v>
      </c>
      <c r="K164" s="9"/>
      <c r="L164" s="9" t="n">
        <f aca="false">IF(AND(ISNUMBER($E164),ISNUMBER($F164),ISNUMBER($G164)),IF(AND($F164&lt;=$E164,$E164&lt;=$G164),0,1),0)</f>
        <v>0</v>
      </c>
      <c r="M164" s="9" t="n">
        <f aca="false">IF(AND(OR($H164="Analogy",$H164="Assumed"),OR(NOT(ISNUMBER($F164)),NOT(ISNUMBER($G164)))),1,0)</f>
        <v>0</v>
      </c>
      <c r="N164" s="12" t="s">
        <v>3710</v>
      </c>
    </row>
    <row r="165" customFormat="false" ht="15" hidden="false" customHeight="false" outlineLevel="0" collapsed="false">
      <c r="A165" s="9" t="s">
        <v>3711</v>
      </c>
      <c r="B165" s="11" t="s">
        <v>3697</v>
      </c>
      <c r="C165" s="9" t="s">
        <v>2931</v>
      </c>
      <c r="D165" s="11" t="s">
        <v>269</v>
      </c>
      <c r="E165" s="10" t="n">
        <v>0.1</v>
      </c>
      <c r="F165" s="10" t="n">
        <v>0</v>
      </c>
      <c r="G165" s="10" t="n">
        <v>0.25</v>
      </c>
      <c r="H165" s="9" t="s">
        <v>299</v>
      </c>
      <c r="I165" s="11" t="s">
        <v>3712</v>
      </c>
      <c r="J165" s="11" t="s">
        <v>3250</v>
      </c>
      <c r="K165" s="9"/>
      <c r="L165" s="9" t="n">
        <f aca="false">IF(AND(ISNUMBER($E165),ISNUMBER($F165),ISNUMBER($G165)),IF(AND($F165&lt;=$E165,$E165&lt;=$G165),0,1),0)</f>
        <v>0</v>
      </c>
      <c r="M165" s="9" t="n">
        <f aca="false">IF(AND(OR($H165="Analogy",$H165="Assumed"),OR(NOT(ISNUMBER($F165)),NOT(ISNUMBER($G165)))),1,0)</f>
        <v>0</v>
      </c>
      <c r="N165" s="12" t="s">
        <v>3713</v>
      </c>
    </row>
    <row r="166" customFormat="false" ht="15" hidden="false" customHeight="false" outlineLevel="0" collapsed="false">
      <c r="A166" s="9" t="s">
        <v>3714</v>
      </c>
      <c r="B166" s="11" t="s">
        <v>3715</v>
      </c>
      <c r="C166" s="9" t="s">
        <v>3139</v>
      </c>
      <c r="D166" s="11" t="s">
        <v>269</v>
      </c>
      <c r="E166" s="10" t="n">
        <v>0.03</v>
      </c>
      <c r="F166" s="10" t="n">
        <v>0</v>
      </c>
      <c r="G166" s="10" t="n">
        <v>0.08</v>
      </c>
      <c r="H166" s="9" t="s">
        <v>299</v>
      </c>
      <c r="I166" s="11" t="s">
        <v>3716</v>
      </c>
      <c r="J166" s="11" t="s">
        <v>3250</v>
      </c>
      <c r="K166" s="9"/>
      <c r="L166" s="9" t="n">
        <f aca="false">IF(AND(ISNUMBER($E166),ISNUMBER($F166),ISNUMBER($G166)),IF(AND($F166&lt;=$E166,$E166&lt;=$G166),0,1),0)</f>
        <v>0</v>
      </c>
      <c r="M166" s="9" t="n">
        <f aca="false">IF(AND(OR($H166="Analogy",$H166="Assumed"),OR(NOT(ISNUMBER($F166)),NOT(ISNUMBER($G166)))),1,0)</f>
        <v>0</v>
      </c>
      <c r="N166" s="12" t="s">
        <v>3717</v>
      </c>
    </row>
    <row r="167" customFormat="false" ht="15" hidden="false" customHeight="false" outlineLevel="0" collapsed="false">
      <c r="A167" s="9" t="s">
        <v>3718</v>
      </c>
      <c r="B167" s="11" t="s">
        <v>3719</v>
      </c>
      <c r="C167" s="9" t="s">
        <v>77</v>
      </c>
      <c r="D167" s="9" t="s">
        <v>3720</v>
      </c>
      <c r="E167" s="10" t="n">
        <v>0.8</v>
      </c>
      <c r="F167" s="10" t="n">
        <v>0.4</v>
      </c>
      <c r="G167" s="10" t="n">
        <v>1.1</v>
      </c>
      <c r="H167" s="9" t="s">
        <v>2861</v>
      </c>
      <c r="I167" s="9" t="s">
        <v>3721</v>
      </c>
      <c r="J167" s="9" t="s">
        <v>3722</v>
      </c>
      <c r="K167" s="11" t="s">
        <v>3723</v>
      </c>
      <c r="L167" s="9" t="n">
        <f aca="false">IF(AND(ISNUMBER($E167),ISNUMBER($F167),ISNUMBER($G167)),IF(AND($F167&lt;=$E167,$E167&lt;=$G167),0,1),0)</f>
        <v>0</v>
      </c>
      <c r="M167" s="9" t="n">
        <f aca="false">IF(AND(OR($H167="Analogy",$H167="Assumed"),OR(NOT(ISNUMBER($F167)),NOT(ISNUMBER($G167)))),1,0)</f>
        <v>0</v>
      </c>
      <c r="N167" s="12" t="s">
        <v>3724</v>
      </c>
    </row>
    <row r="168" customFormat="false" ht="15" hidden="false" customHeight="false" outlineLevel="0" collapsed="false">
      <c r="A168" s="9" t="s">
        <v>3725</v>
      </c>
      <c r="B168" s="11" t="s">
        <v>3726</v>
      </c>
      <c r="C168" s="9" t="s">
        <v>3139</v>
      </c>
      <c r="D168" s="11" t="s">
        <v>269</v>
      </c>
      <c r="E168" s="10" t="n">
        <v>0</v>
      </c>
      <c r="F168" s="10" t="n">
        <v>-0.2</v>
      </c>
      <c r="G168" s="10" t="n">
        <v>0.2</v>
      </c>
      <c r="H168" s="9" t="s">
        <v>299</v>
      </c>
      <c r="I168" s="11" t="s">
        <v>3727</v>
      </c>
      <c r="J168" s="11" t="s">
        <v>3250</v>
      </c>
      <c r="K168" s="9"/>
      <c r="L168" s="9" t="n">
        <f aca="false">IF(AND(ISNUMBER($E168),ISNUMBER($F168),ISNUMBER($G168)),IF(AND($F168&lt;=$E168,$E168&lt;=$G168),0,1),0)</f>
        <v>0</v>
      </c>
      <c r="M168" s="9" t="n">
        <f aca="false">IF(AND(OR($H168="Analogy",$H168="Assumed"),OR(NOT(ISNUMBER($F168)),NOT(ISNUMBER($G168)))),1,0)</f>
        <v>0</v>
      </c>
      <c r="N168" s="12" t="s">
        <v>3728</v>
      </c>
    </row>
    <row r="169" customFormat="false" ht="15" hidden="false" customHeight="false" outlineLevel="0" collapsed="false">
      <c r="A169" s="9" t="s">
        <v>3729</v>
      </c>
      <c r="B169" s="11" t="s">
        <v>3730</v>
      </c>
      <c r="C169" s="9" t="s">
        <v>3038</v>
      </c>
      <c r="D169" s="11" t="s">
        <v>3731</v>
      </c>
      <c r="E169" s="10" t="n">
        <v>4</v>
      </c>
      <c r="F169" s="10" t="n">
        <v>4</v>
      </c>
      <c r="G169" s="10" t="n">
        <v>4</v>
      </c>
      <c r="H169" s="9" t="s">
        <v>3014</v>
      </c>
      <c r="I169" s="11" t="s">
        <v>3040</v>
      </c>
      <c r="J169" s="11" t="s">
        <v>3041</v>
      </c>
      <c r="K169" s="11" t="s">
        <v>3732</v>
      </c>
      <c r="L169" s="9" t="n">
        <f aca="false">IF(AND(ISNUMBER($E169),ISNUMBER($F169),ISNUMBER($G169)),IF(AND($F169&lt;=$E169,$E169&lt;=$G169),0,1),0)</f>
        <v>0</v>
      </c>
      <c r="M169" s="9" t="n">
        <f aca="false">IF(AND(OR($H169="Analogy",$H169="Assumed"),OR(NOT(ISNUMBER($F169)),NOT(ISNUMBER($G169)))),1,0)</f>
        <v>0</v>
      </c>
      <c r="N169" s="12" t="s">
        <v>3733</v>
      </c>
    </row>
    <row r="170" customFormat="false" ht="15" hidden="false" customHeight="false" outlineLevel="0" collapsed="false">
      <c r="A170" s="9" t="s">
        <v>3734</v>
      </c>
      <c r="B170" s="11" t="s">
        <v>3735</v>
      </c>
      <c r="C170" s="9" t="s">
        <v>3038</v>
      </c>
      <c r="D170" s="11" t="s">
        <v>3046</v>
      </c>
      <c r="E170" s="10" t="n">
        <v>6</v>
      </c>
      <c r="F170" s="10" t="n">
        <v>3</v>
      </c>
      <c r="G170" s="10" t="n">
        <v>12</v>
      </c>
      <c r="H170" s="9" t="s">
        <v>2861</v>
      </c>
      <c r="I170" s="11" t="s">
        <v>3736</v>
      </c>
      <c r="J170" s="11" t="s">
        <v>3737</v>
      </c>
      <c r="K170" s="9" t="s">
        <v>3738</v>
      </c>
      <c r="L170" s="9" t="n">
        <f aca="false">IF(AND(ISNUMBER($E170),ISNUMBER($F170),ISNUMBER($G170)),IF(AND($F170&lt;=$E170,$E170&lt;=$G170),0,1),0)</f>
        <v>0</v>
      </c>
      <c r="M170" s="9" t="n">
        <f aca="false">IF(AND(OR($H170="Analogy",$H170="Assumed"),OR(NOT(ISNUMBER($F170)),NOT(ISNUMBER($G170)))),1,0)</f>
        <v>0</v>
      </c>
      <c r="N170" s="12" t="s">
        <v>3739</v>
      </c>
    </row>
    <row r="171" customFormat="false" ht="15" hidden="false" customHeight="false" outlineLevel="0" collapsed="false">
      <c r="A171" s="9" t="s">
        <v>3740</v>
      </c>
      <c r="B171" s="9" t="s">
        <v>3741</v>
      </c>
      <c r="C171" s="9" t="s">
        <v>3038</v>
      </c>
      <c r="D171" s="11" t="s">
        <v>3097</v>
      </c>
      <c r="E171" s="10" t="n">
        <v>1</v>
      </c>
      <c r="F171" s="10" t="n">
        <v>0</v>
      </c>
      <c r="G171" s="10" t="n">
        <v>1</v>
      </c>
      <c r="H171" s="9" t="s">
        <v>3014</v>
      </c>
      <c r="I171" s="9" t="s">
        <v>3742</v>
      </c>
      <c r="J171" s="11" t="s">
        <v>3097</v>
      </c>
      <c r="K171" s="9" t="s">
        <v>3743</v>
      </c>
      <c r="L171" s="9" t="n">
        <f aca="false">IF(AND(ISNUMBER($E171),ISNUMBER($F171),ISNUMBER($G171)),IF(AND($F171&lt;=$E171,$E171&lt;=$G171),0,1),0)</f>
        <v>0</v>
      </c>
      <c r="M171" s="9" t="n">
        <f aca="false">IF(AND(OR($H171="Analogy",$H171="Assumed"),OR(NOT(ISNUMBER($F171)),NOT(ISNUMBER($G171)))),1,0)</f>
        <v>0</v>
      </c>
      <c r="N171" s="12" t="s">
        <v>3744</v>
      </c>
    </row>
    <row r="172" customFormat="false" ht="15" hidden="false" customHeight="false" outlineLevel="0" collapsed="false">
      <c r="A172" s="9" t="s">
        <v>3745</v>
      </c>
      <c r="B172" s="9" t="s">
        <v>3746</v>
      </c>
      <c r="C172" s="9" t="s">
        <v>3038</v>
      </c>
      <c r="D172" s="11" t="s">
        <v>3097</v>
      </c>
      <c r="E172" s="10" t="n">
        <v>0</v>
      </c>
      <c r="F172" s="10" t="n">
        <v>0</v>
      </c>
      <c r="G172" s="10" t="n">
        <v>1</v>
      </c>
      <c r="H172" s="9" t="s">
        <v>3014</v>
      </c>
      <c r="I172" s="9" t="s">
        <v>3747</v>
      </c>
      <c r="J172" s="11" t="s">
        <v>3097</v>
      </c>
      <c r="K172" s="11" t="s">
        <v>3748</v>
      </c>
      <c r="L172" s="9" t="n">
        <f aca="false">IF(AND(ISNUMBER($E172),ISNUMBER($F172),ISNUMBER($G172)),IF(AND($F172&lt;=$E172,$E172&lt;=$G172),0,1),0)</f>
        <v>0</v>
      </c>
      <c r="M172" s="9" t="n">
        <f aca="false">IF(AND(OR($H172="Analogy",$H172="Assumed"),OR(NOT(ISNUMBER($F172)),NOT(ISNUMBER($G172)))),1,0)</f>
        <v>0</v>
      </c>
      <c r="N172" s="12" t="s">
        <v>3749</v>
      </c>
    </row>
    <row r="173" customFormat="false" ht="15" hidden="false" customHeight="false" outlineLevel="0" collapsed="false">
      <c r="A173" s="9" t="s">
        <v>3750</v>
      </c>
      <c r="B173" s="9" t="s">
        <v>3751</v>
      </c>
      <c r="C173" s="9" t="s">
        <v>3038</v>
      </c>
      <c r="D173" s="11" t="s">
        <v>3097</v>
      </c>
      <c r="E173" s="10" t="n">
        <v>0</v>
      </c>
      <c r="F173" s="10" t="n">
        <v>0</v>
      </c>
      <c r="G173" s="10" t="n">
        <v>1</v>
      </c>
      <c r="H173" s="9" t="s">
        <v>3014</v>
      </c>
      <c r="I173" s="9" t="s">
        <v>3752</v>
      </c>
      <c r="J173" s="11" t="s">
        <v>3097</v>
      </c>
      <c r="K173" s="9"/>
      <c r="L173" s="9" t="n">
        <f aca="false">IF(AND(ISNUMBER($E173),ISNUMBER($F173),ISNUMBER($G173)),IF(AND($F173&lt;=$E173,$E173&lt;=$G173),0,1),0)</f>
        <v>0</v>
      </c>
      <c r="M173" s="9" t="n">
        <f aca="false">IF(AND(OR($H173="Analogy",$H173="Assumed"),OR(NOT(ISNUMBER($F173)),NOT(ISNUMBER($G173)))),1,0)</f>
        <v>0</v>
      </c>
      <c r="N173" s="12" t="s">
        <v>3753</v>
      </c>
    </row>
    <row r="174" customFormat="false" ht="15" hidden="false" customHeight="false" outlineLevel="0" collapsed="false">
      <c r="A174" s="9" t="s">
        <v>3754</v>
      </c>
      <c r="B174" s="11" t="s">
        <v>3755</v>
      </c>
      <c r="C174" s="9" t="s">
        <v>3038</v>
      </c>
      <c r="D174" s="11" t="s">
        <v>3097</v>
      </c>
      <c r="E174" s="10" t="n">
        <v>0</v>
      </c>
      <c r="F174" s="10" t="n">
        <v>0</v>
      </c>
      <c r="G174" s="10" t="n">
        <v>1</v>
      </c>
      <c r="H174" s="9" t="s">
        <v>3014</v>
      </c>
      <c r="I174" s="11" t="s">
        <v>3756</v>
      </c>
      <c r="J174" s="11" t="s">
        <v>3097</v>
      </c>
      <c r="K174" s="9" t="s">
        <v>3757</v>
      </c>
      <c r="L174" s="9" t="n">
        <f aca="false">IF(AND(ISNUMBER($E174),ISNUMBER($F174),ISNUMBER($G174)),IF(AND($F174&lt;=$E174,$E174&lt;=$G174),0,1),0)</f>
        <v>0</v>
      </c>
      <c r="M174" s="9" t="n">
        <f aca="false">IF(AND(OR($H174="Analogy",$H174="Assumed"),OR(NOT(ISNUMBER($F174)),NOT(ISNUMBER($G174)))),1,0)</f>
        <v>0</v>
      </c>
      <c r="N174" s="12" t="s">
        <v>3758</v>
      </c>
    </row>
    <row r="175" customFormat="false" ht="15" hidden="false" customHeight="false" outlineLevel="0" collapsed="false">
      <c r="A175" s="9" t="s">
        <v>3759</v>
      </c>
      <c r="B175" s="9" t="s">
        <v>3760</v>
      </c>
      <c r="C175" s="9" t="s">
        <v>3038</v>
      </c>
      <c r="D175" s="11" t="s">
        <v>2189</v>
      </c>
      <c r="E175" s="10" t="n">
        <v>2026</v>
      </c>
      <c r="F175" s="10" t="n">
        <v>2026</v>
      </c>
      <c r="G175" s="10" t="n">
        <v>2027</v>
      </c>
      <c r="H175" s="9" t="s">
        <v>2861</v>
      </c>
      <c r="I175" s="9" t="s">
        <v>3761</v>
      </c>
      <c r="J175" s="11" t="s">
        <v>3762</v>
      </c>
      <c r="K175" s="9" t="s">
        <v>3763</v>
      </c>
      <c r="L175" s="9" t="n">
        <f aca="false">IF(AND(ISNUMBER($E175),ISNUMBER($F175),ISNUMBER($G175)),IF(AND($F175&lt;=$E175,$E175&lt;=$G175),0,1),0)</f>
        <v>0</v>
      </c>
      <c r="M175" s="9" t="n">
        <f aca="false">IF(AND(OR($H175="Analogy",$H175="Assumed"),OR(NOT(ISNUMBER($F175)),NOT(ISNUMBER($G175)))),1,0)</f>
        <v>0</v>
      </c>
      <c r="N175" s="12" t="s">
        <v>3764</v>
      </c>
    </row>
    <row r="176" customFormat="false" ht="15" hidden="false" customHeight="false" outlineLevel="0" collapsed="false">
      <c r="A176" s="9" t="s">
        <v>3765</v>
      </c>
      <c r="B176" s="9" t="s">
        <v>3766</v>
      </c>
      <c r="C176" s="9" t="s">
        <v>3038</v>
      </c>
      <c r="D176" s="11" t="s">
        <v>2189</v>
      </c>
      <c r="E176" s="10" t="n">
        <v>2027</v>
      </c>
      <c r="F176" s="10" t="n">
        <v>2026</v>
      </c>
      <c r="G176" s="10" t="n">
        <v>2028</v>
      </c>
      <c r="H176" s="9" t="s">
        <v>2861</v>
      </c>
      <c r="I176" s="9" t="s">
        <v>3767</v>
      </c>
      <c r="J176" s="11" t="s">
        <v>3768</v>
      </c>
      <c r="K176" s="9" t="s">
        <v>3763</v>
      </c>
      <c r="L176" s="9" t="n">
        <f aca="false">IF(AND(ISNUMBER($E176),ISNUMBER($F176),ISNUMBER($G176)),IF(AND($F176&lt;=$E176,$E176&lt;=$G176),0,1),0)</f>
        <v>0</v>
      </c>
      <c r="M176" s="9" t="n">
        <f aca="false">IF(AND(OR($H176="Analogy",$H176="Assumed"),OR(NOT(ISNUMBER($F176)),NOT(ISNUMBER($G176)))),1,0)</f>
        <v>0</v>
      </c>
      <c r="N176" s="12" t="s">
        <v>3769</v>
      </c>
    </row>
    <row r="177" customFormat="false" ht="15" hidden="false" customHeight="false" outlineLevel="0" collapsed="false">
      <c r="A177" s="9" t="s">
        <v>3770</v>
      </c>
      <c r="B177" s="9" t="s">
        <v>3771</v>
      </c>
      <c r="C177" s="9" t="s">
        <v>3038</v>
      </c>
      <c r="D177" s="11" t="s">
        <v>2189</v>
      </c>
      <c r="E177" s="10" t="n">
        <v>2027</v>
      </c>
      <c r="F177" s="10" t="n">
        <v>2027</v>
      </c>
      <c r="G177" s="10" t="n">
        <v>2028</v>
      </c>
      <c r="H177" s="9" t="s">
        <v>2861</v>
      </c>
      <c r="I177" s="9" t="s">
        <v>3772</v>
      </c>
      <c r="J177" s="11" t="s">
        <v>1386</v>
      </c>
      <c r="K177" s="9" t="s">
        <v>3763</v>
      </c>
      <c r="L177" s="9" t="n">
        <f aca="false">IF(AND(ISNUMBER($E177),ISNUMBER($F177),ISNUMBER($G177)),IF(AND($F177&lt;=$E177,$E177&lt;=$G177),0,1),0)</f>
        <v>0</v>
      </c>
      <c r="M177" s="9" t="n">
        <f aca="false">IF(AND(OR($H177="Analogy",$H177="Assumed"),OR(NOT(ISNUMBER($F177)),NOT(ISNUMBER($G177)))),1,0)</f>
        <v>0</v>
      </c>
      <c r="N177" s="12" t="s">
        <v>3773</v>
      </c>
    </row>
    <row r="178" customFormat="false" ht="15" hidden="false" customHeight="false" outlineLevel="0" collapsed="false">
      <c r="A178" s="9" t="s">
        <v>3774</v>
      </c>
      <c r="B178" s="9" t="s">
        <v>3775</v>
      </c>
      <c r="C178" s="9" t="s">
        <v>3038</v>
      </c>
      <c r="D178" s="11" t="s">
        <v>2189</v>
      </c>
      <c r="E178" s="10" t="n">
        <v>2026</v>
      </c>
      <c r="F178" s="10" t="n">
        <v>2026</v>
      </c>
      <c r="G178" s="10" t="n">
        <v>2027</v>
      </c>
      <c r="H178" s="9" t="s">
        <v>2861</v>
      </c>
      <c r="I178" s="9" t="s">
        <v>3776</v>
      </c>
      <c r="J178" s="11" t="s">
        <v>3777</v>
      </c>
      <c r="K178" s="9" t="s">
        <v>3778</v>
      </c>
      <c r="L178" s="9" t="n">
        <f aca="false">IF(AND(ISNUMBER($E178),ISNUMBER($F178),ISNUMBER($G178)),IF(AND($F178&lt;=$E178,$E178&lt;=$G178),0,1),0)</f>
        <v>0</v>
      </c>
      <c r="M178" s="9" t="n">
        <f aca="false">IF(AND(OR($H178="Analogy",$H178="Assumed"),OR(NOT(ISNUMBER($F178)),NOT(ISNUMBER($G178)))),1,0)</f>
        <v>0</v>
      </c>
      <c r="N178" s="12" t="s">
        <v>3779</v>
      </c>
    </row>
    <row r="179" customFormat="false" ht="15" hidden="false" customHeight="false" outlineLevel="0" collapsed="false">
      <c r="A179" s="9" t="s">
        <v>3780</v>
      </c>
      <c r="B179" s="9" t="s">
        <v>3781</v>
      </c>
      <c r="C179" s="9" t="s">
        <v>3038</v>
      </c>
      <c r="D179" s="11" t="s">
        <v>2189</v>
      </c>
      <c r="E179" s="10" t="n">
        <v>2027</v>
      </c>
      <c r="F179" s="10" t="n">
        <v>2026</v>
      </c>
      <c r="G179" s="10" t="n">
        <v>2028</v>
      </c>
      <c r="H179" s="9" t="s">
        <v>2861</v>
      </c>
      <c r="I179" s="9" t="s">
        <v>3782</v>
      </c>
      <c r="J179" s="11" t="s">
        <v>1386</v>
      </c>
      <c r="K179" s="9" t="s">
        <v>3763</v>
      </c>
      <c r="L179" s="9" t="n">
        <f aca="false">IF(AND(ISNUMBER($E179),ISNUMBER($F179),ISNUMBER($G179)),IF(AND($F179&lt;=$E179,$E179&lt;=$G179),0,1),0)</f>
        <v>0</v>
      </c>
      <c r="M179" s="9" t="n">
        <f aca="false">IF(AND(OR($H179="Analogy",$H179="Assumed"),OR(NOT(ISNUMBER($F179)),NOT(ISNUMBER($G179)))),1,0)</f>
        <v>0</v>
      </c>
      <c r="N179" s="12" t="s">
        <v>3783</v>
      </c>
    </row>
    <row r="180" customFormat="false" ht="15" hidden="false" customHeight="false" outlineLevel="0" collapsed="false">
      <c r="A180" s="9" t="s">
        <v>3784</v>
      </c>
      <c r="B180" s="11" t="s">
        <v>3785</v>
      </c>
      <c r="C180" s="9" t="s">
        <v>3038</v>
      </c>
      <c r="D180" s="11" t="s">
        <v>2189</v>
      </c>
      <c r="E180" s="10" t="n">
        <v>2028</v>
      </c>
      <c r="F180" s="10" t="n">
        <v>2027</v>
      </c>
      <c r="G180" s="10" t="n">
        <v>2029</v>
      </c>
      <c r="H180" s="9" t="s">
        <v>2861</v>
      </c>
      <c r="I180" s="9" t="s">
        <v>3786</v>
      </c>
      <c r="J180" s="11" t="s">
        <v>3787</v>
      </c>
      <c r="K180" s="9" t="s">
        <v>3788</v>
      </c>
      <c r="L180" s="9" t="n">
        <f aca="false">IF(AND(ISNUMBER($E180),ISNUMBER($F180),ISNUMBER($G180)),IF(AND($F180&lt;=$E180,$E180&lt;=$G180),0,1),0)</f>
        <v>0</v>
      </c>
      <c r="M180" s="9" t="n">
        <f aca="false">IF(AND(OR($H180="Analogy",$H180="Assumed"),OR(NOT(ISNUMBER($F180)),NOT(ISNUMBER($G180)))),1,0)</f>
        <v>0</v>
      </c>
      <c r="N180" s="12" t="s">
        <v>3789</v>
      </c>
    </row>
    <row r="181" customFormat="false" ht="15" hidden="false" customHeight="false" outlineLevel="0" collapsed="false">
      <c r="A181" s="9" t="s">
        <v>3790</v>
      </c>
      <c r="B181" s="11" t="s">
        <v>3791</v>
      </c>
      <c r="C181" s="9" t="s">
        <v>3038</v>
      </c>
      <c r="D181" s="11" t="s">
        <v>2189</v>
      </c>
      <c r="E181" s="10" t="n">
        <v>20</v>
      </c>
      <c r="F181" s="10" t="n">
        <v>20</v>
      </c>
      <c r="G181" s="10" t="n">
        <v>20</v>
      </c>
      <c r="H181" s="9" t="s">
        <v>3014</v>
      </c>
      <c r="I181" s="9" t="s">
        <v>3792</v>
      </c>
      <c r="J181" s="11" t="s">
        <v>3654</v>
      </c>
      <c r="K181" s="11" t="s">
        <v>3793</v>
      </c>
      <c r="L181" s="9" t="n">
        <f aca="false">IF(AND(ISNUMBER($E181),ISNUMBER($F181),ISNUMBER($G181)),IF(AND($F181&lt;=$E181,$E181&lt;=$G181),0,1),0)</f>
        <v>0</v>
      </c>
      <c r="M181" s="9" t="n">
        <f aca="false">IF(AND(OR($H181="Analogy",$H181="Assumed"),OR(NOT(ISNUMBER($F181)),NOT(ISNUMBER($G181)))),1,0)</f>
        <v>0</v>
      </c>
      <c r="N181" s="12" t="s">
        <v>3794</v>
      </c>
    </row>
    <row r="182" customFormat="false" ht="15" hidden="false" customHeight="false" outlineLevel="0" collapsed="false">
      <c r="A182" s="9" t="s">
        <v>3795</v>
      </c>
      <c r="B182" s="11" t="s">
        <v>3796</v>
      </c>
      <c r="C182" s="9" t="s">
        <v>3038</v>
      </c>
      <c r="D182" s="11" t="s">
        <v>2189</v>
      </c>
      <c r="E182" s="10" t="n">
        <v>20</v>
      </c>
      <c r="F182" s="10" t="n">
        <v>20</v>
      </c>
      <c r="G182" s="10" t="n">
        <v>20</v>
      </c>
      <c r="H182" s="9" t="s">
        <v>3014</v>
      </c>
      <c r="I182" s="9" t="s">
        <v>3797</v>
      </c>
      <c r="J182" s="11" t="s">
        <v>3654</v>
      </c>
      <c r="K182" s="9"/>
      <c r="L182" s="9" t="n">
        <f aca="false">IF(AND(ISNUMBER($E182),ISNUMBER($F182),ISNUMBER($G182)),IF(AND($F182&lt;=$E182,$E182&lt;=$G182),0,1),0)</f>
        <v>0</v>
      </c>
      <c r="M182" s="9" t="n">
        <f aca="false">IF(AND(OR($H182="Analogy",$H182="Assumed"),OR(NOT(ISNUMBER($F182)),NOT(ISNUMBER($G182)))),1,0)</f>
        <v>0</v>
      </c>
      <c r="N182" s="12" t="s">
        <v>3798</v>
      </c>
    </row>
    <row r="183" customFormat="false" ht="15" hidden="false" customHeight="false" outlineLevel="0" collapsed="false">
      <c r="A183" s="9" t="s">
        <v>3799</v>
      </c>
      <c r="B183" s="11" t="s">
        <v>3800</v>
      </c>
      <c r="C183" s="9" t="s">
        <v>3038</v>
      </c>
      <c r="D183" s="11" t="s">
        <v>2189</v>
      </c>
      <c r="E183" s="10" t="n">
        <v>15</v>
      </c>
      <c r="F183" s="10" t="n">
        <v>15</v>
      </c>
      <c r="G183" s="10" t="n">
        <v>15</v>
      </c>
      <c r="H183" s="9" t="s">
        <v>3014</v>
      </c>
      <c r="I183" s="9" t="s">
        <v>3801</v>
      </c>
      <c r="J183" s="11" t="s">
        <v>3654</v>
      </c>
      <c r="K183" s="11" t="s">
        <v>3802</v>
      </c>
      <c r="L183" s="9" t="n">
        <f aca="false">IF(AND(ISNUMBER($E183),ISNUMBER($F183),ISNUMBER($G183)),IF(AND($F183&lt;=$E183,$E183&lt;=$G183),0,1),0)</f>
        <v>0</v>
      </c>
      <c r="M183" s="9" t="n">
        <f aca="false">IF(AND(OR($H183="Analogy",$H183="Assumed"),OR(NOT(ISNUMBER($F183)),NOT(ISNUMBER($G183)))),1,0)</f>
        <v>0</v>
      </c>
      <c r="N183" s="12" t="s">
        <v>3803</v>
      </c>
    </row>
    <row r="184" customFormat="false" ht="15" hidden="false" customHeight="false" outlineLevel="0" collapsed="false">
      <c r="A184" s="9" t="s">
        <v>3804</v>
      </c>
      <c r="B184" s="11" t="s">
        <v>3805</v>
      </c>
      <c r="C184" s="9" t="s">
        <v>3038</v>
      </c>
      <c r="D184" s="11" t="s">
        <v>269</v>
      </c>
      <c r="E184" s="10" t="n">
        <v>0.25</v>
      </c>
      <c r="F184" s="10" t="n">
        <v>0.25</v>
      </c>
      <c r="G184" s="10" t="n">
        <v>0.25</v>
      </c>
      <c r="H184" s="9" t="s">
        <v>3014</v>
      </c>
      <c r="I184" s="9" t="s">
        <v>3806</v>
      </c>
      <c r="J184" s="11" t="s">
        <v>3115</v>
      </c>
      <c r="K184" s="9" t="s">
        <v>34</v>
      </c>
      <c r="L184" s="9" t="n">
        <f aca="false">IF(AND(ISNUMBER($E184),ISNUMBER($F184),ISNUMBER($G184)),IF(AND($F184&lt;=$E184,$E184&lt;=$G184),0,1),0)</f>
        <v>0</v>
      </c>
      <c r="M184" s="9" t="n">
        <f aca="false">IF(AND(OR($H184="Analogy",$H184="Assumed"),OR(NOT(ISNUMBER($F184)),NOT(ISNUMBER($G184)))),1,0)</f>
        <v>0</v>
      </c>
      <c r="N184" s="12" t="s">
        <v>3807</v>
      </c>
    </row>
    <row r="185" customFormat="false" ht="15" hidden="false" customHeight="false" outlineLevel="0" collapsed="false">
      <c r="A185" s="9" t="s">
        <v>3808</v>
      </c>
      <c r="B185" s="9" t="s">
        <v>3809</v>
      </c>
      <c r="C185" s="9" t="s">
        <v>3038</v>
      </c>
      <c r="D185" s="11" t="s">
        <v>2189</v>
      </c>
      <c r="E185" s="10" t="n">
        <v>2028</v>
      </c>
      <c r="F185" s="10" t="n">
        <v>2027</v>
      </c>
      <c r="G185" s="10" t="n">
        <v>2029</v>
      </c>
      <c r="H185" s="9" t="s">
        <v>2861</v>
      </c>
      <c r="I185" s="11" t="s">
        <v>3810</v>
      </c>
      <c r="J185" s="9" t="s">
        <v>3811</v>
      </c>
      <c r="K185" s="9" t="s">
        <v>3812</v>
      </c>
      <c r="L185" s="9" t="n">
        <f aca="false">IF(AND(ISNUMBER($E185),ISNUMBER($F185),ISNUMBER($G185)),IF(AND($F185&lt;=$E185,$E185&lt;=$G185),0,1),0)</f>
        <v>0</v>
      </c>
      <c r="M185" s="9" t="n">
        <f aca="false">IF(AND(OR($H185="Analogy",$H185="Assumed"),OR(NOT(ISNUMBER($F185)),NOT(ISNUMBER($G185)))),1,0)</f>
        <v>0</v>
      </c>
      <c r="N185" s="12" t="s">
        <v>3813</v>
      </c>
    </row>
    <row r="186" customFormat="false" ht="15" hidden="false" customHeight="false" outlineLevel="0" collapsed="false">
      <c r="A186" s="9" t="s">
        <v>3814</v>
      </c>
      <c r="B186" s="9" t="s">
        <v>3815</v>
      </c>
      <c r="C186" s="9" t="s">
        <v>3038</v>
      </c>
      <c r="D186" s="11" t="s">
        <v>2189</v>
      </c>
      <c r="E186" s="10" t="n">
        <v>7</v>
      </c>
      <c r="F186" s="10" t="n">
        <v>5</v>
      </c>
      <c r="G186" s="10" t="n">
        <v>10</v>
      </c>
      <c r="H186" s="9" t="s">
        <v>2861</v>
      </c>
      <c r="I186" s="11" t="s">
        <v>3816</v>
      </c>
      <c r="J186" s="11" t="s">
        <v>3817</v>
      </c>
      <c r="K186" s="9" t="s">
        <v>3818</v>
      </c>
      <c r="L186" s="9" t="n">
        <f aca="false">IF(AND(ISNUMBER($E186),ISNUMBER($F186),ISNUMBER($G186)),IF(AND($F186&lt;=$E186,$E186&lt;=$G186),0,1),0)</f>
        <v>0</v>
      </c>
      <c r="M186" s="9" t="n">
        <f aca="false">IF(AND(OR($H186="Analogy",$H186="Assumed"),OR(NOT(ISNUMBER($F186)),NOT(ISNUMBER($G186)))),1,0)</f>
        <v>0</v>
      </c>
      <c r="N186" s="12" t="s">
        <v>3819</v>
      </c>
    </row>
    <row r="187" customFormat="false" ht="15" hidden="false" customHeight="false" outlineLevel="0" collapsed="false">
      <c r="A187" s="9" t="s">
        <v>3820</v>
      </c>
      <c r="B187" s="9" t="s">
        <v>3821</v>
      </c>
      <c r="C187" s="9" t="s">
        <v>3038</v>
      </c>
      <c r="D187" s="11" t="s">
        <v>3097</v>
      </c>
      <c r="E187" s="10" t="n">
        <v>1</v>
      </c>
      <c r="F187" s="10" t="n">
        <v>0</v>
      </c>
      <c r="G187" s="10" t="n">
        <v>1</v>
      </c>
      <c r="H187" s="9" t="s">
        <v>3014</v>
      </c>
      <c r="I187" s="9" t="s">
        <v>3822</v>
      </c>
      <c r="J187" s="11" t="s">
        <v>3097</v>
      </c>
      <c r="K187" s="11" t="s">
        <v>3823</v>
      </c>
      <c r="L187" s="9" t="n">
        <f aca="false">IF(AND(ISNUMBER($E187),ISNUMBER($F187),ISNUMBER($G187)),IF(AND($F187&lt;=$E187,$E187&lt;=$G187),0,1),0)</f>
        <v>0</v>
      </c>
      <c r="M187" s="9" t="n">
        <f aca="false">IF(AND(OR($H187="Analogy",$H187="Assumed"),OR(NOT(ISNUMBER($F187)),NOT(ISNUMBER($G187)))),1,0)</f>
        <v>0</v>
      </c>
      <c r="N187" s="12" t="s">
        <v>3824</v>
      </c>
    </row>
    <row r="188" customFormat="false" ht="15" hidden="false" customHeight="false" outlineLevel="0" collapsed="false">
      <c r="A188" s="9" t="s">
        <v>3825</v>
      </c>
      <c r="B188" s="11" t="s">
        <v>3826</v>
      </c>
      <c r="C188" s="9" t="s">
        <v>3038</v>
      </c>
      <c r="D188" s="11" t="s">
        <v>3097</v>
      </c>
      <c r="E188" s="10" t="n">
        <v>0</v>
      </c>
      <c r="F188" s="10" t="n">
        <v>0</v>
      </c>
      <c r="G188" s="10" t="n">
        <v>1</v>
      </c>
      <c r="H188" s="9" t="s">
        <v>3014</v>
      </c>
      <c r="I188" s="11" t="s">
        <v>3827</v>
      </c>
      <c r="J188" s="11" t="s">
        <v>3097</v>
      </c>
      <c r="K188" s="11" t="s">
        <v>3828</v>
      </c>
      <c r="L188" s="9" t="n">
        <f aca="false">IF(AND(ISNUMBER($E188),ISNUMBER($F188),ISNUMBER($G188)),IF(AND($F188&lt;=$E188,$E188&lt;=$G188),0,1),0)</f>
        <v>0</v>
      </c>
      <c r="M188" s="9" t="n">
        <f aca="false">IF(AND(OR($H188="Analogy",$H188="Assumed"),OR(NOT(ISNUMBER($F188)),NOT(ISNUMBER($G188)))),1,0)</f>
        <v>0</v>
      </c>
      <c r="N188" s="12" t="s">
        <v>3829</v>
      </c>
    </row>
    <row r="189" customFormat="false" ht="15" hidden="false" customHeight="false" outlineLevel="0" collapsed="false">
      <c r="A189" s="9" t="s">
        <v>3830</v>
      </c>
      <c r="B189" s="11" t="s">
        <v>3831</v>
      </c>
      <c r="C189" s="9" t="s">
        <v>3038</v>
      </c>
      <c r="D189" s="11" t="s">
        <v>269</v>
      </c>
      <c r="E189" s="10" t="n">
        <v>0.3</v>
      </c>
      <c r="F189" s="10" t="n">
        <v>0</v>
      </c>
      <c r="G189" s="10" t="n">
        <v>0.6</v>
      </c>
      <c r="H189" s="9" t="s">
        <v>2861</v>
      </c>
      <c r="I189" s="11" t="s">
        <v>3832</v>
      </c>
      <c r="J189" s="11" t="s">
        <v>3833</v>
      </c>
      <c r="K189" s="9" t="s">
        <v>3834</v>
      </c>
      <c r="L189" s="9" t="n">
        <f aca="false">IF(AND(ISNUMBER($E189),ISNUMBER($F189),ISNUMBER($G189)),IF(AND($F189&lt;=$E189,$E189&lt;=$G189),0,1),0)</f>
        <v>0</v>
      </c>
      <c r="M189" s="9" t="n">
        <f aca="false">IF(AND(OR($H189="Analogy",$H189="Assumed"),OR(NOT(ISNUMBER($F189)),NOT(ISNUMBER($G189)))),1,0)</f>
        <v>0</v>
      </c>
      <c r="N189" s="12" t="s">
        <v>3835</v>
      </c>
    </row>
    <row r="190" customFormat="false" ht="15" hidden="false" customHeight="false" outlineLevel="0" collapsed="false">
      <c r="A190" s="9" t="s">
        <v>3836</v>
      </c>
      <c r="B190" s="11" t="s">
        <v>3837</v>
      </c>
      <c r="C190" s="9" t="s">
        <v>3038</v>
      </c>
      <c r="D190" s="11" t="s">
        <v>2189</v>
      </c>
      <c r="E190" s="10" t="n">
        <v>2029</v>
      </c>
      <c r="F190" s="10" t="n">
        <v>2029</v>
      </c>
      <c r="G190" s="10" t="n">
        <v>2029</v>
      </c>
      <c r="H190" s="9" t="s">
        <v>3014</v>
      </c>
      <c r="I190" s="11" t="s">
        <v>3838</v>
      </c>
      <c r="J190" s="11" t="s">
        <v>3839</v>
      </c>
      <c r="K190" s="9" t="s">
        <v>3840</v>
      </c>
      <c r="L190" s="9" t="n">
        <f aca="false">IF(AND(ISNUMBER($E190),ISNUMBER($F190),ISNUMBER($G190)),IF(AND($F190&lt;=$E190,$E190&lt;=$G190),0,1),0)</f>
        <v>0</v>
      </c>
      <c r="M190" s="9" t="n">
        <f aca="false">IF(AND(OR($H190="Analogy",$H190="Assumed"),OR(NOT(ISNUMBER($F190)),NOT(ISNUMBER($G190)))),1,0)</f>
        <v>0</v>
      </c>
      <c r="N190" s="12" t="s">
        <v>3841</v>
      </c>
    </row>
    <row r="191" customFormat="false" ht="15" hidden="false" customHeight="false" outlineLevel="0" collapsed="false">
      <c r="A191" s="9" t="s">
        <v>3842</v>
      </c>
      <c r="B191" s="11" t="s">
        <v>3843</v>
      </c>
      <c r="C191" s="9" t="s">
        <v>3038</v>
      </c>
      <c r="D191" s="11" t="s">
        <v>2189</v>
      </c>
      <c r="E191" s="10" t="n">
        <v>2030</v>
      </c>
      <c r="F191" s="10" t="n">
        <v>2030</v>
      </c>
      <c r="G191" s="10" t="n">
        <v>2030</v>
      </c>
      <c r="H191" s="9" t="s">
        <v>3014</v>
      </c>
      <c r="I191" s="11" t="s">
        <v>3838</v>
      </c>
      <c r="J191" s="11" t="s">
        <v>3839</v>
      </c>
      <c r="K191" s="9" t="s">
        <v>3840</v>
      </c>
      <c r="L191" s="9" t="n">
        <f aca="false">IF(AND(ISNUMBER($E191),ISNUMBER($F191),ISNUMBER($G191)),IF(AND($F191&lt;=$E191,$E191&lt;=$G191),0,1),0)</f>
        <v>0</v>
      </c>
      <c r="M191" s="9" t="n">
        <f aca="false">IF(AND(OR($H191="Analogy",$H191="Assumed"),OR(NOT(ISNUMBER($F191)),NOT(ISNUMBER($G191)))),1,0)</f>
        <v>0</v>
      </c>
      <c r="N191" s="12" t="s">
        <v>3844</v>
      </c>
    </row>
    <row r="192" customFormat="false" ht="15" hidden="false" customHeight="false" outlineLevel="0" collapsed="false">
      <c r="A192" s="9" t="s">
        <v>3845</v>
      </c>
      <c r="B192" s="11" t="s">
        <v>3846</v>
      </c>
      <c r="C192" s="9" t="s">
        <v>3038</v>
      </c>
      <c r="D192" s="11" t="s">
        <v>269</v>
      </c>
      <c r="E192" s="10" t="n">
        <v>0</v>
      </c>
      <c r="F192" s="10" t="n">
        <v>0</v>
      </c>
      <c r="G192" s="10" t="n">
        <v>0</v>
      </c>
      <c r="H192" s="9" t="s">
        <v>3014</v>
      </c>
      <c r="I192" s="11" t="s">
        <v>3847</v>
      </c>
      <c r="J192" s="11" t="s">
        <v>3016</v>
      </c>
      <c r="K192" s="11" t="s">
        <v>3848</v>
      </c>
      <c r="L192" s="9" t="n">
        <f aca="false">IF(AND(ISNUMBER($E192),ISNUMBER($F192),ISNUMBER($G192)),IF(AND($F192&lt;=$E192,$E192&lt;=$G192),0,1),0)</f>
        <v>0</v>
      </c>
      <c r="M192" s="9" t="n">
        <f aca="false">IF(AND(OR($H192="Analogy",$H192="Assumed"),OR(NOT(ISNUMBER($F192)),NOT(ISNUMBER($G192)))),1,0)</f>
        <v>0</v>
      </c>
      <c r="N192" s="12" t="s">
        <v>3849</v>
      </c>
    </row>
    <row r="193" customFormat="false" ht="15" hidden="false" customHeight="false" outlineLevel="0" collapsed="false">
      <c r="A193" s="9" t="s">
        <v>3850</v>
      </c>
      <c r="B193" s="11" t="s">
        <v>3851</v>
      </c>
      <c r="C193" s="9" t="s">
        <v>3038</v>
      </c>
      <c r="D193" s="11" t="s">
        <v>269</v>
      </c>
      <c r="E193" s="10" t="n">
        <v>0.5</v>
      </c>
      <c r="F193" s="10" t="n">
        <v>0.25</v>
      </c>
      <c r="G193" s="10" t="n">
        <v>0.75</v>
      </c>
      <c r="H193" s="9" t="s">
        <v>2861</v>
      </c>
      <c r="I193" s="11" t="s">
        <v>3852</v>
      </c>
      <c r="J193" s="11" t="s">
        <v>3853</v>
      </c>
      <c r="K193" s="11" t="s">
        <v>3061</v>
      </c>
      <c r="L193" s="9" t="n">
        <f aca="false">IF(AND(ISNUMBER($E193),ISNUMBER($F193),ISNUMBER($G193)),IF(AND($F193&lt;=$E193,$E193&lt;=$G193),0,1),0)</f>
        <v>0</v>
      </c>
      <c r="M193" s="9" t="n">
        <f aca="false">IF(AND(OR($H193="Analogy",$H193="Assumed"),OR(NOT(ISNUMBER($F193)),NOT(ISNUMBER($G193)))),1,0)</f>
        <v>0</v>
      </c>
      <c r="N193" s="12" t="s">
        <v>3854</v>
      </c>
    </row>
    <row r="194" customFormat="false" ht="15" hidden="false" customHeight="false" outlineLevel="0" collapsed="false">
      <c r="A194" s="9" t="s">
        <v>3855</v>
      </c>
      <c r="B194" s="11" t="s">
        <v>3856</v>
      </c>
      <c r="C194" s="9" t="s">
        <v>3038</v>
      </c>
      <c r="D194" s="11" t="s">
        <v>269</v>
      </c>
      <c r="E194" s="10" t="n">
        <v>1</v>
      </c>
      <c r="F194" s="10" t="n">
        <v>1</v>
      </c>
      <c r="G194" s="10" t="n">
        <v>1</v>
      </c>
      <c r="H194" s="9" t="s">
        <v>3014</v>
      </c>
      <c r="I194" s="11" t="s">
        <v>3857</v>
      </c>
      <c r="J194" s="11" t="s">
        <v>3016</v>
      </c>
      <c r="K194" s="11" t="s">
        <v>3061</v>
      </c>
      <c r="L194" s="9" t="n">
        <f aca="false">IF(AND(ISNUMBER($E194),ISNUMBER($F194),ISNUMBER($G194)),IF(AND($F194&lt;=$E194,$E194&lt;=$G194),0,1),0)</f>
        <v>0</v>
      </c>
      <c r="M194" s="9" t="n">
        <f aca="false">IF(AND(OR($H194="Analogy",$H194="Assumed"),OR(NOT(ISNUMBER($F194)),NOT(ISNUMBER($G194)))),1,0)</f>
        <v>0</v>
      </c>
      <c r="N194" s="12" t="s">
        <v>3858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</cols>
  <sheetData>
    <row r="1" customFormat="false" ht="20.1" hidden="false" customHeight="false" outlineLevel="0" collapsed="false">
      <c r="A1" s="1" t="s">
        <v>3859</v>
      </c>
    </row>
    <row r="2" customFormat="false" ht="15" hidden="false" customHeight="false" outlineLevel="0" collapsed="false">
      <c r="A2" s="12" t="s">
        <v>3860</v>
      </c>
    </row>
    <row r="3" customFormat="false" ht="15" hidden="false" customHeight="false" outlineLevel="0" collapsed="false">
      <c r="A3" s="2" t="s">
        <v>3861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/>
      <c r="K5" s="8" t="s">
        <v>2519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3864</v>
      </c>
    </row>
    <row r="8" customFormat="false" ht="15" hidden="false" customHeight="false" outlineLevel="0" collapsed="false">
      <c r="A8" s="9" t="s">
        <v>3865</v>
      </c>
      <c r="B8" s="11" t="s">
        <v>3866</v>
      </c>
      <c r="C8" s="11" t="s">
        <v>269</v>
      </c>
      <c r="D8" s="16" t="n">
        <f aca="false">INP_021</f>
        <v>0.85</v>
      </c>
      <c r="E8" s="16" t="n">
        <f aca="false">INP_023</f>
        <v>0.7</v>
      </c>
      <c r="F8" s="16" t="n">
        <f aca="false">INP_023</f>
        <v>0.7</v>
      </c>
      <c r="G8" s="16" t="n">
        <f aca="false">INP_023</f>
        <v>0.7</v>
      </c>
      <c r="H8" s="16" t="n">
        <f aca="false">INP_023</f>
        <v>0.7</v>
      </c>
      <c r="I8" s="16" t="n">
        <f aca="false">INP_023</f>
        <v>0.7</v>
      </c>
      <c r="K8" s="12" t="s">
        <v>3867</v>
      </c>
    </row>
    <row r="9" customFormat="false" ht="15" hidden="false" customHeight="false" outlineLevel="0" collapsed="false">
      <c r="A9" s="9" t="s">
        <v>3868</v>
      </c>
      <c r="B9" s="11" t="s">
        <v>3869</v>
      </c>
      <c r="C9" s="11" t="s">
        <v>269</v>
      </c>
      <c r="D9" s="16" t="n">
        <f aca="false">INP_022</f>
        <v>0.1</v>
      </c>
      <c r="E9" s="16" t="n">
        <f aca="false">INP_024</f>
        <v>0.18</v>
      </c>
      <c r="F9" s="16" t="n">
        <f aca="false">INP_024</f>
        <v>0.18</v>
      </c>
      <c r="G9" s="16" t="n">
        <f aca="false">INP_024</f>
        <v>0.18</v>
      </c>
      <c r="H9" s="16" t="n">
        <f aca="false">INP_024</f>
        <v>0.18</v>
      </c>
      <c r="I9" s="16" t="n">
        <f aca="false">INP_024</f>
        <v>0.18</v>
      </c>
      <c r="K9" s="12" t="s">
        <v>3867</v>
      </c>
    </row>
    <row r="10" customFormat="false" ht="15" hidden="false" customHeight="false" outlineLevel="0" collapsed="false">
      <c r="A10" s="9" t="s">
        <v>3870</v>
      </c>
      <c r="B10" s="11" t="s">
        <v>3871</v>
      </c>
      <c r="C10" s="11" t="s">
        <v>269</v>
      </c>
      <c r="D10" s="16" t="n">
        <f aca="false">(1-D8-D9)</f>
        <v>0.05</v>
      </c>
      <c r="E10" s="16" t="n">
        <f aca="false">(1-E8-E9)</f>
        <v>0.12</v>
      </c>
      <c r="F10" s="16" t="n">
        <f aca="false">(1-F8-F9)</f>
        <v>0.12</v>
      </c>
      <c r="G10" s="16" t="n">
        <f aca="false">(1-G8-G9)</f>
        <v>0.12</v>
      </c>
      <c r="H10" s="16" t="n">
        <f aca="false">(1-H8-H9)</f>
        <v>0.12</v>
      </c>
      <c r="I10" s="16" t="n">
        <f aca="false">(1-I8-I9)</f>
        <v>0.12</v>
      </c>
      <c r="K10" s="2" t="s">
        <v>3872</v>
      </c>
    </row>
    <row r="11" customFormat="false" ht="15" hidden="false" customHeight="false" outlineLevel="0" collapsed="false">
      <c r="A11" s="9" t="s">
        <v>3873</v>
      </c>
      <c r="B11" s="11" t="s">
        <v>3874</v>
      </c>
      <c r="C11" s="9" t="s">
        <v>3875</v>
      </c>
      <c r="D11" s="17" t="n">
        <f aca="false">Revenue!D43*INP_012/(Revenue!D40*INP_008)</f>
        <v>1.58686352973644</v>
      </c>
      <c r="E11" s="17" t="n">
        <f aca="false">D11*(1+INP_030)</f>
        <v>6.34745411894577</v>
      </c>
      <c r="F11" s="17" t="n">
        <f aca="false">E11*(1+INP_031)</f>
        <v>10.1559265903132</v>
      </c>
      <c r="G11" s="17" t="n">
        <f aca="false">F11*(1+INP_032)</f>
        <v>14.2182972264385</v>
      </c>
      <c r="H11" s="17" t="n">
        <f aca="false">G11*(1+INP_033)</f>
        <v>18.4837863943701</v>
      </c>
      <c r="I11" s="17" t="n">
        <f aca="false">H11*(1+INP_034)</f>
        <v>22.1805436732441</v>
      </c>
      <c r="K11" s="12" t="s">
        <v>3876</v>
      </c>
    </row>
    <row r="12" customFormat="false" ht="15" hidden="false" customHeight="false" outlineLevel="0" collapsed="false">
      <c r="A12" s="9" t="s">
        <v>3877</v>
      </c>
      <c r="B12" s="9" t="s">
        <v>3878</v>
      </c>
      <c r="C12" s="9" t="s">
        <v>3875</v>
      </c>
      <c r="D12" s="17" t="n">
        <f aca="false">D11*D8</f>
        <v>1.34883400027598</v>
      </c>
      <c r="E12" s="17" t="n">
        <f aca="false">E11*E8</f>
        <v>4.44321788326204</v>
      </c>
      <c r="F12" s="17" t="n">
        <f aca="false">F11*F8</f>
        <v>7.10914861321926</v>
      </c>
      <c r="G12" s="17" t="n">
        <f aca="false">G11*G8</f>
        <v>9.95280805850697</v>
      </c>
      <c r="H12" s="17" t="n">
        <f aca="false">H11*H8</f>
        <v>12.9386504760591</v>
      </c>
      <c r="I12" s="17" t="n">
        <f aca="false">I11*I8</f>
        <v>15.5263805712709</v>
      </c>
      <c r="K12" s="2"/>
    </row>
    <row r="13" customFormat="false" ht="15" hidden="false" customHeight="false" outlineLevel="0" collapsed="false">
      <c r="A13" s="9" t="s">
        <v>3879</v>
      </c>
      <c r="B13" s="9" t="s">
        <v>3880</v>
      </c>
      <c r="C13" s="9" t="s">
        <v>3875</v>
      </c>
      <c r="D13" s="17" t="n">
        <f aca="false">D11*D9</f>
        <v>0.158686352973644</v>
      </c>
      <c r="E13" s="17" t="n">
        <f aca="false">E11*E9</f>
        <v>1.14254174141024</v>
      </c>
      <c r="F13" s="17" t="n">
        <f aca="false">F11*F9</f>
        <v>1.82806678625638</v>
      </c>
      <c r="G13" s="17" t="n">
        <f aca="false">G11*G9</f>
        <v>2.55929350075893</v>
      </c>
      <c r="H13" s="17" t="n">
        <f aca="false">H11*H9</f>
        <v>3.32708155098662</v>
      </c>
      <c r="I13" s="17" t="n">
        <f aca="false">I11*I9</f>
        <v>3.99249786118394</v>
      </c>
      <c r="K13" s="2"/>
    </row>
    <row r="14" customFormat="false" ht="15" hidden="false" customHeight="false" outlineLevel="0" collapsed="false">
      <c r="A14" s="9" t="s">
        <v>3881</v>
      </c>
      <c r="B14" s="9" t="s">
        <v>3882</v>
      </c>
      <c r="C14" s="9" t="s">
        <v>3875</v>
      </c>
      <c r="D14" s="17" t="n">
        <f aca="false">D11*D10</f>
        <v>0.0793431764868222</v>
      </c>
      <c r="E14" s="17" t="n">
        <f aca="false">E11*E10</f>
        <v>0.761694494273493</v>
      </c>
      <c r="F14" s="17" t="n">
        <f aca="false">F11*F10</f>
        <v>1.21871119083759</v>
      </c>
      <c r="G14" s="17" t="n">
        <f aca="false">G11*G10</f>
        <v>1.70619566717262</v>
      </c>
      <c r="H14" s="17" t="n">
        <f aca="false">H11*H10</f>
        <v>2.21805436732441</v>
      </c>
      <c r="I14" s="17" t="n">
        <f aca="false">I11*I10</f>
        <v>2.66166524078929</v>
      </c>
      <c r="K14" s="2"/>
    </row>
    <row r="15" customFormat="false" ht="15" hidden="false" customHeight="false" outlineLevel="0" collapsed="false">
      <c r="A15" s="9" t="s">
        <v>3883</v>
      </c>
      <c r="B15" s="9" t="s">
        <v>3884</v>
      </c>
      <c r="C15" s="9" t="s">
        <v>3875</v>
      </c>
      <c r="D15" s="17" t="n">
        <f aca="false">SRC_ANT_173-D11</f>
        <v>17.3131364702636</v>
      </c>
      <c r="E15" s="17" t="n">
        <f aca="false">D15*(1+INP_035)</f>
        <v>34.6262729405271</v>
      </c>
      <c r="F15" s="17" t="n">
        <f aca="false">E15*(1+INP_036)</f>
        <v>51.9394094107907</v>
      </c>
      <c r="G15" s="17" t="n">
        <f aca="false">F15*(1+INP_037)</f>
        <v>67.5212322340279</v>
      </c>
      <c r="H15" s="17" t="n">
        <f aca="false">G15*(1+INP_038)</f>
        <v>81.0254786808334</v>
      </c>
      <c r="I15" s="17" t="n">
        <f aca="false">H15*(1+INP_039)</f>
        <v>93.1793004829584</v>
      </c>
      <c r="K15" s="12" t="s">
        <v>3885</v>
      </c>
    </row>
    <row r="16" customFormat="false" ht="15" hidden="false" customHeight="false" outlineLevel="0" collapsed="false">
      <c r="A16" s="9" t="s">
        <v>3886</v>
      </c>
      <c r="B16" s="11" t="s">
        <v>3887</v>
      </c>
      <c r="C16" s="11" t="s">
        <v>269</v>
      </c>
      <c r="D16" s="16" t="n">
        <f aca="false">INP_025</f>
        <v>0.5</v>
      </c>
      <c r="E16" s="16" t="n">
        <f aca="false">INP_027</f>
        <v>0.35</v>
      </c>
      <c r="F16" s="16" t="n">
        <f aca="false">INP_027</f>
        <v>0.35</v>
      </c>
      <c r="G16" s="16" t="n">
        <f aca="false">INP_027</f>
        <v>0.35</v>
      </c>
      <c r="H16" s="16" t="n">
        <f aca="false">INP_027</f>
        <v>0.35</v>
      </c>
      <c r="I16" s="16" t="n">
        <f aca="false">INP_027</f>
        <v>0.35</v>
      </c>
      <c r="K16" s="12" t="s">
        <v>3867</v>
      </c>
    </row>
    <row r="17" customFormat="false" ht="15" hidden="false" customHeight="false" outlineLevel="0" collapsed="false">
      <c r="A17" s="9" t="s">
        <v>3888</v>
      </c>
      <c r="B17" s="11" t="s">
        <v>3889</v>
      </c>
      <c r="C17" s="11" t="s">
        <v>269</v>
      </c>
      <c r="D17" s="16" t="n">
        <f aca="false">INP_026</f>
        <v>0.15</v>
      </c>
      <c r="E17" s="16" t="n">
        <f aca="false">INP_028</f>
        <v>0.2</v>
      </c>
      <c r="F17" s="16" t="n">
        <f aca="false">INP_028</f>
        <v>0.2</v>
      </c>
      <c r="G17" s="16" t="n">
        <f aca="false">INP_028</f>
        <v>0.2</v>
      </c>
      <c r="H17" s="16" t="n">
        <f aca="false">INP_028</f>
        <v>0.2</v>
      </c>
      <c r="I17" s="16" t="n">
        <f aca="false">INP_028</f>
        <v>0.2</v>
      </c>
      <c r="K17" s="12" t="s">
        <v>3867</v>
      </c>
    </row>
    <row r="18" customFormat="false" ht="15" hidden="false" customHeight="false" outlineLevel="0" collapsed="false">
      <c r="A18" s="9" t="s">
        <v>3890</v>
      </c>
      <c r="B18" s="11" t="s">
        <v>3891</v>
      </c>
      <c r="C18" s="11" t="s">
        <v>269</v>
      </c>
      <c r="D18" s="16" t="n">
        <f aca="false">(1-D16-D17)</f>
        <v>0.35</v>
      </c>
      <c r="E18" s="16" t="n">
        <f aca="false">(1-E16-E17)</f>
        <v>0.45</v>
      </c>
      <c r="F18" s="16" t="n">
        <f aca="false">(1-F16-F17)</f>
        <v>0.45</v>
      </c>
      <c r="G18" s="16" t="n">
        <f aca="false">(1-G16-G17)</f>
        <v>0.45</v>
      </c>
      <c r="H18" s="16" t="n">
        <f aca="false">(1-H16-H17)</f>
        <v>0.45</v>
      </c>
      <c r="I18" s="16" t="n">
        <f aca="false">(1-I16-I17)</f>
        <v>0.45</v>
      </c>
      <c r="K18" s="2" t="s">
        <v>3892</v>
      </c>
    </row>
    <row r="19" customFormat="false" ht="15" hidden="false" customHeight="false" outlineLevel="0" collapsed="false">
      <c r="A19" s="9" t="s">
        <v>3893</v>
      </c>
      <c r="B19" s="11" t="s">
        <v>3894</v>
      </c>
      <c r="C19" s="9" t="s">
        <v>3875</v>
      </c>
      <c r="D19" s="17" t="n">
        <f aca="false">Revenue!D44*INP_012/(Revenue!D41*INP_008)</f>
        <v>0.163771712158809</v>
      </c>
      <c r="E19" s="17" t="n">
        <f aca="false">D19*(1+INP_040)</f>
        <v>0.655086848635236</v>
      </c>
      <c r="F19" s="17" t="n">
        <f aca="false">E19*(1+INP_041)</f>
        <v>1.31017369727047</v>
      </c>
      <c r="G19" s="17" t="n">
        <f aca="false">F19*(1+INP_042)</f>
        <v>1.96526054590571</v>
      </c>
      <c r="H19" s="17" t="n">
        <f aca="false">G19*(1+INP_043)</f>
        <v>2.65310173697271</v>
      </c>
      <c r="I19" s="17" t="n">
        <f aca="false">H19*(1+INP_044)</f>
        <v>3.31637717121588</v>
      </c>
      <c r="K19" s="12" t="s">
        <v>3895</v>
      </c>
    </row>
    <row r="20" customFormat="false" ht="15" hidden="false" customHeight="false" outlineLevel="0" collapsed="false">
      <c r="A20" s="9" t="s">
        <v>3896</v>
      </c>
      <c r="B20" s="9" t="s">
        <v>3897</v>
      </c>
      <c r="C20" s="9" t="s">
        <v>3875</v>
      </c>
      <c r="D20" s="17" t="n">
        <f aca="false">D19*D16</f>
        <v>0.0818858560794045</v>
      </c>
      <c r="E20" s="17" t="n">
        <f aca="false">E19*E16</f>
        <v>0.229280397022333</v>
      </c>
      <c r="F20" s="17" t="n">
        <f aca="false">F19*F16</f>
        <v>0.458560794044665</v>
      </c>
      <c r="G20" s="17" t="n">
        <f aca="false">G19*G16</f>
        <v>0.687841191066998</v>
      </c>
      <c r="H20" s="17" t="n">
        <f aca="false">H19*H16</f>
        <v>0.928585607940447</v>
      </c>
      <c r="I20" s="17" t="n">
        <f aca="false">I19*I16</f>
        <v>1.16073200992556</v>
      </c>
      <c r="K20" s="2"/>
    </row>
    <row r="21" customFormat="false" ht="15" hidden="false" customHeight="false" outlineLevel="0" collapsed="false">
      <c r="A21" s="9" t="s">
        <v>3898</v>
      </c>
      <c r="B21" s="9" t="s">
        <v>3899</v>
      </c>
      <c r="C21" s="9" t="s">
        <v>3875</v>
      </c>
      <c r="D21" s="17" t="n">
        <f aca="false">D19*D17</f>
        <v>0.0245657568238214</v>
      </c>
      <c r="E21" s="17" t="n">
        <f aca="false">E19*E17</f>
        <v>0.131017369727047</v>
      </c>
      <c r="F21" s="17" t="n">
        <f aca="false">F19*F17</f>
        <v>0.262034739454095</v>
      </c>
      <c r="G21" s="17" t="n">
        <f aca="false">G19*G17</f>
        <v>0.393052109181142</v>
      </c>
      <c r="H21" s="17" t="n">
        <f aca="false">H19*H17</f>
        <v>0.530620347394541</v>
      </c>
      <c r="I21" s="17" t="n">
        <f aca="false">I19*I17</f>
        <v>0.663275434243177</v>
      </c>
      <c r="K21" s="2"/>
    </row>
    <row r="22" customFormat="false" ht="15" hidden="false" customHeight="false" outlineLevel="0" collapsed="false">
      <c r="A22" s="9" t="s">
        <v>3900</v>
      </c>
      <c r="B22" s="9" t="s">
        <v>3901</v>
      </c>
      <c r="C22" s="9" t="s">
        <v>3875</v>
      </c>
      <c r="D22" s="17" t="n">
        <f aca="false">D19*D18</f>
        <v>0.0573200992555832</v>
      </c>
      <c r="E22" s="17" t="n">
        <f aca="false">E19*E18</f>
        <v>0.294789081885856</v>
      </c>
      <c r="F22" s="17" t="n">
        <f aca="false">F19*F18</f>
        <v>0.589578163771713</v>
      </c>
      <c r="G22" s="17" t="n">
        <f aca="false">G19*G18</f>
        <v>0.884367245657569</v>
      </c>
      <c r="H22" s="17" t="n">
        <f aca="false">H19*H18</f>
        <v>1.19389578163772</v>
      </c>
      <c r="I22" s="17" t="n">
        <f aca="false">I19*I18</f>
        <v>1.49236972704715</v>
      </c>
      <c r="K22" s="2"/>
    </row>
    <row r="23" customFormat="false" ht="15" hidden="false" customHeight="false" outlineLevel="0" collapsed="false">
      <c r="A23" s="15" t="s">
        <v>3902</v>
      </c>
    </row>
    <row r="24" customFormat="false" ht="15" hidden="false" customHeight="false" outlineLevel="0" collapsed="false">
      <c r="A24" s="9" t="s">
        <v>3903</v>
      </c>
      <c r="B24" s="9" t="s">
        <v>3904</v>
      </c>
      <c r="C24" s="11" t="s">
        <v>3218</v>
      </c>
      <c r="D24" s="18" t="n">
        <f aca="false">INP_045</f>
        <v>2</v>
      </c>
      <c r="E24" s="18" t="n">
        <f aca="false">D24*(1+INP_052)</f>
        <v>2.2</v>
      </c>
      <c r="F24" s="18" t="n">
        <f aca="false">E24*(1+INP_052)</f>
        <v>2.42</v>
      </c>
      <c r="G24" s="18" t="n">
        <f aca="false">F24*(1+INP_052)</f>
        <v>2.662</v>
      </c>
      <c r="H24" s="18" t="n">
        <f aca="false">G24*(1+INP_052)</f>
        <v>2.9282</v>
      </c>
      <c r="I24" s="18" t="n">
        <f aca="false">H24*(1+INP_052)</f>
        <v>3.22102</v>
      </c>
      <c r="K24" s="12" t="s">
        <v>3905</v>
      </c>
    </row>
    <row r="25" customFormat="false" ht="15" hidden="false" customHeight="false" outlineLevel="0" collapsed="false">
      <c r="A25" s="9" t="s">
        <v>3906</v>
      </c>
      <c r="B25" s="9" t="s">
        <v>3907</v>
      </c>
      <c r="C25" s="11" t="s">
        <v>3218</v>
      </c>
      <c r="D25" s="18" t="n">
        <f aca="false">INP_046</f>
        <v>8</v>
      </c>
      <c r="E25" s="18" t="n">
        <f aca="false">D25*(1+INP_052)</f>
        <v>8.8</v>
      </c>
      <c r="F25" s="18" t="n">
        <f aca="false">E25*(1+INP_052)</f>
        <v>9.68</v>
      </c>
      <c r="G25" s="18" t="n">
        <f aca="false">F25*(1+INP_052)</f>
        <v>10.648</v>
      </c>
      <c r="H25" s="18" t="n">
        <f aca="false">G25*(1+INP_052)</f>
        <v>11.7128</v>
      </c>
      <c r="I25" s="18" t="n">
        <f aca="false">H25*(1+INP_052)</f>
        <v>12.88408</v>
      </c>
      <c r="K25" s="12" t="s">
        <v>3905</v>
      </c>
    </row>
    <row r="26" customFormat="false" ht="15" hidden="false" customHeight="false" outlineLevel="0" collapsed="false">
      <c r="A26" s="9" t="s">
        <v>3908</v>
      </c>
      <c r="B26" s="9" t="s">
        <v>3909</v>
      </c>
      <c r="C26" s="11" t="s">
        <v>3218</v>
      </c>
      <c r="D26" s="18" t="n">
        <f aca="false">INP_047</f>
        <v>20</v>
      </c>
      <c r="E26" s="18" t="n">
        <f aca="false">D26*(1+INP_052)</f>
        <v>22</v>
      </c>
      <c r="F26" s="18" t="n">
        <f aca="false">E26*(1+INP_052)</f>
        <v>24.2</v>
      </c>
      <c r="G26" s="18" t="n">
        <f aca="false">F26*(1+INP_052)</f>
        <v>26.62</v>
      </c>
      <c r="H26" s="18" t="n">
        <f aca="false">G26*(1+INP_052)</f>
        <v>29.282</v>
      </c>
      <c r="I26" s="18" t="n">
        <f aca="false">H26*(1+INP_052)</f>
        <v>32.2102</v>
      </c>
      <c r="K26" s="12" t="s">
        <v>3905</v>
      </c>
    </row>
    <row r="27" customFormat="false" ht="15" hidden="false" customHeight="false" outlineLevel="0" collapsed="false">
      <c r="A27" s="9" t="s">
        <v>3910</v>
      </c>
      <c r="B27" s="9" t="s">
        <v>3911</v>
      </c>
      <c r="C27" s="11" t="s">
        <v>3218</v>
      </c>
      <c r="D27" s="18" t="n">
        <f aca="false">INP_048</f>
        <v>40</v>
      </c>
      <c r="E27" s="18" t="n">
        <f aca="false">D27*(1+INP_052)</f>
        <v>44</v>
      </c>
      <c r="F27" s="18" t="n">
        <f aca="false">E27*(1+INP_052)</f>
        <v>48.4</v>
      </c>
      <c r="G27" s="18" t="n">
        <f aca="false">F27*(1+INP_052)</f>
        <v>53.24</v>
      </c>
      <c r="H27" s="18" t="n">
        <f aca="false">G27*(1+INP_052)</f>
        <v>58.564</v>
      </c>
      <c r="I27" s="18" t="n">
        <f aca="false">H27*(1+INP_052)</f>
        <v>64.4204</v>
      </c>
      <c r="K27" s="12" t="s">
        <v>3905</v>
      </c>
    </row>
    <row r="28" customFormat="false" ht="15" hidden="false" customHeight="false" outlineLevel="0" collapsed="false">
      <c r="A28" s="9" t="s">
        <v>3912</v>
      </c>
      <c r="B28" s="9" t="s">
        <v>3913</v>
      </c>
      <c r="C28" s="11" t="s">
        <v>3218</v>
      </c>
      <c r="D28" s="18" t="n">
        <f aca="false">INP_049</f>
        <v>6</v>
      </c>
      <c r="E28" s="18" t="n">
        <f aca="false">D28*(1+INP_052)</f>
        <v>6.6</v>
      </c>
      <c r="F28" s="18" t="n">
        <f aca="false">E28*(1+INP_052)</f>
        <v>7.26</v>
      </c>
      <c r="G28" s="18" t="n">
        <f aca="false">F28*(1+INP_052)</f>
        <v>7.986</v>
      </c>
      <c r="H28" s="18" t="n">
        <f aca="false">G28*(1+INP_052)</f>
        <v>8.7846</v>
      </c>
      <c r="I28" s="18" t="n">
        <f aca="false">H28*(1+INP_052)</f>
        <v>9.66306</v>
      </c>
      <c r="K28" s="12" t="s">
        <v>3905</v>
      </c>
    </row>
    <row r="29" customFormat="false" ht="15" hidden="false" customHeight="false" outlineLevel="0" collapsed="false">
      <c r="A29" s="9" t="s">
        <v>3914</v>
      </c>
      <c r="B29" s="9" t="s">
        <v>3915</v>
      </c>
      <c r="C29" s="11" t="s">
        <v>3218</v>
      </c>
      <c r="D29" s="18" t="n">
        <f aca="false">INP_050</f>
        <v>15</v>
      </c>
      <c r="E29" s="18" t="n">
        <f aca="false">D29*(1+INP_052)</f>
        <v>16.5</v>
      </c>
      <c r="F29" s="18" t="n">
        <f aca="false">E29*(1+INP_052)</f>
        <v>18.15</v>
      </c>
      <c r="G29" s="18" t="n">
        <f aca="false">F29*(1+INP_052)</f>
        <v>19.965</v>
      </c>
      <c r="H29" s="18" t="n">
        <f aca="false">G29*(1+INP_052)</f>
        <v>21.9615</v>
      </c>
      <c r="I29" s="18" t="n">
        <f aca="false">H29*(1+INP_052)</f>
        <v>24.15765</v>
      </c>
      <c r="K29" s="12" t="s">
        <v>3905</v>
      </c>
    </row>
    <row r="30" customFormat="false" ht="15" hidden="false" customHeight="false" outlineLevel="0" collapsed="false">
      <c r="A30" s="9" t="s">
        <v>3916</v>
      </c>
      <c r="B30" s="9" t="s">
        <v>3917</v>
      </c>
      <c r="C30" s="11" t="s">
        <v>3218</v>
      </c>
      <c r="D30" s="18" t="n">
        <f aca="false">INP_051</f>
        <v>8</v>
      </c>
      <c r="E30" s="18" t="n">
        <f aca="false">D30*(1+INP_052)</f>
        <v>8.8</v>
      </c>
      <c r="F30" s="18" t="n">
        <f aca="false">E30*(1+INP_052)</f>
        <v>9.68</v>
      </c>
      <c r="G30" s="18" t="n">
        <f aca="false">F30*(1+INP_052)</f>
        <v>10.648</v>
      </c>
      <c r="H30" s="18" t="n">
        <f aca="false">G30*(1+INP_052)</f>
        <v>11.7128</v>
      </c>
      <c r="I30" s="18" t="n">
        <f aca="false">H30*(1+INP_052)</f>
        <v>12.88408</v>
      </c>
      <c r="K30" s="12" t="s">
        <v>3905</v>
      </c>
    </row>
    <row r="31" customFormat="false" ht="15" hidden="false" customHeight="false" outlineLevel="0" collapsed="false">
      <c r="A31" s="9" t="s">
        <v>3918</v>
      </c>
      <c r="B31" s="11" t="s">
        <v>3919</v>
      </c>
      <c r="C31" s="9" t="s">
        <v>3404</v>
      </c>
      <c r="D31" s="19" t="n">
        <f aca="false">(SUMIFS(TK_IF_TaskTokFresh,TK_IF_HdrTask,INP_102)+SUMIFS(TK_IF_TaskTokCached,TK_IF_HdrTask,INP_102)+SUMIFS(TK_IF_TaskTokDec,TK_IF_HdrTask,INP_102))/INP_108*INP_105</f>
        <v>3</v>
      </c>
      <c r="E31" s="19" t="n">
        <f aca="false">D31*(1+INP_070)</f>
        <v>3.45</v>
      </c>
      <c r="F31" s="19" t="n">
        <f aca="false">E31*(1+INP_070)</f>
        <v>3.9675</v>
      </c>
      <c r="G31" s="19" t="n">
        <f aca="false">F31*(1+INP_070)</f>
        <v>4.562625</v>
      </c>
      <c r="H31" s="19" t="n">
        <f aca="false">G31*(1+INP_070)</f>
        <v>5.24701875</v>
      </c>
      <c r="I31" s="19" t="n">
        <f aca="false">H31*(1+INP_070)</f>
        <v>6.0340715625</v>
      </c>
      <c r="K31" s="12" t="s">
        <v>3920</v>
      </c>
    </row>
    <row r="32" customFormat="false" ht="15" hidden="false" customHeight="false" outlineLevel="0" collapsed="false">
      <c r="A32" s="9" t="s">
        <v>3921</v>
      </c>
      <c r="B32" s="11" t="s">
        <v>3922</v>
      </c>
      <c r="C32" s="9" t="s">
        <v>3404</v>
      </c>
      <c r="D32" s="19" t="n">
        <f aca="false">(SUMIFS(TK_IF_TaskTokFresh,TK_IF_HdrTask,INP_103)+SUMIFS(TK_IF_TaskTokCached,TK_IF_HdrTask,INP_103)+SUMIFS(TK_IF_TaskTokDec,TK_IF_HdrTask,INP_103))/INP_108*INP_106</f>
        <v>224.1</v>
      </c>
      <c r="E32" s="19" t="n">
        <f aca="false">D32*(1+INP_070)</f>
        <v>257.715</v>
      </c>
      <c r="F32" s="19" t="n">
        <f aca="false">E32*(1+INP_070)</f>
        <v>296.37225</v>
      </c>
      <c r="G32" s="19" t="n">
        <f aca="false">F32*(1+INP_070)</f>
        <v>340.8280875</v>
      </c>
      <c r="H32" s="19" t="n">
        <f aca="false">G32*(1+INP_070)</f>
        <v>391.952300625</v>
      </c>
      <c r="I32" s="19" t="n">
        <f aca="false">H32*(1+INP_070)</f>
        <v>450.74514571875</v>
      </c>
      <c r="K32" s="12" t="s">
        <v>3920</v>
      </c>
    </row>
    <row r="33" customFormat="false" ht="15" hidden="false" customHeight="false" outlineLevel="0" collapsed="false">
      <c r="A33" s="9" t="s">
        <v>3923</v>
      </c>
      <c r="B33" s="11" t="s">
        <v>3924</v>
      </c>
      <c r="C33" s="9" t="s">
        <v>3404</v>
      </c>
      <c r="D33" s="19" t="n">
        <f aca="false">(SUMIFS(TK_IF_TaskTokFresh,TK_IF_HdrTask,INP_104)+SUMIFS(TK_IF_TaskTokCached,TK_IF_HdrTask,INP_104)+SUMIFS(TK_IF_TaskTokDec,TK_IF_HdrTask,INP_104))/INP_108*INP_107</f>
        <v>27.6</v>
      </c>
      <c r="E33" s="19" t="n">
        <f aca="false">D33*(1+INP_070)</f>
        <v>31.74</v>
      </c>
      <c r="F33" s="19" t="n">
        <f aca="false">E33*(1+INP_070)</f>
        <v>36.501</v>
      </c>
      <c r="G33" s="19" t="n">
        <f aca="false">F33*(1+INP_070)</f>
        <v>41.97615</v>
      </c>
      <c r="H33" s="19" t="n">
        <f aca="false">G33*(1+INP_070)</f>
        <v>48.2725725</v>
      </c>
      <c r="I33" s="19" t="n">
        <f aca="false">H33*(1+INP_070)</f>
        <v>55.513458375</v>
      </c>
      <c r="K33" s="12" t="s">
        <v>3920</v>
      </c>
    </row>
    <row r="34" customFormat="false" ht="15" hidden="false" customHeight="false" outlineLevel="0" collapsed="false">
      <c r="A34" s="9" t="s">
        <v>3925</v>
      </c>
      <c r="B34" s="9" t="s">
        <v>3926</v>
      </c>
      <c r="C34" s="9" t="s">
        <v>2956</v>
      </c>
      <c r="D34" s="20" t="n">
        <f aca="false">D15*D24*(INP_053*D31+INP_054*D32+(1-INP_053-INP_054)*D33)*INP_007/INP_013</f>
        <v>53.4612341065268</v>
      </c>
      <c r="E34" s="20" t="n">
        <f aca="false">E15*E24*(INP_053*E31+INP_054*E32+(1-INP_053-INP_054)*E33)*INP_007/INP_013</f>
        <v>135.256922289513</v>
      </c>
      <c r="F34" s="20" t="n">
        <f aca="false">F15*F24*(INP_053*F31+INP_054*F32+(1-INP_053-INP_054)*F33)*INP_007/INP_013</f>
        <v>256.650010044351</v>
      </c>
      <c r="G34" s="20" t="n">
        <f aca="false">G15*G24*(INP_053*G31+INP_054*G32+(1-INP_053-INP_054)*G33)*INP_007/INP_013</f>
        <v>422.060941517935</v>
      </c>
      <c r="H34" s="20" t="n">
        <f aca="false">H15*H24*(INP_053*H31+INP_054*H32+(1-INP_053-INP_054)*H33)*INP_007/INP_013</f>
        <v>640.688509224225</v>
      </c>
      <c r="I34" s="20" t="n">
        <f aca="false">I15*I24*(INP_053*I31+INP_054*I32+(1-INP_053-INP_054)*I33)*INP_007/INP_013</f>
        <v>932.041608793941</v>
      </c>
      <c r="K34" s="2" t="s">
        <v>3927</v>
      </c>
    </row>
    <row r="35" customFormat="false" ht="15" hidden="false" customHeight="false" outlineLevel="0" collapsed="false">
      <c r="A35" s="9" t="s">
        <v>3928</v>
      </c>
      <c r="B35" s="9" t="s">
        <v>3929</v>
      </c>
      <c r="C35" s="9" t="s">
        <v>2956</v>
      </c>
      <c r="D35" s="20" t="n">
        <f aca="false">D12*D25*(INP_055*D31+INP_056*D32+(1-INP_055-INP_056)*D33)*INP_007/INP_013</f>
        <v>239.210584379743</v>
      </c>
      <c r="E35" s="20" t="n">
        <f aca="false">E12*E25*(INP_055*E31+INP_056*E32+(1-INP_055-INP_056)*E33)*INP_007/INP_013</f>
        <v>996.804576321236</v>
      </c>
      <c r="F35" s="20" t="n">
        <f aca="false">F12*F25*(INP_055*F31+INP_056*F32+(1-INP_055-INP_056)*F33)*INP_007/INP_013</f>
        <v>2017.53246247418</v>
      </c>
      <c r="G35" s="20" t="n">
        <f aca="false">G12*G25*(INP_055*G31+INP_056*G32+(1-INP_055-INP_056)*G33)*INP_007/INP_013</f>
        <v>3573.04999104178</v>
      </c>
      <c r="H35" s="20" t="n">
        <f aca="false">H12*H25*(INP_055*H31+INP_056*H32+(1-INP_055-INP_056)*H33)*INP_007/INP_013</f>
        <v>5875.8807102682</v>
      </c>
      <c r="I35" s="20" t="n">
        <f aca="false">I12*I25*(INP_055*I31+INP_056*I32+(1-INP_055-INP_056)*I33)*INP_007/INP_013</f>
        <v>8919.58691818713</v>
      </c>
      <c r="K35" s="2" t="s">
        <v>3927</v>
      </c>
    </row>
    <row r="36" customFormat="false" ht="15" hidden="false" customHeight="false" outlineLevel="0" collapsed="false">
      <c r="A36" s="9" t="s">
        <v>3930</v>
      </c>
      <c r="B36" s="9" t="s">
        <v>3931</v>
      </c>
      <c r="C36" s="9" t="s">
        <v>2956</v>
      </c>
      <c r="D36" s="20" t="n">
        <f aca="false">D13*D26*(INP_057*D31+INP_058*D32+(1-INP_057-INP_058)*D33)*INP_007/INP_013</f>
        <v>159.999641230854</v>
      </c>
      <c r="E36" s="20" t="n">
        <f aca="false">E13*E26*(INP_057*E31+INP_058*E32+(1-INP_057-INP_058)*E33)*INP_007/INP_013</f>
        <v>1457.27673233062</v>
      </c>
      <c r="F36" s="20" t="n">
        <f aca="false">F13*F26*(INP_057*F31+INP_058*F32+(1-INP_057-INP_058)*F33)*INP_007/INP_013</f>
        <v>2949.52810623717</v>
      </c>
      <c r="G36" s="20" t="n">
        <f aca="false">G13*G26*(INP_057*G31+INP_058*G32+(1-INP_057-INP_058)*G33)*INP_007/INP_013</f>
        <v>5223.61427614604</v>
      </c>
      <c r="H36" s="20" t="n">
        <f aca="false">H13*H26*(INP_057*H31+INP_058*H32+(1-INP_057-INP_058)*H33)*INP_007/INP_013</f>
        <v>8590.23367712215</v>
      </c>
      <c r="I36" s="20" t="n">
        <f aca="false">I13*I26*(INP_057*I31+INP_058*I32+(1-INP_057-INP_058)*I33)*INP_007/INP_013</f>
        <v>13039.9747218714</v>
      </c>
      <c r="K36" s="2" t="s">
        <v>3927</v>
      </c>
    </row>
    <row r="37" customFormat="false" ht="15" hidden="false" customHeight="false" outlineLevel="0" collapsed="false">
      <c r="A37" s="9" t="s">
        <v>3932</v>
      </c>
      <c r="B37" s="9" t="s">
        <v>3933</v>
      </c>
      <c r="C37" s="9" t="s">
        <v>2956</v>
      </c>
      <c r="D37" s="20" t="n">
        <f aca="false">D14*D27*(INP_059*D31+INP_060*D32+(1-INP_059-INP_060)*D33)*INP_007/INP_013</f>
        <v>185.612094659859</v>
      </c>
      <c r="E37" s="20" t="n">
        <f aca="false">E14*E27*(INP_059*E31+INP_060*E32+(1-INP_059-INP_060)*E33)*INP_007/INP_013</f>
        <v>2254.07327754933</v>
      </c>
      <c r="F37" s="20" t="n">
        <f aca="false">F14*F27*(INP_059*F31+INP_060*F32+(1-INP_059-INP_060)*F33)*INP_007/INP_013</f>
        <v>4562.24431375985</v>
      </c>
      <c r="G37" s="20" t="n">
        <f aca="false">G14*G27*(INP_059*G31+INP_060*G32+(1-INP_059-INP_060)*G33)*INP_007/INP_013</f>
        <v>8079.73467966869</v>
      </c>
      <c r="H37" s="20" t="n">
        <f aca="false">H14*H27*(INP_059*H31+INP_060*H32+(1-INP_059-INP_060)*H33)*INP_007/INP_013</f>
        <v>13287.1236807152</v>
      </c>
      <c r="I37" s="20" t="n">
        <f aca="false">I14*I27*(INP_059*I31+INP_060*I32+(1-INP_059-INP_060)*I33)*INP_007/INP_013</f>
        <v>20169.8537473256</v>
      </c>
      <c r="K37" s="2" t="s">
        <v>3927</v>
      </c>
    </row>
    <row r="38" customFormat="false" ht="15" hidden="false" customHeight="false" outlineLevel="0" collapsed="false">
      <c r="A38" s="9" t="s">
        <v>3934</v>
      </c>
      <c r="B38" s="9" t="s">
        <v>3935</v>
      </c>
      <c r="C38" s="9" t="s">
        <v>2956</v>
      </c>
      <c r="D38" s="20" t="n">
        <f aca="false">D20*D28*(INP_061*D31+INP_062*D32+(1-INP_061-INP_062)*D33)*INP_007/INP_013</f>
        <v>6.92662220843673</v>
      </c>
      <c r="E38" s="20" t="n">
        <f aca="false">E20*E28*(INP_061*E31+INP_062*E32+(1-INP_061-INP_062)*E33)*INP_007/INP_013</f>
        <v>24.5340958622829</v>
      </c>
      <c r="F38" s="20" t="n">
        <f aca="false">F20*F28*(INP_061*F31+INP_062*F32+(1-INP_061-INP_062)*F33)*INP_007/INP_013</f>
        <v>62.0712625315757</v>
      </c>
      <c r="G38" s="20" t="n">
        <f aca="false">G20*G28*(INP_061*G31+INP_062*G32+(1-INP_061-INP_062)*G33)*INP_007/INP_013</f>
        <v>117.780220653665</v>
      </c>
      <c r="H38" s="20" t="n">
        <f aca="false">H20*H28*(INP_061*H31+INP_062*H32+(1-INP_061-INP_062)*H33)*INP_007/INP_013</f>
        <v>201.139171821296</v>
      </c>
      <c r="I38" s="20" t="n">
        <f aca="false">I20*I28*(INP_061*I31+INP_062*I32+(1-INP_061-INP_062)*I33)*INP_007/INP_013</f>
        <v>318.051315442425</v>
      </c>
      <c r="K38" s="2" t="s">
        <v>3927</v>
      </c>
    </row>
    <row r="39" customFormat="false" ht="15" hidden="false" customHeight="false" outlineLevel="0" collapsed="false">
      <c r="A39" s="9" t="s">
        <v>3936</v>
      </c>
      <c r="B39" s="9" t="s">
        <v>3937</v>
      </c>
      <c r="C39" s="9" t="s">
        <v>2956</v>
      </c>
      <c r="D39" s="20" t="n">
        <f aca="false">D21*D29*(INP_063*D31+INP_064*D32+(1-INP_063-INP_064)*D33)*INP_007/INP_013</f>
        <v>18.5767972704715</v>
      </c>
      <c r="E39" s="20" t="n">
        <f aca="false">E21*E29*(INP_063*E31+INP_064*E32+(1-INP_063-INP_064)*E33)*INP_007/INP_013</f>
        <v>125.331458918114</v>
      </c>
      <c r="F39" s="20" t="n">
        <f aca="false">F21*F29*(INP_063*F31+INP_064*F32+(1-INP_063-INP_064)*F33)*INP_007/INP_013</f>
        <v>317.088591062829</v>
      </c>
      <c r="G39" s="20" t="n">
        <f aca="false">G21*G29*(INP_063*G31+INP_064*G32+(1-INP_063-INP_064)*G33)*INP_007/INP_013</f>
        <v>601.675601541718</v>
      </c>
      <c r="H39" s="20" t="n">
        <f aca="false">H21*H29*(INP_063*H31+INP_064*H32+(1-INP_063-INP_064)*H33)*INP_007/INP_013</f>
        <v>1027.51150853287</v>
      </c>
      <c r="I39" s="20" t="n">
        <f aca="false">I21*I29*(INP_063*I31+INP_064*I32+(1-INP_063-INP_064)*I33)*INP_007/INP_013</f>
        <v>1624.7525728676</v>
      </c>
      <c r="K39" s="2" t="s">
        <v>3927</v>
      </c>
    </row>
    <row r="40" customFormat="false" ht="15" hidden="false" customHeight="false" outlineLevel="0" collapsed="false">
      <c r="A40" s="9" t="s">
        <v>3938</v>
      </c>
      <c r="B40" s="9" t="s">
        <v>3939</v>
      </c>
      <c r="C40" s="9" t="s">
        <v>2956</v>
      </c>
      <c r="D40" s="20" t="n">
        <f aca="false">D22*D30*(INP_065*D31+INP_066*D32+(1-INP_065-INP_066)*D33)*INP_007/INP_013</f>
        <v>12.2216998511166</v>
      </c>
      <c r="E40" s="20" t="n">
        <f aca="false">E22*E30*(INP_065*E31+INP_066*E32+(1-INP_065-INP_066)*E33)*INP_007/INP_013</f>
        <v>79.5108873171217</v>
      </c>
      <c r="F40" s="20" t="n">
        <f aca="false">F22*F30*(INP_065*F31+INP_066*F32+(1-INP_065-INP_066)*F33)*INP_007/INP_013</f>
        <v>201.162544912318</v>
      </c>
      <c r="G40" s="20" t="n">
        <f aca="false">G22*G30*(INP_065*G31+INP_066*G32+(1-INP_065-INP_066)*G33)*INP_007/INP_013</f>
        <v>381.705928971123</v>
      </c>
      <c r="H40" s="20" t="n">
        <f aca="false">H22*H30*(INP_065*H31+INP_066*H32+(1-INP_065-INP_066)*H33)*INP_007/INP_013</f>
        <v>651.858300200436</v>
      </c>
      <c r="I40" s="20" t="n">
        <f aca="false">I22*I30*(INP_065*I31+INP_066*I32+(1-INP_065-INP_066)*I33)*INP_007/INP_013</f>
        <v>1030.75093719194</v>
      </c>
      <c r="K40" s="2" t="s">
        <v>3927</v>
      </c>
    </row>
    <row r="41" customFormat="false" ht="15" hidden="false" customHeight="false" outlineLevel="0" collapsed="false">
      <c r="A41" s="9" t="s">
        <v>3940</v>
      </c>
      <c r="B41" s="11" t="s">
        <v>3941</v>
      </c>
      <c r="C41" s="9" t="s">
        <v>2956</v>
      </c>
      <c r="D41" s="20" t="n">
        <f aca="false">D34+D35+D36+D37+D38+D39+D40</f>
        <v>676.008673707009</v>
      </c>
      <c r="E41" s="20" t="n">
        <f aca="false">E34+E35+E36+E37+E38+E39+E40</f>
        <v>5072.78795058822</v>
      </c>
      <c r="F41" s="20" t="n">
        <f aca="false">F34+F35+F36+F37+F38+F39+F40</f>
        <v>10366.2772910223</v>
      </c>
      <c r="G41" s="20" t="n">
        <f aca="false">G34+G35+G36+G37+G38+G39+G40</f>
        <v>18399.6216395409</v>
      </c>
      <c r="H41" s="20" t="n">
        <f aca="false">H34+H35+H36+H37+H38+H39+H40</f>
        <v>30274.4355578843</v>
      </c>
      <c r="I41" s="20" t="n">
        <f aca="false">I34+I35+I36+I37+I38+I39+I40</f>
        <v>46035.0118216801</v>
      </c>
      <c r="K41" s="2"/>
    </row>
    <row r="42" customFormat="false" ht="15" hidden="false" customHeight="false" outlineLevel="0" collapsed="false">
      <c r="A42" s="9" t="s">
        <v>3942</v>
      </c>
      <c r="B42" s="11" t="s">
        <v>3943</v>
      </c>
      <c r="C42" s="9" t="s">
        <v>2956</v>
      </c>
      <c r="D42" s="20" t="n">
        <f aca="false">(D12*D25*INP_055+D13*D26*INP_057+D14*D27*INP_059+D20*D28*INP_061+D21*D29*INP_063+D22*D30*INP_065)*D31*INP_007/INP_013</f>
        <v>10.2185849234269</v>
      </c>
      <c r="E42" s="20" t="n">
        <f aca="false">(E12*E25*INP_055+E13*E26*INP_057+E14*E27*INP_059+E20*E28*INP_061+E21*E29*INP_063+E22*E30*INP_065)*E31*INP_007/INP_013</f>
        <v>53.9829726506791</v>
      </c>
      <c r="F42" s="20" t="n">
        <f aca="false">(F12*F25*INP_055+F13*F26*INP_057+F14*F27*INP_059+F20*F28*INP_061+F21*F29*INP_063+F22*F30*INP_065)*F31*INP_007/INP_013</f>
        <v>111.307047321466</v>
      </c>
      <c r="G42" s="20" t="n">
        <f aca="false">(G12*G25*INP_055+G13*G26*INP_057+G14*G27*INP_059+G20*G28*INP_061+G21*G29*INP_063+G22*G30*INP_065)*G31*INP_007/INP_013</f>
        <v>198.418566309197</v>
      </c>
      <c r="H42" s="20" t="n">
        <f aca="false">(H12*H25*INP_055+H13*H26*INP_057+H14*H27*INP_059+H20*H28*INP_061+H21*H29*INP_063+H22*H30*INP_065)*H31*INP_007/INP_013</f>
        <v>327.526811291332</v>
      </c>
      <c r="I42" s="20" t="n">
        <f aca="false">(I12*I25*INP_055+I13*I26*INP_057+I14*I27*INP_059+I20*I28*INP_061+I21*I29*INP_063+I22*I30*INP_065)*I31*INP_007/INP_013</f>
        <v>499.281926795419</v>
      </c>
      <c r="K42" s="12" t="s">
        <v>3944</v>
      </c>
    </row>
    <row r="43" customFormat="false" ht="15" hidden="false" customHeight="false" outlineLevel="0" collapsed="false">
      <c r="A43" s="9" t="s">
        <v>3945</v>
      </c>
      <c r="B43" s="11" t="s">
        <v>3946</v>
      </c>
      <c r="C43" s="9" t="s">
        <v>2956</v>
      </c>
      <c r="D43" s="20" t="n">
        <f aca="false">(D12*D25*INP_056+D13*D26*INP_058+D14*D27*INP_060+D20*D28*INP_062+D21*D29*INP_064+D22*D30*INP_066)*D32*INP_007/INP_013</f>
        <v>593.504811186873</v>
      </c>
      <c r="E43" s="20" t="n">
        <f aca="false">(E12*E25*INP_056+E13*E26*INP_058+E14*E27*INP_060+E20*E28*INP_062+E21*E29*INP_064+E22*E30*INP_066)*E32*INP_007/INP_013</f>
        <v>4761.5372040685</v>
      </c>
      <c r="F43" s="20" t="n">
        <f aca="false">(F12*F25*INP_056+F13*F26*INP_058+F14*F27*INP_060+F20*F28*INP_062+F21*F29*INP_064+F22*F30*INP_066)*F32*INP_007/INP_013</f>
        <v>9746.93488663977</v>
      </c>
      <c r="G43" s="20" t="n">
        <f aca="false">(G12*G25*INP_056+G13*G26*INP_058+G14*G27*INP_060+G20*G28*INP_062+G21*G29*INP_064+G22*G30*INP_066)*G32*INP_007/INP_013</f>
        <v>17331.1333021343</v>
      </c>
      <c r="H43" s="20" t="n">
        <f aca="false">(H12*H25*INP_056+H13*H26*INP_058+H14*H27*INP_060+H20*H28*INP_062+H21*H29*INP_064+H22*H30*INP_066)*H32*INP_007/INP_013</f>
        <v>28566.8081128379</v>
      </c>
      <c r="I43" s="20" t="n">
        <f aca="false">(I12*I25*INP_056+I13*I26*INP_058+I14*I27*INP_060+I20*I28*INP_062+I21*I29*INP_064+I22*I30*INP_066)*I32*INP_007/INP_013</f>
        <v>43476.7153263312</v>
      </c>
      <c r="K43" s="12" t="s">
        <v>3944</v>
      </c>
    </row>
    <row r="44" customFormat="false" ht="15" hidden="false" customHeight="false" outlineLevel="0" collapsed="false">
      <c r="A44" s="9" t="s">
        <v>3947</v>
      </c>
      <c r="B44" s="11" t="s">
        <v>3948</v>
      </c>
      <c r="C44" s="9" t="s">
        <v>2956</v>
      </c>
      <c r="D44" s="20" t="n">
        <f aca="false">(D12*D25*(1-INP_055-INP_056)+D13*D26*(1-INP_057-INP_058)+D14*D27*(1-INP_059-INP_060)+D20*D28*(1-INP_061-INP_062)+D21*D29*(1-INP_063-INP_064)+D22*D30*(1-INP_065-INP_066))*D33*INP_007/INP_013</f>
        <v>18.8240434901821</v>
      </c>
      <c r="E44" s="20" t="n">
        <f aca="false">(E12*E25*(1-INP_055-INP_056)+E13*E26*(1-INP_057-INP_058)+E14*E27*(1-INP_059-INP_060)+E20*E28*(1-INP_061-INP_062)+E21*E29*(1-INP_063-INP_064)+E22*E30*(1-INP_065-INP_066))*E33*INP_007/INP_013</f>
        <v>122.010851579527</v>
      </c>
      <c r="F44" s="20" t="n">
        <f aca="false">(F12*F25*(1-INP_055-INP_056)+F13*F26*(1-INP_057-INP_058)+F14*F27*(1-INP_059-INP_060)+F20*F28*(1-INP_061-INP_062)+F21*F29*(1-INP_063-INP_064)+F22*F30*(1-INP_065-INP_066))*F33*INP_007/INP_013</f>
        <v>251.385347016695</v>
      </c>
      <c r="G44" s="20" t="n">
        <f aca="false">(G12*G25*(1-INP_055-INP_056)+G13*G26*(1-INP_057-INP_058)+G14*G27*(1-INP_059-INP_060)+G20*G28*(1-INP_061-INP_062)+G21*G29*(1-INP_063-INP_064)+G22*G30*(1-INP_065-INP_066))*G33*INP_007/INP_013</f>
        <v>448.008829579548</v>
      </c>
      <c r="H44" s="20" t="n">
        <f aca="false">(H12*H25*(1-INP_055-INP_056)+H13*H26*(1-INP_057-INP_058)+H14*H27*(1-INP_059-INP_060)+H20*H28*(1-INP_061-INP_062)+H21*H29*(1-INP_063-INP_064)+H22*H30*(1-INP_065-INP_066))*H33*INP_007/INP_013</f>
        <v>739.412124530882</v>
      </c>
      <c r="I44" s="20" t="n">
        <f aca="false">(I12*I25*(1-INP_055-INP_056)+I13*I26*(1-INP_057-INP_058)+I14*I27*(1-INP_059-INP_060)+I20*I28*(1-INP_061-INP_062)+I21*I29*(1-INP_063-INP_064)+I22*I30*(1-INP_065-INP_066))*I33*INP_007/INP_013</f>
        <v>1126.97295975954</v>
      </c>
      <c r="K44" s="12" t="s">
        <v>3944</v>
      </c>
    </row>
    <row r="45" customFormat="false" ht="15" hidden="false" customHeight="false" outlineLevel="0" collapsed="false">
      <c r="A45" s="9" t="s">
        <v>3949</v>
      </c>
      <c r="B45" s="9" t="s">
        <v>3950</v>
      </c>
      <c r="C45" s="9" t="s">
        <v>2956</v>
      </c>
      <c r="D45" s="20" t="n">
        <f aca="false">D15*D24*INP_053*D31*INP_007/INP_013</f>
        <v>36.0199804263833</v>
      </c>
      <c r="E45" s="20" t="n">
        <f aca="false">E15*E24*INP_053*E31*INP_007/INP_013</f>
        <v>91.1305504787498</v>
      </c>
      <c r="F45" s="20" t="n">
        <f aca="false">F15*F24*INP_053*F31*INP_007/INP_013</f>
        <v>172.920219533428</v>
      </c>
      <c r="G45" s="20" t="n">
        <f aca="false">G15*G24*INP_053*G31*INP_007/INP_013</f>
        <v>284.367301022722</v>
      </c>
      <c r="H45" s="20" t="n">
        <f aca="false">H15*H24*INP_053*H31*INP_007/INP_013</f>
        <v>431.669562952492</v>
      </c>
      <c r="I45" s="20" t="n">
        <f aca="false">I15*I24*INP_053*I31*INP_007/INP_013</f>
        <v>627.971296705138</v>
      </c>
      <c r="K45" s="2"/>
    </row>
    <row r="46" customFormat="false" ht="15" hidden="false" customHeight="false" outlineLevel="0" collapsed="false">
      <c r="A46" s="9" t="s">
        <v>3951</v>
      </c>
      <c r="B46" s="9" t="s">
        <v>3952</v>
      </c>
      <c r="C46" s="9" t="s">
        <v>2956</v>
      </c>
      <c r="D46" s="20" t="n">
        <f aca="false">D15*D24*INP_054*D32*INP_007/INP_013</f>
        <v>0</v>
      </c>
      <c r="E46" s="20" t="n">
        <f aca="false">E15*E24*INP_054*E32*INP_007/INP_013</f>
        <v>0</v>
      </c>
      <c r="F46" s="20" t="n">
        <f aca="false">F15*F24*INP_054*F32*INP_007/INP_013</f>
        <v>0</v>
      </c>
      <c r="G46" s="20" t="n">
        <f aca="false">G15*G24*INP_054*G32*INP_007/INP_013</f>
        <v>0</v>
      </c>
      <c r="H46" s="20" t="n">
        <f aca="false">H15*H24*INP_054*H32*INP_007/INP_013</f>
        <v>0</v>
      </c>
      <c r="I46" s="20" t="n">
        <f aca="false">I15*I24*INP_054*I32*INP_007/INP_013</f>
        <v>0</v>
      </c>
      <c r="K46" s="2"/>
    </row>
    <row r="47" customFormat="false" ht="15" hidden="false" customHeight="false" outlineLevel="0" collapsed="false">
      <c r="A47" s="9" t="s">
        <v>3953</v>
      </c>
      <c r="B47" s="9" t="s">
        <v>3954</v>
      </c>
      <c r="C47" s="9" t="s">
        <v>2956</v>
      </c>
      <c r="D47" s="20" t="n">
        <f aca="false">D15*D24*(1-INP_053-INP_054)*D33*INP_007/INP_013</f>
        <v>17.4412536801435</v>
      </c>
      <c r="E47" s="20" t="n">
        <f aca="false">E15*E24*(1-INP_053-INP_054)*E33*INP_007/INP_013</f>
        <v>44.1263718107631</v>
      </c>
      <c r="F47" s="20" t="n">
        <f aca="false">F15*F24*(1-INP_053-INP_054)*F33*INP_007/INP_013</f>
        <v>83.729790510923</v>
      </c>
      <c r="G47" s="20" t="n">
        <f aca="false">G15*G24*(1-INP_053-INP_054)*G33*INP_007/INP_013</f>
        <v>137.693640495213</v>
      </c>
      <c r="H47" s="20" t="n">
        <f aca="false">H15*H24*(1-INP_053-INP_054)*H33*INP_007/INP_013</f>
        <v>209.018946271733</v>
      </c>
      <c r="I47" s="20" t="n">
        <f aca="false">I15*I24*(1-INP_053-INP_054)*I33*INP_007/INP_013</f>
        <v>304.070312088804</v>
      </c>
      <c r="K47" s="2"/>
    </row>
    <row r="48" customFormat="false" ht="15" hidden="false" customHeight="false" outlineLevel="0" collapsed="false">
      <c r="A48" s="9" t="s">
        <v>3955</v>
      </c>
      <c r="B48" s="11" t="s">
        <v>3956</v>
      </c>
      <c r="C48" s="11" t="s">
        <v>269</v>
      </c>
      <c r="D48" s="16" t="n">
        <f aca="false">((D42+D45+D43+D46+D44+D47)-D41)/D41</f>
        <v>0</v>
      </c>
      <c r="E48" s="16" t="n">
        <f aca="false">((E42+E45+E43+E46+E44+E47)-E41)/E41</f>
        <v>0</v>
      </c>
      <c r="F48" s="16" t="n">
        <f aca="false">((F42+F45+F43+F46+F44+F47)-F41)/F41</f>
        <v>0</v>
      </c>
      <c r="G48" s="16" t="n">
        <f aca="false">((G42+G45+G43+G46+G44+G47)-G41)/G41</f>
        <v>0</v>
      </c>
      <c r="H48" s="16" t="n">
        <f aca="false">((H42+H45+H43+H46+H44+H47)-H41)/H41</f>
        <v>0</v>
      </c>
      <c r="I48" s="16" t="n">
        <f aca="false">((I42+I45+I43+I46+I44+I47)-I41)/I41</f>
        <v>0</v>
      </c>
      <c r="K48" s="2" t="s">
        <v>3957</v>
      </c>
    </row>
    <row r="49" customFormat="false" ht="15" hidden="false" customHeight="false" outlineLevel="0" collapsed="false">
      <c r="A49" s="9" t="s">
        <v>3958</v>
      </c>
      <c r="B49" s="11" t="s">
        <v>3959</v>
      </c>
      <c r="C49" s="11" t="s">
        <v>269</v>
      </c>
      <c r="D49" s="16" t="n">
        <f aca="false">(D43+D46)/D41</f>
        <v>0.877954432052311</v>
      </c>
      <c r="E49" s="16" t="n">
        <f aca="false">(E43+E46)/E41</f>
        <v>0.938643059881179</v>
      </c>
      <c r="F49" s="16" t="n">
        <f aca="false">(F43+F46)/F41</f>
        <v>0.940254115629447</v>
      </c>
      <c r="G49" s="16" t="n">
        <f aca="false">(G43+G46)/G41</f>
        <v>0.941928787540365</v>
      </c>
      <c r="H49" s="16" t="n">
        <f aca="false">(H43+H46)/H41</f>
        <v>0.943595069120893</v>
      </c>
      <c r="I49" s="16" t="n">
        <f aca="false">(I43+I46)/I41</f>
        <v>0.944427156763668</v>
      </c>
      <c r="K49" s="12" t="s">
        <v>3960</v>
      </c>
    </row>
    <row r="50" customFormat="false" ht="15" hidden="false" customHeight="false" outlineLevel="0" collapsed="false">
      <c r="A50" s="15" t="s">
        <v>3961</v>
      </c>
    </row>
    <row r="51" customFormat="false" ht="15" hidden="false" customHeight="false" outlineLevel="0" collapsed="false">
      <c r="A51" s="9" t="s">
        <v>3962</v>
      </c>
      <c r="B51" s="11" t="s">
        <v>3963</v>
      </c>
      <c r="C51" s="11" t="s">
        <v>747</v>
      </c>
      <c r="E51" s="21" t="n">
        <f aca="false">Revenue!E32/Revenue!D32</f>
        <v>0.716439460950102</v>
      </c>
      <c r="F51" s="21" t="n">
        <f aca="false">Revenue!F32/Revenue!E32</f>
        <v>0.680187510212974</v>
      </c>
      <c r="G51" s="21" t="n">
        <f aca="false">Revenue!G32/Revenue!F32</f>
        <v>0.85</v>
      </c>
      <c r="H51" s="21" t="n">
        <f aca="false">Revenue!H32/Revenue!G32</f>
        <v>0.85</v>
      </c>
      <c r="I51" s="21" t="n">
        <f aca="false">Revenue!I32/Revenue!H32</f>
        <v>0.85</v>
      </c>
      <c r="K51" s="2" t="s">
        <v>3964</v>
      </c>
    </row>
    <row r="52" customFormat="false" ht="15" hidden="false" customHeight="false" outlineLevel="0" collapsed="false">
      <c r="A52" s="9" t="s">
        <v>3965</v>
      </c>
      <c r="B52" s="9" t="s">
        <v>3966</v>
      </c>
      <c r="C52" s="9" t="s">
        <v>3404</v>
      </c>
      <c r="D52" s="19" t="n">
        <f aca="false">INP_086</f>
        <v>50</v>
      </c>
      <c r="E52" s="19" t="n">
        <f aca="false">D52*(1+INP_087)*E51^(INP_097*(E$6&gt;=INP_015))</f>
        <v>60</v>
      </c>
      <c r="F52" s="19" t="n">
        <f aca="false">E52*(1+INP_088)*F51^(INP_097*(F$6&gt;=INP_015))</f>
        <v>77.4569683573399</v>
      </c>
      <c r="G52" s="19" t="n">
        <f aca="false">F52*(1+INP_089)*G51^(INP_097*(G$6&gt;=INP_015))</f>
        <v>91.0862535954576</v>
      </c>
      <c r="H52" s="19" t="n">
        <f aca="false">G52*(1+INP_090)*H51^(INP_097*(H$6&gt;=INP_015))</f>
        <v>105.200994950213</v>
      </c>
      <c r="I52" s="19" t="n">
        <f aca="false">H52*(1+INP_091)*I51^(INP_097*(I$6&gt;=INP_015))</f>
        <v>119.293814317234</v>
      </c>
      <c r="K52" s="2" t="s">
        <v>3967</v>
      </c>
    </row>
    <row r="53" customFormat="false" ht="15" hidden="false" customHeight="false" outlineLevel="0" collapsed="false">
      <c r="A53" s="9" t="s">
        <v>3968</v>
      </c>
      <c r="B53" s="9" t="s">
        <v>3969</v>
      </c>
      <c r="C53" s="11" t="s">
        <v>3970</v>
      </c>
      <c r="D53" s="22" t="n">
        <f aca="false">D54/D52</f>
        <v>14.920704873522</v>
      </c>
      <c r="E53" s="22" t="n">
        <f aca="false">E54/E52</f>
        <v>207.126316696668</v>
      </c>
      <c r="F53" s="22" t="n">
        <f aca="false">E53*(1+INP_092)*F51^(INP_096*(F$6&gt;=INP_015))</f>
        <v>393.335574686682</v>
      </c>
      <c r="G53" s="22" t="n">
        <f aca="false">F53*(1+INP_093)*G51^(INP_096*(G$6&gt;=INP_015))</f>
        <v>594.981891262844</v>
      </c>
      <c r="H53" s="22" t="n">
        <f aca="false">G53*(1+INP_094)*H51^(INP_096*(H$6&gt;=INP_015))</f>
        <v>833.33670834399</v>
      </c>
      <c r="I53" s="22" t="n">
        <f aca="false">H53*(1+INP_095)*I51^(INP_096*(I$6&gt;=INP_015))</f>
        <v>1120.49135693802</v>
      </c>
      <c r="K53" s="12" t="s">
        <v>3971</v>
      </c>
    </row>
    <row r="54" customFormat="false" ht="15" hidden="false" customHeight="false" outlineLevel="0" collapsed="false">
      <c r="A54" s="9" t="s">
        <v>3972</v>
      </c>
      <c r="B54" s="9" t="s">
        <v>3973</v>
      </c>
      <c r="C54" s="9" t="s">
        <v>2956</v>
      </c>
      <c r="D54" s="20" t="n">
        <f aca="false">Revenue!D57*INP_012/Revenue!D32</f>
        <v>746.035243676102</v>
      </c>
      <c r="E54" s="20" t="n">
        <f aca="false">Revenue!E57*INP_012/Revenue!E32</f>
        <v>12427.5790018001</v>
      </c>
      <c r="F54" s="20" t="n">
        <f aca="false">F53*F52</f>
        <v>30466.5811623224</v>
      </c>
      <c r="G54" s="20" t="n">
        <f aca="false">G53*G52</f>
        <v>54194.6714322724</v>
      </c>
      <c r="H54" s="20" t="n">
        <f aca="false">H53*H52</f>
        <v>87667.850846323</v>
      </c>
      <c r="I54" s="20" t="n">
        <f aca="false">I53*I52</f>
        <v>133667.687878629</v>
      </c>
      <c r="K54" s="12" t="s">
        <v>3974</v>
      </c>
    </row>
    <row r="55" customFormat="false" ht="15" hidden="false" customHeight="false" outlineLevel="0" collapsed="false">
      <c r="A55" s="9" t="s">
        <v>3975</v>
      </c>
      <c r="B55" s="9" t="s">
        <v>3976</v>
      </c>
      <c r="C55" s="11" t="s">
        <v>3170</v>
      </c>
      <c r="E55" s="16" t="n">
        <f aca="false">(E53-D53)/D53</f>
        <v>12.881805079077</v>
      </c>
      <c r="F55" s="16" t="n">
        <f aca="false">(F53-E53)/E53</f>
        <v>0.899013032046111</v>
      </c>
      <c r="G55" s="16" t="n">
        <f aca="false">(G53-F53)/F53</f>
        <v>0.512657205585298</v>
      </c>
      <c r="H55" s="16" t="n">
        <f aca="false">(H53-G53)/G53</f>
        <v>0.400608523690091</v>
      </c>
      <c r="I55" s="16" t="n">
        <f aca="false">(I53-H53)/H53</f>
        <v>0.344584182742487</v>
      </c>
      <c r="K55" s="12" t="s">
        <v>3977</v>
      </c>
    </row>
    <row r="56" customFormat="false" ht="15" hidden="false" customHeight="false" outlineLevel="0" collapsed="false">
      <c r="A56" s="9" t="s">
        <v>3978</v>
      </c>
      <c r="B56" s="9" t="s">
        <v>3979</v>
      </c>
      <c r="C56" s="9" t="s">
        <v>2956</v>
      </c>
      <c r="D56" s="20" t="n">
        <f aca="false">D54*Revenue!D31</f>
        <v>111.905286551415</v>
      </c>
      <c r="E56" s="20" t="n">
        <f aca="false">E54*Revenue!E31</f>
        <v>4349.65265063002</v>
      </c>
      <c r="F56" s="20" t="n">
        <f aca="false">F54*Revenue!F31</f>
        <v>10663.3034068129</v>
      </c>
      <c r="G56" s="20" t="n">
        <f aca="false">G54*Revenue!G31</f>
        <v>18968.1350012953</v>
      </c>
      <c r="H56" s="20" t="n">
        <f aca="false">H54*Revenue!H31</f>
        <v>30683.7477962131</v>
      </c>
      <c r="I56" s="20" t="n">
        <f aca="false">I54*Revenue!I31</f>
        <v>46783.6907575202</v>
      </c>
      <c r="K56" s="2" t="s">
        <v>3980</v>
      </c>
    </row>
    <row r="57" customFormat="false" ht="15" hidden="false" customHeight="false" outlineLevel="0" collapsed="false">
      <c r="A57" s="9" t="s">
        <v>3981</v>
      </c>
      <c r="B57" s="9" t="s">
        <v>3982</v>
      </c>
      <c r="C57" s="9" t="s">
        <v>2956</v>
      </c>
      <c r="D57" s="20" t="n">
        <f aca="false">D54*Revenue!D29</f>
        <v>484.922908389466</v>
      </c>
      <c r="E57" s="20" t="n">
        <f aca="false">E54*Revenue!E29</f>
        <v>6213.78950090004</v>
      </c>
      <c r="F57" s="20" t="n">
        <f aca="false">F54*Revenue!F29</f>
        <v>15233.2905811612</v>
      </c>
      <c r="G57" s="20" t="n">
        <f aca="false">G54*Revenue!G29</f>
        <v>27097.3357161362</v>
      </c>
      <c r="H57" s="20" t="n">
        <f aca="false">H54*Revenue!H29</f>
        <v>43833.9254231615</v>
      </c>
      <c r="I57" s="20" t="n">
        <f aca="false">I54*Revenue!I29</f>
        <v>66833.8439393145</v>
      </c>
      <c r="K57" s="2" t="s">
        <v>3980</v>
      </c>
    </row>
    <row r="58" customFormat="false" ht="15" hidden="false" customHeight="false" outlineLevel="0" collapsed="false">
      <c r="A58" s="9" t="s">
        <v>3983</v>
      </c>
      <c r="B58" s="9" t="s">
        <v>3984</v>
      </c>
      <c r="C58" s="9" t="s">
        <v>2956</v>
      </c>
      <c r="D58" s="20" t="n">
        <f aca="false">D54*Revenue!D30</f>
        <v>149.20704873522</v>
      </c>
      <c r="E58" s="20" t="n">
        <f aca="false">E54*Revenue!E30</f>
        <v>1864.13685027001</v>
      </c>
      <c r="F58" s="20" t="n">
        <f aca="false">F54*Revenue!F30</f>
        <v>4569.98717434837</v>
      </c>
      <c r="G58" s="20" t="n">
        <f aca="false">G54*Revenue!G30</f>
        <v>8129.20071484086</v>
      </c>
      <c r="H58" s="20" t="n">
        <f aca="false">H54*Revenue!H30</f>
        <v>13150.1776269485</v>
      </c>
      <c r="I58" s="20" t="n">
        <f aca="false">I54*Revenue!I30</f>
        <v>20050.1531817944</v>
      </c>
      <c r="K58" s="2" t="s">
        <v>3980</v>
      </c>
    </row>
    <row r="59" customFormat="false" ht="15" hidden="false" customHeight="false" outlineLevel="0" collapsed="false">
      <c r="A59" s="15" t="s">
        <v>3985</v>
      </c>
    </row>
    <row r="60" customFormat="false" ht="15" hidden="false" customHeight="false" outlineLevel="0" collapsed="false">
      <c r="A60" s="9" t="s">
        <v>3986</v>
      </c>
      <c r="B60" s="11" t="s">
        <v>3987</v>
      </c>
      <c r="C60" s="9" t="s">
        <v>2956</v>
      </c>
      <c r="D60" s="20" t="n">
        <f aca="false">D45*(1-INP_071-INP_072)+D46*(1-INP_073-INP_074)+D47*(1-INP_075-INP_076)</f>
        <v>4.41718707334069</v>
      </c>
      <c r="E60" s="20" t="n">
        <f aca="false">E45*(1-INP_071-INP_072)+E46*(1-INP_073-INP_074)+E47*(1-INP_075-INP_076)</f>
        <v>11.175483295552</v>
      </c>
      <c r="F60" s="20" t="n">
        <f aca="false">F45*(1-INP_071-INP_072)+F46*(1-INP_073-INP_074)+F47*(1-INP_075-INP_076)</f>
        <v>21.2054795533098</v>
      </c>
      <c r="G60" s="20" t="n">
        <f aca="false">G45*(1-INP_071-INP_072)+G46*(1-INP_073-INP_074)+G47*(1-INP_075-INP_076)</f>
        <v>34.872411125418</v>
      </c>
      <c r="H60" s="20" t="n">
        <f aca="false">H45*(1-INP_071-INP_072)+H46*(1-INP_073-INP_074)+H47*(1-INP_075-INP_076)</f>
        <v>52.9363200883846</v>
      </c>
      <c r="I60" s="20" t="n">
        <f aca="false">I45*(1-INP_071-INP_072)+I46*(1-INP_073-INP_074)+I47*(1-INP_075-INP_076)</f>
        <v>77.0091116485774</v>
      </c>
      <c r="K60" s="12" t="s">
        <v>3988</v>
      </c>
    </row>
    <row r="61" customFormat="false" ht="15" hidden="false" customHeight="false" outlineLevel="0" collapsed="false">
      <c r="A61" s="9" t="s">
        <v>3989</v>
      </c>
      <c r="B61" s="11" t="s">
        <v>3990</v>
      </c>
      <c r="C61" s="9" t="s">
        <v>2956</v>
      </c>
      <c r="D61" s="20" t="n">
        <f aca="false">D45*INP_072+D46*INP_074+D47*INP_076</f>
        <v>33.8777394852353</v>
      </c>
      <c r="E61" s="20" t="n">
        <f aca="false">E45*INP_072+E46*INP_074+E47*INP_076</f>
        <v>85.7106808976453</v>
      </c>
      <c r="F61" s="20" t="n">
        <f aca="false">F45*INP_072+F46*INP_074+F47*INP_076</f>
        <v>162.636017003282</v>
      </c>
      <c r="G61" s="20" t="n">
        <f aca="false">G45*INP_072+G46*INP_074+G47*INP_076</f>
        <v>267.454929961897</v>
      </c>
      <c r="H61" s="20" t="n">
        <f aca="false">H45*INP_072+H46*INP_074+H47*INP_076</f>
        <v>405.99658368216</v>
      </c>
      <c r="I61" s="20" t="n">
        <f aca="false">I45*INP_072+I46*INP_074+I47*INP_076</f>
        <v>590.623530111622</v>
      </c>
      <c r="K61" s="12" t="s">
        <v>3988</v>
      </c>
    </row>
    <row r="62" customFormat="false" ht="15" hidden="false" customHeight="false" outlineLevel="0" collapsed="false">
      <c r="A62" s="9" t="s">
        <v>3991</v>
      </c>
      <c r="B62" s="11" t="s">
        <v>3992</v>
      </c>
      <c r="C62" s="9" t="s">
        <v>2956</v>
      </c>
      <c r="D62" s="20" t="n">
        <f aca="false">D45*INP_071+D46*INP_073+D47*INP_075</f>
        <v>15.1663075479509</v>
      </c>
      <c r="E62" s="20" t="n">
        <f aca="false">E45*INP_071+E46*INP_073+E47*INP_075</f>
        <v>38.3707580963157</v>
      </c>
      <c r="F62" s="20" t="n">
        <f aca="false">F45*INP_071+F46*INP_073+F47*INP_075</f>
        <v>72.8085134877591</v>
      </c>
      <c r="G62" s="20" t="n">
        <f aca="false">G45*INP_071+G46*INP_073+G47*INP_075</f>
        <v>119.73360043062</v>
      </c>
      <c r="H62" s="20" t="n">
        <f aca="false">H45*INP_071+H46*INP_073+H47*INP_075</f>
        <v>181.755605453681</v>
      </c>
      <c r="I62" s="20" t="n">
        <f aca="false">I45*INP_071+I46*INP_073+I47*INP_075</f>
        <v>264.408967033742</v>
      </c>
      <c r="K62" s="12" t="s">
        <v>3988</v>
      </c>
    </row>
    <row r="63" customFormat="false" ht="15" hidden="false" customHeight="false" outlineLevel="0" collapsed="false">
      <c r="A63" s="9" t="s">
        <v>3993</v>
      </c>
      <c r="B63" s="11" t="s">
        <v>3994</v>
      </c>
      <c r="C63" s="9" t="s">
        <v>2956</v>
      </c>
      <c r="D63" s="20" t="n">
        <f aca="false">D42*(1-INP_071-INP_072)+D43*(1-INP_073-INP_074)+D44*(1-INP_075-INP_076)+D56</f>
        <v>322.966506236519</v>
      </c>
      <c r="E63" s="20" t="n">
        <f aca="false">E42*(1-INP_071-INP_072)+E43*(1-INP_073-INP_074)+E44*(1-INP_075-INP_076)+E56</f>
        <v>6037.19144842346</v>
      </c>
      <c r="F63" s="20" t="n">
        <f aca="false">F42*(1-INP_071-INP_072)+F43*(1-INP_073-INP_074)+F44*(1-INP_075-INP_076)+F56</f>
        <v>14118.0037715554</v>
      </c>
      <c r="G63" s="20" t="n">
        <f aca="false">G42*(1-INP_071-INP_072)+G43*(1-INP_073-INP_074)+G44*(1-INP_075-INP_076)+G56</f>
        <v>25111.1539097947</v>
      </c>
      <c r="H63" s="20" t="n">
        <f aca="false">H42*(1-INP_071-INP_072)+H43*(1-INP_073-INP_074)+H44*(1-INP_075-INP_076)+H56</f>
        <v>40809.4187949505</v>
      </c>
      <c r="I63" s="20" t="n">
        <f aca="false">I42*(1-INP_071-INP_072)+I43*(1-INP_073-INP_074)+I44*(1-INP_075-INP_076)+I56</f>
        <v>62194.5511620398</v>
      </c>
      <c r="K63" s="12" t="s">
        <v>3995</v>
      </c>
    </row>
    <row r="64" customFormat="false" ht="15" hidden="false" customHeight="false" outlineLevel="0" collapsed="false">
      <c r="A64" s="9" t="s">
        <v>3996</v>
      </c>
      <c r="B64" s="11" t="s">
        <v>3997</v>
      </c>
      <c r="C64" s="9" t="s">
        <v>2956</v>
      </c>
      <c r="D64" s="20" t="n">
        <f aca="false">D42*INP_072+D43*INP_074+D44*INP_076+D57</f>
        <v>858.962301395927</v>
      </c>
      <c r="E64" s="20" t="n">
        <f aca="false">E42*INP_072+E43*INP_074+E44*INP_076+E57</f>
        <v>9179.00726651179</v>
      </c>
      <c r="F64" s="20" t="n">
        <f aca="false">F42*INP_072+F43*INP_074+F44*INP_076+F57</f>
        <v>21304.6323021141</v>
      </c>
      <c r="G64" s="20" t="n">
        <f aca="false">G42*INP_072+G43*INP_074+G44*INP_076+G57</f>
        <v>37893.7930632655</v>
      </c>
      <c r="H64" s="20" t="n">
        <f aca="false">H42*INP_072+H43*INP_074+H44*INP_076+H57</f>
        <v>61630.5499929222</v>
      </c>
      <c r="I64" s="20" t="n">
        <f aca="false">I42*INP_072+I43*INP_074+I44*INP_076+I57</f>
        <v>93920.590163386</v>
      </c>
      <c r="K64" s="12" t="s">
        <v>3995</v>
      </c>
    </row>
    <row r="65" customFormat="false" ht="15" hidden="false" customHeight="false" outlineLevel="0" collapsed="false">
      <c r="A65" s="9" t="s">
        <v>3998</v>
      </c>
      <c r="B65" s="11" t="s">
        <v>3999</v>
      </c>
      <c r="C65" s="9" t="s">
        <v>2956</v>
      </c>
      <c r="D65" s="20" t="n">
        <f aca="false">D42*INP_071+D43*INP_073+D44*INP_075+D58</f>
        <v>186.653875644138</v>
      </c>
      <c r="E65" s="20" t="n">
        <f aca="false">E42*INP_071+E43*INP_073+E44*INP_075+E58</f>
        <v>2148.91131516352</v>
      </c>
      <c r="F65" s="20" t="n">
        <f aca="false">F42*INP_071+F43*INP_073+F44*INP_075+F58</f>
        <v>5153.57236963097</v>
      </c>
      <c r="G65" s="20" t="n">
        <f aca="false">G42*INP_071+G43*INP_073+G44*INP_075+G58</f>
        <v>9167.28515723522</v>
      </c>
      <c r="H65" s="20" t="n">
        <f aca="false">H42*INP_071+H43*INP_073+H44*INP_075+H58</f>
        <v>14861.6291071105</v>
      </c>
      <c r="I65" s="20" t="n">
        <f aca="false">I42*INP_071+I43*INP_073+I44*INP_075+I58</f>
        <v>22655.5167660894</v>
      </c>
      <c r="K65" s="12" t="s">
        <v>3995</v>
      </c>
    </row>
    <row r="66" customFormat="false" ht="15" hidden="false" customHeight="false" outlineLevel="0" collapsed="false">
      <c r="A66" s="9" t="s">
        <v>4000</v>
      </c>
      <c r="B66" s="11" t="s">
        <v>4001</v>
      </c>
      <c r="C66" s="9" t="s">
        <v>2956</v>
      </c>
      <c r="D66" s="20" t="n">
        <f aca="false">D60+D61+D62</f>
        <v>53.4612341065268</v>
      </c>
      <c r="E66" s="20" t="n">
        <f aca="false">E60+E61+E62</f>
        <v>135.256922289513</v>
      </c>
      <c r="F66" s="20" t="n">
        <f aca="false">F60+F61+F62</f>
        <v>256.650010044351</v>
      </c>
      <c r="G66" s="20" t="n">
        <f aca="false">G60+G61+G62</f>
        <v>422.060941517935</v>
      </c>
      <c r="H66" s="20" t="n">
        <f aca="false">H60+H61+H62</f>
        <v>640.688509224225</v>
      </c>
      <c r="I66" s="20" t="n">
        <f aca="false">I60+I61+I62</f>
        <v>932.041608793941</v>
      </c>
      <c r="K66" s="2"/>
    </row>
    <row r="67" customFormat="false" ht="15" hidden="false" customHeight="false" outlineLevel="0" collapsed="false">
      <c r="A67" s="9" t="s">
        <v>4002</v>
      </c>
      <c r="B67" s="11" t="s">
        <v>4003</v>
      </c>
      <c r="C67" s="9" t="s">
        <v>2956</v>
      </c>
      <c r="D67" s="20" t="n">
        <f aca="false">D63+D64+D65</f>
        <v>1368.58268327658</v>
      </c>
      <c r="E67" s="20" t="n">
        <f aca="false">E63+E64+E65</f>
        <v>17365.1100300988</v>
      </c>
      <c r="F67" s="20" t="n">
        <f aca="false">F63+F64+F65</f>
        <v>40576.2084433004</v>
      </c>
      <c r="G67" s="20" t="n">
        <f aca="false">G63+G64+G65</f>
        <v>72172.2321302954</v>
      </c>
      <c r="H67" s="20" t="n">
        <f aca="false">H63+H64+H65</f>
        <v>117301.597894983</v>
      </c>
      <c r="I67" s="20" t="n">
        <f aca="false">I63+I64+I65</f>
        <v>178770.658091515</v>
      </c>
      <c r="K67" s="2"/>
    </row>
    <row r="68" customFormat="false" ht="15" hidden="false" customHeight="false" outlineLevel="0" collapsed="false">
      <c r="A68" s="9" t="s">
        <v>4004</v>
      </c>
      <c r="B68" s="9" t="s">
        <v>2955</v>
      </c>
      <c r="C68" s="9" t="s">
        <v>2956</v>
      </c>
      <c r="D68" s="20" t="n">
        <f aca="false">D66+D67</f>
        <v>1422.04391738311</v>
      </c>
      <c r="E68" s="20" t="n">
        <f aca="false">E66+E67</f>
        <v>17500.3669523883</v>
      </c>
      <c r="F68" s="20" t="n">
        <f aca="false">F66+F67</f>
        <v>40832.8584533447</v>
      </c>
      <c r="G68" s="20" t="n">
        <f aca="false">G66+G67</f>
        <v>72594.2930718133</v>
      </c>
      <c r="H68" s="20" t="n">
        <f aca="false">H66+H67</f>
        <v>117942.286404207</v>
      </c>
      <c r="I68" s="20" t="n">
        <f aca="false">I66+I67</f>
        <v>179702.699700309</v>
      </c>
      <c r="K68" s="2"/>
    </row>
    <row r="69" customFormat="false" ht="15" hidden="false" customHeight="false" outlineLevel="0" collapsed="false">
      <c r="A69" s="9" t="s">
        <v>4005</v>
      </c>
      <c r="B69" s="11" t="s">
        <v>4006</v>
      </c>
      <c r="C69" s="9" t="s">
        <v>2956</v>
      </c>
      <c r="D69" s="20" t="n">
        <f aca="false">D41+D54</f>
        <v>1422.04391738311</v>
      </c>
      <c r="E69" s="20" t="n">
        <f aca="false">E41+E54</f>
        <v>17500.3669523883</v>
      </c>
      <c r="F69" s="20" t="n">
        <f aca="false">F41+F54</f>
        <v>40832.8584533447</v>
      </c>
      <c r="G69" s="20" t="n">
        <f aca="false">G41+G54</f>
        <v>72594.2930718133</v>
      </c>
      <c r="H69" s="20" t="n">
        <f aca="false">H41+H54</f>
        <v>117942.286404207</v>
      </c>
      <c r="I69" s="20" t="n">
        <f aca="false">I41+I54</f>
        <v>179702.699700309</v>
      </c>
      <c r="K69" s="12" t="s">
        <v>4007</v>
      </c>
    </row>
    <row r="70" customFormat="false" ht="15" hidden="false" customHeight="false" outlineLevel="0" collapsed="false">
      <c r="A70" s="9" t="s">
        <v>4008</v>
      </c>
      <c r="B70" s="9" t="s">
        <v>4009</v>
      </c>
      <c r="C70" s="11" t="s">
        <v>269</v>
      </c>
      <c r="D70" s="16" t="n">
        <f aca="false">D54/D68</f>
        <v>0.52462180285471</v>
      </c>
      <c r="E70" s="16" t="n">
        <f aca="false">E54/E68</f>
        <v>0.710132480970867</v>
      </c>
      <c r="F70" s="16" t="n">
        <f aca="false">F54/F68</f>
        <v>0.746129032262909</v>
      </c>
      <c r="G70" s="16" t="n">
        <f aca="false">G54/G68</f>
        <v>0.746541761604604</v>
      </c>
      <c r="H70" s="16" t="n">
        <f aca="false">H54/H68</f>
        <v>0.743311440867536</v>
      </c>
      <c r="I70" s="16" t="n">
        <f aca="false">I54/I68</f>
        <v>0.743826821197162</v>
      </c>
      <c r="K70" s="2"/>
    </row>
    <row r="71" customFormat="false" ht="15" hidden="false" customHeight="false" outlineLevel="0" collapsed="false">
      <c r="A71" s="15" t="s">
        <v>4010</v>
      </c>
    </row>
    <row r="72" customFormat="false" ht="15" hidden="false" customHeight="false" outlineLevel="0" collapsed="false">
      <c r="A72" s="9" t="s">
        <v>4011</v>
      </c>
      <c r="B72" s="9" t="s">
        <v>4012</v>
      </c>
      <c r="C72" s="9" t="s">
        <v>76</v>
      </c>
      <c r="D72" s="17" t="n">
        <f aca="false">SRC_ANT_057</f>
        <v>1</v>
      </c>
      <c r="E72" s="17" t="n">
        <f aca="false">SRC_ANT_058</f>
        <v>2.5</v>
      </c>
      <c r="K72" s="2" t="s">
        <v>4013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9" min="4" style="0" width="12"/>
    <col collapsed="false" customWidth="true" hidden="false" outlineLevel="0" max="11" min="11" style="0" width="70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0"/>
  </cols>
  <sheetData>
    <row r="1" customFormat="false" ht="20.1" hidden="false" customHeight="false" outlineLevel="0" collapsed="false">
      <c r="A1" s="1" t="s">
        <v>4014</v>
      </c>
    </row>
    <row r="2" customFormat="false" ht="15" hidden="false" customHeight="false" outlineLevel="0" collapsed="false">
      <c r="A2" s="12" t="s">
        <v>4015</v>
      </c>
    </row>
    <row r="3" customFormat="false" ht="15" hidden="false" customHeight="false" outlineLevel="0" collapsed="false">
      <c r="A3" s="2" t="s">
        <v>4016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/>
      <c r="K5" s="8" t="s">
        <v>2519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4017</v>
      </c>
    </row>
    <row r="8" customFormat="false" ht="15" hidden="false" customHeight="false" outlineLevel="0" collapsed="false">
      <c r="A8" s="9" t="s">
        <v>4018</v>
      </c>
      <c r="B8" s="11" t="s">
        <v>4019</v>
      </c>
      <c r="C8" s="11" t="s">
        <v>1937</v>
      </c>
      <c r="D8" s="23" t="n">
        <f aca="false">DATE(D$6,INP_010,INP_011)</f>
        <v>45658</v>
      </c>
      <c r="E8" s="23" t="n">
        <f aca="false">DATE(E$6,INP_010,INP_011)</f>
        <v>46023</v>
      </c>
      <c r="F8" s="23" t="n">
        <f aca="false">DATE(F$6,INP_010,INP_011)</f>
        <v>46388</v>
      </c>
      <c r="G8" s="23" t="n">
        <f aca="false">DATE(G$6,INP_010,INP_011)</f>
        <v>46753</v>
      </c>
      <c r="H8" s="23" t="n">
        <f aca="false">DATE(H$6,INP_010,INP_011)</f>
        <v>47119</v>
      </c>
      <c r="I8" s="23" t="n">
        <f aca="false">DATE(I$6,INP_010,INP_011)</f>
        <v>47484</v>
      </c>
      <c r="K8" s="12" t="s">
        <v>4020</v>
      </c>
    </row>
    <row r="9" customFormat="false" ht="15" hidden="false" customHeight="false" outlineLevel="0" collapsed="false">
      <c r="A9" s="9" t="s">
        <v>4021</v>
      </c>
      <c r="B9" s="11" t="s">
        <v>4022</v>
      </c>
      <c r="C9" s="11" t="s">
        <v>1937</v>
      </c>
      <c r="D9" s="23" t="n">
        <f aca="false">DATE((D$6+1),INP_010,INP_011)</f>
        <v>46023</v>
      </c>
      <c r="E9" s="23" t="n">
        <f aca="false">DATE((E$6+1),INP_010,INP_011)</f>
        <v>46388</v>
      </c>
      <c r="F9" s="23" t="n">
        <f aca="false">DATE((F$6+1),INP_010,INP_011)</f>
        <v>46753</v>
      </c>
      <c r="G9" s="23" t="n">
        <f aca="false">DATE((G$6+1),INP_010,INP_011)</f>
        <v>47119</v>
      </c>
      <c r="H9" s="23" t="n">
        <f aca="false">DATE((H$6+1),INP_010,INP_011)</f>
        <v>47484</v>
      </c>
      <c r="I9" s="23" t="n">
        <f aca="false">DATE((I$6+1),INP_010,INP_011)</f>
        <v>47849</v>
      </c>
      <c r="K9" s="2" t="s">
        <v>4023</v>
      </c>
    </row>
    <row r="10" customFormat="false" ht="15" hidden="false" customHeight="false" outlineLevel="0" collapsed="false">
      <c r="A10" s="15" t="s">
        <v>4024</v>
      </c>
    </row>
    <row r="11" customFormat="false" ht="15" hidden="false" customHeight="false" outlineLevel="0" collapsed="false">
      <c r="A11" s="9" t="s">
        <v>4025</v>
      </c>
      <c r="B11" s="11" t="s">
        <v>4026</v>
      </c>
      <c r="C11" s="9" t="s">
        <v>2557</v>
      </c>
      <c r="D11" s="21" t="n">
        <f aca="false">SUMPRODUCT($O$102:$O$110,D$102:D$110)</f>
        <v>13.958904109589</v>
      </c>
      <c r="E11" s="21" t="n">
        <f aca="false">SUMPRODUCT($O$102:$O$110,E$102:E$110)</f>
        <v>4.72328767123288</v>
      </c>
      <c r="F11" s="21" t="n">
        <f aca="false">SUMPRODUCT($O$102:$O$110,F$102:F$110)</f>
        <v>4</v>
      </c>
      <c r="G11" s="21" t="n">
        <f aca="false">SUMPRODUCT($O$102:$O$110,G$102:G$110)</f>
        <v>4</v>
      </c>
      <c r="H11" s="21" t="n">
        <f aca="false">SUMPRODUCT($O$102:$O$110,H$102:H$110)</f>
        <v>4</v>
      </c>
      <c r="I11" s="21" t="n">
        <f aca="false">SUMPRODUCT($O$102:$O$110,I$102:I$110)</f>
        <v>4</v>
      </c>
      <c r="K11" s="12" t="s">
        <v>4027</v>
      </c>
    </row>
    <row r="12" customFormat="false" ht="15" hidden="false" customHeight="false" outlineLevel="0" collapsed="false">
      <c r="A12" s="9" t="s">
        <v>4028</v>
      </c>
      <c r="B12" s="11" t="s">
        <v>4029</v>
      </c>
      <c r="C12" s="9" t="s">
        <v>2557</v>
      </c>
      <c r="D12" s="21" t="n">
        <f aca="false">D11</f>
        <v>13.958904109589</v>
      </c>
      <c r="E12" s="21" t="n">
        <f aca="false">E11</f>
        <v>4.72328767123288</v>
      </c>
      <c r="F12" s="21" t="n">
        <f aca="false">F11*(1+INP_098)</f>
        <v>3.4</v>
      </c>
      <c r="G12" s="21" t="n">
        <f aca="false">F12*(1+INP_098)</f>
        <v>2.89</v>
      </c>
      <c r="H12" s="21" t="n">
        <f aca="false">G12*(1+INP_098)</f>
        <v>2.4565</v>
      </c>
      <c r="I12" s="21" t="n">
        <f aca="false">H12*(1+INP_098)</f>
        <v>2.088025</v>
      </c>
      <c r="K12" s="12" t="s">
        <v>4030</v>
      </c>
    </row>
    <row r="13" customFormat="false" ht="15" hidden="false" customHeight="false" outlineLevel="0" collapsed="false">
      <c r="A13" s="9" t="s">
        <v>4031</v>
      </c>
      <c r="B13" s="11" t="s">
        <v>4032</v>
      </c>
      <c r="C13" s="9" t="s">
        <v>2557</v>
      </c>
      <c r="D13" s="21" t="n">
        <f aca="false">SUMPRODUCT($O$111:$O$119,D$111:D$119)</f>
        <v>69.7945205479452</v>
      </c>
      <c r="E13" s="21" t="n">
        <f aca="false">SUMPRODUCT($O$111:$O$119,E$111:E$119)</f>
        <v>23.6164383561644</v>
      </c>
      <c r="F13" s="21" t="n">
        <f aca="false">SUMPRODUCT($O$111:$O$119,F$111:F$119)</f>
        <v>20</v>
      </c>
      <c r="G13" s="21" t="n">
        <f aca="false">SUMPRODUCT($O$111:$O$119,G$111:G$119)</f>
        <v>20</v>
      </c>
      <c r="H13" s="21" t="n">
        <f aca="false">SUMPRODUCT($O$111:$O$119,H$111:H$119)</f>
        <v>20</v>
      </c>
      <c r="I13" s="21" t="n">
        <f aca="false">SUMPRODUCT($O$111:$O$119,I$111:I$119)</f>
        <v>20</v>
      </c>
      <c r="K13" s="12" t="s">
        <v>4027</v>
      </c>
    </row>
    <row r="14" customFormat="false" ht="15" hidden="false" customHeight="false" outlineLevel="0" collapsed="false">
      <c r="A14" s="9" t="s">
        <v>4033</v>
      </c>
      <c r="B14" s="11" t="s">
        <v>4034</v>
      </c>
      <c r="C14" s="9" t="s">
        <v>2557</v>
      </c>
      <c r="D14" s="21" t="n">
        <f aca="false">D13</f>
        <v>69.7945205479452</v>
      </c>
      <c r="E14" s="21" t="n">
        <f aca="false">E13</f>
        <v>23.6164383561644</v>
      </c>
      <c r="F14" s="21" t="n">
        <f aca="false">F13*(1+INP_098)</f>
        <v>17</v>
      </c>
      <c r="G14" s="21" t="n">
        <f aca="false">F14*(1+INP_098)</f>
        <v>14.45</v>
      </c>
      <c r="H14" s="21" t="n">
        <f aca="false">G14*(1+INP_098)</f>
        <v>12.2825</v>
      </c>
      <c r="I14" s="21" t="n">
        <f aca="false">H14*(1+INP_098)</f>
        <v>10.440125</v>
      </c>
      <c r="K14" s="12" t="s">
        <v>4030</v>
      </c>
    </row>
    <row r="15" customFormat="false" ht="15" hidden="false" customHeight="false" outlineLevel="0" collapsed="false">
      <c r="A15" s="9" t="s">
        <v>4035</v>
      </c>
      <c r="B15" s="11" t="s">
        <v>4036</v>
      </c>
      <c r="C15" s="9" t="s">
        <v>2557</v>
      </c>
      <c r="D15" s="21" t="n">
        <f aca="false">SUMPRODUCT($O$120:$O$126,D$120:D$126)</f>
        <v>3</v>
      </c>
      <c r="E15" s="21" t="n">
        <f aca="false">SUMPRODUCT($O$120:$O$126,E$120:E$126)</f>
        <v>2.49315068493151</v>
      </c>
      <c r="F15" s="21" t="n">
        <f aca="false">SUMPRODUCT($O$120:$O$126,F$120:F$126)</f>
        <v>2</v>
      </c>
      <c r="G15" s="21" t="n">
        <f aca="false">SUMPRODUCT($O$120:$O$126,G$120:G$126)</f>
        <v>2</v>
      </c>
      <c r="H15" s="21" t="n">
        <f aca="false">SUMPRODUCT($O$120:$O$126,H$120:H$126)</f>
        <v>2</v>
      </c>
      <c r="I15" s="21" t="n">
        <f aca="false">SUMPRODUCT($O$120:$O$126,I$120:I$126)</f>
        <v>2</v>
      </c>
      <c r="K15" s="12" t="s">
        <v>4027</v>
      </c>
    </row>
    <row r="16" customFormat="false" ht="15" hidden="false" customHeight="false" outlineLevel="0" collapsed="false">
      <c r="A16" s="9" t="s">
        <v>4037</v>
      </c>
      <c r="B16" s="11" t="s">
        <v>4038</v>
      </c>
      <c r="C16" s="9" t="s">
        <v>2557</v>
      </c>
      <c r="D16" s="21" t="n">
        <f aca="false">D15</f>
        <v>3</v>
      </c>
      <c r="E16" s="21" t="n">
        <f aca="false">E15</f>
        <v>2.49315068493151</v>
      </c>
      <c r="F16" s="21" t="n">
        <f aca="false">F15*(1+INP_098)</f>
        <v>1.7</v>
      </c>
      <c r="G16" s="21" t="n">
        <f aca="false">F16*(1+INP_098)</f>
        <v>1.445</v>
      </c>
      <c r="H16" s="21" t="n">
        <f aca="false">G16*(1+INP_098)</f>
        <v>1.22825</v>
      </c>
      <c r="I16" s="21" t="n">
        <f aca="false">H16*(1+INP_098)</f>
        <v>1.0440125</v>
      </c>
      <c r="K16" s="12" t="s">
        <v>4030</v>
      </c>
    </row>
    <row r="17" customFormat="false" ht="15" hidden="false" customHeight="false" outlineLevel="0" collapsed="false">
      <c r="A17" s="9" t="s">
        <v>4039</v>
      </c>
      <c r="B17" s="11" t="s">
        <v>4040</v>
      </c>
      <c r="C17" s="9" t="s">
        <v>2557</v>
      </c>
      <c r="D17" s="21" t="n">
        <f aca="false">SUMPRODUCT($O$127:$O$133,D$127:D$133)</f>
        <v>15</v>
      </c>
      <c r="E17" s="21" t="n">
        <f aca="false">SUMPRODUCT($O$127:$O$133,E$127:E$133)</f>
        <v>12.4657534246575</v>
      </c>
      <c r="F17" s="21" t="n">
        <f aca="false">SUMPRODUCT($O$127:$O$133,F$127:F$133)</f>
        <v>10</v>
      </c>
      <c r="G17" s="21" t="n">
        <f aca="false">SUMPRODUCT($O$127:$O$133,G$127:G$133)</f>
        <v>10</v>
      </c>
      <c r="H17" s="21" t="n">
        <f aca="false">SUMPRODUCT($O$127:$O$133,H$127:H$133)</f>
        <v>10</v>
      </c>
      <c r="I17" s="21" t="n">
        <f aca="false">SUMPRODUCT($O$127:$O$133,I$127:I$133)</f>
        <v>10</v>
      </c>
      <c r="K17" s="12" t="s">
        <v>4027</v>
      </c>
    </row>
    <row r="18" customFormat="false" ht="15" hidden="false" customHeight="false" outlineLevel="0" collapsed="false">
      <c r="A18" s="9" t="s">
        <v>4041</v>
      </c>
      <c r="B18" s="11" t="s">
        <v>4042</v>
      </c>
      <c r="C18" s="9" t="s">
        <v>2557</v>
      </c>
      <c r="D18" s="21" t="n">
        <f aca="false">D17</f>
        <v>15</v>
      </c>
      <c r="E18" s="21" t="n">
        <f aca="false">E17</f>
        <v>12.4657534246575</v>
      </c>
      <c r="F18" s="21" t="n">
        <f aca="false">F17*(1+INP_098)</f>
        <v>8.5</v>
      </c>
      <c r="G18" s="21" t="n">
        <f aca="false">F18*(1+INP_098)</f>
        <v>7.225</v>
      </c>
      <c r="H18" s="21" t="n">
        <f aca="false">G18*(1+INP_098)</f>
        <v>6.14125</v>
      </c>
      <c r="I18" s="21" t="n">
        <f aca="false">H18*(1+INP_098)</f>
        <v>5.2200625</v>
      </c>
      <c r="K18" s="12" t="s">
        <v>4030</v>
      </c>
    </row>
    <row r="19" customFormat="false" ht="15" hidden="false" customHeight="false" outlineLevel="0" collapsed="false">
      <c r="A19" s="9" t="s">
        <v>4043</v>
      </c>
      <c r="B19" s="11" t="s">
        <v>4044</v>
      </c>
      <c r="C19" s="9" t="s">
        <v>2557</v>
      </c>
      <c r="D19" s="21" t="n">
        <f aca="false">SUMPRODUCT($O$134:$O$136,D$134:D$136)</f>
        <v>0.842739726027397</v>
      </c>
      <c r="E19" s="21" t="n">
        <f aca="false">SUMPRODUCT($O$134:$O$136,E$134:E$136)</f>
        <v>0.787945205479452</v>
      </c>
      <c r="F19" s="21" t="n">
        <f aca="false">SUMPRODUCT($O$134:$O$136,F$134:F$136)</f>
        <v>0.1</v>
      </c>
      <c r="G19" s="21" t="n">
        <f aca="false">SUMPRODUCT($O$134:$O$136,G$134:G$136)</f>
        <v>0.1</v>
      </c>
      <c r="H19" s="21" t="n">
        <f aca="false">SUMPRODUCT($O$134:$O$136,H$134:H$136)</f>
        <v>0.1</v>
      </c>
      <c r="I19" s="21" t="n">
        <f aca="false">SUMPRODUCT($O$134:$O$136,I$134:I$136)</f>
        <v>0.1</v>
      </c>
      <c r="K19" s="12" t="s">
        <v>4027</v>
      </c>
    </row>
    <row r="20" customFormat="false" ht="15" hidden="false" customHeight="false" outlineLevel="0" collapsed="false">
      <c r="A20" s="9" t="s">
        <v>4045</v>
      </c>
      <c r="B20" s="11" t="s">
        <v>4046</v>
      </c>
      <c r="C20" s="9" t="s">
        <v>2557</v>
      </c>
      <c r="D20" s="21" t="n">
        <f aca="false">D19</f>
        <v>0.842739726027397</v>
      </c>
      <c r="E20" s="21" t="n">
        <f aca="false">E19</f>
        <v>0.787945205479452</v>
      </c>
      <c r="F20" s="21" t="n">
        <f aca="false">F19*(1+INP_098)</f>
        <v>0.085</v>
      </c>
      <c r="G20" s="21" t="n">
        <f aca="false">F20*(1+INP_098)</f>
        <v>0.07225</v>
      </c>
      <c r="H20" s="21" t="n">
        <f aca="false">G20*(1+INP_098)</f>
        <v>0.0614125</v>
      </c>
      <c r="I20" s="21" t="n">
        <f aca="false">H20*(1+INP_098)</f>
        <v>0.052200625</v>
      </c>
      <c r="K20" s="12" t="s">
        <v>4030</v>
      </c>
    </row>
    <row r="21" customFormat="false" ht="15" hidden="false" customHeight="false" outlineLevel="0" collapsed="false">
      <c r="A21" s="9" t="s">
        <v>4047</v>
      </c>
      <c r="B21" s="11" t="s">
        <v>4048</v>
      </c>
      <c r="C21" s="9" t="s">
        <v>2557</v>
      </c>
      <c r="D21" s="21" t="n">
        <f aca="false">SUMPRODUCT($O$137:$O$139,D$137:D$139)</f>
        <v>4.21369863013699</v>
      </c>
      <c r="E21" s="21" t="n">
        <f aca="false">SUMPRODUCT($O$137:$O$139,E$137:E$139)</f>
        <v>3.93972602739726</v>
      </c>
      <c r="F21" s="21" t="n">
        <f aca="false">SUMPRODUCT($O$137:$O$139,F$137:F$139)</f>
        <v>0.5</v>
      </c>
      <c r="G21" s="21" t="n">
        <f aca="false">SUMPRODUCT($O$137:$O$139,G$137:G$139)</f>
        <v>0.5</v>
      </c>
      <c r="H21" s="21" t="n">
        <f aca="false">SUMPRODUCT($O$137:$O$139,H$137:H$139)</f>
        <v>0.5</v>
      </c>
      <c r="I21" s="21" t="n">
        <f aca="false">SUMPRODUCT($O$137:$O$139,I$137:I$139)</f>
        <v>0.5</v>
      </c>
      <c r="K21" s="12" t="s">
        <v>4027</v>
      </c>
    </row>
    <row r="22" customFormat="false" ht="15" hidden="false" customHeight="false" outlineLevel="0" collapsed="false">
      <c r="A22" s="9" t="s">
        <v>4049</v>
      </c>
      <c r="B22" s="11" t="s">
        <v>4050</v>
      </c>
      <c r="C22" s="9" t="s">
        <v>2557</v>
      </c>
      <c r="D22" s="21" t="n">
        <f aca="false">D21</f>
        <v>4.21369863013699</v>
      </c>
      <c r="E22" s="21" t="n">
        <f aca="false">E21</f>
        <v>3.93972602739726</v>
      </c>
      <c r="F22" s="21" t="n">
        <f aca="false">F21*(1+INP_098)</f>
        <v>0.425</v>
      </c>
      <c r="G22" s="21" t="n">
        <f aca="false">F22*(1+INP_098)</f>
        <v>0.36125</v>
      </c>
      <c r="H22" s="21" t="n">
        <f aca="false">G22*(1+INP_098)</f>
        <v>0.3070625</v>
      </c>
      <c r="I22" s="21" t="n">
        <f aca="false">H22*(1+INP_098)</f>
        <v>0.261003125</v>
      </c>
      <c r="K22" s="12" t="s">
        <v>4030</v>
      </c>
    </row>
    <row r="23" customFormat="false" ht="15" hidden="false" customHeight="false" outlineLevel="0" collapsed="false">
      <c r="A23" s="15" t="s">
        <v>4051</v>
      </c>
    </row>
    <row r="24" customFormat="false" ht="15" hidden="false" customHeight="false" outlineLevel="0" collapsed="false">
      <c r="A24" s="9" t="s">
        <v>4052</v>
      </c>
      <c r="B24" s="11" t="s">
        <v>4053</v>
      </c>
      <c r="C24" s="11" t="s">
        <v>747</v>
      </c>
      <c r="D24" s="21" t="n">
        <f aca="false">(1-INP_082-INP_083)+INP_082*SRC_ANT_137+INP_083*SRC_ANT_135</f>
        <v>0.4725</v>
      </c>
      <c r="E24" s="21" t="n">
        <f aca="false">(1-INP_082-INP_083)+INP_082*SRC_ANT_137+INP_083*SRC_ANT_135</f>
        <v>0.4725</v>
      </c>
      <c r="F24" s="21" t="n">
        <f aca="false">(1-INP_082-INP_083)+INP_082*SRC_ANT_137+INP_083*SRC_ANT_135</f>
        <v>0.4725</v>
      </c>
      <c r="G24" s="21" t="n">
        <f aca="false">(1-INP_082-INP_083)+INP_082*SRC_ANT_137+INP_083*SRC_ANT_135</f>
        <v>0.4725</v>
      </c>
      <c r="H24" s="21" t="n">
        <f aca="false">(1-INP_082-INP_083)+INP_082*SRC_ANT_137+INP_083*SRC_ANT_135</f>
        <v>0.4725</v>
      </c>
      <c r="I24" s="21" t="n">
        <f aca="false">(1-INP_082-INP_083)+INP_082*SRC_ANT_137+INP_083*SRC_ANT_135</f>
        <v>0.4725</v>
      </c>
      <c r="K24" s="2" t="s">
        <v>4054</v>
      </c>
    </row>
    <row r="25" customFormat="false" ht="15" hidden="false" customHeight="false" outlineLevel="0" collapsed="false">
      <c r="A25" s="9" t="s">
        <v>4055</v>
      </c>
      <c r="B25" s="11" t="s">
        <v>4056</v>
      </c>
      <c r="C25" s="11" t="s">
        <v>747</v>
      </c>
      <c r="D25" s="21" t="n">
        <f aca="false">(1-INP_084*SRC_ANT_138)*(1-INP_085)</f>
        <v>0.8775</v>
      </c>
      <c r="E25" s="21" t="n">
        <f aca="false">(1-INP_084*SRC_ANT_138)*(1-INP_085)</f>
        <v>0.8775</v>
      </c>
      <c r="F25" s="21" t="n">
        <f aca="false">(1-INP_084*SRC_ANT_138)*(1-INP_085)</f>
        <v>0.8775</v>
      </c>
      <c r="G25" s="21" t="n">
        <f aca="false">(1-INP_084*SRC_ANT_138)*(1-INP_085)</f>
        <v>0.8775</v>
      </c>
      <c r="H25" s="21" t="n">
        <f aca="false">(1-INP_084*SRC_ANT_138)*(1-INP_085)</f>
        <v>0.8775</v>
      </c>
      <c r="I25" s="21" t="n">
        <f aca="false">(1-INP_084*SRC_ANT_138)*(1-INP_085)</f>
        <v>0.8775</v>
      </c>
      <c r="K25" s="2" t="s">
        <v>4057</v>
      </c>
    </row>
    <row r="26" customFormat="false" ht="15" hidden="false" customHeight="false" outlineLevel="0" collapsed="false">
      <c r="A26" s="9" t="s">
        <v>4058</v>
      </c>
      <c r="B26" s="11" t="s">
        <v>4059</v>
      </c>
      <c r="C26" s="9" t="s">
        <v>2557</v>
      </c>
      <c r="D26" s="21" t="n">
        <f aca="false">((1-INP_081)*D12*D24+INP_081*D14)*D25</f>
        <v>16.8790370547945</v>
      </c>
      <c r="E26" s="21" t="n">
        <f aca="false">((1-INP_081)*E12*E24+INP_081*E14)*E25</f>
        <v>5.71137583561644</v>
      </c>
      <c r="F26" s="21" t="n">
        <f aca="false">((1-INP_081)*F12*F24+INP_081*F14)*F25</f>
        <v>4.111263</v>
      </c>
      <c r="G26" s="21" t="n">
        <f aca="false">((1-INP_081)*G12*G24+INP_081*G14)*G25</f>
        <v>3.49457355</v>
      </c>
      <c r="H26" s="21" t="n">
        <f aca="false">((1-INP_081)*H12*H24+INP_081*H14)*H25</f>
        <v>2.9703875175</v>
      </c>
      <c r="I26" s="21" t="n">
        <f aca="false">((1-INP_081)*I12*I24+INP_081*I14)*I25</f>
        <v>2.524829389875</v>
      </c>
      <c r="K26" s="2" t="s">
        <v>4060</v>
      </c>
    </row>
    <row r="27" customFormat="false" ht="15" hidden="false" customHeight="false" outlineLevel="0" collapsed="false">
      <c r="A27" s="9" t="s">
        <v>4061</v>
      </c>
      <c r="B27" s="11" t="s">
        <v>4062</v>
      </c>
      <c r="C27" s="9" t="s">
        <v>2557</v>
      </c>
      <c r="D27" s="21" t="n">
        <f aca="false">((1-INP_081)*D16*D24+INP_081*D18)*D25</f>
        <v>3.627585</v>
      </c>
      <c r="E27" s="21" t="n">
        <f aca="false">((1-INP_081)*E16*E24+INP_081*E18)*E25</f>
        <v>3.01470534246575</v>
      </c>
      <c r="F27" s="21" t="n">
        <f aca="false">((1-INP_081)*F16*F24+INP_081*F18)*F25</f>
        <v>2.0556315</v>
      </c>
      <c r="G27" s="21" t="n">
        <f aca="false">((1-INP_081)*G16*G24+INP_081*G18)*G25</f>
        <v>1.747286775</v>
      </c>
      <c r="H27" s="21" t="n">
        <f aca="false">((1-INP_081)*H16*H24+INP_081*H18)*H25</f>
        <v>1.48519375875</v>
      </c>
      <c r="I27" s="21" t="n">
        <f aca="false">((1-INP_081)*I16*I24+INP_081*I18)*I25</f>
        <v>1.2624146949375</v>
      </c>
      <c r="K27" s="2" t="s">
        <v>4060</v>
      </c>
    </row>
    <row r="28" customFormat="false" ht="15" hidden="false" customHeight="false" outlineLevel="0" collapsed="false">
      <c r="A28" s="9" t="s">
        <v>4063</v>
      </c>
      <c r="B28" s="11" t="s">
        <v>4064</v>
      </c>
      <c r="C28" s="9" t="s">
        <v>2557</v>
      </c>
      <c r="D28" s="21" t="n">
        <f aca="false">((1-INP_081)*D20*D24+INP_081*D22)*D25</f>
        <v>1.0190366630137</v>
      </c>
      <c r="E28" s="21" t="n">
        <f aca="false">((1-INP_081)*E20*E24+INP_081*E22)*E25</f>
        <v>0.952779402739726</v>
      </c>
      <c r="F28" s="21" t="n">
        <f aca="false">((1-INP_081)*F20*F24+INP_081*F22)*F25</f>
        <v>0.102781575</v>
      </c>
      <c r="G28" s="21" t="n">
        <f aca="false">((1-INP_081)*G20*G24+INP_081*G22)*G25</f>
        <v>0.08736433875</v>
      </c>
      <c r="H28" s="21" t="n">
        <f aca="false">((1-INP_081)*H20*H24+INP_081*H22)*H25</f>
        <v>0.0742596879375</v>
      </c>
      <c r="I28" s="21" t="n">
        <f aca="false">((1-INP_081)*I20*I24+INP_081*I22)*I25</f>
        <v>0.063120734746875</v>
      </c>
      <c r="K28" s="2" t="s">
        <v>4060</v>
      </c>
    </row>
    <row r="29" customFormat="false" ht="15" hidden="false" customHeight="false" outlineLevel="0" collapsed="false">
      <c r="A29" s="9" t="s">
        <v>4065</v>
      </c>
      <c r="B29" s="9" t="s">
        <v>4066</v>
      </c>
      <c r="C29" s="11" t="s">
        <v>269</v>
      </c>
      <c r="D29" s="16" t="n">
        <f aca="false">INP_078</f>
        <v>0.65</v>
      </c>
      <c r="E29" s="16" t="n">
        <f aca="false">INP_080</f>
        <v>0.5</v>
      </c>
      <c r="F29" s="16" t="n">
        <f aca="false">INP_080</f>
        <v>0.5</v>
      </c>
      <c r="G29" s="16" t="n">
        <f aca="false">INP_080</f>
        <v>0.5</v>
      </c>
      <c r="H29" s="16" t="n">
        <f aca="false">INP_080</f>
        <v>0.5</v>
      </c>
      <c r="I29" s="16" t="n">
        <f aca="false">INP_080</f>
        <v>0.5</v>
      </c>
      <c r="K29" s="12" t="s">
        <v>3867</v>
      </c>
    </row>
    <row r="30" customFormat="false" ht="15" hidden="false" customHeight="false" outlineLevel="0" collapsed="false">
      <c r="A30" s="9" t="s">
        <v>4067</v>
      </c>
      <c r="B30" s="9" t="s">
        <v>4068</v>
      </c>
      <c r="C30" s="11" t="s">
        <v>269</v>
      </c>
      <c r="D30" s="16" t="n">
        <f aca="false">INP_077</f>
        <v>0.2</v>
      </c>
      <c r="E30" s="16" t="n">
        <f aca="false">INP_079</f>
        <v>0.15</v>
      </c>
      <c r="F30" s="16" t="n">
        <f aca="false">INP_079</f>
        <v>0.15</v>
      </c>
      <c r="G30" s="16" t="n">
        <f aca="false">INP_079</f>
        <v>0.15</v>
      </c>
      <c r="H30" s="16" t="n">
        <f aca="false">INP_079</f>
        <v>0.15</v>
      </c>
      <c r="I30" s="16" t="n">
        <f aca="false">INP_079</f>
        <v>0.15</v>
      </c>
      <c r="K30" s="12" t="s">
        <v>3867</v>
      </c>
    </row>
    <row r="31" customFormat="false" ht="15" hidden="false" customHeight="false" outlineLevel="0" collapsed="false">
      <c r="A31" s="9" t="s">
        <v>4069</v>
      </c>
      <c r="B31" s="9" t="s">
        <v>4070</v>
      </c>
      <c r="C31" s="11" t="s">
        <v>269</v>
      </c>
      <c r="D31" s="16" t="n">
        <f aca="false">(1-D29-D30)</f>
        <v>0.15</v>
      </c>
      <c r="E31" s="16" t="n">
        <f aca="false">(1-E29-E30)</f>
        <v>0.35</v>
      </c>
      <c r="F31" s="16" t="n">
        <f aca="false">(1-F29-F30)</f>
        <v>0.35</v>
      </c>
      <c r="G31" s="16" t="n">
        <f aca="false">(1-G29-G30)</f>
        <v>0.35</v>
      </c>
      <c r="H31" s="16" t="n">
        <f aca="false">(1-H29-H30)</f>
        <v>0.35</v>
      </c>
      <c r="I31" s="16" t="n">
        <f aca="false">(1-I29-I30)</f>
        <v>0.35</v>
      </c>
      <c r="K31" s="2" t="s">
        <v>4071</v>
      </c>
    </row>
    <row r="32" customFormat="false" ht="15" hidden="false" customHeight="false" outlineLevel="0" collapsed="false">
      <c r="A32" s="9" t="s">
        <v>4072</v>
      </c>
      <c r="B32" s="9" t="s">
        <v>4073</v>
      </c>
      <c r="C32" s="9" t="s">
        <v>2557</v>
      </c>
      <c r="D32" s="21" t="n">
        <f aca="false">D31*D26+D29*D27+D30*D28</f>
        <v>5.09359314082192</v>
      </c>
      <c r="E32" s="21" t="n">
        <f aca="false">E31*E26+E29*E27+E30*E28</f>
        <v>3.64925112410959</v>
      </c>
      <c r="F32" s="21" t="n">
        <f aca="false">F31*F26+F29*F27+F30*F28</f>
        <v>2.48217503625</v>
      </c>
      <c r="G32" s="21" t="n">
        <f aca="false">G31*G26+G29*G27+G30*G28</f>
        <v>2.1098487808125</v>
      </c>
      <c r="H32" s="21" t="n">
        <f aca="false">H31*H26+H29*H27+H30*H28</f>
        <v>1.79337146369062</v>
      </c>
      <c r="I32" s="21" t="n">
        <f aca="false">I31*I26+I29*I27+I30*I28</f>
        <v>1.52436574413703</v>
      </c>
      <c r="K32" s="12" t="s">
        <v>4074</v>
      </c>
    </row>
    <row r="33" customFormat="false" ht="15" hidden="false" customHeight="false" outlineLevel="0" collapsed="false">
      <c r="A33" s="15" t="s">
        <v>4075</v>
      </c>
    </row>
    <row r="34" customFormat="false" ht="15" hidden="false" customHeight="false" outlineLevel="0" collapsed="false">
      <c r="A34" s="9" t="s">
        <v>4076</v>
      </c>
      <c r="B34" s="9" t="s">
        <v>4077</v>
      </c>
      <c r="C34" s="9" t="s">
        <v>846</v>
      </c>
      <c r="D34" s="18" t="n">
        <f aca="false">SRC_ANT_141*(1-INP_019)+SRC_ANT_142*INP_019</f>
        <v>19.1</v>
      </c>
      <c r="E34" s="18" t="n">
        <f aca="false">SRC_ANT_141*(1-INP_019)+SRC_ANT_142*INP_019</f>
        <v>19.1</v>
      </c>
      <c r="F34" s="18" t="n">
        <f aca="false">SRC_ANT_141*(1-INP_019)+SRC_ANT_142*INP_019</f>
        <v>19.1</v>
      </c>
      <c r="G34" s="18" t="n">
        <f aca="false">SRC_ANT_141*(1-INP_019)+SRC_ANT_142*INP_019</f>
        <v>19.1</v>
      </c>
      <c r="H34" s="18" t="n">
        <f aca="false">SRC_ANT_141*(1-INP_019)+SRC_ANT_142*INP_019</f>
        <v>19.1</v>
      </c>
      <c r="I34" s="18" t="n">
        <f aca="false">SRC_ANT_141*(1-INP_019)+SRC_ANT_142*INP_019</f>
        <v>19.1</v>
      </c>
      <c r="K34" s="2" t="s">
        <v>4078</v>
      </c>
    </row>
    <row r="35" customFormat="false" ht="15" hidden="false" customHeight="false" outlineLevel="0" collapsed="false">
      <c r="A35" s="9" t="s">
        <v>4079</v>
      </c>
      <c r="B35" s="9" t="s">
        <v>4080</v>
      </c>
      <c r="C35" s="9" t="s">
        <v>846</v>
      </c>
      <c r="D35" s="18" t="n">
        <f aca="false">SRC_ANT_143</f>
        <v>100</v>
      </c>
      <c r="E35" s="18" t="n">
        <f aca="false">SRC_ANT_143</f>
        <v>100</v>
      </c>
      <c r="F35" s="18" t="n">
        <f aca="false">SRC_ANT_143</f>
        <v>100</v>
      </c>
      <c r="G35" s="18" t="n">
        <f aca="false">SRC_ANT_143</f>
        <v>100</v>
      </c>
      <c r="H35" s="18" t="n">
        <f aca="false">SRC_ANT_143</f>
        <v>100</v>
      </c>
      <c r="I35" s="18" t="n">
        <f aca="false">SRC_ANT_143</f>
        <v>100</v>
      </c>
      <c r="K35" s="2" t="s">
        <v>4081</v>
      </c>
    </row>
    <row r="36" customFormat="false" ht="15" hidden="false" customHeight="false" outlineLevel="0" collapsed="false">
      <c r="A36" s="9" t="s">
        <v>4082</v>
      </c>
      <c r="B36" s="9" t="s">
        <v>4083</v>
      </c>
      <c r="C36" s="9" t="s">
        <v>846</v>
      </c>
      <c r="D36" s="18" t="n">
        <f aca="false">SRC_ANT_144</f>
        <v>200</v>
      </c>
      <c r="E36" s="18" t="n">
        <f aca="false">SRC_ANT_144</f>
        <v>200</v>
      </c>
      <c r="F36" s="18" t="n">
        <f aca="false">SRC_ANT_144</f>
        <v>200</v>
      </c>
      <c r="G36" s="18" t="n">
        <f aca="false">SRC_ANT_144</f>
        <v>200</v>
      </c>
      <c r="H36" s="18" t="n">
        <f aca="false">SRC_ANT_144</f>
        <v>200</v>
      </c>
      <c r="I36" s="18" t="n">
        <f aca="false">SRC_ANT_144</f>
        <v>200</v>
      </c>
      <c r="K36" s="2" t="s">
        <v>4081</v>
      </c>
    </row>
    <row r="37" customFormat="false" ht="15" hidden="false" customHeight="false" outlineLevel="0" collapsed="false">
      <c r="A37" s="9" t="s">
        <v>4084</v>
      </c>
      <c r="B37" s="9" t="s">
        <v>4085</v>
      </c>
      <c r="C37" s="9" t="s">
        <v>846</v>
      </c>
      <c r="D37" s="18" t="n">
        <f aca="false">SRC_ANT_147*(1-INP_020)+SRC_ANT_146*INP_020</f>
        <v>23.5</v>
      </c>
      <c r="E37" s="18" t="n">
        <f aca="false">SRC_ANT_147*(1-INP_020)+SRC_ANT_146*INP_020</f>
        <v>23.5</v>
      </c>
      <c r="F37" s="18" t="n">
        <f aca="false">SRC_ANT_147*(1-INP_020)+SRC_ANT_146*INP_020</f>
        <v>23.5</v>
      </c>
      <c r="G37" s="18" t="n">
        <f aca="false">SRC_ANT_147*(1-INP_020)+SRC_ANT_146*INP_020</f>
        <v>23.5</v>
      </c>
      <c r="H37" s="18" t="n">
        <f aca="false">SRC_ANT_147*(1-INP_020)+SRC_ANT_146*INP_020</f>
        <v>23.5</v>
      </c>
      <c r="I37" s="18" t="n">
        <f aca="false">SRC_ANT_147*(1-INP_020)+SRC_ANT_146*INP_020</f>
        <v>23.5</v>
      </c>
      <c r="K37" s="2" t="s">
        <v>4086</v>
      </c>
    </row>
    <row r="38" customFormat="false" ht="15" hidden="false" customHeight="false" outlineLevel="0" collapsed="false">
      <c r="A38" s="9" t="s">
        <v>4087</v>
      </c>
      <c r="B38" s="9" t="s">
        <v>4088</v>
      </c>
      <c r="C38" s="9" t="s">
        <v>846</v>
      </c>
      <c r="D38" s="18" t="n">
        <f aca="false">SRC_ANT_149*(1-INP_020)+SRC_ANT_148*INP_020</f>
        <v>117.5</v>
      </c>
      <c r="E38" s="18" t="n">
        <f aca="false">SRC_ANT_149*(1-INP_020)+SRC_ANT_148*INP_020</f>
        <v>117.5</v>
      </c>
      <c r="F38" s="18" t="n">
        <f aca="false">SRC_ANT_149*(1-INP_020)+SRC_ANT_148*INP_020</f>
        <v>117.5</v>
      </c>
      <c r="G38" s="18" t="n">
        <f aca="false">SRC_ANT_149*(1-INP_020)+SRC_ANT_148*INP_020</f>
        <v>117.5</v>
      </c>
      <c r="H38" s="18" t="n">
        <f aca="false">SRC_ANT_149*(1-INP_020)+SRC_ANT_148*INP_020</f>
        <v>117.5</v>
      </c>
      <c r="I38" s="18" t="n">
        <f aca="false">SRC_ANT_149*(1-INP_020)+SRC_ANT_148*INP_020</f>
        <v>117.5</v>
      </c>
      <c r="K38" s="2" t="s">
        <v>3061</v>
      </c>
    </row>
    <row r="39" customFormat="false" ht="15" hidden="false" customHeight="false" outlineLevel="0" collapsed="false">
      <c r="A39" s="9" t="s">
        <v>4089</v>
      </c>
      <c r="B39" s="9" t="s">
        <v>4090</v>
      </c>
      <c r="C39" s="9" t="s">
        <v>846</v>
      </c>
      <c r="D39" s="18" t="n">
        <f aca="false">SRC_ANT_153</f>
        <v>60</v>
      </c>
      <c r="E39" s="18" t="n">
        <f aca="false">SRC_ANT_152</f>
        <v>20</v>
      </c>
      <c r="F39" s="18" t="n">
        <f aca="false">SRC_ANT_152</f>
        <v>20</v>
      </c>
      <c r="G39" s="18" t="n">
        <f aca="false">SRC_ANT_152</f>
        <v>20</v>
      </c>
      <c r="H39" s="18" t="n">
        <f aca="false">SRC_ANT_152</f>
        <v>20</v>
      </c>
      <c r="I39" s="18" t="n">
        <f aca="false">SRC_ANT_152</f>
        <v>20</v>
      </c>
      <c r="K39" s="12" t="s">
        <v>4091</v>
      </c>
    </row>
    <row r="40" customFormat="false" ht="15" hidden="false" customHeight="false" outlineLevel="0" collapsed="false">
      <c r="A40" s="9" t="s">
        <v>4092</v>
      </c>
      <c r="B40" s="11" t="s">
        <v>4093</v>
      </c>
      <c r="C40" s="9" t="s">
        <v>846</v>
      </c>
      <c r="D40" s="18" t="n">
        <f aca="false">Demand!D8*D34+Demand!D9*D35+Demand!D10*D36</f>
        <v>36.235</v>
      </c>
      <c r="E40" s="18" t="n">
        <f aca="false">Demand!E8*E34+Demand!E9*E35+Demand!E10*E36</f>
        <v>55.37</v>
      </c>
      <c r="F40" s="18" t="n">
        <f aca="false">Demand!F8*F34+Demand!F9*F35+Demand!F10*F36</f>
        <v>55.37</v>
      </c>
      <c r="G40" s="18" t="n">
        <f aca="false">Demand!G8*G34+Demand!G9*G35+Demand!G10*G36</f>
        <v>55.37</v>
      </c>
      <c r="H40" s="18" t="n">
        <f aca="false">Demand!H8*H34+Demand!H9*H35+Demand!H10*H36</f>
        <v>55.37</v>
      </c>
      <c r="I40" s="18" t="n">
        <f aca="false">Demand!I8*I34+Demand!I9*I35+Demand!I10*I36</f>
        <v>55.37</v>
      </c>
      <c r="K40" s="12" t="s">
        <v>4094</v>
      </c>
    </row>
    <row r="41" customFormat="false" ht="15" hidden="false" customHeight="false" outlineLevel="0" collapsed="false">
      <c r="A41" s="9" t="s">
        <v>4095</v>
      </c>
      <c r="B41" s="11" t="s">
        <v>4096</v>
      </c>
      <c r="C41" s="9" t="s">
        <v>846</v>
      </c>
      <c r="D41" s="18" t="n">
        <f aca="false">Demand!D16*D37+Demand!D17*D38+Demand!D18*D39</f>
        <v>50.375</v>
      </c>
      <c r="E41" s="18" t="n">
        <f aca="false">Demand!E16*E37+Demand!E17*E38+Demand!E18*E39</f>
        <v>40.725</v>
      </c>
      <c r="F41" s="18" t="n">
        <f aca="false">Demand!F16*F37+Demand!F17*F38+Demand!F18*F39</f>
        <v>40.725</v>
      </c>
      <c r="G41" s="18" t="n">
        <f aca="false">Demand!G16*G37+Demand!G17*G38+Demand!G18*G39</f>
        <v>40.725</v>
      </c>
      <c r="H41" s="18" t="n">
        <f aca="false">Demand!H16*H37+Demand!H17*H38+Demand!H18*H39</f>
        <v>40.725</v>
      </c>
      <c r="I41" s="18" t="n">
        <f aca="false">Demand!I16*I37+Demand!I17*I38+Demand!I18*I39</f>
        <v>40.725</v>
      </c>
      <c r="K41" s="12" t="s">
        <v>4097</v>
      </c>
    </row>
    <row r="42" customFormat="false" ht="15" hidden="false" customHeight="false" outlineLevel="0" collapsed="false">
      <c r="A42" s="15" t="s">
        <v>4098</v>
      </c>
    </row>
    <row r="43" customFormat="false" ht="15" hidden="false" customHeight="false" outlineLevel="0" collapsed="false">
      <c r="A43" s="9" t="s">
        <v>4099</v>
      </c>
      <c r="B43" s="9" t="s">
        <v>4100</v>
      </c>
      <c r="C43" s="9" t="s">
        <v>482</v>
      </c>
      <c r="D43" s="17" t="n">
        <f aca="false">SRC_ANT_063*SRC_ANT_001</f>
        <v>0.69</v>
      </c>
      <c r="K43" s="12" t="s">
        <v>4101</v>
      </c>
    </row>
    <row r="44" customFormat="false" ht="15" hidden="false" customHeight="false" outlineLevel="0" collapsed="false">
      <c r="A44" s="9" t="s">
        <v>4102</v>
      </c>
      <c r="B44" s="9" t="s">
        <v>4103</v>
      </c>
      <c r="C44" s="9" t="s">
        <v>482</v>
      </c>
      <c r="D44" s="17" t="n">
        <f aca="false">SRC_ANT_025-D43</f>
        <v>0.0990000000000001</v>
      </c>
      <c r="K44" s="2" t="s">
        <v>4104</v>
      </c>
    </row>
    <row r="45" customFormat="false" ht="15" hidden="false" customHeight="false" outlineLevel="0" collapsed="false">
      <c r="A45" s="9" t="s">
        <v>4105</v>
      </c>
      <c r="B45" s="11" t="s">
        <v>4106</v>
      </c>
      <c r="C45" s="9" t="s">
        <v>482</v>
      </c>
      <c r="D45" s="17" t="n">
        <f aca="false">SRC_ANT_001</f>
        <v>4.6</v>
      </c>
      <c r="E45" s="17" t="n">
        <f aca="false">E98+INP_180*(SRC_ANT_384+SRC_ANT_384*(1+INP_181))+(1-INP_180)*SRC_ANT_023*INP_009/INP_008</f>
        <v>49.9</v>
      </c>
      <c r="K45" s="12" t="s">
        <v>4107</v>
      </c>
    </row>
    <row r="46" customFormat="false" ht="15" hidden="false" customHeight="false" outlineLevel="0" collapsed="false">
      <c r="A46" s="15" t="s">
        <v>4108</v>
      </c>
    </row>
    <row r="47" customFormat="false" ht="15" hidden="false" customHeight="false" outlineLevel="0" collapsed="false">
      <c r="A47" s="9" t="s">
        <v>4109</v>
      </c>
      <c r="B47" s="9" t="s">
        <v>4110</v>
      </c>
      <c r="C47" s="9" t="s">
        <v>482</v>
      </c>
      <c r="D47" s="17" t="n">
        <f aca="false">Demand!D12*D34*INP_008/INP_012</f>
        <v>0.309152752863254</v>
      </c>
      <c r="E47" s="17" t="n">
        <f aca="false">Demand!E12*E34*INP_008/INP_012</f>
        <v>1.01838553884366</v>
      </c>
      <c r="F47" s="17" t="n">
        <f aca="false">Demand!F12*F34*INP_008/INP_012</f>
        <v>1.62941686214986</v>
      </c>
      <c r="G47" s="17" t="n">
        <f aca="false">Demand!G12*G34*INP_008/INP_012</f>
        <v>2.2811836070098</v>
      </c>
      <c r="H47" s="17" t="n">
        <f aca="false">Demand!H12*H34*INP_008/INP_012</f>
        <v>2.96553868911274</v>
      </c>
      <c r="I47" s="17" t="n">
        <f aca="false">Demand!I12*I34*INP_008/INP_012</f>
        <v>3.55864642693528</v>
      </c>
      <c r="K47" s="2"/>
    </row>
    <row r="48" customFormat="false" ht="15" hidden="false" customHeight="false" outlineLevel="0" collapsed="false">
      <c r="A48" s="9" t="s">
        <v>4111</v>
      </c>
      <c r="B48" s="9" t="s">
        <v>4112</v>
      </c>
      <c r="C48" s="9" t="s">
        <v>482</v>
      </c>
      <c r="D48" s="17" t="n">
        <f aca="false">Demand!D13*D35*INP_008/INP_012</f>
        <v>0.190423623568373</v>
      </c>
      <c r="E48" s="17" t="n">
        <f aca="false">Demand!E13*E35*INP_008/INP_012</f>
        <v>1.37105008969229</v>
      </c>
      <c r="F48" s="17" t="n">
        <f aca="false">Demand!F13*F35*INP_008/INP_012</f>
        <v>2.19368014350766</v>
      </c>
      <c r="G48" s="17" t="n">
        <f aca="false">Demand!G13*G35*INP_008/INP_012</f>
        <v>3.07115220091072</v>
      </c>
      <c r="H48" s="17" t="n">
        <f aca="false">Demand!H13*H35*INP_008/INP_012</f>
        <v>3.99249786118394</v>
      </c>
      <c r="I48" s="17" t="n">
        <f aca="false">Demand!I13*I35*INP_008/INP_012</f>
        <v>4.79099743342073</v>
      </c>
      <c r="K48" s="2"/>
    </row>
    <row r="49" customFormat="false" ht="15" hidden="false" customHeight="false" outlineLevel="0" collapsed="false">
      <c r="A49" s="9" t="s">
        <v>4113</v>
      </c>
      <c r="B49" s="9" t="s">
        <v>4114</v>
      </c>
      <c r="C49" s="9" t="s">
        <v>482</v>
      </c>
      <c r="D49" s="17" t="n">
        <f aca="false">Demand!D14*D36*INP_008/INP_012</f>
        <v>0.190423623568373</v>
      </c>
      <c r="E49" s="17" t="n">
        <f aca="false">Demand!E14*E36*INP_008/INP_012</f>
        <v>1.82806678625638</v>
      </c>
      <c r="F49" s="17" t="n">
        <f aca="false">Demand!F14*F36*INP_008/INP_012</f>
        <v>2.92490685801021</v>
      </c>
      <c r="G49" s="17" t="n">
        <f aca="false">Demand!G14*G36*INP_008/INP_012</f>
        <v>4.0948696012143</v>
      </c>
      <c r="H49" s="17" t="n">
        <f aca="false">Demand!H14*H36*INP_008/INP_012</f>
        <v>5.32333048157859</v>
      </c>
      <c r="I49" s="17" t="n">
        <f aca="false">Demand!I14*I36*INP_008/INP_012</f>
        <v>6.3879965778943</v>
      </c>
      <c r="K49" s="2"/>
    </row>
    <row r="50" customFormat="false" ht="15" hidden="false" customHeight="false" outlineLevel="0" collapsed="false">
      <c r="A50" s="9" t="s">
        <v>4115</v>
      </c>
      <c r="B50" s="9" t="s">
        <v>4116</v>
      </c>
      <c r="C50" s="9" t="s">
        <v>482</v>
      </c>
      <c r="D50" s="17" t="n">
        <f aca="false">Demand!D20*D37*INP_008/INP_012</f>
        <v>0.0230918114143921</v>
      </c>
      <c r="E50" s="17" t="n">
        <f aca="false">Demand!E20*E37*INP_008/INP_012</f>
        <v>0.0646570719602978</v>
      </c>
      <c r="F50" s="17" t="n">
        <f aca="false">Demand!F20*F37*INP_008/INP_012</f>
        <v>0.129314143920596</v>
      </c>
      <c r="G50" s="17" t="n">
        <f aca="false">Demand!G20*G37*INP_008/INP_012</f>
        <v>0.193971215880893</v>
      </c>
      <c r="H50" s="17" t="n">
        <f aca="false">Demand!H20*H37*INP_008/INP_012</f>
        <v>0.261861141439206</v>
      </c>
      <c r="I50" s="17" t="n">
        <f aca="false">Demand!I20*I37*INP_008/INP_012</f>
        <v>0.327326426799008</v>
      </c>
      <c r="K50" s="2"/>
    </row>
    <row r="51" customFormat="false" ht="15" hidden="false" customHeight="false" outlineLevel="0" collapsed="false">
      <c r="A51" s="9" t="s">
        <v>4117</v>
      </c>
      <c r="B51" s="9" t="s">
        <v>4118</v>
      </c>
      <c r="C51" s="9" t="s">
        <v>482</v>
      </c>
      <c r="D51" s="17" t="n">
        <f aca="false">Demand!D21*D38*INP_008/INP_012</f>
        <v>0.0346377171215881</v>
      </c>
      <c r="E51" s="17" t="n">
        <f aca="false">Demand!E21*E38*INP_008/INP_012</f>
        <v>0.184734491315137</v>
      </c>
      <c r="F51" s="17" t="n">
        <f aca="false">Demand!F21*F38*INP_008/INP_012</f>
        <v>0.369468982630273</v>
      </c>
      <c r="G51" s="17" t="n">
        <f aca="false">Demand!G21*G38*INP_008/INP_012</f>
        <v>0.55420347394541</v>
      </c>
      <c r="H51" s="17" t="n">
        <f aca="false">Demand!H21*H38*INP_008/INP_012</f>
        <v>0.748174689826304</v>
      </c>
      <c r="I51" s="17" t="n">
        <f aca="false">Demand!I21*I38*INP_008/INP_012</f>
        <v>0.935218362282879</v>
      </c>
      <c r="K51" s="2"/>
    </row>
    <row r="52" customFormat="false" ht="15" hidden="false" customHeight="false" outlineLevel="0" collapsed="false">
      <c r="A52" s="9" t="s">
        <v>4119</v>
      </c>
      <c r="B52" s="9" t="s">
        <v>4120</v>
      </c>
      <c r="C52" s="9" t="s">
        <v>482</v>
      </c>
      <c r="D52" s="17" t="n">
        <f aca="false">Demand!D22*D39*INP_008/INP_012</f>
        <v>0.0412704714640199</v>
      </c>
      <c r="E52" s="17" t="n">
        <f aca="false">Demand!E22*E39*INP_008/INP_012</f>
        <v>0.0707493796526055</v>
      </c>
      <c r="F52" s="17" t="n">
        <f aca="false">Demand!F22*F39*INP_008/INP_012</f>
        <v>0.141498759305211</v>
      </c>
      <c r="G52" s="17" t="n">
        <f aca="false">Demand!G22*G39*INP_008/INP_012</f>
        <v>0.212248138957817</v>
      </c>
      <c r="H52" s="17" t="n">
        <f aca="false">Demand!H22*H39*INP_008/INP_012</f>
        <v>0.286534987593052</v>
      </c>
      <c r="I52" s="17" t="n">
        <f aca="false">Demand!I22*I39*INP_008/INP_012</f>
        <v>0.358168734491316</v>
      </c>
      <c r="K52" s="2"/>
    </row>
    <row r="53" customFormat="false" ht="15" hidden="false" customHeight="false" outlineLevel="0" collapsed="false">
      <c r="A53" s="9" t="s">
        <v>4121</v>
      </c>
      <c r="B53" s="11" t="s">
        <v>4122</v>
      </c>
      <c r="C53" s="9" t="s">
        <v>482</v>
      </c>
      <c r="D53" s="17" t="n">
        <f aca="false">D47+D48+D49</f>
        <v>0.69</v>
      </c>
      <c r="E53" s="17" t="n">
        <f aca="false">E47+E48+E49</f>
        <v>4.21750241479233</v>
      </c>
      <c r="F53" s="17" t="n">
        <f aca="false">F47+F48+F49</f>
        <v>6.74800386366773</v>
      </c>
      <c r="G53" s="17" t="n">
        <f aca="false">G47+G48+G49</f>
        <v>9.44720540913482</v>
      </c>
      <c r="H53" s="17" t="n">
        <f aca="false">H47+H48+H49</f>
        <v>12.2813670318753</v>
      </c>
      <c r="I53" s="17" t="n">
        <f aca="false">I47+I48+I49</f>
        <v>14.7376404382503</v>
      </c>
      <c r="K53" s="2"/>
    </row>
    <row r="54" customFormat="false" ht="15" hidden="false" customHeight="false" outlineLevel="0" collapsed="false">
      <c r="A54" s="9" t="s">
        <v>4123</v>
      </c>
      <c r="B54" s="11" t="s">
        <v>4124</v>
      </c>
      <c r="C54" s="9" t="s">
        <v>482</v>
      </c>
      <c r="D54" s="17" t="n">
        <f aca="false">D50+D51+D52</f>
        <v>0.0990000000000001</v>
      </c>
      <c r="E54" s="17" t="n">
        <f aca="false">E50+E51+E52</f>
        <v>0.32014094292804</v>
      </c>
      <c r="F54" s="17" t="n">
        <f aca="false">F50+F51+F52</f>
        <v>0.64028188585608</v>
      </c>
      <c r="G54" s="17" t="n">
        <f aca="false">G50+G51+G52</f>
        <v>0.96042282878412</v>
      </c>
      <c r="H54" s="17" t="n">
        <f aca="false">H50+H51+H52</f>
        <v>1.29657081885856</v>
      </c>
      <c r="I54" s="17" t="n">
        <f aca="false">I50+I51+I52</f>
        <v>1.6207135235732</v>
      </c>
      <c r="K54" s="2"/>
    </row>
    <row r="55" customFormat="false" ht="15" hidden="false" customHeight="false" outlineLevel="0" collapsed="false">
      <c r="A55" s="9" t="s">
        <v>4125</v>
      </c>
      <c r="B55" s="11" t="s">
        <v>4126</v>
      </c>
      <c r="C55" s="9" t="s">
        <v>482</v>
      </c>
      <c r="D55" s="17" t="n">
        <f aca="false">D53+D54</f>
        <v>0.789</v>
      </c>
      <c r="E55" s="17" t="n">
        <f aca="false">E53+E54</f>
        <v>4.53764335772037</v>
      </c>
      <c r="F55" s="17" t="n">
        <f aca="false">F53+F54</f>
        <v>7.38828574952381</v>
      </c>
      <c r="G55" s="17" t="n">
        <f aca="false">G53+G54</f>
        <v>10.4076282379189</v>
      </c>
      <c r="H55" s="17" t="n">
        <f aca="false">H53+H54</f>
        <v>13.5779378507338</v>
      </c>
      <c r="I55" s="17" t="n">
        <f aca="false">I53+I54</f>
        <v>16.3583539618235</v>
      </c>
      <c r="K55" s="2"/>
    </row>
    <row r="56" customFormat="false" ht="15" hidden="false" customHeight="false" outlineLevel="0" collapsed="false">
      <c r="A56" s="15" t="s">
        <v>4127</v>
      </c>
    </row>
    <row r="57" customFormat="false" ht="15" hidden="false" customHeight="false" outlineLevel="0" collapsed="false">
      <c r="A57" s="9" t="s">
        <v>4128</v>
      </c>
      <c r="B57" s="9" t="s">
        <v>4129</v>
      </c>
      <c r="C57" s="9" t="s">
        <v>482</v>
      </c>
      <c r="D57" s="17" t="n">
        <f aca="false">SRC_ANT_026</f>
        <v>3.8</v>
      </c>
      <c r="E57" s="17" t="n">
        <f aca="false">E45-E55-E64-E65</f>
        <v>45.3513566422796</v>
      </c>
      <c r="K57" s="12" t="s">
        <v>4130</v>
      </c>
    </row>
    <row r="58" customFormat="false" ht="15" hidden="false" customHeight="false" outlineLevel="0" collapsed="false">
      <c r="A58" s="9" t="s">
        <v>4131</v>
      </c>
      <c r="B58" s="9" t="s">
        <v>2951</v>
      </c>
      <c r="C58" s="9" t="s">
        <v>482</v>
      </c>
      <c r="D58" s="17" t="n">
        <f aca="false">Demand!D54*D32/INP_012</f>
        <v>3.8</v>
      </c>
      <c r="E58" s="17" t="n">
        <f aca="false">Demand!E54*E32/INP_012</f>
        <v>45.3513566422796</v>
      </c>
      <c r="F58" s="17" t="n">
        <f aca="false">Demand!F54*F32/INP_012</f>
        <v>75.6233872010013</v>
      </c>
      <c r="G58" s="17" t="n">
        <f aca="false">Demand!G54*G32/INP_012</f>
        <v>114.342561447914</v>
      </c>
      <c r="H58" s="17" t="n">
        <f aca="false">Demand!H54*H32/INP_012</f>
        <v>157.221021990882</v>
      </c>
      <c r="I58" s="17" t="n">
        <f aca="false">Demand!I54*I32/INP_012</f>
        <v>203.758444500183</v>
      </c>
      <c r="K58" s="2" t="s">
        <v>4132</v>
      </c>
    </row>
    <row r="59" customFormat="false" ht="15" hidden="false" customHeight="false" outlineLevel="0" collapsed="false">
      <c r="A59" s="9" t="s">
        <v>4133</v>
      </c>
      <c r="B59" s="9" t="s">
        <v>4134</v>
      </c>
      <c r="C59" s="9" t="s">
        <v>482</v>
      </c>
      <c r="D59" s="17" t="n">
        <f aca="false">Demand!D56*D26/INP_012</f>
        <v>1.88885347832874</v>
      </c>
      <c r="E59" s="17" t="n">
        <f aca="false">Demand!E56*E26/INP_012</f>
        <v>24.8425010421333</v>
      </c>
      <c r="F59" s="17" t="n">
        <f aca="false">Demand!F56*F26/INP_012</f>
        <v>43.8396447542037</v>
      </c>
      <c r="G59" s="17" t="n">
        <f aca="false">Demand!G56*G26/INP_012</f>
        <v>66.2855428683559</v>
      </c>
      <c r="H59" s="17" t="n">
        <f aca="false">Demand!H56*H26/INP_012</f>
        <v>91.1426214439894</v>
      </c>
      <c r="I59" s="17" t="n">
        <f aca="false">Demand!I56*I26/INP_012</f>
        <v>118.12083739141</v>
      </c>
      <c r="K59" s="2"/>
    </row>
    <row r="60" customFormat="false" ht="15" hidden="false" customHeight="false" outlineLevel="0" collapsed="false">
      <c r="A60" s="9" t="s">
        <v>4135</v>
      </c>
      <c r="B60" s="9" t="s">
        <v>4136</v>
      </c>
      <c r="C60" s="9" t="s">
        <v>482</v>
      </c>
      <c r="D60" s="17" t="n">
        <f aca="false">Demand!D57*D27/INP_012</f>
        <v>1.75909906863</v>
      </c>
      <c r="E60" s="17" t="n">
        <f aca="false">Demand!E57*E27/INP_012</f>
        <v>18.7327444053209</v>
      </c>
      <c r="F60" s="17" t="n">
        <f aca="false">Demand!F57*F27/INP_012</f>
        <v>31.3140319672883</v>
      </c>
      <c r="G60" s="17" t="n">
        <f aca="false">Demand!G57*G27/INP_012</f>
        <v>47.3468163345399</v>
      </c>
      <c r="H60" s="17" t="n">
        <f aca="false">Demand!H57*H27/INP_012</f>
        <v>65.1018724599924</v>
      </c>
      <c r="I60" s="17" t="n">
        <f aca="false">Demand!I57*I27/INP_012</f>
        <v>84.3720267081502</v>
      </c>
      <c r="K60" s="2"/>
    </row>
    <row r="61" customFormat="false" ht="15" hidden="false" customHeight="false" outlineLevel="0" collapsed="false">
      <c r="A61" s="9" t="s">
        <v>4137</v>
      </c>
      <c r="B61" s="9" t="s">
        <v>4138</v>
      </c>
      <c r="C61" s="9" t="s">
        <v>482</v>
      </c>
      <c r="D61" s="17" t="n">
        <f aca="false">Demand!D58*D28/INP_012</f>
        <v>0.152047453041261</v>
      </c>
      <c r="E61" s="17" t="n">
        <f aca="false">Demand!E58*E28/INP_012</f>
        <v>1.77611119482538</v>
      </c>
      <c r="F61" s="17" t="n">
        <f aca="false">Demand!F58*F28/INP_012</f>
        <v>0.469710479509325</v>
      </c>
      <c r="G61" s="17" t="n">
        <f aca="false">Demand!G58*G28/INP_012</f>
        <v>0.710202245018099</v>
      </c>
      <c r="H61" s="17" t="n">
        <f aca="false">Demand!H58*H28/INP_012</f>
        <v>0.976528086899886</v>
      </c>
      <c r="I61" s="17" t="n">
        <f aca="false">Demand!I58*I28/INP_012</f>
        <v>1.26558040062225</v>
      </c>
      <c r="K61" s="2"/>
    </row>
    <row r="62" customFormat="false" ht="15" hidden="false" customHeight="false" outlineLevel="0" collapsed="false">
      <c r="A62" s="9" t="s">
        <v>4139</v>
      </c>
      <c r="B62" s="11" t="s">
        <v>4140</v>
      </c>
      <c r="C62" s="9" t="s">
        <v>482</v>
      </c>
      <c r="D62" s="17" t="n">
        <f aca="false">D59+D60+D61-D58</f>
        <v>0</v>
      </c>
      <c r="E62" s="17" t="n">
        <f aca="false">E59+E60+E61-E58</f>
        <v>0</v>
      </c>
      <c r="F62" s="17" t="n">
        <f aca="false">F59+F60+F61-F58</f>
        <v>0</v>
      </c>
      <c r="G62" s="17" t="n">
        <f aca="false">G59+G60+G61-G58</f>
        <v>0</v>
      </c>
      <c r="H62" s="17" t="n">
        <f aca="false">H59+H60+H61-H58</f>
        <v>0</v>
      </c>
      <c r="I62" s="17" t="n">
        <f aca="false">I59+I60+I61-I58</f>
        <v>0</v>
      </c>
      <c r="K62" s="2"/>
    </row>
    <row r="63" customFormat="false" ht="15" hidden="false" customHeight="false" outlineLevel="0" collapsed="false">
      <c r="A63" s="15" t="s">
        <v>4141</v>
      </c>
    </row>
    <row r="64" customFormat="false" ht="15" hidden="false" customHeight="false" outlineLevel="0" collapsed="false">
      <c r="A64" s="9" t="s">
        <v>4142</v>
      </c>
      <c r="B64" s="11" t="s">
        <v>4143</v>
      </c>
      <c r="C64" s="9" t="s">
        <v>482</v>
      </c>
      <c r="D64" s="17" t="n">
        <f aca="false">SRC_ANT_001-SRC_ANT_025-SRC_ANT_026</f>
        <v>0.0109999999999997</v>
      </c>
      <c r="E64" s="17" t="n">
        <f aca="false">D64*(1+INP_101)</f>
        <v>0.0109999999999997</v>
      </c>
      <c r="F64" s="17" t="n">
        <f aca="false">E64*(1+INP_101)</f>
        <v>0.0109999999999997</v>
      </c>
      <c r="G64" s="17" t="n">
        <f aca="false">F64*(1+INP_101)</f>
        <v>0.0109999999999997</v>
      </c>
      <c r="H64" s="17" t="n">
        <f aca="false">G64*(1+INP_101)</f>
        <v>0.0109999999999997</v>
      </c>
      <c r="I64" s="17" t="n">
        <f aca="false">H64*(1+INP_101)</f>
        <v>0.0109999999999997</v>
      </c>
      <c r="K64" s="12" t="s">
        <v>4144</v>
      </c>
    </row>
    <row r="65" customFormat="false" ht="15" hidden="false" customHeight="false" outlineLevel="0" collapsed="false">
      <c r="A65" s="9" t="s">
        <v>4145</v>
      </c>
      <c r="B65" s="11" t="s">
        <v>4146</v>
      </c>
      <c r="C65" s="9" t="s">
        <v>482</v>
      </c>
      <c r="D65" s="17" t="n">
        <f aca="false">INP_017</f>
        <v>0</v>
      </c>
      <c r="E65" s="17" t="n">
        <f aca="false">INP_017</f>
        <v>0</v>
      </c>
      <c r="F65" s="17" t="n">
        <f aca="false">INP_017</f>
        <v>0</v>
      </c>
      <c r="G65" s="17" t="n">
        <f aca="false">INP_017</f>
        <v>0</v>
      </c>
      <c r="H65" s="17" t="n">
        <f aca="false">INP_017</f>
        <v>0</v>
      </c>
      <c r="I65" s="17" t="n">
        <f aca="false">INP_017</f>
        <v>0</v>
      </c>
      <c r="K65" s="12" t="s">
        <v>4147</v>
      </c>
    </row>
    <row r="66" customFormat="false" ht="15" hidden="false" customHeight="false" outlineLevel="0" collapsed="false">
      <c r="A66" s="15" t="s">
        <v>4148</v>
      </c>
    </row>
    <row r="67" customFormat="false" ht="15" hidden="false" customHeight="false" outlineLevel="0" collapsed="false">
      <c r="A67" s="9" t="s">
        <v>4149</v>
      </c>
      <c r="B67" s="11" t="s">
        <v>4150</v>
      </c>
      <c r="C67" s="9" t="s">
        <v>482</v>
      </c>
      <c r="D67" s="17" t="n">
        <f aca="false">D55+D58+D64+D65</f>
        <v>4.6</v>
      </c>
      <c r="E67" s="17" t="n">
        <f aca="false">E55+E58+E64+E65</f>
        <v>49.9</v>
      </c>
      <c r="F67" s="17" t="n">
        <f aca="false">F55+F58+F64+F65</f>
        <v>83.0226729505251</v>
      </c>
      <c r="G67" s="17" t="n">
        <f aca="false">G55+G58+G64+G65</f>
        <v>124.761189685833</v>
      </c>
      <c r="H67" s="17" t="n">
        <f aca="false">H55+H58+H64+H65</f>
        <v>170.809959841616</v>
      </c>
      <c r="I67" s="17" t="n">
        <f aca="false">I55+I58+I64+I65</f>
        <v>220.127798462006</v>
      </c>
      <c r="K67" s="2"/>
    </row>
    <row r="68" customFormat="false" ht="15" hidden="false" customHeight="false" outlineLevel="0" collapsed="false">
      <c r="A68" s="9" t="s">
        <v>4151</v>
      </c>
      <c r="B68" s="11" t="s">
        <v>4152</v>
      </c>
      <c r="C68" s="11" t="s">
        <v>269</v>
      </c>
      <c r="D68" s="16" t="n">
        <f aca="false">SRC_ANT_001*SRC_ANT_027/SRC_ANT_026</f>
        <v>0.568947368421053</v>
      </c>
      <c r="E68" s="16" t="n">
        <f aca="false">D68+INP_099</f>
        <v>0.568947368421053</v>
      </c>
      <c r="F68" s="16" t="n">
        <f aca="false">D68+INP_099</f>
        <v>0.568947368421053</v>
      </c>
      <c r="G68" s="16" t="n">
        <f aca="false">D68+INP_099</f>
        <v>0.568947368421053</v>
      </c>
      <c r="H68" s="16" t="n">
        <f aca="false">D68+INP_099</f>
        <v>0.568947368421053</v>
      </c>
      <c r="I68" s="16" t="n">
        <f aca="false">D68+INP_099</f>
        <v>0.568947368421053</v>
      </c>
      <c r="K68" s="12" t="s">
        <v>4153</v>
      </c>
    </row>
    <row r="69" customFormat="false" ht="15" hidden="false" customHeight="false" outlineLevel="0" collapsed="false">
      <c r="A69" s="9" t="s">
        <v>4154</v>
      </c>
      <c r="B69" s="11" t="s">
        <v>4155</v>
      </c>
      <c r="C69" s="9" t="s">
        <v>482</v>
      </c>
      <c r="D69" s="17" t="n">
        <f aca="false">D58*D68</f>
        <v>2.162</v>
      </c>
      <c r="E69" s="17" t="n">
        <f aca="false">E58*E68</f>
        <v>25.8025350159496</v>
      </c>
      <c r="F69" s="17" t="n">
        <f aca="false">F58*F68</f>
        <v>43.025727139096</v>
      </c>
      <c r="G69" s="17" t="n">
        <f aca="false">G58*G68</f>
        <v>65.0548994343131</v>
      </c>
      <c r="H69" s="17" t="n">
        <f aca="false">H58*H68</f>
        <v>89.4504867221806</v>
      </c>
      <c r="I69" s="17" t="n">
        <f aca="false">I58*I68</f>
        <v>115.927830791946</v>
      </c>
      <c r="K69" s="2"/>
    </row>
    <row r="70" customFormat="false" ht="15" hidden="false" customHeight="false" outlineLevel="0" collapsed="false">
      <c r="A70" s="9" t="s">
        <v>4156</v>
      </c>
      <c r="B70" s="11" t="s">
        <v>4157</v>
      </c>
      <c r="C70" s="11" t="s">
        <v>269</v>
      </c>
      <c r="D70" s="16" t="n">
        <f aca="false">SRC_ANT_031/D69</f>
        <v>0.162349676225717</v>
      </c>
      <c r="E70" s="16" t="n">
        <f aca="false">INP_100</f>
        <v>0.16</v>
      </c>
      <c r="F70" s="16" t="n">
        <f aca="false">INP_100</f>
        <v>0.16</v>
      </c>
      <c r="G70" s="16" t="n">
        <f aca="false">INP_100</f>
        <v>0.16</v>
      </c>
      <c r="H70" s="16" t="n">
        <f aca="false">INP_100</f>
        <v>0.16</v>
      </c>
      <c r="I70" s="16" t="n">
        <f aca="false">INP_100</f>
        <v>0.16</v>
      </c>
      <c r="K70" s="12" t="s">
        <v>4158</v>
      </c>
    </row>
    <row r="71" customFormat="false" ht="15" hidden="false" customHeight="false" outlineLevel="0" collapsed="false">
      <c r="A71" s="9" t="s">
        <v>4159</v>
      </c>
      <c r="B71" s="11" t="s">
        <v>4160</v>
      </c>
      <c r="C71" s="9" t="s">
        <v>482</v>
      </c>
      <c r="D71" s="17" t="n">
        <f aca="false">SRC_ANT_031</f>
        <v>0.351</v>
      </c>
      <c r="E71" s="17" t="n">
        <f aca="false">E69*E70</f>
        <v>4.12840560255194</v>
      </c>
      <c r="F71" s="17" t="n">
        <f aca="false">F69*F70</f>
        <v>6.88411634225536</v>
      </c>
      <c r="G71" s="17" t="n">
        <f aca="false">G69*G70</f>
        <v>10.4087839094901</v>
      </c>
      <c r="H71" s="17" t="n">
        <f aca="false">H69*H70</f>
        <v>14.3120778755489</v>
      </c>
      <c r="I71" s="17" t="n">
        <f aca="false">I69*I70</f>
        <v>18.5484529267114</v>
      </c>
      <c r="K71" s="12" t="s">
        <v>4161</v>
      </c>
    </row>
    <row r="72" customFormat="false" ht="15" hidden="false" customHeight="false" outlineLevel="0" collapsed="false">
      <c r="A72" s="9" t="s">
        <v>4162</v>
      </c>
      <c r="B72" s="11" t="s">
        <v>4163</v>
      </c>
      <c r="C72" s="9" t="s">
        <v>482</v>
      </c>
      <c r="D72" s="17" t="n">
        <f aca="false">D67-D71</f>
        <v>4.249</v>
      </c>
      <c r="E72" s="17" t="n">
        <f aca="false">E67-E71</f>
        <v>45.7715943974481</v>
      </c>
      <c r="F72" s="17" t="n">
        <f aca="false">F67-F71</f>
        <v>76.1385566082697</v>
      </c>
      <c r="G72" s="17" t="n">
        <f aca="false">G67-G71</f>
        <v>114.352405776343</v>
      </c>
      <c r="H72" s="17" t="n">
        <f aca="false">H67-H71</f>
        <v>156.497881966067</v>
      </c>
      <c r="I72" s="17" t="n">
        <f aca="false">I67-I71</f>
        <v>201.579345535295</v>
      </c>
      <c r="K72" s="2"/>
    </row>
    <row r="73" customFormat="false" ht="15" hidden="false" customHeight="false" outlineLevel="0" collapsed="false">
      <c r="A73" s="9" t="s">
        <v>4164</v>
      </c>
      <c r="B73" s="11" t="s">
        <v>4165</v>
      </c>
      <c r="C73" s="9" t="s">
        <v>482</v>
      </c>
      <c r="D73" s="17" t="n">
        <f aca="false">D53+D65</f>
        <v>0.69</v>
      </c>
      <c r="E73" s="17" t="n">
        <f aca="false">E53+E65</f>
        <v>4.21750241479233</v>
      </c>
      <c r="F73" s="17" t="n">
        <f aca="false">F53+F65</f>
        <v>6.74800386366773</v>
      </c>
      <c r="G73" s="17" t="n">
        <f aca="false">G53+G65</f>
        <v>9.44720540913482</v>
      </c>
      <c r="H73" s="17" t="n">
        <f aca="false">H53+H65</f>
        <v>12.2813670318753</v>
      </c>
      <c r="I73" s="17" t="n">
        <f aca="false">I53+I65</f>
        <v>14.7376404382503</v>
      </c>
      <c r="K73" s="12" t="s">
        <v>4166</v>
      </c>
    </row>
    <row r="74" customFormat="false" ht="15" hidden="false" customHeight="false" outlineLevel="0" collapsed="false">
      <c r="A74" s="9" t="s">
        <v>4167</v>
      </c>
      <c r="B74" s="11" t="s">
        <v>4168</v>
      </c>
      <c r="C74" s="9" t="s">
        <v>482</v>
      </c>
      <c r="D74" s="17" t="n">
        <f aca="false">D54+D58</f>
        <v>3.899</v>
      </c>
      <c r="E74" s="17" t="n">
        <f aca="false">E54+E58</f>
        <v>45.6714975852077</v>
      </c>
      <c r="F74" s="17" t="n">
        <f aca="false">F54+F58</f>
        <v>76.2636690868574</v>
      </c>
      <c r="G74" s="17" t="n">
        <f aca="false">G54+G58</f>
        <v>115.302984276698</v>
      </c>
      <c r="H74" s="17" t="n">
        <f aca="false">H54+H58</f>
        <v>158.51759280974</v>
      </c>
      <c r="I74" s="17" t="n">
        <f aca="false">I54+I58</f>
        <v>205.379158023756</v>
      </c>
      <c r="K74" s="2"/>
    </row>
    <row r="75" customFormat="false" ht="15" hidden="false" customHeight="false" outlineLevel="0" collapsed="false">
      <c r="A75" s="9" t="s">
        <v>4169</v>
      </c>
      <c r="B75" s="11" t="s">
        <v>4170</v>
      </c>
      <c r="C75" s="11" t="s">
        <v>269</v>
      </c>
      <c r="D75" s="16" t="n">
        <f aca="false">D74/(D73+D74)</f>
        <v>0.849640444541294</v>
      </c>
      <c r="E75" s="16" t="n">
        <f aca="false">E74/(E73+E74)</f>
        <v>0.915462277961227</v>
      </c>
      <c r="F75" s="16" t="n">
        <f aca="false">F74/(F73+F74)</f>
        <v>0.918710181064661</v>
      </c>
      <c r="G75" s="16" t="n">
        <f aca="false">G74/(G73+G74)</f>
        <v>0.924271013671992</v>
      </c>
      <c r="H75" s="16" t="n">
        <f aca="false">H74/(H73+H74)</f>
        <v>0.928094602898847</v>
      </c>
      <c r="I75" s="16" t="n">
        <f aca="false">I74/(I73+I74)</f>
        <v>0.933046271155928</v>
      </c>
      <c r="K75" s="2" t="s">
        <v>4171</v>
      </c>
    </row>
    <row r="76" customFormat="false" ht="15" hidden="false" customHeight="false" outlineLevel="0" collapsed="false">
      <c r="A76" s="9" t="s">
        <v>4172</v>
      </c>
      <c r="B76" s="11" t="s">
        <v>4173</v>
      </c>
      <c r="C76" s="9" t="s">
        <v>482</v>
      </c>
      <c r="D76" s="17" t="n">
        <f aca="false">D73+D74+D64-D67</f>
        <v>0</v>
      </c>
      <c r="E76" s="17" t="n">
        <f aca="false">E73+E74+E64-E67</f>
        <v>0</v>
      </c>
      <c r="F76" s="17" t="n">
        <f aca="false">F73+F74+F64-F67</f>
        <v>0</v>
      </c>
      <c r="G76" s="17" t="n">
        <f aca="false">G73+G74+G64-G67</f>
        <v>0</v>
      </c>
      <c r="H76" s="17" t="n">
        <f aca="false">H73+H74+H64-H67</f>
        <v>0</v>
      </c>
      <c r="I76" s="17" t="n">
        <f aca="false">I73+I74+I64-I67</f>
        <v>0</v>
      </c>
      <c r="K76" s="2"/>
    </row>
    <row r="77" customFormat="false" ht="15" hidden="false" customHeight="false" outlineLevel="0" collapsed="false">
      <c r="A77" s="9" t="s">
        <v>4174</v>
      </c>
      <c r="B77" s="11" t="s">
        <v>4175</v>
      </c>
      <c r="C77" s="11" t="s">
        <v>269</v>
      </c>
      <c r="E77" s="16" t="n">
        <f aca="false">(E67-D67)/D67</f>
        <v>9.84782608695652</v>
      </c>
      <c r="F77" s="16" t="n">
        <f aca="false">(F67-E67)/E67</f>
        <v>0.663781021052606</v>
      </c>
      <c r="G77" s="16" t="n">
        <f aca="false">(G67-F67)/F67</f>
        <v>0.502736364079493</v>
      </c>
      <c r="H77" s="16" t="n">
        <f aca="false">(H67-G67)/G67</f>
        <v>0.369095311384416</v>
      </c>
      <c r="I77" s="16" t="n">
        <f aca="false">(I67-H67)/H67</f>
        <v>0.288729291114645</v>
      </c>
      <c r="K77" s="2"/>
    </row>
    <row r="78" customFormat="false" ht="15" hidden="false" customHeight="false" outlineLevel="0" collapsed="false">
      <c r="A78" s="9" t="s">
        <v>4176</v>
      </c>
      <c r="B78" s="11" t="s">
        <v>4177</v>
      </c>
      <c r="C78" s="11" t="s">
        <v>269</v>
      </c>
      <c r="D78" s="16" t="n">
        <f aca="false">D55/D67</f>
        <v>0.171521739130435</v>
      </c>
      <c r="E78" s="16" t="n">
        <f aca="false">E55/E67</f>
        <v>0.0909347366276627</v>
      </c>
      <c r="F78" s="16" t="n">
        <f aca="false">F55/F67</f>
        <v>0.0889911814080792</v>
      </c>
      <c r="G78" s="16" t="n">
        <f aca="false">G55/G67</f>
        <v>0.0834203991171203</v>
      </c>
      <c r="H78" s="16" t="n">
        <f aca="false">H55/H67</f>
        <v>0.0794914878694664</v>
      </c>
      <c r="I78" s="16" t="n">
        <f aca="false">I55/I67</f>
        <v>0.0743129858024131</v>
      </c>
      <c r="K78" s="2" t="s">
        <v>4178</v>
      </c>
    </row>
    <row r="79" customFormat="false" ht="15" hidden="false" customHeight="false" outlineLevel="0" collapsed="false">
      <c r="A79" s="15" t="s">
        <v>4179</v>
      </c>
    </row>
    <row r="80" customFormat="false" ht="15" hidden="false" customHeight="false" outlineLevel="0" collapsed="false">
      <c r="A80" s="9" t="s">
        <v>4180</v>
      </c>
      <c r="B80" s="11" t="s">
        <v>4181</v>
      </c>
      <c r="C80" s="11" t="s">
        <v>747</v>
      </c>
      <c r="D80" s="24" t="n">
        <f aca="false">Compute!D161</f>
        <v>1</v>
      </c>
      <c r="E80" s="24" t="n">
        <f aca="false">Compute!E161</f>
        <v>1</v>
      </c>
      <c r="F80" s="24" t="n">
        <f aca="false">Compute!F161</f>
        <v>1</v>
      </c>
      <c r="G80" s="24" t="n">
        <f aca="false">Compute!G161</f>
        <v>1</v>
      </c>
      <c r="H80" s="24" t="n">
        <f aca="false">Compute!H161</f>
        <v>1</v>
      </c>
      <c r="I80" s="24" t="n">
        <f aca="false">Compute!I161</f>
        <v>1</v>
      </c>
      <c r="K80" s="12" t="s">
        <v>4182</v>
      </c>
    </row>
    <row r="81" customFormat="false" ht="15" hidden="false" customHeight="false" outlineLevel="0" collapsed="false">
      <c r="A81" s="9" t="s">
        <v>4183</v>
      </c>
      <c r="B81" s="11" t="s">
        <v>4184</v>
      </c>
      <c r="C81" s="9" t="s">
        <v>482</v>
      </c>
      <c r="D81" s="17" t="n">
        <f aca="false">D67*D80</f>
        <v>4.6</v>
      </c>
      <c r="E81" s="17" t="n">
        <f aca="false">E67*E80</f>
        <v>49.9</v>
      </c>
      <c r="F81" s="17" t="n">
        <f aca="false">F67*F80</f>
        <v>83.0226729505251</v>
      </c>
      <c r="G81" s="17" t="n">
        <f aca="false">G67*G80</f>
        <v>124.761189685833</v>
      </c>
      <c r="H81" s="17" t="n">
        <f aca="false">H67*H80</f>
        <v>170.809959841616</v>
      </c>
      <c r="I81" s="17" t="n">
        <f aca="false">I67*I80</f>
        <v>220.127798462006</v>
      </c>
      <c r="K81" s="2"/>
    </row>
    <row r="82" customFormat="false" ht="15" hidden="false" customHeight="false" outlineLevel="0" collapsed="false">
      <c r="A82" s="9" t="s">
        <v>4185</v>
      </c>
      <c r="B82" s="11" t="s">
        <v>4186</v>
      </c>
      <c r="C82" s="9" t="s">
        <v>482</v>
      </c>
      <c r="D82" s="17" t="n">
        <f aca="false">D71*D80</f>
        <v>0.351</v>
      </c>
      <c r="E82" s="17" t="n">
        <f aca="false">E71*E80</f>
        <v>4.12840560255194</v>
      </c>
      <c r="F82" s="17" t="n">
        <f aca="false">F71*F80</f>
        <v>6.88411634225536</v>
      </c>
      <c r="G82" s="17" t="n">
        <f aca="false">G71*G80</f>
        <v>10.4087839094901</v>
      </c>
      <c r="H82" s="17" t="n">
        <f aca="false">H71*H80</f>
        <v>14.3120778755489</v>
      </c>
      <c r="I82" s="17" t="n">
        <f aca="false">I71*I80</f>
        <v>18.5484529267114</v>
      </c>
      <c r="K82" s="2"/>
    </row>
    <row r="83" customFormat="false" ht="15" hidden="false" customHeight="false" outlineLevel="0" collapsed="false">
      <c r="A83" s="9" t="s">
        <v>4187</v>
      </c>
      <c r="B83" s="11" t="s">
        <v>4188</v>
      </c>
      <c r="C83" s="9" t="s">
        <v>482</v>
      </c>
      <c r="D83" s="17" t="n">
        <f aca="false">D81-D82</f>
        <v>4.249</v>
      </c>
      <c r="E83" s="17" t="n">
        <f aca="false">E81-E82</f>
        <v>45.7715943974481</v>
      </c>
      <c r="F83" s="17" t="n">
        <f aca="false">F81-F82</f>
        <v>76.1385566082697</v>
      </c>
      <c r="G83" s="17" t="n">
        <f aca="false">G81-G82</f>
        <v>114.352405776343</v>
      </c>
      <c r="H83" s="17" t="n">
        <f aca="false">H81-H82</f>
        <v>156.497881966067</v>
      </c>
      <c r="I83" s="17" t="n">
        <f aca="false">I81-I82</f>
        <v>201.579345535295</v>
      </c>
      <c r="K83" s="2"/>
    </row>
    <row r="84" customFormat="false" ht="15" hidden="false" customHeight="false" outlineLevel="0" collapsed="false">
      <c r="A84" s="15" t="s">
        <v>4189</v>
      </c>
    </row>
    <row r="85" customFormat="false" ht="15" hidden="false" customHeight="false" outlineLevel="0" collapsed="false">
      <c r="A85" s="9" t="s">
        <v>4190</v>
      </c>
      <c r="B85" s="9" t="s">
        <v>4191</v>
      </c>
      <c r="C85" s="9" t="s">
        <v>482</v>
      </c>
      <c r="D85" s="17" t="n">
        <f aca="false">D67-SRC_ANT_001</f>
        <v>0</v>
      </c>
      <c r="K85" s="2"/>
    </row>
    <row r="86" customFormat="false" ht="15" hidden="false" customHeight="false" outlineLevel="0" collapsed="false">
      <c r="A86" s="9" t="s">
        <v>4192</v>
      </c>
      <c r="B86" s="9" t="s">
        <v>4193</v>
      </c>
      <c r="C86" s="9" t="s">
        <v>482</v>
      </c>
      <c r="E86" s="17" t="n">
        <f aca="false">E67-E45</f>
        <v>0</v>
      </c>
      <c r="K86" s="2"/>
    </row>
    <row r="87" customFormat="false" ht="15" hidden="false" customHeight="false" outlineLevel="0" collapsed="false">
      <c r="A87" s="9" t="s">
        <v>4194</v>
      </c>
      <c r="B87" s="9" t="s">
        <v>4195</v>
      </c>
      <c r="C87" s="9" t="s">
        <v>482</v>
      </c>
      <c r="D87" s="17" t="n">
        <f aca="false">SRC_ANT_173*INP_029*D40*INP_008/INP_012</f>
        <v>0.4109049</v>
      </c>
      <c r="K87" s="2" t="s">
        <v>4196</v>
      </c>
    </row>
    <row r="88" customFormat="false" ht="15" hidden="false" customHeight="false" outlineLevel="0" collapsed="false">
      <c r="A88" s="9" t="s">
        <v>4197</v>
      </c>
      <c r="B88" s="9" t="s">
        <v>4198</v>
      </c>
      <c r="C88" s="9" t="s">
        <v>482</v>
      </c>
      <c r="D88" s="17" t="n">
        <f aca="false">D87-D43</f>
        <v>-0.2790951</v>
      </c>
      <c r="K88" s="2"/>
    </row>
    <row r="89" customFormat="false" ht="15" hidden="false" customHeight="false" outlineLevel="0" collapsed="false">
      <c r="A89" s="9" t="s">
        <v>4199</v>
      </c>
      <c r="B89" s="9" t="s">
        <v>4200</v>
      </c>
      <c r="C89" s="9" t="s">
        <v>482</v>
      </c>
      <c r="D89" s="17" t="n">
        <f aca="false">(SRC_ANT_017-SRC_ANT_008)/LN(SRC_ANT_017/SRC_ANT_008)</f>
        <v>3.64095690650735</v>
      </c>
      <c r="K89" s="2" t="s">
        <v>4201</v>
      </c>
    </row>
    <row r="90" customFormat="false" ht="15" hidden="false" customHeight="false" outlineLevel="0" collapsed="false">
      <c r="A90" s="9" t="s">
        <v>4202</v>
      </c>
      <c r="B90" s="9" t="s">
        <v>4203</v>
      </c>
      <c r="C90" s="11" t="s">
        <v>269</v>
      </c>
      <c r="D90" s="16" t="n">
        <f aca="false">(D67-D89)/D89</f>
        <v>0.263404131968326</v>
      </c>
      <c r="K90" s="12" t="s">
        <v>4204</v>
      </c>
    </row>
    <row r="91" customFormat="false" ht="15" hidden="false" customHeight="false" outlineLevel="0" collapsed="false">
      <c r="A91" s="9" t="s">
        <v>4205</v>
      </c>
      <c r="B91" s="9" t="s">
        <v>4206</v>
      </c>
      <c r="C91" s="9" t="s">
        <v>482</v>
      </c>
      <c r="E91" s="17" t="n">
        <f aca="false">E98+(AVERAGE(SRC_ANT_373_Lo,SRC_ANT_373_Hi)-SRC_ANT_023)/LN(AVERAGE(SRC_ANT_373_Lo,SRC_ANT_373_Hi)/SRC_ANT_023)*INP_009/INP_008</f>
        <v>59.0680959424994</v>
      </c>
      <c r="K91" s="2" t="s">
        <v>4207</v>
      </c>
    </row>
    <row r="92" customFormat="false" ht="15" hidden="false" customHeight="false" outlineLevel="0" collapsed="false">
      <c r="A92" s="9" t="s">
        <v>4208</v>
      </c>
      <c r="B92" s="9" t="s">
        <v>4209</v>
      </c>
      <c r="C92" s="11" t="s">
        <v>269</v>
      </c>
      <c r="E92" s="16" t="n">
        <f aca="false">(E67-E91)/E91</f>
        <v>-0.155212315484559</v>
      </c>
      <c r="K92" s="12" t="s">
        <v>4210</v>
      </c>
    </row>
    <row r="93" customFormat="false" ht="15" hidden="false" customHeight="false" outlineLevel="0" collapsed="false">
      <c r="A93" s="9" t="s">
        <v>4211</v>
      </c>
      <c r="B93" s="9" t="s">
        <v>4212</v>
      </c>
      <c r="C93" s="9" t="s">
        <v>76</v>
      </c>
      <c r="E93" s="17" t="n">
        <f aca="false">(E67-E98)*INP_008/INP_009</f>
        <v>67.2</v>
      </c>
      <c r="K93" s="12" t="s">
        <v>4213</v>
      </c>
    </row>
    <row r="94" customFormat="false" ht="15" hidden="false" customHeight="false" outlineLevel="0" collapsed="false">
      <c r="A94" s="9" t="s">
        <v>4214</v>
      </c>
      <c r="B94" s="11" t="s">
        <v>4215</v>
      </c>
      <c r="C94" s="9" t="s">
        <v>482</v>
      </c>
      <c r="E94" s="17" t="n">
        <f aca="false">SRC_ANT_368</f>
        <v>18</v>
      </c>
      <c r="F94" s="17" t="n">
        <f aca="false">SRC_ANT_369</f>
        <v>55</v>
      </c>
      <c r="H94" s="17" t="n">
        <f aca="false">SRC_ANT_370</f>
        <v>148</v>
      </c>
      <c r="K94" s="12" t="s">
        <v>4216</v>
      </c>
    </row>
    <row r="95" customFormat="false" ht="15" hidden="false" customHeight="false" outlineLevel="0" collapsed="false">
      <c r="A95" s="9" t="s">
        <v>4217</v>
      </c>
      <c r="B95" s="11" t="s">
        <v>4218</v>
      </c>
      <c r="C95" s="9" t="s">
        <v>482</v>
      </c>
      <c r="E95" s="17" t="n">
        <f aca="false">E67-E94</f>
        <v>31.9</v>
      </c>
      <c r="F95" s="17" t="n">
        <f aca="false">F67-F94</f>
        <v>28.0226729505251</v>
      </c>
      <c r="H95" s="17" t="n">
        <f aca="false">H67-H94</f>
        <v>22.8099598416155</v>
      </c>
      <c r="K95" s="2"/>
    </row>
    <row r="96" customFormat="false" ht="15" hidden="false" customHeight="false" outlineLevel="0" collapsed="false">
      <c r="A96" s="9" t="s">
        <v>4219</v>
      </c>
      <c r="B96" s="9" t="s">
        <v>4220</v>
      </c>
      <c r="C96" s="11" t="s">
        <v>269</v>
      </c>
      <c r="E96" s="16" t="n">
        <f aca="false">SRC_ANT_034/E69</f>
        <v>0.248037644209916</v>
      </c>
      <c r="K96" s="12" t="s">
        <v>4221</v>
      </c>
    </row>
    <row r="97" customFormat="false" ht="15" hidden="false" customHeight="false" outlineLevel="0" collapsed="false">
      <c r="A97" s="15" t="s">
        <v>4222</v>
      </c>
    </row>
    <row r="98" customFormat="false" ht="15" hidden="false" customHeight="false" outlineLevel="0" collapsed="false">
      <c r="A98" s="9" t="s">
        <v>4223</v>
      </c>
      <c r="B98" s="9" t="s">
        <v>4224</v>
      </c>
      <c r="C98" s="9" t="s">
        <v>482</v>
      </c>
      <c r="E98" s="17" t="n">
        <f aca="false">INP_180*SRC_ANT_380+(1-INP_180)*(SRC_ANT_004+SRC_ANT_005)</f>
        <v>16.3</v>
      </c>
      <c r="K98" s="12" t="s">
        <v>4225</v>
      </c>
    </row>
    <row r="100" customFormat="false" ht="15" hidden="false" customHeight="false" outlineLevel="0" collapsed="false">
      <c r="A100" s="15" t="s">
        <v>4226</v>
      </c>
    </row>
    <row r="101" customFormat="false" ht="29.85" hidden="false" customHeight="false" outlineLevel="0" collapsed="false">
      <c r="A101" s="8" t="s">
        <v>3862</v>
      </c>
      <c r="B101" s="8" t="s">
        <v>4227</v>
      </c>
      <c r="C101" s="8" t="s">
        <v>52</v>
      </c>
      <c r="D101" s="7" t="s">
        <v>77</v>
      </c>
      <c r="E101" s="7" t="s">
        <v>306</v>
      </c>
      <c r="F101" s="7" t="s">
        <v>2929</v>
      </c>
      <c r="G101" s="7" t="s">
        <v>1660</v>
      </c>
      <c r="H101" s="7" t="s">
        <v>2930</v>
      </c>
      <c r="I101" s="7" t="s">
        <v>2931</v>
      </c>
      <c r="J101" s="8"/>
      <c r="K101" s="8" t="s">
        <v>2519</v>
      </c>
      <c r="L101" s="8"/>
      <c r="M101" s="7" t="s">
        <v>4228</v>
      </c>
      <c r="N101" s="8" t="s">
        <v>4229</v>
      </c>
      <c r="O101" s="7" t="s">
        <v>4230</v>
      </c>
    </row>
    <row r="102" customFormat="false" ht="15" hidden="false" customHeight="false" outlineLevel="0" collapsed="false">
      <c r="A102" s="9" t="s">
        <v>4231</v>
      </c>
      <c r="B102" s="11" t="s">
        <v>4232</v>
      </c>
      <c r="C102" s="11" t="s">
        <v>269</v>
      </c>
      <c r="D102" s="16" t="n">
        <f aca="false">(D$9-MAX(D$8,MIN(D$9,$N102)))/(D$9-D$8)</f>
        <v>1</v>
      </c>
      <c r="E102" s="16" t="n">
        <f aca="false">(E$9-MAX(E$8,MIN(E$9,$N102)))/(E$9-E$8)</f>
        <v>1</v>
      </c>
      <c r="F102" s="16" t="n">
        <f aca="false">(F$9-MAX(F$8,MIN(F$9,$N102)))/(F$9-F$8)</f>
        <v>1</v>
      </c>
      <c r="G102" s="16" t="n">
        <f aca="false">(G$9-MAX(G$8,MIN(G$9,$N102)))/(G$9-G$8)</f>
        <v>1</v>
      </c>
      <c r="H102" s="16" t="n">
        <f aca="false">(H$9-MAX(H$8,MIN(H$9,$N102)))/(H$9-H$8)</f>
        <v>1</v>
      </c>
      <c r="I102" s="16" t="n">
        <f aca="false">(I$9-MAX(I$8,MIN(I$9,$N102)))/(I$9-I$8)</f>
        <v>1</v>
      </c>
      <c r="K102" s="2" t="s">
        <v>4233</v>
      </c>
      <c r="M102" s="21" t="n">
        <f aca="false">SRC_ANT_065</f>
        <v>15</v>
      </c>
      <c r="N102" s="23" t="n">
        <f aca="false">SRC_ANT_065_Date</f>
        <v>45355</v>
      </c>
      <c r="O102" s="21" t="n">
        <f aca="false">M102</f>
        <v>15</v>
      </c>
    </row>
    <row r="103" customFormat="false" ht="15" hidden="false" customHeight="false" outlineLevel="0" collapsed="false">
      <c r="A103" s="9" t="s">
        <v>4234</v>
      </c>
      <c r="B103" s="11" t="s">
        <v>4235</v>
      </c>
      <c r="C103" s="11" t="s">
        <v>269</v>
      </c>
      <c r="D103" s="16" t="n">
        <f aca="false">(D$9-MAX(D$8,MIN(D$9,$N103)))/(D$9-D$8)</f>
        <v>0.613698630136986</v>
      </c>
      <c r="E103" s="16" t="n">
        <f aca="false">(E$9-MAX(E$8,MIN(E$9,$N103)))/(E$9-E$8)</f>
        <v>1</v>
      </c>
      <c r="F103" s="16" t="n">
        <f aca="false">(F$9-MAX(F$8,MIN(F$9,$N103)))/(F$9-F$8)</f>
        <v>1</v>
      </c>
      <c r="G103" s="16" t="n">
        <f aca="false">(G$9-MAX(G$8,MIN(G$9,$N103)))/(G$9-G$8)</f>
        <v>1</v>
      </c>
      <c r="H103" s="16" t="n">
        <f aca="false">(H$9-MAX(H$8,MIN(H$9,$N103)))/(H$9-H$8)</f>
        <v>1</v>
      </c>
      <c r="I103" s="16" t="n">
        <f aca="false">(I$9-MAX(I$8,MIN(I$9,$N103)))/(I$9-I$8)</f>
        <v>1</v>
      </c>
      <c r="K103" s="2"/>
      <c r="M103" s="21" t="n">
        <f aca="false">SRC_ANT_079</f>
        <v>15</v>
      </c>
      <c r="N103" s="23" t="n">
        <f aca="false">SRC_ANT_079_Date</f>
        <v>45799</v>
      </c>
      <c r="O103" s="21" t="n">
        <f aca="false">M103-M102</f>
        <v>0</v>
      </c>
    </row>
    <row r="104" customFormat="false" ht="15" hidden="false" customHeight="false" outlineLevel="0" collapsed="false">
      <c r="A104" s="9" t="s">
        <v>4236</v>
      </c>
      <c r="B104" s="11" t="s">
        <v>4237</v>
      </c>
      <c r="C104" s="11" t="s">
        <v>269</v>
      </c>
      <c r="D104" s="16" t="n">
        <f aca="false">(D$9-MAX(D$8,MIN(D$9,$N104)))/(D$9-D$8)</f>
        <v>0.408219178082192</v>
      </c>
      <c r="E104" s="16" t="n">
        <f aca="false">(E$9-MAX(E$8,MIN(E$9,$N104)))/(E$9-E$8)</f>
        <v>1</v>
      </c>
      <c r="F104" s="16" t="n">
        <f aca="false">(F$9-MAX(F$8,MIN(F$9,$N104)))/(F$9-F$8)</f>
        <v>1</v>
      </c>
      <c r="G104" s="16" t="n">
        <f aca="false">(G$9-MAX(G$8,MIN(G$9,$N104)))/(G$9-G$8)</f>
        <v>1</v>
      </c>
      <c r="H104" s="16" t="n">
        <f aca="false">(H$9-MAX(H$8,MIN(H$9,$N104)))/(H$9-H$8)</f>
        <v>1</v>
      </c>
      <c r="I104" s="16" t="n">
        <f aca="false">(I$9-MAX(I$8,MIN(I$9,$N104)))/(I$9-I$8)</f>
        <v>1</v>
      </c>
      <c r="K104" s="2"/>
      <c r="M104" s="21" t="n">
        <f aca="false">SRC_ANT_083</f>
        <v>15</v>
      </c>
      <c r="N104" s="23" t="n">
        <f aca="false">SRC_ANT_083_Date</f>
        <v>45874</v>
      </c>
      <c r="O104" s="21" t="n">
        <f aca="false">M104-M103</f>
        <v>0</v>
      </c>
    </row>
    <row r="105" customFormat="false" ht="15" hidden="false" customHeight="false" outlineLevel="0" collapsed="false">
      <c r="A105" s="9" t="s">
        <v>4238</v>
      </c>
      <c r="B105" s="11" t="s">
        <v>4239</v>
      </c>
      <c r="C105" s="11" t="s">
        <v>269</v>
      </c>
      <c r="D105" s="16" t="n">
        <f aca="false">(D$9-MAX(D$8,MIN(D$9,$N105)))/(D$9-D$8)</f>
        <v>0.104109589041096</v>
      </c>
      <c r="E105" s="16" t="n">
        <f aca="false">(E$9-MAX(E$8,MIN(E$9,$N105)))/(E$9-E$8)</f>
        <v>1</v>
      </c>
      <c r="F105" s="16" t="n">
        <f aca="false">(F$9-MAX(F$8,MIN(F$9,$N105)))/(F$9-F$8)</f>
        <v>1</v>
      </c>
      <c r="G105" s="16" t="n">
        <f aca="false">(G$9-MAX(G$8,MIN(G$9,$N105)))/(G$9-G$8)</f>
        <v>1</v>
      </c>
      <c r="H105" s="16" t="n">
        <f aca="false">(H$9-MAX(H$8,MIN(H$9,$N105)))/(H$9-H$8)</f>
        <v>1</v>
      </c>
      <c r="I105" s="16" t="n">
        <f aca="false">(I$9-MAX(I$8,MIN(I$9,$N105)))/(I$9-I$8)</f>
        <v>1</v>
      </c>
      <c r="K105" s="2"/>
      <c r="M105" s="21" t="n">
        <f aca="false">SRC_ANT_089</f>
        <v>5</v>
      </c>
      <c r="N105" s="23" t="n">
        <f aca="false">SRC_ANT_089_Date</f>
        <v>45985</v>
      </c>
      <c r="O105" s="21" t="n">
        <f aca="false">M105-M104</f>
        <v>-10</v>
      </c>
    </row>
    <row r="106" customFormat="false" ht="15" hidden="false" customHeight="false" outlineLevel="0" collapsed="false">
      <c r="A106" s="9" t="s">
        <v>4240</v>
      </c>
      <c r="B106" s="11" t="s">
        <v>4241</v>
      </c>
      <c r="C106" s="11" t="s">
        <v>269</v>
      </c>
      <c r="D106" s="16" t="n">
        <f aca="false">(D$9-MAX(D$8,MIN(D$9,$N106)))/(D$9-D$8)</f>
        <v>0</v>
      </c>
      <c r="E106" s="16" t="n">
        <f aca="false">(E$9-MAX(E$8,MIN(E$9,$N106)))/(E$9-E$8)</f>
        <v>0.904109589041096</v>
      </c>
      <c r="F106" s="16" t="n">
        <f aca="false">(F$9-MAX(F$8,MIN(F$9,$N106)))/(F$9-F$8)</f>
        <v>1</v>
      </c>
      <c r="G106" s="16" t="n">
        <f aca="false">(G$9-MAX(G$8,MIN(G$9,$N106)))/(G$9-G$8)</f>
        <v>1</v>
      </c>
      <c r="H106" s="16" t="n">
        <f aca="false">(H$9-MAX(H$8,MIN(H$9,$N106)))/(H$9-H$8)</f>
        <v>1</v>
      </c>
      <c r="I106" s="16" t="n">
        <f aca="false">(I$9-MAX(I$8,MIN(I$9,$N106)))/(I$9-I$8)</f>
        <v>1</v>
      </c>
      <c r="K106" s="2"/>
      <c r="M106" s="21" t="n">
        <f aca="false">SRC_ANT_091</f>
        <v>5</v>
      </c>
      <c r="N106" s="23" t="n">
        <f aca="false">SRC_ANT_091_Date</f>
        <v>46058</v>
      </c>
      <c r="O106" s="21" t="n">
        <f aca="false">M106-M105</f>
        <v>0</v>
      </c>
    </row>
    <row r="107" customFormat="false" ht="15" hidden="false" customHeight="false" outlineLevel="0" collapsed="false">
      <c r="A107" s="9" t="s">
        <v>4242</v>
      </c>
      <c r="B107" s="11" t="s">
        <v>4243</v>
      </c>
      <c r="C107" s="11" t="s">
        <v>269</v>
      </c>
      <c r="D107" s="16" t="n">
        <f aca="false">(D$9-MAX(D$8,MIN(D$9,$N107)))/(D$9-D$8)</f>
        <v>0</v>
      </c>
      <c r="E107" s="16" t="n">
        <f aca="false">(E$9-MAX(E$8,MIN(E$9,$N107)))/(E$9-E$8)</f>
        <v>0.712328767123288</v>
      </c>
      <c r="F107" s="16" t="n">
        <f aca="false">(F$9-MAX(F$8,MIN(F$9,$N107)))/(F$9-F$8)</f>
        <v>1</v>
      </c>
      <c r="G107" s="16" t="n">
        <f aca="false">(G$9-MAX(G$8,MIN(G$9,$N107)))/(G$9-G$8)</f>
        <v>1</v>
      </c>
      <c r="H107" s="16" t="n">
        <f aca="false">(H$9-MAX(H$8,MIN(H$9,$N107)))/(H$9-H$8)</f>
        <v>1</v>
      </c>
      <c r="I107" s="16" t="n">
        <f aca="false">(I$9-MAX(I$8,MIN(I$9,$N107)))/(I$9-I$8)</f>
        <v>1</v>
      </c>
      <c r="K107" s="2"/>
      <c r="M107" s="21" t="n">
        <f aca="false">SRC_ANT_097</f>
        <v>5</v>
      </c>
      <c r="N107" s="23" t="n">
        <f aca="false">SRC_ANT_097_Date</f>
        <v>46128</v>
      </c>
      <c r="O107" s="21" t="n">
        <f aca="false">M107-M106</f>
        <v>0</v>
      </c>
    </row>
    <row r="108" customFormat="false" ht="15" hidden="false" customHeight="false" outlineLevel="0" collapsed="false">
      <c r="A108" s="9" t="s">
        <v>4244</v>
      </c>
      <c r="B108" s="11" t="s">
        <v>4245</v>
      </c>
      <c r="C108" s="11" t="s">
        <v>269</v>
      </c>
      <c r="D108" s="16" t="n">
        <f aca="false">(D$9-MAX(D$8,MIN(D$9,$N108)))/(D$9-D$8)</f>
        <v>0</v>
      </c>
      <c r="E108" s="16" t="n">
        <f aca="false">(E$9-MAX(E$8,MIN(E$9,$N108)))/(E$9-E$8)</f>
        <v>0.597260273972603</v>
      </c>
      <c r="F108" s="16" t="n">
        <f aca="false">(F$9-MAX(F$8,MIN(F$9,$N108)))/(F$9-F$8)</f>
        <v>1</v>
      </c>
      <c r="G108" s="16" t="n">
        <f aca="false">(G$9-MAX(G$8,MIN(G$9,$N108)))/(G$9-G$8)</f>
        <v>1</v>
      </c>
      <c r="H108" s="16" t="n">
        <f aca="false">(H$9-MAX(H$8,MIN(H$9,$N108)))/(H$9-H$8)</f>
        <v>1</v>
      </c>
      <c r="I108" s="16" t="n">
        <f aca="false">(I$9-MAX(I$8,MIN(I$9,$N108)))/(I$9-I$8)</f>
        <v>1</v>
      </c>
      <c r="K108" s="2"/>
      <c r="M108" s="21" t="n">
        <f aca="false">SRC_ANT_099</f>
        <v>5</v>
      </c>
      <c r="N108" s="23" t="n">
        <f aca="false">SRC_ANT_099_Date</f>
        <v>46170</v>
      </c>
      <c r="O108" s="21" t="n">
        <f aca="false">M108-M107</f>
        <v>0</v>
      </c>
    </row>
    <row r="109" customFormat="false" ht="15" hidden="false" customHeight="false" outlineLevel="0" collapsed="false">
      <c r="A109" s="9" t="s">
        <v>4246</v>
      </c>
      <c r="B109" s="11" t="s">
        <v>4247</v>
      </c>
      <c r="C109" s="11" t="s">
        <v>269</v>
      </c>
      <c r="D109" s="16" t="n">
        <f aca="false">(D$9-MAX(D$8,MIN(D$9,$N109)))/(D$9-D$8)</f>
        <v>0</v>
      </c>
      <c r="E109" s="16" t="n">
        <f aca="false">(E$9-MAX(E$8,MIN(E$9,$N109)))/(E$9-E$8)</f>
        <v>0.441095890410959</v>
      </c>
      <c r="F109" s="16" t="n">
        <f aca="false">(F$9-MAX(F$8,MIN(F$9,$N109)))/(F$9-F$8)</f>
        <v>1</v>
      </c>
      <c r="G109" s="16" t="n">
        <f aca="false">(G$9-MAX(G$8,MIN(G$9,$N109)))/(G$9-G$8)</f>
        <v>1</v>
      </c>
      <c r="H109" s="16" t="n">
        <f aca="false">(H$9-MAX(H$8,MIN(H$9,$N109)))/(H$9-H$8)</f>
        <v>1</v>
      </c>
      <c r="I109" s="16" t="n">
        <f aca="false">(I$9-MAX(I$8,MIN(I$9,$N109)))/(I$9-I$8)</f>
        <v>1</v>
      </c>
      <c r="K109" s="2"/>
      <c r="M109" s="21" t="n">
        <f aca="false">SRC_ANT_107</f>
        <v>5</v>
      </c>
      <c r="N109" s="23" t="n">
        <f aca="false">SRC_ANT_107_Date</f>
        <v>46227</v>
      </c>
      <c r="O109" s="21" t="n">
        <f aca="false">M109-M108</f>
        <v>0</v>
      </c>
    </row>
    <row r="110" customFormat="false" ht="15" hidden="false" customHeight="false" outlineLevel="0" collapsed="false">
      <c r="A110" s="9" t="s">
        <v>4248</v>
      </c>
      <c r="B110" s="11" t="s">
        <v>4249</v>
      </c>
      <c r="C110" s="11" t="s">
        <v>269</v>
      </c>
      <c r="D110" s="16" t="n">
        <f aca="false">(D$9-MAX(D$8,MIN(D$9,$N110)))/(D$9-D$8)</f>
        <v>0</v>
      </c>
      <c r="E110" s="16" t="n">
        <f aca="false">(E$9-MAX(E$8,MIN(E$9,$N110)))/(E$9-E$8)</f>
        <v>0.276712328767123</v>
      </c>
      <c r="F110" s="16" t="n">
        <f aca="false">(F$9-MAX(F$8,MIN(F$9,$N110)))/(F$9-F$8)</f>
        <v>1</v>
      </c>
      <c r="G110" s="16" t="n">
        <f aca="false">(G$9-MAX(G$8,MIN(G$9,$N110)))/(G$9-G$8)</f>
        <v>1</v>
      </c>
      <c r="H110" s="16" t="n">
        <f aca="false">(H$9-MAX(H$8,MIN(H$9,$N110)))/(H$9-H$8)</f>
        <v>1</v>
      </c>
      <c r="I110" s="16" t="n">
        <f aca="false">(I$9-MAX(I$8,MIN(I$9,$N110)))/(I$9-I$8)</f>
        <v>1</v>
      </c>
      <c r="K110" s="2"/>
      <c r="M110" s="21" t="n">
        <f aca="false">SRC_ANT_111</f>
        <v>4</v>
      </c>
      <c r="N110" s="23" t="n">
        <f aca="false">SRC_ANT_111_Date</f>
        <v>46287</v>
      </c>
      <c r="O110" s="21" t="n">
        <f aca="false">M110-M109</f>
        <v>-1</v>
      </c>
    </row>
    <row r="111" customFormat="false" ht="15" hidden="false" customHeight="false" outlineLevel="0" collapsed="false">
      <c r="A111" s="9" t="s">
        <v>4250</v>
      </c>
      <c r="B111" s="11" t="s">
        <v>4251</v>
      </c>
      <c r="C111" s="11" t="s">
        <v>269</v>
      </c>
      <c r="D111" s="16" t="n">
        <f aca="false">(D$9-MAX(D$8,MIN(D$9,$N111)))/(D$9-D$8)</f>
        <v>1</v>
      </c>
      <c r="E111" s="16" t="n">
        <f aca="false">(E$9-MAX(E$8,MIN(E$9,$N111)))/(E$9-E$8)</f>
        <v>1</v>
      </c>
      <c r="F111" s="16" t="n">
        <f aca="false">(F$9-MAX(F$8,MIN(F$9,$N111)))/(F$9-F$8)</f>
        <v>1</v>
      </c>
      <c r="G111" s="16" t="n">
        <f aca="false">(G$9-MAX(G$8,MIN(G$9,$N111)))/(G$9-G$8)</f>
        <v>1</v>
      </c>
      <c r="H111" s="16" t="n">
        <f aca="false">(H$9-MAX(H$8,MIN(H$9,$N111)))/(H$9-H$8)</f>
        <v>1</v>
      </c>
      <c r="I111" s="16" t="n">
        <f aca="false">(I$9-MAX(I$8,MIN(I$9,$N111)))/(I$9-I$8)</f>
        <v>1</v>
      </c>
      <c r="K111" s="2" t="s">
        <v>4233</v>
      </c>
      <c r="M111" s="21" t="n">
        <f aca="false">SRC_ANT_066</f>
        <v>75</v>
      </c>
      <c r="N111" s="23" t="n">
        <f aca="false">SRC_ANT_066_Date</f>
        <v>45355</v>
      </c>
      <c r="O111" s="21" t="n">
        <f aca="false">M111</f>
        <v>75</v>
      </c>
    </row>
    <row r="112" customFormat="false" ht="15" hidden="false" customHeight="false" outlineLevel="0" collapsed="false">
      <c r="A112" s="9" t="s">
        <v>4252</v>
      </c>
      <c r="B112" s="11" t="s">
        <v>4253</v>
      </c>
      <c r="C112" s="11" t="s">
        <v>269</v>
      </c>
      <c r="D112" s="16" t="n">
        <f aca="false">(D$9-MAX(D$8,MIN(D$9,$N112)))/(D$9-D$8)</f>
        <v>0.613698630136986</v>
      </c>
      <c r="E112" s="16" t="n">
        <f aca="false">(E$9-MAX(E$8,MIN(E$9,$N112)))/(E$9-E$8)</f>
        <v>1</v>
      </c>
      <c r="F112" s="16" t="n">
        <f aca="false">(F$9-MAX(F$8,MIN(F$9,$N112)))/(F$9-F$8)</f>
        <v>1</v>
      </c>
      <c r="G112" s="16" t="n">
        <f aca="false">(G$9-MAX(G$8,MIN(G$9,$N112)))/(G$9-G$8)</f>
        <v>1</v>
      </c>
      <c r="H112" s="16" t="n">
        <f aca="false">(H$9-MAX(H$8,MIN(H$9,$N112)))/(H$9-H$8)</f>
        <v>1</v>
      </c>
      <c r="I112" s="16" t="n">
        <f aca="false">(I$9-MAX(I$8,MIN(I$9,$N112)))/(I$9-I$8)</f>
        <v>1</v>
      </c>
      <c r="K112" s="2"/>
      <c r="M112" s="21" t="n">
        <f aca="false">SRC_ANT_080</f>
        <v>75</v>
      </c>
      <c r="N112" s="23" t="n">
        <f aca="false">SRC_ANT_080_Date</f>
        <v>45799</v>
      </c>
      <c r="O112" s="21" t="n">
        <f aca="false">M112-M111</f>
        <v>0</v>
      </c>
    </row>
    <row r="113" customFormat="false" ht="15" hidden="false" customHeight="false" outlineLevel="0" collapsed="false">
      <c r="A113" s="9" t="s">
        <v>4254</v>
      </c>
      <c r="B113" s="11" t="s">
        <v>4255</v>
      </c>
      <c r="C113" s="11" t="s">
        <v>269</v>
      </c>
      <c r="D113" s="16" t="n">
        <f aca="false">(D$9-MAX(D$8,MIN(D$9,$N113)))/(D$9-D$8)</f>
        <v>0.408219178082192</v>
      </c>
      <c r="E113" s="16" t="n">
        <f aca="false">(E$9-MAX(E$8,MIN(E$9,$N113)))/(E$9-E$8)</f>
        <v>1</v>
      </c>
      <c r="F113" s="16" t="n">
        <f aca="false">(F$9-MAX(F$8,MIN(F$9,$N113)))/(F$9-F$8)</f>
        <v>1</v>
      </c>
      <c r="G113" s="16" t="n">
        <f aca="false">(G$9-MAX(G$8,MIN(G$9,$N113)))/(G$9-G$8)</f>
        <v>1</v>
      </c>
      <c r="H113" s="16" t="n">
        <f aca="false">(H$9-MAX(H$8,MIN(H$9,$N113)))/(H$9-H$8)</f>
        <v>1</v>
      </c>
      <c r="I113" s="16" t="n">
        <f aca="false">(I$9-MAX(I$8,MIN(I$9,$N113)))/(I$9-I$8)</f>
        <v>1</v>
      </c>
      <c r="K113" s="2"/>
      <c r="M113" s="21" t="n">
        <f aca="false">SRC_ANT_084</f>
        <v>75</v>
      </c>
      <c r="N113" s="23" t="n">
        <f aca="false">SRC_ANT_084_Date</f>
        <v>45874</v>
      </c>
      <c r="O113" s="21" t="n">
        <f aca="false">M113-M112</f>
        <v>0</v>
      </c>
    </row>
    <row r="114" customFormat="false" ht="15" hidden="false" customHeight="false" outlineLevel="0" collapsed="false">
      <c r="A114" s="9" t="s">
        <v>4256</v>
      </c>
      <c r="B114" s="11" t="s">
        <v>4257</v>
      </c>
      <c r="C114" s="11" t="s">
        <v>269</v>
      </c>
      <c r="D114" s="16" t="n">
        <f aca="false">(D$9-MAX(D$8,MIN(D$9,$N114)))/(D$9-D$8)</f>
        <v>0.104109589041096</v>
      </c>
      <c r="E114" s="16" t="n">
        <f aca="false">(E$9-MAX(E$8,MIN(E$9,$N114)))/(E$9-E$8)</f>
        <v>1</v>
      </c>
      <c r="F114" s="16" t="n">
        <f aca="false">(F$9-MAX(F$8,MIN(F$9,$N114)))/(F$9-F$8)</f>
        <v>1</v>
      </c>
      <c r="G114" s="16" t="n">
        <f aca="false">(G$9-MAX(G$8,MIN(G$9,$N114)))/(G$9-G$8)</f>
        <v>1</v>
      </c>
      <c r="H114" s="16" t="n">
        <f aca="false">(H$9-MAX(H$8,MIN(H$9,$N114)))/(H$9-H$8)</f>
        <v>1</v>
      </c>
      <c r="I114" s="16" t="n">
        <f aca="false">(I$9-MAX(I$8,MIN(I$9,$N114)))/(I$9-I$8)</f>
        <v>1</v>
      </c>
      <c r="K114" s="2"/>
      <c r="M114" s="21" t="n">
        <f aca="false">SRC_ANT_090</f>
        <v>25</v>
      </c>
      <c r="N114" s="23" t="n">
        <f aca="false">SRC_ANT_090_Date</f>
        <v>45985</v>
      </c>
      <c r="O114" s="21" t="n">
        <f aca="false">M114-M113</f>
        <v>-50</v>
      </c>
    </row>
    <row r="115" customFormat="false" ht="15" hidden="false" customHeight="false" outlineLevel="0" collapsed="false">
      <c r="A115" s="9" t="s">
        <v>4258</v>
      </c>
      <c r="B115" s="11" t="s">
        <v>4259</v>
      </c>
      <c r="C115" s="11" t="s">
        <v>269</v>
      </c>
      <c r="D115" s="16" t="n">
        <f aca="false">(D$9-MAX(D$8,MIN(D$9,$N115)))/(D$9-D$8)</f>
        <v>0</v>
      </c>
      <c r="E115" s="16" t="n">
        <f aca="false">(E$9-MAX(E$8,MIN(E$9,$N115)))/(E$9-E$8)</f>
        <v>0.904109589041096</v>
      </c>
      <c r="F115" s="16" t="n">
        <f aca="false">(F$9-MAX(F$8,MIN(F$9,$N115)))/(F$9-F$8)</f>
        <v>1</v>
      </c>
      <c r="G115" s="16" t="n">
        <f aca="false">(G$9-MAX(G$8,MIN(G$9,$N115)))/(G$9-G$8)</f>
        <v>1</v>
      </c>
      <c r="H115" s="16" t="n">
        <f aca="false">(H$9-MAX(H$8,MIN(H$9,$N115)))/(H$9-H$8)</f>
        <v>1</v>
      </c>
      <c r="I115" s="16" t="n">
        <f aca="false">(I$9-MAX(I$8,MIN(I$9,$N115)))/(I$9-I$8)</f>
        <v>1</v>
      </c>
      <c r="K115" s="2"/>
      <c r="M115" s="21" t="n">
        <f aca="false">SRC_ANT_092</f>
        <v>25</v>
      </c>
      <c r="N115" s="23" t="n">
        <f aca="false">SRC_ANT_092_Date</f>
        <v>46058</v>
      </c>
      <c r="O115" s="21" t="n">
        <f aca="false">M115-M114</f>
        <v>0</v>
      </c>
    </row>
    <row r="116" customFormat="false" ht="15" hidden="false" customHeight="false" outlineLevel="0" collapsed="false">
      <c r="A116" s="9" t="s">
        <v>4260</v>
      </c>
      <c r="B116" s="11" t="s">
        <v>4261</v>
      </c>
      <c r="C116" s="11" t="s">
        <v>269</v>
      </c>
      <c r="D116" s="16" t="n">
        <f aca="false">(D$9-MAX(D$8,MIN(D$9,$N116)))/(D$9-D$8)</f>
        <v>0</v>
      </c>
      <c r="E116" s="16" t="n">
        <f aca="false">(E$9-MAX(E$8,MIN(E$9,$N116)))/(E$9-E$8)</f>
        <v>0.712328767123288</v>
      </c>
      <c r="F116" s="16" t="n">
        <f aca="false">(F$9-MAX(F$8,MIN(F$9,$N116)))/(F$9-F$8)</f>
        <v>1</v>
      </c>
      <c r="G116" s="16" t="n">
        <f aca="false">(G$9-MAX(G$8,MIN(G$9,$N116)))/(G$9-G$8)</f>
        <v>1</v>
      </c>
      <c r="H116" s="16" t="n">
        <f aca="false">(H$9-MAX(H$8,MIN(H$9,$N116)))/(H$9-H$8)</f>
        <v>1</v>
      </c>
      <c r="I116" s="16" t="n">
        <f aca="false">(I$9-MAX(I$8,MIN(I$9,$N116)))/(I$9-I$8)</f>
        <v>1</v>
      </c>
      <c r="K116" s="2"/>
      <c r="M116" s="21" t="n">
        <f aca="false">SRC_ANT_098</f>
        <v>25</v>
      </c>
      <c r="N116" s="23" t="n">
        <f aca="false">SRC_ANT_098_Date</f>
        <v>46128</v>
      </c>
      <c r="O116" s="21" t="n">
        <f aca="false">M116-M115</f>
        <v>0</v>
      </c>
    </row>
    <row r="117" customFormat="false" ht="15" hidden="false" customHeight="false" outlineLevel="0" collapsed="false">
      <c r="A117" s="9" t="s">
        <v>4262</v>
      </c>
      <c r="B117" s="11" t="s">
        <v>4263</v>
      </c>
      <c r="C117" s="11" t="s">
        <v>269</v>
      </c>
      <c r="D117" s="16" t="n">
        <f aca="false">(D$9-MAX(D$8,MIN(D$9,$N117)))/(D$9-D$8)</f>
        <v>0</v>
      </c>
      <c r="E117" s="16" t="n">
        <f aca="false">(E$9-MAX(E$8,MIN(E$9,$N117)))/(E$9-E$8)</f>
        <v>0.597260273972603</v>
      </c>
      <c r="F117" s="16" t="n">
        <f aca="false">(F$9-MAX(F$8,MIN(F$9,$N117)))/(F$9-F$8)</f>
        <v>1</v>
      </c>
      <c r="G117" s="16" t="n">
        <f aca="false">(G$9-MAX(G$8,MIN(G$9,$N117)))/(G$9-G$8)</f>
        <v>1</v>
      </c>
      <c r="H117" s="16" t="n">
        <f aca="false">(H$9-MAX(H$8,MIN(H$9,$N117)))/(H$9-H$8)</f>
        <v>1</v>
      </c>
      <c r="I117" s="16" t="n">
        <f aca="false">(I$9-MAX(I$8,MIN(I$9,$N117)))/(I$9-I$8)</f>
        <v>1</v>
      </c>
      <c r="K117" s="2"/>
      <c r="M117" s="21" t="n">
        <f aca="false">SRC_ANT_100</f>
        <v>25</v>
      </c>
      <c r="N117" s="23" t="n">
        <f aca="false">SRC_ANT_100_Date</f>
        <v>46170</v>
      </c>
      <c r="O117" s="21" t="n">
        <f aca="false">M117-M116</f>
        <v>0</v>
      </c>
    </row>
    <row r="118" customFormat="false" ht="15" hidden="false" customHeight="false" outlineLevel="0" collapsed="false">
      <c r="A118" s="9" t="s">
        <v>4264</v>
      </c>
      <c r="B118" s="11" t="s">
        <v>4265</v>
      </c>
      <c r="C118" s="11" t="s">
        <v>269</v>
      </c>
      <c r="D118" s="16" t="n">
        <f aca="false">(D$9-MAX(D$8,MIN(D$9,$N118)))/(D$9-D$8)</f>
        <v>0</v>
      </c>
      <c r="E118" s="16" t="n">
        <f aca="false">(E$9-MAX(E$8,MIN(E$9,$N118)))/(E$9-E$8)</f>
        <v>0.441095890410959</v>
      </c>
      <c r="F118" s="16" t="n">
        <f aca="false">(F$9-MAX(F$8,MIN(F$9,$N118)))/(F$9-F$8)</f>
        <v>1</v>
      </c>
      <c r="G118" s="16" t="n">
        <f aca="false">(G$9-MAX(G$8,MIN(G$9,$N118)))/(G$9-G$8)</f>
        <v>1</v>
      </c>
      <c r="H118" s="16" t="n">
        <f aca="false">(H$9-MAX(H$8,MIN(H$9,$N118)))/(H$9-H$8)</f>
        <v>1</v>
      </c>
      <c r="I118" s="16" t="n">
        <f aca="false">(I$9-MAX(I$8,MIN(I$9,$N118)))/(I$9-I$8)</f>
        <v>1</v>
      </c>
      <c r="K118" s="2"/>
      <c r="M118" s="21" t="n">
        <f aca="false">SRC_ANT_108</f>
        <v>25</v>
      </c>
      <c r="N118" s="23" t="n">
        <f aca="false">SRC_ANT_108_Date</f>
        <v>46227</v>
      </c>
      <c r="O118" s="21" t="n">
        <f aca="false">M118-M117</f>
        <v>0</v>
      </c>
    </row>
    <row r="119" customFormat="false" ht="15" hidden="false" customHeight="false" outlineLevel="0" collapsed="false">
      <c r="A119" s="9" t="s">
        <v>4266</v>
      </c>
      <c r="B119" s="11" t="s">
        <v>4267</v>
      </c>
      <c r="C119" s="11" t="s">
        <v>269</v>
      </c>
      <c r="D119" s="16" t="n">
        <f aca="false">(D$9-MAX(D$8,MIN(D$9,$N119)))/(D$9-D$8)</f>
        <v>0</v>
      </c>
      <c r="E119" s="16" t="n">
        <f aca="false">(E$9-MAX(E$8,MIN(E$9,$N119)))/(E$9-E$8)</f>
        <v>0.276712328767123</v>
      </c>
      <c r="F119" s="16" t="n">
        <f aca="false">(F$9-MAX(F$8,MIN(F$9,$N119)))/(F$9-F$8)</f>
        <v>1</v>
      </c>
      <c r="G119" s="16" t="n">
        <f aca="false">(G$9-MAX(G$8,MIN(G$9,$N119)))/(G$9-G$8)</f>
        <v>1</v>
      </c>
      <c r="H119" s="16" t="n">
        <f aca="false">(H$9-MAX(H$8,MIN(H$9,$N119)))/(H$9-H$8)</f>
        <v>1</v>
      </c>
      <c r="I119" s="16" t="n">
        <f aca="false">(I$9-MAX(I$8,MIN(I$9,$N119)))/(I$9-I$8)</f>
        <v>1</v>
      </c>
      <c r="K119" s="2"/>
      <c r="M119" s="21" t="n">
        <f aca="false">SRC_ANT_112</f>
        <v>20</v>
      </c>
      <c r="N119" s="23" t="n">
        <f aca="false">SRC_ANT_112_Date</f>
        <v>46287</v>
      </c>
      <c r="O119" s="21" t="n">
        <f aca="false">M119-M118</f>
        <v>-5</v>
      </c>
    </row>
    <row r="120" customFormat="false" ht="15" hidden="false" customHeight="false" outlineLevel="0" collapsed="false">
      <c r="A120" s="9" t="s">
        <v>4268</v>
      </c>
      <c r="B120" s="11" t="s">
        <v>4269</v>
      </c>
      <c r="C120" s="11" t="s">
        <v>269</v>
      </c>
      <c r="D120" s="16" t="n">
        <f aca="false">(D$9-MAX(D$8,MIN(D$9,$N120)))/(D$9-D$8)</f>
        <v>1</v>
      </c>
      <c r="E120" s="16" t="n">
        <f aca="false">(E$9-MAX(E$8,MIN(E$9,$N120)))/(E$9-E$8)</f>
        <v>1</v>
      </c>
      <c r="F120" s="16" t="n">
        <f aca="false">(F$9-MAX(F$8,MIN(F$9,$N120)))/(F$9-F$8)</f>
        <v>1</v>
      </c>
      <c r="G120" s="16" t="n">
        <f aca="false">(G$9-MAX(G$8,MIN(G$9,$N120)))/(G$9-G$8)</f>
        <v>1</v>
      </c>
      <c r="H120" s="16" t="n">
        <f aca="false">(H$9-MAX(H$8,MIN(H$9,$N120)))/(H$9-H$8)</f>
        <v>1</v>
      </c>
      <c r="I120" s="16" t="n">
        <f aca="false">(I$9-MAX(I$8,MIN(I$9,$N120)))/(I$9-I$8)</f>
        <v>1</v>
      </c>
      <c r="K120" s="2" t="s">
        <v>4233</v>
      </c>
      <c r="M120" s="21" t="n">
        <f aca="false">SRC_ANT_071</f>
        <v>3</v>
      </c>
      <c r="N120" s="23" t="n">
        <f aca="false">SRC_ANT_071_Date</f>
        <v>45463</v>
      </c>
      <c r="O120" s="21" t="n">
        <f aca="false">M120</f>
        <v>3</v>
      </c>
    </row>
    <row r="121" customFormat="false" ht="15" hidden="false" customHeight="false" outlineLevel="0" collapsed="false">
      <c r="A121" s="9" t="s">
        <v>4270</v>
      </c>
      <c r="B121" s="11" t="s">
        <v>4271</v>
      </c>
      <c r="C121" s="11" t="s">
        <v>269</v>
      </c>
      <c r="D121" s="16" t="n">
        <f aca="false">(D$9-MAX(D$8,MIN(D$9,$N121)))/(D$9-D$8)</f>
        <v>0.852054794520548</v>
      </c>
      <c r="E121" s="16" t="n">
        <f aca="false">(E$9-MAX(E$8,MIN(E$9,$N121)))/(E$9-E$8)</f>
        <v>1</v>
      </c>
      <c r="F121" s="16" t="n">
        <f aca="false">(F$9-MAX(F$8,MIN(F$9,$N121)))/(F$9-F$8)</f>
        <v>1</v>
      </c>
      <c r="G121" s="16" t="n">
        <f aca="false">(G$9-MAX(G$8,MIN(G$9,$N121)))/(G$9-G$8)</f>
        <v>1</v>
      </c>
      <c r="H121" s="16" t="n">
        <f aca="false">(H$9-MAX(H$8,MIN(H$9,$N121)))/(H$9-H$8)</f>
        <v>1</v>
      </c>
      <c r="I121" s="16" t="n">
        <f aca="false">(I$9-MAX(I$8,MIN(I$9,$N121)))/(I$9-I$8)</f>
        <v>1</v>
      </c>
      <c r="K121" s="2"/>
      <c r="M121" s="21" t="n">
        <f aca="false">SRC_ANT_077</f>
        <v>3</v>
      </c>
      <c r="N121" s="23" t="n">
        <f aca="false">SRC_ANT_077_Date</f>
        <v>45712</v>
      </c>
      <c r="O121" s="21" t="n">
        <f aca="false">M121-M120</f>
        <v>0</v>
      </c>
    </row>
    <row r="122" customFormat="false" ht="15" hidden="false" customHeight="false" outlineLevel="0" collapsed="false">
      <c r="A122" s="9" t="s">
        <v>4272</v>
      </c>
      <c r="B122" s="11" t="s">
        <v>4273</v>
      </c>
      <c r="C122" s="11" t="s">
        <v>269</v>
      </c>
      <c r="D122" s="16" t="n">
        <f aca="false">(D$9-MAX(D$8,MIN(D$9,$N122)))/(D$9-D$8)</f>
        <v>0.613698630136986</v>
      </c>
      <c r="E122" s="16" t="n">
        <f aca="false">(E$9-MAX(E$8,MIN(E$9,$N122)))/(E$9-E$8)</f>
        <v>1</v>
      </c>
      <c r="F122" s="16" t="n">
        <f aca="false">(F$9-MAX(F$8,MIN(F$9,$N122)))/(F$9-F$8)</f>
        <v>1</v>
      </c>
      <c r="G122" s="16" t="n">
        <f aca="false">(G$9-MAX(G$8,MIN(G$9,$N122)))/(G$9-G$8)</f>
        <v>1</v>
      </c>
      <c r="H122" s="16" t="n">
        <f aca="false">(H$9-MAX(H$8,MIN(H$9,$N122)))/(H$9-H$8)</f>
        <v>1</v>
      </c>
      <c r="I122" s="16" t="n">
        <f aca="false">(I$9-MAX(I$8,MIN(I$9,$N122)))/(I$9-I$8)</f>
        <v>1</v>
      </c>
      <c r="K122" s="2"/>
      <c r="M122" s="21" t="n">
        <f aca="false">SRC_ANT_081</f>
        <v>3</v>
      </c>
      <c r="N122" s="23" t="n">
        <f aca="false">SRC_ANT_081_Date</f>
        <v>45799</v>
      </c>
      <c r="O122" s="21" t="n">
        <f aca="false">M122-M121</f>
        <v>0</v>
      </c>
    </row>
    <row r="123" customFormat="false" ht="15" hidden="false" customHeight="false" outlineLevel="0" collapsed="false">
      <c r="A123" s="9" t="s">
        <v>4274</v>
      </c>
      <c r="B123" s="11" t="s">
        <v>4275</v>
      </c>
      <c r="C123" s="11" t="s">
        <v>269</v>
      </c>
      <c r="D123" s="16" t="n">
        <f aca="false">(D$9-MAX(D$8,MIN(D$9,$N123)))/(D$9-D$8)</f>
        <v>0.257534246575342</v>
      </c>
      <c r="E123" s="16" t="n">
        <f aca="false">(E$9-MAX(E$8,MIN(E$9,$N123)))/(E$9-E$8)</f>
        <v>1</v>
      </c>
      <c r="F123" s="16" t="n">
        <f aca="false">(F$9-MAX(F$8,MIN(F$9,$N123)))/(F$9-F$8)</f>
        <v>1</v>
      </c>
      <c r="G123" s="16" t="n">
        <f aca="false">(G$9-MAX(G$8,MIN(G$9,$N123)))/(G$9-G$8)</f>
        <v>1</v>
      </c>
      <c r="H123" s="16" t="n">
        <f aca="false">(H$9-MAX(H$8,MIN(H$9,$N123)))/(H$9-H$8)</f>
        <v>1</v>
      </c>
      <c r="I123" s="16" t="n">
        <f aca="false">(I$9-MAX(I$8,MIN(I$9,$N123)))/(I$9-I$8)</f>
        <v>1</v>
      </c>
      <c r="K123" s="2"/>
      <c r="M123" s="21" t="n">
        <f aca="false">SRC_ANT_085</f>
        <v>3</v>
      </c>
      <c r="N123" s="23" t="n">
        <f aca="false">SRC_ANT_085_Date</f>
        <v>45929</v>
      </c>
      <c r="O123" s="21" t="n">
        <f aca="false">M123-M122</f>
        <v>0</v>
      </c>
    </row>
    <row r="124" customFormat="false" ht="15" hidden="false" customHeight="false" outlineLevel="0" collapsed="false">
      <c r="A124" s="9" t="s">
        <v>4276</v>
      </c>
      <c r="B124" s="11" t="s">
        <v>4277</v>
      </c>
      <c r="C124" s="11" t="s">
        <v>269</v>
      </c>
      <c r="D124" s="16" t="n">
        <f aca="false">(D$9-MAX(D$8,MIN(D$9,$N124)))/(D$9-D$8)</f>
        <v>0</v>
      </c>
      <c r="E124" s="16" t="n">
        <f aca="false">(E$9-MAX(E$8,MIN(E$9,$N124)))/(E$9-E$8)</f>
        <v>0.871232876712329</v>
      </c>
      <c r="F124" s="16" t="n">
        <f aca="false">(F$9-MAX(F$8,MIN(F$9,$N124)))/(F$9-F$8)</f>
        <v>1</v>
      </c>
      <c r="G124" s="16" t="n">
        <f aca="false">(G$9-MAX(G$8,MIN(G$9,$N124)))/(G$9-G$8)</f>
        <v>1</v>
      </c>
      <c r="H124" s="16" t="n">
        <f aca="false">(H$9-MAX(H$8,MIN(H$9,$N124)))/(H$9-H$8)</f>
        <v>1</v>
      </c>
      <c r="I124" s="16" t="n">
        <f aca="false">(I$9-MAX(I$8,MIN(I$9,$N124)))/(I$9-I$8)</f>
        <v>1</v>
      </c>
      <c r="K124" s="2"/>
      <c r="M124" s="21" t="n">
        <f aca="false">SRC_ANT_093</f>
        <v>3</v>
      </c>
      <c r="N124" s="23" t="n">
        <f aca="false">SRC_ANT_093_Date</f>
        <v>46070</v>
      </c>
      <c r="O124" s="21" t="n">
        <f aca="false">M124-M123</f>
        <v>0</v>
      </c>
    </row>
    <row r="125" customFormat="false" ht="15" hidden="false" customHeight="false" outlineLevel="0" collapsed="false">
      <c r="A125" s="9" t="s">
        <v>4278</v>
      </c>
      <c r="B125" s="11" t="s">
        <v>4279</v>
      </c>
      <c r="C125" s="11" t="s">
        <v>269</v>
      </c>
      <c r="D125" s="16" t="n">
        <f aca="false">(D$9-MAX(D$8,MIN(D$9,$N125)))/(D$9-D$8)</f>
        <v>0</v>
      </c>
      <c r="E125" s="16" t="n">
        <f aca="false">(E$9-MAX(E$8,MIN(E$9,$N125)))/(E$9-E$8)</f>
        <v>0.506849315068493</v>
      </c>
      <c r="F125" s="16" t="n">
        <f aca="false">(F$9-MAX(F$8,MIN(F$9,$N125)))/(F$9-F$8)</f>
        <v>1</v>
      </c>
      <c r="G125" s="16" t="n">
        <f aca="false">(G$9-MAX(G$8,MIN(G$9,$N125)))/(G$9-G$8)</f>
        <v>1</v>
      </c>
      <c r="H125" s="16" t="n">
        <f aca="false">(H$9-MAX(H$8,MIN(H$9,$N125)))/(H$9-H$8)</f>
        <v>1</v>
      </c>
      <c r="I125" s="16" t="n">
        <f aca="false">(I$9-MAX(I$8,MIN(I$9,$N125)))/(I$9-I$8)</f>
        <v>1</v>
      </c>
      <c r="K125" s="2"/>
      <c r="M125" s="21" t="n">
        <f aca="false">SRC_ANT_105</f>
        <v>2</v>
      </c>
      <c r="N125" s="23" t="n">
        <f aca="false">SRC_ANT_105_Date</f>
        <v>46203</v>
      </c>
      <c r="O125" s="21" t="n">
        <f aca="false">M125-M124</f>
        <v>-1</v>
      </c>
    </row>
    <row r="126" customFormat="false" ht="15" hidden="false" customHeight="false" outlineLevel="0" collapsed="false">
      <c r="A126" s="9" t="s">
        <v>4280</v>
      </c>
      <c r="B126" s="11" t="s">
        <v>4281</v>
      </c>
      <c r="C126" s="11" t="s">
        <v>269</v>
      </c>
      <c r="D126" s="16" t="n">
        <f aca="false">(D$9-MAX(D$8,MIN(D$9,$N126)))/(D$9-D$8)</f>
        <v>0</v>
      </c>
      <c r="E126" s="16" t="n">
        <f aca="false">(E$9-MAX(E$8,MIN(E$9,$N126)))/(E$9-E$8)</f>
        <v>0.26027397260274</v>
      </c>
      <c r="F126" s="16" t="n">
        <f aca="false">(F$9-MAX(F$8,MIN(F$9,$N126)))/(F$9-F$8)</f>
        <v>1</v>
      </c>
      <c r="G126" s="16" t="n">
        <f aca="false">(G$9-MAX(G$8,MIN(G$9,$N126)))/(G$9-G$8)</f>
        <v>1</v>
      </c>
      <c r="H126" s="16" t="n">
        <f aca="false">(H$9-MAX(H$8,MIN(H$9,$N126)))/(H$9-H$8)</f>
        <v>1</v>
      </c>
      <c r="I126" s="16" t="n">
        <f aca="false">(I$9-MAX(I$8,MIN(I$9,$N126)))/(I$9-I$8)</f>
        <v>1</v>
      </c>
      <c r="K126" s="2"/>
      <c r="M126" s="21" t="n">
        <f aca="false">SRC_ANT_113</f>
        <v>2</v>
      </c>
      <c r="N126" s="23" t="n">
        <f aca="false">SRC_ANT_113_Date</f>
        <v>46293</v>
      </c>
      <c r="O126" s="21" t="n">
        <f aca="false">M126-M125</f>
        <v>0</v>
      </c>
    </row>
    <row r="127" customFormat="false" ht="15" hidden="false" customHeight="false" outlineLevel="0" collapsed="false">
      <c r="A127" s="9" t="s">
        <v>4282</v>
      </c>
      <c r="B127" s="11" t="s">
        <v>4283</v>
      </c>
      <c r="C127" s="11" t="s">
        <v>269</v>
      </c>
      <c r="D127" s="16" t="n">
        <f aca="false">(D$9-MAX(D$8,MIN(D$9,$N127)))/(D$9-D$8)</f>
        <v>1</v>
      </c>
      <c r="E127" s="16" t="n">
        <f aca="false">(E$9-MAX(E$8,MIN(E$9,$N127)))/(E$9-E$8)</f>
        <v>1</v>
      </c>
      <c r="F127" s="16" t="n">
        <f aca="false">(F$9-MAX(F$8,MIN(F$9,$N127)))/(F$9-F$8)</f>
        <v>1</v>
      </c>
      <c r="G127" s="16" t="n">
        <f aca="false">(G$9-MAX(G$8,MIN(G$9,$N127)))/(G$9-G$8)</f>
        <v>1</v>
      </c>
      <c r="H127" s="16" t="n">
        <f aca="false">(H$9-MAX(H$8,MIN(H$9,$N127)))/(H$9-H$8)</f>
        <v>1</v>
      </c>
      <c r="I127" s="16" t="n">
        <f aca="false">(I$9-MAX(I$8,MIN(I$9,$N127)))/(I$9-I$8)</f>
        <v>1</v>
      </c>
      <c r="K127" s="2" t="s">
        <v>4233</v>
      </c>
      <c r="M127" s="21" t="n">
        <f aca="false">SRC_ANT_072</f>
        <v>15</v>
      </c>
      <c r="N127" s="23" t="n">
        <f aca="false">SRC_ANT_072_Date</f>
        <v>45463</v>
      </c>
      <c r="O127" s="21" t="n">
        <f aca="false">M127</f>
        <v>15</v>
      </c>
    </row>
    <row r="128" customFormat="false" ht="15" hidden="false" customHeight="false" outlineLevel="0" collapsed="false">
      <c r="A128" s="9" t="s">
        <v>4284</v>
      </c>
      <c r="B128" s="11" t="s">
        <v>4285</v>
      </c>
      <c r="C128" s="11" t="s">
        <v>269</v>
      </c>
      <c r="D128" s="16" t="n">
        <f aca="false">(D$9-MAX(D$8,MIN(D$9,$N128)))/(D$9-D$8)</f>
        <v>0.852054794520548</v>
      </c>
      <c r="E128" s="16" t="n">
        <f aca="false">(E$9-MAX(E$8,MIN(E$9,$N128)))/(E$9-E$8)</f>
        <v>1</v>
      </c>
      <c r="F128" s="16" t="n">
        <f aca="false">(F$9-MAX(F$8,MIN(F$9,$N128)))/(F$9-F$8)</f>
        <v>1</v>
      </c>
      <c r="G128" s="16" t="n">
        <f aca="false">(G$9-MAX(G$8,MIN(G$9,$N128)))/(G$9-G$8)</f>
        <v>1</v>
      </c>
      <c r="H128" s="16" t="n">
        <f aca="false">(H$9-MAX(H$8,MIN(H$9,$N128)))/(H$9-H$8)</f>
        <v>1</v>
      </c>
      <c r="I128" s="16" t="n">
        <f aca="false">(I$9-MAX(I$8,MIN(I$9,$N128)))/(I$9-I$8)</f>
        <v>1</v>
      </c>
      <c r="K128" s="2"/>
      <c r="M128" s="21" t="n">
        <f aca="false">SRC_ANT_078</f>
        <v>15</v>
      </c>
      <c r="N128" s="23" t="n">
        <f aca="false">SRC_ANT_078_Date</f>
        <v>45712</v>
      </c>
      <c r="O128" s="21" t="n">
        <f aca="false">M128-M127</f>
        <v>0</v>
      </c>
    </row>
    <row r="129" customFormat="false" ht="15" hidden="false" customHeight="false" outlineLevel="0" collapsed="false">
      <c r="A129" s="9" t="s">
        <v>4286</v>
      </c>
      <c r="B129" s="11" t="s">
        <v>4287</v>
      </c>
      <c r="C129" s="11" t="s">
        <v>269</v>
      </c>
      <c r="D129" s="16" t="n">
        <f aca="false">(D$9-MAX(D$8,MIN(D$9,$N129)))/(D$9-D$8)</f>
        <v>0.613698630136986</v>
      </c>
      <c r="E129" s="16" t="n">
        <f aca="false">(E$9-MAX(E$8,MIN(E$9,$N129)))/(E$9-E$8)</f>
        <v>1</v>
      </c>
      <c r="F129" s="16" t="n">
        <f aca="false">(F$9-MAX(F$8,MIN(F$9,$N129)))/(F$9-F$8)</f>
        <v>1</v>
      </c>
      <c r="G129" s="16" t="n">
        <f aca="false">(G$9-MAX(G$8,MIN(G$9,$N129)))/(G$9-G$8)</f>
        <v>1</v>
      </c>
      <c r="H129" s="16" t="n">
        <f aca="false">(H$9-MAX(H$8,MIN(H$9,$N129)))/(H$9-H$8)</f>
        <v>1</v>
      </c>
      <c r="I129" s="16" t="n">
        <f aca="false">(I$9-MAX(I$8,MIN(I$9,$N129)))/(I$9-I$8)</f>
        <v>1</v>
      </c>
      <c r="K129" s="2"/>
      <c r="M129" s="21" t="n">
        <f aca="false">SRC_ANT_082</f>
        <v>15</v>
      </c>
      <c r="N129" s="23" t="n">
        <f aca="false">SRC_ANT_082_Date</f>
        <v>45799</v>
      </c>
      <c r="O129" s="21" t="n">
        <f aca="false">M129-M128</f>
        <v>0</v>
      </c>
    </row>
    <row r="130" customFormat="false" ht="15" hidden="false" customHeight="false" outlineLevel="0" collapsed="false">
      <c r="A130" s="9" t="s">
        <v>4288</v>
      </c>
      <c r="B130" s="11" t="s">
        <v>4289</v>
      </c>
      <c r="C130" s="11" t="s">
        <v>269</v>
      </c>
      <c r="D130" s="16" t="n">
        <f aca="false">(D$9-MAX(D$8,MIN(D$9,$N130)))/(D$9-D$8)</f>
        <v>0.257534246575342</v>
      </c>
      <c r="E130" s="16" t="n">
        <f aca="false">(E$9-MAX(E$8,MIN(E$9,$N130)))/(E$9-E$8)</f>
        <v>1</v>
      </c>
      <c r="F130" s="16" t="n">
        <f aca="false">(F$9-MAX(F$8,MIN(F$9,$N130)))/(F$9-F$8)</f>
        <v>1</v>
      </c>
      <c r="G130" s="16" t="n">
        <f aca="false">(G$9-MAX(G$8,MIN(G$9,$N130)))/(G$9-G$8)</f>
        <v>1</v>
      </c>
      <c r="H130" s="16" t="n">
        <f aca="false">(H$9-MAX(H$8,MIN(H$9,$N130)))/(H$9-H$8)</f>
        <v>1</v>
      </c>
      <c r="I130" s="16" t="n">
        <f aca="false">(I$9-MAX(I$8,MIN(I$9,$N130)))/(I$9-I$8)</f>
        <v>1</v>
      </c>
      <c r="K130" s="2"/>
      <c r="M130" s="21" t="n">
        <f aca="false">SRC_ANT_086</f>
        <v>15</v>
      </c>
      <c r="N130" s="23" t="n">
        <f aca="false">SRC_ANT_086_Date</f>
        <v>45929</v>
      </c>
      <c r="O130" s="21" t="n">
        <f aca="false">M130-M129</f>
        <v>0</v>
      </c>
    </row>
    <row r="131" customFormat="false" ht="15" hidden="false" customHeight="false" outlineLevel="0" collapsed="false">
      <c r="A131" s="9" t="s">
        <v>4290</v>
      </c>
      <c r="B131" s="11" t="s">
        <v>4291</v>
      </c>
      <c r="C131" s="11" t="s">
        <v>269</v>
      </c>
      <c r="D131" s="16" t="n">
        <f aca="false">(D$9-MAX(D$8,MIN(D$9,$N131)))/(D$9-D$8)</f>
        <v>0</v>
      </c>
      <c r="E131" s="16" t="n">
        <f aca="false">(E$9-MAX(E$8,MIN(E$9,$N131)))/(E$9-E$8)</f>
        <v>0.871232876712329</v>
      </c>
      <c r="F131" s="16" t="n">
        <f aca="false">(F$9-MAX(F$8,MIN(F$9,$N131)))/(F$9-F$8)</f>
        <v>1</v>
      </c>
      <c r="G131" s="16" t="n">
        <f aca="false">(G$9-MAX(G$8,MIN(G$9,$N131)))/(G$9-G$8)</f>
        <v>1</v>
      </c>
      <c r="H131" s="16" t="n">
        <f aca="false">(H$9-MAX(H$8,MIN(H$9,$N131)))/(H$9-H$8)</f>
        <v>1</v>
      </c>
      <c r="I131" s="16" t="n">
        <f aca="false">(I$9-MAX(I$8,MIN(I$9,$N131)))/(I$9-I$8)</f>
        <v>1</v>
      </c>
      <c r="K131" s="2"/>
      <c r="M131" s="21" t="n">
        <f aca="false">SRC_ANT_094</f>
        <v>15</v>
      </c>
      <c r="N131" s="23" t="n">
        <f aca="false">SRC_ANT_094_Date</f>
        <v>46070</v>
      </c>
      <c r="O131" s="21" t="n">
        <f aca="false">M131-M130</f>
        <v>0</v>
      </c>
    </row>
    <row r="132" customFormat="false" ht="15" hidden="false" customHeight="false" outlineLevel="0" collapsed="false">
      <c r="A132" s="9" t="s">
        <v>4292</v>
      </c>
      <c r="B132" s="11" t="s">
        <v>4293</v>
      </c>
      <c r="C132" s="11" t="s">
        <v>269</v>
      </c>
      <c r="D132" s="16" t="n">
        <f aca="false">(D$9-MAX(D$8,MIN(D$9,$N132)))/(D$9-D$8)</f>
        <v>0</v>
      </c>
      <c r="E132" s="16" t="n">
        <f aca="false">(E$9-MAX(E$8,MIN(E$9,$N132)))/(E$9-E$8)</f>
        <v>0.506849315068493</v>
      </c>
      <c r="F132" s="16" t="n">
        <f aca="false">(F$9-MAX(F$8,MIN(F$9,$N132)))/(F$9-F$8)</f>
        <v>1</v>
      </c>
      <c r="G132" s="16" t="n">
        <f aca="false">(G$9-MAX(G$8,MIN(G$9,$N132)))/(G$9-G$8)</f>
        <v>1</v>
      </c>
      <c r="H132" s="16" t="n">
        <f aca="false">(H$9-MAX(H$8,MIN(H$9,$N132)))/(H$9-H$8)</f>
        <v>1</v>
      </c>
      <c r="I132" s="16" t="n">
        <f aca="false">(I$9-MAX(I$8,MIN(I$9,$N132)))/(I$9-I$8)</f>
        <v>1</v>
      </c>
      <c r="K132" s="2"/>
      <c r="M132" s="21" t="n">
        <f aca="false">SRC_ANT_106</f>
        <v>10</v>
      </c>
      <c r="N132" s="23" t="n">
        <f aca="false">SRC_ANT_106_Date</f>
        <v>46203</v>
      </c>
      <c r="O132" s="21" t="n">
        <f aca="false">M132-M131</f>
        <v>-5</v>
      </c>
    </row>
    <row r="133" customFormat="false" ht="15" hidden="false" customHeight="false" outlineLevel="0" collapsed="false">
      <c r="A133" s="9" t="s">
        <v>4294</v>
      </c>
      <c r="B133" s="11" t="s">
        <v>4295</v>
      </c>
      <c r="C133" s="11" t="s">
        <v>269</v>
      </c>
      <c r="D133" s="16" t="n">
        <f aca="false">(D$9-MAX(D$8,MIN(D$9,$N133)))/(D$9-D$8)</f>
        <v>0</v>
      </c>
      <c r="E133" s="16" t="n">
        <f aca="false">(E$9-MAX(E$8,MIN(E$9,$N133)))/(E$9-E$8)</f>
        <v>0.26027397260274</v>
      </c>
      <c r="F133" s="16" t="n">
        <f aca="false">(F$9-MAX(F$8,MIN(F$9,$N133)))/(F$9-F$8)</f>
        <v>1</v>
      </c>
      <c r="G133" s="16" t="n">
        <f aca="false">(G$9-MAX(G$8,MIN(G$9,$N133)))/(G$9-G$8)</f>
        <v>1</v>
      </c>
      <c r="H133" s="16" t="n">
        <f aca="false">(H$9-MAX(H$8,MIN(H$9,$N133)))/(H$9-H$8)</f>
        <v>1</v>
      </c>
      <c r="I133" s="16" t="n">
        <f aca="false">(I$9-MAX(I$8,MIN(I$9,$N133)))/(I$9-I$8)</f>
        <v>1</v>
      </c>
      <c r="K133" s="2"/>
      <c r="M133" s="21" t="n">
        <f aca="false">SRC_ANT_114</f>
        <v>10</v>
      </c>
      <c r="N133" s="23" t="n">
        <f aca="false">SRC_ANT_114_Date</f>
        <v>46293</v>
      </c>
      <c r="O133" s="21" t="n">
        <f aca="false">M133-M132</f>
        <v>0</v>
      </c>
    </row>
    <row r="134" customFormat="false" ht="15" hidden="false" customHeight="false" outlineLevel="0" collapsed="false">
      <c r="A134" s="9" t="s">
        <v>4296</v>
      </c>
      <c r="B134" s="11" t="s">
        <v>4297</v>
      </c>
      <c r="C134" s="11" t="s">
        <v>269</v>
      </c>
      <c r="D134" s="16" t="n">
        <f aca="false">(D$9-MAX(D$8,MIN(D$9,$N134)))/(D$9-D$8)</f>
        <v>1</v>
      </c>
      <c r="E134" s="16" t="n">
        <f aca="false">(E$9-MAX(E$8,MIN(E$9,$N134)))/(E$9-E$8)</f>
        <v>1</v>
      </c>
      <c r="F134" s="16" t="n">
        <f aca="false">(F$9-MAX(F$8,MIN(F$9,$N134)))/(F$9-F$8)</f>
        <v>1</v>
      </c>
      <c r="G134" s="16" t="n">
        <f aca="false">(G$9-MAX(G$8,MIN(G$9,$N134)))/(G$9-G$8)</f>
        <v>1</v>
      </c>
      <c r="H134" s="16" t="n">
        <f aca="false">(H$9-MAX(H$8,MIN(H$9,$N134)))/(H$9-H$8)</f>
        <v>1</v>
      </c>
      <c r="I134" s="16" t="n">
        <f aca="false">(I$9-MAX(I$8,MIN(I$9,$N134)))/(I$9-I$8)</f>
        <v>1</v>
      </c>
      <c r="K134" s="2" t="s">
        <v>4233</v>
      </c>
      <c r="M134" s="21" t="n">
        <f aca="false">SRC_ANT_075</f>
        <v>0.8</v>
      </c>
      <c r="N134" s="23" t="n">
        <f aca="false">SRC_ANT_075_Date</f>
        <v>45629</v>
      </c>
      <c r="O134" s="21" t="n">
        <f aca="false">M134</f>
        <v>0.8</v>
      </c>
    </row>
    <row r="135" customFormat="false" ht="15" hidden="false" customHeight="false" outlineLevel="0" collapsed="false">
      <c r="A135" s="9" t="s">
        <v>4298</v>
      </c>
      <c r="B135" s="11" t="s">
        <v>4299</v>
      </c>
      <c r="C135" s="11" t="s">
        <v>269</v>
      </c>
      <c r="D135" s="16" t="n">
        <f aca="false">(D$9-MAX(D$8,MIN(D$9,$N135)))/(D$9-D$8)</f>
        <v>0.213698630136986</v>
      </c>
      <c r="E135" s="16" t="n">
        <f aca="false">(E$9-MAX(E$8,MIN(E$9,$N135)))/(E$9-E$8)</f>
        <v>1</v>
      </c>
      <c r="F135" s="16" t="n">
        <f aca="false">(F$9-MAX(F$8,MIN(F$9,$N135)))/(F$9-F$8)</f>
        <v>1</v>
      </c>
      <c r="G135" s="16" t="n">
        <f aca="false">(G$9-MAX(G$8,MIN(G$9,$N135)))/(G$9-G$8)</f>
        <v>1</v>
      </c>
      <c r="H135" s="16" t="n">
        <f aca="false">(H$9-MAX(H$8,MIN(H$9,$N135)))/(H$9-H$8)</f>
        <v>1</v>
      </c>
      <c r="I135" s="16" t="n">
        <f aca="false">(I$9-MAX(I$8,MIN(I$9,$N135)))/(I$9-I$8)</f>
        <v>1</v>
      </c>
      <c r="K135" s="2"/>
      <c r="M135" s="21" t="n">
        <f aca="false">SRC_ANT_087</f>
        <v>1</v>
      </c>
      <c r="N135" s="23" t="n">
        <f aca="false">SRC_ANT_087_Date</f>
        <v>45945</v>
      </c>
      <c r="O135" s="21" t="n">
        <f aca="false">M135-M134</f>
        <v>0.2</v>
      </c>
    </row>
    <row r="136" customFormat="false" ht="15" hidden="false" customHeight="false" outlineLevel="0" collapsed="false">
      <c r="A136" s="9" t="s">
        <v>4300</v>
      </c>
      <c r="B136" s="11" t="s">
        <v>4301</v>
      </c>
      <c r="C136" s="11" t="s">
        <v>269</v>
      </c>
      <c r="D136" s="16" t="n">
        <f aca="false">(D$9-MAX(D$8,MIN(D$9,$N136)))/(D$9-D$8)</f>
        <v>0</v>
      </c>
      <c r="E136" s="16" t="n">
        <f aca="false">(E$9-MAX(E$8,MIN(E$9,$N136)))/(E$9-E$8)</f>
        <v>0.235616438356164</v>
      </c>
      <c r="F136" s="16" t="n">
        <f aca="false">(F$9-MAX(F$8,MIN(F$9,$N136)))/(F$9-F$8)</f>
        <v>1</v>
      </c>
      <c r="G136" s="16" t="n">
        <f aca="false">(G$9-MAX(G$8,MIN(G$9,$N136)))/(G$9-G$8)</f>
        <v>1</v>
      </c>
      <c r="H136" s="16" t="n">
        <f aca="false">(H$9-MAX(H$8,MIN(H$9,$N136)))/(H$9-H$8)</f>
        <v>1</v>
      </c>
      <c r="I136" s="16" t="n">
        <f aca="false">(I$9-MAX(I$8,MIN(I$9,$N136)))/(I$9-I$8)</f>
        <v>1</v>
      </c>
      <c r="K136" s="2"/>
      <c r="M136" s="21" t="n">
        <f aca="false">SRC_ANT_115</f>
        <v>0.1</v>
      </c>
      <c r="N136" s="23" t="n">
        <f aca="false">SRC_ANT_115_Date</f>
        <v>46302</v>
      </c>
      <c r="O136" s="21" t="n">
        <f aca="false">M136-M135</f>
        <v>-0.9</v>
      </c>
    </row>
    <row r="137" customFormat="false" ht="15" hidden="false" customHeight="false" outlineLevel="0" collapsed="false">
      <c r="A137" s="9" t="s">
        <v>4302</v>
      </c>
      <c r="B137" s="11" t="s">
        <v>4303</v>
      </c>
      <c r="C137" s="11" t="s">
        <v>269</v>
      </c>
      <c r="D137" s="16" t="n">
        <f aca="false">(D$9-MAX(D$8,MIN(D$9,$N137)))/(D$9-D$8)</f>
        <v>1</v>
      </c>
      <c r="E137" s="16" t="n">
        <f aca="false">(E$9-MAX(E$8,MIN(E$9,$N137)))/(E$9-E$8)</f>
        <v>1</v>
      </c>
      <c r="F137" s="16" t="n">
        <f aca="false">(F$9-MAX(F$8,MIN(F$9,$N137)))/(F$9-F$8)</f>
        <v>1</v>
      </c>
      <c r="G137" s="16" t="n">
        <f aca="false">(G$9-MAX(G$8,MIN(G$9,$N137)))/(G$9-G$8)</f>
        <v>1</v>
      </c>
      <c r="H137" s="16" t="n">
        <f aca="false">(H$9-MAX(H$8,MIN(H$9,$N137)))/(H$9-H$8)</f>
        <v>1</v>
      </c>
      <c r="I137" s="16" t="n">
        <f aca="false">(I$9-MAX(I$8,MIN(I$9,$N137)))/(I$9-I$8)</f>
        <v>1</v>
      </c>
      <c r="K137" s="2" t="s">
        <v>4233</v>
      </c>
      <c r="M137" s="21" t="n">
        <f aca="false">SRC_ANT_076</f>
        <v>4</v>
      </c>
      <c r="N137" s="23" t="n">
        <f aca="false">SRC_ANT_076_Date</f>
        <v>45629</v>
      </c>
      <c r="O137" s="21" t="n">
        <f aca="false">M137</f>
        <v>4</v>
      </c>
    </row>
    <row r="138" customFormat="false" ht="15" hidden="false" customHeight="false" outlineLevel="0" collapsed="false">
      <c r="A138" s="9" t="s">
        <v>4304</v>
      </c>
      <c r="B138" s="11" t="s">
        <v>4305</v>
      </c>
      <c r="C138" s="11" t="s">
        <v>269</v>
      </c>
      <c r="D138" s="16" t="n">
        <f aca="false">(D$9-MAX(D$8,MIN(D$9,$N138)))/(D$9-D$8)</f>
        <v>0.213698630136986</v>
      </c>
      <c r="E138" s="16" t="n">
        <f aca="false">(E$9-MAX(E$8,MIN(E$9,$N138)))/(E$9-E$8)</f>
        <v>1</v>
      </c>
      <c r="F138" s="16" t="n">
        <f aca="false">(F$9-MAX(F$8,MIN(F$9,$N138)))/(F$9-F$8)</f>
        <v>1</v>
      </c>
      <c r="G138" s="16" t="n">
        <f aca="false">(G$9-MAX(G$8,MIN(G$9,$N138)))/(G$9-G$8)</f>
        <v>1</v>
      </c>
      <c r="H138" s="16" t="n">
        <f aca="false">(H$9-MAX(H$8,MIN(H$9,$N138)))/(H$9-H$8)</f>
        <v>1</v>
      </c>
      <c r="I138" s="16" t="n">
        <f aca="false">(I$9-MAX(I$8,MIN(I$9,$N138)))/(I$9-I$8)</f>
        <v>1</v>
      </c>
      <c r="K138" s="2"/>
      <c r="M138" s="21" t="n">
        <f aca="false">SRC_ANT_088</f>
        <v>5</v>
      </c>
      <c r="N138" s="23" t="n">
        <f aca="false">SRC_ANT_088_Date</f>
        <v>45945</v>
      </c>
      <c r="O138" s="21" t="n">
        <f aca="false">M138-M137</f>
        <v>1</v>
      </c>
    </row>
    <row r="139" customFormat="false" ht="15" hidden="false" customHeight="false" outlineLevel="0" collapsed="false">
      <c r="A139" s="9" t="s">
        <v>4306</v>
      </c>
      <c r="B139" s="11" t="s">
        <v>4307</v>
      </c>
      <c r="C139" s="11" t="s">
        <v>269</v>
      </c>
      <c r="D139" s="16" t="n">
        <f aca="false">(D$9-MAX(D$8,MIN(D$9,$N139)))/(D$9-D$8)</f>
        <v>0</v>
      </c>
      <c r="E139" s="16" t="n">
        <f aca="false">(E$9-MAX(E$8,MIN(E$9,$N139)))/(E$9-E$8)</f>
        <v>0.235616438356164</v>
      </c>
      <c r="F139" s="16" t="n">
        <f aca="false">(F$9-MAX(F$8,MIN(F$9,$N139)))/(F$9-F$8)</f>
        <v>1</v>
      </c>
      <c r="G139" s="16" t="n">
        <f aca="false">(G$9-MAX(G$8,MIN(G$9,$N139)))/(G$9-G$8)</f>
        <v>1</v>
      </c>
      <c r="H139" s="16" t="n">
        <f aca="false">(H$9-MAX(H$8,MIN(H$9,$N139)))/(H$9-H$8)</f>
        <v>1</v>
      </c>
      <c r="I139" s="16" t="n">
        <f aca="false">(I$9-MAX(I$8,MIN(I$9,$N139)))/(I$9-I$8)</f>
        <v>1</v>
      </c>
      <c r="K139" s="2"/>
      <c r="M139" s="21" t="n">
        <f aca="false">SRC_ANT_116</f>
        <v>0.5</v>
      </c>
      <c r="N139" s="23" t="n">
        <f aca="false">SRC_ANT_116_Date</f>
        <v>46302</v>
      </c>
      <c r="O139" s="21" t="n">
        <f aca="false">M139-M138</f>
        <v>-4.5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4308</v>
      </c>
    </row>
    <row r="2" customFormat="false" ht="15" hidden="false" customHeight="false" outlineLevel="0" collapsed="false">
      <c r="A2" s="2" t="s">
        <v>4309</v>
      </c>
    </row>
    <row r="3" customFormat="false" ht="15" hidden="false" customHeight="false" outlineLevel="0" collapsed="false">
      <c r="A3" s="12" t="s">
        <v>4310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/>
      <c r="K5" s="8" t="s">
        <v>2519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4311</v>
      </c>
    </row>
    <row r="8" customFormat="false" ht="15" hidden="false" customHeight="false" outlineLevel="0" collapsed="false">
      <c r="A8" s="9" t="s">
        <v>4312</v>
      </c>
      <c r="B8" s="11" t="s">
        <v>4313</v>
      </c>
      <c r="C8" s="11" t="s">
        <v>1899</v>
      </c>
      <c r="D8" s="9" t="s">
        <v>2508</v>
      </c>
      <c r="K8" s="12" t="s">
        <v>4314</v>
      </c>
    </row>
    <row r="9" customFormat="false" ht="15" hidden="false" customHeight="false" outlineLevel="0" collapsed="false">
      <c r="A9" s="9" t="s">
        <v>4315</v>
      </c>
      <c r="B9" s="11" t="s">
        <v>4316</v>
      </c>
      <c r="C9" s="11" t="s">
        <v>1899</v>
      </c>
      <c r="D9" s="9" t="s">
        <v>2509</v>
      </c>
      <c r="K9" s="12" t="s">
        <v>4314</v>
      </c>
    </row>
    <row r="10" customFormat="false" ht="15" hidden="false" customHeight="false" outlineLevel="0" collapsed="false">
      <c r="A10" s="9" t="s">
        <v>4317</v>
      </c>
      <c r="B10" s="11" t="s">
        <v>4318</v>
      </c>
      <c r="C10" s="11" t="s">
        <v>1899</v>
      </c>
      <c r="D10" s="9" t="s">
        <v>2510</v>
      </c>
      <c r="K10" s="12" t="s">
        <v>4314</v>
      </c>
    </row>
    <row r="11" customFormat="false" ht="15" hidden="false" customHeight="false" outlineLevel="0" collapsed="false">
      <c r="A11" s="9" t="s">
        <v>4319</v>
      </c>
      <c r="B11" s="11" t="s">
        <v>4320</v>
      </c>
      <c r="C11" s="11" t="s">
        <v>1899</v>
      </c>
      <c r="D11" s="9" t="s">
        <v>2511</v>
      </c>
      <c r="K11" s="12" t="s">
        <v>4314</v>
      </c>
    </row>
    <row r="12" customFormat="false" ht="15" hidden="false" customHeight="false" outlineLevel="0" collapsed="false">
      <c r="A12" s="9" t="s">
        <v>4321</v>
      </c>
      <c r="B12" s="11" t="s">
        <v>4322</v>
      </c>
      <c r="C12" s="11" t="s">
        <v>1899</v>
      </c>
      <c r="D12" s="11" t="s">
        <v>2515</v>
      </c>
      <c r="K12" s="12" t="s">
        <v>4323</v>
      </c>
    </row>
    <row r="13" customFormat="false" ht="15" hidden="false" customHeight="false" outlineLevel="0" collapsed="false">
      <c r="A13" s="9" t="s">
        <v>4324</v>
      </c>
      <c r="B13" s="11" t="s">
        <v>4325</v>
      </c>
      <c r="C13" s="9" t="s">
        <v>2857</v>
      </c>
      <c r="D13" s="20" t="n">
        <f aca="false">SUMIFS(TK_IF_TokGW_Astra,TK_HdrGen,$D$8,TK_HdrCost,$D$12)</f>
        <v>6809025705.99183</v>
      </c>
      <c r="K13" s="12" t="s">
        <v>4326</v>
      </c>
    </row>
    <row r="14" customFormat="false" ht="15" hidden="false" customHeight="false" outlineLevel="0" collapsed="false">
      <c r="A14" s="9" t="s">
        <v>4327</v>
      </c>
      <c r="B14" s="11" t="s">
        <v>4328</v>
      </c>
      <c r="C14" s="9" t="s">
        <v>2857</v>
      </c>
      <c r="D14" s="20" t="n">
        <f aca="false">SUMIFS(TK_IF_TokGW_Sol,TK_HdrGen,$D$8,TK_HdrCost,$D$12)</f>
        <v>33634916325.118</v>
      </c>
      <c r="K14" s="12" t="s">
        <v>4329</v>
      </c>
    </row>
    <row r="15" customFormat="false" ht="15" hidden="false" customHeight="false" outlineLevel="0" collapsed="false">
      <c r="A15" s="9" t="s">
        <v>4330</v>
      </c>
      <c r="B15" s="11" t="s">
        <v>4331</v>
      </c>
      <c r="C15" s="9" t="s">
        <v>2857</v>
      </c>
      <c r="D15" s="20" t="n">
        <f aca="false">SUMIFS(TK_IF_TokGW_Luna,TK_HdrGen,$D$8,TK_HdrCost,$D$12)</f>
        <v>132127787230.323</v>
      </c>
      <c r="K15" s="12" t="s">
        <v>4332</v>
      </c>
    </row>
    <row r="16" customFormat="false" ht="15" hidden="false" customHeight="false" outlineLevel="0" collapsed="false">
      <c r="A16" s="9" t="s">
        <v>4333</v>
      </c>
      <c r="B16" s="11" t="s">
        <v>4334</v>
      </c>
      <c r="C16" s="9" t="s">
        <v>2857</v>
      </c>
      <c r="D16" s="20" t="n">
        <f aca="false">SUMIFS(TK_IF_TokGW_Astra,TK_HdrGen,$D$9,TK_HdrCost,$D$12)</f>
        <v>33674781620.6943</v>
      </c>
      <c r="K16" s="12" t="s">
        <v>4326</v>
      </c>
    </row>
    <row r="17" customFormat="false" ht="15" hidden="false" customHeight="false" outlineLevel="0" collapsed="false">
      <c r="A17" s="9" t="s">
        <v>4335</v>
      </c>
      <c r="B17" s="11" t="s">
        <v>4336</v>
      </c>
      <c r="C17" s="9" t="s">
        <v>2857</v>
      </c>
      <c r="D17" s="20" t="n">
        <f aca="false">SUMIFS(TK_IF_TokGW_Sol,TK_HdrGen,$D$9,TK_HdrCost,$D$12)</f>
        <v>163715850475.954</v>
      </c>
      <c r="K17" s="12" t="s">
        <v>4329</v>
      </c>
    </row>
    <row r="18" customFormat="false" ht="15" hidden="false" customHeight="false" outlineLevel="0" collapsed="false">
      <c r="A18" s="9" t="s">
        <v>4337</v>
      </c>
      <c r="B18" s="11" t="s">
        <v>4338</v>
      </c>
      <c r="C18" s="9" t="s">
        <v>2857</v>
      </c>
      <c r="D18" s="20" t="n">
        <f aca="false">SUMIFS(TK_IF_TokGW_Luna,TK_HdrGen,$D$9,TK_HdrCost,$D$12)</f>
        <v>657207761225.876</v>
      </c>
      <c r="K18" s="12" t="s">
        <v>4332</v>
      </c>
    </row>
    <row r="19" customFormat="false" ht="15" hidden="false" customHeight="false" outlineLevel="0" collapsed="false">
      <c r="A19" s="9" t="s">
        <v>4339</v>
      </c>
      <c r="B19" s="11" t="s">
        <v>4340</v>
      </c>
      <c r="C19" s="9" t="s">
        <v>2857</v>
      </c>
      <c r="D19" s="20" t="n">
        <f aca="false">SUMIFS(TK_IF_TokGW_Astra,TK_HdrGen,$D$10,TK_HdrCost,$D$12)</f>
        <v>39257828144.5082</v>
      </c>
      <c r="K19" s="12" t="s">
        <v>4326</v>
      </c>
    </row>
    <row r="20" customFormat="false" ht="15" hidden="false" customHeight="false" outlineLevel="0" collapsed="false">
      <c r="A20" s="9" t="s">
        <v>4341</v>
      </c>
      <c r="B20" s="11" t="s">
        <v>4342</v>
      </c>
      <c r="C20" s="9" t="s">
        <v>2857</v>
      </c>
      <c r="D20" s="20" t="n">
        <f aca="false">SUMIFS(TK_IF_TokGW_Sol,TK_HdrGen,$D$10,TK_HdrCost,$D$12)</f>
        <v>212334321421.888</v>
      </c>
      <c r="K20" s="12" t="s">
        <v>4329</v>
      </c>
    </row>
    <row r="21" customFormat="false" ht="15" hidden="false" customHeight="false" outlineLevel="0" collapsed="false">
      <c r="A21" s="9" t="s">
        <v>4343</v>
      </c>
      <c r="B21" s="11" t="s">
        <v>4344</v>
      </c>
      <c r="C21" s="9" t="s">
        <v>2857</v>
      </c>
      <c r="D21" s="20" t="n">
        <f aca="false">SUMIFS(TK_IF_TokGW_Luna,TK_HdrGen,$D$10,TK_HdrCost,$D$12)</f>
        <v>852150688542.553</v>
      </c>
      <c r="K21" s="12" t="s">
        <v>4332</v>
      </c>
    </row>
    <row r="22" customFormat="false" ht="15" hidden="false" customHeight="false" outlineLevel="0" collapsed="false">
      <c r="A22" s="9" t="s">
        <v>4345</v>
      </c>
      <c r="B22" s="11" t="s">
        <v>4346</v>
      </c>
      <c r="C22" s="9" t="s">
        <v>2857</v>
      </c>
      <c r="D22" s="20" t="n">
        <f aca="false">SUMIFS(TK_IF_TokGW_Astra,TK_HdrGen,$D$11,TK_HdrCost,$D$12)</f>
        <v>69625193603.6778</v>
      </c>
      <c r="K22" s="12" t="s">
        <v>4326</v>
      </c>
    </row>
    <row r="23" customFormat="false" ht="15" hidden="false" customHeight="false" outlineLevel="0" collapsed="false">
      <c r="A23" s="9" t="s">
        <v>4347</v>
      </c>
      <c r="B23" s="11" t="s">
        <v>4348</v>
      </c>
      <c r="C23" s="9" t="s">
        <v>2857</v>
      </c>
      <c r="D23" s="20" t="n">
        <f aca="false">SUMIFS(TK_IF_TokGW_Sol,TK_HdrGen,$D$11,TK_HdrCost,$D$12)</f>
        <v>318984897819.054</v>
      </c>
      <c r="K23" s="12" t="s">
        <v>4329</v>
      </c>
    </row>
    <row r="24" customFormat="false" ht="15" hidden="false" customHeight="false" outlineLevel="0" collapsed="false">
      <c r="A24" s="9" t="s">
        <v>4349</v>
      </c>
      <c r="B24" s="11" t="s">
        <v>4350</v>
      </c>
      <c r="C24" s="9" t="s">
        <v>2857</v>
      </c>
      <c r="D24" s="20" t="n">
        <f aca="false">SUMIFS(TK_IF_TokGW_Luna,TK_HdrGen,$D$11,TK_HdrCost,$D$12)</f>
        <v>1229271098522.29</v>
      </c>
      <c r="K24" s="12" t="s">
        <v>4332</v>
      </c>
    </row>
    <row r="25" customFormat="false" ht="15" hidden="false" customHeight="false" outlineLevel="0" collapsed="false">
      <c r="A25" s="15" t="s">
        <v>4351</v>
      </c>
    </row>
    <row r="26" customFormat="false" ht="15" hidden="false" customHeight="false" outlineLevel="0" collapsed="false">
      <c r="A26" s="9" t="s">
        <v>4352</v>
      </c>
      <c r="B26" s="11" t="s">
        <v>4353</v>
      </c>
      <c r="C26" s="11" t="s">
        <v>747</v>
      </c>
      <c r="D26" s="21" t="n">
        <f aca="false">$D$62</f>
        <v>1</v>
      </c>
      <c r="E26" s="21" t="n">
        <f aca="false">$D$62</f>
        <v>1</v>
      </c>
      <c r="F26" s="21" t="n">
        <f aca="false">$D$62</f>
        <v>1</v>
      </c>
      <c r="G26" s="21" t="n">
        <f aca="false">$D$62</f>
        <v>1</v>
      </c>
      <c r="H26" s="21" t="n">
        <f aca="false">$D$62</f>
        <v>1</v>
      </c>
      <c r="I26" s="21" t="n">
        <f aca="false">$D$62</f>
        <v>1</v>
      </c>
      <c r="K26" s="12" t="s">
        <v>4354</v>
      </c>
    </row>
    <row r="27" customFormat="false" ht="15" hidden="false" customHeight="false" outlineLevel="0" collapsed="false">
      <c r="A27" s="9" t="s">
        <v>4355</v>
      </c>
      <c r="B27" s="11" t="s">
        <v>4356</v>
      </c>
      <c r="C27" s="11" t="s">
        <v>747</v>
      </c>
      <c r="D27" s="21" t="n">
        <f aca="false">$D$62</f>
        <v>1</v>
      </c>
      <c r="E27" s="21" t="n">
        <f aca="false">$D$62</f>
        <v>1</v>
      </c>
      <c r="F27" s="21" t="n">
        <f aca="false">$D$62</f>
        <v>1</v>
      </c>
      <c r="G27" s="21" t="n">
        <f aca="false">$D$62</f>
        <v>1</v>
      </c>
      <c r="H27" s="21" t="n">
        <f aca="false">$D$62</f>
        <v>1</v>
      </c>
      <c r="I27" s="21" t="n">
        <f aca="false">$D$62</f>
        <v>1</v>
      </c>
      <c r="K27" s="12" t="s">
        <v>4357</v>
      </c>
    </row>
    <row r="28" customFormat="false" ht="15" hidden="false" customHeight="false" outlineLevel="0" collapsed="false">
      <c r="A28" s="9" t="s">
        <v>4358</v>
      </c>
      <c r="B28" s="11" t="s">
        <v>4359</v>
      </c>
      <c r="C28" s="9" t="s">
        <v>2742</v>
      </c>
      <c r="D28" s="18" t="n">
        <f aca="false">INP_114*D27</f>
        <v>12</v>
      </c>
      <c r="E28" s="18" t="n">
        <f aca="false">INP_114*E27</f>
        <v>12</v>
      </c>
      <c r="F28" s="18" t="n">
        <f aca="false">INP_114*F27</f>
        <v>12</v>
      </c>
      <c r="G28" s="18" t="n">
        <f aca="false">INP_114*G27</f>
        <v>12</v>
      </c>
      <c r="H28" s="18" t="n">
        <f aca="false">INP_114*H27</f>
        <v>12</v>
      </c>
      <c r="I28" s="18" t="n">
        <f aca="false">INP_114*I27</f>
        <v>12</v>
      </c>
      <c r="K28" s="2" t="s">
        <v>4360</v>
      </c>
    </row>
    <row r="29" customFormat="false" ht="15" hidden="false" customHeight="false" outlineLevel="0" collapsed="false">
      <c r="A29" s="9" t="s">
        <v>4361</v>
      </c>
      <c r="B29" s="9" t="s">
        <v>4362</v>
      </c>
      <c r="C29" s="11" t="s">
        <v>747</v>
      </c>
      <c r="D29" s="21" t="n">
        <f aca="false">$D$14/$D$23*D26</f>
        <v>0.10544360110803</v>
      </c>
      <c r="E29" s="21" t="n">
        <f aca="false">$D$14/$D$23*E26</f>
        <v>0.10544360110803</v>
      </c>
      <c r="F29" s="21" t="n">
        <f aca="false">$D$14/$D$23*F26</f>
        <v>0.10544360110803</v>
      </c>
      <c r="G29" s="21" t="n">
        <f aca="false">$D$14/$D$23*G26</f>
        <v>0.10544360110803</v>
      </c>
      <c r="H29" s="21" t="n">
        <f aca="false">$D$14/$D$23*H26</f>
        <v>0.10544360110803</v>
      </c>
      <c r="I29" s="21" t="n">
        <f aca="false">$D$14/$D$23*I26</f>
        <v>0.10544360110803</v>
      </c>
      <c r="K29" s="2" t="s">
        <v>4363</v>
      </c>
    </row>
    <row r="30" customFormat="false" ht="15" hidden="false" customHeight="false" outlineLevel="0" collapsed="false">
      <c r="A30" s="9" t="s">
        <v>4364</v>
      </c>
      <c r="B30" s="11" t="s">
        <v>4365</v>
      </c>
      <c r="C30" s="11" t="s">
        <v>747</v>
      </c>
      <c r="D30" s="21" t="n">
        <f aca="false">$D$62</f>
        <v>1</v>
      </c>
      <c r="E30" s="21" t="n">
        <f aca="false">$D$62</f>
        <v>1</v>
      </c>
      <c r="F30" s="21" t="n">
        <f aca="false">$D$62</f>
        <v>1</v>
      </c>
      <c r="G30" s="21" t="n">
        <f aca="false">$D$62</f>
        <v>1</v>
      </c>
      <c r="H30" s="21" t="n">
        <f aca="false">$D$62</f>
        <v>1</v>
      </c>
      <c r="I30" s="21" t="n">
        <f aca="false">$D$62</f>
        <v>1</v>
      </c>
      <c r="K30" s="12" t="s">
        <v>4354</v>
      </c>
    </row>
    <row r="31" customFormat="false" ht="15" hidden="false" customHeight="false" outlineLevel="0" collapsed="false">
      <c r="A31" s="9" t="s">
        <v>4366</v>
      </c>
      <c r="B31" s="11" t="s">
        <v>4367</v>
      </c>
      <c r="C31" s="11" t="s">
        <v>747</v>
      </c>
      <c r="D31" s="21" t="n">
        <f aca="false">$D$62</f>
        <v>1</v>
      </c>
      <c r="E31" s="21" t="n">
        <f aca="false">$D$62</f>
        <v>1</v>
      </c>
      <c r="F31" s="21" t="n">
        <f aca="false">$D$62</f>
        <v>1</v>
      </c>
      <c r="G31" s="21" t="n">
        <f aca="false">$D$62</f>
        <v>1</v>
      </c>
      <c r="H31" s="21" t="n">
        <f aca="false">$D$62</f>
        <v>1</v>
      </c>
      <c r="I31" s="21" t="n">
        <f aca="false">$D$62</f>
        <v>1</v>
      </c>
      <c r="K31" s="12" t="s">
        <v>4357</v>
      </c>
    </row>
    <row r="32" customFormat="false" ht="15" hidden="false" customHeight="false" outlineLevel="0" collapsed="false">
      <c r="A32" s="9" t="s">
        <v>4368</v>
      </c>
      <c r="B32" s="11" t="s">
        <v>4369</v>
      </c>
      <c r="C32" s="9" t="s">
        <v>2742</v>
      </c>
      <c r="D32" s="18" t="n">
        <f aca="false">INP_114*D31</f>
        <v>12</v>
      </c>
      <c r="E32" s="18" t="n">
        <f aca="false">INP_114*E31</f>
        <v>12</v>
      </c>
      <c r="F32" s="18" t="n">
        <f aca="false">INP_114*F31</f>
        <v>12</v>
      </c>
      <c r="G32" s="18" t="n">
        <f aca="false">INP_114*G31</f>
        <v>12</v>
      </c>
      <c r="H32" s="18" t="n">
        <f aca="false">INP_114*H31</f>
        <v>12</v>
      </c>
      <c r="I32" s="18" t="n">
        <f aca="false">INP_114*I31</f>
        <v>12</v>
      </c>
      <c r="K32" s="2" t="s">
        <v>4360</v>
      </c>
    </row>
    <row r="33" customFormat="false" ht="15" hidden="false" customHeight="false" outlineLevel="0" collapsed="false">
      <c r="A33" s="9" t="s">
        <v>4370</v>
      </c>
      <c r="B33" s="9" t="s">
        <v>4371</v>
      </c>
      <c r="C33" s="11" t="s">
        <v>747</v>
      </c>
      <c r="D33" s="21" t="n">
        <f aca="false">$D$17/$D$23*D30</f>
        <v>0.513240130160716</v>
      </c>
      <c r="E33" s="21" t="n">
        <f aca="false">$D$17/$D$23*E30</f>
        <v>0.513240130160716</v>
      </c>
      <c r="F33" s="21" t="n">
        <f aca="false">$D$17/$D$23*F30</f>
        <v>0.513240130160716</v>
      </c>
      <c r="G33" s="21" t="n">
        <f aca="false">$D$17/$D$23*G30</f>
        <v>0.513240130160716</v>
      </c>
      <c r="H33" s="21" t="n">
        <f aca="false">$D$17/$D$23*H30</f>
        <v>0.513240130160716</v>
      </c>
      <c r="I33" s="21" t="n">
        <f aca="false">$D$17/$D$23*I30</f>
        <v>0.513240130160716</v>
      </c>
      <c r="K33" s="2" t="s">
        <v>4363</v>
      </c>
    </row>
    <row r="34" customFormat="false" ht="15" hidden="false" customHeight="false" outlineLevel="0" collapsed="false">
      <c r="A34" s="9" t="s">
        <v>4372</v>
      </c>
      <c r="B34" s="11" t="s">
        <v>4373</v>
      </c>
      <c r="C34" s="11" t="s">
        <v>747</v>
      </c>
      <c r="D34" s="21" t="n">
        <f aca="false">$D$62</f>
        <v>1</v>
      </c>
      <c r="E34" s="21" t="n">
        <f aca="false">$D$62</f>
        <v>1</v>
      </c>
      <c r="F34" s="21" t="n">
        <f aca="false">$D$62</f>
        <v>1</v>
      </c>
      <c r="G34" s="21" t="n">
        <f aca="false">$D$62</f>
        <v>1</v>
      </c>
      <c r="H34" s="21" t="n">
        <f aca="false">$D$62</f>
        <v>1</v>
      </c>
      <c r="I34" s="21" t="n">
        <f aca="false">$D$62</f>
        <v>1</v>
      </c>
      <c r="K34" s="12" t="s">
        <v>4354</v>
      </c>
    </row>
    <row r="35" customFormat="false" ht="15" hidden="false" customHeight="false" outlineLevel="0" collapsed="false">
      <c r="A35" s="9" t="s">
        <v>4374</v>
      </c>
      <c r="B35" s="11" t="s">
        <v>4375</v>
      </c>
      <c r="C35" s="11" t="s">
        <v>747</v>
      </c>
      <c r="D35" s="21" t="n">
        <f aca="false">$D$62</f>
        <v>1</v>
      </c>
      <c r="E35" s="21" t="n">
        <f aca="false">$D$62</f>
        <v>1</v>
      </c>
      <c r="F35" s="21" t="n">
        <f aca="false">$D$62</f>
        <v>1</v>
      </c>
      <c r="G35" s="21" t="n">
        <f aca="false">$D$62</f>
        <v>1</v>
      </c>
      <c r="H35" s="21" t="n">
        <f aca="false">$D$62</f>
        <v>1</v>
      </c>
      <c r="I35" s="21" t="n">
        <f aca="false">$D$62</f>
        <v>1</v>
      </c>
      <c r="K35" s="12" t="s">
        <v>4357</v>
      </c>
    </row>
    <row r="36" customFormat="false" ht="15" hidden="false" customHeight="false" outlineLevel="0" collapsed="false">
      <c r="A36" s="9" t="s">
        <v>4376</v>
      </c>
      <c r="B36" s="11" t="s">
        <v>4377</v>
      </c>
      <c r="C36" s="9" t="s">
        <v>2742</v>
      </c>
      <c r="D36" s="18" t="n">
        <f aca="false">INP_114*D35</f>
        <v>12</v>
      </c>
      <c r="E36" s="18" t="n">
        <f aca="false">INP_114*E35</f>
        <v>12</v>
      </c>
      <c r="F36" s="18" t="n">
        <f aca="false">INP_114*F35</f>
        <v>12</v>
      </c>
      <c r="G36" s="18" t="n">
        <f aca="false">INP_114*G35</f>
        <v>12</v>
      </c>
      <c r="H36" s="18" t="n">
        <f aca="false">INP_114*H35</f>
        <v>12</v>
      </c>
      <c r="I36" s="18" t="n">
        <f aca="false">INP_114*I35</f>
        <v>12</v>
      </c>
      <c r="K36" s="2" t="s">
        <v>4360</v>
      </c>
    </row>
    <row r="37" customFormat="false" ht="15" hidden="false" customHeight="false" outlineLevel="0" collapsed="false">
      <c r="A37" s="9" t="s">
        <v>4378</v>
      </c>
      <c r="B37" s="9" t="s">
        <v>4379</v>
      </c>
      <c r="C37" s="11" t="s">
        <v>747</v>
      </c>
      <c r="D37" s="21" t="n">
        <f aca="false">$D$20/$D$23*D34</f>
        <v>0.665656345719338</v>
      </c>
      <c r="E37" s="21" t="n">
        <f aca="false">$D$20/$D$23*E34</f>
        <v>0.665656345719338</v>
      </c>
      <c r="F37" s="21" t="n">
        <f aca="false">$D$20/$D$23*F34</f>
        <v>0.665656345719338</v>
      </c>
      <c r="G37" s="21" t="n">
        <f aca="false">$D$20/$D$23*G34</f>
        <v>0.665656345719338</v>
      </c>
      <c r="H37" s="21" t="n">
        <f aca="false">$D$20/$D$23*H34</f>
        <v>0.665656345719338</v>
      </c>
      <c r="I37" s="21" t="n">
        <f aca="false">$D$20/$D$23*I34</f>
        <v>0.665656345719338</v>
      </c>
      <c r="K37" s="2" t="s">
        <v>4363</v>
      </c>
    </row>
    <row r="38" customFormat="false" ht="15" hidden="false" customHeight="false" outlineLevel="0" collapsed="false">
      <c r="A38" s="9" t="s">
        <v>4380</v>
      </c>
      <c r="B38" s="11" t="s">
        <v>4381</v>
      </c>
      <c r="C38" s="11" t="s">
        <v>747</v>
      </c>
      <c r="D38" s="21" t="n">
        <f aca="false">$D$62</f>
        <v>1</v>
      </c>
      <c r="E38" s="21" t="n">
        <f aca="false">$D$62</f>
        <v>1</v>
      </c>
      <c r="F38" s="21" t="n">
        <f aca="false">$D$62</f>
        <v>1</v>
      </c>
      <c r="G38" s="21" t="n">
        <f aca="false">$D$62</f>
        <v>1</v>
      </c>
      <c r="H38" s="21" t="n">
        <f aca="false">$D$62</f>
        <v>1</v>
      </c>
      <c r="I38" s="21" t="n">
        <f aca="false">$D$62</f>
        <v>1</v>
      </c>
      <c r="K38" s="12" t="s">
        <v>4354</v>
      </c>
    </row>
    <row r="39" customFormat="false" ht="15" hidden="false" customHeight="false" outlineLevel="0" collapsed="false">
      <c r="A39" s="9" t="s">
        <v>4382</v>
      </c>
      <c r="B39" s="11" t="s">
        <v>4383</v>
      </c>
      <c r="C39" s="11" t="s">
        <v>747</v>
      </c>
      <c r="D39" s="21" t="n">
        <f aca="false">$D$62</f>
        <v>1</v>
      </c>
      <c r="E39" s="21" t="n">
        <f aca="false">$D$62</f>
        <v>1</v>
      </c>
      <c r="F39" s="21" t="n">
        <f aca="false">$D$62</f>
        <v>1</v>
      </c>
      <c r="G39" s="21" t="n">
        <f aca="false">$D$62</f>
        <v>1</v>
      </c>
      <c r="H39" s="21" t="n">
        <f aca="false">$D$62</f>
        <v>1</v>
      </c>
      <c r="I39" s="21" t="n">
        <f aca="false">$D$62</f>
        <v>1</v>
      </c>
      <c r="K39" s="12" t="s">
        <v>4357</v>
      </c>
    </row>
    <row r="40" customFormat="false" ht="15" hidden="false" customHeight="false" outlineLevel="0" collapsed="false">
      <c r="A40" s="9" t="s">
        <v>4384</v>
      </c>
      <c r="B40" s="11" t="s">
        <v>4385</v>
      </c>
      <c r="C40" s="9" t="s">
        <v>2742</v>
      </c>
      <c r="D40" s="18" t="n">
        <f aca="false">INP_114*D39</f>
        <v>12</v>
      </c>
      <c r="E40" s="18" t="n">
        <f aca="false">INP_114*E39</f>
        <v>12</v>
      </c>
      <c r="F40" s="18" t="n">
        <f aca="false">INP_114*F39</f>
        <v>12</v>
      </c>
      <c r="G40" s="18" t="n">
        <f aca="false">INP_114*G39</f>
        <v>12</v>
      </c>
      <c r="H40" s="18" t="n">
        <f aca="false">INP_114*H39</f>
        <v>12</v>
      </c>
      <c r="I40" s="18" t="n">
        <f aca="false">INP_114*I39</f>
        <v>12</v>
      </c>
      <c r="K40" s="2" t="s">
        <v>4360</v>
      </c>
    </row>
    <row r="41" customFormat="false" ht="15" hidden="false" customHeight="false" outlineLevel="0" collapsed="false">
      <c r="A41" s="9" t="s">
        <v>4386</v>
      </c>
      <c r="B41" s="9" t="s">
        <v>4387</v>
      </c>
      <c r="C41" s="11" t="s">
        <v>747</v>
      </c>
      <c r="D41" s="21" t="n">
        <f aca="false">$D$23/$D$23*D38</f>
        <v>1</v>
      </c>
      <c r="E41" s="21" t="n">
        <f aca="false">$D$23/$D$23*E38</f>
        <v>1</v>
      </c>
      <c r="F41" s="21" t="n">
        <f aca="false">$D$23/$D$23*F38</f>
        <v>1</v>
      </c>
      <c r="G41" s="21" t="n">
        <f aca="false">$D$23/$D$23*G38</f>
        <v>1</v>
      </c>
      <c r="H41" s="21" t="n">
        <f aca="false">$D$23/$D$23*H38</f>
        <v>1</v>
      </c>
      <c r="I41" s="21" t="n">
        <f aca="false">$D$23/$D$23*I38</f>
        <v>1</v>
      </c>
      <c r="K41" s="2" t="s">
        <v>4363</v>
      </c>
    </row>
    <row r="42" customFormat="false" ht="15" hidden="false" customHeight="false" outlineLevel="0" collapsed="false">
      <c r="A42" s="9" t="s">
        <v>4388</v>
      </c>
      <c r="B42" s="11" t="s">
        <v>4389</v>
      </c>
      <c r="C42" s="11" t="s">
        <v>747</v>
      </c>
      <c r="D42" s="21" t="n">
        <f aca="false">TK_NNV_TPUv7_Out</f>
        <v>0.8</v>
      </c>
      <c r="E42" s="21" t="n">
        <f aca="false">TK_NNV_TPUv7_Out</f>
        <v>0.8</v>
      </c>
      <c r="F42" s="21" t="n">
        <f aca="false">TK_NNV_TPUv7_Out</f>
        <v>0.8</v>
      </c>
      <c r="G42" s="21" t="n">
        <f aca="false">TK_NNV_TPUv7_Out</f>
        <v>0.8</v>
      </c>
      <c r="H42" s="21" t="n">
        <f aca="false">TK_NNV_TPUv7_Out</f>
        <v>0.8</v>
      </c>
      <c r="I42" s="21" t="n">
        <f aca="false">TK_NNV_TPUv7_Out</f>
        <v>0.8</v>
      </c>
      <c r="K42" s="12" t="s">
        <v>4354</v>
      </c>
    </row>
    <row r="43" customFormat="false" ht="15" hidden="false" customHeight="false" outlineLevel="0" collapsed="false">
      <c r="A43" s="9" t="s">
        <v>4390</v>
      </c>
      <c r="B43" s="11" t="s">
        <v>4391</v>
      </c>
      <c r="C43" s="11" t="s">
        <v>747</v>
      </c>
      <c r="D43" s="21" t="n">
        <f aca="false">TK_NNV_TPUv7_Hold</f>
        <v>0.8</v>
      </c>
      <c r="E43" s="21" t="n">
        <f aca="false">TK_NNV_TPUv7_Hold</f>
        <v>0.8</v>
      </c>
      <c r="F43" s="21" t="n">
        <f aca="false">TK_NNV_TPUv7_Hold</f>
        <v>0.8</v>
      </c>
      <c r="G43" s="21" t="n">
        <f aca="false">TK_NNV_TPUv7_Hold</f>
        <v>0.8</v>
      </c>
      <c r="H43" s="21" t="n">
        <f aca="false">TK_NNV_TPUv7_Hold</f>
        <v>0.8</v>
      </c>
      <c r="I43" s="21" t="n">
        <f aca="false">TK_NNV_TPUv7_Hold</f>
        <v>0.8</v>
      </c>
      <c r="K43" s="12" t="s">
        <v>4357</v>
      </c>
    </row>
    <row r="44" customFormat="false" ht="15" hidden="false" customHeight="false" outlineLevel="0" collapsed="false">
      <c r="A44" s="9" t="s">
        <v>4392</v>
      </c>
      <c r="B44" s="11" t="s">
        <v>4393</v>
      </c>
      <c r="C44" s="9" t="s">
        <v>2742</v>
      </c>
      <c r="D44" s="18" t="n">
        <f aca="false">INP_114*D43</f>
        <v>9.6</v>
      </c>
      <c r="E44" s="18" t="n">
        <f aca="false">INP_114*E43</f>
        <v>9.6</v>
      </c>
      <c r="F44" s="18" t="n">
        <f aca="false">INP_114*F43</f>
        <v>9.6</v>
      </c>
      <c r="G44" s="18" t="n">
        <f aca="false">INP_114*G43</f>
        <v>9.6</v>
      </c>
      <c r="H44" s="18" t="n">
        <f aca="false">INP_114*H43</f>
        <v>9.6</v>
      </c>
      <c r="I44" s="18" t="n">
        <f aca="false">INP_114*I43</f>
        <v>9.6</v>
      </c>
      <c r="K44" s="2" t="s">
        <v>4360</v>
      </c>
    </row>
    <row r="45" customFormat="false" ht="15" hidden="false" customHeight="false" outlineLevel="0" collapsed="false">
      <c r="A45" s="9" t="s">
        <v>4394</v>
      </c>
      <c r="B45" s="9" t="s">
        <v>4395</v>
      </c>
      <c r="C45" s="11" t="s">
        <v>747</v>
      </c>
      <c r="D45" s="21" t="n">
        <f aca="false">$D$14/$D$23*D42</f>
        <v>0.0843548808864239</v>
      </c>
      <c r="E45" s="21" t="n">
        <f aca="false">$D$14/$D$23*E42</f>
        <v>0.0843548808864239</v>
      </c>
      <c r="F45" s="21" t="n">
        <f aca="false">$D$14/$D$23*F42</f>
        <v>0.0843548808864239</v>
      </c>
      <c r="G45" s="21" t="n">
        <f aca="false">$D$14/$D$23*G42</f>
        <v>0.0843548808864239</v>
      </c>
      <c r="H45" s="21" t="n">
        <f aca="false">$D$14/$D$23*H42</f>
        <v>0.0843548808864239</v>
      </c>
      <c r="I45" s="21" t="n">
        <f aca="false">$D$14/$D$23*I42</f>
        <v>0.0843548808864239</v>
      </c>
      <c r="K45" s="2" t="s">
        <v>4363</v>
      </c>
    </row>
    <row r="46" customFormat="false" ht="15" hidden="false" customHeight="false" outlineLevel="0" collapsed="false">
      <c r="A46" s="9" t="s">
        <v>4396</v>
      </c>
      <c r="B46" s="11" t="s">
        <v>4397</v>
      </c>
      <c r="C46" s="11" t="s">
        <v>747</v>
      </c>
      <c r="D46" s="21" t="n">
        <f aca="false">TK_NNV_TPUv7_Out</f>
        <v>0.8</v>
      </c>
      <c r="E46" s="21" t="n">
        <f aca="false">TK_NNV_TPUv7_Out</f>
        <v>0.8</v>
      </c>
      <c r="F46" s="21" t="n">
        <f aca="false">TK_NNV_TPUv7_Out</f>
        <v>0.8</v>
      </c>
      <c r="G46" s="21" t="n">
        <f aca="false">TK_NNV_TPUv7_Out</f>
        <v>0.8</v>
      </c>
      <c r="H46" s="21" t="n">
        <f aca="false">TK_NNV_TPUv7_Out</f>
        <v>0.8</v>
      </c>
      <c r="I46" s="21" t="n">
        <f aca="false">TK_NNV_TPUv7_Out</f>
        <v>0.8</v>
      </c>
      <c r="K46" s="12" t="s">
        <v>4354</v>
      </c>
    </row>
    <row r="47" customFormat="false" ht="15" hidden="false" customHeight="false" outlineLevel="0" collapsed="false">
      <c r="A47" s="9" t="s">
        <v>4398</v>
      </c>
      <c r="B47" s="11" t="s">
        <v>4399</v>
      </c>
      <c r="C47" s="11" t="s">
        <v>747</v>
      </c>
      <c r="D47" s="21" t="n">
        <f aca="false">TK_NNV_TPUv7_Hold</f>
        <v>0.8</v>
      </c>
      <c r="E47" s="21" t="n">
        <f aca="false">TK_NNV_TPUv7_Hold</f>
        <v>0.8</v>
      </c>
      <c r="F47" s="21" t="n">
        <f aca="false">TK_NNV_TPUv7_Hold</f>
        <v>0.8</v>
      </c>
      <c r="G47" s="21" t="n">
        <f aca="false">TK_NNV_TPUv7_Hold</f>
        <v>0.8</v>
      </c>
      <c r="H47" s="21" t="n">
        <f aca="false">TK_NNV_TPUv7_Hold</f>
        <v>0.8</v>
      </c>
      <c r="I47" s="21" t="n">
        <f aca="false">TK_NNV_TPUv7_Hold</f>
        <v>0.8</v>
      </c>
      <c r="K47" s="12" t="s">
        <v>4357</v>
      </c>
    </row>
    <row r="48" customFormat="false" ht="15" hidden="false" customHeight="false" outlineLevel="0" collapsed="false">
      <c r="A48" s="9" t="s">
        <v>4400</v>
      </c>
      <c r="B48" s="11" t="s">
        <v>4401</v>
      </c>
      <c r="C48" s="9" t="s">
        <v>2742</v>
      </c>
      <c r="D48" s="18" t="n">
        <f aca="false">INP_114*D47</f>
        <v>9.6</v>
      </c>
      <c r="E48" s="18" t="n">
        <f aca="false">INP_114*E47</f>
        <v>9.6</v>
      </c>
      <c r="F48" s="18" t="n">
        <f aca="false">INP_114*F47</f>
        <v>9.6</v>
      </c>
      <c r="G48" s="18" t="n">
        <f aca="false">INP_114*G47</f>
        <v>9.6</v>
      </c>
      <c r="H48" s="18" t="n">
        <f aca="false">INP_114*H47</f>
        <v>9.6</v>
      </c>
      <c r="I48" s="18" t="n">
        <f aca="false">INP_114*I47</f>
        <v>9.6</v>
      </c>
      <c r="K48" s="2" t="s">
        <v>4360</v>
      </c>
    </row>
    <row r="49" customFormat="false" ht="15" hidden="false" customHeight="false" outlineLevel="0" collapsed="false">
      <c r="A49" s="9" t="s">
        <v>4402</v>
      </c>
      <c r="B49" s="9" t="s">
        <v>4403</v>
      </c>
      <c r="C49" s="11" t="s">
        <v>747</v>
      </c>
      <c r="D49" s="21" t="n">
        <f aca="false">$D$23/$D$23*D46</f>
        <v>0.8</v>
      </c>
      <c r="E49" s="21" t="n">
        <f aca="false">$D$23/$D$23*E46</f>
        <v>0.8</v>
      </c>
      <c r="F49" s="21" t="n">
        <f aca="false">$D$23/$D$23*F46</f>
        <v>0.8</v>
      </c>
      <c r="G49" s="21" t="n">
        <f aca="false">$D$23/$D$23*G46</f>
        <v>0.8</v>
      </c>
      <c r="H49" s="21" t="n">
        <f aca="false">$D$23/$D$23*H46</f>
        <v>0.8</v>
      </c>
      <c r="I49" s="21" t="n">
        <f aca="false">$D$23/$D$23*I46</f>
        <v>0.8</v>
      </c>
      <c r="K49" s="2" t="s">
        <v>4363</v>
      </c>
    </row>
    <row r="50" customFormat="false" ht="15" hidden="false" customHeight="false" outlineLevel="0" collapsed="false">
      <c r="A50" s="9" t="s">
        <v>4404</v>
      </c>
      <c r="B50" s="11" t="s">
        <v>4405</v>
      </c>
      <c r="C50" s="11" t="s">
        <v>747</v>
      </c>
      <c r="D50" s="21" t="n">
        <f aca="false">TK_NNV_Trn3_Out</f>
        <v>0.5</v>
      </c>
      <c r="E50" s="21" t="n">
        <f aca="false">TK_NNV_Trn3_Out</f>
        <v>0.5</v>
      </c>
      <c r="F50" s="21" t="n">
        <f aca="false">TK_NNV_Trn3_Out</f>
        <v>0.5</v>
      </c>
      <c r="G50" s="21" t="n">
        <f aca="false">TK_NNV_Trn3_Out</f>
        <v>0.5</v>
      </c>
      <c r="H50" s="21" t="n">
        <f aca="false">TK_NNV_Trn3_Out</f>
        <v>0.5</v>
      </c>
      <c r="I50" s="21" t="n">
        <f aca="false">TK_NNV_Trn3_Out</f>
        <v>0.5</v>
      </c>
      <c r="K50" s="12" t="s">
        <v>4354</v>
      </c>
    </row>
    <row r="51" customFormat="false" ht="15" hidden="false" customHeight="false" outlineLevel="0" collapsed="false">
      <c r="A51" s="9" t="s">
        <v>4406</v>
      </c>
      <c r="B51" s="11" t="s">
        <v>4407</v>
      </c>
      <c r="C51" s="11" t="s">
        <v>747</v>
      </c>
      <c r="D51" s="21" t="n">
        <f aca="false">TK_NNV_Trn3_Hold</f>
        <v>0.7</v>
      </c>
      <c r="E51" s="21" t="n">
        <f aca="false">TK_NNV_Trn3_Hold</f>
        <v>0.7</v>
      </c>
      <c r="F51" s="21" t="n">
        <f aca="false">TK_NNV_Trn3_Hold</f>
        <v>0.7</v>
      </c>
      <c r="G51" s="21" t="n">
        <f aca="false">TK_NNV_Trn3_Hold</f>
        <v>0.7</v>
      </c>
      <c r="H51" s="21" t="n">
        <f aca="false">TK_NNV_Trn3_Hold</f>
        <v>0.7</v>
      </c>
      <c r="I51" s="21" t="n">
        <f aca="false">TK_NNV_Trn3_Hold</f>
        <v>0.7</v>
      </c>
      <c r="K51" s="12" t="s">
        <v>4357</v>
      </c>
    </row>
    <row r="52" customFormat="false" ht="15" hidden="false" customHeight="false" outlineLevel="0" collapsed="false">
      <c r="A52" s="9" t="s">
        <v>4408</v>
      </c>
      <c r="B52" s="11" t="s">
        <v>4409</v>
      </c>
      <c r="C52" s="9" t="s">
        <v>2742</v>
      </c>
      <c r="D52" s="18" t="n">
        <f aca="false">INP_114*D51</f>
        <v>8.4</v>
      </c>
      <c r="E52" s="18" t="n">
        <f aca="false">INP_114*E51</f>
        <v>8.4</v>
      </c>
      <c r="F52" s="18" t="n">
        <f aca="false">INP_114*F51</f>
        <v>8.4</v>
      </c>
      <c r="G52" s="18" t="n">
        <f aca="false">INP_114*G51</f>
        <v>8.4</v>
      </c>
      <c r="H52" s="18" t="n">
        <f aca="false">INP_114*H51</f>
        <v>8.4</v>
      </c>
      <c r="I52" s="18" t="n">
        <f aca="false">INP_114*I51</f>
        <v>8.4</v>
      </c>
      <c r="K52" s="2" t="s">
        <v>4360</v>
      </c>
    </row>
    <row r="53" customFormat="false" ht="15" hidden="false" customHeight="false" outlineLevel="0" collapsed="false">
      <c r="A53" s="9" t="s">
        <v>4410</v>
      </c>
      <c r="B53" s="9" t="s">
        <v>4411</v>
      </c>
      <c r="C53" s="11" t="s">
        <v>747</v>
      </c>
      <c r="D53" s="21" t="n">
        <f aca="false">$D$14/$D$23*D50</f>
        <v>0.0527218005540149</v>
      </c>
      <c r="E53" s="21" t="n">
        <f aca="false">$D$14/$D$23*E50</f>
        <v>0.0527218005540149</v>
      </c>
      <c r="F53" s="21" t="n">
        <f aca="false">$D$14/$D$23*F50</f>
        <v>0.0527218005540149</v>
      </c>
      <c r="G53" s="21" t="n">
        <f aca="false">$D$14/$D$23*G50</f>
        <v>0.0527218005540149</v>
      </c>
      <c r="H53" s="21" t="n">
        <f aca="false">$D$14/$D$23*H50</f>
        <v>0.0527218005540149</v>
      </c>
      <c r="I53" s="21" t="n">
        <f aca="false">$D$14/$D$23*I50</f>
        <v>0.0527218005540149</v>
      </c>
      <c r="K53" s="2" t="s">
        <v>4363</v>
      </c>
    </row>
    <row r="54" customFormat="false" ht="15" hidden="false" customHeight="false" outlineLevel="0" collapsed="false">
      <c r="A54" s="9" t="s">
        <v>4412</v>
      </c>
      <c r="B54" s="11" t="s">
        <v>4413</v>
      </c>
      <c r="C54" s="11" t="s">
        <v>747</v>
      </c>
      <c r="D54" s="21" t="n">
        <f aca="false">TK_NNV_Trn3_Out</f>
        <v>0.5</v>
      </c>
      <c r="E54" s="21" t="n">
        <f aca="false">TK_NNV_Trn3_Out</f>
        <v>0.5</v>
      </c>
      <c r="F54" s="21" t="n">
        <f aca="false">TK_NNV_Trn3_Out</f>
        <v>0.5</v>
      </c>
      <c r="G54" s="21" t="n">
        <f aca="false">TK_NNV_Trn3_Out</f>
        <v>0.5</v>
      </c>
      <c r="H54" s="21" t="n">
        <f aca="false">TK_NNV_Trn3_Out</f>
        <v>0.5</v>
      </c>
      <c r="I54" s="21" t="n">
        <f aca="false">TK_NNV_Trn3_Out</f>
        <v>0.5</v>
      </c>
      <c r="K54" s="12" t="s">
        <v>4354</v>
      </c>
    </row>
    <row r="55" customFormat="false" ht="15" hidden="false" customHeight="false" outlineLevel="0" collapsed="false">
      <c r="A55" s="9" t="s">
        <v>4414</v>
      </c>
      <c r="B55" s="11" t="s">
        <v>4415</v>
      </c>
      <c r="C55" s="11" t="s">
        <v>747</v>
      </c>
      <c r="D55" s="21" t="n">
        <f aca="false">TK_NNV_Trn3_Hold</f>
        <v>0.7</v>
      </c>
      <c r="E55" s="21" t="n">
        <f aca="false">TK_NNV_Trn3_Hold</f>
        <v>0.7</v>
      </c>
      <c r="F55" s="21" t="n">
        <f aca="false">TK_NNV_Trn3_Hold</f>
        <v>0.7</v>
      </c>
      <c r="G55" s="21" t="n">
        <f aca="false">TK_NNV_Trn3_Hold</f>
        <v>0.7</v>
      </c>
      <c r="H55" s="21" t="n">
        <f aca="false">TK_NNV_Trn3_Hold</f>
        <v>0.7</v>
      </c>
      <c r="I55" s="21" t="n">
        <f aca="false">TK_NNV_Trn3_Hold</f>
        <v>0.7</v>
      </c>
      <c r="K55" s="12" t="s">
        <v>4357</v>
      </c>
    </row>
    <row r="56" customFormat="false" ht="15" hidden="false" customHeight="false" outlineLevel="0" collapsed="false">
      <c r="A56" s="9" t="s">
        <v>4416</v>
      </c>
      <c r="B56" s="11" t="s">
        <v>4417</v>
      </c>
      <c r="C56" s="9" t="s">
        <v>2742</v>
      </c>
      <c r="D56" s="18" t="n">
        <f aca="false">INP_114*D55</f>
        <v>8.4</v>
      </c>
      <c r="E56" s="18" t="n">
        <f aca="false">INP_114*E55</f>
        <v>8.4</v>
      </c>
      <c r="F56" s="18" t="n">
        <f aca="false">INP_114*F55</f>
        <v>8.4</v>
      </c>
      <c r="G56" s="18" t="n">
        <f aca="false">INP_114*G55</f>
        <v>8.4</v>
      </c>
      <c r="H56" s="18" t="n">
        <f aca="false">INP_114*H55</f>
        <v>8.4</v>
      </c>
      <c r="I56" s="18" t="n">
        <f aca="false">INP_114*I55</f>
        <v>8.4</v>
      </c>
      <c r="K56" s="2" t="s">
        <v>4360</v>
      </c>
    </row>
    <row r="57" customFormat="false" ht="15" hidden="false" customHeight="false" outlineLevel="0" collapsed="false">
      <c r="A57" s="9" t="s">
        <v>4418</v>
      </c>
      <c r="B57" s="9" t="s">
        <v>4419</v>
      </c>
      <c r="C57" s="11" t="s">
        <v>747</v>
      </c>
      <c r="D57" s="21" t="n">
        <f aca="false">$D$23/$D$23*D54</f>
        <v>0.5</v>
      </c>
      <c r="E57" s="21" t="n">
        <f aca="false">$D$23/$D$23*E54</f>
        <v>0.5</v>
      </c>
      <c r="F57" s="21" t="n">
        <f aca="false">$D$23/$D$23*F54</f>
        <v>0.5</v>
      </c>
      <c r="G57" s="21" t="n">
        <f aca="false">$D$23/$D$23*G54</f>
        <v>0.5</v>
      </c>
      <c r="H57" s="21" t="n">
        <f aca="false">$D$23/$D$23*H54</f>
        <v>0.5</v>
      </c>
      <c r="I57" s="21" t="n">
        <f aca="false">$D$23/$D$23*I54</f>
        <v>0.5</v>
      </c>
      <c r="K57" s="2" t="s">
        <v>4363</v>
      </c>
    </row>
    <row r="58" customFormat="false" ht="15" hidden="false" customHeight="false" outlineLevel="0" collapsed="false">
      <c r="A58" s="9" t="s">
        <v>4420</v>
      </c>
      <c r="B58" s="11" t="s">
        <v>4421</v>
      </c>
      <c r="C58" s="11" t="s">
        <v>747</v>
      </c>
      <c r="D58" s="21" t="n">
        <f aca="false">TK_NNV_MI455X_Out</f>
        <v>0.7</v>
      </c>
      <c r="E58" s="21" t="n">
        <f aca="false">TK_NNV_MI455X_Out</f>
        <v>0.7</v>
      </c>
      <c r="F58" s="21" t="n">
        <f aca="false">TK_NNV_MI455X_Out</f>
        <v>0.7</v>
      </c>
      <c r="G58" s="21" t="n">
        <f aca="false">TK_NNV_MI455X_Out</f>
        <v>0.7</v>
      </c>
      <c r="H58" s="21" t="n">
        <f aca="false">TK_NNV_MI455X_Out</f>
        <v>0.7</v>
      </c>
      <c r="I58" s="21" t="n">
        <f aca="false">TK_NNV_MI455X_Out</f>
        <v>0.7</v>
      </c>
      <c r="K58" s="12" t="s">
        <v>4354</v>
      </c>
    </row>
    <row r="59" customFormat="false" ht="15" hidden="false" customHeight="false" outlineLevel="0" collapsed="false">
      <c r="A59" s="9" t="s">
        <v>4422</v>
      </c>
      <c r="B59" s="11" t="s">
        <v>4423</v>
      </c>
      <c r="C59" s="11" t="s">
        <v>747</v>
      </c>
      <c r="D59" s="21" t="n">
        <f aca="false">TK_NNV_MI455X_Hold</f>
        <v>0.9</v>
      </c>
      <c r="E59" s="21" t="n">
        <f aca="false">TK_NNV_MI455X_Hold</f>
        <v>0.9</v>
      </c>
      <c r="F59" s="21" t="n">
        <f aca="false">TK_NNV_MI455X_Hold</f>
        <v>0.9</v>
      </c>
      <c r="G59" s="21" t="n">
        <f aca="false">TK_NNV_MI455X_Hold</f>
        <v>0.9</v>
      </c>
      <c r="H59" s="21" t="n">
        <f aca="false">TK_NNV_MI455X_Hold</f>
        <v>0.9</v>
      </c>
      <c r="I59" s="21" t="n">
        <f aca="false">TK_NNV_MI455X_Hold</f>
        <v>0.9</v>
      </c>
      <c r="K59" s="12" t="s">
        <v>4357</v>
      </c>
    </row>
    <row r="60" customFormat="false" ht="15" hidden="false" customHeight="false" outlineLevel="0" collapsed="false">
      <c r="A60" s="9" t="s">
        <v>4424</v>
      </c>
      <c r="B60" s="11" t="s">
        <v>4425</v>
      </c>
      <c r="C60" s="9" t="s">
        <v>2742</v>
      </c>
      <c r="D60" s="18" t="n">
        <f aca="false">INP_114*D59</f>
        <v>10.8</v>
      </c>
      <c r="E60" s="18" t="n">
        <f aca="false">INP_114*E59</f>
        <v>10.8</v>
      </c>
      <c r="F60" s="18" t="n">
        <f aca="false">INP_114*F59</f>
        <v>10.8</v>
      </c>
      <c r="G60" s="18" t="n">
        <f aca="false">INP_114*G59</f>
        <v>10.8</v>
      </c>
      <c r="H60" s="18" t="n">
        <f aca="false">INP_114*H59</f>
        <v>10.8</v>
      </c>
      <c r="I60" s="18" t="n">
        <f aca="false">INP_114*I59</f>
        <v>10.8</v>
      </c>
      <c r="K60" s="2" t="s">
        <v>4360</v>
      </c>
    </row>
    <row r="61" customFormat="false" ht="15" hidden="false" customHeight="false" outlineLevel="0" collapsed="false">
      <c r="A61" s="9" t="s">
        <v>4426</v>
      </c>
      <c r="B61" s="9" t="s">
        <v>4427</v>
      </c>
      <c r="C61" s="11" t="s">
        <v>747</v>
      </c>
      <c r="D61" s="21" t="n">
        <f aca="false">$D$23/$D$23*D58</f>
        <v>0.7</v>
      </c>
      <c r="E61" s="21" t="n">
        <f aca="false">$D$23/$D$23*E58</f>
        <v>0.7</v>
      </c>
      <c r="F61" s="21" t="n">
        <f aca="false">$D$23/$D$23*F58</f>
        <v>0.7</v>
      </c>
      <c r="G61" s="21" t="n">
        <f aca="false">$D$23/$D$23*G58</f>
        <v>0.7</v>
      </c>
      <c r="H61" s="21" t="n">
        <f aca="false">$D$23/$D$23*H58</f>
        <v>0.7</v>
      </c>
      <c r="I61" s="21" t="n">
        <f aca="false">$D$23/$D$23*I58</f>
        <v>0.7</v>
      </c>
      <c r="K61" s="2" t="s">
        <v>4363</v>
      </c>
    </row>
    <row r="62" customFormat="false" ht="15" hidden="false" customHeight="false" outlineLevel="0" collapsed="false">
      <c r="A62" s="9" t="s">
        <v>4428</v>
      </c>
      <c r="B62" s="11" t="s">
        <v>4429</v>
      </c>
      <c r="C62" s="11" t="s">
        <v>747</v>
      </c>
      <c r="D62" s="21" t="n">
        <f aca="false">$D$23/$D$23</f>
        <v>1</v>
      </c>
      <c r="K62" s="2" t="s">
        <v>4430</v>
      </c>
    </row>
    <row r="63" customFormat="false" ht="15" hidden="false" customHeight="false" outlineLevel="0" collapsed="false">
      <c r="A63" s="15" t="s">
        <v>4431</v>
      </c>
    </row>
    <row r="64" customFormat="false" ht="15" hidden="false" customHeight="false" outlineLevel="0" collapsed="false">
      <c r="A64" s="9" t="s">
        <v>4432</v>
      </c>
      <c r="B64" s="11" t="s">
        <v>4433</v>
      </c>
      <c r="C64" s="11" t="s">
        <v>269</v>
      </c>
      <c r="D64" s="16" t="n">
        <f aca="false">INP_125</f>
        <v>0.4</v>
      </c>
      <c r="E64" s="16" t="n">
        <f aca="false">INP_125</f>
        <v>0.4</v>
      </c>
      <c r="F64" s="16" t="n">
        <f aca="false">INP_125</f>
        <v>0.4</v>
      </c>
      <c r="G64" s="16" t="n">
        <f aca="false">INP_125</f>
        <v>0.4</v>
      </c>
      <c r="H64" s="16" t="n">
        <f aca="false">INP_125</f>
        <v>0.4</v>
      </c>
      <c r="I64" s="16" t="n">
        <f aca="false">INP_125</f>
        <v>0.4</v>
      </c>
      <c r="K64" s="12" t="s">
        <v>4434</v>
      </c>
    </row>
    <row r="65" customFormat="false" ht="15" hidden="false" customHeight="false" outlineLevel="0" collapsed="false">
      <c r="A65" s="9" t="s">
        <v>4435</v>
      </c>
      <c r="B65" s="11" t="s">
        <v>4436</v>
      </c>
      <c r="C65" s="11" t="s">
        <v>269</v>
      </c>
      <c r="D65" s="16" t="n">
        <f aca="false">INP_126</f>
        <v>0.1</v>
      </c>
      <c r="E65" s="16" t="n">
        <f aca="false">INP_126</f>
        <v>0.1</v>
      </c>
      <c r="F65" s="16" t="n">
        <f aca="false">INP_126</f>
        <v>0.1</v>
      </c>
      <c r="G65" s="16" t="n">
        <f aca="false">INP_126</f>
        <v>0.1</v>
      </c>
      <c r="H65" s="16" t="n">
        <f aca="false">INP_126</f>
        <v>0.1</v>
      </c>
      <c r="I65" s="16" t="n">
        <f aca="false">INP_126</f>
        <v>0.1</v>
      </c>
      <c r="K65" s="12" t="s">
        <v>4434</v>
      </c>
    </row>
    <row r="66" customFormat="false" ht="15" hidden="false" customHeight="false" outlineLevel="0" collapsed="false">
      <c r="A66" s="9" t="s">
        <v>4437</v>
      </c>
      <c r="B66" s="11" t="s">
        <v>4438</v>
      </c>
      <c r="C66" s="11" t="s">
        <v>269</v>
      </c>
      <c r="D66" s="16" t="n">
        <f aca="false">(1-D64-D65)</f>
        <v>0.5</v>
      </c>
      <c r="E66" s="16" t="n">
        <f aca="false">(1-E64-E65)</f>
        <v>0.5</v>
      </c>
      <c r="F66" s="16" t="n">
        <f aca="false">(1-F64-F65)</f>
        <v>0.5</v>
      </c>
      <c r="G66" s="16" t="n">
        <f aca="false">(1-G64-G65)</f>
        <v>0.5</v>
      </c>
      <c r="H66" s="16" t="n">
        <f aca="false">(1-H64-H65)</f>
        <v>0.5</v>
      </c>
      <c r="I66" s="16" t="n">
        <f aca="false">(1-I64-I65)</f>
        <v>0.5</v>
      </c>
      <c r="K66" s="2" t="s">
        <v>4439</v>
      </c>
    </row>
    <row r="67" customFormat="false" ht="15" hidden="false" customHeight="false" outlineLevel="0" collapsed="false">
      <c r="A67" s="9" t="s">
        <v>4440</v>
      </c>
      <c r="B67" s="11" t="s">
        <v>4441</v>
      </c>
      <c r="C67" s="9" t="s">
        <v>2742</v>
      </c>
      <c r="D67" s="18" t="n">
        <f aca="false">D64*D52+D65*D28+D66*D44</f>
        <v>9.36</v>
      </c>
      <c r="E67" s="18" t="n">
        <f aca="false">E64*E52+E65*E28+E66*E44</f>
        <v>9.36</v>
      </c>
      <c r="F67" s="18" t="n">
        <f aca="false">F64*F52+F65*F28+F66*F44</f>
        <v>9.36</v>
      </c>
      <c r="G67" s="18" t="n">
        <f aca="false">G64*G52+G65*G28+G66*G44</f>
        <v>9.36</v>
      </c>
      <c r="H67" s="18" t="n">
        <f aca="false">H64*H52+H65*H28+H66*H44</f>
        <v>9.36</v>
      </c>
      <c r="I67" s="18" t="n">
        <f aca="false">I64*I52+I65*I28+I66*I44</f>
        <v>9.36</v>
      </c>
      <c r="K67" s="12" t="s">
        <v>4442</v>
      </c>
    </row>
    <row r="68" customFormat="false" ht="15" hidden="false" customHeight="false" outlineLevel="0" collapsed="false">
      <c r="A68" s="9" t="s">
        <v>4443</v>
      </c>
      <c r="B68" s="11" t="s">
        <v>4444</v>
      </c>
      <c r="C68" s="9" t="s">
        <v>1106</v>
      </c>
      <c r="D68" s="21" t="n">
        <f aca="false">Cost!D39/D67</f>
        <v>0.783119658119658</v>
      </c>
      <c r="E68" s="21" t="n">
        <f aca="false">Cost!E39/E67</f>
        <v>0.258429487179487</v>
      </c>
      <c r="F68" s="21" t="n">
        <f aca="false">Cost!F39/F67</f>
        <v>0</v>
      </c>
      <c r="G68" s="21" t="n">
        <f aca="false">Cost!G39/G67</f>
        <v>0</v>
      </c>
      <c r="H68" s="21" t="n">
        <f aca="false">Cost!H39/H67</f>
        <v>0</v>
      </c>
      <c r="I68" s="21" t="n">
        <f aca="false">Cost!I39/I67</f>
        <v>0</v>
      </c>
      <c r="K68" s="2" t="s">
        <v>4445</v>
      </c>
    </row>
    <row r="69" customFormat="false" ht="15" hidden="false" customHeight="false" outlineLevel="0" collapsed="false">
      <c r="A69" s="15" t="s">
        <v>4446</v>
      </c>
    </row>
    <row r="70" customFormat="false" ht="15" hidden="false" customHeight="false" outlineLevel="0" collapsed="false">
      <c r="A70" s="9" t="s">
        <v>4447</v>
      </c>
      <c r="B70" s="9" t="s">
        <v>4448</v>
      </c>
      <c r="C70" s="11" t="s">
        <v>747</v>
      </c>
      <c r="D70" s="21" t="n">
        <f aca="false">TK_PUE</f>
        <v>1.2</v>
      </c>
      <c r="E70" s="21" t="n">
        <f aca="false">TK_PUE</f>
        <v>1.2</v>
      </c>
      <c r="F70" s="21" t="n">
        <f aca="false">TK_PUE</f>
        <v>1.2</v>
      </c>
      <c r="G70" s="21" t="n">
        <f aca="false">TK_PUE</f>
        <v>1.2</v>
      </c>
      <c r="H70" s="21" t="n">
        <f aca="false">TK_PUE</f>
        <v>1.2</v>
      </c>
      <c r="I70" s="21" t="n">
        <f aca="false">TK_PUE</f>
        <v>1.2</v>
      </c>
      <c r="K70" s="12" t="s">
        <v>4449</v>
      </c>
    </row>
    <row r="71" customFormat="false" ht="15" hidden="false" customHeight="false" outlineLevel="0" collapsed="false">
      <c r="A71" s="9" t="s">
        <v>4450</v>
      </c>
      <c r="B71" s="11" t="s">
        <v>4451</v>
      </c>
      <c r="C71" s="11" t="s">
        <v>747</v>
      </c>
      <c r="D71" s="21" t="n">
        <f aca="false">(1-INP_124)+INP_124/D70</f>
        <v>1</v>
      </c>
      <c r="E71" s="21" t="n">
        <f aca="false">(1-INP_124)+INP_124/E70</f>
        <v>1</v>
      </c>
      <c r="F71" s="21" t="n">
        <f aca="false">(1-INP_124)+INP_124/F70</f>
        <v>1</v>
      </c>
      <c r="G71" s="21" t="n">
        <f aca="false">(1-INP_124)+INP_124/G70</f>
        <v>1</v>
      </c>
      <c r="H71" s="21" t="n">
        <f aca="false">(1-INP_124)+INP_124/H70</f>
        <v>1</v>
      </c>
      <c r="I71" s="21" t="n">
        <f aca="false">(1-INP_124)+INP_124/I70</f>
        <v>1</v>
      </c>
      <c r="K71" s="2" t="s">
        <v>4452</v>
      </c>
    </row>
    <row r="72" customFormat="false" ht="15" hidden="false" customHeight="false" outlineLevel="0" collapsed="false">
      <c r="A72" s="9" t="s">
        <v>4453</v>
      </c>
      <c r="B72" s="11" t="s">
        <v>4454</v>
      </c>
      <c r="C72" s="11" t="s">
        <v>2189</v>
      </c>
      <c r="D72" s="23" t="n">
        <f aca="false">D$6</f>
        <v>2025</v>
      </c>
      <c r="E72" s="23" t="n">
        <f aca="false">E$6</f>
        <v>2026</v>
      </c>
      <c r="F72" s="23" t="n">
        <f aca="false">F$6</f>
        <v>2027</v>
      </c>
      <c r="G72" s="23" t="n">
        <f aca="false">G$6</f>
        <v>2028</v>
      </c>
      <c r="H72" s="23" t="n">
        <f aca="false">H$6</f>
        <v>2029</v>
      </c>
      <c r="I72" s="23" t="n">
        <f aca="false">I$6</f>
        <v>2030</v>
      </c>
      <c r="K72" s="2"/>
    </row>
    <row r="73" customFormat="false" ht="15" hidden="false" customHeight="false" outlineLevel="0" collapsed="false">
      <c r="A73" s="9" t="s">
        <v>4455</v>
      </c>
      <c r="B73" s="11" t="s">
        <v>4456</v>
      </c>
      <c r="C73" s="9" t="s">
        <v>1106</v>
      </c>
      <c r="D73" s="21" t="n">
        <f aca="false">Cost!D40/D48</f>
        <v>0</v>
      </c>
      <c r="E73" s="21" t="n">
        <f aca="false">Cost!E40/E48</f>
        <v>0.771527777777778</v>
      </c>
      <c r="F73" s="21" t="n">
        <f aca="false">Cost!F40/F48</f>
        <v>1.54305555555556</v>
      </c>
      <c r="G73" s="21" t="n">
        <f aca="false">Cost!G40/G48</f>
        <v>1.54305555555556</v>
      </c>
      <c r="H73" s="21" t="n">
        <f aca="false">Cost!H40/H48</f>
        <v>1.54305555555556</v>
      </c>
      <c r="I73" s="21" t="n">
        <f aca="false">Cost!I40/I48</f>
        <v>1.54305555555556</v>
      </c>
      <c r="K73" s="2" t="s">
        <v>4457</v>
      </c>
    </row>
    <row r="74" customFormat="false" ht="15" hidden="false" customHeight="false" outlineLevel="0" collapsed="false">
      <c r="A74" s="9" t="s">
        <v>4458</v>
      </c>
      <c r="B74" s="11" t="s">
        <v>4459</v>
      </c>
      <c r="C74" s="9" t="s">
        <v>1106</v>
      </c>
      <c r="D74" s="21" t="n">
        <f aca="false">(SRC_ANT_188+INP_128*(SRC_ANT_189-SRC_ANT_188))*D71*MIN(INP_122,D$6-INP_131+1)/INP_122*(D$6&gt;=INP_131)*(D$6&lt;=INP_132)</f>
        <v>-0</v>
      </c>
      <c r="E74" s="21" t="n">
        <f aca="false">(SRC_ANT_188+INP_128*(SRC_ANT_189-SRC_ANT_188))*E71*MIN(INP_122,E$6-INP_131+1)/INP_122*(E$6&gt;=INP_131)*(E$6&lt;=INP_132)</f>
        <v>0</v>
      </c>
      <c r="F74" s="21" t="n">
        <f aca="false">(SRC_ANT_188+INP_128*(SRC_ANT_189-SRC_ANT_188))*F71*MIN(INP_122,F$6-INP_131+1)/INP_122*(F$6&gt;=INP_131)*(F$6&lt;=INP_132)</f>
        <v>1.75</v>
      </c>
      <c r="G74" s="21" t="n">
        <f aca="false">(SRC_ANT_188+INP_128*(SRC_ANT_189-SRC_ANT_188))*G71*MIN(INP_122,G$6-INP_131+1)/INP_122*(G$6&gt;=INP_131)*(G$6&lt;=INP_132)</f>
        <v>3.5</v>
      </c>
      <c r="H74" s="21" t="n">
        <f aca="false">(SRC_ANT_188+INP_128*(SRC_ANT_189-SRC_ANT_188))*H71*MIN(INP_122,H$6-INP_131+1)/INP_122*(H$6&gt;=INP_131)*(H$6&lt;=INP_132)</f>
        <v>3.5</v>
      </c>
      <c r="I74" s="21" t="n">
        <f aca="false">(SRC_ANT_188+INP_128*(SRC_ANT_189-SRC_ANT_188))*I71*MIN(INP_122,I$6-INP_131+1)/INP_122*(I$6&gt;=INP_131)*(I$6&lt;=INP_132)</f>
        <v>3.5</v>
      </c>
      <c r="K74" s="2" t="s">
        <v>4460</v>
      </c>
    </row>
    <row r="75" customFormat="false" ht="15" hidden="false" customHeight="false" outlineLevel="0" collapsed="false">
      <c r="A75" s="9" t="s">
        <v>4461</v>
      </c>
      <c r="B75" s="11" t="s">
        <v>4462</v>
      </c>
      <c r="C75" s="9" t="s">
        <v>1106</v>
      </c>
      <c r="D75" s="21" t="n">
        <f aca="false">Cost!D42/D56</f>
        <v>0</v>
      </c>
      <c r="E75" s="21" t="n">
        <f aca="false">Cost!E42/E56</f>
        <v>0.68922305764411</v>
      </c>
      <c r="F75" s="21" t="n">
        <f aca="false">Cost!F42/F56</f>
        <v>1.37844611528822</v>
      </c>
      <c r="G75" s="21" t="n">
        <f aca="false">Cost!G42/G56</f>
        <v>1.37844611528822</v>
      </c>
      <c r="H75" s="21" t="n">
        <f aca="false">Cost!H42/H56</f>
        <v>1.37844611528822</v>
      </c>
      <c r="I75" s="21" t="n">
        <f aca="false">Cost!I42/I56</f>
        <v>1.37844611528822</v>
      </c>
      <c r="K75" s="2" t="s">
        <v>4463</v>
      </c>
    </row>
    <row r="76" customFormat="false" ht="15" hidden="false" customHeight="false" outlineLevel="0" collapsed="false">
      <c r="A76" s="9" t="s">
        <v>4464</v>
      </c>
      <c r="B76" s="11" t="s">
        <v>4465</v>
      </c>
      <c r="C76" s="9" t="s">
        <v>1106</v>
      </c>
      <c r="D76" s="21" t="n">
        <f aca="false">Cost!D43/D36</f>
        <v>-0</v>
      </c>
      <c r="E76" s="21" t="n">
        <f aca="false">Cost!E43/E36</f>
        <v>0</v>
      </c>
      <c r="F76" s="21" t="n">
        <f aca="false">Cost!F43/F36</f>
        <v>0.201282051282051</v>
      </c>
      <c r="G76" s="21" t="n">
        <f aca="false">Cost!G43/G36</f>
        <v>0.402564102564103</v>
      </c>
      <c r="H76" s="21" t="n">
        <f aca="false">Cost!H43/H36</f>
        <v>0.402564102564103</v>
      </c>
      <c r="I76" s="21" t="n">
        <f aca="false">Cost!I43/I36</f>
        <v>0.402564102564103</v>
      </c>
      <c r="K76" s="2" t="s">
        <v>4466</v>
      </c>
    </row>
    <row r="77" customFormat="false" ht="15" hidden="false" customHeight="false" outlineLevel="0" collapsed="false">
      <c r="A77" s="9" t="s">
        <v>4467</v>
      </c>
      <c r="B77" s="11" t="s">
        <v>4468</v>
      </c>
      <c r="C77" s="9" t="s">
        <v>1106</v>
      </c>
      <c r="D77" s="21" t="n">
        <f aca="false">SRC_ANT_231_Hi*INP_123*D71*MIN(INP_122,D$6-INP_137+1)/INP_122*(D$6&gt;=INP_137)*(D$6&lt;INP_137+INP_138)</f>
        <v>-0</v>
      </c>
      <c r="E77" s="21" t="n">
        <f aca="false">SRC_ANT_231_Hi*INP_123*E71*MIN(INP_122,E$6-INP_137+1)/INP_122*(E$6&gt;=INP_137)*(E$6&lt;INP_137+INP_138)</f>
        <v>0</v>
      </c>
      <c r="F77" s="21" t="n">
        <f aca="false">SRC_ANT_231_Hi*INP_123*F71*MIN(INP_122,F$6-INP_137+1)/INP_122*(F$6&gt;=INP_137)*(F$6&lt;INP_137+INP_138)</f>
        <v>0.8</v>
      </c>
      <c r="G77" s="21" t="n">
        <f aca="false">SRC_ANT_231_Hi*INP_123*G71*MIN(INP_122,G$6-INP_137+1)/INP_122*(G$6&gt;=INP_137)*(G$6&lt;INP_137+INP_138)</f>
        <v>1.6</v>
      </c>
      <c r="H77" s="21" t="n">
        <f aca="false">SRC_ANT_231_Hi*INP_123*H71*MIN(INP_122,H$6-INP_137+1)/INP_122*(H$6&gt;=INP_137)*(H$6&lt;INP_137+INP_138)</f>
        <v>1.6</v>
      </c>
      <c r="I77" s="21" t="n">
        <f aca="false">SRC_ANT_231_Hi*INP_123*I71*MIN(INP_122,I$6-INP_137+1)/INP_122*(I$6&gt;=INP_137)*(I$6&lt;INP_137+INP_138)</f>
        <v>1.6</v>
      </c>
      <c r="K77" s="12" t="s">
        <v>4469</v>
      </c>
    </row>
    <row r="78" customFormat="false" ht="15" hidden="false" customHeight="false" outlineLevel="0" collapsed="false">
      <c r="A78" s="9" t="s">
        <v>4470</v>
      </c>
      <c r="B78" s="11" t="s">
        <v>4471</v>
      </c>
      <c r="C78" s="9" t="s">
        <v>1106</v>
      </c>
      <c r="D78" s="21" t="n">
        <f aca="false">Cost!D45/D28</f>
        <v>0</v>
      </c>
      <c r="E78" s="21" t="n">
        <f aca="false">Cost!E45/E28</f>
        <v>0.833333333333333</v>
      </c>
      <c r="F78" s="21" t="n">
        <f aca="false">Cost!F45/F28</f>
        <v>1.25</v>
      </c>
      <c r="G78" s="21" t="n">
        <f aca="false">Cost!G45/G28</f>
        <v>1.25</v>
      </c>
      <c r="H78" s="21" t="n">
        <f aca="false">Cost!H45/H28</f>
        <v>0.416666666666667</v>
      </c>
      <c r="I78" s="21" t="n">
        <f aca="false">Cost!I45/I28</f>
        <v>0</v>
      </c>
      <c r="K78" s="2" t="s">
        <v>4472</v>
      </c>
    </row>
    <row r="79" customFormat="false" ht="15" hidden="false" customHeight="false" outlineLevel="0" collapsed="false">
      <c r="A79" s="9" t="s">
        <v>4473</v>
      </c>
      <c r="B79" s="11" t="s">
        <v>4474</v>
      </c>
      <c r="C79" s="9" t="s">
        <v>1106</v>
      </c>
      <c r="D79" s="21" t="n">
        <f aca="false">INP_182*(INP_187*D243+(1-INP_187)*Cost!D46/D40)+(1-INP_182)*D237</f>
        <v>-0</v>
      </c>
      <c r="E79" s="21" t="n">
        <f aca="false">INP_182*(INP_187*E243+(1-INP_187)*Cost!E46/E40)+(1-INP_182)*E237</f>
        <v>-0</v>
      </c>
      <c r="F79" s="21" t="n">
        <f aca="false">INP_182*(INP_187*F243+(1-INP_187)*Cost!F46/F40)+(1-INP_182)*F237</f>
        <v>0</v>
      </c>
      <c r="G79" s="21" t="n">
        <f aca="false">INP_182*(INP_187*G243+(1-INP_187)*Cost!G46/G40)+(1-INP_182)*G237</f>
        <v>0.23</v>
      </c>
      <c r="H79" s="21" t="n">
        <f aca="false">INP_182*(INP_187*H243+(1-INP_187)*Cost!H46/H40)+(1-INP_182)*H237</f>
        <v>0.46</v>
      </c>
      <c r="I79" s="21" t="n">
        <f aca="false">INP_182*(INP_187*I243+(1-INP_187)*Cost!I46/I40)+(1-INP_182)*I237</f>
        <v>0.46</v>
      </c>
      <c r="K79" s="12" t="s">
        <v>4475</v>
      </c>
    </row>
    <row r="80" customFormat="false" ht="15" hidden="false" customHeight="false" outlineLevel="0" collapsed="false">
      <c r="A80" s="9" t="s">
        <v>4476</v>
      </c>
      <c r="B80" s="11" t="s">
        <v>4477</v>
      </c>
      <c r="C80" s="9" t="s">
        <v>1106</v>
      </c>
      <c r="D80" s="21" t="n">
        <f aca="false">INP_182*(INP_187*D244+(1-INP_187)*Cost!D47/D36)+(1-INP_182)*D238</f>
        <v>-0</v>
      </c>
      <c r="E80" s="21" t="n">
        <f aca="false">INP_182*(INP_187*E244+(1-INP_187)*Cost!E47/E36)+(1-INP_182)*E238</f>
        <v>0</v>
      </c>
      <c r="F80" s="21" t="n">
        <f aca="false">INP_182*(INP_187*F244+(1-INP_187)*Cost!F47/F36)+(1-INP_182)*F238</f>
        <v>0.175</v>
      </c>
      <c r="G80" s="21" t="n">
        <f aca="false">INP_182*(INP_187*G244+(1-INP_187)*Cost!G47/G36)+(1-INP_182)*G238</f>
        <v>0.35</v>
      </c>
      <c r="H80" s="21" t="n">
        <f aca="false">INP_182*(INP_187*H244+(1-INP_187)*Cost!H47/H36)+(1-INP_182)*H238</f>
        <v>0.35</v>
      </c>
      <c r="I80" s="21" t="n">
        <f aca="false">INP_182*(INP_187*I244+(1-INP_187)*Cost!I47/I36)+(1-INP_182)*I238</f>
        <v>0.35</v>
      </c>
      <c r="K80" s="12" t="s">
        <v>4478</v>
      </c>
    </row>
    <row r="81" customFormat="false" ht="15" hidden="false" customHeight="false" outlineLevel="0" collapsed="false">
      <c r="A81" s="9" t="s">
        <v>4479</v>
      </c>
      <c r="B81" s="11" t="s">
        <v>4480</v>
      </c>
      <c r="C81" s="9" t="s">
        <v>1106</v>
      </c>
      <c r="D81" s="21" t="n">
        <f aca="false">SRC_ANT_237/INP_110*D71*MIN(INP_122,D$6-INP_147+1)/INP_122*(D$6&gt;=INP_147)*(D$6&lt;=INP_148)</f>
        <v>-0</v>
      </c>
      <c r="E81" s="21" t="n">
        <f aca="false">SRC_ANT_237/INP_110*E71*MIN(INP_122,E$6-INP_147+1)/INP_122*(E$6&gt;=INP_147)*(E$6&lt;=INP_148)</f>
        <v>0</v>
      </c>
      <c r="F81" s="21" t="n">
        <f aca="false">SRC_ANT_237/INP_110*F71*MIN(INP_122,F$6-INP_147+1)/INP_122*(F$6&gt;=INP_147)*(F$6&lt;=INP_148)</f>
        <v>0.0665</v>
      </c>
      <c r="G81" s="21" t="n">
        <f aca="false">SRC_ANT_237/INP_110*G71*MIN(INP_122,G$6-INP_147+1)/INP_122*(G$6&gt;=INP_147)*(G$6&lt;=INP_148)</f>
        <v>0.133</v>
      </c>
      <c r="H81" s="21" t="n">
        <f aca="false">SRC_ANT_237/INP_110*H71*MIN(INP_122,H$6-INP_147+1)/INP_122*(H$6&gt;=INP_147)*(H$6&lt;=INP_148)</f>
        <v>0.133</v>
      </c>
      <c r="I81" s="21" t="n">
        <f aca="false">SRC_ANT_237/INP_110*I71*MIN(INP_122,I$6-INP_147+1)/INP_122*(I$6&gt;=INP_147)*(I$6&lt;=INP_148)</f>
        <v>0.133</v>
      </c>
      <c r="K81" s="2" t="s">
        <v>4481</v>
      </c>
    </row>
    <row r="82" customFormat="false" ht="15" hidden="false" customHeight="false" outlineLevel="0" collapsed="false">
      <c r="A82" s="9" t="s">
        <v>4482</v>
      </c>
      <c r="B82" s="11" t="s">
        <v>4483</v>
      </c>
      <c r="C82" s="9" t="s">
        <v>1106</v>
      </c>
      <c r="D82" s="21" t="n">
        <f aca="false">Cost!D49/D32</f>
        <v>0</v>
      </c>
      <c r="E82" s="21" t="n">
        <f aca="false">Cost!E49/E32</f>
        <v>0.0115384615384615</v>
      </c>
      <c r="F82" s="21" t="n">
        <f aca="false">Cost!F49/F32</f>
        <v>0.0230769230769231</v>
      </c>
      <c r="G82" s="21" t="n">
        <f aca="false">Cost!G49/G32</f>
        <v>0.0230769230769231</v>
      </c>
      <c r="H82" s="21" t="n">
        <f aca="false">Cost!H49/H32</f>
        <v>0.0230769230769231</v>
      </c>
      <c r="I82" s="21" t="n">
        <f aca="false">Cost!I49/I32</f>
        <v>0.0230769230769231</v>
      </c>
      <c r="K82" s="2" t="s">
        <v>4484</v>
      </c>
    </row>
    <row r="83" customFormat="false" ht="15" hidden="false" customHeight="false" outlineLevel="0" collapsed="false">
      <c r="A83" s="9" t="s">
        <v>4485</v>
      </c>
      <c r="B83" s="11" t="s">
        <v>4486</v>
      </c>
      <c r="C83" s="9" t="s">
        <v>1106</v>
      </c>
      <c r="K83" s="2" t="s">
        <v>4487</v>
      </c>
    </row>
    <row r="84" customFormat="false" ht="15" hidden="false" customHeight="false" outlineLevel="0" collapsed="false">
      <c r="A84" s="15" t="s">
        <v>4488</v>
      </c>
    </row>
    <row r="85" customFormat="false" ht="15" hidden="false" customHeight="false" outlineLevel="0" collapsed="false">
      <c r="A85" s="9" t="s">
        <v>4489</v>
      </c>
      <c r="B85" s="11" t="s">
        <v>4490</v>
      </c>
      <c r="C85" s="9" t="s">
        <v>482</v>
      </c>
      <c r="D85" s="17" t="n">
        <f aca="false">SRC_ANT_212/INP_152*(D$6&gt;=INP_151)*(D$6&lt;INP_151+INP_152)</f>
        <v>0</v>
      </c>
      <c r="E85" s="17" t="n">
        <f aca="false">SRC_ANT_212/INP_152*(E$6&gt;=INP_151)*(E$6&lt;INP_151+INP_152)</f>
        <v>16.6666666666667</v>
      </c>
      <c r="F85" s="17" t="n">
        <f aca="false">SRC_ANT_212/INP_152*(F$6&gt;=INP_151)*(F$6&lt;INP_151+INP_152)</f>
        <v>16.6666666666667</v>
      </c>
      <c r="G85" s="17" t="n">
        <f aca="false">SRC_ANT_212/INP_152*(G$6&gt;=INP_151)*(G$6&lt;INP_151+INP_152)</f>
        <v>16.6666666666667</v>
      </c>
      <c r="H85" s="17" t="n">
        <f aca="false">SRC_ANT_212/INP_152*(H$6&gt;=INP_151)*(H$6&lt;INP_151+INP_152)</f>
        <v>0</v>
      </c>
      <c r="I85" s="17" t="n">
        <f aca="false">SRC_ANT_212/INP_152*(I$6&gt;=INP_151)*(I$6&lt;INP_151+INP_152)</f>
        <v>0</v>
      </c>
      <c r="K85" s="12" t="s">
        <v>4491</v>
      </c>
    </row>
    <row r="86" customFormat="false" ht="15" hidden="false" customHeight="false" outlineLevel="0" collapsed="false">
      <c r="A86" s="9" t="s">
        <v>4492</v>
      </c>
      <c r="B86" s="11" t="s">
        <v>4493</v>
      </c>
      <c r="C86" s="9" t="s">
        <v>482</v>
      </c>
      <c r="D86" s="17" t="n">
        <f aca="false">SUMPRODUCT(($D$6:$I$6&lt;=D$6-INP_153)*($D$85:$I$85))</f>
        <v>0</v>
      </c>
      <c r="E86" s="17" t="n">
        <f aca="false">SUMPRODUCT(($D$6:$I$6&lt;=E$6-INP_153)*($D$85:$I$85))</f>
        <v>0</v>
      </c>
      <c r="F86" s="17" t="n">
        <f aca="false">SUMPRODUCT(($D$6:$I$6&lt;=F$6-INP_153)*($D$85:$I$85))</f>
        <v>16.6666666666667</v>
      </c>
      <c r="G86" s="17" t="n">
        <f aca="false">SUMPRODUCT(($D$6:$I$6&lt;=G$6-INP_153)*($D$85:$I$85))</f>
        <v>33.3333333333333</v>
      </c>
      <c r="H86" s="17" t="n">
        <f aca="false">SUMPRODUCT(($D$6:$I$6&lt;=H$6-INP_153)*($D$85:$I$85))</f>
        <v>50</v>
      </c>
      <c r="I86" s="17" t="n">
        <f aca="false">SUMPRODUCT(($D$6:$I$6&lt;=I$6-INP_153)*($D$85:$I$85))</f>
        <v>50</v>
      </c>
      <c r="K86" s="2" t="s">
        <v>4494</v>
      </c>
    </row>
    <row r="87" customFormat="false" ht="15" hidden="false" customHeight="false" outlineLevel="0" collapsed="false">
      <c r="A87" s="9" t="s">
        <v>4495</v>
      </c>
      <c r="B87" s="11" t="s">
        <v>4496</v>
      </c>
      <c r="C87" s="9" t="s">
        <v>4497</v>
      </c>
      <c r="D87" s="9" t="n">
        <f aca="false">SUMIFS(TK_IF_CapexTotal,TK_HdrGen,$D$11,TK_HdrCost,$D$12)</f>
        <v>50.256352</v>
      </c>
      <c r="E87" s="9" t="n">
        <f aca="false">SUMIFS(TK_IF_CapexTotal,TK_HdrGen,$D$11,TK_HdrCost,$D$12)</f>
        <v>50.256352</v>
      </c>
      <c r="F87" s="9" t="n">
        <f aca="false">SUMIFS(TK_IF_CapexTotal,TK_HdrGen,$D$11,TK_HdrCost,$D$12)</f>
        <v>50.256352</v>
      </c>
      <c r="G87" s="9" t="n">
        <f aca="false">SUMIFS(TK_IF_CapexTotal,TK_HdrGen,$D$11,TK_HdrCost,$D$12)</f>
        <v>50.256352</v>
      </c>
      <c r="H87" s="9" t="n">
        <f aca="false">SUMIFS(TK_IF_CapexTotal,TK_HdrGen,$D$11,TK_HdrCost,$D$12)</f>
        <v>50.256352</v>
      </c>
      <c r="I87" s="9" t="n">
        <f aca="false">SUMIFS(TK_IF_CapexTotal,TK_HdrGen,$D$11,TK_HdrCost,$D$12)</f>
        <v>50.256352</v>
      </c>
      <c r="K87" s="2" t="s">
        <v>4498</v>
      </c>
    </row>
    <row r="88" customFormat="false" ht="15" hidden="false" customHeight="false" outlineLevel="0" collapsed="false">
      <c r="A88" s="9" t="s">
        <v>4499</v>
      </c>
      <c r="B88" s="11" t="s">
        <v>4500</v>
      </c>
      <c r="C88" s="9" t="s">
        <v>1106</v>
      </c>
      <c r="D88" s="21" t="n">
        <f aca="false">D86/D87</f>
        <v>0</v>
      </c>
      <c r="E88" s="21" t="n">
        <f aca="false">E86/E87</f>
        <v>0</v>
      </c>
      <c r="F88" s="21" t="n">
        <f aca="false">F86/F87</f>
        <v>0.331633037484827</v>
      </c>
      <c r="G88" s="21" t="n">
        <f aca="false">G86/G87</f>
        <v>0.663266074969654</v>
      </c>
      <c r="H88" s="21" t="n">
        <f aca="false">H86/H87</f>
        <v>0.994899112454481</v>
      </c>
      <c r="I88" s="21" t="n">
        <f aca="false">I86/I87</f>
        <v>0.994899112454481</v>
      </c>
      <c r="K88" s="2" t="s">
        <v>4501</v>
      </c>
    </row>
    <row r="89" customFormat="false" ht="15" hidden="false" customHeight="false" outlineLevel="0" collapsed="false">
      <c r="A89" s="15" t="s">
        <v>4502</v>
      </c>
    </row>
    <row r="90" customFormat="false" ht="15" hidden="false" customHeight="false" outlineLevel="0" collapsed="false">
      <c r="A90" s="9" t="s">
        <v>4503</v>
      </c>
      <c r="B90" s="11" t="s">
        <v>4504</v>
      </c>
      <c r="C90" s="9" t="s">
        <v>1106</v>
      </c>
      <c r="D90" s="21" t="n">
        <f aca="false">D68+D73+D74+D75+D76+D77+D78+D79+D80+D81+D82</f>
        <v>0.783119658119658</v>
      </c>
      <c r="E90" s="21" t="n">
        <f aca="false">E68+E73+E74+E75+E76+E77+E78+E79+E80+E81+E82</f>
        <v>2.56405211747317</v>
      </c>
      <c r="F90" s="21" t="n">
        <f aca="false">F68+F73+F74+F75+F76+F77+F78+F79+F80+F81+F82</f>
        <v>7.18736064520275</v>
      </c>
      <c r="G90" s="21" t="n">
        <f aca="false">G68+G73+G74+G75+G76+G77+G78+G79+G80+G81+G82</f>
        <v>10.4101426964848</v>
      </c>
      <c r="H90" s="21" t="n">
        <f aca="false">H68+H73+H74+H75+H76+H77+H78+H79+H80+H81+H82</f>
        <v>9.80680936315147</v>
      </c>
      <c r="I90" s="21" t="n">
        <f aca="false">I68+I73+I74+I75+I76+I77+I78+I79+I80+I81+I82</f>
        <v>9.3901426964848</v>
      </c>
      <c r="K90" s="2" t="s">
        <v>4505</v>
      </c>
    </row>
    <row r="91" customFormat="false" ht="15" hidden="false" customHeight="false" outlineLevel="0" collapsed="false">
      <c r="A91" s="9" t="s">
        <v>4506</v>
      </c>
      <c r="B91" s="11" t="s">
        <v>4507</v>
      </c>
      <c r="C91" s="9" t="s">
        <v>1106</v>
      </c>
      <c r="D91" s="21" t="n">
        <f aca="false">D90+D88</f>
        <v>0.783119658119658</v>
      </c>
      <c r="E91" s="21" t="n">
        <f aca="false">E90+E88</f>
        <v>2.56405211747317</v>
      </c>
      <c r="F91" s="21" t="n">
        <f aca="false">F90+F88</f>
        <v>7.51899368268758</v>
      </c>
      <c r="G91" s="21" t="n">
        <f aca="false">G90+G88</f>
        <v>11.0734087714545</v>
      </c>
      <c r="H91" s="21" t="n">
        <f aca="false">H90+H88</f>
        <v>10.8017084756059</v>
      </c>
      <c r="I91" s="21" t="n">
        <f aca="false">I90+I88</f>
        <v>10.3850418089393</v>
      </c>
      <c r="K91" s="2" t="s">
        <v>4508</v>
      </c>
    </row>
    <row r="92" customFormat="false" ht="15" hidden="false" customHeight="false" outlineLevel="0" collapsed="false">
      <c r="A92" s="9" t="s">
        <v>4509</v>
      </c>
      <c r="B92" s="9" t="s">
        <v>4510</v>
      </c>
      <c r="C92" s="9" t="s">
        <v>1106</v>
      </c>
      <c r="D92" s="21" t="n">
        <f aca="false">D78+D68*D65</f>
        <v>0.0783119658119658</v>
      </c>
      <c r="E92" s="21" t="n">
        <f aca="false">E78+E68*E65</f>
        <v>0.859176282051282</v>
      </c>
      <c r="F92" s="21" t="n">
        <f aca="false">F78+F68*F65</f>
        <v>1.25</v>
      </c>
      <c r="G92" s="21" t="n">
        <f aca="false">G78+G68*G65</f>
        <v>1.25</v>
      </c>
      <c r="H92" s="21" t="n">
        <f aca="false">H78+H68*H65</f>
        <v>0.416666666666667</v>
      </c>
      <c r="I92" s="21" t="n">
        <f aca="false">I78+I68*I65</f>
        <v>0</v>
      </c>
      <c r="K92" s="12" t="s">
        <v>4511</v>
      </c>
    </row>
    <row r="93" customFormat="false" ht="15" hidden="false" customHeight="false" outlineLevel="0" collapsed="false">
      <c r="A93" s="9" t="s">
        <v>4512</v>
      </c>
      <c r="B93" s="9" t="s">
        <v>4513</v>
      </c>
      <c r="C93" s="9" t="s">
        <v>1106</v>
      </c>
      <c r="D93" s="21" t="n">
        <f aca="false">D82</f>
        <v>0</v>
      </c>
      <c r="E93" s="21" t="n">
        <f aca="false">E82</f>
        <v>0.0115384615384615</v>
      </c>
      <c r="F93" s="21" t="n">
        <f aca="false">F82</f>
        <v>0.0230769230769231</v>
      </c>
      <c r="G93" s="21" t="n">
        <f aca="false">G82</f>
        <v>0.0230769230769231</v>
      </c>
      <c r="H93" s="21" t="n">
        <f aca="false">H82</f>
        <v>0.0230769230769231</v>
      </c>
      <c r="I93" s="21" t="n">
        <f aca="false">I82</f>
        <v>0.0230769230769231</v>
      </c>
      <c r="K93" s="12" t="s">
        <v>4511</v>
      </c>
    </row>
    <row r="94" customFormat="false" ht="15" hidden="false" customHeight="false" outlineLevel="0" collapsed="false">
      <c r="A94" s="9" t="s">
        <v>4514</v>
      </c>
      <c r="B94" s="9" t="s">
        <v>4515</v>
      </c>
      <c r="C94" s="9" t="s">
        <v>1106</v>
      </c>
      <c r="D94" s="21" t="n">
        <f aca="false">D76+D80</f>
        <v>-0</v>
      </c>
      <c r="E94" s="21" t="n">
        <f aca="false">E76+E80</f>
        <v>0</v>
      </c>
      <c r="F94" s="21" t="n">
        <f aca="false">F76+F80</f>
        <v>0.376282051282051</v>
      </c>
      <c r="G94" s="21" t="n">
        <f aca="false">G76+G80</f>
        <v>0.752564102564103</v>
      </c>
      <c r="H94" s="21" t="n">
        <f aca="false">H76+H80</f>
        <v>0.752564102564103</v>
      </c>
      <c r="I94" s="21" t="n">
        <f aca="false">I76+I80</f>
        <v>0.752564102564103</v>
      </c>
      <c r="K94" s="12" t="s">
        <v>4511</v>
      </c>
    </row>
    <row r="95" customFormat="false" ht="15" hidden="false" customHeight="false" outlineLevel="0" collapsed="false">
      <c r="A95" s="9" t="s">
        <v>4516</v>
      </c>
      <c r="B95" s="9" t="s">
        <v>4517</v>
      </c>
      <c r="C95" s="9" t="s">
        <v>1106</v>
      </c>
      <c r="D95" s="21" t="n">
        <f aca="false">D79+D81</f>
        <v>-0</v>
      </c>
      <c r="E95" s="21" t="n">
        <f aca="false">E79+E81</f>
        <v>0</v>
      </c>
      <c r="F95" s="21" t="n">
        <f aca="false">F79+F81</f>
        <v>0.0665</v>
      </c>
      <c r="G95" s="21" t="n">
        <f aca="false">G79+G81</f>
        <v>0.363</v>
      </c>
      <c r="H95" s="21" t="n">
        <f aca="false">H79+H81</f>
        <v>0.593</v>
      </c>
      <c r="I95" s="21" t="n">
        <f aca="false">I79+I81</f>
        <v>0.593</v>
      </c>
      <c r="K95" s="12" t="s">
        <v>4511</v>
      </c>
    </row>
    <row r="96" customFormat="false" ht="15" hidden="false" customHeight="false" outlineLevel="0" collapsed="false">
      <c r="A96" s="9" t="s">
        <v>4518</v>
      </c>
      <c r="B96" s="9" t="s">
        <v>4519</v>
      </c>
      <c r="C96" s="9" t="s">
        <v>1106</v>
      </c>
      <c r="D96" s="21" t="n">
        <f aca="false">D68*D66</f>
        <v>0.391559829059829</v>
      </c>
      <c r="E96" s="21" t="n">
        <f aca="false">E68*E66</f>
        <v>0.129214743589744</v>
      </c>
      <c r="F96" s="21" t="n">
        <f aca="false">F68*F66</f>
        <v>0</v>
      </c>
      <c r="G96" s="21" t="n">
        <f aca="false">G68*G66</f>
        <v>0</v>
      </c>
      <c r="H96" s="21" t="n">
        <f aca="false">H68*H66</f>
        <v>0</v>
      </c>
      <c r="I96" s="21" t="n">
        <f aca="false">I68*I66</f>
        <v>0</v>
      </c>
      <c r="K96" s="12" t="s">
        <v>4511</v>
      </c>
    </row>
    <row r="97" customFormat="false" ht="15" hidden="false" customHeight="false" outlineLevel="0" collapsed="false">
      <c r="A97" s="9" t="s">
        <v>4520</v>
      </c>
      <c r="B97" s="9" t="s">
        <v>4521</v>
      </c>
      <c r="C97" s="9" t="s">
        <v>1106</v>
      </c>
      <c r="D97" s="21" t="n">
        <f aca="false">D73+D74+D88</f>
        <v>0</v>
      </c>
      <c r="E97" s="21" t="n">
        <f aca="false">E73+E74+E88</f>
        <v>0.771527777777778</v>
      </c>
      <c r="F97" s="21" t="n">
        <f aca="false">F73+F74+F88</f>
        <v>3.62468859304038</v>
      </c>
      <c r="G97" s="21" t="n">
        <f aca="false">G73+G74+G88</f>
        <v>5.70632163052521</v>
      </c>
      <c r="H97" s="21" t="n">
        <f aca="false">H73+H74+H88</f>
        <v>6.03795466801004</v>
      </c>
      <c r="I97" s="21" t="n">
        <f aca="false">I73+I74+I88</f>
        <v>6.03795466801004</v>
      </c>
      <c r="K97" s="12" t="s">
        <v>4511</v>
      </c>
    </row>
    <row r="98" customFormat="false" ht="15" hidden="false" customHeight="false" outlineLevel="0" collapsed="false">
      <c r="A98" s="9" t="s">
        <v>4522</v>
      </c>
      <c r="B98" s="9" t="s">
        <v>4523</v>
      </c>
      <c r="C98" s="9" t="s">
        <v>1106</v>
      </c>
      <c r="D98" s="21" t="n">
        <f aca="false">D68*D64</f>
        <v>0.313247863247863</v>
      </c>
      <c r="E98" s="21" t="n">
        <f aca="false">E68*E64</f>
        <v>0.103371794871795</v>
      </c>
      <c r="F98" s="21" t="n">
        <f aca="false">F68*F64</f>
        <v>0</v>
      </c>
      <c r="G98" s="21" t="n">
        <f aca="false">G68*G64</f>
        <v>0</v>
      </c>
      <c r="H98" s="21" t="n">
        <f aca="false">H68*H64</f>
        <v>0</v>
      </c>
      <c r="I98" s="21" t="n">
        <f aca="false">I68*I64</f>
        <v>0</v>
      </c>
      <c r="K98" s="12" t="s">
        <v>4511</v>
      </c>
    </row>
    <row r="99" customFormat="false" ht="15" hidden="false" customHeight="false" outlineLevel="0" collapsed="false">
      <c r="A99" s="9" t="s">
        <v>4524</v>
      </c>
      <c r="B99" s="9" t="s">
        <v>4525</v>
      </c>
      <c r="C99" s="9" t="s">
        <v>1106</v>
      </c>
      <c r="D99" s="21" t="n">
        <f aca="false">D75</f>
        <v>0</v>
      </c>
      <c r="E99" s="21" t="n">
        <f aca="false">E75</f>
        <v>0.68922305764411</v>
      </c>
      <c r="F99" s="21" t="n">
        <f aca="false">F75</f>
        <v>1.37844611528822</v>
      </c>
      <c r="G99" s="21" t="n">
        <f aca="false">G75</f>
        <v>1.37844611528822</v>
      </c>
      <c r="H99" s="21" t="n">
        <f aca="false">H75</f>
        <v>1.37844611528822</v>
      </c>
      <c r="I99" s="21" t="n">
        <f aca="false">I75</f>
        <v>1.37844611528822</v>
      </c>
      <c r="K99" s="12" t="s">
        <v>4511</v>
      </c>
    </row>
    <row r="100" customFormat="false" ht="15" hidden="false" customHeight="false" outlineLevel="0" collapsed="false">
      <c r="A100" s="9" t="s">
        <v>4526</v>
      </c>
      <c r="B100" s="9" t="s">
        <v>4527</v>
      </c>
      <c r="C100" s="9" t="s">
        <v>1106</v>
      </c>
      <c r="D100" s="21" t="n">
        <f aca="false">D77</f>
        <v>-0</v>
      </c>
      <c r="E100" s="21" t="n">
        <f aca="false">E77</f>
        <v>0</v>
      </c>
      <c r="F100" s="21" t="n">
        <f aca="false">F77</f>
        <v>0.8</v>
      </c>
      <c r="G100" s="21" t="n">
        <f aca="false">G77</f>
        <v>1.6</v>
      </c>
      <c r="H100" s="21" t="n">
        <f aca="false">H77</f>
        <v>1.6</v>
      </c>
      <c r="I100" s="21" t="n">
        <f aca="false">I77</f>
        <v>1.6</v>
      </c>
      <c r="K100" s="12" t="s">
        <v>4511</v>
      </c>
    </row>
    <row r="101" customFormat="false" ht="15" hidden="false" customHeight="false" outlineLevel="0" collapsed="false">
      <c r="A101" s="9" t="s">
        <v>4528</v>
      </c>
      <c r="B101" s="11" t="s">
        <v>4529</v>
      </c>
      <c r="C101" s="9" t="s">
        <v>1106</v>
      </c>
      <c r="D101" s="21" t="n">
        <f aca="false">D92+D93+D94+D95+D96+D97+D98+D99+D100-D91</f>
        <v>0</v>
      </c>
      <c r="E101" s="21" t="n">
        <f aca="false">E92+E93+E94+E95+E96+E97+E98+E99+E100-E91</f>
        <v>0</v>
      </c>
      <c r="F101" s="21" t="n">
        <f aca="false">F92+F93+F94+F95+F96+F97+F98+F99+F100-F91</f>
        <v>0</v>
      </c>
      <c r="G101" s="21" t="n">
        <f aca="false">G92+G93+G94+G95+G96+G97+G98+G99+G100-G91</f>
        <v>0</v>
      </c>
      <c r="H101" s="21" t="n">
        <f aca="false">H92+H93+H94+H95+H96+H97+H98+H99+H100-H91</f>
        <v>0</v>
      </c>
      <c r="I101" s="21" t="n">
        <f aca="false">I92+I93+I94+I95+I96+I97+I98+I99+I100-I91</f>
        <v>0</v>
      </c>
      <c r="K101" s="2"/>
    </row>
    <row r="102" customFormat="false" ht="15" hidden="false" customHeight="false" outlineLevel="0" collapsed="false">
      <c r="A102" s="9" t="s">
        <v>4530</v>
      </c>
      <c r="B102" s="11" t="s">
        <v>4531</v>
      </c>
      <c r="C102" s="11" t="s">
        <v>269</v>
      </c>
      <c r="D102" s="16" t="n">
        <f aca="false">D92/D91</f>
        <v>0.1</v>
      </c>
      <c r="E102" s="16" t="n">
        <f aca="false">E92/E91</f>
        <v>0.335085342531175</v>
      </c>
      <c r="F102" s="16" t="n">
        <f aca="false">F92/F91</f>
        <v>0.166245651047442</v>
      </c>
      <c r="G102" s="16" t="n">
        <f aca="false">G92/G91</f>
        <v>0.112883035910524</v>
      </c>
      <c r="H102" s="16" t="n">
        <f aca="false">H92/H91</f>
        <v>0.0385741447853038</v>
      </c>
      <c r="I102" s="16" t="n">
        <f aca="false">I92/I91</f>
        <v>0</v>
      </c>
      <c r="K102" s="2"/>
    </row>
    <row r="103" customFormat="false" ht="15" hidden="false" customHeight="false" outlineLevel="0" collapsed="false">
      <c r="A103" s="9" t="s">
        <v>4532</v>
      </c>
      <c r="B103" s="11" t="s">
        <v>4533</v>
      </c>
      <c r="C103" s="11" t="s">
        <v>269</v>
      </c>
      <c r="D103" s="16" t="n">
        <f aca="false">D93/D91</f>
        <v>0</v>
      </c>
      <c r="E103" s="16" t="n">
        <f aca="false">E93/E91</f>
        <v>0.00450008853557645</v>
      </c>
      <c r="F103" s="16" t="n">
        <f aca="false">F93/F91</f>
        <v>0.00306915048087585</v>
      </c>
      <c r="G103" s="16" t="n">
        <f aca="false">G93/G91</f>
        <v>0.00208399450911736</v>
      </c>
      <c r="H103" s="16" t="n">
        <f aca="false">H93/H91</f>
        <v>0.00213641417272452</v>
      </c>
      <c r="I103" s="16" t="n">
        <f aca="false">I93/I91</f>
        <v>0.00222213097467348</v>
      </c>
      <c r="K103" s="2"/>
    </row>
    <row r="104" customFormat="false" ht="15" hidden="false" customHeight="false" outlineLevel="0" collapsed="false">
      <c r="A104" s="9" t="s">
        <v>4534</v>
      </c>
      <c r="B104" s="11" t="s">
        <v>4535</v>
      </c>
      <c r="C104" s="11" t="s">
        <v>269</v>
      </c>
      <c r="D104" s="16" t="n">
        <f aca="false">D94/D91</f>
        <v>-0</v>
      </c>
      <c r="E104" s="16" t="n">
        <f aca="false">E94/E91</f>
        <v>0</v>
      </c>
      <c r="F104" s="16" t="n">
        <f aca="false">F94/F91</f>
        <v>0.0500442036742813</v>
      </c>
      <c r="G104" s="16" t="n">
        <f aca="false">G94/G91</f>
        <v>0.0679613764917716</v>
      </c>
      <c r="H104" s="16" t="n">
        <f aca="false">H94/H91</f>
        <v>0.0696708399660717</v>
      </c>
      <c r="I104" s="16" t="n">
        <f aca="false">I94/I91</f>
        <v>0.0724661601185184</v>
      </c>
      <c r="K104" s="2"/>
    </row>
    <row r="105" customFormat="false" ht="15" hidden="false" customHeight="false" outlineLevel="0" collapsed="false">
      <c r="A105" s="9" t="s">
        <v>4536</v>
      </c>
      <c r="B105" s="11" t="s">
        <v>4537</v>
      </c>
      <c r="C105" s="11" t="s">
        <v>269</v>
      </c>
      <c r="D105" s="16" t="n">
        <f aca="false">D95/D91</f>
        <v>-0</v>
      </c>
      <c r="E105" s="16" t="n">
        <f aca="false">E95/E91</f>
        <v>0</v>
      </c>
      <c r="F105" s="16" t="n">
        <f aca="false">F95/F91</f>
        <v>0.00884426863572392</v>
      </c>
      <c r="G105" s="16" t="n">
        <f aca="false">G95/G91</f>
        <v>0.032781233628416</v>
      </c>
      <c r="H105" s="16" t="n">
        <f aca="false">H95/H91</f>
        <v>0.0548987228584443</v>
      </c>
      <c r="I105" s="16" t="n">
        <f aca="false">I95/I91</f>
        <v>0.0571013589458595</v>
      </c>
      <c r="K105" s="2"/>
    </row>
    <row r="106" customFormat="false" ht="15" hidden="false" customHeight="false" outlineLevel="0" collapsed="false">
      <c r="A106" s="9" t="s">
        <v>4538</v>
      </c>
      <c r="B106" s="11" t="s">
        <v>4539</v>
      </c>
      <c r="C106" s="11" t="s">
        <v>269</v>
      </c>
      <c r="D106" s="16" t="n">
        <f aca="false">D96/D91</f>
        <v>0.5</v>
      </c>
      <c r="E106" s="16" t="n">
        <f aca="false">E96/E91</f>
        <v>0.0503947414754902</v>
      </c>
      <c r="F106" s="16" t="n">
        <f aca="false">F96/F91</f>
        <v>0</v>
      </c>
      <c r="G106" s="16" t="n">
        <f aca="false">G96/G91</f>
        <v>0</v>
      </c>
      <c r="H106" s="16" t="n">
        <f aca="false">H96/H91</f>
        <v>0</v>
      </c>
      <c r="I106" s="16" t="n">
        <f aca="false">I96/I91</f>
        <v>0</v>
      </c>
      <c r="K106" s="2"/>
    </row>
    <row r="107" customFormat="false" ht="15" hidden="false" customHeight="false" outlineLevel="0" collapsed="false">
      <c r="A107" s="9" t="s">
        <v>4540</v>
      </c>
      <c r="B107" s="11" t="s">
        <v>4541</v>
      </c>
      <c r="C107" s="11" t="s">
        <v>269</v>
      </c>
      <c r="D107" s="16" t="n">
        <f aca="false">D97/D91</f>
        <v>0</v>
      </c>
      <c r="E107" s="16" t="n">
        <f aca="false">E97/E91</f>
        <v>0.300901753330235</v>
      </c>
      <c r="F107" s="16" t="n">
        <f aca="false">F97/F91</f>
        <v>0.482070971995388</v>
      </c>
      <c r="G107" s="16" t="n">
        <f aca="false">G97/G91</f>
        <v>0.51531752762846</v>
      </c>
      <c r="H107" s="16" t="n">
        <f aca="false">H97/H91</f>
        <v>0.558981450170208</v>
      </c>
      <c r="I107" s="16" t="n">
        <f aca="false">I97/I91</f>
        <v>0.581408797296575</v>
      </c>
      <c r="K107" s="2"/>
    </row>
    <row r="108" customFormat="false" ht="15" hidden="false" customHeight="false" outlineLevel="0" collapsed="false">
      <c r="A108" s="9" t="s">
        <v>4542</v>
      </c>
      <c r="B108" s="11" t="s">
        <v>4543</v>
      </c>
      <c r="C108" s="11" t="s">
        <v>269</v>
      </c>
      <c r="D108" s="16" t="n">
        <f aca="false">D98/D91</f>
        <v>0.4</v>
      </c>
      <c r="E108" s="16" t="n">
        <f aca="false">E98/E91</f>
        <v>0.0403157931803922</v>
      </c>
      <c r="F108" s="16" t="n">
        <f aca="false">F98/F91</f>
        <v>0</v>
      </c>
      <c r="G108" s="16" t="n">
        <f aca="false">G98/G91</f>
        <v>0</v>
      </c>
      <c r="H108" s="16" t="n">
        <f aca="false">H98/H91</f>
        <v>0</v>
      </c>
      <c r="I108" s="16" t="n">
        <f aca="false">I98/I91</f>
        <v>0</v>
      </c>
      <c r="K108" s="2"/>
    </row>
    <row r="109" customFormat="false" ht="15" hidden="false" customHeight="false" outlineLevel="0" collapsed="false">
      <c r="A109" s="9" t="s">
        <v>4544</v>
      </c>
      <c r="B109" s="11" t="s">
        <v>4545</v>
      </c>
      <c r="C109" s="11" t="s">
        <v>269</v>
      </c>
      <c r="D109" s="16" t="n">
        <f aca="false">D99/D91</f>
        <v>0</v>
      </c>
      <c r="E109" s="16" t="n">
        <f aca="false">E99/E91</f>
        <v>0.268802280947132</v>
      </c>
      <c r="F109" s="16" t="n">
        <f aca="false">F99/F91</f>
        <v>0.183328537495926</v>
      </c>
      <c r="G109" s="16" t="n">
        <f aca="false">G99/G91</f>
        <v>0.124482545866242</v>
      </c>
      <c r="H109" s="16" t="n">
        <f aca="false">H99/H91</f>
        <v>0.127613712071682</v>
      </c>
      <c r="I109" s="16" t="n">
        <f aca="false">I99/I91</f>
        <v>0.132733805087012</v>
      </c>
      <c r="K109" s="2"/>
    </row>
    <row r="110" customFormat="false" ht="15" hidden="false" customHeight="false" outlineLevel="0" collapsed="false">
      <c r="A110" s="9" t="s">
        <v>4546</v>
      </c>
      <c r="B110" s="11" t="s">
        <v>4547</v>
      </c>
      <c r="C110" s="11" t="s">
        <v>269</v>
      </c>
      <c r="D110" s="16" t="n">
        <f aca="false">D100/D91</f>
        <v>-0</v>
      </c>
      <c r="E110" s="16" t="n">
        <f aca="false">E100/E91</f>
        <v>0</v>
      </c>
      <c r="F110" s="16" t="n">
        <f aca="false">F100/F91</f>
        <v>0.106397216670363</v>
      </c>
      <c r="G110" s="16" t="n">
        <f aca="false">G100/G91</f>
        <v>0.14449028596547</v>
      </c>
      <c r="H110" s="16" t="n">
        <f aca="false">H100/H91</f>
        <v>0.148124715975566</v>
      </c>
      <c r="I110" s="16" t="n">
        <f aca="false">I100/I91</f>
        <v>0.154067747577361</v>
      </c>
      <c r="K110" s="2"/>
    </row>
    <row r="111" customFormat="false" ht="15" hidden="false" customHeight="false" outlineLevel="0" collapsed="false">
      <c r="A111" s="9" t="s">
        <v>4548</v>
      </c>
      <c r="B111" s="11" t="s">
        <v>4549</v>
      </c>
      <c r="C111" s="11" t="s">
        <v>269</v>
      </c>
      <c r="D111" s="16" t="n">
        <f aca="false">D102+D103+D104+D105+D106+D107+D108+D109+D110</f>
        <v>1</v>
      </c>
      <c r="E111" s="16" t="n">
        <f aca="false">E102+E103+E104+E105+E106+E107+E108+E109+E110</f>
        <v>1</v>
      </c>
      <c r="F111" s="16" t="n">
        <f aca="false">F102+F103+F104+F105+F106+F107+F108+F109+F110</f>
        <v>1</v>
      </c>
      <c r="G111" s="16" t="n">
        <f aca="false">G102+G103+G104+G105+G106+G107+G108+G109+G110</f>
        <v>1</v>
      </c>
      <c r="H111" s="16" t="n">
        <f aca="false">H102+H103+H104+H105+H106+H107+H108+H109+H110</f>
        <v>1</v>
      </c>
      <c r="I111" s="16" t="n">
        <f aca="false">I102+I103+I104+I105+I106+I107+I108+I109+I110</f>
        <v>1</v>
      </c>
      <c r="K111" s="12" t="s">
        <v>34</v>
      </c>
    </row>
    <row r="112" customFormat="false" ht="15" hidden="false" customHeight="false" outlineLevel="0" collapsed="false">
      <c r="A112" s="15" t="s">
        <v>4550</v>
      </c>
    </row>
    <row r="113" customFormat="false" ht="15" hidden="false" customHeight="false" outlineLevel="0" collapsed="false">
      <c r="A113" s="9" t="s">
        <v>4551</v>
      </c>
      <c r="B113" s="11" t="s">
        <v>4552</v>
      </c>
      <c r="C113" s="11" t="s">
        <v>269</v>
      </c>
      <c r="D113" s="16" t="n">
        <f aca="false">Demand!D63/Demand!D67</f>
        <v>0.235986111897376</v>
      </c>
      <c r="E113" s="16" t="n">
        <f aca="false">Demand!E63/Demand!E67</f>
        <v>0.347662147717997</v>
      </c>
      <c r="F113" s="16" t="n">
        <f aca="false">Demand!F63/Demand!F67</f>
        <v>0.34793797432511</v>
      </c>
      <c r="G113" s="16" t="n">
        <f aca="false">Demand!G63/Demand!G67</f>
        <v>0.34793372975441</v>
      </c>
      <c r="H113" s="16" t="n">
        <f aca="false">Demand!H63/Demand!H67</f>
        <v>0.347901644370489</v>
      </c>
      <c r="I113" s="16" t="n">
        <f aca="false">Demand!I63/Demand!I67</f>
        <v>0.347901338094317</v>
      </c>
      <c r="K113" s="2"/>
    </row>
    <row r="114" customFormat="false" ht="15" hidden="false" customHeight="false" outlineLevel="0" collapsed="false">
      <c r="A114" s="9" t="s">
        <v>4553</v>
      </c>
      <c r="B114" s="11" t="s">
        <v>4554</v>
      </c>
      <c r="C114" s="11" t="s">
        <v>269</v>
      </c>
      <c r="D114" s="16" t="n">
        <f aca="false">Demand!D64/Demand!D67</f>
        <v>0.627629088028096</v>
      </c>
      <c r="E114" s="16" t="n">
        <f aca="false">Demand!E64/Demand!E67</f>
        <v>0.528589064543899</v>
      </c>
      <c r="F114" s="16" t="n">
        <f aca="false">Demand!F64/Demand!F67</f>
        <v>0.525052318081526</v>
      </c>
      <c r="G114" s="16" t="n">
        <f aca="false">Demand!G64/Demand!G67</f>
        <v>0.525046710414253</v>
      </c>
      <c r="H114" s="16" t="n">
        <f aca="false">Demand!H64/Demand!H67</f>
        <v>0.525402476171708</v>
      </c>
      <c r="I114" s="16" t="n">
        <f aca="false">Demand!I64/Demand!I67</f>
        <v>0.525369158261457</v>
      </c>
      <c r="K114" s="2"/>
    </row>
    <row r="115" customFormat="false" ht="15" hidden="false" customHeight="false" outlineLevel="0" collapsed="false">
      <c r="A115" s="9" t="s">
        <v>4555</v>
      </c>
      <c r="B115" s="11" t="s">
        <v>4556</v>
      </c>
      <c r="C115" s="11" t="s">
        <v>269</v>
      </c>
      <c r="D115" s="16" t="n">
        <f aca="false">Demand!D65/Demand!D67</f>
        <v>0.136384800074528</v>
      </c>
      <c r="E115" s="16" t="n">
        <f aca="false">Demand!E65/Demand!E67</f>
        <v>0.123748787738104</v>
      </c>
      <c r="F115" s="16" t="n">
        <f aca="false">Demand!F65/Demand!F67</f>
        <v>0.127009707593364</v>
      </c>
      <c r="G115" s="16" t="n">
        <f aca="false">Demand!G65/Demand!G67</f>
        <v>0.127019559831337</v>
      </c>
      <c r="H115" s="16" t="n">
        <f aca="false">Demand!H65/Demand!H67</f>
        <v>0.126695879457803</v>
      </c>
      <c r="I115" s="16" t="n">
        <f aca="false">Demand!I65/Demand!I67</f>
        <v>0.126729503644226</v>
      </c>
      <c r="K115" s="2"/>
    </row>
    <row r="116" customFormat="false" ht="15" hidden="false" customHeight="false" outlineLevel="0" collapsed="false">
      <c r="A116" s="9" t="s">
        <v>4557</v>
      </c>
      <c r="B116" s="11" t="s">
        <v>4558</v>
      </c>
      <c r="C116" s="11" t="s">
        <v>269</v>
      </c>
      <c r="D116" s="16" t="n">
        <f aca="false">Demand!D60/Demand!D66</f>
        <v>0.0826241134751773</v>
      </c>
      <c r="E116" s="16" t="n">
        <f aca="false">Demand!E60/Demand!E66</f>
        <v>0.0826241134751773</v>
      </c>
      <c r="F116" s="16" t="n">
        <f aca="false">Demand!F60/Demand!F66</f>
        <v>0.0826241134751773</v>
      </c>
      <c r="G116" s="16" t="n">
        <f aca="false">Demand!G60/Demand!G66</f>
        <v>0.0826241134751773</v>
      </c>
      <c r="H116" s="16" t="n">
        <f aca="false">Demand!H60/Demand!H66</f>
        <v>0.0826241134751773</v>
      </c>
      <c r="I116" s="16" t="n">
        <f aca="false">Demand!I60/Demand!I66</f>
        <v>0.0826241134751773</v>
      </c>
      <c r="K116" s="2"/>
    </row>
    <row r="117" customFormat="false" ht="15" hidden="false" customHeight="false" outlineLevel="0" collapsed="false">
      <c r="A117" s="9" t="s">
        <v>4559</v>
      </c>
      <c r="B117" s="11" t="s">
        <v>4560</v>
      </c>
      <c r="C117" s="11" t="s">
        <v>269</v>
      </c>
      <c r="D117" s="16" t="n">
        <f aca="false">Demand!D61/Demand!D66</f>
        <v>0.633687943262411</v>
      </c>
      <c r="E117" s="16" t="n">
        <f aca="false">Demand!E61/Demand!E66</f>
        <v>0.633687943262411</v>
      </c>
      <c r="F117" s="16" t="n">
        <f aca="false">Demand!F61/Demand!F66</f>
        <v>0.633687943262411</v>
      </c>
      <c r="G117" s="16" t="n">
        <f aca="false">Demand!G61/Demand!G66</f>
        <v>0.633687943262411</v>
      </c>
      <c r="H117" s="16" t="n">
        <f aca="false">Demand!H61/Demand!H66</f>
        <v>0.633687943262411</v>
      </c>
      <c r="I117" s="16" t="n">
        <f aca="false">Demand!I61/Demand!I66</f>
        <v>0.633687943262411</v>
      </c>
      <c r="K117" s="2"/>
    </row>
    <row r="118" customFormat="false" ht="15" hidden="false" customHeight="false" outlineLevel="0" collapsed="false">
      <c r="A118" s="9" t="s">
        <v>4561</v>
      </c>
      <c r="B118" s="11" t="s">
        <v>4562</v>
      </c>
      <c r="C118" s="11" t="s">
        <v>269</v>
      </c>
      <c r="D118" s="16" t="n">
        <f aca="false">Demand!D62/Demand!D66</f>
        <v>0.283687943262411</v>
      </c>
      <c r="E118" s="16" t="n">
        <f aca="false">Demand!E62/Demand!E66</f>
        <v>0.283687943262411</v>
      </c>
      <c r="F118" s="16" t="n">
        <f aca="false">Demand!F62/Demand!F66</f>
        <v>0.283687943262411</v>
      </c>
      <c r="G118" s="16" t="n">
        <f aca="false">Demand!G62/Demand!G66</f>
        <v>0.283687943262411</v>
      </c>
      <c r="H118" s="16" t="n">
        <f aca="false">Demand!H62/Demand!H66</f>
        <v>0.283687943262411</v>
      </c>
      <c r="I118" s="16" t="n">
        <f aca="false">Demand!I62/Demand!I66</f>
        <v>0.283687943262411</v>
      </c>
      <c r="K118" s="2"/>
    </row>
    <row r="119" customFormat="false" ht="15" hidden="false" customHeight="false" outlineLevel="0" collapsed="false">
      <c r="A119" s="15" t="s">
        <v>4563</v>
      </c>
    </row>
    <row r="120" customFormat="false" ht="15" hidden="false" customHeight="false" outlineLevel="0" collapsed="false">
      <c r="A120" s="9" t="s">
        <v>4564</v>
      </c>
      <c r="B120" s="11" t="s">
        <v>4565</v>
      </c>
      <c r="C120" s="9" t="s">
        <v>2857</v>
      </c>
      <c r="D120" s="20" t="n">
        <f aca="false">TK_IF_Util/(D113/$D$13+D114/$D$14+D115/$D$15)</f>
        <v>11039537441.1775</v>
      </c>
      <c r="E120" s="20" t="n">
        <f aca="false">TK_IF_Util/(E113/$D$13+E114/$D$14+E115/$D$15)</f>
        <v>8861178256.70709</v>
      </c>
      <c r="F120" s="20" t="n">
        <f aca="false">TK_IF_Util/(F113/$D$13+F114/$D$14+F115/$D$15)</f>
        <v>8866411074.22477</v>
      </c>
      <c r="G120" s="20" t="n">
        <f aca="false">TK_IF_Util/(G113/$D$13+G114/$D$14+G115/$D$15)</f>
        <v>8866504825.41413</v>
      </c>
      <c r="H120" s="20" t="n">
        <f aca="false">TK_IF_Util/(H113/$D$13+H114/$D$14+H115/$D$15)</f>
        <v>8866057353.83778</v>
      </c>
      <c r="I120" s="20" t="n">
        <f aca="false">TK_IF_Util/(I113/$D$13+I114/$D$14+I115/$D$15)</f>
        <v>8866159684.74767</v>
      </c>
      <c r="K120" s="2"/>
    </row>
    <row r="121" customFormat="false" ht="15" hidden="false" customHeight="false" outlineLevel="0" collapsed="false">
      <c r="A121" s="9" t="s">
        <v>4566</v>
      </c>
      <c r="B121" s="11" t="s">
        <v>4567</v>
      </c>
      <c r="C121" s="9" t="s">
        <v>2857</v>
      </c>
      <c r="D121" s="20" t="n">
        <f aca="false">TK_IF_Util/(D113/$D$16+D114/$D$17+D115/$D$18)</f>
        <v>54303705296.5412</v>
      </c>
      <c r="E121" s="20" t="n">
        <f aca="false">TK_IF_Util/(E113/$D$16+E114/$D$17+E115/$D$18)</f>
        <v>43664617428.4029</v>
      </c>
      <c r="F121" s="20" t="n">
        <f aca="false">TK_IF_Util/(F113/$D$16+F114/$D$17+F115/$D$18)</f>
        <v>43691486115.7606</v>
      </c>
      <c r="G121" s="20" t="n">
        <f aca="false">TK_IF_Util/(G113/$D$16+G114/$D$17+G115/$D$18)</f>
        <v>43691948427.1474</v>
      </c>
      <c r="H121" s="20" t="n">
        <f aca="false">TK_IF_Util/(H113/$D$16+H114/$D$17+H115/$D$18)</f>
        <v>43689633081.4096</v>
      </c>
      <c r="I121" s="20" t="n">
        <f aca="false">TK_IF_Util/(I113/$D$16+I114/$D$17+I115/$D$18)</f>
        <v>43690146688.831</v>
      </c>
      <c r="K121" s="2"/>
    </row>
    <row r="122" customFormat="false" ht="15" hidden="false" customHeight="false" outlineLevel="0" collapsed="false">
      <c r="A122" s="9" t="s">
        <v>4568</v>
      </c>
      <c r="B122" s="11" t="s">
        <v>4569</v>
      </c>
      <c r="C122" s="9" t="s">
        <v>2857</v>
      </c>
      <c r="D122" s="20" t="n">
        <f aca="false">TK_IF_Util/(D113/$D$19+D114/$D$20+D115/$D$21)</f>
        <v>65738388773.6101</v>
      </c>
      <c r="E122" s="20" t="n">
        <f aca="false">TK_IF_Util/(E113/$D$19+E114/$D$20+E115/$D$21)</f>
        <v>52217020114.1465</v>
      </c>
      <c r="F122" s="20" t="n">
        <f aca="false">TK_IF_Util/(F113/$D$19+F114/$D$20+F115/$D$21)</f>
        <v>52243407906.5972</v>
      </c>
      <c r="G122" s="20" t="n">
        <f aca="false">TK_IF_Util/(G113/$D$19+G114/$D$20+G115/$D$21)</f>
        <v>52243967290.2741</v>
      </c>
      <c r="H122" s="20" t="n">
        <f aca="false">TK_IF_Util/(H113/$D$19+H114/$D$20+H115/$D$21)</f>
        <v>52241791296.7654</v>
      </c>
      <c r="I122" s="20" t="n">
        <f aca="false">TK_IF_Util/(I113/$D$19+I114/$D$20+I115/$D$21)</f>
        <v>52242361052.377</v>
      </c>
      <c r="K122" s="2"/>
    </row>
    <row r="123" customFormat="false" ht="15" hidden="false" customHeight="false" outlineLevel="0" collapsed="false">
      <c r="A123" s="9" t="s">
        <v>4570</v>
      </c>
      <c r="B123" s="11" t="s">
        <v>4571</v>
      </c>
      <c r="C123" s="9" t="s">
        <v>2857</v>
      </c>
      <c r="D123" s="20" t="n">
        <f aca="false">TK_IF_Util/(D113/$D$22+D114/$D$23+D115/$D$24)</f>
        <v>109731173891.281</v>
      </c>
      <c r="E123" s="20" t="n">
        <f aca="false">TK_IF_Util/(E113/$D$22+E114/$D$23+E115/$D$24)</f>
        <v>88874350159.6378</v>
      </c>
      <c r="F123" s="20" t="n">
        <f aca="false">TK_IF_Util/(F113/$D$22+F114/$D$23+F115/$D$24)</f>
        <v>88933276089.4756</v>
      </c>
      <c r="G123" s="20" t="n">
        <f aca="false">TK_IF_Util/(G113/$D$22+G114/$D$23+G115/$D$24)</f>
        <v>88934205793.0388</v>
      </c>
      <c r="H123" s="20" t="n">
        <f aca="false">TK_IF_Util/(H113/$D$22+H114/$D$23+H115/$D$24)</f>
        <v>88929049693.566</v>
      </c>
      <c r="I123" s="20" t="n">
        <f aca="false">TK_IF_Util/(I113/$D$22+I114/$D$23+I115/$D$24)</f>
        <v>88930123872.0501</v>
      </c>
      <c r="K123" s="2"/>
    </row>
    <row r="124" customFormat="false" ht="15" hidden="false" customHeight="false" outlineLevel="0" collapsed="false">
      <c r="A124" s="9" t="s">
        <v>4572</v>
      </c>
      <c r="B124" s="11" t="s">
        <v>4573</v>
      </c>
      <c r="C124" s="9" t="s">
        <v>2857</v>
      </c>
      <c r="D124" s="20" t="n">
        <f aca="false">D42*D120</f>
        <v>8831629952.94203</v>
      </c>
      <c r="E124" s="20" t="n">
        <f aca="false">E42*E120</f>
        <v>7088942605.36567</v>
      </c>
      <c r="F124" s="20" t="n">
        <f aca="false">F42*F120</f>
        <v>7093128859.37981</v>
      </c>
      <c r="G124" s="20" t="n">
        <f aca="false">G42*G120</f>
        <v>7093203860.3313</v>
      </c>
      <c r="H124" s="20" t="n">
        <f aca="false">H42*H120</f>
        <v>7092845883.07023</v>
      </c>
      <c r="I124" s="20" t="n">
        <f aca="false">I42*I120</f>
        <v>7092927747.79813</v>
      </c>
      <c r="K124" s="2" t="s">
        <v>4574</v>
      </c>
    </row>
    <row r="125" customFormat="false" ht="15" hidden="false" customHeight="false" outlineLevel="0" collapsed="false">
      <c r="A125" s="9" t="s">
        <v>4575</v>
      </c>
      <c r="B125" s="11" t="s">
        <v>4576</v>
      </c>
      <c r="C125" s="9" t="s">
        <v>2857</v>
      </c>
      <c r="D125" s="20" t="n">
        <f aca="false">D46*D123</f>
        <v>87784939113.0248</v>
      </c>
      <c r="E125" s="20" t="n">
        <f aca="false">E46*E123</f>
        <v>71099480127.7102</v>
      </c>
      <c r="F125" s="20" t="n">
        <f aca="false">F46*F123</f>
        <v>71146620871.5804</v>
      </c>
      <c r="G125" s="20" t="n">
        <f aca="false">G46*G123</f>
        <v>71147364634.4311</v>
      </c>
      <c r="H125" s="20" t="n">
        <f aca="false">H46*H123</f>
        <v>71143239754.8528</v>
      </c>
      <c r="I125" s="20" t="n">
        <f aca="false">I46*I123</f>
        <v>71144099097.6401</v>
      </c>
      <c r="K125" s="2" t="s">
        <v>4574</v>
      </c>
    </row>
    <row r="126" customFormat="false" ht="15" hidden="false" customHeight="false" outlineLevel="0" collapsed="false">
      <c r="A126" s="9" t="s">
        <v>4577</v>
      </c>
      <c r="B126" s="11" t="s">
        <v>4578</v>
      </c>
      <c r="C126" s="9" t="s">
        <v>2857</v>
      </c>
      <c r="D126" s="20" t="n">
        <f aca="false">D50*D120</f>
        <v>5519768720.58877</v>
      </c>
      <c r="E126" s="20" t="n">
        <f aca="false">E50*E120</f>
        <v>4430589128.35354</v>
      </c>
      <c r="F126" s="20" t="n">
        <f aca="false">F50*F120</f>
        <v>4433205537.11238</v>
      </c>
      <c r="G126" s="20" t="n">
        <f aca="false">G50*G120</f>
        <v>4433252412.70706</v>
      </c>
      <c r="H126" s="20" t="n">
        <f aca="false">H50*H120</f>
        <v>4433028676.91889</v>
      </c>
      <c r="I126" s="20" t="n">
        <f aca="false">I50*I120</f>
        <v>4433079842.37383</v>
      </c>
      <c r="K126" s="2" t="s">
        <v>4574</v>
      </c>
    </row>
    <row r="127" customFormat="false" ht="15" hidden="false" customHeight="false" outlineLevel="0" collapsed="false">
      <c r="A127" s="9" t="s">
        <v>4579</v>
      </c>
      <c r="B127" s="11" t="s">
        <v>4580</v>
      </c>
      <c r="C127" s="9" t="s">
        <v>2857</v>
      </c>
      <c r="D127" s="20" t="n">
        <f aca="false">D54*D123</f>
        <v>54865586945.6405</v>
      </c>
      <c r="E127" s="20" t="n">
        <f aca="false">E54*E123</f>
        <v>44437175079.8189</v>
      </c>
      <c r="F127" s="20" t="n">
        <f aca="false">F54*F123</f>
        <v>44466638044.7378</v>
      </c>
      <c r="G127" s="20" t="n">
        <f aca="false">G54*G123</f>
        <v>44467102896.5194</v>
      </c>
      <c r="H127" s="20" t="n">
        <f aca="false">H54*H123</f>
        <v>44464524846.783</v>
      </c>
      <c r="I127" s="20" t="n">
        <f aca="false">I54*I123</f>
        <v>44465061936.0251</v>
      </c>
      <c r="K127" s="2" t="s">
        <v>4574</v>
      </c>
    </row>
    <row r="128" customFormat="false" ht="15" hidden="false" customHeight="false" outlineLevel="0" collapsed="false">
      <c r="A128" s="9" t="s">
        <v>4581</v>
      </c>
      <c r="B128" s="11" t="s">
        <v>4582</v>
      </c>
      <c r="C128" s="9" t="s">
        <v>2857</v>
      </c>
      <c r="D128" s="20" t="n">
        <f aca="false">D58*D123</f>
        <v>76811821723.8967</v>
      </c>
      <c r="E128" s="20" t="n">
        <f aca="false">E58*E123</f>
        <v>62212045111.7464</v>
      </c>
      <c r="F128" s="20" t="n">
        <f aca="false">F58*F123</f>
        <v>62253293262.6329</v>
      </c>
      <c r="G128" s="20" t="n">
        <f aca="false">G58*G123</f>
        <v>62253944055.1272</v>
      </c>
      <c r="H128" s="20" t="n">
        <f aca="false">H58*H123</f>
        <v>62250334785.4962</v>
      </c>
      <c r="I128" s="20" t="n">
        <f aca="false">I58*I123</f>
        <v>62251086710.4351</v>
      </c>
      <c r="K128" s="2" t="s">
        <v>4574</v>
      </c>
    </row>
    <row r="129" customFormat="false" ht="15" hidden="false" customHeight="false" outlineLevel="0" collapsed="false">
      <c r="A129" s="9" t="s">
        <v>4583</v>
      </c>
      <c r="B129" s="11" t="s">
        <v>4584</v>
      </c>
      <c r="C129" s="9" t="s">
        <v>2857</v>
      </c>
      <c r="D129" s="20" t="n">
        <f aca="false">D102*D120+D103*D121+D104*D122+D105*D123+D106*D124+D107*D125+D108*D126+D109*D127+D110*D128</f>
        <v>7727676208.82428</v>
      </c>
      <c r="E129" s="20" t="n">
        <f aca="false">E102*E120+E103*E121+E104*E122+E105*E123+E106*E124+E107*E125+E108*E126+E109*E127+E110*E128</f>
        <v>37040385992.1749</v>
      </c>
      <c r="F129" s="20" t="n">
        <f aca="false">F102*F120+F103*F121+F104*F122+F105*F123+F106*F124+F107*F125+F108*F126+F109*F127+F110*F128</f>
        <v>54082429086.9784</v>
      </c>
      <c r="G129" s="20" t="n">
        <f aca="false">G102*G120+G103*G121+G104*G122+G105*G123+G106*G124+G107*G125+G108*G126+G109*G127+G110*G128</f>
        <v>58751829066.8743</v>
      </c>
      <c r="H129" s="20" t="n">
        <f aca="false">H102*H120+H103*H121+H104*H122+H105*H123+H106*H124+H107*H125+H108*H126+H109*H127+H110*H128</f>
        <v>63620008024.1892</v>
      </c>
      <c r="I129" s="20" t="n">
        <f aca="false">I102*I120+I103*I121+I104*I122+I105*I123+I106*I124+I107*I125+I108*I126+I109*I127+I110*I128</f>
        <v>65817626122.5793</v>
      </c>
      <c r="K129" s="12" t="s">
        <v>4585</v>
      </c>
    </row>
    <row r="130" customFormat="false" ht="15" hidden="false" customHeight="false" outlineLevel="0" collapsed="false">
      <c r="A130" s="9" t="s">
        <v>4586</v>
      </c>
      <c r="B130" s="11" t="s">
        <v>4587</v>
      </c>
      <c r="C130" s="9" t="s">
        <v>2857</v>
      </c>
      <c r="D130" s="20" t="n">
        <f aca="false">TK_IF_Util/(D116/$D$13+D117/$D$14+D118/$D$15)</f>
        <v>18114983134.7983</v>
      </c>
      <c r="E130" s="20" t="n">
        <f aca="false">TK_IF_Util/(E116/$D$13+E117/$D$14+E118/$D$15)</f>
        <v>18114983134.7983</v>
      </c>
      <c r="F130" s="20" t="n">
        <f aca="false">TK_IF_Util/(F116/$D$13+F117/$D$14+F118/$D$15)</f>
        <v>18114983134.7983</v>
      </c>
      <c r="G130" s="20" t="n">
        <f aca="false">TK_IF_Util/(G116/$D$13+G117/$D$14+G118/$D$15)</f>
        <v>18114983134.7983</v>
      </c>
      <c r="H130" s="20" t="n">
        <f aca="false">TK_IF_Util/(H116/$D$13+H117/$D$14+H118/$D$15)</f>
        <v>18114983134.7983</v>
      </c>
      <c r="I130" s="20" t="n">
        <f aca="false">TK_IF_Util/(I116/$D$13+I117/$D$14+I118/$D$15)</f>
        <v>18114983134.7983</v>
      </c>
      <c r="K130" s="2"/>
    </row>
    <row r="131" customFormat="false" ht="15" hidden="false" customHeight="false" outlineLevel="0" collapsed="false">
      <c r="A131" s="9" t="s">
        <v>4588</v>
      </c>
      <c r="B131" s="11" t="s">
        <v>4589</v>
      </c>
      <c r="C131" s="9" t="s">
        <v>2857</v>
      </c>
      <c r="D131" s="20" t="n">
        <f aca="false">TK_IF_Util/(D116/$D$16+D117/$D$17+D118/$D$18)</f>
        <v>88811210814.6449</v>
      </c>
      <c r="E131" s="20" t="n">
        <f aca="false">TK_IF_Util/(E116/$D$16+E117/$D$17+E118/$D$18)</f>
        <v>88811210814.6449</v>
      </c>
      <c r="F131" s="20" t="n">
        <f aca="false">TK_IF_Util/(F116/$D$16+F117/$D$17+F118/$D$18)</f>
        <v>88811210814.6449</v>
      </c>
      <c r="G131" s="20" t="n">
        <f aca="false">TK_IF_Util/(G116/$D$16+G117/$D$17+G118/$D$18)</f>
        <v>88811210814.6449</v>
      </c>
      <c r="H131" s="20" t="n">
        <f aca="false">TK_IF_Util/(H116/$D$16+H117/$D$17+H118/$D$18)</f>
        <v>88811210814.6449</v>
      </c>
      <c r="I131" s="20" t="n">
        <f aca="false">TK_IF_Util/(I116/$D$16+I117/$D$17+I118/$D$18)</f>
        <v>88811210814.6449</v>
      </c>
      <c r="K131" s="2"/>
    </row>
    <row r="132" customFormat="false" ht="15" hidden="false" customHeight="false" outlineLevel="0" collapsed="false">
      <c r="A132" s="9" t="s">
        <v>4590</v>
      </c>
      <c r="B132" s="11" t="s">
        <v>4591</v>
      </c>
      <c r="C132" s="9" t="s">
        <v>2857</v>
      </c>
      <c r="D132" s="20" t="n">
        <f aca="false">TK_IF_Util/(D116/$D$19+D117/$D$20+D118/$D$21)</f>
        <v>110661311512.302</v>
      </c>
      <c r="E132" s="20" t="n">
        <f aca="false">TK_IF_Util/(E116/$D$19+E117/$D$20+E118/$D$21)</f>
        <v>110661311512.302</v>
      </c>
      <c r="F132" s="20" t="n">
        <f aca="false">TK_IF_Util/(F116/$D$19+F117/$D$20+F118/$D$21)</f>
        <v>110661311512.302</v>
      </c>
      <c r="G132" s="20" t="n">
        <f aca="false">TK_IF_Util/(G116/$D$19+G117/$D$20+G118/$D$21)</f>
        <v>110661311512.302</v>
      </c>
      <c r="H132" s="20" t="n">
        <f aca="false">TK_IF_Util/(H116/$D$19+H117/$D$20+H118/$D$21)</f>
        <v>110661311512.302</v>
      </c>
      <c r="I132" s="20" t="n">
        <f aca="false">TK_IF_Util/(I116/$D$19+I117/$D$20+I118/$D$21)</f>
        <v>110661311512.302</v>
      </c>
      <c r="K132" s="2"/>
    </row>
    <row r="133" customFormat="false" ht="15" hidden="false" customHeight="false" outlineLevel="0" collapsed="false">
      <c r="A133" s="9" t="s">
        <v>4592</v>
      </c>
      <c r="B133" s="11" t="s">
        <v>4593</v>
      </c>
      <c r="C133" s="9" t="s">
        <v>2857</v>
      </c>
      <c r="D133" s="20" t="n">
        <f aca="false">TK_IF_Util/(D116/$D$22+D117/$D$23+D118/$D$24)</f>
        <v>176260501119.334</v>
      </c>
      <c r="E133" s="20" t="n">
        <f aca="false">TK_IF_Util/(E116/$D$22+E117/$D$23+E118/$D$24)</f>
        <v>176260501119.334</v>
      </c>
      <c r="F133" s="20" t="n">
        <f aca="false">TK_IF_Util/(F116/$D$22+F117/$D$23+F118/$D$24)</f>
        <v>176260501119.334</v>
      </c>
      <c r="G133" s="20" t="n">
        <f aca="false">TK_IF_Util/(G116/$D$22+G117/$D$23+G118/$D$24)</f>
        <v>176260501119.334</v>
      </c>
      <c r="H133" s="20" t="n">
        <f aca="false">TK_IF_Util/(H116/$D$22+H117/$D$23+H118/$D$24)</f>
        <v>176260501119.334</v>
      </c>
      <c r="I133" s="20" t="n">
        <f aca="false">TK_IF_Util/(I116/$D$22+I117/$D$23+I118/$D$24)</f>
        <v>176260501119.334</v>
      </c>
      <c r="K133" s="2"/>
    </row>
    <row r="134" customFormat="false" ht="15" hidden="false" customHeight="false" outlineLevel="0" collapsed="false">
      <c r="A134" s="9" t="s">
        <v>4594</v>
      </c>
      <c r="B134" s="11" t="s">
        <v>4595</v>
      </c>
      <c r="C134" s="9" t="s">
        <v>2857</v>
      </c>
      <c r="D134" s="20" t="n">
        <f aca="false">D42*D130</f>
        <v>14491986507.8386</v>
      </c>
      <c r="E134" s="20" t="n">
        <f aca="false">E42*E130</f>
        <v>14491986507.8386</v>
      </c>
      <c r="F134" s="20" t="n">
        <f aca="false">F42*F130</f>
        <v>14491986507.8386</v>
      </c>
      <c r="G134" s="20" t="n">
        <f aca="false">G42*G130</f>
        <v>14491986507.8386</v>
      </c>
      <c r="H134" s="20" t="n">
        <f aca="false">H42*H130</f>
        <v>14491986507.8386</v>
      </c>
      <c r="I134" s="20" t="n">
        <f aca="false">I42*I130</f>
        <v>14491986507.8386</v>
      </c>
      <c r="K134" s="2" t="s">
        <v>4574</v>
      </c>
    </row>
    <row r="135" customFormat="false" ht="15" hidden="false" customHeight="false" outlineLevel="0" collapsed="false">
      <c r="A135" s="9" t="s">
        <v>4596</v>
      </c>
      <c r="B135" s="11" t="s">
        <v>4597</v>
      </c>
      <c r="C135" s="9" t="s">
        <v>2857</v>
      </c>
      <c r="D135" s="20" t="n">
        <f aca="false">D46*D133</f>
        <v>141008400895.467</v>
      </c>
      <c r="E135" s="20" t="n">
        <f aca="false">E46*E133</f>
        <v>141008400895.467</v>
      </c>
      <c r="F135" s="20" t="n">
        <f aca="false">F46*F133</f>
        <v>141008400895.467</v>
      </c>
      <c r="G135" s="20" t="n">
        <f aca="false">G46*G133</f>
        <v>141008400895.467</v>
      </c>
      <c r="H135" s="20" t="n">
        <f aca="false">H46*H133</f>
        <v>141008400895.467</v>
      </c>
      <c r="I135" s="20" t="n">
        <f aca="false">I46*I133</f>
        <v>141008400895.467</v>
      </c>
      <c r="K135" s="2" t="s">
        <v>4574</v>
      </c>
    </row>
    <row r="136" customFormat="false" ht="15" hidden="false" customHeight="false" outlineLevel="0" collapsed="false">
      <c r="A136" s="9" t="s">
        <v>4598</v>
      </c>
      <c r="B136" s="11" t="s">
        <v>4599</v>
      </c>
      <c r="C136" s="9" t="s">
        <v>2857</v>
      </c>
      <c r="D136" s="20" t="n">
        <f aca="false">D50*D130</f>
        <v>9057491567.39913</v>
      </c>
      <c r="E136" s="20" t="n">
        <f aca="false">E50*E130</f>
        <v>9057491567.39913</v>
      </c>
      <c r="F136" s="20" t="n">
        <f aca="false">F50*F130</f>
        <v>9057491567.39913</v>
      </c>
      <c r="G136" s="20" t="n">
        <f aca="false">G50*G130</f>
        <v>9057491567.39913</v>
      </c>
      <c r="H136" s="20" t="n">
        <f aca="false">H50*H130</f>
        <v>9057491567.39913</v>
      </c>
      <c r="I136" s="20" t="n">
        <f aca="false">I50*I130</f>
        <v>9057491567.39913</v>
      </c>
      <c r="K136" s="2" t="s">
        <v>4574</v>
      </c>
    </row>
    <row r="137" customFormat="false" ht="15" hidden="false" customHeight="false" outlineLevel="0" collapsed="false">
      <c r="A137" s="9" t="s">
        <v>4600</v>
      </c>
      <c r="B137" s="11" t="s">
        <v>4601</v>
      </c>
      <c r="C137" s="9" t="s">
        <v>2857</v>
      </c>
      <c r="D137" s="20" t="n">
        <f aca="false">D54*D133</f>
        <v>88130250559.6671</v>
      </c>
      <c r="E137" s="20" t="n">
        <f aca="false">E54*E133</f>
        <v>88130250559.6671</v>
      </c>
      <c r="F137" s="20" t="n">
        <f aca="false">F54*F133</f>
        <v>88130250559.6671</v>
      </c>
      <c r="G137" s="20" t="n">
        <f aca="false">G54*G133</f>
        <v>88130250559.6671</v>
      </c>
      <c r="H137" s="20" t="n">
        <f aca="false">H54*H133</f>
        <v>88130250559.6671</v>
      </c>
      <c r="I137" s="20" t="n">
        <f aca="false">I54*I133</f>
        <v>88130250559.6671</v>
      </c>
      <c r="K137" s="2" t="s">
        <v>4574</v>
      </c>
    </row>
    <row r="138" customFormat="false" ht="15" hidden="false" customHeight="false" outlineLevel="0" collapsed="false">
      <c r="A138" s="9" t="s">
        <v>4602</v>
      </c>
      <c r="B138" s="11" t="s">
        <v>4603</v>
      </c>
      <c r="C138" s="9" t="s">
        <v>2857</v>
      </c>
      <c r="D138" s="20" t="n">
        <f aca="false">D58*D133</f>
        <v>123382350783.534</v>
      </c>
      <c r="E138" s="20" t="n">
        <f aca="false">E58*E133</f>
        <v>123382350783.534</v>
      </c>
      <c r="F138" s="20" t="n">
        <f aca="false">F58*F133</f>
        <v>123382350783.534</v>
      </c>
      <c r="G138" s="20" t="n">
        <f aca="false">G58*G133</f>
        <v>123382350783.534</v>
      </c>
      <c r="H138" s="20" t="n">
        <f aca="false">H58*H133</f>
        <v>123382350783.534</v>
      </c>
      <c r="I138" s="20" t="n">
        <f aca="false">I58*I133</f>
        <v>123382350783.534</v>
      </c>
      <c r="K138" s="2" t="s">
        <v>4574</v>
      </c>
    </row>
    <row r="139" customFormat="false" ht="15" hidden="false" customHeight="false" outlineLevel="0" collapsed="false">
      <c r="A139" s="9" t="s">
        <v>4604</v>
      </c>
      <c r="B139" s="11" t="s">
        <v>4605</v>
      </c>
      <c r="C139" s="9" t="s">
        <v>2857</v>
      </c>
      <c r="D139" s="20" t="n">
        <f aca="false">D102*D130+D103*D131+D104*D132+D105*D133+D106*D134+D107*D135+D108*D136+D109*D137+D110*D138</f>
        <v>12680488194.3588</v>
      </c>
      <c r="E139" s="20" t="n">
        <f aca="false">E102*E130+E103*E131+E104*E132+E105*E133+E106*E134+E107*E135+E108*E136+E109*E137+E110*E138</f>
        <v>73684490945.2007</v>
      </c>
      <c r="F139" s="20" t="n">
        <f aca="false">F102*F130+F103*F131+F104*F132+F105*F133+F106*F134+F107*F135+F108*F136+F109*F137+F110*F138</f>
        <v>107641350102.349</v>
      </c>
      <c r="G139" s="20" t="n">
        <f aca="false">G102*G130+G103*G131+G104*G132+G105*G133+G106*G134+G107*G135+G108*G136+G109*G137+G110*G138</f>
        <v>116991017718.422</v>
      </c>
      <c r="H139" s="20" t="n">
        <f aca="false">H102*H130+H103*H131+H104*H132+H105*H133+H106*H134+H107*H135+H108*H136+H109*H137+H110*H138</f>
        <v>126618534943.022</v>
      </c>
      <c r="I139" s="20" t="n">
        <f aca="false">I102*I130+I103*I131+I104*I132+I105*I133+I106*I134+I107*I135+I108*I136+I109*I137+I110*I138</f>
        <v>130971893753.24</v>
      </c>
      <c r="K139" s="12" t="s">
        <v>4585</v>
      </c>
    </row>
    <row r="140" customFormat="false" ht="15" hidden="false" customHeight="false" outlineLevel="0" collapsed="false">
      <c r="A140" s="15" t="s">
        <v>4606</v>
      </c>
    </row>
    <row r="141" customFormat="false" ht="15" hidden="false" customHeight="false" outlineLevel="0" collapsed="false">
      <c r="A141" s="9" t="s">
        <v>4607</v>
      </c>
      <c r="B141" s="11" t="s">
        <v>4608</v>
      </c>
      <c r="C141" s="9" t="s">
        <v>2541</v>
      </c>
      <c r="D141" s="20" t="n">
        <f aca="false">Demand!D67*INP_109</f>
        <v>1368582683.27658</v>
      </c>
      <c r="E141" s="20" t="n">
        <f aca="false">Demand!E67*INP_109</f>
        <v>17365110030.0988</v>
      </c>
      <c r="F141" s="20" t="n">
        <f aca="false">Demand!F67*INP_109</f>
        <v>40576208443.3004</v>
      </c>
      <c r="G141" s="20" t="n">
        <f aca="false">Demand!G67*INP_109</f>
        <v>72172232130.2954</v>
      </c>
      <c r="H141" s="20" t="n">
        <f aca="false">Demand!H67*INP_109</f>
        <v>117301597894.983</v>
      </c>
      <c r="I141" s="20" t="n">
        <f aca="false">Demand!I67*INP_109</f>
        <v>178770658091.515</v>
      </c>
      <c r="K141" s="12" t="s">
        <v>4609</v>
      </c>
    </row>
    <row r="142" customFormat="false" ht="15" hidden="false" customHeight="false" outlineLevel="0" collapsed="false">
      <c r="A142" s="9" t="s">
        <v>4610</v>
      </c>
      <c r="B142" s="11" t="s">
        <v>4611</v>
      </c>
      <c r="C142" s="9" t="s">
        <v>2541</v>
      </c>
      <c r="D142" s="20" t="n">
        <f aca="false">Demand!D66*INP_109</f>
        <v>53461234.1065268</v>
      </c>
      <c r="E142" s="20" t="n">
        <f aca="false">Demand!E66*INP_109</f>
        <v>135256922.289513</v>
      </c>
      <c r="F142" s="20" t="n">
        <f aca="false">Demand!F66*INP_109</f>
        <v>256650010.044351</v>
      </c>
      <c r="G142" s="20" t="n">
        <f aca="false">Demand!G66*INP_109</f>
        <v>422060941.517935</v>
      </c>
      <c r="H142" s="20" t="n">
        <f aca="false">Demand!H66*INP_109</f>
        <v>640688509.224225</v>
      </c>
      <c r="I142" s="20" t="n">
        <f aca="false">Demand!I66*INP_109</f>
        <v>932041608.793941</v>
      </c>
      <c r="K142" s="2"/>
    </row>
    <row r="143" customFormat="false" ht="15" hidden="false" customHeight="false" outlineLevel="0" collapsed="false">
      <c r="A143" s="9" t="s">
        <v>4612</v>
      </c>
      <c r="B143" s="11" t="s">
        <v>4613</v>
      </c>
      <c r="C143" s="9" t="s">
        <v>1106</v>
      </c>
      <c r="D143" s="21" t="n">
        <f aca="false">D141/D129</f>
        <v>0.177101452790399</v>
      </c>
      <c r="E143" s="21" t="n">
        <f aca="false">E141/E129</f>
        <v>0.468815579669372</v>
      </c>
      <c r="F143" s="21" t="n">
        <f aca="false">F141/F129</f>
        <v>0.750266012978882</v>
      </c>
      <c r="G143" s="21" t="n">
        <f aca="false">G141/G129</f>
        <v>1.22842528099245</v>
      </c>
      <c r="H143" s="21" t="n">
        <f aca="false">H141/H129</f>
        <v>1.84378470764077</v>
      </c>
      <c r="I143" s="21" t="n">
        <f aca="false">I141/I129</f>
        <v>2.71615171532579</v>
      </c>
      <c r="K143" s="2"/>
    </row>
    <row r="144" customFormat="false" ht="15" hidden="false" customHeight="false" outlineLevel="0" collapsed="false">
      <c r="A144" s="9" t="s">
        <v>4614</v>
      </c>
      <c r="B144" s="11" t="s">
        <v>4615</v>
      </c>
      <c r="C144" s="9" t="s">
        <v>1106</v>
      </c>
      <c r="D144" s="21" t="n">
        <f aca="false">D142/D139</f>
        <v>0.00421602333341632</v>
      </c>
      <c r="E144" s="21" t="n">
        <f aca="false">E142/E139</f>
        <v>0.00183562267384196</v>
      </c>
      <c r="F144" s="21" t="n">
        <f aca="false">F142/F139</f>
        <v>0.00238430686534792</v>
      </c>
      <c r="G144" s="21" t="n">
        <f aca="false">G142/G139</f>
        <v>0.0036076354385921</v>
      </c>
      <c r="H144" s="21" t="n">
        <f aca="false">H142/H139</f>
        <v>0.00505998990994907</v>
      </c>
      <c r="I144" s="21" t="n">
        <f aca="false">I142/I139</f>
        <v>0.00711634826438391</v>
      </c>
      <c r="K144" s="2"/>
    </row>
    <row r="145" customFormat="false" ht="15" hidden="false" customHeight="false" outlineLevel="0" collapsed="false">
      <c r="A145" s="9" t="s">
        <v>4616</v>
      </c>
      <c r="B145" s="11" t="s">
        <v>4617</v>
      </c>
      <c r="C145" s="9" t="s">
        <v>1106</v>
      </c>
      <c r="D145" s="21" t="n">
        <f aca="false">D143+D144</f>
        <v>0.181317476123816</v>
      </c>
      <c r="E145" s="21" t="n">
        <f aca="false">E143+E144</f>
        <v>0.470651202343214</v>
      </c>
      <c r="F145" s="21" t="n">
        <f aca="false">F143+F144</f>
        <v>0.75265031984423</v>
      </c>
      <c r="G145" s="21" t="n">
        <f aca="false">G143+G144</f>
        <v>1.23203291643104</v>
      </c>
      <c r="H145" s="21" t="n">
        <f aca="false">H143+H144</f>
        <v>1.84884469755072</v>
      </c>
      <c r="I145" s="21" t="n">
        <f aca="false">I143+I144</f>
        <v>2.72326806359017</v>
      </c>
      <c r="K145" s="2"/>
    </row>
    <row r="146" customFormat="false" ht="15" hidden="false" customHeight="false" outlineLevel="0" collapsed="false">
      <c r="A146" s="15" t="s">
        <v>4618</v>
      </c>
    </row>
    <row r="147" customFormat="false" ht="15" hidden="false" customHeight="false" outlineLevel="0" collapsed="false">
      <c r="A147" s="9" t="s">
        <v>4619</v>
      </c>
      <c r="B147" s="9" t="s">
        <v>4620</v>
      </c>
      <c r="C147" s="9" t="s">
        <v>482</v>
      </c>
      <c r="D147" s="17" t="n">
        <f aca="false">SRC_ANT_255</f>
        <v>3.23</v>
      </c>
      <c r="K147" s="12" t="s">
        <v>4621</v>
      </c>
    </row>
    <row r="148" customFormat="false" ht="15" hidden="false" customHeight="false" outlineLevel="0" collapsed="false">
      <c r="A148" s="9" t="s">
        <v>4622</v>
      </c>
      <c r="B148" s="9" t="s">
        <v>4623</v>
      </c>
      <c r="C148" s="9" t="s">
        <v>1106</v>
      </c>
      <c r="D148" s="21" t="n">
        <f aca="false">D147/D67</f>
        <v>0.34508547008547</v>
      </c>
      <c r="K148" s="2"/>
    </row>
    <row r="149" customFormat="false" ht="15" hidden="false" customHeight="false" outlineLevel="0" collapsed="false">
      <c r="A149" s="9" t="s">
        <v>4624</v>
      </c>
      <c r="B149" s="9" t="s">
        <v>4625</v>
      </c>
      <c r="C149" s="11" t="s">
        <v>747</v>
      </c>
      <c r="D149" s="21" t="n">
        <f aca="false">D145/D148</f>
        <v>0.525427732668394</v>
      </c>
      <c r="K149" s="2" t="s">
        <v>4626</v>
      </c>
    </row>
    <row r="150" customFormat="false" ht="15" hidden="false" customHeight="false" outlineLevel="0" collapsed="false">
      <c r="A150" s="9" t="s">
        <v>4627</v>
      </c>
      <c r="B150" s="9" t="s">
        <v>4628</v>
      </c>
      <c r="C150" s="11" t="s">
        <v>747</v>
      </c>
      <c r="D150" s="21" t="n">
        <f aca="false">$D$149+INP_117*(INP_118-$D$149)*MIN(INP_119-INP_001,D$6-INP_001)/(INP_119-INP_001)</f>
        <v>0.525427732668394</v>
      </c>
      <c r="E150" s="21" t="n">
        <f aca="false">$D$149+INP_117*(INP_118-$D$149)*MIN(INP_119-INP_001,E$6-INP_001)/(INP_119-INP_001)</f>
        <v>0.525427732668394</v>
      </c>
      <c r="F150" s="21" t="n">
        <f aca="false">$D$149+INP_117*(INP_118-$D$149)*MIN(INP_119-INP_001,F$6-INP_001)/(INP_119-INP_001)</f>
        <v>0.525427732668394</v>
      </c>
      <c r="G150" s="21" t="n">
        <f aca="false">$D$149+INP_117*(INP_118-$D$149)*MIN(INP_119-INP_001,G$6-INP_001)/(INP_119-INP_001)</f>
        <v>0.525427732668394</v>
      </c>
      <c r="H150" s="21" t="n">
        <f aca="false">$D$149+INP_117*(INP_118-$D$149)*MIN(INP_119-INP_001,H$6-INP_001)/(INP_119-INP_001)</f>
        <v>0.525427732668394</v>
      </c>
      <c r="I150" s="21" t="n">
        <f aca="false">$D$149+INP_117*(INP_118-$D$149)*MIN(INP_119-INP_001,I$6-INP_001)/(INP_119-INP_001)</f>
        <v>0.525427732668394</v>
      </c>
      <c r="K150" s="2" t="s">
        <v>4629</v>
      </c>
    </row>
    <row r="151" customFormat="false" ht="15" hidden="false" customHeight="false" outlineLevel="0" collapsed="false">
      <c r="A151" s="9" t="s">
        <v>4630</v>
      </c>
      <c r="B151" s="11" t="s">
        <v>4631</v>
      </c>
      <c r="C151" s="9" t="s">
        <v>1106</v>
      </c>
      <c r="D151" s="21" t="n">
        <f aca="false">D143/D150</f>
        <v>0.337061486821387</v>
      </c>
      <c r="E151" s="21" t="n">
        <f aca="false">E143/E150</f>
        <v>0.892255110495375</v>
      </c>
      <c r="F151" s="21" t="n">
        <f aca="false">F143/F150</f>
        <v>1.42791475655204</v>
      </c>
      <c r="G151" s="21" t="n">
        <f aca="false">G143/G150</f>
        <v>2.3379528803207</v>
      </c>
      <c r="H151" s="21" t="n">
        <f aca="false">H143/H150</f>
        <v>3.50911189684845</v>
      </c>
      <c r="I151" s="21" t="n">
        <f aca="false">I143/I150</f>
        <v>5.16941064669686</v>
      </c>
      <c r="K151" s="2"/>
    </row>
    <row r="152" customFormat="false" ht="15" hidden="false" customHeight="false" outlineLevel="0" collapsed="false">
      <c r="A152" s="9" t="s">
        <v>4632</v>
      </c>
      <c r="B152" s="11" t="s">
        <v>4633</v>
      </c>
      <c r="C152" s="9" t="s">
        <v>1106</v>
      </c>
      <c r="D152" s="21" t="n">
        <f aca="false">D144/D150</f>
        <v>0.0080239832640831</v>
      </c>
      <c r="E152" s="21" t="n">
        <f aca="false">E144/E150</f>
        <v>0.0034935778218628</v>
      </c>
      <c r="F152" s="21" t="n">
        <f aca="false">F144/F150</f>
        <v>0.00453783977720243</v>
      </c>
      <c r="G152" s="21" t="n">
        <f aca="false">G144/G150</f>
        <v>0.00686609254572585</v>
      </c>
      <c r="H152" s="21" t="n">
        <f aca="false">H144/H150</f>
        <v>0.00963022999233753</v>
      </c>
      <c r="I152" s="21" t="n">
        <f aca="false">I144/I150</f>
        <v>0.013543914456596</v>
      </c>
      <c r="K152" s="2"/>
    </row>
    <row r="153" customFormat="false" ht="15" hidden="false" customHeight="false" outlineLevel="0" collapsed="false">
      <c r="A153" s="9" t="s">
        <v>4634</v>
      </c>
      <c r="B153" s="11" t="s">
        <v>4635</v>
      </c>
      <c r="C153" s="9" t="s">
        <v>1106</v>
      </c>
      <c r="D153" s="21" t="n">
        <f aca="false">D145/D150</f>
        <v>0.34508547008547</v>
      </c>
      <c r="E153" s="21" t="n">
        <f aca="false">E145/E150</f>
        <v>0.895748688317238</v>
      </c>
      <c r="F153" s="21" t="n">
        <f aca="false">F145/F150</f>
        <v>1.43245259632925</v>
      </c>
      <c r="G153" s="21" t="n">
        <f aca="false">G145/G150</f>
        <v>2.34481897286643</v>
      </c>
      <c r="H153" s="21" t="n">
        <f aca="false">H145/H150</f>
        <v>3.51874212684079</v>
      </c>
      <c r="I153" s="21" t="n">
        <f aca="false">I145/I150</f>
        <v>5.18295456115346</v>
      </c>
      <c r="K153" s="12" t="s">
        <v>4636</v>
      </c>
    </row>
    <row r="154" customFormat="false" ht="15" hidden="false" customHeight="false" outlineLevel="0" collapsed="false">
      <c r="A154" s="15" t="s">
        <v>4637</v>
      </c>
    </row>
    <row r="155" customFormat="false" ht="15" hidden="false" customHeight="false" outlineLevel="0" collapsed="false">
      <c r="A155" s="9" t="s">
        <v>4638</v>
      </c>
      <c r="B155" s="9" t="s">
        <v>4639</v>
      </c>
      <c r="C155" s="9" t="s">
        <v>482</v>
      </c>
      <c r="D155" s="17" t="n">
        <f aca="false">SRC_ANT_253</f>
        <v>4.1</v>
      </c>
      <c r="K155" s="12" t="s">
        <v>4640</v>
      </c>
    </row>
    <row r="156" customFormat="false" ht="15" hidden="false" customHeight="false" outlineLevel="0" collapsed="false">
      <c r="A156" s="9" t="s">
        <v>4641</v>
      </c>
      <c r="B156" s="11" t="s">
        <v>4642</v>
      </c>
      <c r="C156" s="9" t="s">
        <v>1106</v>
      </c>
      <c r="D156" s="21" t="n">
        <f aca="false">D91*INP_115*(D$6&gt;INP_001)</f>
        <v>0</v>
      </c>
      <c r="E156" s="21" t="n">
        <f aca="false">E91*INP_115*(E$6&gt;INP_001)</f>
        <v>0.256405211747317</v>
      </c>
      <c r="F156" s="21" t="n">
        <f aca="false">F91*INP_115*(F$6&gt;INP_001)</f>
        <v>0.751899368268758</v>
      </c>
      <c r="G156" s="21" t="n">
        <f aca="false">G91*INP_115*(G$6&gt;INP_001)</f>
        <v>1.10734087714545</v>
      </c>
      <c r="H156" s="21" t="n">
        <f aca="false">H91*INP_115*(H$6&gt;INP_001)</f>
        <v>1.0801708475606</v>
      </c>
      <c r="I156" s="21" t="n">
        <f aca="false">I91*INP_115*(I$6&gt;INP_001)</f>
        <v>1.03850418089393</v>
      </c>
      <c r="K156" s="12" t="s">
        <v>4643</v>
      </c>
    </row>
    <row r="157" customFormat="false" ht="15" hidden="false" customHeight="false" outlineLevel="0" collapsed="false">
      <c r="A157" s="9" t="s">
        <v>4644</v>
      </c>
      <c r="B157" s="11" t="s">
        <v>4645</v>
      </c>
      <c r="C157" s="9" t="s">
        <v>1106</v>
      </c>
      <c r="D157" s="21" t="n">
        <f aca="false">D91*(1-INP_115)*(1-INP_116)</f>
        <v>0.493365384615385</v>
      </c>
      <c r="E157" s="21" t="n">
        <f aca="false">E91*(1-INP_115)*(1-INP_116)</f>
        <v>1.6153528340081</v>
      </c>
      <c r="F157" s="21" t="n">
        <f aca="false">F91*(1-INP_115)*(1-INP_116)</f>
        <v>4.73696602009317</v>
      </c>
      <c r="G157" s="21" t="n">
        <f aca="false">G91*(1-INP_115)*(1-INP_116)</f>
        <v>6.97624752601631</v>
      </c>
      <c r="H157" s="21" t="n">
        <f aca="false">H91*(1-INP_115)*(1-INP_116)</f>
        <v>6.80507633963175</v>
      </c>
      <c r="I157" s="21" t="n">
        <f aca="false">I91*(1-INP_115)*(1-INP_116)</f>
        <v>6.54257633963175</v>
      </c>
      <c r="K157" s="2"/>
    </row>
    <row r="158" customFormat="false" ht="15" hidden="false" customHeight="false" outlineLevel="0" collapsed="false">
      <c r="A158" s="9" t="s">
        <v>4646</v>
      </c>
      <c r="B158" s="11" t="s">
        <v>4647</v>
      </c>
      <c r="C158" s="9" t="s">
        <v>1106</v>
      </c>
      <c r="D158" s="21" t="n">
        <f aca="false">IF(D$6&lt;=INP_113,D153,MIN(D157,D153))</f>
        <v>0.34508547008547</v>
      </c>
      <c r="E158" s="21" t="n">
        <f aca="false">IF(E$6&lt;=INP_113,E153,MIN(E157,E153))</f>
        <v>0.895748688317238</v>
      </c>
      <c r="F158" s="21" t="n">
        <f aca="false">IF(F$6&lt;=INP_113,F153,MIN(F157,F153))</f>
        <v>1.43245259632925</v>
      </c>
      <c r="G158" s="21" t="n">
        <f aca="false">IF(G$6&lt;=INP_113,G153,MIN(G157,G153))</f>
        <v>2.34481897286643</v>
      </c>
      <c r="H158" s="21" t="n">
        <f aca="false">IF(H$6&lt;=INP_113,H153,MIN(H157,H153))</f>
        <v>3.51874212684079</v>
      </c>
      <c r="I158" s="21" t="n">
        <f aca="false">IF(I$6&lt;=INP_113,I153,MIN(I157,I153))</f>
        <v>5.18295456115346</v>
      </c>
      <c r="K158" s="12" t="s">
        <v>4648</v>
      </c>
    </row>
    <row r="159" customFormat="false" ht="15" hidden="false" customHeight="false" outlineLevel="0" collapsed="false">
      <c r="A159" s="9" t="s">
        <v>4649</v>
      </c>
      <c r="B159" s="11" t="s">
        <v>4650</v>
      </c>
      <c r="C159" s="9" t="s">
        <v>1106</v>
      </c>
      <c r="D159" s="21" t="n">
        <f aca="false">D155/D67</f>
        <v>0.438034188034188</v>
      </c>
      <c r="E159" s="21" t="n">
        <f aca="false">E91*(1-INP_115)-E158</f>
        <v>1.41189821740862</v>
      </c>
      <c r="F159" s="21" t="n">
        <f aca="false">F91*(1-INP_115)-F158</f>
        <v>5.33464171808957</v>
      </c>
      <c r="G159" s="21" t="n">
        <f aca="false">G91*(1-INP_115)-G158</f>
        <v>7.62124892144258</v>
      </c>
      <c r="H159" s="21" t="n">
        <f aca="false">H91*(1-INP_115)-H158</f>
        <v>6.20279550120457</v>
      </c>
      <c r="I159" s="21" t="n">
        <f aca="false">I91*(1-INP_115)-I158</f>
        <v>4.1635830668919</v>
      </c>
      <c r="K159" s="12" t="s">
        <v>4651</v>
      </c>
    </row>
    <row r="160" customFormat="false" ht="15" hidden="false" customHeight="false" outlineLevel="0" collapsed="false">
      <c r="A160" s="9" t="s">
        <v>4652</v>
      </c>
      <c r="B160" s="11" t="s">
        <v>4653</v>
      </c>
      <c r="C160" s="9" t="s">
        <v>1106</v>
      </c>
      <c r="D160" s="21" t="n">
        <f aca="false">D153+D159</f>
        <v>0.783119658119658</v>
      </c>
      <c r="E160" s="21" t="n">
        <f aca="false">E153+E159</f>
        <v>2.30764690572585</v>
      </c>
      <c r="F160" s="21" t="n">
        <f aca="false">F153+F159</f>
        <v>6.76709431441882</v>
      </c>
      <c r="G160" s="21" t="n">
        <f aca="false">G153+G159</f>
        <v>9.96606789430901</v>
      </c>
      <c r="H160" s="21" t="n">
        <f aca="false">H153+H159</f>
        <v>9.72153762804535</v>
      </c>
      <c r="I160" s="21" t="n">
        <f aca="false">I153+I159</f>
        <v>9.34653762804536</v>
      </c>
      <c r="K160" s="2"/>
    </row>
    <row r="161" customFormat="false" ht="15" hidden="false" customHeight="false" outlineLevel="0" collapsed="false">
      <c r="A161" s="9" t="s">
        <v>4654</v>
      </c>
      <c r="B161" s="11" t="s">
        <v>4655</v>
      </c>
      <c r="C161" s="11" t="s">
        <v>747</v>
      </c>
      <c r="D161" s="21" t="n">
        <f aca="false">D158/D153</f>
        <v>1</v>
      </c>
      <c r="E161" s="21" t="n">
        <f aca="false">E158/E153</f>
        <v>1</v>
      </c>
      <c r="F161" s="21" t="n">
        <f aca="false">F158/F153</f>
        <v>1</v>
      </c>
      <c r="G161" s="21" t="n">
        <f aca="false">G158/G153</f>
        <v>1</v>
      </c>
      <c r="H161" s="21" t="n">
        <f aca="false">H158/H153</f>
        <v>1</v>
      </c>
      <c r="I161" s="21" t="n">
        <f aca="false">I158/I153</f>
        <v>1</v>
      </c>
      <c r="K161" s="2" t="s">
        <v>4656</v>
      </c>
    </row>
    <row r="162" customFormat="false" ht="15" hidden="false" customHeight="false" outlineLevel="0" collapsed="false">
      <c r="A162" s="9" t="s">
        <v>4657</v>
      </c>
      <c r="B162" s="11" t="s">
        <v>4658</v>
      </c>
      <c r="C162" s="11" t="s">
        <v>4659</v>
      </c>
      <c r="D162" s="23" t="n">
        <f aca="false">(D153&gt;D157)*(D$6&gt;INP_113)</f>
        <v>0</v>
      </c>
      <c r="E162" s="23" t="n">
        <f aca="false">(E153&gt;E157)*(E$6&gt;INP_113)</f>
        <v>0</v>
      </c>
      <c r="F162" s="23" t="n">
        <f aca="false">(F153&gt;F157)*(F$6&gt;INP_113)</f>
        <v>0</v>
      </c>
      <c r="G162" s="23" t="n">
        <f aca="false">(G153&gt;G157)*(G$6&gt;INP_113)</f>
        <v>0</v>
      </c>
      <c r="H162" s="23" t="n">
        <f aca="false">(H153&gt;H157)*(H$6&gt;INP_113)</f>
        <v>0</v>
      </c>
      <c r="I162" s="23" t="n">
        <f aca="false">(I153&gt;I157)*(I$6&gt;INP_113)</f>
        <v>0</v>
      </c>
      <c r="K162" s="2" t="s">
        <v>4660</v>
      </c>
    </row>
    <row r="163" customFormat="false" ht="15" hidden="false" customHeight="false" outlineLevel="0" collapsed="false">
      <c r="A163" s="9" t="s">
        <v>4661</v>
      </c>
      <c r="B163" s="11" t="s">
        <v>4662</v>
      </c>
      <c r="C163" s="9" t="s">
        <v>1106</v>
      </c>
      <c r="D163" s="21" t="n">
        <f aca="false">D158+D159+D156-D91</f>
        <v>0</v>
      </c>
      <c r="E163" s="21" t="n">
        <f aca="false">E158+E159+E156-E91</f>
        <v>0</v>
      </c>
      <c r="F163" s="21" t="n">
        <f aca="false">F158+F159+F156-F91</f>
        <v>0</v>
      </c>
      <c r="G163" s="21" t="n">
        <f aca="false">G158+G159+G156-G91</f>
        <v>0</v>
      </c>
      <c r="H163" s="21" t="n">
        <f aca="false">H158+H159+H156-H91</f>
        <v>0</v>
      </c>
      <c r="I163" s="21" t="n">
        <f aca="false">I158+I159+I156-I91</f>
        <v>0</v>
      </c>
      <c r="K163" s="2" t="s">
        <v>4663</v>
      </c>
    </row>
    <row r="164" customFormat="false" ht="15" hidden="false" customHeight="false" outlineLevel="0" collapsed="false">
      <c r="A164" s="9" t="s">
        <v>4664</v>
      </c>
      <c r="B164" s="11" t="s">
        <v>4665</v>
      </c>
      <c r="C164" s="11" t="s">
        <v>269</v>
      </c>
      <c r="D164" s="16" t="n">
        <f aca="false">D159/D91</f>
        <v>0.559345156889495</v>
      </c>
      <c r="E164" s="16" t="n">
        <f aca="false">E159/E91</f>
        <v>0.550651138401983</v>
      </c>
      <c r="F164" s="16" t="n">
        <f aca="false">F159/F91</f>
        <v>0.709488788422917</v>
      </c>
      <c r="G164" s="16" t="n">
        <f aca="false">G159/G91</f>
        <v>0.688247772545794</v>
      </c>
      <c r="H164" s="16" t="n">
        <f aca="false">H159/H91</f>
        <v>0.57424207616903</v>
      </c>
      <c r="I164" s="16" t="n">
        <f aca="false">I159/I91</f>
        <v>0.400921165604548</v>
      </c>
      <c r="K164" s="2"/>
    </row>
    <row r="165" customFormat="false" ht="15" hidden="false" customHeight="false" outlineLevel="0" collapsed="false">
      <c r="A165" s="9" t="s">
        <v>4666</v>
      </c>
      <c r="B165" s="11" t="s">
        <v>4667</v>
      </c>
      <c r="C165" s="9" t="s">
        <v>1106</v>
      </c>
      <c r="D165" s="21" t="n">
        <f aca="false">TK_IF_AllocRDGW</f>
        <v>0.202611367920628</v>
      </c>
      <c r="E165" s="21" t="n">
        <f aca="false">TK_IF_AllocRDGW</f>
        <v>0.202611367920628</v>
      </c>
      <c r="F165" s="21" t="n">
        <f aca="false">TK_IF_AllocRDGW</f>
        <v>0.202611367920628</v>
      </c>
      <c r="G165" s="21" t="n">
        <f aca="false">TK_IF_AllocRDGW</f>
        <v>0.202611367920628</v>
      </c>
      <c r="H165" s="21" t="n">
        <f aca="false">TK_IF_AllocRDGW</f>
        <v>0.202611367920628</v>
      </c>
      <c r="I165" s="21" t="n">
        <f aca="false">TK_IF_AllocRDGW</f>
        <v>0.202611367920628</v>
      </c>
      <c r="K165" s="12" t="s">
        <v>4668</v>
      </c>
    </row>
    <row r="166" customFormat="false" ht="15" hidden="false" customHeight="false" outlineLevel="0" collapsed="false">
      <c r="A166" s="15" t="s">
        <v>4669</v>
      </c>
    </row>
    <row r="167" customFormat="false" ht="15" hidden="false" customHeight="false" outlineLevel="0" collapsed="false">
      <c r="A167" s="9" t="s">
        <v>4670</v>
      </c>
      <c r="B167" s="11" t="s">
        <v>4671</v>
      </c>
      <c r="C167" s="11" t="s">
        <v>747</v>
      </c>
      <c r="D167" s="21" t="n">
        <f aca="false">D102*D29+D103*D33+D104*D37+D105*D41+D106*D45+D107*D49+D108*D53+D109*D57+D110*D61</f>
        <v>0.0738105207756209</v>
      </c>
      <c r="E167" s="21" t="n">
        <f aca="false">E102*E29+E103*E33+E104*E37+E105*E41+E106*E45+E107*E49+E108*E53+E109*E57+E110*E61</f>
        <v>0.419141337980193</v>
      </c>
      <c r="F167" s="21" t="n">
        <f aca="false">F102*F29+F103*F33+F104*F37+F105*F41+F106*F45+F107*F49+F108*F53+F109*F57+F110*F61</f>
        <v>0.613060359698787</v>
      </c>
      <c r="G167" s="21" t="n">
        <f aca="false">G102*G29+G103*G33+G104*G37+G105*G41+G106*G45+G107*G49+G108*G53+G109*G57+G110*G61</f>
        <v>0.666631033789229</v>
      </c>
      <c r="H167" s="21" t="n">
        <f aca="false">H102*H29+H103*H33+H104*H37+H105*H41+H106*H45+H107*H49+H108*H53+H109*H57+H110*H61</f>
        <v>0.721118767172271</v>
      </c>
      <c r="I167" s="21" t="n">
        <f aca="false">I102*I29+I103*I33+I104*I37+I105*I41+I106*I45+I107*I49+I108*I53+I109*I57+I110*I61</f>
        <v>0.74582076875426</v>
      </c>
      <c r="K167" s="2"/>
    </row>
    <row r="168" customFormat="false" ht="15" hidden="false" customHeight="false" outlineLevel="0" collapsed="false">
      <c r="A168" s="9" t="s">
        <v>4672</v>
      </c>
      <c r="B168" s="11" t="s">
        <v>2964</v>
      </c>
      <c r="C168" s="9" t="s">
        <v>1106</v>
      </c>
      <c r="D168" s="21" t="n">
        <f aca="false">D91*D167</f>
        <v>0.0578024697954382</v>
      </c>
      <c r="E168" s="21" t="n">
        <f aca="false">E91*E167</f>
        <v>1.07470023516865</v>
      </c>
      <c r="F168" s="21" t="n">
        <f aca="false">F91*F167</f>
        <v>4.60959697168135</v>
      </c>
      <c r="G168" s="21" t="n">
        <f aca="false">G91*G167</f>
        <v>7.3818779368854</v>
      </c>
      <c r="H168" s="21" t="n">
        <f aca="false">H91*H167</f>
        <v>7.78931469928324</v>
      </c>
      <c r="I168" s="21" t="n">
        <f aca="false">I91*I167</f>
        <v>7.74537986548822</v>
      </c>
      <c r="K168" s="2"/>
    </row>
    <row r="169" customFormat="false" ht="15" hidden="false" customHeight="false" outlineLevel="0" collapsed="false">
      <c r="A169" s="9" t="s">
        <v>4673</v>
      </c>
      <c r="B169" s="11" t="s">
        <v>4674</v>
      </c>
      <c r="C169" s="9" t="s">
        <v>1106</v>
      </c>
      <c r="D169" s="21" t="n">
        <f aca="false">D158*D167</f>
        <v>0.0254709382591085</v>
      </c>
      <c r="E169" s="21" t="n">
        <f aca="false">E158*E167</f>
        <v>0.37544530371529</v>
      </c>
      <c r="F169" s="21" t="n">
        <f aca="false">F158*F167</f>
        <v>0.878179903957068</v>
      </c>
      <c r="G169" s="21" t="n">
        <f aca="false">G158*G167</f>
        <v>1.56312909593055</v>
      </c>
      <c r="H169" s="21" t="n">
        <f aca="false">H158*H167</f>
        <v>2.53743098450457</v>
      </c>
      <c r="I169" s="21" t="n">
        <f aca="false">I158*I167</f>
        <v>3.86555515521787</v>
      </c>
      <c r="K169" s="2"/>
    </row>
    <row r="170" customFormat="false" ht="15" hidden="false" customHeight="false" outlineLevel="0" collapsed="false">
      <c r="A170" s="9" t="s">
        <v>4675</v>
      </c>
      <c r="B170" s="11" t="s">
        <v>4676</v>
      </c>
      <c r="C170" s="9" t="s">
        <v>1106</v>
      </c>
      <c r="D170" s="21" t="n">
        <f aca="false">D159*D167</f>
        <v>0.0323315315363297</v>
      </c>
      <c r="E170" s="21" t="n">
        <f aca="false">E159*E167</f>
        <v>0.591784907936496</v>
      </c>
      <c r="F170" s="21" t="n">
        <f aca="false">F159*F167</f>
        <v>3.27045737055615</v>
      </c>
      <c r="G170" s="21" t="n">
        <f aca="false">G159*G167</f>
        <v>5.08056104726631</v>
      </c>
      <c r="H170" s="21" t="n">
        <f aca="false">H159*H167</f>
        <v>4.47295224485035</v>
      </c>
      <c r="I170" s="21" t="n">
        <f aca="false">I159*I167</f>
        <v>3.10528672372153</v>
      </c>
      <c r="K170" s="2"/>
    </row>
    <row r="171" customFormat="false" ht="15" hidden="false" customHeight="false" outlineLevel="0" collapsed="false">
      <c r="A171" s="9" t="s">
        <v>4677</v>
      </c>
      <c r="B171" s="11" t="s">
        <v>4678</v>
      </c>
      <c r="C171" s="11" t="s">
        <v>747</v>
      </c>
      <c r="D171" s="21" t="n">
        <f aca="false">D129/D123</f>
        <v>0.0704237085486817</v>
      </c>
      <c r="E171" s="21" t="n">
        <f aca="false">E129/E123</f>
        <v>0.416772510017145</v>
      </c>
      <c r="F171" s="21" t="n">
        <f aca="false">F129/F123</f>
        <v>0.608123657027614</v>
      </c>
      <c r="G171" s="21" t="n">
        <f aca="false">G129/G123</f>
        <v>0.660621282249906</v>
      </c>
      <c r="H171" s="21" t="n">
        <f aca="false">H129/H123</f>
        <v>0.715401865233157</v>
      </c>
      <c r="I171" s="21" t="n">
        <f aca="false">I129/I123</f>
        <v>0.740104963952098</v>
      </c>
      <c r="K171" s="2" t="s">
        <v>4679</v>
      </c>
    </row>
    <row r="172" customFormat="false" ht="15" hidden="false" customHeight="false" outlineLevel="0" collapsed="false">
      <c r="A172" s="15" t="s">
        <v>4680</v>
      </c>
    </row>
    <row r="173" customFormat="false" ht="15" hidden="false" customHeight="false" outlineLevel="0" collapsed="false">
      <c r="A173" s="9" t="s">
        <v>4681</v>
      </c>
      <c r="B173" s="11" t="s">
        <v>4682</v>
      </c>
      <c r="C173" s="9" t="s">
        <v>1106</v>
      </c>
      <c r="D173" s="21" t="n">
        <f aca="false">AVERAGE(D91,E91)</f>
        <v>1.67358588779641</v>
      </c>
      <c r="E173" s="21" t="n">
        <f aca="false">AVERAGE(E91,F91)</f>
        <v>5.04152290008037</v>
      </c>
      <c r="F173" s="21" t="n">
        <f aca="false">AVERAGE(F91,G91)</f>
        <v>9.29620122707102</v>
      </c>
      <c r="G173" s="21" t="n">
        <f aca="false">AVERAGE(G91,H91)</f>
        <v>10.9375586235302</v>
      </c>
      <c r="H173" s="21" t="n">
        <f aca="false">AVERAGE(H91,I91)</f>
        <v>10.5933751422726</v>
      </c>
      <c r="K173" s="2" t="s">
        <v>4683</v>
      </c>
    </row>
    <row r="174" customFormat="false" ht="15" hidden="false" customHeight="false" outlineLevel="0" collapsed="false">
      <c r="A174" s="9" t="s">
        <v>4684</v>
      </c>
      <c r="B174" s="11" t="s">
        <v>4685</v>
      </c>
      <c r="C174" s="9" t="s">
        <v>1106</v>
      </c>
      <c r="D174" s="21" t="n">
        <f aca="false">SRC_ANT_269</f>
        <v>1.4</v>
      </c>
      <c r="E174" s="21" t="n">
        <f aca="false">SRC_ANT_267</f>
        <v>5</v>
      </c>
      <c r="F174" s="21" t="n">
        <f aca="false">SRC_ANT_268</f>
        <v>10</v>
      </c>
      <c r="K174" s="12" t="s">
        <v>4686</v>
      </c>
    </row>
    <row r="175" customFormat="false" ht="15" hidden="false" customHeight="false" outlineLevel="0" collapsed="false">
      <c r="A175" s="9" t="s">
        <v>4687</v>
      </c>
      <c r="B175" s="11" t="s">
        <v>4688</v>
      </c>
      <c r="C175" s="11" t="s">
        <v>269</v>
      </c>
      <c r="D175" s="16" t="n">
        <f aca="false">(D173-D174)/D174</f>
        <v>0.195418491283153</v>
      </c>
      <c r="E175" s="16" t="n">
        <f aca="false">(E173-E174)/E174</f>
        <v>0.00830458001607468</v>
      </c>
      <c r="F175" s="16" t="n">
        <f aca="false">(F173-F174)/F174</f>
        <v>-0.0703798772928984</v>
      </c>
      <c r="K175" s="2"/>
    </row>
    <row r="176" customFormat="false" ht="15" hidden="false" customHeight="false" outlineLevel="0" collapsed="false">
      <c r="A176" s="9" t="s">
        <v>4689</v>
      </c>
      <c r="B176" s="11" t="s">
        <v>4690</v>
      </c>
      <c r="C176" s="9" t="s">
        <v>1106</v>
      </c>
      <c r="D176" s="21" t="n">
        <f aca="false">SRC_ANT_265_Lo</f>
        <v>1.4</v>
      </c>
      <c r="E176" s="21" t="n">
        <f aca="false">SRC_ANT_265</f>
        <v>5</v>
      </c>
      <c r="K176" s="12" t="s">
        <v>4691</v>
      </c>
    </row>
    <row r="177" customFormat="false" ht="15" hidden="false" customHeight="false" outlineLevel="0" collapsed="false">
      <c r="A177" s="9" t="s">
        <v>4692</v>
      </c>
      <c r="B177" s="11" t="s">
        <v>4693</v>
      </c>
      <c r="C177" s="9" t="s">
        <v>1106</v>
      </c>
      <c r="D177" s="21" t="n">
        <f aca="false">SRC_ANT_242_Lo</f>
        <v>14.8</v>
      </c>
      <c r="E177" s="21" t="n">
        <f aca="false">E91-E68</f>
        <v>2.30562263029368</v>
      </c>
      <c r="F177" s="21" t="n">
        <f aca="false">F91-F68</f>
        <v>7.51899368268758</v>
      </c>
      <c r="G177" s="21" t="n">
        <f aca="false">G91-G68</f>
        <v>11.0734087714545</v>
      </c>
      <c r="H177" s="21" t="n">
        <f aca="false">H91-H68</f>
        <v>10.8017084756059</v>
      </c>
      <c r="I177" s="21" t="n">
        <f aca="false">I91-I68</f>
        <v>10.3850418089393</v>
      </c>
      <c r="K177" s="12" t="s">
        <v>4694</v>
      </c>
    </row>
    <row r="178" customFormat="false" ht="15" hidden="false" customHeight="false" outlineLevel="0" collapsed="false">
      <c r="A178" s="9" t="s">
        <v>4695</v>
      </c>
      <c r="B178" s="11" t="s">
        <v>4696</v>
      </c>
      <c r="C178" s="9" t="s">
        <v>1106</v>
      </c>
      <c r="D178" s="21" t="n">
        <f aca="false">SRC_ANT_184_Lo</f>
        <v>1</v>
      </c>
      <c r="E178" s="21" t="n">
        <f aca="false">E73</f>
        <v>0.771527777777778</v>
      </c>
      <c r="K178" s="12" t="s">
        <v>4697</v>
      </c>
    </row>
    <row r="179" customFormat="false" ht="15" hidden="false" customHeight="false" outlineLevel="0" collapsed="false">
      <c r="A179" s="9" t="s">
        <v>4698</v>
      </c>
      <c r="B179" s="11" t="s">
        <v>4699</v>
      </c>
      <c r="C179" s="9" t="s">
        <v>1106</v>
      </c>
      <c r="D179" s="21" t="n">
        <f aca="false">SRC_ANT_205</f>
        <v>1</v>
      </c>
      <c r="E179" s="21" t="n">
        <f aca="false">E75</f>
        <v>0.68922305764411</v>
      </c>
      <c r="F179" s="21" t="n">
        <f aca="false">F75</f>
        <v>1.37844611528822</v>
      </c>
      <c r="G179" s="21" t="n">
        <f aca="false">SRC_ANT_203_Hi</f>
        <v>5</v>
      </c>
      <c r="K179" s="12" t="s">
        <v>4700</v>
      </c>
    </row>
    <row r="180" customFormat="false" ht="15" hidden="false" customHeight="false" outlineLevel="0" collapsed="false">
      <c r="A180" s="9" t="s">
        <v>4701</v>
      </c>
      <c r="B180" s="11" t="s">
        <v>4702</v>
      </c>
      <c r="C180" s="9" t="s">
        <v>1106</v>
      </c>
      <c r="D180" s="21" t="n">
        <f aca="false">SRC_ANT_210_Hi</f>
        <v>1</v>
      </c>
      <c r="G180" s="21" t="n">
        <f aca="false">G76</f>
        <v>0.402564102564103</v>
      </c>
      <c r="K180" s="2"/>
    </row>
    <row r="181" customFormat="false" ht="15" hidden="false" customHeight="false" outlineLevel="0" collapsed="false">
      <c r="A181" s="9" t="s">
        <v>4703</v>
      </c>
      <c r="B181" s="11" t="s">
        <v>4704</v>
      </c>
      <c r="C181" s="9" t="s">
        <v>1106</v>
      </c>
      <c r="D181" s="21" t="n">
        <f aca="false">SRC_ANT_225_Lo/INP_110</f>
        <v>0.3</v>
      </c>
      <c r="E181" s="21" t="n">
        <f aca="false">E78</f>
        <v>0.833333333333333</v>
      </c>
      <c r="F181" s="21" t="n">
        <f aca="false">F78</f>
        <v>1.25</v>
      </c>
      <c r="K181" s="2" t="s">
        <v>4705</v>
      </c>
    </row>
    <row r="182" customFormat="false" ht="15" hidden="false" customHeight="false" outlineLevel="0" collapsed="false">
      <c r="A182" s="9" t="s">
        <v>4706</v>
      </c>
      <c r="B182" s="11" t="s">
        <v>4707</v>
      </c>
      <c r="C182" s="9" t="s">
        <v>1106</v>
      </c>
      <c r="D182" s="21" t="n">
        <f aca="false">SRC_ANT_201/INP_110</f>
        <v>0.91</v>
      </c>
      <c r="E182" s="21" t="n">
        <f aca="false">D68*D64</f>
        <v>0.313247863247863</v>
      </c>
      <c r="K182" s="12" t="s">
        <v>4708</v>
      </c>
    </row>
    <row r="183" customFormat="false" ht="15" hidden="false" customHeight="false" outlineLevel="0" collapsed="false">
      <c r="A183" s="9" t="s">
        <v>4709</v>
      </c>
      <c r="B183" s="11" t="s">
        <v>4710</v>
      </c>
      <c r="C183" s="9" t="s">
        <v>1106</v>
      </c>
      <c r="D183" s="21" t="n">
        <f aca="false">SRC_ANT_199/D70</f>
        <v>1.83333333333333</v>
      </c>
      <c r="K183" s="12" t="s">
        <v>4711</v>
      </c>
    </row>
    <row r="184" customFormat="false" ht="15" hidden="false" customHeight="false" outlineLevel="0" collapsed="false">
      <c r="A184" s="9" t="s">
        <v>4712</v>
      </c>
      <c r="B184" s="11" t="s">
        <v>4713</v>
      </c>
      <c r="C184" s="9" t="s">
        <v>1106</v>
      </c>
      <c r="D184" s="21" t="n">
        <f aca="false">SRC_ANT_217/INP_110</f>
        <v>0.401</v>
      </c>
      <c r="K184" s="2" t="s">
        <v>4714</v>
      </c>
    </row>
    <row r="185" customFormat="false" ht="15" hidden="false" customHeight="false" outlineLevel="0" collapsed="false">
      <c r="A185" s="9" t="s">
        <v>4715</v>
      </c>
      <c r="B185" s="11" t="s">
        <v>4716</v>
      </c>
      <c r="C185" s="9" t="s">
        <v>1106</v>
      </c>
      <c r="D185" s="21" t="n">
        <f aca="false">SRC_ANT_219/INP_110</f>
        <v>0.191</v>
      </c>
      <c r="K185" s="2" t="s">
        <v>4717</v>
      </c>
    </row>
    <row r="186" customFormat="false" ht="15" hidden="false" customHeight="false" outlineLevel="0" collapsed="false">
      <c r="A186" s="9" t="s">
        <v>4718</v>
      </c>
      <c r="B186" s="11" t="s">
        <v>4719</v>
      </c>
      <c r="C186" s="9" t="s">
        <v>1106</v>
      </c>
      <c r="D186" s="21" t="n">
        <f aca="false">SRC_ANT_214/INP_110</f>
        <v>0.245</v>
      </c>
      <c r="K186" s="2" t="s">
        <v>4720</v>
      </c>
    </row>
    <row r="187" customFormat="false" ht="15" hidden="false" customHeight="false" outlineLevel="0" collapsed="false">
      <c r="A187" s="9" t="s">
        <v>4721</v>
      </c>
      <c r="B187" s="11" t="s">
        <v>4722</v>
      </c>
      <c r="C187" s="9" t="s">
        <v>1106</v>
      </c>
      <c r="D187" s="21" t="n">
        <f aca="false">SRC_ANT_238/INP_110</f>
        <v>0.5</v>
      </c>
      <c r="K187" s="12" t="s">
        <v>4723</v>
      </c>
    </row>
    <row r="188" customFormat="false" ht="15" hidden="false" customHeight="false" outlineLevel="0" collapsed="false">
      <c r="A188" s="9" t="s">
        <v>4724</v>
      </c>
      <c r="B188" s="11" t="s">
        <v>4725</v>
      </c>
      <c r="C188" s="9" t="s">
        <v>1106</v>
      </c>
      <c r="D188" s="21" t="n">
        <f aca="false">SRC_ANT_240/INP_110</f>
        <v>0.207</v>
      </c>
      <c r="K188" s="2" t="s">
        <v>4726</v>
      </c>
    </row>
    <row r="189" customFormat="false" ht="15" hidden="false" customHeight="false" outlineLevel="0" collapsed="false">
      <c r="A189" s="9" t="s">
        <v>4727</v>
      </c>
      <c r="B189" s="11" t="s">
        <v>4728</v>
      </c>
      <c r="C189" s="9" t="s">
        <v>1106</v>
      </c>
      <c r="D189" s="21" t="n">
        <f aca="false">D184+D185+D186+D187+D188</f>
        <v>1.544</v>
      </c>
      <c r="K189" s="2" t="s">
        <v>4729</v>
      </c>
    </row>
    <row r="190" customFormat="false" ht="15" hidden="false" customHeight="false" outlineLevel="0" collapsed="false">
      <c r="A190" s="15" t="s">
        <v>4730</v>
      </c>
    </row>
    <row r="191" customFormat="false" ht="15" hidden="false" customHeight="false" outlineLevel="0" collapsed="false">
      <c r="A191" s="9" t="s">
        <v>4731</v>
      </c>
      <c r="B191" s="11" t="s">
        <v>4732</v>
      </c>
      <c r="C191" s="9" t="s">
        <v>1106</v>
      </c>
      <c r="D191" s="21" t="n">
        <f aca="false">D68+D73+D75+D76+D78+D82+INP_182*(D79+D80)</f>
        <v>0.783119658119658</v>
      </c>
      <c r="E191" s="21" t="n">
        <f aca="false">E68+E73+E75+E76+E78+E82+INP_182*(E79+E80)</f>
        <v>2.56405211747317</v>
      </c>
      <c r="F191" s="21" t="n">
        <f aca="false">F68+F73+F75+F76+F78+F82+INP_182*(F79+F80)</f>
        <v>4.57086064520275</v>
      </c>
      <c r="G191" s="21" t="n">
        <f aca="false">G68+G73+G75+G76+G78+G82+INP_182*(G79+G80)</f>
        <v>5.1771426964848</v>
      </c>
      <c r="H191" s="21" t="n">
        <f aca="false">H68+H73+H75+H76+H78+H82+INP_182*(H79+H80)</f>
        <v>4.57380936315147</v>
      </c>
      <c r="I191" s="21" t="n">
        <f aca="false">I68+I73+I75+I76+I78+I82+INP_182*(I79+I80)</f>
        <v>4.1571426964848</v>
      </c>
      <c r="K191" s="2"/>
    </row>
    <row r="192" customFormat="false" ht="15" hidden="false" customHeight="false" outlineLevel="0" collapsed="false">
      <c r="A192" s="9" t="s">
        <v>4733</v>
      </c>
      <c r="B192" s="11" t="s">
        <v>4734</v>
      </c>
      <c r="C192" s="9" t="s">
        <v>1106</v>
      </c>
      <c r="D192" s="21" t="n">
        <f aca="false">D68*(D64*D53+D65*D29+D66*D45)+D73*D49+D75*D57+D76*D37+D78*D29+D82*D33+INP_182*(D79*D41+D80*D37)</f>
        <v>0.0578024697954382</v>
      </c>
      <c r="E192" s="21" t="n">
        <f aca="false">E68*(E64*E53+E65*E29+E66*E45)+E73*E49+E75*E57+E76*E37+E78*E29+E82*E33+INP_182*(E79*E41+E80*E37)</f>
        <v>1.07470023516865</v>
      </c>
      <c r="F192" s="21" t="n">
        <f aca="false">F68*(F64*F53+F65*F29+F66*F45)+F73*F49+F75*F57+F76*F37+F78*F29+F82*F33+INP_182*(F79*F41+F80*F37)</f>
        <v>2.31779054169349</v>
      </c>
      <c r="G192" s="21" t="n">
        <f aca="false">G68*(G64*G53+G65*G29+G66*G45)+G73*G49+G75*G57+G76*G37+G78*G29+G82*G33+INP_182*(G79*G41+G80*G37)</f>
        <v>2.79826507690967</v>
      </c>
      <c r="H192" s="21" t="n">
        <f aca="false">H68*(H64*H53+H65*H29+H66*H45)+H73*H49+H75*H57+H76*H37+H78*H29+H82*H33+INP_182*(H79*H41+H80*H37)</f>
        <v>2.94039540931965</v>
      </c>
      <c r="I192" s="21" t="n">
        <f aca="false">I68*(I64*I53+I65*I29+I66*I45)+I73*I49+I75*I57+I76*I37+I78*I29+I82*I33+INP_182*(I79*I41+I80*I37)</f>
        <v>2.89646057552464</v>
      </c>
      <c r="K192" s="2"/>
    </row>
    <row r="193" customFormat="false" ht="15" hidden="false" customHeight="false" outlineLevel="0" collapsed="false">
      <c r="A193" s="9" t="s">
        <v>4735</v>
      </c>
      <c r="B193" s="9" t="s">
        <v>4736</v>
      </c>
      <c r="C193" s="9" t="s">
        <v>2742</v>
      </c>
      <c r="D193" s="25" t="n">
        <f aca="false">Inputs!$F$118</f>
        <v>8</v>
      </c>
      <c r="K193" s="12" t="s">
        <v>4737</v>
      </c>
    </row>
    <row r="194" customFormat="false" ht="15" hidden="false" customHeight="false" outlineLevel="0" collapsed="false">
      <c r="A194" s="9" t="s">
        <v>4738</v>
      </c>
      <c r="B194" s="9" t="s">
        <v>4739</v>
      </c>
      <c r="C194" s="9" t="s">
        <v>1106</v>
      </c>
      <c r="D194" s="21" t="n">
        <f aca="false">D91-D191+D191*INP_114/$D$193</f>
        <v>1.17467948717949</v>
      </c>
      <c r="E194" s="21" t="n">
        <f aca="false">E91-E191+E191*INP_114/$D$193</f>
        <v>3.84607817620976</v>
      </c>
      <c r="F194" s="21" t="n">
        <f aca="false">F91-F191+F191*INP_114/$D$193</f>
        <v>9.80442400528895</v>
      </c>
      <c r="G194" s="21" t="n">
        <f aca="false">G91-G191+G191*INP_114/$D$193</f>
        <v>13.6619801196969</v>
      </c>
      <c r="H194" s="21" t="n">
        <f aca="false">H91-H191+H191*INP_114/$D$193</f>
        <v>13.0886131571817</v>
      </c>
      <c r="I194" s="21" t="n">
        <f aca="false">I91-I191+I191*INP_114/$D$193</f>
        <v>12.4636131571817</v>
      </c>
      <c r="K194" s="2" t="s">
        <v>4740</v>
      </c>
    </row>
    <row r="195" customFormat="false" ht="15" hidden="false" customHeight="false" outlineLevel="0" collapsed="false">
      <c r="A195" s="9" t="s">
        <v>4741</v>
      </c>
      <c r="B195" s="9" t="s">
        <v>4742</v>
      </c>
      <c r="C195" s="9" t="s">
        <v>1106</v>
      </c>
      <c r="D195" s="21" t="n">
        <f aca="false">D168-D192+D192*INP_114/$D$193</f>
        <v>0.0867037046931573</v>
      </c>
      <c r="E195" s="21" t="n">
        <f aca="false">E168-E192+E192*INP_114/$D$193</f>
        <v>1.61205035275298</v>
      </c>
      <c r="F195" s="21" t="n">
        <f aca="false">F168-F192+F192*INP_114/$D$193</f>
        <v>5.76849224252809</v>
      </c>
      <c r="G195" s="21" t="n">
        <f aca="false">G168-G192+G192*INP_114/$D$193</f>
        <v>8.78101047534024</v>
      </c>
      <c r="H195" s="21" t="n">
        <f aca="false">H168-H192+H192*INP_114/$D$193</f>
        <v>9.25951240394306</v>
      </c>
      <c r="I195" s="21" t="n">
        <f aca="false">I168-I192+I192*INP_114/$D$193</f>
        <v>9.19361015325054</v>
      </c>
      <c r="K195" s="2"/>
    </row>
    <row r="196" customFormat="false" ht="15" hidden="false" customHeight="false" outlineLevel="0" collapsed="false">
      <c r="A196" s="9" t="s">
        <v>4743</v>
      </c>
      <c r="B196" s="9" t="s">
        <v>4744</v>
      </c>
      <c r="C196" s="9" t="s">
        <v>482</v>
      </c>
      <c r="D196" s="17" t="n">
        <f aca="false">Cost!D53+Cost!D51*($D$193/INP_114-$D$62)</f>
        <v>7.33</v>
      </c>
      <c r="E196" s="17" t="n">
        <f aca="false">Cost!E53+Cost!E51*($D$193/INP_114-$D$62)</f>
        <v>42.4201685560054</v>
      </c>
      <c r="F196" s="17" t="n">
        <f aca="false">Cost!F53+Cost!F51*($D$193/INP_114-$D$62)</f>
        <v>83.8088233360748</v>
      </c>
      <c r="G196" s="17" t="n">
        <f aca="false">Cost!G53+Cost!G51*($D$193/INP_114-$D$62)</f>
        <v>113.721731333427</v>
      </c>
      <c r="H196" s="17" t="n">
        <f aca="false">Cost!H53+Cost!H51*($D$193/INP_114-$D$62)</f>
        <v>91.4950197733824</v>
      </c>
      <c r="I196" s="17" t="n">
        <f aca="false">Cost!I53+Cost!I51*($D$193/INP_114-$D$62)</f>
        <v>86.4950197733824</v>
      </c>
      <c r="K196" s="12" t="s">
        <v>4745</v>
      </c>
    </row>
    <row r="197" customFormat="false" ht="15" hidden="false" customHeight="false" outlineLevel="0" collapsed="false">
      <c r="A197" s="9" t="s">
        <v>4746</v>
      </c>
      <c r="B197" s="9" t="s">
        <v>4747</v>
      </c>
      <c r="C197" s="9" t="s">
        <v>1106</v>
      </c>
      <c r="D197" s="21" t="n">
        <f aca="false">D153*INP_114/$D$193</f>
        <v>0.517628205128205</v>
      </c>
      <c r="E197" s="21" t="n">
        <f aca="false">E153*INP_114/$D$193</f>
        <v>1.34362303247586</v>
      </c>
      <c r="F197" s="21" t="n">
        <f aca="false">F153*INP_114/$D$193</f>
        <v>2.14867889449387</v>
      </c>
      <c r="G197" s="21" t="n">
        <f aca="false">G153*INP_114/$D$193</f>
        <v>3.51722845929965</v>
      </c>
      <c r="H197" s="21" t="n">
        <f aca="false">H153*INP_114/$D$193</f>
        <v>5.27811319026118</v>
      </c>
      <c r="I197" s="21" t="n">
        <f aca="false">I153*INP_114/$D$193</f>
        <v>7.77443184173019</v>
      </c>
      <c r="K197" s="12" t="s">
        <v>4748</v>
      </c>
    </row>
    <row r="198" customFormat="false" ht="15" hidden="false" customHeight="false" outlineLevel="0" collapsed="false">
      <c r="A198" s="9" t="s">
        <v>4749</v>
      </c>
      <c r="B198" s="9" t="s">
        <v>4750</v>
      </c>
      <c r="C198" s="11" t="s">
        <v>747</v>
      </c>
      <c r="D198" s="21" t="n">
        <f aca="false">IF(D$6&lt;=INP_113,$D$62,MIN(D194*(1-INP_115)*(1-INP_116),D197)/D197)</f>
        <v>1</v>
      </c>
      <c r="E198" s="21" t="n">
        <f aca="false">IF(E$6&lt;=INP_113,$D$62,MIN(E194*(1-INP_115)*(1-INP_116),E197)/E197)</f>
        <v>1</v>
      </c>
      <c r="F198" s="21" t="n">
        <f aca="false">IF(F$6&lt;=INP_113,$D$62,MIN(F194*(1-INP_115)*(1-INP_116),F197)/F197)</f>
        <v>1</v>
      </c>
      <c r="G198" s="21" t="n">
        <f aca="false">IF(G$6&lt;=INP_113,$D$62,MIN(G194*(1-INP_115)*(1-INP_116),G197)/G197)</f>
        <v>1</v>
      </c>
      <c r="H198" s="21" t="n">
        <f aca="false">IF(H$6&lt;=INP_113,$D$62,MIN(H194*(1-INP_115)*(1-INP_116),H197)/H197)</f>
        <v>1</v>
      </c>
      <c r="I198" s="21" t="n">
        <f aca="false">IF(I$6&lt;=INP_113,$D$62,MIN(I194*(1-INP_115)*(1-INP_116),I197)/I197)</f>
        <v>1</v>
      </c>
      <c r="K198" s="2"/>
    </row>
    <row r="199" customFormat="false" ht="15" hidden="false" customHeight="false" outlineLevel="0" collapsed="false">
      <c r="A199" s="9" t="s">
        <v>4751</v>
      </c>
      <c r="B199" s="9" t="s">
        <v>4752</v>
      </c>
      <c r="C199" s="9" t="s">
        <v>2742</v>
      </c>
      <c r="D199" s="18" t="n">
        <f aca="false">(Revenue!D72*D198-D196-Cost!D89-Cost!D88)/D195</f>
        <v>-92.8449370011212</v>
      </c>
      <c r="E199" s="18" t="n">
        <f aca="false">(Revenue!E72*E198-E196-Cost!E89-Cost!E88)/E195</f>
        <v>-3.57667448086273</v>
      </c>
      <c r="F199" s="18" t="n">
        <f aca="false">(Revenue!F72*F198-F196-Cost!F89-Cost!F88)/F195</f>
        <v>-3.42451486802167</v>
      </c>
      <c r="G199" s="18" t="n">
        <f aca="false">(Revenue!G72*G198-G196-Cost!G89-Cost!G88)/G195</f>
        <v>-1.61216921016334</v>
      </c>
      <c r="H199" s="18" t="n">
        <f aca="false">(Revenue!H72*H198-H196-Cost!H89-Cost!H88)/H195</f>
        <v>5.14697615191875</v>
      </c>
      <c r="I199" s="18" t="n">
        <f aca="false">(Revenue!I72*I198-I196-Cost!I89-Cost!I88)/I195</f>
        <v>10.4008388433092</v>
      </c>
      <c r="K199" s="2" t="s">
        <v>4753</v>
      </c>
    </row>
    <row r="200" customFormat="false" ht="15" hidden="false" customHeight="false" outlineLevel="0" collapsed="false">
      <c r="A200" s="9" t="s">
        <v>4754</v>
      </c>
      <c r="B200" s="9" t="s">
        <v>4755</v>
      </c>
      <c r="C200" s="9" t="s">
        <v>2742</v>
      </c>
      <c r="D200" s="25" t="n">
        <f aca="false">Inputs!$E$118</f>
        <v>12</v>
      </c>
      <c r="K200" s="12" t="s">
        <v>4756</v>
      </c>
    </row>
    <row r="201" customFormat="false" ht="15" hidden="false" customHeight="false" outlineLevel="0" collapsed="false">
      <c r="A201" s="9" t="s">
        <v>4757</v>
      </c>
      <c r="B201" s="9" t="s">
        <v>4758</v>
      </c>
      <c r="C201" s="9" t="s">
        <v>1106</v>
      </c>
      <c r="D201" s="21" t="n">
        <f aca="false">D91-D191+D191*INP_114/$D$200</f>
        <v>0.783119658119658</v>
      </c>
      <c r="E201" s="21" t="n">
        <f aca="false">E91-E191+E191*INP_114/$D$200</f>
        <v>2.56405211747317</v>
      </c>
      <c r="F201" s="21" t="n">
        <f aca="false">F91-F191+F191*INP_114/$D$200</f>
        <v>7.51899368268758</v>
      </c>
      <c r="G201" s="21" t="n">
        <f aca="false">G91-G191+G191*INP_114/$D$200</f>
        <v>11.0734087714545</v>
      </c>
      <c r="H201" s="21" t="n">
        <f aca="false">H91-H191+H191*INP_114/$D$200</f>
        <v>10.8017084756059</v>
      </c>
      <c r="I201" s="21" t="n">
        <f aca="false">I91-I191+I191*INP_114/$D$200</f>
        <v>10.3850418089393</v>
      </c>
      <c r="K201" s="2" t="s">
        <v>4740</v>
      </c>
    </row>
    <row r="202" customFormat="false" ht="15" hidden="false" customHeight="false" outlineLevel="0" collapsed="false">
      <c r="A202" s="9" t="s">
        <v>4759</v>
      </c>
      <c r="B202" s="9" t="s">
        <v>4760</v>
      </c>
      <c r="C202" s="9" t="s">
        <v>1106</v>
      </c>
      <c r="D202" s="21" t="n">
        <f aca="false">D168-D192+D192*INP_114/$D$200</f>
        <v>0.0578024697954382</v>
      </c>
      <c r="E202" s="21" t="n">
        <f aca="false">E168-E192+E192*INP_114/$D$200</f>
        <v>1.07470023516865</v>
      </c>
      <c r="F202" s="21" t="n">
        <f aca="false">F168-F192+F192*INP_114/$D$200</f>
        <v>4.60959697168135</v>
      </c>
      <c r="G202" s="21" t="n">
        <f aca="false">G168-G192+G192*INP_114/$D$200</f>
        <v>7.3818779368854</v>
      </c>
      <c r="H202" s="21" t="n">
        <f aca="false">H168-H192+H192*INP_114/$D$200</f>
        <v>7.78931469928324</v>
      </c>
      <c r="I202" s="21" t="n">
        <f aca="false">I168-I192+I192*INP_114/$D$200</f>
        <v>7.74537986548822</v>
      </c>
      <c r="K202" s="2"/>
    </row>
    <row r="203" customFormat="false" ht="15" hidden="false" customHeight="false" outlineLevel="0" collapsed="false">
      <c r="A203" s="9" t="s">
        <v>4761</v>
      </c>
      <c r="B203" s="9" t="s">
        <v>4762</v>
      </c>
      <c r="C203" s="9" t="s">
        <v>482</v>
      </c>
      <c r="D203" s="17" t="n">
        <f aca="false">Cost!D53+Cost!D51*($D$200/INP_114-$D$62)</f>
        <v>7.33</v>
      </c>
      <c r="E203" s="17" t="n">
        <f aca="false">Cost!E53+Cost!E51*($D$200/INP_114-$D$62)</f>
        <v>42.4201685560054</v>
      </c>
      <c r="F203" s="17" t="n">
        <f aca="false">Cost!F53+Cost!F51*($D$200/INP_114-$D$62)</f>
        <v>86.6888233360748</v>
      </c>
      <c r="G203" s="17" t="n">
        <f aca="false">Cost!G53+Cost!G51*($D$200/INP_114-$D$62)</f>
        <v>119.481731333427</v>
      </c>
      <c r="H203" s="17" t="n">
        <f aca="false">Cost!H53+Cost!H51*($D$200/INP_114-$D$62)</f>
        <v>97.2550197733824</v>
      </c>
      <c r="I203" s="17" t="n">
        <f aca="false">Cost!I53+Cost!I51*($D$200/INP_114-$D$62)</f>
        <v>92.2550197733824</v>
      </c>
      <c r="K203" s="12" t="s">
        <v>4745</v>
      </c>
    </row>
    <row r="204" customFormat="false" ht="15" hidden="false" customHeight="false" outlineLevel="0" collapsed="false">
      <c r="A204" s="9" t="s">
        <v>4763</v>
      </c>
      <c r="B204" s="9" t="s">
        <v>4764</v>
      </c>
      <c r="C204" s="9" t="s">
        <v>1106</v>
      </c>
      <c r="D204" s="21" t="n">
        <f aca="false">D153*INP_114/$D$200</f>
        <v>0.34508547008547</v>
      </c>
      <c r="E204" s="21" t="n">
        <f aca="false">E153*INP_114/$D$200</f>
        <v>0.895748688317238</v>
      </c>
      <c r="F204" s="21" t="n">
        <f aca="false">F153*INP_114/$D$200</f>
        <v>1.43245259632925</v>
      </c>
      <c r="G204" s="21" t="n">
        <f aca="false">G153*INP_114/$D$200</f>
        <v>2.34481897286643</v>
      </c>
      <c r="H204" s="21" t="n">
        <f aca="false">H153*INP_114/$D$200</f>
        <v>3.51874212684079</v>
      </c>
      <c r="I204" s="21" t="n">
        <f aca="false">I153*INP_114/$D$200</f>
        <v>5.18295456115346</v>
      </c>
      <c r="K204" s="12" t="s">
        <v>4748</v>
      </c>
    </row>
    <row r="205" customFormat="false" ht="15" hidden="false" customHeight="false" outlineLevel="0" collapsed="false">
      <c r="A205" s="9" t="s">
        <v>4765</v>
      </c>
      <c r="B205" s="9" t="s">
        <v>4766</v>
      </c>
      <c r="C205" s="11" t="s">
        <v>747</v>
      </c>
      <c r="D205" s="21" t="n">
        <f aca="false">IF(D$6&lt;=INP_113,$D$62,MIN(D201*(1-INP_115)*(1-INP_116),D204)/D204)</f>
        <v>1</v>
      </c>
      <c r="E205" s="21" t="n">
        <f aca="false">IF(E$6&lt;=INP_113,$D$62,MIN(E201*(1-INP_115)*(1-INP_116),E204)/E204)</f>
        <v>1</v>
      </c>
      <c r="F205" s="21" t="n">
        <f aca="false">IF(F$6&lt;=INP_113,$D$62,MIN(F201*(1-INP_115)*(1-INP_116),F204)/F204)</f>
        <v>1</v>
      </c>
      <c r="G205" s="21" t="n">
        <f aca="false">IF(G$6&lt;=INP_113,$D$62,MIN(G201*(1-INP_115)*(1-INP_116),G204)/G204)</f>
        <v>1</v>
      </c>
      <c r="H205" s="21" t="n">
        <f aca="false">IF(H$6&lt;=INP_113,$D$62,MIN(H201*(1-INP_115)*(1-INP_116),H204)/H204)</f>
        <v>1</v>
      </c>
      <c r="I205" s="21" t="n">
        <f aca="false">IF(I$6&lt;=INP_113,$D$62,MIN(I201*(1-INP_115)*(1-INP_116),I204)/I204)</f>
        <v>1</v>
      </c>
      <c r="K205" s="2"/>
    </row>
    <row r="206" customFormat="false" ht="15" hidden="false" customHeight="false" outlineLevel="0" collapsed="false">
      <c r="A206" s="9" t="s">
        <v>4767</v>
      </c>
      <c r="B206" s="9" t="s">
        <v>4768</v>
      </c>
      <c r="C206" s="9" t="s">
        <v>2742</v>
      </c>
      <c r="D206" s="18" t="n">
        <f aca="false">(Revenue!D72*D205-D203-Cost!D89-Cost!D88)/D202</f>
        <v>-139.267405501682</v>
      </c>
      <c r="E206" s="18" t="n">
        <f aca="false">(Revenue!E72*E205-E203-Cost!E89-Cost!E88)/E202</f>
        <v>-5.36501172129409</v>
      </c>
      <c r="F206" s="18" t="n">
        <f aca="false">(Revenue!F72*F205-F203-Cost!F89-Cost!F88)/F202</f>
        <v>-4.91025301987502</v>
      </c>
      <c r="G206" s="18" t="n">
        <f aca="false">(Revenue!G72*G205-G203-Cost!G89-Cost!G88)/G202</f>
        <v>-2.69802276504027</v>
      </c>
      <c r="H206" s="18" t="n">
        <f aca="false">(Revenue!H72*H205-H203-Cost!H89-Cost!H88)/H202</f>
        <v>5.37896992727052</v>
      </c>
      <c r="I206" s="18" t="n">
        <f aca="false">(Revenue!I72*I205-I203-Cost!I89-Cost!I88)/I202</f>
        <v>11.6019174208063</v>
      </c>
      <c r="K206" s="2" t="s">
        <v>4753</v>
      </c>
    </row>
    <row r="207" customFormat="false" ht="15" hidden="false" customHeight="false" outlineLevel="0" collapsed="false">
      <c r="A207" s="9" t="s">
        <v>4769</v>
      </c>
      <c r="B207" s="9" t="s">
        <v>4770</v>
      </c>
      <c r="C207" s="9" t="s">
        <v>2742</v>
      </c>
      <c r="D207" s="25" t="n">
        <f aca="false">Inputs!$G$118</f>
        <v>20</v>
      </c>
      <c r="K207" s="12" t="s">
        <v>4771</v>
      </c>
    </row>
    <row r="208" customFormat="false" ht="15" hidden="false" customHeight="false" outlineLevel="0" collapsed="false">
      <c r="A208" s="9" t="s">
        <v>4772</v>
      </c>
      <c r="B208" s="9" t="s">
        <v>4773</v>
      </c>
      <c r="C208" s="9" t="s">
        <v>1106</v>
      </c>
      <c r="D208" s="21" t="n">
        <f aca="false">D91-D191+D191*INP_114/$D$207</f>
        <v>0.469871794871795</v>
      </c>
      <c r="E208" s="21" t="n">
        <f aca="false">E91-E191+E191*INP_114/$D$207</f>
        <v>1.5384312704839</v>
      </c>
      <c r="F208" s="21" t="n">
        <f aca="false">F91-F191+F191*INP_114/$D$207</f>
        <v>5.69064942460648</v>
      </c>
      <c r="G208" s="21" t="n">
        <f aca="false">G91-G191+G191*INP_114/$D$207</f>
        <v>9.00255169286054</v>
      </c>
      <c r="H208" s="21" t="n">
        <f aca="false">H91-H191+H191*INP_114/$D$207</f>
        <v>8.97218473034536</v>
      </c>
      <c r="I208" s="21" t="n">
        <f aca="false">I91-I191+I191*INP_114/$D$207</f>
        <v>8.72218473034537</v>
      </c>
      <c r="K208" s="2" t="s">
        <v>4740</v>
      </c>
    </row>
    <row r="209" customFormat="false" ht="15" hidden="false" customHeight="false" outlineLevel="0" collapsed="false">
      <c r="A209" s="9" t="s">
        <v>4774</v>
      </c>
      <c r="B209" s="9" t="s">
        <v>4775</v>
      </c>
      <c r="C209" s="9" t="s">
        <v>1106</v>
      </c>
      <c r="D209" s="21" t="n">
        <f aca="false">D168-D192+D192*INP_114/$D$207</f>
        <v>0.0346814818772629</v>
      </c>
      <c r="E209" s="21" t="n">
        <f aca="false">E168-E192+E192*INP_114/$D$207</f>
        <v>0.644820141101191</v>
      </c>
      <c r="F209" s="21" t="n">
        <f aca="false">F168-F192+F192*INP_114/$D$207</f>
        <v>3.68248075500395</v>
      </c>
      <c r="G209" s="21" t="n">
        <f aca="false">G168-G192+G192*INP_114/$D$207</f>
        <v>6.26257190612153</v>
      </c>
      <c r="H209" s="21" t="n">
        <f aca="false">H168-H192+H192*INP_114/$D$207</f>
        <v>6.61315653555538</v>
      </c>
      <c r="I209" s="21" t="n">
        <f aca="false">I168-I192+I192*INP_114/$D$207</f>
        <v>6.58679563527837</v>
      </c>
      <c r="K209" s="2"/>
    </row>
    <row r="210" customFormat="false" ht="15" hidden="false" customHeight="false" outlineLevel="0" collapsed="false">
      <c r="A210" s="9" t="s">
        <v>4776</v>
      </c>
      <c r="B210" s="9" t="s">
        <v>4777</v>
      </c>
      <c r="C210" s="9" t="s">
        <v>482</v>
      </c>
      <c r="D210" s="17" t="n">
        <f aca="false">Cost!D53+Cost!D51*($D$207/INP_114-$D$62)</f>
        <v>7.33</v>
      </c>
      <c r="E210" s="17" t="n">
        <f aca="false">Cost!E53+Cost!E51*($D$207/INP_114-$D$62)</f>
        <v>42.4201685560054</v>
      </c>
      <c r="F210" s="17" t="n">
        <f aca="false">Cost!F53+Cost!F51*($D$207/INP_114-$D$62)</f>
        <v>92.4488233360748</v>
      </c>
      <c r="G210" s="17" t="n">
        <f aca="false">Cost!G53+Cost!G51*($D$207/INP_114-$D$62)</f>
        <v>131.001731333427</v>
      </c>
      <c r="H210" s="17" t="n">
        <f aca="false">Cost!H53+Cost!H51*($D$207/INP_114-$D$62)</f>
        <v>108.775019773382</v>
      </c>
      <c r="I210" s="17" t="n">
        <f aca="false">Cost!I53+Cost!I51*($D$207/INP_114-$D$62)</f>
        <v>103.775019773382</v>
      </c>
      <c r="K210" s="12" t="s">
        <v>4745</v>
      </c>
    </row>
    <row r="211" customFormat="false" ht="15" hidden="false" customHeight="false" outlineLevel="0" collapsed="false">
      <c r="A211" s="9" t="s">
        <v>4778</v>
      </c>
      <c r="B211" s="9" t="s">
        <v>4779</v>
      </c>
      <c r="C211" s="9" t="s">
        <v>1106</v>
      </c>
      <c r="D211" s="21" t="n">
        <f aca="false">D153*INP_114/$D$207</f>
        <v>0.207051282051282</v>
      </c>
      <c r="E211" s="21" t="n">
        <f aca="false">E153*INP_114/$D$207</f>
        <v>0.537449212990343</v>
      </c>
      <c r="F211" s="21" t="n">
        <f aca="false">F153*INP_114/$D$207</f>
        <v>0.859471557797547</v>
      </c>
      <c r="G211" s="21" t="n">
        <f aca="false">G153*INP_114/$D$207</f>
        <v>1.40689138371986</v>
      </c>
      <c r="H211" s="21" t="n">
        <f aca="false">H153*INP_114/$D$207</f>
        <v>2.11124527610447</v>
      </c>
      <c r="I211" s="21" t="n">
        <f aca="false">I153*INP_114/$D$207</f>
        <v>3.10977273669208</v>
      </c>
      <c r="K211" s="12" t="s">
        <v>4748</v>
      </c>
    </row>
    <row r="212" customFormat="false" ht="15" hidden="false" customHeight="false" outlineLevel="0" collapsed="false">
      <c r="A212" s="9" t="s">
        <v>4780</v>
      </c>
      <c r="B212" s="9" t="s">
        <v>4781</v>
      </c>
      <c r="C212" s="11" t="s">
        <v>747</v>
      </c>
      <c r="D212" s="21" t="n">
        <f aca="false">IF(D$6&lt;=INP_113,$D$62,MIN(D208*(1-INP_115)*(1-INP_116),D211)/D211)</f>
        <v>1</v>
      </c>
      <c r="E212" s="21" t="n">
        <f aca="false">IF(E$6&lt;=INP_113,$D$62,MIN(E208*(1-INP_115)*(1-INP_116),E211)/E211)</f>
        <v>1</v>
      </c>
      <c r="F212" s="21" t="n">
        <f aca="false">IF(F$6&lt;=INP_113,$D$62,MIN(F208*(1-INP_115)*(1-INP_116),F211)/F211)</f>
        <v>1</v>
      </c>
      <c r="G212" s="21" t="n">
        <f aca="false">IF(G$6&lt;=INP_113,$D$62,MIN(G208*(1-INP_115)*(1-INP_116),G211)/G211)</f>
        <v>1</v>
      </c>
      <c r="H212" s="21" t="n">
        <f aca="false">IF(H$6&lt;=INP_113,$D$62,MIN(H208*(1-INP_115)*(1-INP_116),H211)/H211)</f>
        <v>1</v>
      </c>
      <c r="I212" s="21" t="n">
        <f aca="false">IF(I$6&lt;=INP_113,$D$62,MIN(I208*(1-INP_115)*(1-INP_116),I211)/I211)</f>
        <v>1</v>
      </c>
      <c r="K212" s="2"/>
    </row>
    <row r="213" customFormat="false" ht="15" hidden="false" customHeight="false" outlineLevel="0" collapsed="false">
      <c r="A213" s="9" t="s">
        <v>4782</v>
      </c>
      <c r="B213" s="9" t="s">
        <v>4783</v>
      </c>
      <c r="C213" s="9" t="s">
        <v>2742</v>
      </c>
      <c r="D213" s="18" t="n">
        <f aca="false">(Revenue!D72*D212-D210-Cost!D89-Cost!D88)/D209</f>
        <v>-232.112342502803</v>
      </c>
      <c r="E213" s="18" t="n">
        <f aca="false">(Revenue!E72*E212-E210-Cost!E89-Cost!E88)/E209</f>
        <v>-8.94168620215682</v>
      </c>
      <c r="F213" s="18" t="n">
        <f aca="false">(Revenue!F72*F212-F210-Cost!F89-Cost!F88)/F209</f>
        <v>-7.71064109758657</v>
      </c>
      <c r="G213" s="18" t="n">
        <f aca="false">(Revenue!G72*G212-G210-Cost!G89-Cost!G88)/G209</f>
        <v>-5.01973872615128</v>
      </c>
      <c r="H213" s="18" t="n">
        <f aca="false">(Revenue!H72*H212-H210-Cost!H89-Cost!H88)/H209</f>
        <v>4.59364440538523</v>
      </c>
      <c r="I213" s="18" t="n">
        <f aca="false">(Revenue!I72*I212-I210-Cost!I89-Cost!I88)/I209</f>
        <v>11.8936827450028</v>
      </c>
      <c r="K213" s="2" t="s">
        <v>4753</v>
      </c>
    </row>
    <row r="214" customFormat="false" ht="15" hidden="false" customHeight="false" outlineLevel="0" collapsed="false">
      <c r="A214" s="9" t="s">
        <v>4784</v>
      </c>
      <c r="B214" s="9" t="s">
        <v>4785</v>
      </c>
      <c r="C214" s="11" t="s">
        <v>747</v>
      </c>
      <c r="D214" s="21" t="n">
        <f aca="false">$D$149</f>
        <v>0.525427732668394</v>
      </c>
      <c r="E214" s="21" t="n">
        <f aca="false">$D$149</f>
        <v>0.525427732668394</v>
      </c>
      <c r="F214" s="21" t="n">
        <f aca="false">$D$149</f>
        <v>0.525427732668394</v>
      </c>
      <c r="G214" s="21" t="n">
        <f aca="false">$D$149</f>
        <v>0.525427732668394</v>
      </c>
      <c r="H214" s="21" t="n">
        <f aca="false">$D$149</f>
        <v>0.525427732668394</v>
      </c>
      <c r="I214" s="21" t="n">
        <f aca="false">$D$149</f>
        <v>0.525427732668394</v>
      </c>
      <c r="K214" s="2"/>
    </row>
    <row r="215" customFormat="false" ht="15" hidden="false" customHeight="false" outlineLevel="0" collapsed="false">
      <c r="A215" s="9" t="s">
        <v>4786</v>
      </c>
      <c r="B215" s="9" t="s">
        <v>4787</v>
      </c>
      <c r="C215" s="9" t="s">
        <v>1106</v>
      </c>
      <c r="D215" s="21" t="n">
        <f aca="false">D145/D214</f>
        <v>0.34508547008547</v>
      </c>
      <c r="E215" s="21" t="n">
        <f aca="false">E145/E214</f>
        <v>0.895748688317238</v>
      </c>
      <c r="F215" s="21" t="n">
        <f aca="false">F145/F214</f>
        <v>1.43245259632925</v>
      </c>
      <c r="G215" s="21" t="n">
        <f aca="false">G145/G214</f>
        <v>2.34481897286643</v>
      </c>
      <c r="H215" s="21" t="n">
        <f aca="false">H145/H214</f>
        <v>3.51874212684079</v>
      </c>
      <c r="I215" s="21" t="n">
        <f aca="false">I145/I214</f>
        <v>5.18295456115346</v>
      </c>
      <c r="K215" s="2"/>
    </row>
    <row r="216" customFormat="false" ht="15" hidden="false" customHeight="false" outlineLevel="0" collapsed="false">
      <c r="A216" s="9" t="s">
        <v>4788</v>
      </c>
      <c r="B216" s="9" t="s">
        <v>4789</v>
      </c>
      <c r="C216" s="11" t="s">
        <v>747</v>
      </c>
      <c r="D216" s="21" t="n">
        <f aca="false">IF(D$6&lt;=INP_113,$D$62,MIN(D157,D215)/D215)</f>
        <v>1</v>
      </c>
      <c r="E216" s="21" t="n">
        <f aca="false">IF(E$6&lt;=INP_113,$D$62,MIN(E157,E215)/E215)</f>
        <v>1</v>
      </c>
      <c r="F216" s="21" t="n">
        <f aca="false">IF(F$6&lt;=INP_113,$D$62,MIN(F157,F215)/F215)</f>
        <v>1</v>
      </c>
      <c r="G216" s="21" t="n">
        <f aca="false">IF(G$6&lt;=INP_113,$D$62,MIN(G157,G215)/G215)</f>
        <v>1</v>
      </c>
      <c r="H216" s="21" t="n">
        <f aca="false">IF(H$6&lt;=INP_113,$D$62,MIN(H157,H215)/H215)</f>
        <v>1</v>
      </c>
      <c r="I216" s="21" t="n">
        <f aca="false">IF(I$6&lt;=INP_113,$D$62,MIN(I157,I215)/I215)</f>
        <v>1</v>
      </c>
      <c r="K216" s="2" t="s">
        <v>4790</v>
      </c>
    </row>
    <row r="217" customFormat="false" ht="15" hidden="false" customHeight="false" outlineLevel="0" collapsed="false">
      <c r="A217" s="9" t="s">
        <v>4791</v>
      </c>
      <c r="B217" s="9" t="s">
        <v>4792</v>
      </c>
      <c r="C217" s="11" t="s">
        <v>747</v>
      </c>
      <c r="D217" s="21" t="n">
        <f aca="false">$D$149+(INP_118-$D$149)*MIN(INP_119-INP_001,D$6-INP_001)/(INP_119-INP_001)</f>
        <v>0.525427732668394</v>
      </c>
      <c r="E217" s="21" t="n">
        <f aca="false">$D$149+(INP_118-$D$149)*MIN(INP_119-INP_001,E$6-INP_001)/(INP_119-INP_001)</f>
        <v>0.620342186134715</v>
      </c>
      <c r="F217" s="21" t="n">
        <f aca="false">$D$149+(INP_118-$D$149)*MIN(INP_119-INP_001,F$6-INP_001)/(INP_119-INP_001)</f>
        <v>0.715256639601037</v>
      </c>
      <c r="G217" s="21" t="n">
        <f aca="false">$D$149+(INP_118-$D$149)*MIN(INP_119-INP_001,G$6-INP_001)/(INP_119-INP_001)</f>
        <v>0.810171093067358</v>
      </c>
      <c r="H217" s="21" t="n">
        <f aca="false">$D$149+(INP_118-$D$149)*MIN(INP_119-INP_001,H$6-INP_001)/(INP_119-INP_001)</f>
        <v>0.905085546533679</v>
      </c>
      <c r="I217" s="21" t="n">
        <f aca="false">$D$149+(INP_118-$D$149)*MIN(INP_119-INP_001,I$6-INP_001)/(INP_119-INP_001)</f>
        <v>1</v>
      </c>
      <c r="K217" s="2"/>
    </row>
    <row r="218" customFormat="false" ht="15" hidden="false" customHeight="false" outlineLevel="0" collapsed="false">
      <c r="A218" s="9" t="s">
        <v>4793</v>
      </c>
      <c r="B218" s="9" t="s">
        <v>4794</v>
      </c>
      <c r="C218" s="9" t="s">
        <v>1106</v>
      </c>
      <c r="D218" s="21" t="n">
        <f aca="false">D145/D217</f>
        <v>0.34508547008547</v>
      </c>
      <c r="E218" s="21" t="n">
        <f aca="false">E145/E217</f>
        <v>0.758696108152487</v>
      </c>
      <c r="F218" s="21" t="n">
        <f aca="false">F145/F217</f>
        <v>1.05228008825483</v>
      </c>
      <c r="G218" s="21" t="n">
        <f aca="false">G145/G217</f>
        <v>1.52070707900289</v>
      </c>
      <c r="H218" s="21" t="n">
        <f aca="false">H145/H217</f>
        <v>2.04272922557594</v>
      </c>
      <c r="I218" s="21" t="n">
        <f aca="false">I145/I217</f>
        <v>2.72326806359017</v>
      </c>
      <c r="K218" s="2"/>
    </row>
    <row r="219" customFormat="false" ht="15" hidden="false" customHeight="false" outlineLevel="0" collapsed="false">
      <c r="A219" s="9" t="s">
        <v>4795</v>
      </c>
      <c r="B219" s="9" t="s">
        <v>4796</v>
      </c>
      <c r="C219" s="11" t="s">
        <v>747</v>
      </c>
      <c r="D219" s="21" t="n">
        <f aca="false">IF(D$6&lt;=INP_113,$D$62,MIN(D157,D218)/D218)</f>
        <v>1</v>
      </c>
      <c r="E219" s="21" t="n">
        <f aca="false">IF(E$6&lt;=INP_113,$D$62,MIN(E157,E218)/E218)</f>
        <v>1</v>
      </c>
      <c r="F219" s="21" t="n">
        <f aca="false">IF(F$6&lt;=INP_113,$D$62,MIN(F157,F218)/F218)</f>
        <v>1</v>
      </c>
      <c r="G219" s="21" t="n">
        <f aca="false">IF(G$6&lt;=INP_113,$D$62,MIN(G157,G218)/G218)</f>
        <v>1</v>
      </c>
      <c r="H219" s="21" t="n">
        <f aca="false">IF(H$6&lt;=INP_113,$D$62,MIN(H157,H218)/H218)</f>
        <v>1</v>
      </c>
      <c r="I219" s="21" t="n">
        <f aca="false">IF(I$6&lt;=INP_113,$D$62,MIN(I157,I218)/I218)</f>
        <v>1</v>
      </c>
      <c r="K219" s="2" t="s">
        <v>4790</v>
      </c>
    </row>
    <row r="220" customFormat="false" ht="15" hidden="false" customHeight="false" outlineLevel="0" collapsed="false">
      <c r="A220" s="9" t="s">
        <v>4797</v>
      </c>
      <c r="B220" s="9" t="s">
        <v>4798</v>
      </c>
      <c r="C220" s="9" t="s">
        <v>2857</v>
      </c>
      <c r="D220" s="20" t="n">
        <f aca="false">D129+D106*(TK_NNV_TPUv7_OutLo-D42)*D120+D107*(TK_NNV_TPUv7_OutLo-D46)*D123+D108*(TK_NNV_Trn3_OutLo-D50)*D120+D109*(TK_NNV_Trn3_OutLo-D54)*D123+D110*(TK_NNV_MI455X_OutLo-D58)*D123</f>
        <v>5740559469.41232</v>
      </c>
      <c r="E220" s="20" t="n">
        <f aca="false">E129+E106*(TK_NNV_TPUv7_OutLo-E42)*E120+E107*(TK_NNV_TPUv7_OutLo-E46)*E123+E108*(TK_NNV_Trn3_OutLo-E50)*E120+E109*(TK_NNV_Trn3_OutLo-E54)*E123+E110*(TK_NNV_MI455X_OutLo-E58)*E123</f>
        <v>26753210382.7605</v>
      </c>
      <c r="F220" s="20" t="n">
        <f aca="false">F129+F106*(TK_NNV_TPUv7_OutLo-F42)*F120+F107*(TK_NNV_TPUv7_OutLo-F46)*F123+F108*(TK_NNV_Trn3_OutLo-F50)*F120+F109*(TK_NNV_Trn3_OutLo-F54)*F123+F110*(TK_NNV_MI455X_OutLo-F58)*F123</f>
        <v>40354746820.4404</v>
      </c>
      <c r="G220" s="20" t="n">
        <f aca="false">G129+G106*(TK_NNV_TPUv7_OutLo-G42)*G120+G107*(TK_NNV_TPUv7_OutLo-G46)*G123+G108*(TK_NNV_Trn3_OutLo-G50)*G120+G109*(TK_NNV_Trn3_OutLo-G54)*G123+G110*(TK_NNV_MI455X_OutLo-G58)*G123</f>
        <v>44801781020.9289</v>
      </c>
      <c r="H220" s="20" t="n">
        <f aca="false">H129+H106*(TK_NNV_TPUv7_OutLo-H42)*H120+H107*(TK_NNV_TPUv7_OutLo-H46)*H123+H108*(TK_NNV_Trn3_OutLo-H50)*H120+H109*(TK_NNV_Trn3_OutLo-H54)*H123+H110*(TK_NNV_MI455X_OutLo-H58)*H123</f>
        <v>48773838918.1477</v>
      </c>
      <c r="I220" s="20" t="n">
        <f aca="false">I129+I106*(TK_NNV_TPUv7_OutLo-I42)*I120+I107*(TK_NNV_TPUv7_OutLo-I46)*I123+I108*(TK_NNV_Trn3_OutLo-I50)*I120+I109*(TK_NNV_Trn3_OutLo-I54)*I123+I110*(TK_NNV_MI455X_OutLo-I58)*I123</f>
        <v>50375615328.7746</v>
      </c>
      <c r="K220" s="2"/>
    </row>
    <row r="221" customFormat="false" ht="15" hidden="false" customHeight="false" outlineLevel="0" collapsed="false">
      <c r="A221" s="9" t="s">
        <v>4799</v>
      </c>
      <c r="B221" s="9" t="s">
        <v>4800</v>
      </c>
      <c r="C221" s="9" t="s">
        <v>2857</v>
      </c>
      <c r="D221" s="20" t="n">
        <f aca="false">D139+D106*(TK_NNV_TPUv7_OutLo-D42)*D130+D107*(TK_NNV_TPUv7_OutLo-D46)*D133+D108*(TK_NNV_Trn3_OutLo-D50)*D130+D109*(TK_NNV_Trn3_OutLo-D54)*D133+D110*(TK_NNV_MI455X_OutLo-D58)*D133</f>
        <v>9419791230.0951</v>
      </c>
      <c r="E221" s="20" t="n">
        <f aca="false">E139+E106*(TK_NNV_TPUv7_OutLo-E42)*E130+E107*(TK_NNV_TPUv7_OutLo-E46)*E133+E108*(TK_NNV_Trn3_OutLo-E50)*E130+E109*(TK_NNV_Trn3_OutLo-E54)*E133+E110*(TK_NNV_MI455X_OutLo-E58)*E133</f>
        <v>53272583269.8258</v>
      </c>
      <c r="F221" s="20" t="n">
        <f aca="false">F139+F106*(TK_NNV_TPUv7_OutLo-F42)*F130+F107*(TK_NNV_TPUv7_OutLo-F46)*F133+F108*(TK_NNV_Trn3_OutLo-F50)*F130+F109*(TK_NNV_Trn3_OutLo-F54)*F133+F110*(TK_NNV_MI455X_OutLo-F58)*F133</f>
        <v>80433894559.2456</v>
      </c>
      <c r="G221" s="20" t="n">
        <f aca="false">G139+G106*(TK_NNV_TPUv7_OutLo-G42)*G130+G107*(TK_NNV_TPUv7_OutLo-G46)*G133+G108*(TK_NNV_Trn3_OutLo-G50)*G130+G109*(TK_NNV_Trn3_OutLo-G54)*G133+G110*(TK_NNV_MI455X_OutLo-G58)*G133</f>
        <v>89343135362.1194</v>
      </c>
      <c r="H221" s="20" t="n">
        <f aca="false">H139+H106*(TK_NNV_TPUv7_OutLo-H42)*H130+H107*(TK_NNV_TPUv7_OutLo-H46)*H133+H108*(TK_NNV_Trn3_OutLo-H50)*H130+H109*(TK_NNV_Trn3_OutLo-H54)*H133+H110*(TK_NNV_MI455X_OutLo-H58)*H133</f>
        <v>97192906137.2462</v>
      </c>
      <c r="I221" s="20" t="n">
        <f aca="false">I139+I106*(TK_NNV_TPUv7_OutLo-I42)*I130+I107*(TK_NNV_TPUv7_OutLo-I46)*I133+I108*(TK_NNV_Trn3_OutLo-I50)*I130+I109*(TK_NNV_Trn3_OutLo-I54)*I133+I110*(TK_NNV_MI455X_OutLo-I58)*I133</f>
        <v>100365655481.018</v>
      </c>
      <c r="K221" s="2"/>
    </row>
    <row r="222" customFormat="false" ht="15" hidden="false" customHeight="false" outlineLevel="0" collapsed="false">
      <c r="A222" s="9" t="s">
        <v>4801</v>
      </c>
      <c r="B222" s="9" t="s">
        <v>4802</v>
      </c>
      <c r="C222" s="9" t="s">
        <v>1106</v>
      </c>
      <c r="D222" s="21" t="n">
        <f aca="false">D141/D220+D142/D221</f>
        <v>0.244081217858982</v>
      </c>
      <c r="E222" s="21" t="n">
        <f aca="false">E141/E220+E142/E221</f>
        <v>0.651624051610001</v>
      </c>
      <c r="F222" s="21" t="n">
        <f aca="false">F141/F220+F142/F221</f>
        <v>1.00867868959388</v>
      </c>
      <c r="G222" s="21" t="n">
        <f aca="false">G141/G220+G142/G221</f>
        <v>1.61564732662848</v>
      </c>
      <c r="H222" s="21" t="n">
        <f aca="false">H141/H220+H142/H221</f>
        <v>2.41160249168619</v>
      </c>
      <c r="I222" s="21" t="n">
        <f aca="false">I141/I220+I142/I221</f>
        <v>3.55804029469965</v>
      </c>
      <c r="K222" s="2"/>
    </row>
    <row r="223" customFormat="false" ht="15" hidden="false" customHeight="false" outlineLevel="0" collapsed="false">
      <c r="A223" s="9" t="s">
        <v>4803</v>
      </c>
      <c r="B223" s="9" t="s">
        <v>4804</v>
      </c>
      <c r="C223" s="9" t="s">
        <v>1106</v>
      </c>
      <c r="D223" s="21" t="n">
        <f aca="false">D222/($D$222/$D$148)</f>
        <v>0.34508547008547</v>
      </c>
      <c r="E223" s="21" t="n">
        <f aca="false">E222/($D$222/$D$148)</f>
        <v>0.92127527935702</v>
      </c>
      <c r="F223" s="21" t="n">
        <f aca="false">F222/($D$222/$D$148)</f>
        <v>1.42608416500446</v>
      </c>
      <c r="G223" s="21" t="n">
        <f aca="false">G222/($D$222/$D$148)</f>
        <v>2.28422498909374</v>
      </c>
      <c r="H223" s="21" t="n">
        <f aca="false">H222/($D$222/$D$148)</f>
        <v>3.4095576333269</v>
      </c>
      <c r="I223" s="21" t="n">
        <f aca="false">I222/($D$222/$D$148)</f>
        <v>5.030407576829</v>
      </c>
      <c r="K223" s="12" t="s">
        <v>4805</v>
      </c>
    </row>
    <row r="224" customFormat="false" ht="15" hidden="false" customHeight="false" outlineLevel="0" collapsed="false">
      <c r="A224" s="9" t="s">
        <v>4806</v>
      </c>
      <c r="B224" s="9" t="s">
        <v>4807</v>
      </c>
      <c r="C224" s="11" t="s">
        <v>747</v>
      </c>
      <c r="D224" s="21" t="n">
        <f aca="false">IF(D$6&lt;=INP_113,$D$62,MIN(D157,D223)/D223)</f>
        <v>1</v>
      </c>
      <c r="E224" s="21" t="n">
        <f aca="false">IF(E$6&lt;=INP_113,$D$62,MIN(E157,E223)/E223)</f>
        <v>1</v>
      </c>
      <c r="F224" s="21" t="n">
        <f aca="false">IF(F$6&lt;=INP_113,$D$62,MIN(F157,F223)/F223)</f>
        <v>1</v>
      </c>
      <c r="G224" s="21" t="n">
        <f aca="false">IF(G$6&lt;=INP_113,$D$62,MIN(G157,G223)/G223)</f>
        <v>1</v>
      </c>
      <c r="H224" s="21" t="n">
        <f aca="false">IF(H$6&lt;=INP_113,$D$62,MIN(H157,H223)/H223)</f>
        <v>1</v>
      </c>
      <c r="I224" s="21" t="n">
        <f aca="false">IF(I$6&lt;=INP_113,$D$62,MIN(I157,I223)/I223)</f>
        <v>1</v>
      </c>
      <c r="K224" s="2"/>
    </row>
    <row r="225" customFormat="false" ht="15" hidden="false" customHeight="false" outlineLevel="0" collapsed="false">
      <c r="A225" s="9" t="s">
        <v>4808</v>
      </c>
      <c r="B225" s="9" t="s">
        <v>4809</v>
      </c>
      <c r="C225" s="11" t="s">
        <v>747</v>
      </c>
      <c r="D225" s="21" t="n">
        <f aca="false">D167+D106*(TK_NNV_TPUv7_OutLo-D42)*D29+D107*(TK_NNV_TPUv7_OutLo-D46)*D41+D108*(TK_NNV_Trn3_OutLo-D50)*D29+D109*(TK_NNV_Trn3_OutLo-D54)*D41+D110*(TK_NNV_MI455X_OutLo-D58)*D41</f>
        <v>0.0548306725761755</v>
      </c>
      <c r="E225" s="21" t="n">
        <f aca="false">E167+E106*(TK_NNV_TPUv7_OutLo-E42)*E29+E107*(TK_NNV_TPUv7_OutLo-E46)*E41+E108*(TK_NNV_Trn3_OutLo-E50)*E29+E109*(TK_NNV_Trn3_OutLo-E54)*E41+E110*(TK_NNV_MI455X_OutLo-E58)*E41</f>
        <v>0.30328756203821</v>
      </c>
      <c r="F225" s="21" t="n">
        <f aca="false">F167+F106*(TK_NNV_TPUv7_OutLo-F42)*F29+F107*(TK_NNV_TPUv7_OutLo-F46)*F41+F108*(TK_NNV_Trn3_OutLo-F50)*F29+F109*(TK_NNV_Trn3_OutLo-F54)*F41+F110*(TK_NNV_MI455X_OutLo-F58)*F41</f>
        <v>0.458701014466451</v>
      </c>
      <c r="G225" s="21" t="n">
        <f aca="false">G167+G106*(TK_NNV_TPUv7_OutLo-G42)*G29+G107*(TK_NNV_TPUv7_OutLo-G46)*G41+G108*(TK_NNV_Trn3_OutLo-G50)*G29+G109*(TK_NNV_Trn3_OutLo-G54)*G41+G110*(TK_NNV_MI455X_OutLo-G58)*G41</f>
        <v>0.509772961897195</v>
      </c>
      <c r="H225" s="21" t="n">
        <f aca="false">H167+H106*(TK_NNV_TPUv7_OutLo-H42)*H29+H107*(TK_NNV_TPUv7_OutLo-H46)*H41+H108*(TK_NNV_Trn3_OutLo-H50)*H29+H109*(TK_NNV_Trn3_OutLo-H54)*H41+H110*(TK_NNV_MI455X_OutLo-H58)*H41</f>
        <v>0.55417479152878</v>
      </c>
      <c r="I225" s="21" t="n">
        <f aca="false">I167+I106*(TK_NNV_TPUv7_OutLo-I42)*I29+I107*(TK_NNV_TPUv7_OutLo-I46)*I41+I108*(TK_NNV_Trn3_OutLo-I50)*I29+I109*(TK_NNV_Trn3_OutLo-I54)*I41+I110*(TK_NNV_MI455X_OutLo-I58)*I41</f>
        <v>0.57217869876207</v>
      </c>
      <c r="K225" s="2"/>
    </row>
    <row r="226" customFormat="false" ht="15" hidden="false" customHeight="false" outlineLevel="0" collapsed="false">
      <c r="A226" s="9" t="s">
        <v>4810</v>
      </c>
      <c r="B226" s="9" t="s">
        <v>4811</v>
      </c>
      <c r="C226" s="9" t="s">
        <v>2742</v>
      </c>
      <c r="D226" s="18" t="n">
        <f aca="false">(Revenue!D72*D224-Cost!D106)/(D91*D225)</f>
        <v>-187.475353559956</v>
      </c>
      <c r="E226" s="18" t="n">
        <f aca="false">(Revenue!E72*E224-Cost!E106)/(E91*E225)</f>
        <v>-7.41440953275665</v>
      </c>
      <c r="F226" s="18" t="n">
        <f aca="false">(Revenue!F72*F224-Cost!F106)/(F91*F225)</f>
        <v>-6.56262224769246</v>
      </c>
      <c r="G226" s="18" t="n">
        <f aca="false">(Revenue!G72*G224-Cost!G106)/(G91*G225)</f>
        <v>-3.5282092999832</v>
      </c>
      <c r="H226" s="18" t="n">
        <f aca="false">(Revenue!H72*H224-Cost!H106)/(H91*H225)</f>
        <v>6.99937316150657</v>
      </c>
      <c r="I226" s="18" t="n">
        <f aca="false">(Revenue!I72*I224-Cost!I106)/(I91*I225)</f>
        <v>15.1228121363661</v>
      </c>
      <c r="K226" s="2"/>
    </row>
    <row r="227" customFormat="false" ht="15" hidden="false" customHeight="false" outlineLevel="0" collapsed="false">
      <c r="A227" s="9" t="s">
        <v>4812</v>
      </c>
      <c r="B227" s="9" t="s">
        <v>4813</v>
      </c>
      <c r="C227" s="9" t="s">
        <v>2857</v>
      </c>
      <c r="D227" s="20" t="n">
        <f aca="false">D129+D106*(TK_NNV_TPUv7_OutHi-D42)*D120+D107*(TK_NNV_TPUv7_OutHi-D46)*D123+D108*(TK_NNV_Trn3_OutHi-D50)*D120+D109*(TK_NNV_Trn3_OutHi-D54)*D123+D110*(TK_NNV_MI455X_OutHi-D58)*D123</f>
        <v>10708351317.9422</v>
      </c>
      <c r="E227" s="20" t="n">
        <f aca="false">E129+E106*(TK_NNV_TPUv7_OutHi-E42)*E120+E107*(TK_NNV_TPUv7_OutHi-E46)*E123+E108*(TK_NNV_Trn3_OutHi-E50)*E120+E109*(TK_NNV_Trn3_OutHi-E54)*E123+E110*(TK_NNV_MI455X_OutHi-E58)*E123</f>
        <v>52471149406.2965</v>
      </c>
      <c r="F227" s="20" t="n">
        <f aca="false">F129+F106*(TK_NNV_TPUv7_OutHi-F42)*F120+F107*(TK_NNV_TPUv7_OutHi-F46)*F123+F108*(TK_NNV_Trn3_OutHi-F50)*F120+F109*(TK_NNV_Trn3_OutHi-F54)*F123+F110*(TK_NNV_MI455X_OutHi-F58)*F123</f>
        <v>74673952486.7853</v>
      </c>
      <c r="G227" s="20" t="n">
        <f aca="false">G129+G106*(TK_NNV_TPUv7_OutHi-G42)*G120+G107*(TK_NNV_TPUv7_OutHi-G46)*G123+G108*(TK_NNV_Trn3_OutHi-G50)*G120+G109*(TK_NNV_Trn3_OutHi-G54)*G123+G110*(TK_NNV_MI455X_OutHi-G58)*G123</f>
        <v>79676901135.7925</v>
      </c>
      <c r="H227" s="20" t="n">
        <f aca="false">H129+H106*(TK_NNV_TPUv7_OutHi-H42)*H120+H107*(TK_NNV_TPUv7_OutHi-H46)*H123+H108*(TK_NNV_Trn3_OutHi-H50)*H120+H109*(TK_NNV_Trn3_OutHi-H54)*H123+H110*(TK_NNV_MI455X_OutHi-H58)*H123</f>
        <v>85889261683.2515</v>
      </c>
      <c r="I227" s="20" t="n">
        <f aca="false">I129+I106*(TK_NNV_TPUv7_OutHi-I42)*I120+I107*(TK_NNV_TPUv7_OutHi-I46)*I123+I108*(TK_NNV_Trn3_OutHi-I50)*I120+I109*(TK_NNV_Trn3_OutHi-I54)*I123+I110*(TK_NNV_MI455X_OutHi-I58)*I123</f>
        <v>88980642313.2862</v>
      </c>
      <c r="K227" s="2"/>
    </row>
    <row r="228" customFormat="false" ht="15" hidden="false" customHeight="false" outlineLevel="0" collapsed="false">
      <c r="A228" s="9" t="s">
        <v>4814</v>
      </c>
      <c r="B228" s="9" t="s">
        <v>4815</v>
      </c>
      <c r="C228" s="9" t="s">
        <v>2857</v>
      </c>
      <c r="D228" s="20" t="n">
        <f aca="false">D139+D106*(TK_NNV_TPUv7_OutHi-D42)*D130+D107*(TK_NNV_TPUv7_OutHi-D46)*D133+D108*(TK_NNV_Trn3_OutHi-D50)*D130+D109*(TK_NNV_Trn3_OutHi-D54)*D133+D110*(TK_NNV_MI455X_OutHi-D58)*D133</f>
        <v>17571533640.7543</v>
      </c>
      <c r="E228" s="20" t="n">
        <f aca="false">E139+E106*(TK_NNV_TPUv7_OutHi-E42)*E130+E107*(TK_NNV_TPUv7_OutHi-E46)*E133+E108*(TK_NNV_Trn3_OutHi-E50)*E130+E109*(TK_NNV_Trn3_OutHi-E54)*E133+E110*(TK_NNV_MI455X_OutHi-E58)*E133</f>
        <v>104302352458.263</v>
      </c>
      <c r="F228" s="20" t="n">
        <f aca="false">F139+F106*(TK_NNV_TPUv7_OutHi-F42)*F130+F107*(TK_NNV_TPUv7_OutHi-F46)*F133+F108*(TK_NNV_Trn3_OutHi-F50)*F130+F109*(TK_NNV_Trn3_OutHi-F54)*F133+F110*(TK_NNV_MI455X_OutHi-F58)*F133</f>
        <v>148452533417.005</v>
      </c>
      <c r="G228" s="20" t="n">
        <f aca="false">G139+G106*(TK_NNV_TPUv7_OutHi-G42)*G130+G107*(TK_NNV_TPUv7_OutHi-G46)*G133+G108*(TK_NNV_Trn3_OutHi-G50)*G130+G109*(TK_NNV_Trn3_OutHi-G54)*G133+G110*(TK_NNV_MI455X_OutHi-G58)*G133</f>
        <v>158462841252.876</v>
      </c>
      <c r="H228" s="20" t="n">
        <f aca="false">H139+H106*(TK_NNV_TPUv7_OutHi-H42)*H130+H107*(TK_NNV_TPUv7_OutHi-H46)*H133+H108*(TK_NNV_Trn3_OutHi-H50)*H130+H109*(TK_NNV_Trn3_OutHi-H54)*H133+H110*(TK_NNV_MI455X_OutHi-H58)*H133</f>
        <v>170756978151.685</v>
      </c>
      <c r="I228" s="20" t="n">
        <f aca="false">I139+I106*(TK_NNV_TPUv7_OutHi-I42)*I130+I107*(TK_NNV_TPUv7_OutHi-I46)*I133+I108*(TK_NNV_Trn3_OutHi-I50)*I130+I109*(TK_NNV_Trn3_OutHi-I54)*I133+I110*(TK_NNV_MI455X_OutHi-I58)*I133</f>
        <v>176881251161.573</v>
      </c>
      <c r="K228" s="2"/>
    </row>
    <row r="229" customFormat="false" ht="15" hidden="false" customHeight="false" outlineLevel="0" collapsed="false">
      <c r="A229" s="9" t="s">
        <v>4816</v>
      </c>
      <c r="B229" s="9" t="s">
        <v>4817</v>
      </c>
      <c r="C229" s="9" t="s">
        <v>1106</v>
      </c>
      <c r="D229" s="21" t="n">
        <f aca="false">D141/D227+D142/D228</f>
        <v>0.130847663182135</v>
      </c>
      <c r="E229" s="21" t="n">
        <f aca="false">E141/E227+E142/E228</f>
        <v>0.332242644242555</v>
      </c>
      <c r="F229" s="21" t="n">
        <f aca="false">F141/F227+F142/F228</f>
        <v>0.545107176837773</v>
      </c>
      <c r="G229" s="21" t="n">
        <f aca="false">G141/G227+G142/G228</f>
        <v>0.908474703370194</v>
      </c>
      <c r="H229" s="21" t="n">
        <f aca="false">H141/H227+H142/H228</f>
        <v>1.369482707013</v>
      </c>
      <c r="I229" s="21" t="n">
        <f aca="false">I141/I227+I142/I228</f>
        <v>2.01436536925379</v>
      </c>
      <c r="K229" s="2"/>
    </row>
    <row r="230" customFormat="false" ht="15" hidden="false" customHeight="false" outlineLevel="0" collapsed="false">
      <c r="A230" s="9" t="s">
        <v>4818</v>
      </c>
      <c r="B230" s="9" t="s">
        <v>4819</v>
      </c>
      <c r="C230" s="9" t="s">
        <v>1106</v>
      </c>
      <c r="D230" s="21" t="n">
        <f aca="false">D229/($D$229/$D$148)</f>
        <v>0.34508547008547</v>
      </c>
      <c r="E230" s="21" t="n">
        <f aca="false">E229/($D$229/$D$148)</f>
        <v>0.87622588193486</v>
      </c>
      <c r="F230" s="21" t="n">
        <f aca="false">F229/($D$229/$D$148)</f>
        <v>1.43761502338935</v>
      </c>
      <c r="G230" s="21" t="n">
        <f aca="false">G229/($D$229/$D$148)</f>
        <v>2.39592677812579</v>
      </c>
      <c r="H230" s="21" t="n">
        <f aca="false">H229/($D$229/$D$148)</f>
        <v>3.61174645561439</v>
      </c>
      <c r="I230" s="21" t="n">
        <f aca="false">I229/($D$229/$D$148)</f>
        <v>5.31250007426762</v>
      </c>
      <c r="K230" s="12" t="s">
        <v>4805</v>
      </c>
    </row>
    <row r="231" customFormat="false" ht="15" hidden="false" customHeight="false" outlineLevel="0" collapsed="false">
      <c r="A231" s="9" t="s">
        <v>4820</v>
      </c>
      <c r="B231" s="9" t="s">
        <v>4821</v>
      </c>
      <c r="C231" s="11" t="s">
        <v>747</v>
      </c>
      <c r="D231" s="21" t="n">
        <f aca="false">IF(D$6&lt;=INP_113,$D$62,MIN(D157,D230)/D230)</f>
        <v>1</v>
      </c>
      <c r="E231" s="21" t="n">
        <f aca="false">IF(E$6&lt;=INP_113,$D$62,MIN(E157,E230)/E230)</f>
        <v>1</v>
      </c>
      <c r="F231" s="21" t="n">
        <f aca="false">IF(F$6&lt;=INP_113,$D$62,MIN(F157,F230)/F230)</f>
        <v>1</v>
      </c>
      <c r="G231" s="21" t="n">
        <f aca="false">IF(G$6&lt;=INP_113,$D$62,MIN(G157,G230)/G230)</f>
        <v>1</v>
      </c>
      <c r="H231" s="21" t="n">
        <f aca="false">IF(H$6&lt;=INP_113,$D$62,MIN(H157,H230)/H230)</f>
        <v>1</v>
      </c>
      <c r="I231" s="21" t="n">
        <f aca="false">IF(I$6&lt;=INP_113,$D$62,MIN(I157,I230)/I230)</f>
        <v>1</v>
      </c>
      <c r="K231" s="2"/>
    </row>
    <row r="232" customFormat="false" ht="15" hidden="false" customHeight="false" outlineLevel="0" collapsed="false">
      <c r="A232" s="9" t="s">
        <v>4822</v>
      </c>
      <c r="B232" s="9" t="s">
        <v>4823</v>
      </c>
      <c r="C232" s="11" t="s">
        <v>747</v>
      </c>
      <c r="D232" s="21" t="n">
        <f aca="false">D167+D106*(TK_NNV_TPUv7_OutHi-D42)*D29+D107*(TK_NNV_TPUv7_OutHi-D46)*D41+D108*(TK_NNV_Trn3_OutHi-D50)*D29+D109*(TK_NNV_Trn3_OutHi-D54)*D41+D110*(TK_NNV_MI455X_OutHi-D58)*D41</f>
        <v>0.102280293074789</v>
      </c>
      <c r="E232" s="21" t="n">
        <f aca="false">E167+E106*(TK_NNV_TPUv7_OutHi-E42)*E29+E107*(TK_NNV_TPUv7_OutHi-E46)*E41+E108*(TK_NNV_Trn3_OutHi-E50)*E29+E109*(TK_NNV_Trn3_OutHi-E54)*E41+E110*(TK_NNV_MI455X_OutHi-E58)*E41</f>
        <v>0.592922001893168</v>
      </c>
      <c r="F232" s="21" t="n">
        <f aca="false">F167+F106*(TK_NNV_TPUv7_OutHi-F42)*F29+F107*(TK_NNV_TPUv7_OutHi-F46)*F41+F108*(TK_NNV_Trn3_OutHi-F50)*F29+F109*(TK_NNV_Trn3_OutHi-F54)*F41+F110*(TK_NNV_MI455X_OutHi-F58)*F41</f>
        <v>0.84459937754729</v>
      </c>
      <c r="G232" s="21" t="n">
        <f aca="false">G167+G106*(TK_NNV_TPUv7_OutHi-G42)*G29+G107*(TK_NNV_TPUv7_OutHi-G46)*G41+G108*(TK_NNV_Trn3_OutHi-G50)*G29+G109*(TK_NNV_Trn3_OutHi-G54)*G41+G110*(TK_NNV_MI455X_OutHi-G58)*G41</f>
        <v>0.90191814162728</v>
      </c>
      <c r="H232" s="21" t="n">
        <f aca="false">H167+H106*(TK_NNV_TPUv7_OutHi-H42)*H29+H107*(TK_NNV_TPUv7_OutHi-H46)*H41+H108*(TK_NNV_Trn3_OutHi-H50)*H29+H109*(TK_NNV_Trn3_OutHi-H54)*H41+H110*(TK_NNV_MI455X_OutHi-H58)*H41</f>
        <v>0.971534730637508</v>
      </c>
      <c r="I232" s="21" t="n">
        <f aca="false">I167+I106*(TK_NNV_TPUv7_OutHi-I42)*I29+I107*(TK_NNV_TPUv7_OutHi-I46)*I41+I108*(TK_NNV_Trn3_OutHi-I50)*I29+I109*(TK_NNV_Trn3_OutHi-I54)*I41+I110*(TK_NNV_MI455X_OutHi-I58)*I41</f>
        <v>1.00628387374254</v>
      </c>
      <c r="K232" s="2"/>
    </row>
    <row r="233" customFormat="false" ht="15" hidden="false" customHeight="false" outlineLevel="0" collapsed="false">
      <c r="A233" s="9" t="s">
        <v>4824</v>
      </c>
      <c r="B233" s="9" t="s">
        <v>4825</v>
      </c>
      <c r="C233" s="9" t="s">
        <v>2742</v>
      </c>
      <c r="D233" s="18" t="n">
        <f aca="false">(Revenue!D72*D231-Cost!D106)/(D91*D232)</f>
        <v>-100.502251392966</v>
      </c>
      <c r="E233" s="18" t="n">
        <f aca="false">(Revenue!E72*E231-Cost!E106)/(E91*E232)</f>
        <v>-3.79256999059345</v>
      </c>
      <c r="F233" s="18" t="n">
        <f aca="false">(Revenue!F72*F231-Cost!F106)/(F91*F232)</f>
        <v>-3.56415309151478</v>
      </c>
      <c r="G233" s="18" t="n">
        <f aca="false">(Revenue!G72*G231-Cost!G106)/(G91*G232)</f>
        <v>-1.99417843153768</v>
      </c>
      <c r="H233" s="18" t="n">
        <f aca="false">(Revenue!H72*H231-Cost!H106)/(H91*H232)</f>
        <v>3.99252444641353</v>
      </c>
      <c r="I233" s="18" t="n">
        <f aca="false">(Revenue!I72*I231-Cost!I106)/(I91*I232)</f>
        <v>8.59891646442407</v>
      </c>
      <c r="K233" s="2"/>
    </row>
    <row r="234" customFormat="false" ht="15" hidden="false" customHeight="false" outlineLevel="0" collapsed="false">
      <c r="A234" s="9" t="s">
        <v>4826</v>
      </c>
      <c r="B234" s="11" t="s">
        <v>4827</v>
      </c>
      <c r="C234" s="9" t="s">
        <v>1106</v>
      </c>
      <c r="D234" s="21" t="n">
        <f aca="false">SRC_ANT_231_Hi*INP_123*D71</f>
        <v>1.6</v>
      </c>
      <c r="K234" s="2" t="s">
        <v>4828</v>
      </c>
    </row>
    <row r="235" customFormat="false" ht="15" hidden="false" customHeight="false" outlineLevel="0" collapsed="false">
      <c r="A235" s="9" t="s">
        <v>4829</v>
      </c>
      <c r="B235" s="11" t="s">
        <v>4830</v>
      </c>
      <c r="C235" s="9" t="s">
        <v>1106</v>
      </c>
      <c r="D235" s="21" t="n">
        <f aca="false">SRC_ANT_224/INP_110*D71</f>
        <v>0.35</v>
      </c>
      <c r="K235" s="2" t="s">
        <v>4828</v>
      </c>
    </row>
    <row r="236" customFormat="false" ht="15" hidden="false" customHeight="false" outlineLevel="0" collapsed="false">
      <c r="A236" s="15" t="s">
        <v>4831</v>
      </c>
    </row>
    <row r="237" customFormat="false" ht="15" hidden="false" customHeight="false" outlineLevel="0" collapsed="false">
      <c r="A237" s="9" t="s">
        <v>4832</v>
      </c>
      <c r="B237" s="11" t="s">
        <v>4833</v>
      </c>
      <c r="C237" s="9" t="s">
        <v>1106</v>
      </c>
      <c r="D237" s="21" t="n">
        <f aca="false">SRC_ANT_222/INP_110*D71*MIN(INP_122,D$6-INP_143+1)/INP_122*(D$6&gt;=INP_143)*(D$6&lt;=INP_144)</f>
        <v>-0</v>
      </c>
      <c r="E237" s="21" t="n">
        <f aca="false">SRC_ANT_222/INP_110*E71*MIN(INP_122,E$6-INP_143+1)/INP_122*(E$6&gt;=INP_143)*(E$6&lt;=INP_144)</f>
        <v>-0</v>
      </c>
      <c r="F237" s="21" t="n">
        <f aca="false">SRC_ANT_222/INP_110*F71*MIN(INP_122,F$6-INP_143+1)/INP_122*(F$6&gt;=INP_143)*(F$6&lt;=INP_144)</f>
        <v>0</v>
      </c>
      <c r="G237" s="21" t="n">
        <f aca="false">SRC_ANT_222/INP_110*G71*MIN(INP_122,G$6-INP_143+1)/INP_122*(G$6&gt;=INP_143)*(G$6&lt;=INP_144)</f>
        <v>0.23</v>
      </c>
      <c r="H237" s="21" t="n">
        <f aca="false">SRC_ANT_222/INP_110*H71*MIN(INP_122,H$6-INP_143+1)/INP_122*(H$6&gt;=INP_143)*(H$6&lt;=INP_144)</f>
        <v>0.46</v>
      </c>
      <c r="I237" s="21" t="n">
        <f aca="false">SRC_ANT_222/INP_110*I71*MIN(INP_122,I$6-INP_143+1)/INP_122*(I$6&gt;=INP_143)*(I$6&lt;=INP_144)</f>
        <v>0.46</v>
      </c>
      <c r="K237" s="12" t="s">
        <v>4834</v>
      </c>
    </row>
    <row r="238" customFormat="false" ht="15" hidden="false" customHeight="false" outlineLevel="0" collapsed="false">
      <c r="A238" s="9" t="s">
        <v>4835</v>
      </c>
      <c r="B238" s="11" t="s">
        <v>4836</v>
      </c>
      <c r="C238" s="9" t="s">
        <v>1106</v>
      </c>
      <c r="D238" s="21" t="n">
        <f aca="false">SRC_ANT_224/INP_110*D71*MIN(INP_122,D$6-INP_145+1)/INP_122*(D$6&gt;=INP_145)*(D$6&lt;INP_145+INP_146)</f>
        <v>-0</v>
      </c>
      <c r="E238" s="21" t="n">
        <f aca="false">SRC_ANT_224/INP_110*E71*MIN(INP_122,E$6-INP_145+1)/INP_122*(E$6&gt;=INP_145)*(E$6&lt;INP_145+INP_146)</f>
        <v>0</v>
      </c>
      <c r="F238" s="21" t="n">
        <f aca="false">SRC_ANT_224/INP_110*F71*MIN(INP_122,F$6-INP_145+1)/INP_122*(F$6&gt;=INP_145)*(F$6&lt;INP_145+INP_146)</f>
        <v>0.175</v>
      </c>
      <c r="G238" s="21" t="n">
        <f aca="false">SRC_ANT_224/INP_110*G71*MIN(INP_122,G$6-INP_145+1)/INP_122*(G$6&gt;=INP_145)*(G$6&lt;INP_145+INP_146)</f>
        <v>0.35</v>
      </c>
      <c r="H238" s="21" t="n">
        <f aca="false">SRC_ANT_224/INP_110*H71*MIN(INP_122,H$6-INP_145+1)/INP_122*(H$6&gt;=INP_145)*(H$6&lt;INP_145+INP_146)</f>
        <v>0.35</v>
      </c>
      <c r="I238" s="21" t="n">
        <f aca="false">SRC_ANT_224/INP_110*I71*MIN(INP_122,I$6-INP_145+1)/INP_122*(I$6&gt;=INP_145)*(I$6&lt;INP_145+INP_146)</f>
        <v>0.35</v>
      </c>
      <c r="K238" s="12" t="s">
        <v>4837</v>
      </c>
    </row>
    <row r="239" customFormat="false" ht="15" hidden="false" customHeight="false" outlineLevel="0" collapsed="false">
      <c r="A239" s="9" t="s">
        <v>4838</v>
      </c>
      <c r="B239" s="11" t="s">
        <v>4839</v>
      </c>
      <c r="C239" s="9" t="s">
        <v>1106</v>
      </c>
      <c r="D239" s="21" t="n">
        <f aca="false">SRC_ANT_222/INP_110</f>
        <v>0.46</v>
      </c>
      <c r="E239" s="21" t="n">
        <f aca="false">E79</f>
        <v>-0</v>
      </c>
      <c r="F239" s="21" t="n">
        <f aca="false">F79</f>
        <v>0</v>
      </c>
      <c r="G239" s="21" t="n">
        <f aca="false">G79</f>
        <v>0.23</v>
      </c>
      <c r="H239" s="21" t="n">
        <f aca="false">H79</f>
        <v>0.46</v>
      </c>
      <c r="I239" s="21" t="n">
        <f aca="false">I79</f>
        <v>0.46</v>
      </c>
      <c r="K239" s="12" t="s">
        <v>4840</v>
      </c>
    </row>
    <row r="240" customFormat="false" ht="15" hidden="false" customHeight="false" outlineLevel="0" collapsed="false">
      <c r="A240" s="9" t="s">
        <v>4841</v>
      </c>
      <c r="B240" s="11" t="s">
        <v>4842</v>
      </c>
      <c r="C240" s="11" t="s">
        <v>747</v>
      </c>
      <c r="D240" s="21" t="n">
        <f aca="false">MAX(E239:I239)/D239</f>
        <v>1</v>
      </c>
      <c r="K240" s="12" t="s">
        <v>4843</v>
      </c>
    </row>
    <row r="241" customFormat="false" ht="15" hidden="false" customHeight="false" outlineLevel="0" collapsed="false">
      <c r="A241" s="9" t="s">
        <v>4844</v>
      </c>
      <c r="B241" s="11" t="s">
        <v>4845</v>
      </c>
      <c r="C241" s="9" t="s">
        <v>1106</v>
      </c>
      <c r="D241" s="21" t="n">
        <f aca="false">SRC_ANT_224/INP_110</f>
        <v>0.35</v>
      </c>
      <c r="E241" s="21" t="n">
        <f aca="false">E80</f>
        <v>0</v>
      </c>
      <c r="F241" s="21" t="n">
        <f aca="false">F80</f>
        <v>0.175</v>
      </c>
      <c r="G241" s="21" t="n">
        <f aca="false">G80</f>
        <v>0.35</v>
      </c>
      <c r="H241" s="21" t="n">
        <f aca="false">H80</f>
        <v>0.35</v>
      </c>
      <c r="I241" s="21" t="n">
        <f aca="false">I80</f>
        <v>0.35</v>
      </c>
      <c r="K241" s="12" t="s">
        <v>4840</v>
      </c>
    </row>
    <row r="242" customFormat="false" ht="15" hidden="false" customHeight="false" outlineLevel="0" collapsed="false">
      <c r="A242" s="9" t="s">
        <v>4846</v>
      </c>
      <c r="B242" s="11" t="s">
        <v>4847</v>
      </c>
      <c r="C242" s="11" t="s">
        <v>747</v>
      </c>
      <c r="D242" s="21" t="n">
        <f aca="false">MAX(E241:I241)/D241</f>
        <v>1</v>
      </c>
      <c r="K242" s="12" t="s">
        <v>4843</v>
      </c>
    </row>
    <row r="243" customFormat="false" ht="15" hidden="false" customHeight="false" outlineLevel="0" collapsed="false">
      <c r="A243" s="9" t="s">
        <v>4848</v>
      </c>
      <c r="B243" s="11" t="s">
        <v>4849</v>
      </c>
      <c r="C243" s="9" t="s">
        <v>1106</v>
      </c>
      <c r="D243" s="21" t="n">
        <f aca="false">SRC_ANT_222/INP_110*D71*MIN(INP_122,D$6-INP_143+1)/INP_122*(D$6&gt;=INP_143)*(D$6&lt;=INP_144)</f>
        <v>-0</v>
      </c>
      <c r="E243" s="21" t="n">
        <f aca="false">SRC_ANT_222/INP_110*E71*MIN(INP_122,E$6-INP_143+1)/INP_122*(E$6&gt;=INP_143)*(E$6&lt;=INP_144)</f>
        <v>-0</v>
      </c>
      <c r="F243" s="21" t="n">
        <f aca="false">SRC_ANT_222/INP_110*F71*MIN(INP_122,F$6-INP_143+1)/INP_122*(F$6&gt;=INP_143)*(F$6&lt;=INP_144)</f>
        <v>0</v>
      </c>
      <c r="G243" s="21" t="n">
        <f aca="false">SRC_ANT_222/INP_110*G71*MIN(INP_122,G$6-INP_143+1)/INP_122*(G$6&gt;=INP_143)*(G$6&lt;=INP_144)</f>
        <v>0.23</v>
      </c>
      <c r="H243" s="21" t="n">
        <f aca="false">SRC_ANT_222/INP_110*H71*MIN(INP_122,H$6-INP_143+1)/INP_122*(H$6&gt;=INP_143)*(H$6&lt;=INP_144)</f>
        <v>0.46</v>
      </c>
      <c r="I243" s="21" t="n">
        <f aca="false">SRC_ANT_222/INP_110*I71*MIN(INP_122,I$6-INP_143+1)/INP_122*(I$6&gt;=INP_143)*(I$6&lt;=INP_144)</f>
        <v>0.46</v>
      </c>
      <c r="K243" s="2" t="s">
        <v>4850</v>
      </c>
    </row>
    <row r="244" customFormat="false" ht="15" hidden="false" customHeight="false" outlineLevel="0" collapsed="false">
      <c r="A244" s="9" t="s">
        <v>4851</v>
      </c>
      <c r="B244" s="11" t="s">
        <v>4852</v>
      </c>
      <c r="C244" s="9" t="s">
        <v>1106</v>
      </c>
      <c r="D244" s="21" t="n">
        <f aca="false">SRC_ANT_224/INP_110*D71*MIN(INP_122,D$6-INP_145+1)/INP_122*(D$6&gt;=INP_145)*(D$6&lt;=INP_184)</f>
        <v>-0</v>
      </c>
      <c r="E244" s="21" t="n">
        <f aca="false">SRC_ANT_224/INP_110*E71*MIN(INP_122,E$6-INP_145+1)/INP_122*(E$6&gt;=INP_145)*(E$6&lt;=INP_184)</f>
        <v>0</v>
      </c>
      <c r="F244" s="21" t="n">
        <f aca="false">SRC_ANT_224/INP_110*F71*MIN(INP_122,F$6-INP_145+1)/INP_122*(F$6&gt;=INP_145)*(F$6&lt;=INP_184)</f>
        <v>0.175</v>
      </c>
      <c r="G244" s="21" t="n">
        <f aca="false">SRC_ANT_224/INP_110*G71*MIN(INP_122,G$6-INP_145+1)/INP_122*(G$6&gt;=INP_145)*(G$6&lt;=INP_184)</f>
        <v>0.35</v>
      </c>
      <c r="H244" s="21" t="n">
        <f aca="false">SRC_ANT_224/INP_110*H71*MIN(INP_122,H$6-INP_145+1)/INP_122*(H$6&gt;=INP_145)*(H$6&lt;=INP_184)</f>
        <v>0.35</v>
      </c>
      <c r="I244" s="21" t="n">
        <f aca="false">SRC_ANT_224/INP_110*I71*MIN(INP_122,I$6-INP_145+1)/INP_122*(I$6&gt;=INP_145)*(I$6&lt;=INP_184)</f>
        <v>0.35</v>
      </c>
      <c r="K244" s="2" t="s">
        <v>4850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9" min="3" style="0" width="12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4853</v>
      </c>
    </row>
    <row r="2" customFormat="false" ht="15" hidden="false" customHeight="false" outlineLevel="0" collapsed="false">
      <c r="A2" s="2" t="s">
        <v>4854</v>
      </c>
    </row>
    <row r="3" customFormat="false" ht="15" hidden="false" customHeight="false" outlineLevel="0" collapsed="false">
      <c r="A3" s="2" t="s">
        <v>4855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/>
      <c r="K5" s="8" t="s">
        <v>2519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4856</v>
      </c>
    </row>
    <row r="8" customFormat="false" ht="15" hidden="false" customHeight="false" outlineLevel="0" collapsed="false">
      <c r="A8" s="9" t="s">
        <v>4857</v>
      </c>
      <c r="B8" s="11" t="s">
        <v>4858</v>
      </c>
      <c r="C8" s="11" t="s">
        <v>1899</v>
      </c>
      <c r="D8" s="11" t="s">
        <v>2514</v>
      </c>
      <c r="K8" s="2"/>
    </row>
    <row r="9" customFormat="false" ht="15" hidden="false" customHeight="false" outlineLevel="0" collapsed="false">
      <c r="A9" s="9" t="s">
        <v>4859</v>
      </c>
      <c r="B9" s="11" t="s">
        <v>4860</v>
      </c>
      <c r="C9" s="11" t="s">
        <v>1899</v>
      </c>
      <c r="D9" s="11" t="s">
        <v>2516</v>
      </c>
      <c r="K9" s="2"/>
    </row>
    <row r="10" customFormat="false" ht="15" hidden="false" customHeight="false" outlineLevel="0" collapsed="false">
      <c r="A10" s="9" t="s">
        <v>4861</v>
      </c>
      <c r="B10" s="11" t="s">
        <v>4862</v>
      </c>
      <c r="C10" s="9" t="s">
        <v>2742</v>
      </c>
      <c r="D10" s="18" t="n">
        <f aca="false">SUMIFS(TK_IF_HoldEcon,TK_HdrGen,Compute!$D$8,TK_HdrCost,Compute!$D$12)*Compute!D27</f>
        <v>9.70308728611469</v>
      </c>
      <c r="K10" s="12" t="s">
        <v>4863</v>
      </c>
    </row>
    <row r="11" customFormat="false" ht="15" hidden="false" customHeight="false" outlineLevel="0" collapsed="false">
      <c r="A11" s="9" t="s">
        <v>4864</v>
      </c>
      <c r="B11" s="11" t="s">
        <v>4865</v>
      </c>
      <c r="C11" s="9" t="s">
        <v>2742</v>
      </c>
      <c r="D11" s="18" t="n">
        <f aca="false">SUMIFS(TK_IF_HoldEcon,TK_HdrGen,Compute!$D$8,TK_HdrCost,$D$8)*Compute!D27</f>
        <v>6.79107465326444</v>
      </c>
      <c r="K11" s="12" t="s">
        <v>4863</v>
      </c>
    </row>
    <row r="12" customFormat="false" ht="15" hidden="false" customHeight="false" outlineLevel="0" collapsed="false">
      <c r="A12" s="9" t="s">
        <v>4866</v>
      </c>
      <c r="B12" s="11" t="s">
        <v>4867</v>
      </c>
      <c r="C12" s="9" t="s">
        <v>2742</v>
      </c>
      <c r="D12" s="18" t="n">
        <f aca="false">SUMIFS(TK_IF_HoldEcon,TK_HdrGen,Compute!$D$8,TK_HdrCost,$D$9)*Compute!D27</f>
        <v>16.6637697337026</v>
      </c>
      <c r="K12" s="12" t="s">
        <v>4863</v>
      </c>
    </row>
    <row r="13" customFormat="false" ht="15" hidden="false" customHeight="false" outlineLevel="0" collapsed="false">
      <c r="A13" s="9" t="s">
        <v>4868</v>
      </c>
      <c r="B13" s="11" t="s">
        <v>4869</v>
      </c>
      <c r="C13" s="9" t="s">
        <v>2742</v>
      </c>
      <c r="D13" s="18" t="n">
        <f aca="false">SUMIFS(TK_IF_HoldEcon,TK_HdrGen,Compute!$D$9,TK_HdrCost,Compute!$D$12)*Compute!D31</f>
        <v>8.82816556596761</v>
      </c>
      <c r="K13" s="12" t="s">
        <v>4863</v>
      </c>
    </row>
    <row r="14" customFormat="false" ht="15" hidden="false" customHeight="false" outlineLevel="0" collapsed="false">
      <c r="A14" s="9" t="s">
        <v>4870</v>
      </c>
      <c r="B14" s="11" t="s">
        <v>4871</v>
      </c>
      <c r="C14" s="9" t="s">
        <v>2742</v>
      </c>
      <c r="D14" s="18" t="n">
        <f aca="false">SUMIFS(TK_IF_HoldEcon,TK_HdrGen,Compute!$D$9,TK_HdrCost,$D$8)*Compute!D31</f>
        <v>6.6118162762144</v>
      </c>
      <c r="K14" s="12" t="s">
        <v>4863</v>
      </c>
    </row>
    <row r="15" customFormat="false" ht="15" hidden="false" customHeight="false" outlineLevel="0" collapsed="false">
      <c r="A15" s="9" t="s">
        <v>4872</v>
      </c>
      <c r="B15" s="11" t="s">
        <v>4873</v>
      </c>
      <c r="C15" s="9" t="s">
        <v>2742</v>
      </c>
      <c r="D15" s="18" t="n">
        <f aca="false">SUMIFS(TK_IF_HoldEcon,TK_HdrGen,Compute!$D$9,TK_HdrCost,$D$9)*Compute!D31</f>
        <v>14.3185748619737</v>
      </c>
      <c r="K15" s="12" t="s">
        <v>4863</v>
      </c>
    </row>
    <row r="16" customFormat="false" ht="15" hidden="false" customHeight="false" outlineLevel="0" collapsed="false">
      <c r="A16" s="9" t="s">
        <v>4874</v>
      </c>
      <c r="B16" s="11" t="s">
        <v>4875</v>
      </c>
      <c r="C16" s="9" t="s">
        <v>2742</v>
      </c>
      <c r="D16" s="18" t="n">
        <f aca="false">SUMIFS(TK_IF_HoldEcon,TK_HdrGen,Compute!$D$10,TK_HdrCost,Compute!$D$12)*Compute!D35</f>
        <v>10.8864110021101</v>
      </c>
      <c r="K16" s="12" t="s">
        <v>4863</v>
      </c>
    </row>
    <row r="17" customFormat="false" ht="15" hidden="false" customHeight="false" outlineLevel="0" collapsed="false">
      <c r="A17" s="9" t="s">
        <v>4876</v>
      </c>
      <c r="B17" s="11" t="s">
        <v>4877</v>
      </c>
      <c r="C17" s="9" t="s">
        <v>2742</v>
      </c>
      <c r="D17" s="18" t="n">
        <f aca="false">SUMIFS(TK_IF_HoldEcon,TK_HdrGen,Compute!$D$10,TK_HdrCost,$D$8)*Compute!D35</f>
        <v>8.42889912085495</v>
      </c>
      <c r="K17" s="12" t="s">
        <v>4863</v>
      </c>
    </row>
    <row r="18" customFormat="false" ht="15" hidden="false" customHeight="false" outlineLevel="0" collapsed="false">
      <c r="A18" s="9" t="s">
        <v>4878</v>
      </c>
      <c r="B18" s="11" t="s">
        <v>4879</v>
      </c>
      <c r="C18" s="9" t="s">
        <v>2742</v>
      </c>
      <c r="D18" s="18" t="n">
        <f aca="false">SUMIFS(TK_IF_HoldEcon,TK_HdrGen,Compute!$D$10,TK_HdrCost,$D$9)*Compute!D35</f>
        <v>18.5346455040469</v>
      </c>
      <c r="K18" s="12" t="s">
        <v>4863</v>
      </c>
    </row>
    <row r="19" customFormat="false" ht="15" hidden="false" customHeight="false" outlineLevel="0" collapsed="false">
      <c r="A19" s="9" t="s">
        <v>4880</v>
      </c>
      <c r="B19" s="11" t="s">
        <v>4881</v>
      </c>
      <c r="C19" s="9" t="s">
        <v>2742</v>
      </c>
      <c r="D19" s="18" t="n">
        <f aca="false">SUMIFS(TK_IF_HoldEcon,TK_HdrGen,Compute!$D$11,TK_HdrCost,Compute!$D$12)*Compute!D39</f>
        <v>12.2254710045841</v>
      </c>
      <c r="K19" s="12" t="s">
        <v>4863</v>
      </c>
    </row>
    <row r="20" customFormat="false" ht="15" hidden="false" customHeight="false" outlineLevel="0" collapsed="false">
      <c r="A20" s="9" t="s">
        <v>4882</v>
      </c>
      <c r="B20" s="11" t="s">
        <v>4883</v>
      </c>
      <c r="C20" s="9" t="s">
        <v>2742</v>
      </c>
      <c r="D20" s="18" t="n">
        <f aca="false">SUMIFS(TK_IF_HoldEcon,TK_HdrGen,Compute!$D$11,TK_HdrCost,$D$8)*Compute!D39</f>
        <v>9.51207691858967</v>
      </c>
      <c r="K20" s="12" t="s">
        <v>4863</v>
      </c>
    </row>
    <row r="21" customFormat="false" ht="15" hidden="false" customHeight="false" outlineLevel="0" collapsed="false">
      <c r="A21" s="9" t="s">
        <v>4884</v>
      </c>
      <c r="B21" s="11" t="s">
        <v>4885</v>
      </c>
      <c r="C21" s="9" t="s">
        <v>2742</v>
      </c>
      <c r="D21" s="18" t="n">
        <f aca="false">SUMIFS(TK_IF_HoldEcon,TK_HdrGen,Compute!$D$11,TK_HdrCost,$D$9)*Compute!D39</f>
        <v>19.7506269894487</v>
      </c>
      <c r="K21" s="12" t="s">
        <v>4863</v>
      </c>
    </row>
    <row r="22" customFormat="false" ht="15" hidden="false" customHeight="false" outlineLevel="0" collapsed="false">
      <c r="A22" s="9" t="s">
        <v>4886</v>
      </c>
      <c r="B22" s="11" t="s">
        <v>4887</v>
      </c>
      <c r="C22" s="9" t="s">
        <v>2742</v>
      </c>
      <c r="D22" s="18" t="n">
        <f aca="false">SUMIFS(TK_IF_HoldEcon,TK_HdrGen,Compute!$D$8,TK_HdrCost,Compute!$D$12)*Compute!D43</f>
        <v>7.76246982889175</v>
      </c>
      <c r="K22" s="12" t="s">
        <v>4863</v>
      </c>
    </row>
    <row r="23" customFormat="false" ht="15" hidden="false" customHeight="false" outlineLevel="0" collapsed="false">
      <c r="A23" s="9" t="s">
        <v>4888</v>
      </c>
      <c r="B23" s="11" t="s">
        <v>4889</v>
      </c>
      <c r="C23" s="9" t="s">
        <v>2742</v>
      </c>
      <c r="D23" s="18" t="n">
        <f aca="false">SUMIFS(TK_IF_HoldEcon,TK_HdrGen,Compute!$D$8,TK_HdrCost,$D$8)*Compute!D43</f>
        <v>5.43285972261155</v>
      </c>
      <c r="K23" s="12" t="s">
        <v>4863</v>
      </c>
    </row>
    <row r="24" customFormat="false" ht="15" hidden="false" customHeight="false" outlineLevel="0" collapsed="false">
      <c r="A24" s="9" t="s">
        <v>4890</v>
      </c>
      <c r="B24" s="11" t="s">
        <v>4891</v>
      </c>
      <c r="C24" s="9" t="s">
        <v>2742</v>
      </c>
      <c r="D24" s="18" t="n">
        <f aca="false">SUMIFS(TK_IF_HoldEcon,TK_HdrGen,Compute!$D$8,TK_HdrCost,$D$9)*Compute!D43</f>
        <v>13.3310157869621</v>
      </c>
      <c r="K24" s="12" t="s">
        <v>4863</v>
      </c>
    </row>
    <row r="25" customFormat="false" ht="15" hidden="false" customHeight="false" outlineLevel="0" collapsed="false">
      <c r="A25" s="9" t="s">
        <v>4892</v>
      </c>
      <c r="B25" s="11" t="s">
        <v>4893</v>
      </c>
      <c r="C25" s="9" t="s">
        <v>2742</v>
      </c>
      <c r="D25" s="18" t="n">
        <f aca="false">SUMIFS(TK_IF_HoldEcon,TK_HdrGen,Compute!$D$11,TK_HdrCost,Compute!$D$12)*Compute!D47</f>
        <v>9.78037680366728</v>
      </c>
      <c r="K25" s="12" t="s">
        <v>4863</v>
      </c>
    </row>
    <row r="26" customFormat="false" ht="15" hidden="false" customHeight="false" outlineLevel="0" collapsed="false">
      <c r="A26" s="9" t="s">
        <v>4894</v>
      </c>
      <c r="B26" s="11" t="s">
        <v>4895</v>
      </c>
      <c r="C26" s="9" t="s">
        <v>2742</v>
      </c>
      <c r="D26" s="18" t="n">
        <f aca="false">SUMIFS(TK_IF_HoldEcon,TK_HdrGen,Compute!$D$11,TK_HdrCost,$D$8)*Compute!D47</f>
        <v>7.60966153487174</v>
      </c>
      <c r="K26" s="12" t="s">
        <v>4863</v>
      </c>
    </row>
    <row r="27" customFormat="false" ht="15" hidden="false" customHeight="false" outlineLevel="0" collapsed="false">
      <c r="A27" s="9" t="s">
        <v>4896</v>
      </c>
      <c r="B27" s="11" t="s">
        <v>4897</v>
      </c>
      <c r="C27" s="9" t="s">
        <v>2742</v>
      </c>
      <c r="D27" s="18" t="n">
        <f aca="false">SUMIFS(TK_IF_HoldEcon,TK_HdrGen,Compute!$D$11,TK_HdrCost,$D$9)*Compute!D47</f>
        <v>15.800501591559</v>
      </c>
      <c r="K27" s="12" t="s">
        <v>4863</v>
      </c>
    </row>
    <row r="28" customFormat="false" ht="15" hidden="false" customHeight="false" outlineLevel="0" collapsed="false">
      <c r="A28" s="9" t="s">
        <v>4898</v>
      </c>
      <c r="B28" s="11" t="s">
        <v>4899</v>
      </c>
      <c r="C28" s="9" t="s">
        <v>2742</v>
      </c>
      <c r="D28" s="18" t="n">
        <f aca="false">SUMIFS(TK_IF_HoldEcon,TK_HdrGen,Compute!$D$8,TK_HdrCost,Compute!$D$12)*Compute!D51</f>
        <v>6.79216110028028</v>
      </c>
      <c r="K28" s="12" t="s">
        <v>4863</v>
      </c>
    </row>
    <row r="29" customFormat="false" ht="15" hidden="false" customHeight="false" outlineLevel="0" collapsed="false">
      <c r="A29" s="9" t="s">
        <v>4900</v>
      </c>
      <c r="B29" s="11" t="s">
        <v>4901</v>
      </c>
      <c r="C29" s="9" t="s">
        <v>2742</v>
      </c>
      <c r="D29" s="18" t="n">
        <f aca="false">SUMIFS(TK_IF_HoldEcon,TK_HdrGen,Compute!$D$8,TK_HdrCost,$D$8)*Compute!D51</f>
        <v>4.75375225728511</v>
      </c>
      <c r="K29" s="12" t="s">
        <v>4863</v>
      </c>
    </row>
    <row r="30" customFormat="false" ht="15" hidden="false" customHeight="false" outlineLevel="0" collapsed="false">
      <c r="A30" s="9" t="s">
        <v>4902</v>
      </c>
      <c r="B30" s="11" t="s">
        <v>4903</v>
      </c>
      <c r="C30" s="9" t="s">
        <v>2742</v>
      </c>
      <c r="D30" s="18" t="n">
        <f aca="false">SUMIFS(TK_IF_HoldEcon,TK_HdrGen,Compute!$D$8,TK_HdrCost,$D$9)*Compute!D51</f>
        <v>11.6646388135918</v>
      </c>
      <c r="K30" s="12" t="s">
        <v>4863</v>
      </c>
    </row>
    <row r="31" customFormat="false" ht="15" hidden="false" customHeight="false" outlineLevel="0" collapsed="false">
      <c r="A31" s="9" t="s">
        <v>4904</v>
      </c>
      <c r="B31" s="11" t="s">
        <v>4905</v>
      </c>
      <c r="C31" s="9" t="s">
        <v>2742</v>
      </c>
      <c r="D31" s="18" t="n">
        <f aca="false">SUMIFS(TK_IF_HoldEcon,TK_HdrGen,Compute!$D$11,TK_HdrCost,Compute!$D$12)*Compute!D55</f>
        <v>8.55782970320887</v>
      </c>
      <c r="K31" s="12" t="s">
        <v>4863</v>
      </c>
    </row>
    <row r="32" customFormat="false" ht="15" hidden="false" customHeight="false" outlineLevel="0" collapsed="false">
      <c r="A32" s="9" t="s">
        <v>4906</v>
      </c>
      <c r="B32" s="11" t="s">
        <v>4907</v>
      </c>
      <c r="C32" s="9" t="s">
        <v>2742</v>
      </c>
      <c r="D32" s="18" t="n">
        <f aca="false">SUMIFS(TK_IF_HoldEcon,TK_HdrGen,Compute!$D$11,TK_HdrCost,$D$8)*Compute!D55</f>
        <v>6.65845384301277</v>
      </c>
      <c r="K32" s="12" t="s">
        <v>4863</v>
      </c>
    </row>
    <row r="33" customFormat="false" ht="15" hidden="false" customHeight="false" outlineLevel="0" collapsed="false">
      <c r="A33" s="9" t="s">
        <v>4908</v>
      </c>
      <c r="B33" s="11" t="s">
        <v>4909</v>
      </c>
      <c r="C33" s="9" t="s">
        <v>2742</v>
      </c>
      <c r="D33" s="18" t="n">
        <f aca="false">SUMIFS(TK_IF_HoldEcon,TK_HdrGen,Compute!$D$11,TK_HdrCost,$D$9)*Compute!D55</f>
        <v>13.8254388926141</v>
      </c>
      <c r="K33" s="12" t="s">
        <v>4863</v>
      </c>
    </row>
    <row r="34" customFormat="false" ht="15" hidden="false" customHeight="false" outlineLevel="0" collapsed="false">
      <c r="A34" s="9" t="s">
        <v>4910</v>
      </c>
      <c r="B34" s="11" t="s">
        <v>4911</v>
      </c>
      <c r="C34" s="9" t="s">
        <v>2742</v>
      </c>
      <c r="D34" s="18" t="n">
        <f aca="false">SUMIFS(TK_IF_HoldEcon,TK_HdrGen,Compute!$D$11,TK_HdrCost,Compute!$D$12)*Compute!D59</f>
        <v>11.0029239041257</v>
      </c>
      <c r="K34" s="12" t="s">
        <v>4863</v>
      </c>
    </row>
    <row r="35" customFormat="false" ht="15" hidden="false" customHeight="false" outlineLevel="0" collapsed="false">
      <c r="A35" s="9" t="s">
        <v>4912</v>
      </c>
      <c r="B35" s="11" t="s">
        <v>4913</v>
      </c>
      <c r="C35" s="9" t="s">
        <v>2742</v>
      </c>
      <c r="D35" s="18" t="n">
        <f aca="false">SUMIFS(TK_IF_HoldEcon,TK_HdrGen,Compute!$D$11,TK_HdrCost,$D$8)*Compute!D59</f>
        <v>8.5608692267307</v>
      </c>
      <c r="K35" s="12" t="s">
        <v>4863</v>
      </c>
    </row>
    <row r="36" customFormat="false" ht="15" hidden="false" customHeight="false" outlineLevel="0" collapsed="false">
      <c r="A36" s="9" t="s">
        <v>4914</v>
      </c>
      <c r="B36" s="11" t="s">
        <v>4915</v>
      </c>
      <c r="C36" s="9" t="s">
        <v>2742</v>
      </c>
      <c r="D36" s="18" t="n">
        <f aca="false">SUMIFS(TK_IF_HoldEcon,TK_HdrGen,Compute!$D$11,TK_HdrCost,$D$9)*Compute!D59</f>
        <v>17.7755642905038</v>
      </c>
      <c r="K36" s="12" t="s">
        <v>4863</v>
      </c>
    </row>
    <row r="37" customFormat="false" ht="15" hidden="false" customHeight="false" outlineLevel="0" collapsed="false">
      <c r="A37" s="15" t="s">
        <v>4916</v>
      </c>
    </row>
    <row r="38" customFormat="false" ht="15" hidden="false" customHeight="false" outlineLevel="0" collapsed="false">
      <c r="A38" s="9" t="s">
        <v>4917</v>
      </c>
      <c r="B38" s="9" t="s">
        <v>4918</v>
      </c>
      <c r="C38" s="9" t="s">
        <v>482</v>
      </c>
      <c r="D38" s="17" t="n">
        <f aca="false">SRC_ANT_252</f>
        <v>7.33</v>
      </c>
      <c r="K38" s="12" t="s">
        <v>4919</v>
      </c>
    </row>
    <row r="39" customFormat="false" ht="15" hidden="false" customHeight="false" outlineLevel="0" collapsed="false">
      <c r="A39" s="9" t="s">
        <v>4920</v>
      </c>
      <c r="B39" s="11" t="s">
        <v>4921</v>
      </c>
      <c r="C39" s="9" t="s">
        <v>482</v>
      </c>
      <c r="D39" s="17" t="n">
        <f aca="false">D38-(D40+D41+D42+D43+D44+D45+D46+D47+D48+D49+Compute!D85)</f>
        <v>7.33</v>
      </c>
      <c r="E39" s="17" t="n">
        <f aca="false">D39*INP_127*(E$6=INP_002)</f>
        <v>2.4189</v>
      </c>
      <c r="F39" s="17" t="n">
        <f aca="false">D39*INP_127*(F$6=INP_002)</f>
        <v>0</v>
      </c>
      <c r="G39" s="17" t="n">
        <f aca="false">D39*INP_127*(G$6=INP_002)</f>
        <v>0</v>
      </c>
      <c r="H39" s="17" t="n">
        <f aca="false">D39*INP_127*(H$6=INP_002)</f>
        <v>0</v>
      </c>
      <c r="I39" s="17" t="n">
        <f aca="false">D39*INP_127*(I$6=INP_002)</f>
        <v>0</v>
      </c>
      <c r="K39" s="12" t="s">
        <v>4922</v>
      </c>
    </row>
    <row r="40" customFormat="false" ht="15" hidden="false" customHeight="false" outlineLevel="0" collapsed="false">
      <c r="A40" s="9" t="s">
        <v>4923</v>
      </c>
      <c r="B40" s="11" t="s">
        <v>4924</v>
      </c>
      <c r="C40" s="9" t="s">
        <v>482</v>
      </c>
      <c r="D40" s="17" t="n">
        <f aca="false">SRC_ANT_247_Lo/(((INP_130-INP_129+1)+(INP_130-INP_129+1)-INP_122+1)/INP_112)*MIN(INP_122,D$6-INP_129+1)/INP_122*(D$6&gt;=INP_129)*(D$6&lt;=INP_130)</f>
        <v>0</v>
      </c>
      <c r="E40" s="17" t="n">
        <f aca="false">SRC_ANT_247_Lo/(((INP_130-INP_129+1)+(INP_130-INP_129+1)-INP_122+1)/INP_112)*MIN(INP_122,E$6-INP_129+1)/INP_122*(E$6&gt;=INP_129)*(E$6&lt;=INP_130)</f>
        <v>7.40666666666667</v>
      </c>
      <c r="F40" s="17" t="n">
        <f aca="false">SRC_ANT_247_Lo/(((INP_130-INP_129+1)+(INP_130-INP_129+1)-INP_122+1)/INP_112)*MIN(INP_122,F$6-INP_129+1)/INP_122*(F$6&gt;=INP_129)*(F$6&lt;=INP_130)</f>
        <v>14.8133333333333</v>
      </c>
      <c r="G40" s="17" t="n">
        <f aca="false">SRC_ANT_247_Lo/(((INP_130-INP_129+1)+(INP_130-INP_129+1)-INP_122+1)/INP_112)*MIN(INP_122,G$6-INP_129+1)/INP_122*(G$6&gt;=INP_129)*(G$6&lt;=INP_130)</f>
        <v>14.8133333333333</v>
      </c>
      <c r="H40" s="17" t="n">
        <f aca="false">SRC_ANT_247_Lo/(((INP_130-INP_129+1)+(INP_130-INP_129+1)-INP_122+1)/INP_112)*MIN(INP_122,H$6-INP_129+1)/INP_122*(H$6&gt;=INP_129)*(H$6&lt;=INP_130)</f>
        <v>14.8133333333333</v>
      </c>
      <c r="I40" s="17" t="n">
        <f aca="false">SRC_ANT_247_Lo/(((INP_130-INP_129+1)+(INP_130-INP_129+1)-INP_122+1)/INP_112)*MIN(INP_122,I$6-INP_129+1)/INP_122*(I$6&gt;=INP_129)*(I$6&lt;=INP_130)</f>
        <v>14.8133333333333</v>
      </c>
      <c r="K40" s="2" t="s">
        <v>4925</v>
      </c>
    </row>
    <row r="41" customFormat="false" ht="15" hidden="false" customHeight="false" outlineLevel="0" collapsed="false">
      <c r="A41" s="9" t="s">
        <v>4926</v>
      </c>
      <c r="B41" s="11" t="s">
        <v>4927</v>
      </c>
      <c r="C41" s="9" t="s">
        <v>482</v>
      </c>
      <c r="D41" s="17" t="n">
        <f aca="false">SRC_ANT_250/(((INP_132-INP_131+1)+(INP_132-INP_131+1)-INP_122+1)/INP_112)*MIN(INP_122,D$6-INP_131+1)/INP_122*(D$6&gt;=INP_131)*(D$6&lt;=INP_132)</f>
        <v>-0</v>
      </c>
      <c r="E41" s="17" t="n">
        <f aca="false">SRC_ANT_250/(((INP_132-INP_131+1)+(INP_132-INP_131+1)-INP_122+1)/INP_112)*MIN(INP_122,E$6-INP_131+1)/INP_122*(E$6&gt;=INP_131)*(E$6&lt;=INP_132)</f>
        <v>0</v>
      </c>
      <c r="F41" s="17" t="n">
        <f aca="false">SRC_ANT_250/(((INP_132-INP_131+1)+(INP_132-INP_131+1)-INP_122+1)/INP_112)*MIN(INP_122,F$6-INP_131+1)/INP_122*(F$6&gt;=INP_131)*(F$6&lt;=INP_132)</f>
        <v>13.9111111111111</v>
      </c>
      <c r="G41" s="17" t="n">
        <f aca="false">SRC_ANT_250/(((INP_132-INP_131+1)+(INP_132-INP_131+1)-INP_122+1)/INP_112)*MIN(INP_122,G$6-INP_131+1)/INP_122*(G$6&gt;=INP_131)*(G$6&lt;=INP_132)</f>
        <v>27.8222222222222</v>
      </c>
      <c r="H41" s="17" t="n">
        <f aca="false">SRC_ANT_250/(((INP_132-INP_131+1)+(INP_132-INP_131+1)-INP_122+1)/INP_112)*MIN(INP_122,H$6-INP_131+1)/INP_122*(H$6&gt;=INP_131)*(H$6&lt;=INP_132)</f>
        <v>27.8222222222222</v>
      </c>
      <c r="I41" s="17" t="n">
        <f aca="false">SRC_ANT_250/(((INP_132-INP_131+1)+(INP_132-INP_131+1)-INP_122+1)/INP_112)*MIN(INP_122,I$6-INP_131+1)/INP_122*(I$6&gt;=INP_131)*(I$6&lt;=INP_132)</f>
        <v>27.8222222222222</v>
      </c>
      <c r="K41" s="2" t="s">
        <v>4925</v>
      </c>
    </row>
    <row r="42" customFormat="false" ht="15" hidden="false" customHeight="false" outlineLevel="0" collapsed="false">
      <c r="A42" s="9" t="s">
        <v>4928</v>
      </c>
      <c r="B42" s="11" t="s">
        <v>4929</v>
      </c>
      <c r="C42" s="9" t="s">
        <v>482</v>
      </c>
      <c r="D42" s="17" t="n">
        <f aca="false">SRC_ANT_248/(((INP_134-INP_133+1)+(INP_134-INP_133+1)-INP_122+1)/INP_112)*MIN(INP_122,D$6-INP_133+1)/INP_122*(D$6&gt;=INP_133)*(D$6&lt;=INP_134)</f>
        <v>0</v>
      </c>
      <c r="E42" s="17" t="n">
        <f aca="false">SRC_ANT_248/(((INP_134-INP_133+1)+(INP_134-INP_133+1)-INP_122+1)/INP_112)*MIN(INP_122,E$6-INP_133+1)/INP_122*(E$6&gt;=INP_133)*(E$6&lt;=INP_134)</f>
        <v>5.78947368421053</v>
      </c>
      <c r="F42" s="17" t="n">
        <f aca="false">SRC_ANT_248/(((INP_134-INP_133+1)+(INP_134-INP_133+1)-INP_122+1)/INP_112)*MIN(INP_122,F$6-INP_133+1)/INP_122*(F$6&gt;=INP_133)*(F$6&lt;=INP_134)</f>
        <v>11.5789473684211</v>
      </c>
      <c r="G42" s="17" t="n">
        <f aca="false">SRC_ANT_248/(((INP_134-INP_133+1)+(INP_134-INP_133+1)-INP_122+1)/INP_112)*MIN(INP_122,G$6-INP_133+1)/INP_122*(G$6&gt;=INP_133)*(G$6&lt;=INP_134)</f>
        <v>11.5789473684211</v>
      </c>
      <c r="H42" s="17" t="n">
        <f aca="false">SRC_ANT_248/(((INP_134-INP_133+1)+(INP_134-INP_133+1)-INP_122+1)/INP_112)*MIN(INP_122,H$6-INP_133+1)/INP_122*(H$6&gt;=INP_133)*(H$6&lt;=INP_134)</f>
        <v>11.5789473684211</v>
      </c>
      <c r="I42" s="17" t="n">
        <f aca="false">SRC_ANT_248/(((INP_134-INP_133+1)+(INP_134-INP_133+1)-INP_122+1)/INP_112)*MIN(INP_122,I$6-INP_133+1)/INP_122*(I$6&gt;=INP_133)*(I$6&lt;=INP_134)</f>
        <v>11.5789473684211</v>
      </c>
      <c r="K42" s="2" t="s">
        <v>4925</v>
      </c>
    </row>
    <row r="43" customFormat="false" ht="15" hidden="false" customHeight="false" outlineLevel="0" collapsed="false">
      <c r="A43" s="9" t="s">
        <v>4930</v>
      </c>
      <c r="B43" s="11" t="s">
        <v>4931</v>
      </c>
      <c r="C43" s="9" t="s">
        <v>482</v>
      </c>
      <c r="D43" s="17" t="n">
        <f aca="false">SRC_ANT_211/(((INP_136-INP_135+1)+(INP_136-INP_135+1)-INP_122+1)/INP_112)*MIN(INP_122,D$6-INP_135+1)/INP_122*(D$6&gt;=INP_135)*(D$6&lt;=INP_136)</f>
        <v>-0</v>
      </c>
      <c r="E43" s="17" t="n">
        <f aca="false">SRC_ANT_211/(((INP_136-INP_135+1)+(INP_136-INP_135+1)-INP_122+1)/INP_112)*MIN(INP_122,E$6-INP_135+1)/INP_122*(E$6&gt;=INP_135)*(E$6&lt;=INP_136)</f>
        <v>0</v>
      </c>
      <c r="F43" s="17" t="n">
        <f aca="false">SRC_ANT_211/(((INP_136-INP_135+1)+(INP_136-INP_135+1)-INP_122+1)/INP_112)*MIN(INP_122,F$6-INP_135+1)/INP_122*(F$6&gt;=INP_135)*(F$6&lt;=INP_136)</f>
        <v>2.41538461538462</v>
      </c>
      <c r="G43" s="17" t="n">
        <f aca="false">SRC_ANT_211/(((INP_136-INP_135+1)+(INP_136-INP_135+1)-INP_122+1)/INP_112)*MIN(INP_122,G$6-INP_135+1)/INP_122*(G$6&gt;=INP_135)*(G$6&lt;=INP_136)</f>
        <v>4.83076923076923</v>
      </c>
      <c r="H43" s="17" t="n">
        <f aca="false">SRC_ANT_211/(((INP_136-INP_135+1)+(INP_136-INP_135+1)-INP_122+1)/INP_112)*MIN(INP_122,H$6-INP_135+1)/INP_122*(H$6&gt;=INP_135)*(H$6&lt;=INP_136)</f>
        <v>4.83076923076923</v>
      </c>
      <c r="I43" s="17" t="n">
        <f aca="false">SRC_ANT_211/(((INP_136-INP_135+1)+(INP_136-INP_135+1)-INP_122+1)/INP_112)*MIN(INP_122,I$6-INP_135+1)/INP_122*(I$6&gt;=INP_135)*(I$6&lt;=INP_136)</f>
        <v>4.83076923076923</v>
      </c>
      <c r="K43" s="2" t="s">
        <v>4925</v>
      </c>
    </row>
    <row r="44" customFormat="false" ht="15" hidden="false" customHeight="false" outlineLevel="0" collapsed="false">
      <c r="A44" s="9" t="s">
        <v>4932</v>
      </c>
      <c r="B44" s="11" t="s">
        <v>4933</v>
      </c>
      <c r="C44" s="9" t="s">
        <v>482</v>
      </c>
      <c r="D44" s="17" t="n">
        <f aca="false">Compute!D77*Compute!D60</f>
        <v>-0</v>
      </c>
      <c r="E44" s="17" t="n">
        <f aca="false">Compute!E77*Compute!E60</f>
        <v>0</v>
      </c>
      <c r="F44" s="17" t="n">
        <f aca="false">Compute!F77*Compute!F60</f>
        <v>8.64</v>
      </c>
      <c r="G44" s="17" t="n">
        <f aca="false">Compute!G77*Compute!G60</f>
        <v>17.28</v>
      </c>
      <c r="H44" s="17" t="n">
        <f aca="false">Compute!H77*Compute!H60</f>
        <v>17.28</v>
      </c>
      <c r="I44" s="17" t="n">
        <f aca="false">Compute!I77*Compute!I60</f>
        <v>17.28</v>
      </c>
      <c r="K44" s="12" t="s">
        <v>4934</v>
      </c>
    </row>
    <row r="45" customFormat="false" ht="15" hidden="false" customHeight="false" outlineLevel="0" collapsed="false">
      <c r="A45" s="9" t="s">
        <v>4935</v>
      </c>
      <c r="B45" s="11" t="s">
        <v>4936</v>
      </c>
      <c r="C45" s="9" t="s">
        <v>482</v>
      </c>
      <c r="D45" s="17" t="n">
        <f aca="false">SRC_ANT_227*((D$6=INP_139)*INP_141+(D$6=INP_140)*INP_142+(D$6&gt;INP_139)*(D$6&lt;INP_140)*INP_008)</f>
        <v>0</v>
      </c>
      <c r="E45" s="17" t="n">
        <f aca="false">SRC_ANT_227*((E$6=INP_139)*INP_141+(E$6=INP_140)*INP_142+(E$6&gt;INP_139)*(E$6&lt;INP_140)*INP_008)</f>
        <v>10</v>
      </c>
      <c r="F45" s="17" t="n">
        <f aca="false">SRC_ANT_227*((F$6=INP_139)*INP_141+(F$6=INP_140)*INP_142+(F$6&gt;INP_139)*(F$6&lt;INP_140)*INP_008)</f>
        <v>15</v>
      </c>
      <c r="G45" s="17" t="n">
        <f aca="false">SRC_ANT_227*((G$6=INP_139)*INP_141+(G$6=INP_140)*INP_142+(G$6&gt;INP_139)*(G$6&lt;INP_140)*INP_008)</f>
        <v>15</v>
      </c>
      <c r="H45" s="17" t="n">
        <f aca="false">SRC_ANT_227*((H$6=INP_139)*INP_141+(H$6=INP_140)*INP_142+(H$6&gt;INP_139)*(H$6&lt;INP_140)*INP_008)</f>
        <v>5</v>
      </c>
      <c r="I45" s="17" t="n">
        <f aca="false">SRC_ANT_227*((I$6=INP_139)*INP_141+(I$6=INP_140)*INP_142+(I$6&gt;INP_139)*(I$6&lt;INP_140)*INP_008)</f>
        <v>0</v>
      </c>
      <c r="K45" s="2" t="s">
        <v>4937</v>
      </c>
    </row>
    <row r="46" customFormat="false" ht="15" hidden="false" customHeight="false" outlineLevel="0" collapsed="false">
      <c r="A46" s="9" t="s">
        <v>4938</v>
      </c>
      <c r="B46" s="11" t="s">
        <v>4939</v>
      </c>
      <c r="C46" s="9" t="s">
        <v>482</v>
      </c>
      <c r="D46" s="17" t="n">
        <f aca="false">INP_182*D284+(1-INP_182)*(SRC_ANT_221/(((INP_144-INP_143+1)+(INP_144-INP_143+1)-INP_122+1)/INP_112)*MIN(INP_122,D$6-INP_143+1)/INP_122*(D$6&gt;=INP_143)*(D$6&lt;=INP_144))</f>
        <v>-0</v>
      </c>
      <c r="E46" s="17" t="n">
        <f aca="false">INP_182*E284+(1-INP_182)*(SRC_ANT_221/(((INP_144-INP_143+1)+(INP_144-INP_143+1)-INP_122+1)/INP_112)*MIN(INP_122,E$6-INP_143+1)/INP_122*(E$6&gt;=INP_143)*(E$6&lt;=INP_144))</f>
        <v>-0</v>
      </c>
      <c r="F46" s="17" t="n">
        <f aca="false">INP_182*F284+(1-INP_182)*(SRC_ANT_221/(((INP_144-INP_143+1)+(INP_144-INP_143+1)-INP_122+1)/INP_112)*MIN(INP_122,F$6-INP_143+1)/INP_122*(F$6&gt;=INP_143)*(F$6&lt;=INP_144))</f>
        <v>0</v>
      </c>
      <c r="G46" s="17" t="n">
        <f aca="false">INP_182*G284+(1-INP_182)*(SRC_ANT_221/(((INP_144-INP_143+1)+(INP_144-INP_143+1)-INP_122+1)/INP_112)*MIN(INP_122,G$6-INP_143+1)/INP_122*(G$6&gt;=INP_143)*(G$6&lt;=INP_144))</f>
        <v>4.43995510662177</v>
      </c>
      <c r="H46" s="17" t="n">
        <f aca="false">INP_182*H284+(1-INP_182)*(SRC_ANT_221/(((INP_144-INP_143+1)+(INP_144-INP_143+1)-INP_122+1)/INP_112)*MIN(INP_122,H$6-INP_143+1)/INP_122*(H$6&gt;=INP_143)*(H$6&lt;=INP_144))</f>
        <v>8.87991021324355</v>
      </c>
      <c r="I46" s="17" t="n">
        <f aca="false">INP_182*I284+(1-INP_182)*(SRC_ANT_221/(((INP_144-INP_143+1)+(INP_144-INP_143+1)-INP_122+1)/INP_112)*MIN(INP_122,I$6-INP_143+1)/INP_122*(I$6&gt;=INP_143)*(I$6&lt;=INP_144))</f>
        <v>8.87991021324355</v>
      </c>
      <c r="K46" s="12" t="s">
        <v>4940</v>
      </c>
    </row>
    <row r="47" customFormat="false" ht="15" hidden="false" customHeight="false" outlineLevel="0" collapsed="false">
      <c r="A47" s="9" t="s">
        <v>4941</v>
      </c>
      <c r="B47" s="11" t="s">
        <v>4942</v>
      </c>
      <c r="C47" s="9" t="s">
        <v>482</v>
      </c>
      <c r="D47" s="17" t="n">
        <f aca="false">INP_182*D285+(1-INP_182)*Compute!D238*Compute!D36</f>
        <v>-0</v>
      </c>
      <c r="E47" s="17" t="n">
        <f aca="false">INP_182*E285+(1-INP_182)*Compute!E238*Compute!E36</f>
        <v>0</v>
      </c>
      <c r="F47" s="17" t="n">
        <f aca="false">INP_182*F285+(1-INP_182)*Compute!F238*Compute!F36</f>
        <v>2.47736625514403</v>
      </c>
      <c r="G47" s="17" t="n">
        <f aca="false">INP_182*G285+(1-INP_182)*Compute!G238*Compute!G36</f>
        <v>4.95473251028807</v>
      </c>
      <c r="H47" s="17" t="n">
        <f aca="false">INP_182*H285+(1-INP_182)*Compute!H238*Compute!H36</f>
        <v>4.95473251028807</v>
      </c>
      <c r="I47" s="17" t="n">
        <f aca="false">INP_182*I285+(1-INP_182)*Compute!I238*Compute!I36</f>
        <v>4.95473251028807</v>
      </c>
      <c r="K47" s="12" t="s">
        <v>4943</v>
      </c>
    </row>
    <row r="48" customFormat="false" ht="15" hidden="false" customHeight="false" outlineLevel="0" collapsed="false">
      <c r="A48" s="9" t="s">
        <v>4944</v>
      </c>
      <c r="B48" s="11" t="s">
        <v>4945</v>
      </c>
      <c r="C48" s="9" t="s">
        <v>482</v>
      </c>
      <c r="D48" s="17" t="n">
        <f aca="false">SRC_ANT_236/(((INP_148-INP_147+1)+(INP_148-INP_147+1)-INP_122+1)/INP_112)*MIN(INP_122,D$6-INP_147+1)/INP_122*(D$6&gt;=INP_147)*(D$6&lt;=INP_148)</f>
        <v>-0</v>
      </c>
      <c r="E48" s="17" t="n">
        <f aca="false">SRC_ANT_236/(((INP_148-INP_147+1)+(INP_148-INP_147+1)-INP_122+1)/INP_112)*MIN(INP_122,E$6-INP_147+1)/INP_122*(E$6&gt;=INP_147)*(E$6&lt;=INP_148)</f>
        <v>0</v>
      </c>
      <c r="F48" s="17" t="n">
        <f aca="false">SRC_ANT_236/(((INP_148-INP_147+1)+(INP_148-INP_147+1)-INP_122+1)/INP_112)*MIN(INP_122,F$6-INP_147+1)/INP_122*(F$6&gt;=INP_147)*(F$6&lt;=INP_148)</f>
        <v>0.909090909090909</v>
      </c>
      <c r="G48" s="17" t="n">
        <f aca="false">SRC_ANT_236/(((INP_148-INP_147+1)+(INP_148-INP_147+1)-INP_122+1)/INP_112)*MIN(INP_122,G$6-INP_147+1)/INP_122*(G$6&gt;=INP_147)*(G$6&lt;=INP_148)</f>
        <v>1.81818181818182</v>
      </c>
      <c r="H48" s="17" t="n">
        <f aca="false">SRC_ANT_236/(((INP_148-INP_147+1)+(INP_148-INP_147+1)-INP_122+1)/INP_112)*MIN(INP_122,H$6-INP_147+1)/INP_122*(H$6&gt;=INP_147)*(H$6&lt;=INP_148)</f>
        <v>1.81818181818182</v>
      </c>
      <c r="I48" s="17" t="n">
        <f aca="false">SRC_ANT_236/(((INP_148-INP_147+1)+(INP_148-INP_147+1)-INP_122+1)/INP_112)*MIN(INP_122,I$6-INP_147+1)/INP_122*(I$6&gt;=INP_147)*(I$6&lt;=INP_148)</f>
        <v>1.81818181818182</v>
      </c>
      <c r="K48" s="2" t="s">
        <v>4925</v>
      </c>
    </row>
    <row r="49" customFormat="false" ht="15" hidden="false" customHeight="false" outlineLevel="0" collapsed="false">
      <c r="A49" s="9" t="s">
        <v>4946</v>
      </c>
      <c r="B49" s="11" t="s">
        <v>4947</v>
      </c>
      <c r="C49" s="9" t="s">
        <v>482</v>
      </c>
      <c r="D49" s="17" t="n">
        <f aca="false">SRC_ANT_234/(((INP_150-INP_149+1)+(INP_150-INP_149+1)-INP_122+1)/INP_112)*MIN(INP_122,D$6-INP_149+1)/INP_122*(D$6&gt;=INP_149)*(D$6&lt;=INP_150)</f>
        <v>0</v>
      </c>
      <c r="E49" s="17" t="n">
        <f aca="false">SRC_ANT_234/(((INP_150-INP_149+1)+(INP_150-INP_149+1)-INP_122+1)/INP_112)*MIN(INP_122,E$6-INP_149+1)/INP_122*(E$6&gt;=INP_149)*(E$6&lt;=INP_150)</f>
        <v>0.138461538461538</v>
      </c>
      <c r="F49" s="17" t="n">
        <f aca="false">SRC_ANT_234/(((INP_150-INP_149+1)+(INP_150-INP_149+1)-INP_122+1)/INP_112)*MIN(INP_122,F$6-INP_149+1)/INP_122*(F$6&gt;=INP_149)*(F$6&lt;=INP_150)</f>
        <v>0.276923076923077</v>
      </c>
      <c r="G49" s="17" t="n">
        <f aca="false">SRC_ANT_234/(((INP_150-INP_149+1)+(INP_150-INP_149+1)-INP_122+1)/INP_112)*MIN(INP_122,G$6-INP_149+1)/INP_122*(G$6&gt;=INP_149)*(G$6&lt;=INP_150)</f>
        <v>0.276923076923077</v>
      </c>
      <c r="H49" s="17" t="n">
        <f aca="false">SRC_ANT_234/(((INP_150-INP_149+1)+(INP_150-INP_149+1)-INP_122+1)/INP_112)*MIN(INP_122,H$6-INP_149+1)/INP_122*(H$6&gt;=INP_149)*(H$6&lt;=INP_150)</f>
        <v>0.276923076923077</v>
      </c>
      <c r="I49" s="17" t="n">
        <f aca="false">SRC_ANT_234/(((INP_150-INP_149+1)+(INP_150-INP_149+1)-INP_122+1)/INP_112)*MIN(INP_122,I$6-INP_149+1)/INP_122*(I$6&gt;=INP_149)*(I$6&lt;=INP_150)</f>
        <v>0.276923076923077</v>
      </c>
      <c r="K49" s="2" t="s">
        <v>4925</v>
      </c>
    </row>
    <row r="50" customFormat="false" ht="15" hidden="false" customHeight="false" outlineLevel="0" collapsed="false">
      <c r="A50" s="9" t="s">
        <v>4948</v>
      </c>
      <c r="B50" s="11" t="s">
        <v>4949</v>
      </c>
      <c r="C50" s="9" t="s">
        <v>482</v>
      </c>
      <c r="D50" s="17" t="n">
        <f aca="false">D39+D40+D41+D42+D43+D44+D45+D46+D47+D48+D49</f>
        <v>7.33</v>
      </c>
      <c r="E50" s="17" t="n">
        <f aca="false">E39+E40+E41+E42+E43+E44+E45+E46+E47+E48+E49</f>
        <v>25.7535018893387</v>
      </c>
      <c r="F50" s="17" t="n">
        <f aca="false">F39+F40+F41+F42+F43+F44+F45+F46+F47+F48+F49</f>
        <v>70.0221566694081</v>
      </c>
      <c r="G50" s="17" t="n">
        <f aca="false">G39+G40+G41+G42+G43+G44+G45+G46+G47+G48+G49</f>
        <v>102.815064666761</v>
      </c>
      <c r="H50" s="17" t="n">
        <f aca="false">H39+H40+H41+H42+H43+H44+H45+H46+H47+H48+H49</f>
        <v>97.2550197733824</v>
      </c>
      <c r="I50" s="17" t="n">
        <f aca="false">I39+I40+I41+I42+I43+I44+I45+I46+I47+I48+I49</f>
        <v>92.2550197733824</v>
      </c>
      <c r="K50" s="2"/>
    </row>
    <row r="51" customFormat="false" ht="15" hidden="false" customHeight="false" outlineLevel="0" collapsed="false">
      <c r="A51" s="9" t="s">
        <v>4950</v>
      </c>
      <c r="B51" s="11" t="s">
        <v>4951</v>
      </c>
      <c r="C51" s="9" t="s">
        <v>482</v>
      </c>
      <c r="D51" s="17" t="n">
        <f aca="false">D44+(1-INP_182)*D47</f>
        <v>-0</v>
      </c>
      <c r="E51" s="17" t="n">
        <f aca="false">E44+(1-INP_182)*E47</f>
        <v>0</v>
      </c>
      <c r="F51" s="17" t="n">
        <f aca="false">F44+(1-INP_182)*F47</f>
        <v>8.64</v>
      </c>
      <c r="G51" s="17" t="n">
        <f aca="false">G44+(1-INP_182)*G47</f>
        <v>17.28</v>
      </c>
      <c r="H51" s="17" t="n">
        <f aca="false">H44+(1-INP_182)*H47</f>
        <v>17.28</v>
      </c>
      <c r="I51" s="17" t="n">
        <f aca="false">I44+(1-INP_182)*I47</f>
        <v>17.28</v>
      </c>
      <c r="K51" s="12" t="s">
        <v>4952</v>
      </c>
    </row>
    <row r="52" customFormat="false" ht="15" hidden="false" customHeight="false" outlineLevel="0" collapsed="false">
      <c r="A52" s="9" t="s">
        <v>4953</v>
      </c>
      <c r="B52" s="11" t="s">
        <v>4954</v>
      </c>
      <c r="C52" s="9" t="s">
        <v>482</v>
      </c>
      <c r="D52" s="17" t="n">
        <f aca="false">Compute!D85</f>
        <v>0</v>
      </c>
      <c r="E52" s="17" t="n">
        <f aca="false">Compute!E85</f>
        <v>16.6666666666667</v>
      </c>
      <c r="F52" s="17" t="n">
        <f aca="false">Compute!F85</f>
        <v>16.6666666666667</v>
      </c>
      <c r="G52" s="17" t="n">
        <f aca="false">Compute!G85</f>
        <v>16.6666666666667</v>
      </c>
      <c r="H52" s="17" t="n">
        <f aca="false">Compute!H85</f>
        <v>0</v>
      </c>
      <c r="I52" s="17" t="n">
        <f aca="false">Compute!I85</f>
        <v>0</v>
      </c>
      <c r="K52" s="12" t="s">
        <v>4955</v>
      </c>
    </row>
    <row r="53" customFormat="false" ht="15" hidden="false" customHeight="false" outlineLevel="0" collapsed="false">
      <c r="A53" s="9" t="s">
        <v>4956</v>
      </c>
      <c r="B53" s="11" t="s">
        <v>4957</v>
      </c>
      <c r="C53" s="9" t="s">
        <v>482</v>
      </c>
      <c r="D53" s="17" t="n">
        <f aca="false">D50+D52</f>
        <v>7.33</v>
      </c>
      <c r="E53" s="17" t="n">
        <f aca="false">E50+E52</f>
        <v>42.4201685560054</v>
      </c>
      <c r="F53" s="17" t="n">
        <f aca="false">F50+F52</f>
        <v>86.6888233360748</v>
      </c>
      <c r="G53" s="17" t="n">
        <f aca="false">G50+G52</f>
        <v>119.481731333427</v>
      </c>
      <c r="H53" s="17" t="n">
        <f aca="false">H50+H52</f>
        <v>97.2550197733824</v>
      </c>
      <c r="I53" s="17" t="n">
        <f aca="false">I50+I52</f>
        <v>92.2550197733824</v>
      </c>
      <c r="K53" s="2" t="s">
        <v>4958</v>
      </c>
    </row>
    <row r="54" customFormat="false" ht="15" hidden="false" customHeight="false" outlineLevel="0" collapsed="false">
      <c r="A54" s="9" t="s">
        <v>4959</v>
      </c>
      <c r="B54" s="11" t="s">
        <v>4960</v>
      </c>
      <c r="C54" s="9" t="s">
        <v>482</v>
      </c>
      <c r="D54" s="17" t="n">
        <f aca="false">D53-D38</f>
        <v>0</v>
      </c>
      <c r="K54" s="12" t="s">
        <v>4961</v>
      </c>
    </row>
    <row r="55" customFormat="false" ht="15" hidden="false" customHeight="false" outlineLevel="0" collapsed="false">
      <c r="A55" s="9" t="s">
        <v>4962</v>
      </c>
      <c r="B55" s="11" t="s">
        <v>4963</v>
      </c>
      <c r="C55" s="9" t="s">
        <v>2742</v>
      </c>
      <c r="D55" s="18" t="n">
        <f aca="false">D50/Compute!D90</f>
        <v>9.36</v>
      </c>
      <c r="E55" s="18" t="n">
        <f aca="false">E50/Compute!E90</f>
        <v>10.0440633456072</v>
      </c>
      <c r="F55" s="18" t="n">
        <f aca="false">F50/Compute!F90</f>
        <v>9.7424019923287</v>
      </c>
      <c r="G55" s="18" t="n">
        <f aca="false">G50/Compute!G90</f>
        <v>9.87643182849724</v>
      </c>
      <c r="H55" s="18" t="n">
        <f aca="false">H50/Compute!H90</f>
        <v>9.91709088776749</v>
      </c>
      <c r="I55" s="18" t="n">
        <f aca="false">I50/Compute!I90</f>
        <v>9.82466643535864</v>
      </c>
      <c r="K55" s="2"/>
    </row>
    <row r="56" customFormat="false" ht="15" hidden="false" customHeight="false" outlineLevel="0" collapsed="false">
      <c r="A56" s="9" t="s">
        <v>4964</v>
      </c>
      <c r="B56" s="11" t="s">
        <v>4965</v>
      </c>
      <c r="C56" s="9" t="s">
        <v>2742</v>
      </c>
      <c r="D56" s="18" t="n">
        <f aca="false">IF(Compute!D73&gt;Compute!D72-Compute!D72,D40/Compute!D73,Compute!D72-Compute!D72)</f>
        <v>0</v>
      </c>
      <c r="E56" s="18" t="n">
        <f aca="false">IF(Compute!E73&gt;Compute!E72-Compute!E72,E40/Compute!E73,Compute!E72-Compute!E72)</f>
        <v>9.6</v>
      </c>
      <c r="F56" s="18" t="n">
        <f aca="false">IF(Compute!F73&gt;Compute!F72-Compute!F72,F40/Compute!F73,Compute!F72-Compute!F72)</f>
        <v>9.6</v>
      </c>
      <c r="G56" s="18" t="n">
        <f aca="false">IF(Compute!G73&gt;Compute!G72-Compute!G72,G40/Compute!G73,Compute!G72-Compute!G72)</f>
        <v>9.6</v>
      </c>
      <c r="H56" s="18" t="n">
        <f aca="false">IF(Compute!H73&gt;Compute!H72-Compute!H72,H40/Compute!H73,Compute!H72-Compute!H72)</f>
        <v>9.6</v>
      </c>
      <c r="I56" s="18" t="n">
        <f aca="false">IF(Compute!I73&gt;Compute!I72-Compute!I72,I40/Compute!I73,Compute!I72-Compute!I72)</f>
        <v>9.6</v>
      </c>
      <c r="K56" s="2" t="s">
        <v>4966</v>
      </c>
    </row>
    <row r="57" customFormat="false" ht="15" hidden="false" customHeight="false" outlineLevel="0" collapsed="false">
      <c r="A57" s="9" t="s">
        <v>4967</v>
      </c>
      <c r="B57" s="11" t="s">
        <v>4968</v>
      </c>
      <c r="C57" s="9" t="s">
        <v>2742</v>
      </c>
      <c r="D57" s="18" t="n">
        <f aca="false">IF(Compute!D74&gt;Compute!D72-Compute!D72,D41/Compute!D74,Compute!D72-Compute!D72)</f>
        <v>0</v>
      </c>
      <c r="E57" s="18" t="n">
        <f aca="false">IF(Compute!E74&gt;Compute!E72-Compute!E72,E41/Compute!E74,Compute!E72-Compute!E72)</f>
        <v>0</v>
      </c>
      <c r="F57" s="18" t="n">
        <f aca="false">IF(Compute!F74&gt;Compute!F72-Compute!F72,F41/Compute!F74,Compute!F72-Compute!F72)</f>
        <v>7.94920634920635</v>
      </c>
      <c r="G57" s="18" t="n">
        <f aca="false">IF(Compute!G74&gt;Compute!G72-Compute!G72,G41/Compute!G74,Compute!G72-Compute!G72)</f>
        <v>7.94920634920635</v>
      </c>
      <c r="H57" s="18" t="n">
        <f aca="false">IF(Compute!H74&gt;Compute!H72-Compute!H72,H41/Compute!H74,Compute!H72-Compute!H72)</f>
        <v>7.94920634920635</v>
      </c>
      <c r="I57" s="18" t="n">
        <f aca="false">IF(Compute!I74&gt;Compute!I72-Compute!I72,I41/Compute!I74,Compute!I72-Compute!I72)</f>
        <v>7.94920634920635</v>
      </c>
      <c r="K57" s="2" t="s">
        <v>4966</v>
      </c>
    </row>
    <row r="58" customFormat="false" ht="15" hidden="false" customHeight="false" outlineLevel="0" collapsed="false">
      <c r="A58" s="9" t="s">
        <v>4969</v>
      </c>
      <c r="B58" s="11" t="s">
        <v>4970</v>
      </c>
      <c r="C58" s="9" t="s">
        <v>2742</v>
      </c>
      <c r="D58" s="18" t="n">
        <f aca="false">IF(Compute!D75&gt;Compute!D72-Compute!D72,D42/Compute!D75,Compute!D72-Compute!D72)</f>
        <v>0</v>
      </c>
      <c r="E58" s="18" t="n">
        <f aca="false">IF(Compute!E75&gt;Compute!E72-Compute!E72,E42/Compute!E75,Compute!E72-Compute!E72)</f>
        <v>8.4</v>
      </c>
      <c r="F58" s="18" t="n">
        <f aca="false">IF(Compute!F75&gt;Compute!F72-Compute!F72,F42/Compute!F75,Compute!F72-Compute!F72)</f>
        <v>8.4</v>
      </c>
      <c r="G58" s="18" t="n">
        <f aca="false">IF(Compute!G75&gt;Compute!G72-Compute!G72,G42/Compute!G75,Compute!G72-Compute!G72)</f>
        <v>8.4</v>
      </c>
      <c r="H58" s="18" t="n">
        <f aca="false">IF(Compute!H75&gt;Compute!H72-Compute!H72,H42/Compute!H75,Compute!H72-Compute!H72)</f>
        <v>8.4</v>
      </c>
      <c r="I58" s="18" t="n">
        <f aca="false">IF(Compute!I75&gt;Compute!I72-Compute!I72,I42/Compute!I75,Compute!I72-Compute!I72)</f>
        <v>8.4</v>
      </c>
      <c r="K58" s="2" t="s">
        <v>4966</v>
      </c>
    </row>
    <row r="59" customFormat="false" ht="15" hidden="false" customHeight="false" outlineLevel="0" collapsed="false">
      <c r="A59" s="9" t="s">
        <v>4971</v>
      </c>
      <c r="B59" s="11" t="s">
        <v>4972</v>
      </c>
      <c r="C59" s="9" t="s">
        <v>2742</v>
      </c>
      <c r="D59" s="18" t="n">
        <f aca="false">IF(Compute!D76&gt;Compute!D72-Compute!D72,D43/Compute!D76,Compute!D72-Compute!D72)</f>
        <v>0</v>
      </c>
      <c r="E59" s="18" t="n">
        <f aca="false">IF(Compute!E76&gt;Compute!E72-Compute!E72,E43/Compute!E76,Compute!E72-Compute!E72)</f>
        <v>0</v>
      </c>
      <c r="F59" s="18" t="n">
        <f aca="false">IF(Compute!F76&gt;Compute!F72-Compute!F72,F43/Compute!F76,Compute!F72-Compute!F72)</f>
        <v>12</v>
      </c>
      <c r="G59" s="18" t="n">
        <f aca="false">IF(Compute!G76&gt;Compute!G72-Compute!G72,G43/Compute!G76,Compute!G72-Compute!G72)</f>
        <v>12</v>
      </c>
      <c r="H59" s="18" t="n">
        <f aca="false">IF(Compute!H76&gt;Compute!H72-Compute!H72,H43/Compute!H76,Compute!H72-Compute!H72)</f>
        <v>12</v>
      </c>
      <c r="I59" s="18" t="n">
        <f aca="false">IF(Compute!I76&gt;Compute!I72-Compute!I72,I43/Compute!I76,Compute!I72-Compute!I72)</f>
        <v>12</v>
      </c>
      <c r="K59" s="2" t="s">
        <v>4966</v>
      </c>
    </row>
    <row r="60" customFormat="false" ht="15" hidden="false" customHeight="false" outlineLevel="0" collapsed="false">
      <c r="A60" s="9" t="s">
        <v>4973</v>
      </c>
      <c r="B60" s="11" t="s">
        <v>4974</v>
      </c>
      <c r="C60" s="9" t="s">
        <v>2742</v>
      </c>
      <c r="D60" s="18" t="n">
        <f aca="false">IF(Compute!D77&gt;Compute!D72-Compute!D72,D44/Compute!D77,Compute!D72-Compute!D72)</f>
        <v>0</v>
      </c>
      <c r="E60" s="18" t="n">
        <f aca="false">IF(Compute!E77&gt;Compute!E72-Compute!E72,E44/Compute!E77,Compute!E72-Compute!E72)</f>
        <v>0</v>
      </c>
      <c r="F60" s="18" t="n">
        <f aca="false">IF(Compute!F77&gt;Compute!F72-Compute!F72,F44/Compute!F77,Compute!F72-Compute!F72)</f>
        <v>10.8</v>
      </c>
      <c r="G60" s="18" t="n">
        <f aca="false">IF(Compute!G77&gt;Compute!G72-Compute!G72,G44/Compute!G77,Compute!G72-Compute!G72)</f>
        <v>10.8</v>
      </c>
      <c r="H60" s="18" t="n">
        <f aca="false">IF(Compute!H77&gt;Compute!H72-Compute!H72,H44/Compute!H77,Compute!H72-Compute!H72)</f>
        <v>10.8</v>
      </c>
      <c r="I60" s="18" t="n">
        <f aca="false">IF(Compute!I77&gt;Compute!I72-Compute!I72,I44/Compute!I77,Compute!I72-Compute!I72)</f>
        <v>10.8</v>
      </c>
      <c r="K60" s="2" t="s">
        <v>4966</v>
      </c>
    </row>
    <row r="61" customFormat="false" ht="15" hidden="false" customHeight="false" outlineLevel="0" collapsed="false">
      <c r="A61" s="9" t="s">
        <v>4975</v>
      </c>
      <c r="B61" s="11" t="s">
        <v>4976</v>
      </c>
      <c r="C61" s="9" t="s">
        <v>2742</v>
      </c>
      <c r="D61" s="18" t="n">
        <f aca="false">IF(Compute!D78&gt;Compute!D72-Compute!D72,D45/Compute!D78,Compute!D72-Compute!D72)</f>
        <v>0</v>
      </c>
      <c r="E61" s="18" t="n">
        <f aca="false">IF(Compute!E78&gt;Compute!E72-Compute!E72,E45/Compute!E78,Compute!E72-Compute!E72)</f>
        <v>12</v>
      </c>
      <c r="F61" s="18" t="n">
        <f aca="false">IF(Compute!F78&gt;Compute!F72-Compute!F72,F45/Compute!F78,Compute!F72-Compute!F72)</f>
        <v>12</v>
      </c>
      <c r="G61" s="18" t="n">
        <f aca="false">IF(Compute!G78&gt;Compute!G72-Compute!G72,G45/Compute!G78,Compute!G72-Compute!G72)</f>
        <v>12</v>
      </c>
      <c r="H61" s="18" t="n">
        <f aca="false">IF(Compute!H78&gt;Compute!H72-Compute!H72,H45/Compute!H78,Compute!H72-Compute!H72)</f>
        <v>12</v>
      </c>
      <c r="I61" s="18" t="n">
        <f aca="false">IF(Compute!I78&gt;Compute!I72-Compute!I72,I45/Compute!I78,Compute!I72-Compute!I72)</f>
        <v>0</v>
      </c>
      <c r="K61" s="2" t="s">
        <v>4966</v>
      </c>
    </row>
    <row r="62" customFormat="false" ht="15" hidden="false" customHeight="false" outlineLevel="0" collapsed="false">
      <c r="A62" s="9" t="s">
        <v>4977</v>
      </c>
      <c r="B62" s="11" t="s">
        <v>4978</v>
      </c>
      <c r="C62" s="9" t="s">
        <v>2742</v>
      </c>
      <c r="D62" s="18" t="n">
        <f aca="false">IF(Compute!D79&gt;Compute!D72-Compute!D72,D46/Compute!D79,Compute!D72-Compute!D72)</f>
        <v>0</v>
      </c>
      <c r="E62" s="18" t="n">
        <f aca="false">IF(Compute!E79&gt;Compute!E72-Compute!E72,E46/Compute!E79,Compute!E72-Compute!E72)</f>
        <v>0</v>
      </c>
      <c r="F62" s="18" t="n">
        <f aca="false">IF(Compute!F79&gt;Compute!F72-Compute!F72,F46/Compute!F79,Compute!F72-Compute!F72)</f>
        <v>0</v>
      </c>
      <c r="G62" s="18" t="n">
        <f aca="false">IF(Compute!G79&gt;Compute!G72-Compute!G72,G46/Compute!G79,Compute!G72-Compute!G72)</f>
        <v>19.304152637486</v>
      </c>
      <c r="H62" s="18" t="n">
        <f aca="false">IF(Compute!H79&gt;Compute!H72-Compute!H72,H46/Compute!H79,Compute!H72-Compute!H72)</f>
        <v>19.304152637486</v>
      </c>
      <c r="I62" s="18" t="n">
        <f aca="false">IF(Compute!I79&gt;Compute!I72-Compute!I72,I46/Compute!I79,Compute!I72-Compute!I72)</f>
        <v>19.304152637486</v>
      </c>
      <c r="K62" s="2" t="s">
        <v>4966</v>
      </c>
    </row>
    <row r="63" customFormat="false" ht="15" hidden="false" customHeight="false" outlineLevel="0" collapsed="false">
      <c r="A63" s="9" t="s">
        <v>4979</v>
      </c>
      <c r="B63" s="11" t="s">
        <v>4980</v>
      </c>
      <c r="C63" s="9" t="s">
        <v>2742</v>
      </c>
      <c r="D63" s="18" t="n">
        <f aca="false">IF(Compute!D80&gt;Compute!D72-Compute!D72,D47/Compute!D80,Compute!D72-Compute!D72)</f>
        <v>0</v>
      </c>
      <c r="E63" s="18" t="n">
        <f aca="false">IF(Compute!E80&gt;Compute!E72-Compute!E72,E47/Compute!E80,Compute!E72-Compute!E72)</f>
        <v>0</v>
      </c>
      <c r="F63" s="18" t="n">
        <f aca="false">IF(Compute!F80&gt;Compute!F72-Compute!F72,F47/Compute!F80,Compute!F72-Compute!F72)</f>
        <v>14.156378600823</v>
      </c>
      <c r="G63" s="18" t="n">
        <f aca="false">IF(Compute!G80&gt;Compute!G72-Compute!G72,G47/Compute!G80,Compute!G72-Compute!G72)</f>
        <v>14.156378600823</v>
      </c>
      <c r="H63" s="18" t="n">
        <f aca="false">IF(Compute!H80&gt;Compute!H72-Compute!H72,H47/Compute!H80,Compute!H72-Compute!H72)</f>
        <v>14.156378600823</v>
      </c>
      <c r="I63" s="18" t="n">
        <f aca="false">IF(Compute!I80&gt;Compute!I72-Compute!I72,I47/Compute!I80,Compute!I72-Compute!I72)</f>
        <v>14.156378600823</v>
      </c>
      <c r="K63" s="2" t="s">
        <v>4966</v>
      </c>
    </row>
    <row r="64" customFormat="false" ht="15" hidden="false" customHeight="false" outlineLevel="0" collapsed="false">
      <c r="A64" s="9" t="s">
        <v>4981</v>
      </c>
      <c r="B64" s="11" t="s">
        <v>4982</v>
      </c>
      <c r="C64" s="9" t="s">
        <v>2742</v>
      </c>
      <c r="D64" s="18" t="n">
        <f aca="false">IF(Compute!D81&gt;Compute!D72-Compute!D72,D48/Compute!D81,Compute!D72-Compute!D72)</f>
        <v>0</v>
      </c>
      <c r="E64" s="18" t="n">
        <f aca="false">IF(Compute!E81&gt;Compute!E72-Compute!E72,E48/Compute!E81,Compute!E72-Compute!E72)</f>
        <v>0</v>
      </c>
      <c r="F64" s="18" t="n">
        <f aca="false">IF(Compute!F81&gt;Compute!F72-Compute!F72,F48/Compute!F81,Compute!F72-Compute!F72)</f>
        <v>13.6705399863295</v>
      </c>
      <c r="G64" s="18" t="n">
        <f aca="false">IF(Compute!G81&gt;Compute!G72-Compute!G72,G48/Compute!G81,Compute!G72-Compute!G72)</f>
        <v>13.6705399863295</v>
      </c>
      <c r="H64" s="18" t="n">
        <f aca="false">IF(Compute!H81&gt;Compute!H72-Compute!H72,H48/Compute!H81,Compute!H72-Compute!H72)</f>
        <v>13.6705399863295</v>
      </c>
      <c r="I64" s="18" t="n">
        <f aca="false">IF(Compute!I81&gt;Compute!I72-Compute!I72,I48/Compute!I81,Compute!I72-Compute!I72)</f>
        <v>13.6705399863295</v>
      </c>
      <c r="K64" s="2" t="s">
        <v>4966</v>
      </c>
    </row>
    <row r="65" customFormat="false" ht="15" hidden="false" customHeight="false" outlineLevel="0" collapsed="false">
      <c r="A65" s="9" t="s">
        <v>4983</v>
      </c>
      <c r="B65" s="11" t="s">
        <v>4984</v>
      </c>
      <c r="C65" s="9" t="s">
        <v>2742</v>
      </c>
      <c r="D65" s="18" t="n">
        <f aca="false">IF(Compute!D82&gt;Compute!D72-Compute!D72,D49/Compute!D82,Compute!D72-Compute!D72)</f>
        <v>0</v>
      </c>
      <c r="E65" s="18" t="n">
        <f aca="false">IF(Compute!E82&gt;Compute!E72-Compute!E72,E49/Compute!E82,Compute!E72-Compute!E72)</f>
        <v>12</v>
      </c>
      <c r="F65" s="18" t="n">
        <f aca="false">IF(Compute!F82&gt;Compute!F72-Compute!F72,F49/Compute!F82,Compute!F72-Compute!F72)</f>
        <v>12</v>
      </c>
      <c r="G65" s="18" t="n">
        <f aca="false">IF(Compute!G82&gt;Compute!G72-Compute!G72,G49/Compute!G82,Compute!G72-Compute!G72)</f>
        <v>12</v>
      </c>
      <c r="H65" s="18" t="n">
        <f aca="false">IF(Compute!H82&gt;Compute!H72-Compute!H72,H49/Compute!H82,Compute!H72-Compute!H72)</f>
        <v>12</v>
      </c>
      <c r="I65" s="18" t="n">
        <f aca="false">IF(Compute!I82&gt;Compute!I72-Compute!I72,I49/Compute!I82,Compute!I72-Compute!I72)</f>
        <v>12</v>
      </c>
      <c r="K65" s="2" t="s">
        <v>4966</v>
      </c>
    </row>
    <row r="66" customFormat="false" ht="15" hidden="false" customHeight="false" outlineLevel="0" collapsed="false">
      <c r="A66" s="9" t="s">
        <v>4985</v>
      </c>
      <c r="B66" s="11" t="s">
        <v>4986</v>
      </c>
      <c r="C66" s="11" t="s">
        <v>747</v>
      </c>
      <c r="D66" s="21" t="n">
        <f aca="false">D53/Revenue!D67</f>
        <v>1.59347826086957</v>
      </c>
      <c r="E66" s="21" t="n">
        <f aca="false">E53/Revenue!E67</f>
        <v>0.850103578276661</v>
      </c>
      <c r="F66" s="21" t="n">
        <f aca="false">F53/Revenue!F67</f>
        <v>1.04415842390108</v>
      </c>
      <c r="G66" s="21" t="n">
        <f aca="false">G53/Revenue!G67</f>
        <v>0.957683488224983</v>
      </c>
      <c r="H66" s="21" t="n">
        <f aca="false">H53/Revenue!H67</f>
        <v>0.569375578939089</v>
      </c>
      <c r="I66" s="21" t="n">
        <f aca="false">I53/Revenue!I67</f>
        <v>0.419097544326304</v>
      </c>
      <c r="K66" s="2" t="s">
        <v>4987</v>
      </c>
    </row>
    <row r="67" customFormat="false" ht="15" hidden="false" customHeight="false" outlineLevel="0" collapsed="false">
      <c r="A67" s="9" t="s">
        <v>4988</v>
      </c>
      <c r="B67" s="11" t="s">
        <v>4989</v>
      </c>
      <c r="C67" s="9" t="s">
        <v>482</v>
      </c>
      <c r="E67" s="17" t="n">
        <f aca="false">SRC_ANT_004*SRC_ANT_051+SRC_ANT_005*SRC_ANT_052</f>
        <v>9.7983</v>
      </c>
      <c r="K67" s="2" t="s">
        <v>4990</v>
      </c>
    </row>
    <row r="68" customFormat="false" ht="15" hidden="false" customHeight="false" outlineLevel="0" collapsed="false">
      <c r="A68" s="9" t="s">
        <v>4991</v>
      </c>
      <c r="B68" s="11" t="s">
        <v>4992</v>
      </c>
      <c r="C68" s="9" t="s">
        <v>482</v>
      </c>
      <c r="E68" s="17" t="n">
        <f aca="false">E50*INP_009/INP_008-E67</f>
        <v>3.07845094466937</v>
      </c>
      <c r="K68" s="2" t="s">
        <v>4993</v>
      </c>
    </row>
    <row r="69" customFormat="false" ht="15" hidden="false" customHeight="false" outlineLevel="0" collapsed="false">
      <c r="A69" s="15" t="s">
        <v>4994</v>
      </c>
    </row>
    <row r="70" customFormat="false" ht="15" hidden="false" customHeight="false" outlineLevel="0" collapsed="false">
      <c r="A70" s="9" t="s">
        <v>4995</v>
      </c>
      <c r="B70" s="11" t="s">
        <v>4996</v>
      </c>
      <c r="C70" s="9" t="s">
        <v>482</v>
      </c>
      <c r="D70" s="17" t="n">
        <f aca="false">Compute!D92*$D$10+Compute!D93*$D$13+Compute!D94*$D$16+Compute!D95*$D$19+Compute!D96*$D$22+Compute!D97*$D$25+Compute!D98*$D$28+Compute!D99*$D$31+Compute!D100*$D$34-Compute!D88*$D$25</f>
        <v>5.92696915060172</v>
      </c>
      <c r="E70" s="17" t="n">
        <f aca="false">Compute!E92*$D$10+Compute!E93*$D$13+Compute!E94*$D$16+Compute!E95*$D$19+Compute!E96*$D$22+Compute!E97*$D$25+Compute!E98*$D$28+Compute!E99*$D$31+Compute!E100*$D$34-Compute!E88*$D$25</f>
        <v>23.5877552763048</v>
      </c>
      <c r="F70" s="17" t="n">
        <f aca="false">Compute!F92*$D$10+Compute!F93*$D$13+Compute!F94*$D$16+Compute!F95*$D$19+Compute!F96*$D$22+Compute!F97*$D$25+Compute!F98*$D$28+Compute!F99*$D$31+Compute!F100*$D$34-Compute!F88*$D$25</f>
        <v>70.0481112918281</v>
      </c>
      <c r="G70" s="17" t="n">
        <f aca="false">Compute!G92*$D$10+Compute!G93*$D$13+Compute!G94*$D$16+Compute!G95*$D$19+Compute!G96*$D$22+Compute!G97*$D$25+Compute!G98*$D$28+Compute!G99*$D$31+Compute!G100*$D$34-Compute!G88*$D$25</f>
        <v>103.687323037379</v>
      </c>
      <c r="H70" s="17" t="n">
        <f aca="false">Compute!H92*$D$10+Compute!H93*$D$13+Compute!H94*$D$16+Compute!H95*$D$19+Compute!H96*$D$22+Compute!H97*$D$25+Compute!H98*$D$28+Compute!H99*$D$31+Compute!H100*$D$34-Compute!H88*$D$25</f>
        <v>98.4132752966711</v>
      </c>
      <c r="I70" s="17" t="n">
        <f aca="false">Compute!I92*$D$10+Compute!I93*$D$13+Compute!I94*$D$16+Compute!I95*$D$19+Compute!I96*$D$22+Compute!I97*$D$25+Compute!I98*$D$28+Compute!I99*$D$31+Compute!I100*$D$34-Compute!I88*$D$25</f>
        <v>94.37032226079</v>
      </c>
      <c r="K70" s="12" t="s">
        <v>4997</v>
      </c>
    </row>
    <row r="71" customFormat="false" ht="15" hidden="false" customHeight="false" outlineLevel="0" collapsed="false">
      <c r="A71" s="9" t="s">
        <v>4998</v>
      </c>
      <c r="B71" s="11" t="s">
        <v>4999</v>
      </c>
      <c r="C71" s="9" t="s">
        <v>482</v>
      </c>
      <c r="D71" s="17" t="n">
        <f aca="false">Compute!D92*$D$11+Compute!D93*$D$14+Compute!D94*$D$17+Compute!D95*$D$20+Compute!D96*$D$23+Compute!D97*$D$26+Compute!D98*$D$29+Compute!D99*$D$32+Compute!D100*$D$35-Compute!D88*$D$26</f>
        <v>4.14821476736903</v>
      </c>
      <c r="E71" s="17" t="n">
        <f aca="false">Compute!E92*$D$11+Compute!E93*$D$14+Compute!E94*$D$17+Compute!E95*$D$20+Compute!E96*$D$23+Compute!E97*$D$26+Compute!E98*$D$29+Compute!E99*$D$32+Compute!E100*$D$35-Compute!E88*$D$26</f>
        <v>17.5646551092587</v>
      </c>
      <c r="F71" s="17" t="n">
        <f aca="false">Compute!F92*$D$11+Compute!F93*$D$14+Compute!F94*$D$17+Compute!F95*$D$20+Compute!F96*$D$23+Compute!F97*$D$26+Compute!F98*$D$29+Compute!F99*$D$32+Compute!F100*$D$35-Compute!F88*$D$26</f>
        <v>53.5316736669347</v>
      </c>
      <c r="G71" s="17" t="n">
        <f aca="false">Compute!G92*$D$11+Compute!G93*$D$14+Compute!G94*$D$17+Compute!G95*$D$20+Compute!G96*$D$23+Compute!G97*$D$26+Compute!G98*$D$29+Compute!G99*$D$32+Compute!G100*$D$35-Compute!G88*$D$26</f>
        <v>79.6892509919514</v>
      </c>
      <c r="H71" s="17" t="n">
        <f aca="false">Compute!H92*$D$11+Compute!H93*$D$14+Compute!H94*$D$17+Compute!H95*$D$20+Compute!H96*$D$23+Compute!H97*$D$26+Compute!H98*$D$29+Compute!H99*$D$32+Compute!H100*$D$35-Compute!H88*$D$26</f>
        <v>76.2177998055067</v>
      </c>
      <c r="I71" s="17" t="n">
        <f aca="false">Compute!I92*$D$11+Compute!I93*$D$14+Compute!I94*$D$17+Compute!I95*$D$20+Compute!I96*$D$23+Compute!I97*$D$26+Compute!I98*$D$29+Compute!I99*$D$32+Compute!I100*$D$35-Compute!I88*$D$26</f>
        <v>73.3881853666465</v>
      </c>
      <c r="K71" s="12" t="s">
        <v>4997</v>
      </c>
    </row>
    <row r="72" customFormat="false" ht="15" hidden="false" customHeight="false" outlineLevel="0" collapsed="false">
      <c r="A72" s="9" t="s">
        <v>5000</v>
      </c>
      <c r="B72" s="11" t="s">
        <v>5001</v>
      </c>
      <c r="C72" s="9" t="s">
        <v>482</v>
      </c>
      <c r="D72" s="17" t="n">
        <f aca="false">Compute!D92*$D$12+Compute!D93*$D$15+Compute!D94*$D$18+Compute!D95*$D$21+Compute!D96*$D$24+Compute!D97*$D$27+Compute!D98*$D$30+Compute!D99*$D$33+Compute!D100*$D$36-Compute!D88*$D$27</f>
        <v>10.1787860123367</v>
      </c>
      <c r="E72" s="17" t="n">
        <f aca="false">Compute!E92*$D$12+Compute!E93*$D$15+Compute!E94*$D$18+Compute!E95*$D$21+Compute!E96*$D$24+Compute!E97*$D$27+Compute!E98*$D$30+Compute!E99*$D$33+Compute!E100*$D$36-Compute!E88*$D$27</f>
        <v>39.1300256350361</v>
      </c>
      <c r="F72" s="17" t="n">
        <f aca="false">Compute!F92*$D$12+Compute!F93*$D$15+Compute!F94*$D$18+Compute!F95*$D$21+Compute!F96*$D$24+Compute!F97*$D$27+Compute!F98*$D$30+Compute!F99*$D$33+Compute!F100*$D$36-Compute!F88*$D$27</f>
        <v>114.757815455365</v>
      </c>
      <c r="G72" s="17" t="n">
        <f aca="false">Compute!G92*$D$12+Compute!G93*$D$15+Compute!G94*$D$18+Compute!G95*$D$21+Compute!G96*$D$24+Compute!G97*$D$27+Compute!G98*$D$30+Compute!G99*$D$33+Compute!G100*$D$36-Compute!G88*$D$27</f>
        <v>169.459460005416</v>
      </c>
      <c r="H72" s="17" t="n">
        <f aca="false">Compute!H92*$D$12+Compute!H93*$D$15+Compute!H94*$D$18+Compute!H95*$D$21+Compute!H96*$D$24+Compute!H97*$D$27+Compute!H98*$D$30+Compute!H99*$D$33+Compute!H100*$D$36-Compute!H88*$D$27</f>
        <v>160.115629434904</v>
      </c>
      <c r="I72" s="17" t="n">
        <f aca="false">Compute!I92*$D$12+Compute!I93*$D$15+Compute!I94*$D$18+Compute!I95*$D$21+Compute!I96*$D$24+Compute!I97*$D$27+Compute!I98*$D$30+Compute!I99*$D$33+Compute!I100*$D$36-Compute!I88*$D$27</f>
        <v>153.172392045861</v>
      </c>
      <c r="K72" s="12" t="s">
        <v>4997</v>
      </c>
    </row>
    <row r="73" customFormat="false" ht="15" hidden="false" customHeight="false" outlineLevel="0" collapsed="false">
      <c r="A73" s="9" t="s">
        <v>5002</v>
      </c>
      <c r="B73" s="11" t="s">
        <v>5003</v>
      </c>
      <c r="C73" s="9" t="s">
        <v>482</v>
      </c>
      <c r="D73" s="17" t="n">
        <f aca="false">D50-D70</f>
        <v>1.40303084939828</v>
      </c>
      <c r="E73" s="17" t="n">
        <f aca="false">E50-E70</f>
        <v>2.16574661303389</v>
      </c>
      <c r="F73" s="17" t="n">
        <f aca="false">F50-F70</f>
        <v>-0.025954622419917</v>
      </c>
      <c r="G73" s="17" t="n">
        <f aca="false">G50-G70</f>
        <v>-0.87225837061844</v>
      </c>
      <c r="H73" s="17" t="n">
        <f aca="false">H50-H70</f>
        <v>-1.15825552328877</v>
      </c>
      <c r="I73" s="17" t="n">
        <f aca="false">I50-I70</f>
        <v>-2.11530248740765</v>
      </c>
      <c r="K73" s="2"/>
    </row>
    <row r="74" customFormat="false" ht="15" hidden="false" customHeight="false" outlineLevel="0" collapsed="false">
      <c r="A74" s="9" t="s">
        <v>5004</v>
      </c>
      <c r="B74" s="11" t="s">
        <v>5005</v>
      </c>
      <c r="C74" s="11" t="s">
        <v>269</v>
      </c>
      <c r="D74" s="16" t="n">
        <f aca="false">D73/D50</f>
        <v>0.191409392823776</v>
      </c>
      <c r="E74" s="16" t="n">
        <f aca="false">E73/E50</f>
        <v>0.0840952279942343</v>
      </c>
      <c r="F74" s="16" t="n">
        <f aca="false">F73/F50</f>
        <v>-0.000370662996606276</v>
      </c>
      <c r="G74" s="16" t="n">
        <f aca="false">G73/G50</f>
        <v>-0.00848376036571647</v>
      </c>
      <c r="H74" s="16" t="n">
        <f aca="false">H73/H50</f>
        <v>-0.0119094677682208</v>
      </c>
      <c r="I74" s="16" t="n">
        <f aca="false">I73/I50</f>
        <v>-0.0229288605932092</v>
      </c>
      <c r="K74" s="2"/>
    </row>
    <row r="75" customFormat="false" ht="15" hidden="false" customHeight="false" outlineLevel="0" collapsed="false">
      <c r="A75" s="9" t="s">
        <v>5006</v>
      </c>
      <c r="B75" s="11" t="s">
        <v>5007</v>
      </c>
      <c r="C75" s="11" t="s">
        <v>269</v>
      </c>
      <c r="D75" s="16" t="n">
        <f aca="false">(D50-D71)/D50</f>
        <v>0.434077112227963</v>
      </c>
      <c r="E75" s="16" t="n">
        <f aca="false">(E50-E71)/E50</f>
        <v>0.317970224603514</v>
      </c>
      <c r="F75" s="16" t="n">
        <f aca="false">(F50-F71)/F50</f>
        <v>0.235503786042025</v>
      </c>
      <c r="G75" s="16" t="n">
        <f aca="false">(G50-G71)/G50</f>
        <v>0.224926315513816</v>
      </c>
      <c r="H75" s="16" t="n">
        <f aca="false">(H50-H71)/H50</f>
        <v>0.216309862636348</v>
      </c>
      <c r="I75" s="16" t="n">
        <f aca="false">(I50-I71)/I50</f>
        <v>0.204507401907027</v>
      </c>
      <c r="K75" s="12" t="s">
        <v>5008</v>
      </c>
    </row>
    <row r="76" customFormat="false" ht="15" hidden="false" customHeight="false" outlineLevel="0" collapsed="false">
      <c r="A76" s="9" t="s">
        <v>5009</v>
      </c>
      <c r="B76" s="11" t="s">
        <v>5010</v>
      </c>
      <c r="C76" s="11" t="s">
        <v>269</v>
      </c>
      <c r="D76" s="16" t="n">
        <f aca="false">(D50-D72)/D50</f>
        <v>-0.38864747780855</v>
      </c>
      <c r="E76" s="16" t="n">
        <f aca="false">(E50-E72)/E50</f>
        <v>-0.519406013332691</v>
      </c>
      <c r="F76" s="16" t="n">
        <f aca="false">(F50-F72)/F50</f>
        <v>-0.638878619479905</v>
      </c>
      <c r="G76" s="16" t="n">
        <f aca="false">(G50-G72)/G50</f>
        <v>-0.648196794454787</v>
      </c>
      <c r="H76" s="16" t="n">
        <f aca="false">(H50-H72)/H50</f>
        <v>-0.646348227659566</v>
      </c>
      <c r="I76" s="16" t="n">
        <f aca="false">(I50-I72)/I50</f>
        <v>-0.660314987977002</v>
      </c>
      <c r="K76" s="12" t="s">
        <v>5008</v>
      </c>
    </row>
    <row r="77" customFormat="false" ht="15" hidden="false" customHeight="false" outlineLevel="0" collapsed="false">
      <c r="A77" s="15" t="s">
        <v>5011</v>
      </c>
    </row>
    <row r="78" customFormat="false" ht="15" hidden="false" customHeight="false" outlineLevel="0" collapsed="false">
      <c r="A78" s="9" t="s">
        <v>5012</v>
      </c>
      <c r="B78" s="11" t="s">
        <v>5013</v>
      </c>
      <c r="C78" s="9" t="s">
        <v>482</v>
      </c>
      <c r="D78" s="17" t="n">
        <f aca="false">Compute!D88*$D$25</f>
        <v>0</v>
      </c>
      <c r="E78" s="17" t="n">
        <f aca="false">Compute!E88*$D$25</f>
        <v>0</v>
      </c>
      <c r="F78" s="17" t="n">
        <f aca="false">Compute!F88*$D$25</f>
        <v>3.24349606714633</v>
      </c>
      <c r="G78" s="17" t="n">
        <f aca="false">Compute!G88*$D$25</f>
        <v>6.48699213429265</v>
      </c>
      <c r="H78" s="17" t="n">
        <f aca="false">Compute!H88*$D$25</f>
        <v>9.73048820143898</v>
      </c>
      <c r="I78" s="17" t="n">
        <f aca="false">Compute!I88*$D$25</f>
        <v>9.73048820143898</v>
      </c>
      <c r="K78" s="2"/>
    </row>
    <row r="79" customFormat="false" ht="15" hidden="false" customHeight="false" outlineLevel="0" collapsed="false">
      <c r="A79" s="9" t="s">
        <v>5014</v>
      </c>
      <c r="B79" s="11" t="s">
        <v>5015</v>
      </c>
      <c r="C79" s="9" t="s">
        <v>482</v>
      </c>
      <c r="D79" s="17" t="n">
        <f aca="false">D50+D78</f>
        <v>7.33</v>
      </c>
      <c r="E79" s="17" t="n">
        <f aca="false">E50+E78</f>
        <v>25.7535018893387</v>
      </c>
      <c r="F79" s="17" t="n">
        <f aca="false">F50+F78</f>
        <v>73.2656527365545</v>
      </c>
      <c r="G79" s="17" t="n">
        <f aca="false">G50+G78</f>
        <v>109.302056801053</v>
      </c>
      <c r="H79" s="17" t="n">
        <f aca="false">H50+H78</f>
        <v>106.985507974821</v>
      </c>
      <c r="I79" s="17" t="n">
        <f aca="false">I50+I78</f>
        <v>101.985507974821</v>
      </c>
      <c r="K79" s="2"/>
    </row>
    <row r="80" customFormat="false" ht="15" hidden="false" customHeight="false" outlineLevel="0" collapsed="false">
      <c r="A80" s="9" t="s">
        <v>5016</v>
      </c>
      <c r="B80" s="11" t="s">
        <v>5017</v>
      </c>
      <c r="C80" s="9" t="s">
        <v>482</v>
      </c>
      <c r="D80" s="17" t="n">
        <f aca="false">D53-D79</f>
        <v>0</v>
      </c>
      <c r="E80" s="17" t="n">
        <f aca="false">E53-E79</f>
        <v>16.6666666666667</v>
      </c>
      <c r="F80" s="17" t="n">
        <f aca="false">F53-F79</f>
        <v>13.4231705995203</v>
      </c>
      <c r="G80" s="17" t="n">
        <f aca="false">G53-G79</f>
        <v>10.179674532374</v>
      </c>
      <c r="H80" s="17" t="n">
        <f aca="false">H53-H79</f>
        <v>-9.73048820143897</v>
      </c>
      <c r="I80" s="17" t="n">
        <f aca="false">I53-I79</f>
        <v>-9.73048820143897</v>
      </c>
      <c r="K80" s="2" t="s">
        <v>5018</v>
      </c>
    </row>
    <row r="81" customFormat="false" ht="15" hidden="false" customHeight="false" outlineLevel="0" collapsed="false">
      <c r="A81" s="15" t="s">
        <v>5019</v>
      </c>
    </row>
    <row r="82" customFormat="false" ht="15" hidden="false" customHeight="false" outlineLevel="0" collapsed="false">
      <c r="A82" s="9" t="s">
        <v>5020</v>
      </c>
      <c r="B82" s="9" t="s">
        <v>5021</v>
      </c>
      <c r="C82" s="9" t="s">
        <v>482</v>
      </c>
      <c r="D82" s="17" t="n">
        <f aca="false">SRC_ANT_274</f>
        <v>12.65</v>
      </c>
      <c r="K82" s="12" t="s">
        <v>1744</v>
      </c>
    </row>
    <row r="83" customFormat="false" ht="15" hidden="false" customHeight="false" outlineLevel="0" collapsed="false">
      <c r="A83" s="9" t="s">
        <v>5022</v>
      </c>
      <c r="B83" s="9" t="s">
        <v>5023</v>
      </c>
      <c r="C83" s="9" t="s">
        <v>482</v>
      </c>
      <c r="D83" s="17" t="n">
        <f aca="false">SRC_ANT_277</f>
        <v>5.32</v>
      </c>
      <c r="K83" s="12" t="s">
        <v>5024</v>
      </c>
    </row>
    <row r="84" customFormat="false" ht="15" hidden="false" customHeight="false" outlineLevel="0" collapsed="false">
      <c r="A84" s="9" t="s">
        <v>5025</v>
      </c>
      <c r="B84" s="11" t="s">
        <v>5026</v>
      </c>
      <c r="C84" s="9" t="s">
        <v>482</v>
      </c>
      <c r="D84" s="17" t="n">
        <f aca="false">SRC_ANT_031</f>
        <v>0.351</v>
      </c>
      <c r="K84" s="12" t="s">
        <v>5027</v>
      </c>
    </row>
    <row r="85" customFormat="false" ht="15" hidden="false" customHeight="false" outlineLevel="0" collapsed="false">
      <c r="A85" s="9" t="s">
        <v>5028</v>
      </c>
      <c r="B85" s="9" t="s">
        <v>5029</v>
      </c>
      <c r="C85" s="9" t="s">
        <v>482</v>
      </c>
      <c r="D85" s="17" t="n">
        <f aca="false">D83-D84</f>
        <v>4.969</v>
      </c>
      <c r="K85" s="2" t="s">
        <v>5030</v>
      </c>
    </row>
    <row r="86" customFormat="false" ht="15" hidden="false" customHeight="false" outlineLevel="0" collapsed="false">
      <c r="A86" s="9" t="s">
        <v>5031</v>
      </c>
      <c r="B86" s="11" t="s">
        <v>5032</v>
      </c>
      <c r="C86" s="11" t="s">
        <v>1028</v>
      </c>
      <c r="D86" s="20" t="n">
        <f aca="false">AVERAGE(SRC_ANT_284,SRC_ANT_285)</f>
        <v>2206.5</v>
      </c>
      <c r="E86" s="20" t="n">
        <f aca="false">D86*(1+INP_156)</f>
        <v>3971.7</v>
      </c>
      <c r="F86" s="20" t="n">
        <f aca="false">E86*(1+INP_157)</f>
        <v>5163.21</v>
      </c>
      <c r="G86" s="20" t="n">
        <f aca="false">F86*(1+INP_158)</f>
        <v>6195.852</v>
      </c>
      <c r="H86" s="20" t="n">
        <f aca="false">G86*(1+INP_159)</f>
        <v>7125.2298</v>
      </c>
      <c r="I86" s="20" t="n">
        <f aca="false">H86*(1+INP_160)</f>
        <v>7837.75278</v>
      </c>
      <c r="K86" s="12" t="s">
        <v>5033</v>
      </c>
    </row>
    <row r="87" customFormat="false" ht="15" hidden="false" customHeight="false" outlineLevel="0" collapsed="false">
      <c r="A87" s="9" t="s">
        <v>5034</v>
      </c>
      <c r="B87" s="11" t="s">
        <v>5035</v>
      </c>
      <c r="C87" s="9" t="s">
        <v>3720</v>
      </c>
      <c r="D87" s="21" t="n">
        <f aca="false">INP_162</f>
        <v>0.8</v>
      </c>
      <c r="E87" s="21" t="n">
        <f aca="false">D87*(1+INP_163)</f>
        <v>0.8</v>
      </c>
      <c r="F87" s="21" t="n">
        <f aca="false">E87*(1+INP_163)</f>
        <v>0.8</v>
      </c>
      <c r="G87" s="21" t="n">
        <f aca="false">F87*(1+INP_163)</f>
        <v>0.8</v>
      </c>
      <c r="H87" s="21" t="n">
        <f aca="false">G87*(1+INP_163)</f>
        <v>0.8</v>
      </c>
      <c r="I87" s="21" t="n">
        <f aca="false">H87*(1+INP_163)</f>
        <v>0.8</v>
      </c>
      <c r="K87" s="12" t="s">
        <v>5036</v>
      </c>
    </row>
    <row r="88" customFormat="false" ht="15" hidden="false" customHeight="false" outlineLevel="0" collapsed="false">
      <c r="A88" s="9" t="s">
        <v>5037</v>
      </c>
      <c r="B88" s="11" t="s">
        <v>5038</v>
      </c>
      <c r="C88" s="9" t="s">
        <v>482</v>
      </c>
      <c r="D88" s="17" t="n">
        <f aca="false">D86*D87/INP_012</f>
        <v>1.7652</v>
      </c>
      <c r="E88" s="17" t="n">
        <f aca="false">E86*E87/INP_012</f>
        <v>3.17736</v>
      </c>
      <c r="F88" s="17" t="n">
        <f aca="false">F86*F87/INP_012</f>
        <v>4.130568</v>
      </c>
      <c r="G88" s="17" t="n">
        <f aca="false">G86*G87/INP_012</f>
        <v>4.9566816</v>
      </c>
      <c r="H88" s="17" t="n">
        <f aca="false">H86*H87/INP_012</f>
        <v>5.70018384</v>
      </c>
      <c r="I88" s="17" t="n">
        <f aca="false">I86*I87/INP_012</f>
        <v>6.270202224</v>
      </c>
      <c r="K88" s="2" t="s">
        <v>5039</v>
      </c>
    </row>
    <row r="89" customFormat="false" ht="15" hidden="false" customHeight="false" outlineLevel="0" collapsed="false">
      <c r="A89" s="9" t="s">
        <v>5040</v>
      </c>
      <c r="B89" s="11" t="s">
        <v>5041</v>
      </c>
      <c r="C89" s="9" t="s">
        <v>482</v>
      </c>
      <c r="D89" s="17" t="n">
        <f aca="false">D85-D88</f>
        <v>3.2038</v>
      </c>
      <c r="E89" s="17" t="n">
        <f aca="false">E86*E90/INP_012</f>
        <v>5.9398452</v>
      </c>
      <c r="F89" s="17" t="n">
        <f aca="false">F86*F90/INP_012</f>
        <v>7.9534527228</v>
      </c>
      <c r="G89" s="17" t="n">
        <f aca="false">G86*G90/INP_012</f>
        <v>9.8304675653808</v>
      </c>
      <c r="H89" s="17" t="n">
        <f aca="false">H86*H90/INP_012</f>
        <v>11.6441888311936</v>
      </c>
      <c r="I89" s="17" t="n">
        <f aca="false">I86*I90/INP_012</f>
        <v>13.1928659457423</v>
      </c>
      <c r="K89" s="12" t="s">
        <v>5042</v>
      </c>
    </row>
    <row r="90" customFormat="false" ht="15" hidden="false" customHeight="false" outlineLevel="0" collapsed="false">
      <c r="A90" s="9" t="s">
        <v>5043</v>
      </c>
      <c r="B90" s="11" t="s">
        <v>5044</v>
      </c>
      <c r="C90" s="9" t="s">
        <v>3720</v>
      </c>
      <c r="D90" s="21" t="n">
        <f aca="false">D89*INP_012/D86</f>
        <v>1.45198277815545</v>
      </c>
      <c r="E90" s="21" t="n">
        <f aca="false">D90*(1+INP_161)</f>
        <v>1.49554226150011</v>
      </c>
      <c r="F90" s="21" t="n">
        <f aca="false">E90*(1+INP_161)</f>
        <v>1.54040852934512</v>
      </c>
      <c r="G90" s="21" t="n">
        <f aca="false">F90*(1+INP_161)</f>
        <v>1.58662078522547</v>
      </c>
      <c r="H90" s="21" t="n">
        <f aca="false">G90*(1+INP_161)</f>
        <v>1.63421940878223</v>
      </c>
      <c r="I90" s="21" t="n">
        <f aca="false">H90*(1+INP_161)</f>
        <v>1.6832459910457</v>
      </c>
      <c r="K90" s="12" t="s">
        <v>5045</v>
      </c>
    </row>
    <row r="91" customFormat="false" ht="15" hidden="false" customHeight="false" outlineLevel="0" collapsed="false">
      <c r="A91" s="9" t="s">
        <v>5046</v>
      </c>
      <c r="B91" s="11" t="s">
        <v>5047</v>
      </c>
      <c r="C91" s="9" t="s">
        <v>482</v>
      </c>
      <c r="D91" s="17" t="n">
        <f aca="false">D89+D88</f>
        <v>4.969</v>
      </c>
      <c r="E91" s="17" t="n">
        <f aca="false">E89+E88</f>
        <v>9.1172052</v>
      </c>
      <c r="F91" s="17" t="n">
        <f aca="false">F89+F88</f>
        <v>12.0840207228</v>
      </c>
      <c r="G91" s="17" t="n">
        <f aca="false">G89+G88</f>
        <v>14.7871491653808</v>
      </c>
      <c r="H91" s="17" t="n">
        <f aca="false">H89+H88</f>
        <v>17.3443726711936</v>
      </c>
      <c r="I91" s="17" t="n">
        <f aca="false">I89+I88</f>
        <v>19.4630681697423</v>
      </c>
      <c r="K91" s="2"/>
    </row>
    <row r="92" customFormat="false" ht="15" hidden="false" customHeight="false" outlineLevel="0" collapsed="false">
      <c r="A92" s="9" t="s">
        <v>5048</v>
      </c>
      <c r="B92" s="11" t="s">
        <v>5049</v>
      </c>
      <c r="C92" s="11" t="s">
        <v>269</v>
      </c>
      <c r="D92" s="16" t="n">
        <f aca="false">D91/Revenue!D67</f>
        <v>1.08021739130435</v>
      </c>
      <c r="E92" s="16" t="n">
        <f aca="false">E91/Revenue!E67</f>
        <v>0.182709523046092</v>
      </c>
      <c r="F92" s="16" t="n">
        <f aca="false">F91/Revenue!F67</f>
        <v>0.14555085127169</v>
      </c>
      <c r="G92" s="16" t="n">
        <f aca="false">G91/Revenue!G67</f>
        <v>0.118523630646814</v>
      </c>
      <c r="H92" s="16" t="n">
        <f aca="false">H91/Revenue!H67</f>
        <v>0.101541928159671</v>
      </c>
      <c r="I92" s="16" t="n">
        <f aca="false">I91/Revenue!I67</f>
        <v>0.0884171299841606</v>
      </c>
      <c r="K92" s="2"/>
    </row>
    <row r="93" customFormat="false" ht="15" hidden="false" customHeight="false" outlineLevel="0" collapsed="false">
      <c r="A93" s="9" t="s">
        <v>5050</v>
      </c>
      <c r="B93" s="11" t="s">
        <v>5051</v>
      </c>
      <c r="C93" s="11" t="s">
        <v>1028</v>
      </c>
      <c r="E93" s="20" t="n">
        <f aca="false">SRC_ANT_286</f>
        <v>3950</v>
      </c>
      <c r="K93" s="12" t="s">
        <v>5052</v>
      </c>
    </row>
    <row r="94" customFormat="false" ht="15" hidden="false" customHeight="false" outlineLevel="0" collapsed="false">
      <c r="A94" s="9" t="s">
        <v>5053</v>
      </c>
      <c r="B94" s="11" t="s">
        <v>5054</v>
      </c>
      <c r="C94" s="9" t="s">
        <v>482</v>
      </c>
      <c r="E94" s="17" t="n">
        <f aca="false">SRC_ANT_297*INP_164</f>
        <v>5</v>
      </c>
      <c r="K94" s="2" t="s">
        <v>5055</v>
      </c>
    </row>
    <row r="95" customFormat="false" ht="15" hidden="false" customHeight="false" outlineLevel="0" collapsed="false">
      <c r="A95" s="9" t="s">
        <v>5056</v>
      </c>
      <c r="B95" s="11" t="s">
        <v>5057</v>
      </c>
      <c r="C95" s="9" t="s">
        <v>482</v>
      </c>
      <c r="D95" s="17" t="n">
        <f aca="false">Revenue!D67-D53-D83</f>
        <v>-8.05</v>
      </c>
      <c r="K95" s="2" t="s">
        <v>5058</v>
      </c>
    </row>
    <row r="96" customFormat="false" ht="15" hidden="false" customHeight="false" outlineLevel="0" collapsed="false">
      <c r="A96" s="9" t="s">
        <v>5059</v>
      </c>
      <c r="B96" s="11" t="s">
        <v>5060</v>
      </c>
      <c r="C96" s="9" t="s">
        <v>482</v>
      </c>
      <c r="D96" s="17" t="n">
        <f aca="false">D95+SRC_ANT_278</f>
        <v>0.00999999999999979</v>
      </c>
      <c r="K96" s="2" t="s">
        <v>5061</v>
      </c>
    </row>
    <row r="97" customFormat="false" ht="15" hidden="false" customHeight="false" outlineLevel="0" collapsed="false">
      <c r="A97" s="15" t="s">
        <v>5062</v>
      </c>
    </row>
    <row r="98" customFormat="false" ht="15" hidden="false" customHeight="false" outlineLevel="0" collapsed="false">
      <c r="A98" s="9" t="s">
        <v>5063</v>
      </c>
      <c r="B98" s="11" t="s">
        <v>5064</v>
      </c>
      <c r="C98" s="9" t="s">
        <v>482</v>
      </c>
      <c r="D98" s="17" t="n">
        <f aca="false">Compute!D147</f>
        <v>3.23</v>
      </c>
      <c r="E98" s="17" t="n">
        <f aca="false">E53*Compute!E158/Compute!E91</f>
        <v>14.8194375938365</v>
      </c>
      <c r="F98" s="17" t="n">
        <f aca="false">F53*Compute!F158/Compute!F91</f>
        <v>16.5151927639473</v>
      </c>
      <c r="G98" s="17" t="n">
        <f aca="false">G53*Compute!G158/Compute!G91</f>
        <v>25.3005227499383</v>
      </c>
      <c r="H98" s="17" t="n">
        <f aca="false">H53*Compute!H158/Compute!H91</f>
        <v>31.681593323517</v>
      </c>
      <c r="I98" s="17" t="n">
        <f aca="false">I53*Compute!I158/Compute!I91</f>
        <v>46.0425277356291</v>
      </c>
      <c r="K98" s="12" t="s">
        <v>5065</v>
      </c>
    </row>
    <row r="99" customFormat="false" ht="15" hidden="false" customHeight="false" outlineLevel="0" collapsed="false">
      <c r="A99" s="9" t="s">
        <v>5066</v>
      </c>
      <c r="B99" s="11" t="s">
        <v>5067</v>
      </c>
      <c r="C99" s="9" t="s">
        <v>482</v>
      </c>
      <c r="D99" s="17" t="n">
        <f aca="false">Compute!D155</f>
        <v>4.1</v>
      </c>
      <c r="E99" s="17" t="n">
        <f aca="false">E53*Compute!E159/Compute!E91</f>
        <v>23.3587141065684</v>
      </c>
      <c r="F99" s="17" t="n">
        <f aca="false">F53*Compute!F159/Compute!F91</f>
        <v>61.50474823852</v>
      </c>
      <c r="G99" s="17" t="n">
        <f aca="false">G53*Compute!G159/Compute!G91</f>
        <v>82.2330354501463</v>
      </c>
      <c r="H99" s="17" t="n">
        <f aca="false">H53*Compute!H159/Compute!H91</f>
        <v>55.8479244725271</v>
      </c>
      <c r="I99" s="17" t="n">
        <f aca="false">I53*Compute!I159/Compute!I91</f>
        <v>36.986990060415</v>
      </c>
      <c r="K99" s="12" t="s">
        <v>5068</v>
      </c>
    </row>
    <row r="100" customFormat="false" ht="15" hidden="false" customHeight="false" outlineLevel="0" collapsed="false">
      <c r="A100" s="9" t="s">
        <v>5069</v>
      </c>
      <c r="B100" s="11" t="s">
        <v>5070</v>
      </c>
      <c r="C100" s="9" t="s">
        <v>482</v>
      </c>
      <c r="D100" s="17" t="n">
        <f aca="false">D53*Compute!D156/Compute!D91</f>
        <v>0</v>
      </c>
      <c r="E100" s="17" t="n">
        <f aca="false">E53*Compute!E156/Compute!E91</f>
        <v>4.24201685560054</v>
      </c>
      <c r="F100" s="17" t="n">
        <f aca="false">F53*Compute!F156/Compute!F91</f>
        <v>8.66888233360748</v>
      </c>
      <c r="G100" s="17" t="n">
        <f aca="false">G53*Compute!G156/Compute!G91</f>
        <v>11.9481731333427</v>
      </c>
      <c r="H100" s="17" t="n">
        <f aca="false">H53*Compute!H156/Compute!H91</f>
        <v>9.72550197733824</v>
      </c>
      <c r="I100" s="17" t="n">
        <f aca="false">I53*Compute!I156/Compute!I91</f>
        <v>9.22550197733824</v>
      </c>
      <c r="K100" s="2"/>
    </row>
    <row r="101" customFormat="false" ht="15" hidden="false" customHeight="false" outlineLevel="0" collapsed="false">
      <c r="A101" s="9" t="s">
        <v>5071</v>
      </c>
      <c r="B101" s="11" t="s">
        <v>5072</v>
      </c>
      <c r="C101" s="9" t="s">
        <v>482</v>
      </c>
      <c r="D101" s="17" t="n">
        <f aca="false">D98+D99+D100-D53</f>
        <v>0</v>
      </c>
      <c r="E101" s="17" t="n">
        <f aca="false">E98+E99+E100-E53</f>
        <v>0</v>
      </c>
      <c r="F101" s="17" t="n">
        <f aca="false">F98+F99+F100-F53</f>
        <v>0</v>
      </c>
      <c r="G101" s="17" t="n">
        <f aca="false">G98+G99+G100-G53</f>
        <v>0</v>
      </c>
      <c r="H101" s="17" t="n">
        <f aca="false">H98+H99+H100-H53</f>
        <v>0</v>
      </c>
      <c r="I101" s="17" t="n">
        <f aca="false">I98+I99+I100-I53</f>
        <v>0</v>
      </c>
      <c r="K101" s="2" t="s">
        <v>5073</v>
      </c>
    </row>
    <row r="102" customFormat="false" ht="15" hidden="false" customHeight="false" outlineLevel="0" collapsed="false">
      <c r="A102" s="9" t="s">
        <v>5074</v>
      </c>
      <c r="B102" s="11" t="s">
        <v>5075</v>
      </c>
      <c r="C102" s="9" t="s">
        <v>482</v>
      </c>
      <c r="E102" s="17" t="n">
        <f aca="false">SRC_ANT_258+SRC_ANT_259</f>
        <v>19</v>
      </c>
      <c r="K102" s="12" t="s">
        <v>5076</v>
      </c>
    </row>
    <row r="103" customFormat="false" ht="15" hidden="false" customHeight="false" outlineLevel="0" collapsed="false">
      <c r="A103" s="15" t="s">
        <v>5077</v>
      </c>
    </row>
    <row r="104" customFormat="false" ht="15" hidden="false" customHeight="false" outlineLevel="0" collapsed="false">
      <c r="A104" s="9" t="s">
        <v>5078</v>
      </c>
      <c r="B104" s="11" t="s">
        <v>5079</v>
      </c>
      <c r="C104" s="9" t="s">
        <v>1106</v>
      </c>
      <c r="D104" s="21" t="n">
        <f aca="false">Compute!D168</f>
        <v>0.0578024697954382</v>
      </c>
      <c r="E104" s="21" t="n">
        <f aca="false">Compute!E168</f>
        <v>1.07470023516865</v>
      </c>
      <c r="F104" s="21" t="n">
        <f aca="false">Compute!F168</f>
        <v>4.60959697168135</v>
      </c>
      <c r="G104" s="21" t="n">
        <f aca="false">Compute!G168</f>
        <v>7.3818779368854</v>
      </c>
      <c r="H104" s="21" t="n">
        <f aca="false">Compute!H168</f>
        <v>7.78931469928324</v>
      </c>
      <c r="I104" s="21" t="n">
        <f aca="false">Compute!I168</f>
        <v>7.74537986548822</v>
      </c>
      <c r="K104" s="12" t="s">
        <v>2962</v>
      </c>
    </row>
    <row r="105" customFormat="false" ht="15" hidden="false" customHeight="false" outlineLevel="0" collapsed="false">
      <c r="A105" s="9" t="s">
        <v>5080</v>
      </c>
      <c r="B105" s="11" t="s">
        <v>4188</v>
      </c>
      <c r="C105" s="9" t="s">
        <v>482</v>
      </c>
      <c r="D105" s="17" t="n">
        <f aca="false">Revenue!D83</f>
        <v>4.249</v>
      </c>
      <c r="E105" s="17" t="n">
        <f aca="false">Revenue!E83</f>
        <v>45.7715943974481</v>
      </c>
      <c r="F105" s="17" t="n">
        <f aca="false">Revenue!F83</f>
        <v>76.1385566082697</v>
      </c>
      <c r="G105" s="17" t="n">
        <f aca="false">Revenue!G83</f>
        <v>114.352405776343</v>
      </c>
      <c r="H105" s="17" t="n">
        <f aca="false">Revenue!H83</f>
        <v>156.497881966067</v>
      </c>
      <c r="I105" s="17" t="n">
        <f aca="false">Revenue!I83</f>
        <v>201.579345535295</v>
      </c>
      <c r="K105" s="12" t="s">
        <v>5081</v>
      </c>
    </row>
    <row r="106" customFormat="false" ht="15" hidden="false" customHeight="false" outlineLevel="0" collapsed="false">
      <c r="A106" s="9" t="s">
        <v>5082</v>
      </c>
      <c r="B106" s="11" t="s">
        <v>5083</v>
      </c>
      <c r="C106" s="9" t="s">
        <v>482</v>
      </c>
      <c r="D106" s="17" t="n">
        <f aca="false">D53+D89+D88</f>
        <v>12.299</v>
      </c>
      <c r="E106" s="17" t="n">
        <f aca="false">E53+E89+E88</f>
        <v>51.5373737560054</v>
      </c>
      <c r="F106" s="17" t="n">
        <f aca="false">F53+F89+F88</f>
        <v>98.7728440588748</v>
      </c>
      <c r="G106" s="17" t="n">
        <f aca="false">G53+G89+G88</f>
        <v>134.268880498808</v>
      </c>
      <c r="H106" s="17" t="n">
        <f aca="false">H53+H89+H88</f>
        <v>114.599392444576</v>
      </c>
      <c r="I106" s="17" t="n">
        <f aca="false">I53+I89+I88</f>
        <v>111.718087943125</v>
      </c>
      <c r="K106" s="2" t="s">
        <v>5084</v>
      </c>
    </row>
    <row r="107" customFormat="false" ht="15" hidden="false" customHeight="false" outlineLevel="0" collapsed="false">
      <c r="A107" s="9" t="s">
        <v>5085</v>
      </c>
      <c r="B107" s="11" t="s">
        <v>5086</v>
      </c>
      <c r="C107" s="9" t="s">
        <v>482</v>
      </c>
      <c r="D107" s="17" t="n">
        <f aca="false">D53+D89</f>
        <v>10.5338</v>
      </c>
      <c r="E107" s="17" t="n">
        <f aca="false">E53+E89</f>
        <v>48.3600137560054</v>
      </c>
      <c r="F107" s="17" t="n">
        <f aca="false">F53+F89</f>
        <v>94.6422760588748</v>
      </c>
      <c r="G107" s="17" t="n">
        <f aca="false">G53+G89</f>
        <v>129.312198898808</v>
      </c>
      <c r="H107" s="17" t="n">
        <f aca="false">H53+H89</f>
        <v>108.899208604576</v>
      </c>
      <c r="I107" s="17" t="n">
        <f aca="false">I53+I89</f>
        <v>105.447885719125</v>
      </c>
      <c r="K107" s="2"/>
    </row>
    <row r="108" customFormat="false" ht="15" hidden="false" customHeight="false" outlineLevel="0" collapsed="false">
      <c r="A108" s="9" t="s">
        <v>5087</v>
      </c>
      <c r="B108" s="11" t="s">
        <v>5088</v>
      </c>
      <c r="C108" s="9" t="s">
        <v>482</v>
      </c>
      <c r="D108" s="17" t="n">
        <f aca="false">D105-D106</f>
        <v>-8.05</v>
      </c>
      <c r="E108" s="17" t="n">
        <f aca="false">E105-E106</f>
        <v>-5.76577935855733</v>
      </c>
      <c r="F108" s="17" t="n">
        <f aca="false">F105-F106</f>
        <v>-22.6342874506051</v>
      </c>
      <c r="G108" s="17" t="n">
        <f aca="false">G105-G106</f>
        <v>-19.9164747224653</v>
      </c>
      <c r="H108" s="17" t="n">
        <f aca="false">H105-H106</f>
        <v>41.8984895214907</v>
      </c>
      <c r="I108" s="17" t="n">
        <f aca="false">I105-I106</f>
        <v>89.8612575921702</v>
      </c>
      <c r="K108" s="2" t="s">
        <v>5089</v>
      </c>
    </row>
    <row r="109" customFormat="false" ht="15" hidden="false" customHeight="false" outlineLevel="0" collapsed="false">
      <c r="A109" s="9" t="s">
        <v>5090</v>
      </c>
      <c r="B109" s="11" t="s">
        <v>5091</v>
      </c>
      <c r="C109" s="9" t="s">
        <v>2742</v>
      </c>
      <c r="D109" s="18" t="n">
        <f aca="false">D105/D104</f>
        <v>73.5089696865398</v>
      </c>
      <c r="E109" s="18" t="n">
        <f aca="false">E105/E104</f>
        <v>42.5901036397049</v>
      </c>
      <c r="F109" s="18" t="n">
        <f aca="false">F105/F104</f>
        <v>16.517399910669</v>
      </c>
      <c r="G109" s="18" t="n">
        <f aca="false">G105/G104</f>
        <v>15.4909640546821</v>
      </c>
      <c r="H109" s="18" t="n">
        <f aca="false">H105/H104</f>
        <v>20.0913543755611</v>
      </c>
      <c r="I109" s="18" t="n">
        <f aca="false">I105/I104</f>
        <v>26.0257532924227</v>
      </c>
      <c r="K109" s="2"/>
    </row>
    <row r="110" customFormat="false" ht="15" hidden="false" customHeight="false" outlineLevel="0" collapsed="false">
      <c r="A110" s="9" t="s">
        <v>5092</v>
      </c>
      <c r="B110" s="11" t="s">
        <v>5093</v>
      </c>
      <c r="C110" s="9" t="s">
        <v>2742</v>
      </c>
      <c r="D110" s="18" t="n">
        <f aca="false">D53/D104</f>
        <v>126.811190351221</v>
      </c>
      <c r="E110" s="18" t="n">
        <f aca="false">E53/E104</f>
        <v>39.4716286159074</v>
      </c>
      <c r="F110" s="18" t="n">
        <f aca="false">F53/F104</f>
        <v>18.8061611174773</v>
      </c>
      <c r="G110" s="18" t="n">
        <f aca="false">G53/G104</f>
        <v>16.1858178034084</v>
      </c>
      <c r="H110" s="18" t="n">
        <f aca="false">H53/H104</f>
        <v>12.485696563567</v>
      </c>
      <c r="I110" s="18" t="n">
        <f aca="false">I53/I104</f>
        <v>11.9109742034024</v>
      </c>
      <c r="K110" s="2"/>
    </row>
    <row r="111" customFormat="false" ht="15" hidden="false" customHeight="false" outlineLevel="0" collapsed="false">
      <c r="A111" s="9" t="s">
        <v>5094</v>
      </c>
      <c r="B111" s="11" t="s">
        <v>5095</v>
      </c>
      <c r="C111" s="9" t="s">
        <v>2742</v>
      </c>
      <c r="D111" s="18" t="n">
        <f aca="false">D89/D104</f>
        <v>55.4266973597873</v>
      </c>
      <c r="E111" s="18" t="n">
        <f aca="false">E89/E104</f>
        <v>5.52697859889076</v>
      </c>
      <c r="F111" s="18" t="n">
        <f aca="false">F89/F104</f>
        <v>1.72541173808932</v>
      </c>
      <c r="G111" s="18" t="n">
        <f aca="false">G89/G104</f>
        <v>1.33170280644447</v>
      </c>
      <c r="H111" s="18" t="n">
        <f aca="false">H89/H104</f>
        <v>1.4948925907776</v>
      </c>
      <c r="I111" s="18" t="n">
        <f aca="false">I89/I104</f>
        <v>1.70332071181259</v>
      </c>
      <c r="K111" s="2"/>
    </row>
    <row r="112" customFormat="false" ht="15" hidden="false" customHeight="false" outlineLevel="0" collapsed="false">
      <c r="A112" s="9" t="s">
        <v>5096</v>
      </c>
      <c r="B112" s="11" t="s">
        <v>5097</v>
      </c>
      <c r="C112" s="9" t="s">
        <v>2742</v>
      </c>
      <c r="D112" s="18" t="n">
        <f aca="false">D88/D104</f>
        <v>30.5384874772135</v>
      </c>
      <c r="E112" s="18" t="n">
        <f aca="false">E88/E104</f>
        <v>2.95650814620077</v>
      </c>
      <c r="F112" s="18" t="n">
        <f aca="false">F88/F104</f>
        <v>0.896080074977439</v>
      </c>
      <c r="G112" s="18" t="n">
        <f aca="false">G88/G104</f>
        <v>0.671466209869538</v>
      </c>
      <c r="H112" s="18" t="n">
        <f aca="false">H88/H104</f>
        <v>0.731795293946016</v>
      </c>
      <c r="I112" s="18" t="n">
        <f aca="false">I88/I104</f>
        <v>0.809540956401467</v>
      </c>
      <c r="K112" s="2"/>
    </row>
    <row r="113" customFormat="false" ht="15" hidden="false" customHeight="false" outlineLevel="0" collapsed="false">
      <c r="A113" s="9" t="s">
        <v>5098</v>
      </c>
      <c r="B113" s="11" t="s">
        <v>5099</v>
      </c>
      <c r="C113" s="9" t="s">
        <v>2742</v>
      </c>
      <c r="D113" s="18" t="n">
        <f aca="false">D110+D111+D112</f>
        <v>212.776375188222</v>
      </c>
      <c r="E113" s="18" t="n">
        <f aca="false">E110+E111+E112</f>
        <v>47.955115360999</v>
      </c>
      <c r="F113" s="18" t="n">
        <f aca="false">F110+F111+F112</f>
        <v>21.427652930544</v>
      </c>
      <c r="G113" s="18" t="n">
        <f aca="false">G110+G111+G112</f>
        <v>18.1889868197224</v>
      </c>
      <c r="H113" s="18" t="n">
        <f aca="false">H110+H111+H112</f>
        <v>14.7123844482906</v>
      </c>
      <c r="I113" s="18" t="n">
        <f aca="false">I110+I111+I112</f>
        <v>14.4238358716164</v>
      </c>
      <c r="K113" s="2"/>
    </row>
    <row r="114" customFormat="false" ht="15" hidden="false" customHeight="false" outlineLevel="0" collapsed="false">
      <c r="A114" s="9" t="s">
        <v>5100</v>
      </c>
      <c r="B114" s="11" t="s">
        <v>5101</v>
      </c>
      <c r="C114" s="9" t="s">
        <v>2742</v>
      </c>
      <c r="D114" s="18" t="n">
        <f aca="false">D110+D111</f>
        <v>182.237887711008</v>
      </c>
      <c r="E114" s="18" t="n">
        <f aca="false">E110+E111</f>
        <v>44.9986072147982</v>
      </c>
      <c r="F114" s="18" t="n">
        <f aca="false">F110+F111</f>
        <v>20.5315728555666</v>
      </c>
      <c r="G114" s="18" t="n">
        <f aca="false">G110+G111</f>
        <v>17.5175206098529</v>
      </c>
      <c r="H114" s="18" t="n">
        <f aca="false">H110+H111</f>
        <v>13.9805891543446</v>
      </c>
      <c r="I114" s="18" t="n">
        <f aca="false">I110+I111</f>
        <v>13.614294915215</v>
      </c>
      <c r="K114" s="2"/>
    </row>
    <row r="115" customFormat="false" ht="15" hidden="false" customHeight="false" outlineLevel="0" collapsed="false">
      <c r="A115" s="9" t="s">
        <v>5102</v>
      </c>
      <c r="B115" s="11" t="s">
        <v>5103</v>
      </c>
      <c r="C115" s="9" t="s">
        <v>2742</v>
      </c>
      <c r="D115" s="18" t="n">
        <f aca="false">D109-D113</f>
        <v>-139.267405501682</v>
      </c>
      <c r="E115" s="18" t="n">
        <f aca="false">E109-E113</f>
        <v>-5.36501172129409</v>
      </c>
      <c r="F115" s="18" t="n">
        <f aca="false">F109-F113</f>
        <v>-4.91025301987502</v>
      </c>
      <c r="G115" s="18" t="n">
        <f aca="false">G109-G113</f>
        <v>-2.69802276504026</v>
      </c>
      <c r="H115" s="18" t="n">
        <f aca="false">H109-H113</f>
        <v>5.37896992727052</v>
      </c>
      <c r="I115" s="18" t="n">
        <f aca="false">I109-I113</f>
        <v>11.6019174208063</v>
      </c>
      <c r="K115" s="2" t="s">
        <v>5104</v>
      </c>
    </row>
    <row r="116" customFormat="false" ht="15" hidden="false" customHeight="false" outlineLevel="0" collapsed="false">
      <c r="A116" s="9" t="s">
        <v>5105</v>
      </c>
      <c r="B116" s="11" t="s">
        <v>5106</v>
      </c>
      <c r="C116" s="9" t="s">
        <v>2742</v>
      </c>
      <c r="D116" s="18" t="n">
        <f aca="false">D109-D114</f>
        <v>-108.728918024468</v>
      </c>
      <c r="E116" s="18" t="n">
        <f aca="false">E109-E114</f>
        <v>-2.40850357509332</v>
      </c>
      <c r="F116" s="18" t="n">
        <f aca="false">F109-F114</f>
        <v>-4.01417294489758</v>
      </c>
      <c r="G116" s="18" t="n">
        <f aca="false">G109-G114</f>
        <v>-2.02655655517072</v>
      </c>
      <c r="H116" s="18" t="n">
        <f aca="false">H109-H114</f>
        <v>6.11076522121654</v>
      </c>
      <c r="I116" s="18" t="n">
        <f aca="false">I109-I114</f>
        <v>12.4114583772078</v>
      </c>
      <c r="K116" s="2"/>
    </row>
    <row r="117" customFormat="false" ht="15" hidden="false" customHeight="false" outlineLevel="0" collapsed="false">
      <c r="A117" s="9" t="s">
        <v>5107</v>
      </c>
      <c r="B117" s="11" t="s">
        <v>5108</v>
      </c>
      <c r="C117" s="11" t="s">
        <v>747</v>
      </c>
      <c r="D117" s="21" t="n">
        <f aca="false">D105/D106</f>
        <v>0.345475241889585</v>
      </c>
      <c r="E117" s="21" t="n">
        <f aca="false">E105/E106</f>
        <v>0.888124307888594</v>
      </c>
      <c r="F117" s="21" t="n">
        <f aca="false">F105/F106</f>
        <v>0.770845036748019</v>
      </c>
      <c r="G117" s="21" t="n">
        <f aca="false">G105/G106</f>
        <v>0.851667231837521</v>
      </c>
      <c r="H117" s="21" t="n">
        <f aca="false">H105/H106</f>
        <v>1.36560830409074</v>
      </c>
      <c r="I117" s="21" t="n">
        <f aca="false">I105/I106</f>
        <v>1.80435728221484</v>
      </c>
      <c r="K117" s="2"/>
    </row>
    <row r="118" customFormat="false" ht="15" hidden="false" customHeight="false" outlineLevel="0" collapsed="false">
      <c r="A118" s="9" t="s">
        <v>5109</v>
      </c>
      <c r="B118" s="11" t="s">
        <v>5110</v>
      </c>
      <c r="C118" s="11" t="s">
        <v>747</v>
      </c>
      <c r="D118" s="21" t="n">
        <f aca="false">D105/D107</f>
        <v>0.403368205206098</v>
      </c>
      <c r="E118" s="21" t="n">
        <f aca="false">E105/E107</f>
        <v>0.946476041722881</v>
      </c>
      <c r="F118" s="21" t="n">
        <f aca="false">F105/F107</f>
        <v>0.804487801634289</v>
      </c>
      <c r="G118" s="21" t="n">
        <f aca="false">G105/G107</f>
        <v>0.884312591929769</v>
      </c>
      <c r="H118" s="21" t="n">
        <f aca="false">H105/H107</f>
        <v>1.43708924951261</v>
      </c>
      <c r="I118" s="21" t="n">
        <f aca="false">I105/I107</f>
        <v>1.91164900235392</v>
      </c>
      <c r="K118" s="2"/>
    </row>
    <row r="119" customFormat="false" ht="15" hidden="false" customHeight="false" outlineLevel="0" collapsed="false">
      <c r="A119" s="9" t="s">
        <v>5111</v>
      </c>
      <c r="B119" s="11" t="s">
        <v>5112</v>
      </c>
      <c r="C119" s="9" t="s">
        <v>2742</v>
      </c>
      <c r="D119" s="18" t="n">
        <f aca="false">D105/Compute!D91</f>
        <v>5.42573533424284</v>
      </c>
      <c r="E119" s="18" t="n">
        <f aca="false">E105/Compute!E91</f>
        <v>17.851273024261</v>
      </c>
      <c r="F119" s="18" t="n">
        <f aca="false">F105/Compute!F91</f>
        <v>10.1261631305235</v>
      </c>
      <c r="G119" s="18" t="n">
        <f aca="false">G105/Compute!G91</f>
        <v>10.3267573821645</v>
      </c>
      <c r="H119" s="18" t="n">
        <f aca="false">H105/Compute!H91</f>
        <v>14.4882526981258</v>
      </c>
      <c r="I119" s="18" t="n">
        <f aca="false">I105/Compute!I91</f>
        <v>19.4105473279634</v>
      </c>
      <c r="K119" s="2" t="s">
        <v>5113</v>
      </c>
    </row>
    <row r="120" customFormat="false" ht="15" hidden="false" customHeight="false" outlineLevel="0" collapsed="false">
      <c r="A120" s="9" t="s">
        <v>5114</v>
      </c>
      <c r="B120" s="11" t="s">
        <v>5115</v>
      </c>
      <c r="C120" s="9" t="s">
        <v>2742</v>
      </c>
      <c r="D120" s="18" t="n">
        <f aca="false">D108/Compute!D91</f>
        <v>-10.2793997271487</v>
      </c>
      <c r="E120" s="18" t="n">
        <f aca="false">E108/Compute!E91</f>
        <v>-2.24869819114262</v>
      </c>
      <c r="F120" s="18" t="n">
        <f aca="false">F108/Compute!F91</f>
        <v>-3.01028148257663</v>
      </c>
      <c r="G120" s="18" t="n">
        <f aca="false">G108/Compute!G91</f>
        <v>-1.79858570504567</v>
      </c>
      <c r="H120" s="18" t="n">
        <f aca="false">H108/Compute!H91</f>
        <v>3.87887616261004</v>
      </c>
      <c r="I120" s="18" t="n">
        <f aca="false">I108/Compute!I91</f>
        <v>8.65295096980919</v>
      </c>
      <c r="K120" s="2"/>
    </row>
    <row r="121" customFormat="false" ht="15" hidden="false" customHeight="false" outlineLevel="0" collapsed="false">
      <c r="A121" s="9" t="s">
        <v>5116</v>
      </c>
      <c r="B121" s="11" t="s">
        <v>5117</v>
      </c>
      <c r="C121" s="9" t="s">
        <v>2742</v>
      </c>
      <c r="D121" s="18" t="n">
        <f aca="false">D79/D104</f>
        <v>126.811190351221</v>
      </c>
      <c r="E121" s="18" t="n">
        <f aca="false">E79/E104</f>
        <v>23.963428169621</v>
      </c>
      <c r="F121" s="18" t="n">
        <f aca="false">F79/F104</f>
        <v>15.8941558636591</v>
      </c>
      <c r="G121" s="18" t="n">
        <f aca="false">G79/G104</f>
        <v>14.8068090173773</v>
      </c>
      <c r="H121" s="18" t="n">
        <f aca="false">H79/H104</f>
        <v>13.7349063563533</v>
      </c>
      <c r="I121" s="18" t="n">
        <f aca="false">I79/I104</f>
        <v>13.1672700043089</v>
      </c>
      <c r="K121" s="2"/>
    </row>
    <row r="122" customFormat="false" ht="15" hidden="false" customHeight="false" outlineLevel="0" collapsed="false">
      <c r="A122" s="9" t="s">
        <v>5118</v>
      </c>
      <c r="B122" s="11" t="s">
        <v>5119</v>
      </c>
      <c r="C122" s="9" t="s">
        <v>2742</v>
      </c>
      <c r="D122" s="18" t="n">
        <f aca="false">D109-D121-D111-D112</f>
        <v>-139.267405501682</v>
      </c>
      <c r="E122" s="18" t="n">
        <f aca="false">E109-E121-E111-E112</f>
        <v>10.1431887249924</v>
      </c>
      <c r="F122" s="18" t="n">
        <f aca="false">F109-F121-F111-F112</f>
        <v>-1.99824776605687</v>
      </c>
      <c r="G122" s="18" t="n">
        <f aca="false">G109-G121-G111-G112</f>
        <v>-1.31901397900918</v>
      </c>
      <c r="H122" s="18" t="n">
        <f aca="false">H109-H121-H111-H112</f>
        <v>4.12976013448421</v>
      </c>
      <c r="I122" s="18" t="n">
        <f aca="false">I109-I121-I111-I112</f>
        <v>10.3456216198998</v>
      </c>
      <c r="K122" s="2"/>
    </row>
    <row r="123" customFormat="false" ht="15" hidden="false" customHeight="false" outlineLevel="0" collapsed="false">
      <c r="A123" s="9" t="s">
        <v>5120</v>
      </c>
      <c r="B123" s="11" t="s">
        <v>5121</v>
      </c>
      <c r="C123" s="9" t="s">
        <v>482</v>
      </c>
      <c r="D123" s="17" t="n">
        <f aca="false">D105-D79-D89-D88</f>
        <v>-8.05</v>
      </c>
      <c r="E123" s="17" t="n">
        <f aca="false">E105-E79-E89-E88</f>
        <v>10.9008873081093</v>
      </c>
      <c r="F123" s="17" t="n">
        <f aca="false">F105-F79-F89-F88</f>
        <v>-9.21111685108475</v>
      </c>
      <c r="G123" s="17" t="n">
        <f aca="false">G105-G79-G89-G88</f>
        <v>-9.73680019009125</v>
      </c>
      <c r="H123" s="17" t="n">
        <f aca="false">H105-H79-H89-H88</f>
        <v>32.1680013200518</v>
      </c>
      <c r="I123" s="17" t="n">
        <f aca="false">I105-I79-I89-I88</f>
        <v>80.1307693907312</v>
      </c>
      <c r="K123" s="2"/>
    </row>
    <row r="124" customFormat="false" ht="15" hidden="false" customHeight="false" outlineLevel="0" collapsed="false">
      <c r="A124" s="15" t="s">
        <v>5122</v>
      </c>
    </row>
    <row r="125" customFormat="false" ht="15" hidden="false" customHeight="false" outlineLevel="0" collapsed="false">
      <c r="A125" s="9" t="s">
        <v>5123</v>
      </c>
      <c r="B125" s="9" t="s">
        <v>5124</v>
      </c>
      <c r="C125" s="9" t="s">
        <v>2742</v>
      </c>
      <c r="D125" s="18" t="n">
        <f aca="false">SUMIFS(TK_IF_FullCostDefault_Sol,TK_HdrGen,Compute!$D$11,TK_HdrCost,Compute!$D$12)*Compute!$D$23*TK_IF_Util/INP_111</f>
        <v>21.5728645575517</v>
      </c>
      <c r="E125" s="18" t="n">
        <f aca="false">SUMIFS(TK_IF_FullCostDefault_Sol,TK_HdrGen,Compute!$D$11,TK_HdrCost,Compute!$D$12)*Compute!$D$23*TK_IF_Util/INP_111</f>
        <v>21.5728645575517</v>
      </c>
      <c r="F125" s="18" t="n">
        <f aca="false">SUMIFS(TK_IF_FullCostDefault_Sol,TK_HdrGen,Compute!$D$11,TK_HdrCost,Compute!$D$12)*Compute!$D$23*TK_IF_Util/INP_111</f>
        <v>21.5728645575517</v>
      </c>
      <c r="G125" s="18" t="n">
        <f aca="false">SUMIFS(TK_IF_FullCostDefault_Sol,TK_HdrGen,Compute!$D$11,TK_HdrCost,Compute!$D$12)*Compute!$D$23*TK_IF_Util/INP_111</f>
        <v>21.5728645575517</v>
      </c>
      <c r="H125" s="18" t="n">
        <f aca="false">SUMIFS(TK_IF_FullCostDefault_Sol,TK_HdrGen,Compute!$D$11,TK_HdrCost,Compute!$D$12)*Compute!$D$23*TK_IF_Util/INP_111</f>
        <v>21.5728645575517</v>
      </c>
      <c r="I125" s="18" t="n">
        <f aca="false">SUMIFS(TK_IF_FullCostDefault_Sol,TK_HdrGen,Compute!$D$11,TK_HdrCost,Compute!$D$12)*Compute!$D$23*TK_IF_Util/INP_111</f>
        <v>21.5728645575517</v>
      </c>
      <c r="K125" s="12" t="s">
        <v>5125</v>
      </c>
    </row>
    <row r="126" customFormat="false" ht="15" hidden="false" customHeight="false" outlineLevel="0" collapsed="false">
      <c r="A126" s="9" t="s">
        <v>5126</v>
      </c>
      <c r="B126" s="9" t="s">
        <v>5127</v>
      </c>
      <c r="C126" s="9" t="s">
        <v>2742</v>
      </c>
      <c r="D126" s="18" t="n">
        <f aca="false">SUMIFS(TK_IF_FullCost_Sol,TK_HdrGen,Compute!$D$11,TK_HdrCost,Compute!$D$12)*Compute!$D$23*TK_IF_Util/INP_111</f>
        <v>13.2144585699688</v>
      </c>
      <c r="E126" s="18" t="n">
        <f aca="false">SUMIFS(TK_IF_FullCost_Sol,TK_HdrGen,Compute!$D$11,TK_HdrCost,Compute!$D$12)*Compute!$D$23*TK_IF_Util/INP_111</f>
        <v>13.2144585699688</v>
      </c>
      <c r="F126" s="18" t="n">
        <f aca="false">SUMIFS(TK_IF_FullCost_Sol,TK_HdrGen,Compute!$D$11,TK_HdrCost,Compute!$D$12)*Compute!$D$23*TK_IF_Util/INP_111</f>
        <v>13.2144585699688</v>
      </c>
      <c r="G126" s="18" t="n">
        <f aca="false">SUMIFS(TK_IF_FullCost_Sol,TK_HdrGen,Compute!$D$11,TK_HdrCost,Compute!$D$12)*Compute!$D$23*TK_IF_Util/INP_111</f>
        <v>13.2144585699688</v>
      </c>
      <c r="H126" s="18" t="n">
        <f aca="false">SUMIFS(TK_IF_FullCost_Sol,TK_HdrGen,Compute!$D$11,TK_HdrCost,Compute!$D$12)*Compute!$D$23*TK_IF_Util/INP_111</f>
        <v>13.2144585699688</v>
      </c>
      <c r="I126" s="18" t="n">
        <f aca="false">SUMIFS(TK_IF_FullCost_Sol,TK_HdrGen,Compute!$D$11,TK_HdrCost,Compute!$D$12)*Compute!$D$23*TK_IF_Util/INP_111</f>
        <v>13.2144585699688</v>
      </c>
      <c r="K126" s="12" t="s">
        <v>5125</v>
      </c>
    </row>
    <row r="127" customFormat="false" ht="15" hidden="false" customHeight="false" outlineLevel="0" collapsed="false">
      <c r="A127" s="9" t="s">
        <v>5128</v>
      </c>
      <c r="B127" s="11" t="s">
        <v>5129</v>
      </c>
      <c r="C127" s="9" t="s">
        <v>2742</v>
      </c>
      <c r="D127" s="18" t="n">
        <f aca="false">D110-D125</f>
        <v>105.238325793669</v>
      </c>
      <c r="E127" s="18" t="n">
        <f aca="false">E110-E125</f>
        <v>17.8987640583558</v>
      </c>
      <c r="F127" s="18" t="n">
        <f aca="false">F110-F125</f>
        <v>-2.76670344007439</v>
      </c>
      <c r="G127" s="18" t="n">
        <f aca="false">G110-G125</f>
        <v>-5.38704675414329</v>
      </c>
      <c r="H127" s="18" t="n">
        <f aca="false">H110-H125</f>
        <v>-9.0871679939847</v>
      </c>
      <c r="I127" s="18" t="n">
        <f aca="false">I110-I125</f>
        <v>-9.6618903541493</v>
      </c>
      <c r="K127" s="2"/>
    </row>
    <row r="128" customFormat="false" ht="15" hidden="false" customHeight="false" outlineLevel="0" collapsed="false">
      <c r="A128" s="15" t="s">
        <v>5130</v>
      </c>
    </row>
    <row r="129" customFormat="false" ht="15" hidden="false" customHeight="false" outlineLevel="0" collapsed="false">
      <c r="A129" s="9" t="s">
        <v>5131</v>
      </c>
      <c r="B129" s="11" t="s">
        <v>5132</v>
      </c>
      <c r="C129" s="9" t="s">
        <v>482</v>
      </c>
      <c r="E129" s="17" t="n">
        <f aca="false">Revenue!E72-E50-E89</f>
        <v>14.0782473081093</v>
      </c>
      <c r="K129" s="2" t="s">
        <v>5133</v>
      </c>
    </row>
    <row r="130" customFormat="false" ht="15" hidden="false" customHeight="false" outlineLevel="0" collapsed="false">
      <c r="A130" s="9" t="s">
        <v>5134</v>
      </c>
      <c r="B130" s="11" t="s">
        <v>5135</v>
      </c>
      <c r="C130" s="11" t="s">
        <v>269</v>
      </c>
      <c r="E130" s="16" t="n">
        <f aca="false">E129/Revenue!E72</f>
        <v>0.307576074057281</v>
      </c>
      <c r="K130" s="2"/>
    </row>
    <row r="131" customFormat="false" ht="15" hidden="false" customHeight="false" outlineLevel="0" collapsed="false">
      <c r="A131" s="9" t="s">
        <v>5136</v>
      </c>
      <c r="B131" s="11" t="s">
        <v>5137</v>
      </c>
      <c r="C131" s="11" t="s">
        <v>269</v>
      </c>
      <c r="E131" s="16" t="n">
        <f aca="false">SRC_ANT_348/SRC_ANT_347</f>
        <v>0.0512844036697248</v>
      </c>
      <c r="K131" s="12" t="s">
        <v>5138</v>
      </c>
    </row>
    <row r="132" customFormat="false" ht="15" hidden="false" customHeight="false" outlineLevel="0" collapsed="false">
      <c r="A132" s="15" t="s">
        <v>5139</v>
      </c>
    </row>
    <row r="133" customFormat="false" ht="15" hidden="false" customHeight="false" outlineLevel="0" collapsed="false">
      <c r="A133" s="9" t="s">
        <v>5140</v>
      </c>
      <c r="B133" s="11" t="s">
        <v>5141</v>
      </c>
      <c r="C133" s="9" t="s">
        <v>482</v>
      </c>
      <c r="D133" s="17" t="n">
        <f aca="false">D39+D40+D41+D42+D43+D44+D45+D46+D47+D48+D49-D50</f>
        <v>0</v>
      </c>
      <c r="E133" s="17" t="n">
        <f aca="false">E39+E40+E41+E42+E43+E44+E45+E46+E47+E48+E49-E50</f>
        <v>0</v>
      </c>
      <c r="F133" s="17" t="n">
        <f aca="false">F39+F40+F41+F42+F43+F44+F45+F46+F47+F48+F49-F50</f>
        <v>0</v>
      </c>
      <c r="G133" s="17" t="n">
        <f aca="false">G39+G40+G41+G42+G43+G44+G45+G46+G47+G48+G49-G50</f>
        <v>0</v>
      </c>
      <c r="H133" s="17" t="n">
        <f aca="false">H39+H40+H41+H42+H43+H44+H45+H46+H47+H48+H49-H50</f>
        <v>0</v>
      </c>
      <c r="I133" s="17" t="n">
        <f aca="false">I39+I40+I41+I42+I43+I44+I45+I46+I47+I48+I49-I50</f>
        <v>0</v>
      </c>
      <c r="K133" s="2"/>
    </row>
    <row r="134" customFormat="false" ht="15" hidden="false" customHeight="false" outlineLevel="0" collapsed="false">
      <c r="A134" s="9" t="s">
        <v>5142</v>
      </c>
      <c r="B134" s="11" t="s">
        <v>5143</v>
      </c>
      <c r="C134" s="9" t="s">
        <v>482</v>
      </c>
      <c r="D134" s="17" t="n">
        <f aca="false">ABS(Compute!D73*Compute!D48-D40)+ABS(Compute!D75*Compute!D56-D42)+ABS(Compute!D76*Compute!D36-D43)+ABS(Compute!D78*Compute!D28-D45)+ABS(Compute!D82*Compute!D32-D49)+ABS(Compute!D68*Compute!D67-D39)+INP_182*(1-INP_187)*(ABS(Compute!D79*Compute!D40-D46)+ABS(Compute!D80*Compute!D36-D47))</f>
        <v>0</v>
      </c>
      <c r="E134" s="17" t="n">
        <f aca="false">ABS(Compute!E73*Compute!E48-E40)+ABS(Compute!E75*Compute!E56-E42)+ABS(Compute!E76*Compute!E36-E43)+ABS(Compute!E78*Compute!E28-E45)+ABS(Compute!E82*Compute!E32-E49)+ABS(Compute!E68*Compute!E67-E39)+INP_182*(1-INP_187)*(ABS(Compute!E79*Compute!E40-E46)+ABS(Compute!E80*Compute!E36-E47))</f>
        <v>0</v>
      </c>
      <c r="F134" s="17" t="n">
        <f aca="false">ABS(Compute!F73*Compute!F48-F40)+ABS(Compute!F75*Compute!F56-F42)+ABS(Compute!F76*Compute!F36-F43)+ABS(Compute!F78*Compute!F28-F45)+ABS(Compute!F82*Compute!F32-F49)+ABS(Compute!F68*Compute!F67-F39)+INP_182*(1-INP_187)*(ABS(Compute!F79*Compute!F40-F46)+ABS(Compute!F80*Compute!F36-F47))</f>
        <v>0</v>
      </c>
      <c r="G134" s="17" t="n">
        <f aca="false">ABS(Compute!G73*Compute!G48-G40)+ABS(Compute!G75*Compute!G56-G42)+ABS(Compute!G76*Compute!G36-G43)+ABS(Compute!G78*Compute!G28-G45)+ABS(Compute!G82*Compute!G32-G49)+ABS(Compute!G68*Compute!G67-G39)+INP_182*(1-INP_187)*(ABS(Compute!G79*Compute!G40-G46)+ABS(Compute!G80*Compute!G36-G47))</f>
        <v>0</v>
      </c>
      <c r="H134" s="17" t="n">
        <f aca="false">ABS(Compute!H73*Compute!H48-H40)+ABS(Compute!H75*Compute!H56-H42)+ABS(Compute!H76*Compute!H36-H43)+ABS(Compute!H78*Compute!H28-H45)+ABS(Compute!H82*Compute!H32-H49)+ABS(Compute!H68*Compute!H67-H39)+INP_182*(1-INP_187)*(ABS(Compute!H79*Compute!H40-H46)+ABS(Compute!H80*Compute!H36-H47))</f>
        <v>0</v>
      </c>
      <c r="I134" s="17" t="n">
        <f aca="false">ABS(Compute!I73*Compute!I48-I40)+ABS(Compute!I75*Compute!I56-I42)+ABS(Compute!I76*Compute!I36-I43)+ABS(Compute!I78*Compute!I28-I45)+ABS(Compute!I82*Compute!I32-I49)+ABS(Compute!I68*Compute!I67-I39)+INP_182*(1-INP_187)*(ABS(Compute!I79*Compute!I40-I46)+ABS(Compute!I80*Compute!I36-I47))</f>
        <v>0</v>
      </c>
      <c r="K134" s="12" t="s">
        <v>5144</v>
      </c>
    </row>
    <row r="135" customFormat="false" ht="15" hidden="false" customHeight="false" outlineLevel="0" collapsed="false">
      <c r="A135" s="9" t="s">
        <v>5145</v>
      </c>
      <c r="B135" s="11" t="s">
        <v>5146</v>
      </c>
      <c r="C135" s="9" t="s">
        <v>482</v>
      </c>
      <c r="D135" s="17" t="n">
        <f aca="false">D53-D50-D52</f>
        <v>0</v>
      </c>
      <c r="E135" s="17" t="n">
        <f aca="false">E53-E50-E52</f>
        <v>0</v>
      </c>
      <c r="F135" s="17" t="n">
        <f aca="false">F53-F50-F52</f>
        <v>0</v>
      </c>
      <c r="G135" s="17" t="n">
        <f aca="false">G53-G50-G52</f>
        <v>0</v>
      </c>
      <c r="H135" s="17" t="n">
        <f aca="false">H53-H50-H52</f>
        <v>0</v>
      </c>
      <c r="I135" s="17" t="n">
        <f aca="false">I53-I50-I52</f>
        <v>0</v>
      </c>
      <c r="K135" s="2"/>
    </row>
    <row r="136" customFormat="false" ht="15" hidden="false" customHeight="false" outlineLevel="0" collapsed="false">
      <c r="A136" s="9" t="s">
        <v>5147</v>
      </c>
      <c r="B136" s="11" t="s">
        <v>5148</v>
      </c>
      <c r="C136" s="9" t="s">
        <v>482</v>
      </c>
      <c r="D136" s="17" t="n">
        <f aca="false">D106-D53-D89-D88</f>
        <v>0</v>
      </c>
      <c r="E136" s="17" t="n">
        <f aca="false">E106-E53-E89-E88</f>
        <v>0</v>
      </c>
      <c r="F136" s="17" t="n">
        <f aca="false">F106-F53-F89-F88</f>
        <v>0</v>
      </c>
      <c r="G136" s="17" t="n">
        <f aca="false">G106-G53-G89-G88</f>
        <v>0</v>
      </c>
      <c r="H136" s="17" t="n">
        <f aca="false">H106-H53-H89-H88</f>
        <v>0</v>
      </c>
      <c r="I136" s="17" t="n">
        <f aca="false">I106-I53-I89-I88</f>
        <v>0</v>
      </c>
      <c r="K136" s="2"/>
    </row>
    <row r="137" customFormat="false" ht="15" hidden="false" customHeight="false" outlineLevel="0" collapsed="false">
      <c r="A137" s="15" t="s">
        <v>5149</v>
      </c>
    </row>
    <row r="138" customFormat="false" ht="15" hidden="false" customHeight="false" outlineLevel="0" collapsed="false">
      <c r="A138" s="9" t="s">
        <v>5150</v>
      </c>
      <c r="B138" s="11" t="s">
        <v>5151</v>
      </c>
      <c r="C138" s="9" t="s">
        <v>482</v>
      </c>
      <c r="D138" s="17" t="n">
        <f aca="false">SRC_ANT_247_Lo</f>
        <v>111.1</v>
      </c>
      <c r="K138" s="2" t="s">
        <v>5152</v>
      </c>
    </row>
    <row r="139" customFormat="false" ht="15" hidden="false" customHeight="false" outlineLevel="0" collapsed="false">
      <c r="A139" s="9" t="s">
        <v>5153</v>
      </c>
      <c r="B139" s="11" t="s">
        <v>5154</v>
      </c>
      <c r="C139" s="9" t="s">
        <v>482</v>
      </c>
      <c r="D139" s="17" t="n">
        <f aca="false">SRC_ANT_250</f>
        <v>125.2</v>
      </c>
      <c r="K139" s="2" t="s">
        <v>5152</v>
      </c>
    </row>
    <row r="140" customFormat="false" ht="15" hidden="false" customHeight="false" outlineLevel="0" collapsed="false">
      <c r="A140" s="9" t="s">
        <v>5155</v>
      </c>
      <c r="B140" s="11" t="s">
        <v>5156</v>
      </c>
      <c r="C140" s="9" t="s">
        <v>482</v>
      </c>
      <c r="D140" s="17" t="n">
        <f aca="false">SRC_ANT_248</f>
        <v>110</v>
      </c>
      <c r="K140" s="2" t="s">
        <v>5152</v>
      </c>
    </row>
    <row r="141" customFormat="false" ht="15" hidden="false" customHeight="false" outlineLevel="0" collapsed="false">
      <c r="A141" s="9" t="s">
        <v>5157</v>
      </c>
      <c r="B141" s="11" t="s">
        <v>5158</v>
      </c>
      <c r="C141" s="9" t="s">
        <v>482</v>
      </c>
      <c r="D141" s="17" t="n">
        <f aca="false">SRC_ANT_211</f>
        <v>31.4</v>
      </c>
      <c r="K141" s="2" t="s">
        <v>5152</v>
      </c>
    </row>
    <row r="142" customFormat="false" ht="15" hidden="false" customHeight="false" outlineLevel="0" collapsed="false">
      <c r="A142" s="9" t="s">
        <v>5159</v>
      </c>
      <c r="B142" s="11" t="s">
        <v>5160</v>
      </c>
      <c r="C142" s="9" t="s">
        <v>482</v>
      </c>
      <c r="D142" s="17" t="n">
        <f aca="false">Compute!$D$234*Compute!D60*((INP_138)+(INP_138)-INP_122+1)/INP_112</f>
        <v>77.76</v>
      </c>
      <c r="K142" s="2" t="s">
        <v>5161</v>
      </c>
    </row>
    <row r="143" customFormat="false" ht="15" hidden="false" customHeight="false" outlineLevel="0" collapsed="false">
      <c r="A143" s="9" t="s">
        <v>5162</v>
      </c>
      <c r="B143" s="11" t="s">
        <v>5163</v>
      </c>
      <c r="C143" s="9" t="s">
        <v>482</v>
      </c>
      <c r="D143" s="17" t="n">
        <f aca="false">SRC_ANT_227*(INP_141+INP_142+(INP_140-(INP_139+1))*INP_008)</f>
        <v>45</v>
      </c>
      <c r="K143" s="2" t="s">
        <v>5164</v>
      </c>
    </row>
    <row r="144" customFormat="false" ht="15" hidden="false" customHeight="false" outlineLevel="0" collapsed="false">
      <c r="A144" s="9" t="s">
        <v>5165</v>
      </c>
      <c r="B144" s="11" t="s">
        <v>5166</v>
      </c>
      <c r="C144" s="9" t="s">
        <v>482</v>
      </c>
      <c r="D144" s="17" t="n">
        <f aca="false">INP_182*$D$206+(1-INP_182)*(SRC_ANT_221)</f>
        <v>48.8395061728395</v>
      </c>
      <c r="K144" s="12" t="s">
        <v>5167</v>
      </c>
    </row>
    <row r="145" customFormat="false" ht="15" hidden="false" customHeight="false" outlineLevel="0" collapsed="false">
      <c r="A145" s="9" t="s">
        <v>5168</v>
      </c>
      <c r="B145" s="11" t="s">
        <v>5169</v>
      </c>
      <c r="C145" s="9" t="s">
        <v>482</v>
      </c>
      <c r="D145" s="17" t="n">
        <f aca="false">INP_182*$D$207+(1-INP_182)*(Compute!$D$235*Compute!D36*((INP_146)+(INP_146)-INP_122+1)/INP_112)</f>
        <v>37.1604938271605</v>
      </c>
      <c r="K145" s="12" t="s">
        <v>5170</v>
      </c>
    </row>
    <row r="146" customFormat="false" ht="15" hidden="false" customHeight="false" outlineLevel="0" collapsed="false">
      <c r="A146" s="9" t="s">
        <v>5171</v>
      </c>
      <c r="B146" s="11" t="s">
        <v>5172</v>
      </c>
      <c r="C146" s="9" t="s">
        <v>482</v>
      </c>
      <c r="D146" s="17" t="n">
        <f aca="false">SRC_ANT_236</f>
        <v>10</v>
      </c>
      <c r="K146" s="2" t="s">
        <v>5152</v>
      </c>
    </row>
    <row r="147" customFormat="false" ht="15" hidden="false" customHeight="false" outlineLevel="0" collapsed="false">
      <c r="A147" s="9" t="s">
        <v>5173</v>
      </c>
      <c r="B147" s="11" t="s">
        <v>5174</v>
      </c>
      <c r="C147" s="9" t="s">
        <v>482</v>
      </c>
      <c r="D147" s="17" t="n">
        <f aca="false">SRC_ANT_234</f>
        <v>1.8</v>
      </c>
      <c r="K147" s="2" t="s">
        <v>5152</v>
      </c>
    </row>
    <row r="148" customFormat="false" ht="15" hidden="false" customHeight="false" outlineLevel="0" collapsed="false">
      <c r="A148" s="9" t="s">
        <v>5175</v>
      </c>
      <c r="B148" s="11" t="s">
        <v>5176</v>
      </c>
      <c r="C148" s="9" t="s">
        <v>482</v>
      </c>
      <c r="D148" s="17" t="n">
        <f aca="false">D138+D139+D140+D141+D142+D143</f>
        <v>500.46</v>
      </c>
      <c r="K148" s="2"/>
    </row>
    <row r="149" customFormat="false" ht="15" hidden="false" customHeight="false" outlineLevel="0" collapsed="false">
      <c r="A149" s="9" t="s">
        <v>5177</v>
      </c>
      <c r="B149" s="11" t="s">
        <v>5178</v>
      </c>
      <c r="C149" s="9" t="s">
        <v>482</v>
      </c>
      <c r="D149" s="17" t="n">
        <f aca="false">D138+D139+D140+D141+D142+D143+D144+D145+D146+D147</f>
        <v>598.26</v>
      </c>
      <c r="K149" s="2"/>
    </row>
    <row r="150" customFormat="false" ht="15" hidden="false" customHeight="false" outlineLevel="0" collapsed="false">
      <c r="A150" s="9" t="s">
        <v>5179</v>
      </c>
      <c r="B150" s="11" t="s">
        <v>5180</v>
      </c>
      <c r="C150" s="9" t="s">
        <v>482</v>
      </c>
      <c r="D150" s="17" t="n">
        <f aca="false">SRC_ANT_247_Lo</f>
        <v>111.1</v>
      </c>
      <c r="K150" s="12" t="s">
        <v>5181</v>
      </c>
    </row>
    <row r="151" customFormat="false" ht="15" hidden="false" customHeight="false" outlineLevel="0" collapsed="false">
      <c r="A151" s="9" t="s">
        <v>5182</v>
      </c>
      <c r="B151" s="11" t="s">
        <v>5183</v>
      </c>
      <c r="C151" s="9" t="s">
        <v>482</v>
      </c>
      <c r="D151" s="17" t="n">
        <f aca="false">SRC_ANT_248</f>
        <v>110</v>
      </c>
      <c r="K151" s="12" t="s">
        <v>5181</v>
      </c>
    </row>
    <row r="152" customFormat="false" ht="15" hidden="false" customHeight="false" outlineLevel="0" collapsed="false">
      <c r="A152" s="9" t="s">
        <v>5184</v>
      </c>
      <c r="B152" s="11" t="s">
        <v>5185</v>
      </c>
      <c r="C152" s="9" t="s">
        <v>482</v>
      </c>
      <c r="D152" s="17" t="n">
        <f aca="false">SRC_ANT_211</f>
        <v>31.4</v>
      </c>
      <c r="K152" s="12" t="s">
        <v>5181</v>
      </c>
    </row>
    <row r="153" customFormat="false" ht="15" hidden="false" customHeight="false" outlineLevel="0" collapsed="false">
      <c r="A153" s="9" t="s">
        <v>5186</v>
      </c>
      <c r="B153" s="11" t="s">
        <v>5187</v>
      </c>
      <c r="C153" s="9" t="s">
        <v>482</v>
      </c>
      <c r="D153" s="17" t="n">
        <f aca="false">SRC_ANT_249</f>
        <v>161.2</v>
      </c>
      <c r="K153" s="12" t="s">
        <v>5181</v>
      </c>
    </row>
    <row r="154" customFormat="false" ht="15" hidden="false" customHeight="false" outlineLevel="0" collapsed="false">
      <c r="A154" s="9" t="s">
        <v>5188</v>
      </c>
      <c r="B154" s="11" t="s">
        <v>5189</v>
      </c>
      <c r="C154" s="9" t="s">
        <v>482</v>
      </c>
      <c r="D154" s="17" t="n">
        <f aca="false">SRC_ANT_229_Hi</f>
        <v>84.5</v>
      </c>
      <c r="K154" s="12" t="s">
        <v>5181</v>
      </c>
    </row>
    <row r="155" customFormat="false" ht="15" hidden="false" customHeight="false" outlineLevel="0" collapsed="false">
      <c r="A155" s="9" t="s">
        <v>5190</v>
      </c>
      <c r="B155" s="11" t="s">
        <v>5191</v>
      </c>
      <c r="C155" s="9" t="s">
        <v>482</v>
      </c>
      <c r="D155" s="17" t="n">
        <f aca="false">SRC_ANT_232_Lo</f>
        <v>20</v>
      </c>
      <c r="K155" s="12" t="s">
        <v>5181</v>
      </c>
    </row>
    <row r="156" customFormat="false" ht="15" hidden="false" customHeight="false" outlineLevel="0" collapsed="false">
      <c r="A156" s="9" t="s">
        <v>5192</v>
      </c>
      <c r="B156" s="11" t="s">
        <v>5193</v>
      </c>
      <c r="C156" s="9" t="s">
        <v>482</v>
      </c>
      <c r="D156" s="17" t="n">
        <f aca="false">D150+D151+D152+D153+D154+D155</f>
        <v>518.2</v>
      </c>
      <c r="K156" s="2"/>
    </row>
    <row r="157" customFormat="false" ht="15" hidden="false" customHeight="false" outlineLevel="0" collapsed="false">
      <c r="A157" s="9" t="s">
        <v>5194</v>
      </c>
      <c r="B157" s="11" t="s">
        <v>5195</v>
      </c>
      <c r="C157" s="9" t="s">
        <v>482</v>
      </c>
      <c r="D157" s="17" t="n">
        <f aca="false">SRC_ANT_245</f>
        <v>518</v>
      </c>
      <c r="K157" s="2"/>
    </row>
    <row r="158" customFormat="false" ht="15" hidden="false" customHeight="false" outlineLevel="0" collapsed="false">
      <c r="A158" s="9" t="s">
        <v>5196</v>
      </c>
      <c r="B158" s="11" t="s">
        <v>5197</v>
      </c>
      <c r="C158" s="11" t="s">
        <v>269</v>
      </c>
      <c r="D158" s="16" t="n">
        <f aca="false">(D148-D157)/D157</f>
        <v>-0.0338610038610039</v>
      </c>
      <c r="K158" s="2"/>
    </row>
    <row r="159" customFormat="false" ht="15" hidden="false" customHeight="false" outlineLevel="0" collapsed="false">
      <c r="A159" s="9" t="s">
        <v>5198</v>
      </c>
      <c r="B159" s="11" t="s">
        <v>5199</v>
      </c>
      <c r="C159" s="11" t="s">
        <v>269</v>
      </c>
      <c r="D159" s="16" t="n">
        <f aca="false">(D149-SRC_ANT_241_Hi)/SRC_ANT_241_Hi</f>
        <v>0.157176015473888</v>
      </c>
      <c r="K159" s="2"/>
    </row>
    <row r="160" customFormat="false" ht="15" hidden="false" customHeight="false" outlineLevel="0" collapsed="false">
      <c r="A160" s="15" t="s">
        <v>5200</v>
      </c>
    </row>
    <row r="161" customFormat="false" ht="15" hidden="false" customHeight="false" outlineLevel="0" collapsed="false">
      <c r="A161" s="9" t="s">
        <v>5201</v>
      </c>
      <c r="B161" s="11" t="s">
        <v>5202</v>
      </c>
      <c r="C161" s="11" t="s">
        <v>269</v>
      </c>
      <c r="D161" s="16" t="n">
        <f aca="false">($D$138-(SRC_ANT_397))/(SRC_ANT_397)</f>
        <v>0.00090090090090085</v>
      </c>
      <c r="K161" s="2"/>
    </row>
    <row r="162" customFormat="false" ht="15" hidden="false" customHeight="false" outlineLevel="0" collapsed="false">
      <c r="A162" s="9" t="s">
        <v>5203</v>
      </c>
      <c r="B162" s="11" t="s">
        <v>5204</v>
      </c>
      <c r="C162" s="11" t="s">
        <v>269</v>
      </c>
      <c r="D162" s="16" t="n">
        <f aca="false">($D$140-(SRC_ANT_398))/(SRC_ANT_398)</f>
        <v>0</v>
      </c>
      <c r="K162" s="2"/>
    </row>
    <row r="163" customFormat="false" ht="15" hidden="false" customHeight="false" outlineLevel="0" collapsed="false">
      <c r="A163" s="9" t="s">
        <v>5205</v>
      </c>
      <c r="B163" s="11" t="s">
        <v>5206</v>
      </c>
      <c r="C163" s="11" t="s">
        <v>269</v>
      </c>
      <c r="D163" s="16" t="n">
        <f aca="false">($D$141-(SRC_ANT_399))/(SRC_ANT_399)</f>
        <v>0.0129032258064516</v>
      </c>
      <c r="K163" s="2"/>
    </row>
    <row r="164" customFormat="false" ht="15" hidden="false" customHeight="false" outlineLevel="0" collapsed="false">
      <c r="A164" s="9" t="s">
        <v>5207</v>
      </c>
      <c r="B164" s="11" t="s">
        <v>5208</v>
      </c>
      <c r="C164" s="11" t="s">
        <v>269</v>
      </c>
      <c r="D164" s="16" t="n">
        <f aca="false">($D$139-(SRC_ANT_401_Lo))/(SRC_ANT_401_Lo)</f>
        <v>-0.2175</v>
      </c>
      <c r="K164" s="2"/>
    </row>
    <row r="165" customFormat="false" ht="15" hidden="false" customHeight="false" outlineLevel="0" collapsed="false">
      <c r="A165" s="9" t="s">
        <v>5209</v>
      </c>
      <c r="B165" s="11" t="s">
        <v>5210</v>
      </c>
      <c r="C165" s="11" t="s">
        <v>269</v>
      </c>
      <c r="D165" s="16" t="n">
        <f aca="false">($D$143-(SRC_ANT_229_Hi))/(SRC_ANT_229_Hi)</f>
        <v>-0.467455621301775</v>
      </c>
      <c r="K165" s="2"/>
    </row>
    <row r="166" customFormat="false" ht="15" hidden="false" customHeight="false" outlineLevel="0" collapsed="false">
      <c r="A166" s="9" t="s">
        <v>5211</v>
      </c>
      <c r="B166" s="11" t="s">
        <v>5212</v>
      </c>
      <c r="C166" s="11" t="s">
        <v>269</v>
      </c>
      <c r="D166" s="16" t="n">
        <f aca="false">($D$142-(SRC_ANT_232_Lo))/(SRC_ANT_232_Lo)</f>
        <v>2.888</v>
      </c>
      <c r="K166" s="2"/>
    </row>
    <row r="167" customFormat="false" ht="15" hidden="false" customHeight="false" outlineLevel="0" collapsed="false">
      <c r="A167" s="9" t="s">
        <v>5213</v>
      </c>
      <c r="B167" s="11" t="s">
        <v>5214</v>
      </c>
      <c r="C167" s="11" t="s">
        <v>269</v>
      </c>
      <c r="D167" s="16" t="n">
        <f aca="false">MAX(ABS($D$161),ABS($D$162),ABS($D$163),ABS($D$164),ABS($D$165),ABS($D$166),ABS($D$208),ABS($D$210))</f>
        <v>2.888</v>
      </c>
      <c r="K167" s="12" t="s">
        <v>5215</v>
      </c>
    </row>
    <row r="168" customFormat="false" ht="15" hidden="false" customHeight="false" outlineLevel="0" collapsed="false">
      <c r="A168" s="15" t="s">
        <v>5216</v>
      </c>
    </row>
    <row r="169" customFormat="false" ht="15" hidden="false" customHeight="false" outlineLevel="0" collapsed="false">
      <c r="A169" s="9" t="s">
        <v>5217</v>
      </c>
      <c r="B169" s="11" t="s">
        <v>5218</v>
      </c>
      <c r="C169" s="11" t="s">
        <v>747</v>
      </c>
      <c r="D169" s="21" t="n">
        <f aca="false">(SRC_ANT_397)/$D$138</f>
        <v>0.999099909990999</v>
      </c>
      <c r="K169" s="2"/>
    </row>
    <row r="170" customFormat="false" ht="15" hidden="false" customHeight="false" outlineLevel="0" collapsed="false">
      <c r="A170" s="9" t="s">
        <v>5219</v>
      </c>
      <c r="B170" s="11" t="s">
        <v>5220</v>
      </c>
      <c r="C170" s="11" t="s">
        <v>747</v>
      </c>
      <c r="D170" s="21" t="n">
        <f aca="false">(SRC_ANT_398)/$D$140</f>
        <v>1</v>
      </c>
      <c r="K170" s="2"/>
    </row>
    <row r="171" customFormat="false" ht="15" hidden="false" customHeight="false" outlineLevel="0" collapsed="false">
      <c r="A171" s="9" t="s">
        <v>5221</v>
      </c>
      <c r="B171" s="11" t="s">
        <v>5222</v>
      </c>
      <c r="C171" s="11" t="s">
        <v>747</v>
      </c>
      <c r="D171" s="21" t="n">
        <f aca="false">(SRC_ANT_399)/$D$141</f>
        <v>0.987261146496815</v>
      </c>
      <c r="K171" s="2"/>
    </row>
    <row r="172" customFormat="false" ht="15" hidden="false" customHeight="false" outlineLevel="0" collapsed="false">
      <c r="A172" s="9" t="s">
        <v>5223</v>
      </c>
      <c r="B172" s="11" t="s">
        <v>5224</v>
      </c>
      <c r="C172" s="11" t="s">
        <v>747</v>
      </c>
      <c r="D172" s="21" t="n">
        <f aca="false">(SRC_ANT_401_Lo)/$D$139</f>
        <v>1.2779552715655</v>
      </c>
      <c r="K172" s="2"/>
    </row>
    <row r="173" customFormat="false" ht="15" hidden="false" customHeight="false" outlineLevel="0" collapsed="false">
      <c r="A173" s="9" t="s">
        <v>5225</v>
      </c>
      <c r="B173" s="11" t="s">
        <v>5226</v>
      </c>
      <c r="C173" s="11" t="s">
        <v>747</v>
      </c>
      <c r="D173" s="21" t="n">
        <f aca="false">(SRC_ANT_229_Hi)/$D$143</f>
        <v>1.87777777777778</v>
      </c>
      <c r="K173" s="2"/>
    </row>
    <row r="174" customFormat="false" ht="15" hidden="false" customHeight="false" outlineLevel="0" collapsed="false">
      <c r="A174" s="9" t="s">
        <v>5227</v>
      </c>
      <c r="B174" s="11" t="s">
        <v>5228</v>
      </c>
      <c r="C174" s="11" t="s">
        <v>747</v>
      </c>
      <c r="D174" s="21" t="n">
        <f aca="false">(SRC_ANT_232_Lo)/$D$142</f>
        <v>0.257201646090535</v>
      </c>
      <c r="K174" s="2"/>
    </row>
    <row r="175" customFormat="false" ht="15" hidden="false" customHeight="false" outlineLevel="0" collapsed="false">
      <c r="A175" s="9" t="s">
        <v>5229</v>
      </c>
      <c r="B175" s="11" t="s">
        <v>5230</v>
      </c>
      <c r="C175" s="9" t="s">
        <v>482</v>
      </c>
      <c r="D175" s="17" t="n">
        <f aca="false">D53+D40*($D$169-Compute!$D$62)+D42*($D$170-Compute!$D$62)+D43*($D$171-Compute!$D$62)+D41*($D$172-Compute!$D$62)+D45*($D$173-Compute!$D$62)+D44*($D$174-Compute!$D$62)+D46*($D$209-Compute!$D$62)+D47*($D$211-Compute!$D$62)</f>
        <v>7.33</v>
      </c>
      <c r="E175" s="17" t="n">
        <f aca="false">E53+E40*($D$169-Compute!$D$62)+E42*($D$170-Compute!$D$62)+E43*($D$171-Compute!$D$62)+E41*($D$172-Compute!$D$62)+E45*($D$173-Compute!$D$62)+E44*($D$174-Compute!$D$62)+E46*($D$209-Compute!$D$62)+E47*($D$211-Compute!$D$62)</f>
        <v>51.1912796671165</v>
      </c>
      <c r="F175" s="17" t="n">
        <f aca="false">F53+F40*($D$169-Compute!$D$62)+F42*($D$170-Compute!$D$62)+F43*($D$171-Compute!$D$62)+F41*($D$172-Compute!$D$62)+F45*($D$173-Compute!$D$62)+F44*($D$174-Compute!$D$62)+F46*($D$209-Compute!$D$62)+F47*($D$211-Compute!$D$62)</f>
        <v>97.2602763275278</v>
      </c>
      <c r="G175" s="17" t="n">
        <f aca="false">G53+G40*($D$169-Compute!$D$62)+G42*($D$170-Compute!$D$62)+G43*($D$171-Compute!$D$62)+G41*($D$172-Compute!$D$62)+G45*($D$173-Compute!$D$62)+G44*($D$174-Compute!$D$62)+G46*($D$209-Compute!$D$62)+G47*($D$211-Compute!$D$62)</f>
        <v>127.471303983</v>
      </c>
      <c r="H175" s="17" t="n">
        <f aca="false">H53+H40*($D$169-Compute!$D$62)+H42*($D$170-Compute!$D$62)+H43*($D$171-Compute!$D$62)+H41*($D$172-Compute!$D$62)+H45*($D$173-Compute!$D$62)+H44*($D$174-Compute!$D$62)+H46*($D$209-Compute!$D$62)+H47*($D$211-Compute!$D$62)</f>
        <v>96.4668146451772</v>
      </c>
      <c r="I175" s="17" t="n">
        <f aca="false">I53+I40*($D$169-Compute!$D$62)+I42*($D$170-Compute!$D$62)+I43*($D$171-Compute!$D$62)+I41*($D$172-Compute!$D$62)+I45*($D$173-Compute!$D$62)+I44*($D$174-Compute!$D$62)+I46*($D$209-Compute!$D$62)+I47*($D$211-Compute!$D$62)</f>
        <v>87.0779257562883</v>
      </c>
      <c r="K175" s="2"/>
    </row>
    <row r="176" customFormat="false" ht="15" hidden="false" customHeight="false" outlineLevel="0" collapsed="false">
      <c r="A176" s="9" t="s">
        <v>5231</v>
      </c>
      <c r="B176" s="11" t="s">
        <v>5232</v>
      </c>
      <c r="C176" s="9" t="s">
        <v>482</v>
      </c>
      <c r="D176" s="17" t="n">
        <f aca="false">D175-D53</f>
        <v>0</v>
      </c>
      <c r="E176" s="17" t="n">
        <f aca="false">E175-E53</f>
        <v>8.77111111111111</v>
      </c>
      <c r="F176" s="17" t="n">
        <f aca="false">F175-F53</f>
        <v>10.571452991453</v>
      </c>
      <c r="G176" s="17" t="n">
        <f aca="false">G175-G53</f>
        <v>7.98957264957264</v>
      </c>
      <c r="H176" s="17" t="n">
        <f aca="false">H175-H53</f>
        <v>-0.788205128205135</v>
      </c>
      <c r="I176" s="17" t="n">
        <f aca="false">I175-I53</f>
        <v>-5.17709401709402</v>
      </c>
      <c r="K176" s="2"/>
    </row>
    <row r="177" customFormat="false" ht="15" hidden="false" customHeight="false" outlineLevel="0" collapsed="false">
      <c r="A177" s="9" t="s">
        <v>5233</v>
      </c>
      <c r="B177" s="11" t="s">
        <v>5234</v>
      </c>
      <c r="C177" s="9" t="s">
        <v>1106</v>
      </c>
      <c r="D177" s="21" t="n">
        <f aca="false">Compute!D91+Compute!D73*($D$169-Compute!$D$62)+Compute!D75*($D$170-Compute!$D$62)+Compute!D76*($D$171-Compute!$D$62)+Compute!D78*($D$173-Compute!$D$62)+Compute!D77*($D$174-Compute!$D$62)+INP_182*(Compute!D79*($D$209-Compute!$D$62)+Compute!D80*($D$211-Compute!$D$62))</f>
        <v>0.783119658119658</v>
      </c>
      <c r="E177" s="21" t="n">
        <f aca="false">Compute!E91+Compute!E73*($D$169-Compute!$D$62)+Compute!E75*($D$170-Compute!$D$62)+Compute!E76*($D$171-Compute!$D$62)+Compute!E78*($D$173-Compute!$D$62)+Compute!E77*($D$174-Compute!$D$62)+INP_182*(Compute!E79*($D$209-Compute!$D$62)+Compute!E80*($D$211-Compute!$D$62))</f>
        <v>3.29483915451021</v>
      </c>
      <c r="F177" s="21" t="n">
        <f aca="false">Compute!F91+Compute!F73*($D$169-Compute!$D$62)+Compute!F75*($D$170-Compute!$D$62)+Compute!F76*($D$171-Compute!$D$62)+Compute!F78*($D$173-Compute!$D$62)+Compute!F77*($D$174-Compute!$D$62)+INP_182*(Compute!F79*($D$209-Compute!$D$62)+Compute!F80*($D$211-Compute!$D$62))</f>
        <v>8.01802423032924</v>
      </c>
      <c r="G177" s="21" t="n">
        <f aca="false">Compute!G91+Compute!G73*($D$169-Compute!$D$62)+Compute!G75*($D$170-Compute!$D$62)+Compute!G76*($D$171-Compute!$D$62)+Compute!G78*($D$173-Compute!$D$62)+Compute!G77*($D$174-Compute!$D$62)+INP_182*(Compute!G79*($D$209-Compute!$D$62)+Compute!G80*($D$211-Compute!$D$62))</f>
        <v>10.9756365334044</v>
      </c>
      <c r="H177" s="21" t="n">
        <f aca="false">Compute!H91+Compute!H73*($D$169-Compute!$D$62)+Compute!H75*($D$170-Compute!$D$62)+Compute!H76*($D$171-Compute!$D$62)+Compute!H78*($D$173-Compute!$D$62)+Compute!H77*($D$174-Compute!$D$62)+INP_182*(Compute!H79*($D$209-Compute!$D$62)+Compute!H80*($D$211-Compute!$D$62))</f>
        <v>9.97245475607445</v>
      </c>
      <c r="I177" s="21" t="n">
        <f aca="false">Compute!I91+Compute!I73*($D$169-Compute!$D$62)+Compute!I75*($D$170-Compute!$D$62)+Compute!I76*($D$171-Compute!$D$62)+Compute!I78*($D$173-Compute!$D$62)+Compute!I77*($D$174-Compute!$D$62)+INP_182*(Compute!I79*($D$209-Compute!$D$62)+Compute!I80*($D$211-Compute!$D$62))</f>
        <v>9.19004734866705</v>
      </c>
      <c r="K177" s="12" t="s">
        <v>5235</v>
      </c>
    </row>
    <row r="178" customFormat="false" ht="15" hidden="false" customHeight="false" outlineLevel="0" collapsed="false">
      <c r="A178" s="9" t="s">
        <v>5236</v>
      </c>
      <c r="B178" s="11" t="s">
        <v>5237</v>
      </c>
      <c r="C178" s="9" t="s">
        <v>1106</v>
      </c>
      <c r="D178" s="21" t="n">
        <f aca="false">Compute!D168+Compute!D73*($D$169-Compute!$D$62)*Compute!D49+Compute!D75*($D$170-Compute!$D$62)*Compute!D57+Compute!D76*($D$171-Compute!$D$62)*Compute!D37+Compute!D78*($D$173-Compute!$D$62)*Compute!D29+Compute!D77*($D$174-Compute!$D$62)*Compute!D61+INP_182*(Compute!D79*($D$209-Compute!$D$62)*Compute!D41+Compute!D80*($D$211-Compute!$D$62)*Compute!D37)</f>
        <v>0.0578024697954382</v>
      </c>
      <c r="E178" s="21" t="n">
        <f aca="false">Compute!E168+Compute!E73*($D$169-Compute!$D$62)*Compute!E49+Compute!E75*($D$170-Compute!$D$62)*Compute!E57+Compute!E76*($D$171-Compute!$D$62)*Compute!E37+Compute!E78*($D$173-Compute!$D$62)*Compute!E29+Compute!E77*($D$174-Compute!$D$62)*Compute!E61+INP_182*(Compute!E79*($D$209-Compute!$D$62)*Compute!E41+Compute!E80*($D$211-Compute!$D$62)*Compute!E37)</f>
        <v>1.15127472116434</v>
      </c>
      <c r="F178" s="21" t="n">
        <f aca="false">Compute!F168+Compute!F73*($D$169-Compute!$D$62)*Compute!F49+Compute!F75*($D$170-Compute!$D$62)*Compute!F57+Compute!F76*($D$171-Compute!$D$62)*Compute!F37+Compute!F78*($D$173-Compute!$D$62)*Compute!F29+Compute!F77*($D$174-Compute!$D$62)*Compute!F61+INP_182*(Compute!F79*($D$209-Compute!$D$62)*Compute!F41+Compute!F80*($D$211-Compute!$D$62)*Compute!F37)</f>
        <v>4.30650703356493</v>
      </c>
      <c r="G178" s="21" t="n">
        <f aca="false">Compute!G168+Compute!G73*($D$169-Compute!$D$62)*Compute!G49+Compute!G75*($D$170-Compute!$D$62)*Compute!G57+Compute!G76*($D$171-Compute!$D$62)*Compute!G37+Compute!G78*($D$173-Compute!$D$62)*Compute!G29+Compute!G77*($D$174-Compute!$D$62)*Compute!G61+INP_182*(Compute!G79*($D$209-Compute!$D$62)*Compute!G41+Compute!G80*($D$211-Compute!$D$62)*Compute!G37)</f>
        <v>6.66111410943681</v>
      </c>
      <c r="H178" s="21" t="n">
        <f aca="false">Compute!H168+Compute!H73*($D$169-Compute!$D$62)*Compute!H49+Compute!H75*($D$170-Compute!$D$62)*Compute!H57+Compute!H76*($D$171-Compute!$D$62)*Compute!H37+Compute!H78*($D$173-Compute!$D$62)*Compute!H29+Compute!H77*($D$174-Compute!$D$62)*Compute!H61+INP_182*(Compute!H79*($D$209-Compute!$D$62)*Compute!H41+Compute!H80*($D$211-Compute!$D$62)*Compute!H37)</f>
        <v>6.9914208302834</v>
      </c>
      <c r="I178" s="21" t="n">
        <f aca="false">Compute!I168+Compute!I73*($D$169-Compute!$D$62)*Compute!I49+Compute!I75*($D$170-Compute!$D$62)*Compute!I57+Compute!I76*($D$171-Compute!$D$62)*Compute!I37+Compute!I78*($D$173-Compute!$D$62)*Compute!I29+Compute!I77*($D$174-Compute!$D$62)*Compute!I61+INP_182*(Compute!I79*($D$209-Compute!$D$62)*Compute!I41+Compute!I80*($D$211-Compute!$D$62)*Compute!I37)</f>
        <v>6.90892097571277</v>
      </c>
      <c r="K178" s="2"/>
    </row>
    <row r="179" customFormat="false" ht="15" hidden="false" customHeight="false" outlineLevel="0" collapsed="false">
      <c r="A179" s="9" t="s">
        <v>5238</v>
      </c>
      <c r="B179" s="11" t="s">
        <v>5239</v>
      </c>
      <c r="C179" s="11" t="s">
        <v>747</v>
      </c>
      <c r="D179" s="21" t="n">
        <f aca="false">IF(D$6&lt;=INP_113,Compute!$D$62,MIN(D177*(1-INP_115)*(1-INP_116),Compute!D153)/Compute!D153)</f>
        <v>1</v>
      </c>
      <c r="E179" s="21" t="n">
        <f aca="false">IF(E$6&lt;=INP_113,Compute!$D$62,MIN(E177*(1-INP_115)*(1-INP_116),Compute!E153)/Compute!E153)</f>
        <v>1</v>
      </c>
      <c r="F179" s="21" t="n">
        <f aca="false">IF(F$6&lt;=INP_113,Compute!$D$62,MIN(F177*(1-INP_115)*(1-INP_116),Compute!F153)/Compute!F153)</f>
        <v>1</v>
      </c>
      <c r="G179" s="21" t="n">
        <f aca="false">IF(G$6&lt;=INP_113,Compute!$D$62,MIN(G177*(1-INP_115)*(1-INP_116),Compute!G153)/Compute!G153)</f>
        <v>1</v>
      </c>
      <c r="H179" s="21" t="n">
        <f aca="false">IF(H$6&lt;=INP_113,Compute!$D$62,MIN(H177*(1-INP_115)*(1-INP_116),Compute!H153)/Compute!H153)</f>
        <v>1</v>
      </c>
      <c r="I179" s="21" t="n">
        <f aca="false">IF(I$6&lt;=INP_113,Compute!$D$62,MIN(I177*(1-INP_115)*(1-INP_116),Compute!I153)/Compute!I153)</f>
        <v>1</v>
      </c>
      <c r="K179" s="2" t="s">
        <v>5240</v>
      </c>
    </row>
    <row r="180" customFormat="false" ht="15" hidden="false" customHeight="false" outlineLevel="0" collapsed="false">
      <c r="A180" s="9" t="s">
        <v>5241</v>
      </c>
      <c r="B180" s="11" t="s">
        <v>5242</v>
      </c>
      <c r="C180" s="9" t="s">
        <v>482</v>
      </c>
      <c r="D180" s="17" t="n">
        <f aca="false">Revenue!D72*D179</f>
        <v>4.249</v>
      </c>
      <c r="E180" s="17" t="n">
        <f aca="false">Revenue!E72*E179</f>
        <v>45.7715943974481</v>
      </c>
      <c r="F180" s="17" t="n">
        <f aca="false">Revenue!F72*F179</f>
        <v>76.1385566082697</v>
      </c>
      <c r="G180" s="17" t="n">
        <f aca="false">Revenue!G72*G179</f>
        <v>114.352405776343</v>
      </c>
      <c r="H180" s="17" t="n">
        <f aca="false">Revenue!H72*H179</f>
        <v>156.497881966067</v>
      </c>
      <c r="I180" s="17" t="n">
        <f aca="false">Revenue!I72*I179</f>
        <v>201.579345535295</v>
      </c>
      <c r="K180" s="2"/>
    </row>
    <row r="181" customFormat="false" ht="15" hidden="false" customHeight="false" outlineLevel="0" collapsed="false">
      <c r="A181" s="9" t="s">
        <v>5243</v>
      </c>
      <c r="B181" s="11" t="s">
        <v>5244</v>
      </c>
      <c r="C181" s="9" t="s">
        <v>482</v>
      </c>
      <c r="D181" s="17" t="n">
        <f aca="false">D180-D175-D89-D88</f>
        <v>-8.05</v>
      </c>
      <c r="E181" s="17" t="n">
        <f aca="false">E180-E175-E89-E88</f>
        <v>-14.5368904696684</v>
      </c>
      <c r="F181" s="17" t="n">
        <f aca="false">F180-F175-F89-F88</f>
        <v>-33.2057404420581</v>
      </c>
      <c r="G181" s="17" t="n">
        <f aca="false">G180-G175-G89-G88</f>
        <v>-27.9060473720379</v>
      </c>
      <c r="H181" s="17" t="n">
        <f aca="false">H180-H175-H89-H88</f>
        <v>42.6866946496959</v>
      </c>
      <c r="I181" s="17" t="n">
        <f aca="false">I180-I175-I89-I88</f>
        <v>95.0383516092642</v>
      </c>
      <c r="K181" s="2"/>
    </row>
    <row r="182" customFormat="false" ht="15" hidden="false" customHeight="false" outlineLevel="0" collapsed="false">
      <c r="A182" s="9" t="s">
        <v>5245</v>
      </c>
      <c r="B182" s="11" t="s">
        <v>5246</v>
      </c>
      <c r="C182" s="9" t="s">
        <v>2742</v>
      </c>
      <c r="D182" s="18" t="n">
        <f aca="false">D181/D178</f>
        <v>-139.267405501682</v>
      </c>
      <c r="E182" s="18" t="n">
        <f aca="false">E181/E178</f>
        <v>-12.626778129</v>
      </c>
      <c r="F182" s="18" t="n">
        <f aca="false">F181/F178</f>
        <v>-7.71059705307629</v>
      </c>
      <c r="G182" s="18" t="n">
        <f aca="false">G181/G178</f>
        <v>-4.18939638528386</v>
      </c>
      <c r="H182" s="18" t="n">
        <f aca="false">H181/H178</f>
        <v>6.10558221081444</v>
      </c>
      <c r="I182" s="18" t="n">
        <f aca="false">I181/I178</f>
        <v>13.7558892254459</v>
      </c>
      <c r="K182" s="2"/>
    </row>
    <row r="183" customFormat="false" ht="15" hidden="false" customHeight="false" outlineLevel="0" collapsed="false">
      <c r="A183" s="9" t="s">
        <v>5247</v>
      </c>
      <c r="B183" s="11" t="s">
        <v>5248</v>
      </c>
      <c r="C183" s="9" t="s">
        <v>2742</v>
      </c>
      <c r="D183" s="18" t="n">
        <f aca="false">D182-D115</f>
        <v>0</v>
      </c>
      <c r="E183" s="18" t="n">
        <f aca="false">E182-E115</f>
        <v>-7.26176640770589</v>
      </c>
      <c r="F183" s="18" t="n">
        <f aca="false">F182-F115</f>
        <v>-2.80034403320127</v>
      </c>
      <c r="G183" s="18" t="n">
        <f aca="false">G182-G115</f>
        <v>-1.4913736202436</v>
      </c>
      <c r="H183" s="18" t="n">
        <f aca="false">H182-H115</f>
        <v>0.726612283543918</v>
      </c>
      <c r="I183" s="18" t="n">
        <f aca="false">I182-I115</f>
        <v>2.15397180463956</v>
      </c>
      <c r="K183" s="2"/>
    </row>
    <row r="184" customFormat="false" ht="15" hidden="false" customHeight="false" outlineLevel="0" collapsed="false">
      <c r="A184" s="9" t="s">
        <v>5249</v>
      </c>
      <c r="B184" s="11" t="s">
        <v>5250</v>
      </c>
      <c r="C184" s="9" t="s">
        <v>482</v>
      </c>
      <c r="D184" s="17" t="n">
        <f aca="false">D180-D175-D89</f>
        <v>-6.2848</v>
      </c>
      <c r="E184" s="17" t="n">
        <f aca="false">E180-E175-E89</f>
        <v>-11.3595304696684</v>
      </c>
      <c r="F184" s="17" t="n">
        <f aca="false">F180-F175-F89</f>
        <v>-29.0751724420581</v>
      </c>
      <c r="G184" s="17" t="n">
        <f aca="false">G180-G175-G89</f>
        <v>-22.9493657720379</v>
      </c>
      <c r="H184" s="17" t="n">
        <f aca="false">H180-H175-H89</f>
        <v>48.3868784896959</v>
      </c>
      <c r="I184" s="17" t="n">
        <f aca="false">I180-I175-I89</f>
        <v>101.308553833264</v>
      </c>
      <c r="K184" s="12" t="s">
        <v>5251</v>
      </c>
    </row>
    <row r="185" customFormat="false" ht="15" hidden="false" customHeight="false" outlineLevel="0" collapsed="false">
      <c r="A185" s="15" t="s">
        <v>5252</v>
      </c>
    </row>
    <row r="186" customFormat="false" ht="15" hidden="false" customHeight="false" outlineLevel="0" collapsed="false">
      <c r="A186" s="9" t="s">
        <v>5253</v>
      </c>
      <c r="B186" s="11" t="s">
        <v>5254</v>
      </c>
      <c r="C186" s="9" t="s">
        <v>482</v>
      </c>
      <c r="D186" s="17" t="n">
        <f aca="false">SRC_ANT_218/INP_176*(D$6&gt;=INP_175)</f>
        <v>0</v>
      </c>
      <c r="E186" s="17" t="n">
        <f aca="false">SRC_ANT_218/INP_176*(E$6&gt;=INP_175)</f>
        <v>0</v>
      </c>
      <c r="F186" s="17" t="n">
        <f aca="false">SRC_ANT_218/INP_176*(F$6&gt;=INP_175)</f>
        <v>0</v>
      </c>
      <c r="G186" s="17" t="n">
        <f aca="false">SRC_ANT_218/INP_176*(G$6&gt;=INP_175)</f>
        <v>0.95</v>
      </c>
      <c r="H186" s="17" t="n">
        <f aca="false">SRC_ANT_218/INP_176*(H$6&gt;=INP_175)</f>
        <v>0.95</v>
      </c>
      <c r="I186" s="17" t="n">
        <f aca="false">SRC_ANT_218/INP_176*(I$6&gt;=INP_175)</f>
        <v>0.95</v>
      </c>
      <c r="K186" s="2"/>
    </row>
    <row r="187" customFormat="false" ht="15" hidden="false" customHeight="false" outlineLevel="0" collapsed="false">
      <c r="A187" s="9" t="s">
        <v>5255</v>
      </c>
      <c r="B187" s="11" t="s">
        <v>5256</v>
      </c>
      <c r="C187" s="9" t="s">
        <v>482</v>
      </c>
      <c r="D187" s="17" t="n">
        <f aca="false">SRC_ANT_220/INP_177*(D$6&gt;=INP_175)</f>
        <v>0</v>
      </c>
      <c r="E187" s="17" t="n">
        <f aca="false">SRC_ANT_220/INP_177*(E$6&gt;=INP_175)</f>
        <v>0</v>
      </c>
      <c r="F187" s="17" t="n">
        <f aca="false">SRC_ANT_220/INP_177*(F$6&gt;=INP_175)</f>
        <v>0</v>
      </c>
      <c r="G187" s="17" t="n">
        <f aca="false">SRC_ANT_220/INP_177*(G$6&gt;=INP_175)</f>
        <v>0.455</v>
      </c>
      <c r="H187" s="17" t="n">
        <f aca="false">SRC_ANT_220/INP_177*(H$6&gt;=INP_175)</f>
        <v>0.455</v>
      </c>
      <c r="I187" s="17" t="n">
        <f aca="false">SRC_ANT_220/INP_177*(I$6&gt;=INP_175)</f>
        <v>0.455</v>
      </c>
      <c r="K187" s="2"/>
    </row>
    <row r="188" customFormat="false" ht="15" hidden="false" customHeight="false" outlineLevel="0" collapsed="false">
      <c r="A188" s="9" t="s">
        <v>5257</v>
      </c>
      <c r="B188" s="11" t="s">
        <v>5258</v>
      </c>
      <c r="C188" s="9" t="s">
        <v>482</v>
      </c>
      <c r="D188" s="17" t="n">
        <f aca="false">SRC_ANT_215/INP_178*(D$6&gt;=INP_175)</f>
        <v>0</v>
      </c>
      <c r="E188" s="17" t="n">
        <f aca="false">SRC_ANT_215/INP_178*(E$6&gt;=INP_175)</f>
        <v>0</v>
      </c>
      <c r="F188" s="17" t="n">
        <f aca="false">SRC_ANT_215/INP_178*(F$6&gt;=INP_175)</f>
        <v>0</v>
      </c>
      <c r="G188" s="17" t="n">
        <f aca="false">SRC_ANT_215/INP_178*(G$6&gt;=INP_175)</f>
        <v>0.466666666666667</v>
      </c>
      <c r="H188" s="17" t="n">
        <f aca="false">SRC_ANT_215/INP_178*(H$6&gt;=INP_175)</f>
        <v>0.466666666666667</v>
      </c>
      <c r="I188" s="17" t="n">
        <f aca="false">SRC_ANT_215/INP_178*(I$6&gt;=INP_175)</f>
        <v>0.466666666666667</v>
      </c>
      <c r="K188" s="2"/>
    </row>
    <row r="189" customFormat="false" ht="15" hidden="false" customHeight="false" outlineLevel="0" collapsed="false">
      <c r="A189" s="9" t="s">
        <v>5259</v>
      </c>
      <c r="B189" s="11" t="s">
        <v>5260</v>
      </c>
      <c r="C189" s="9" t="s">
        <v>482</v>
      </c>
      <c r="K189" s="2" t="s">
        <v>5261</v>
      </c>
    </row>
    <row r="190" customFormat="false" ht="15" hidden="false" customHeight="false" outlineLevel="0" collapsed="false">
      <c r="A190" s="9" t="s">
        <v>5262</v>
      </c>
      <c r="B190" s="11" t="s">
        <v>5263</v>
      </c>
      <c r="C190" s="9" t="s">
        <v>482</v>
      </c>
      <c r="D190" s="17" t="n">
        <f aca="false">D186+D187+D188</f>
        <v>0</v>
      </c>
      <c r="E190" s="17" t="n">
        <f aca="false">E186+E187+E188</f>
        <v>0</v>
      </c>
      <c r="F190" s="17" t="n">
        <f aca="false">F186+F187+F188</f>
        <v>0</v>
      </c>
      <c r="G190" s="17" t="n">
        <f aca="false">G186+G187+G188</f>
        <v>1.87166666666667</v>
      </c>
      <c r="H190" s="17" t="n">
        <f aca="false">H186+H187+H188</f>
        <v>1.87166666666667</v>
      </c>
      <c r="I190" s="17" t="n">
        <f aca="false">I186+I187+I188</f>
        <v>1.87166666666667</v>
      </c>
      <c r="K190" s="2"/>
    </row>
    <row r="191" customFormat="false" ht="15" hidden="false" customHeight="false" outlineLevel="0" collapsed="false">
      <c r="A191" s="9" t="s">
        <v>5264</v>
      </c>
      <c r="B191" s="11" t="s">
        <v>5265</v>
      </c>
      <c r="C191" s="9" t="s">
        <v>2742</v>
      </c>
      <c r="D191" s="18" t="n">
        <f aca="false">D115-D190/D104</f>
        <v>-139.267405501682</v>
      </c>
      <c r="E191" s="18" t="n">
        <f aca="false">E115-E190/E104</f>
        <v>-5.36501172129409</v>
      </c>
      <c r="F191" s="18" t="n">
        <f aca="false">F115-F190/F104</f>
        <v>-4.91025301987502</v>
      </c>
      <c r="G191" s="18" t="n">
        <f aca="false">G115-G190/G104</f>
        <v>-2.95157161570798</v>
      </c>
      <c r="H191" s="18" t="n">
        <f aca="false">H115-H190/H104</f>
        <v>5.13868349143825</v>
      </c>
      <c r="I191" s="18" t="n">
        <f aca="false">I115-I190/I104</f>
        <v>11.3602679860244</v>
      </c>
      <c r="K191" s="2"/>
    </row>
    <row r="192" customFormat="false" ht="15" hidden="false" customHeight="false" outlineLevel="0" collapsed="false">
      <c r="A192" s="9" t="s">
        <v>5266</v>
      </c>
      <c r="B192" s="11" t="s">
        <v>5267</v>
      </c>
      <c r="C192" s="9" t="s">
        <v>2742</v>
      </c>
      <c r="D192" s="18" t="n">
        <f aca="false">D191-D115</f>
        <v>0</v>
      </c>
      <c r="E192" s="18" t="n">
        <f aca="false">E191-E115</f>
        <v>0</v>
      </c>
      <c r="F192" s="18" t="n">
        <f aca="false">F191-F115</f>
        <v>0</v>
      </c>
      <c r="G192" s="18" t="n">
        <f aca="false">G191-G115</f>
        <v>-0.253548850667717</v>
      </c>
      <c r="H192" s="18" t="n">
        <f aca="false">H191-H115</f>
        <v>-0.240286435832268</v>
      </c>
      <c r="I192" s="18" t="n">
        <f aca="false">I191-I115</f>
        <v>-0.241649434781943</v>
      </c>
      <c r="K192" s="2"/>
    </row>
    <row r="193" customFormat="false" ht="15" hidden="false" customHeight="false" outlineLevel="0" collapsed="false">
      <c r="A193" s="15" t="s">
        <v>5268</v>
      </c>
    </row>
    <row r="194" customFormat="false" ht="15" hidden="false" customHeight="false" outlineLevel="0" collapsed="false">
      <c r="A194" s="9" t="s">
        <v>5269</v>
      </c>
      <c r="B194" s="11" t="s">
        <v>5270</v>
      </c>
      <c r="C194" s="9" t="s">
        <v>482</v>
      </c>
      <c r="E194" s="17" t="n">
        <f aca="false">SRC_ANT_347*(1-SRC_ANT_052)-SRC_ANT_348</f>
        <v>4.237</v>
      </c>
      <c r="K194" s="12" t="s">
        <v>5271</v>
      </c>
    </row>
    <row r="195" customFormat="false" ht="15" hidden="false" customHeight="false" outlineLevel="0" collapsed="false">
      <c r="A195" s="9" t="s">
        <v>5272</v>
      </c>
      <c r="B195" s="11" t="s">
        <v>5273</v>
      </c>
      <c r="C195" s="9" t="s">
        <v>482</v>
      </c>
      <c r="E195" s="17" t="n">
        <f aca="false">E194*INP_164</f>
        <v>16.948</v>
      </c>
      <c r="K195" s="2"/>
    </row>
    <row r="196" customFormat="false" ht="15" hidden="false" customHeight="false" outlineLevel="0" collapsed="false">
      <c r="A196" s="9" t="s">
        <v>5274</v>
      </c>
      <c r="B196" s="11" t="s">
        <v>5275</v>
      </c>
      <c r="C196" s="9" t="s">
        <v>482</v>
      </c>
      <c r="E196" s="17" t="n">
        <f aca="false">E89+Revenue!E71</f>
        <v>10.0682508025519</v>
      </c>
      <c r="K196" s="2" t="s">
        <v>5276</v>
      </c>
    </row>
    <row r="197" customFormat="false" ht="15" hidden="false" customHeight="false" outlineLevel="0" collapsed="false">
      <c r="A197" s="9" t="s">
        <v>5277</v>
      </c>
      <c r="B197" s="11" t="s">
        <v>5278</v>
      </c>
      <c r="C197" s="9" t="s">
        <v>482</v>
      </c>
      <c r="E197" s="17" t="n">
        <f aca="false">E195-E196</f>
        <v>6.87974919744806</v>
      </c>
      <c r="K197" s="2" t="s">
        <v>5279</v>
      </c>
    </row>
    <row r="198" customFormat="false" ht="15" hidden="false" customHeight="false" outlineLevel="0" collapsed="false">
      <c r="A198" s="9" t="s">
        <v>5280</v>
      </c>
      <c r="B198" s="11" t="s">
        <v>5281</v>
      </c>
      <c r="C198" s="9" t="s">
        <v>482</v>
      </c>
      <c r="E198" s="17" t="n">
        <f aca="false">(E130-E131)*Revenue!E72</f>
        <v>11.7308783844237</v>
      </c>
      <c r="K198" s="2" t="s">
        <v>5282</v>
      </c>
    </row>
    <row r="199" customFormat="false" ht="15" hidden="false" customHeight="false" outlineLevel="0" collapsed="false">
      <c r="A199" s="9" t="s">
        <v>5283</v>
      </c>
      <c r="B199" s="11" t="s">
        <v>5284</v>
      </c>
      <c r="C199" s="11" t="s">
        <v>747</v>
      </c>
      <c r="E199" s="21" t="n">
        <f aca="false">E197/E89</f>
        <v>1.15823711995862</v>
      </c>
      <c r="K199" s="2" t="s">
        <v>5285</v>
      </c>
    </row>
    <row r="200" customFormat="false" ht="15" hidden="false" customHeight="false" outlineLevel="0" collapsed="false">
      <c r="A200" s="9" t="s">
        <v>5286</v>
      </c>
      <c r="B200" s="11" t="s">
        <v>5287</v>
      </c>
      <c r="C200" s="9" t="s">
        <v>482</v>
      </c>
      <c r="E200" s="17" t="n">
        <f aca="false">E89*E199</f>
        <v>6.87974919744806</v>
      </c>
      <c r="F200" s="17" t="n">
        <f aca="false">F89*E199</f>
        <v>9.21198417538295</v>
      </c>
      <c r="G200" s="17" t="n">
        <f aca="false">G89*E199</f>
        <v>11.3860124407733</v>
      </c>
      <c r="H200" s="17" t="n">
        <f aca="false">H89*E199</f>
        <v>13.486731736096</v>
      </c>
      <c r="I200" s="17" t="n">
        <f aca="false">I89*E199</f>
        <v>15.2804670569968</v>
      </c>
      <c r="K200" s="2"/>
    </row>
    <row r="201" customFormat="false" ht="15" hidden="false" customHeight="false" outlineLevel="0" collapsed="false">
      <c r="A201" s="9" t="s">
        <v>5288</v>
      </c>
      <c r="B201" s="11" t="s">
        <v>5289</v>
      </c>
      <c r="C201" s="9" t="s">
        <v>2742</v>
      </c>
      <c r="D201" s="18" t="n">
        <f aca="false">D115</f>
        <v>-139.267405501682</v>
      </c>
      <c r="E201" s="18" t="n">
        <f aca="false">E115-E200/E104</f>
        <v>-11.7665634957463</v>
      </c>
      <c r="F201" s="18" t="n">
        <f aca="false">F115-F200/F104</f>
        <v>-6.9086889421424</v>
      </c>
      <c r="G201" s="18" t="n">
        <f aca="false">G115-G200/G104</f>
        <v>-4.24045038821732</v>
      </c>
      <c r="H201" s="18" t="n">
        <f aca="false">H115-H200/H104</f>
        <v>3.64752983828079</v>
      </c>
      <c r="I201" s="18" t="n">
        <f aca="false">I115-I200/I104</f>
        <v>9.62906814519061</v>
      </c>
      <c r="K201" s="2"/>
    </row>
    <row r="202" customFormat="false" ht="15" hidden="false" customHeight="false" outlineLevel="0" collapsed="false">
      <c r="A202" s="9" t="s">
        <v>5290</v>
      </c>
      <c r="B202" s="11" t="s">
        <v>5291</v>
      </c>
      <c r="C202" s="9" t="s">
        <v>2742</v>
      </c>
      <c r="D202" s="18" t="n">
        <f aca="false">D201-D115</f>
        <v>0</v>
      </c>
      <c r="E202" s="18" t="n">
        <f aca="false">E201-E115</f>
        <v>-6.40155177445218</v>
      </c>
      <c r="F202" s="18" t="n">
        <f aca="false">F201-F115</f>
        <v>-1.99843592226738</v>
      </c>
      <c r="G202" s="18" t="n">
        <f aca="false">G201-G115</f>
        <v>-1.54242762317706</v>
      </c>
      <c r="H202" s="18" t="n">
        <f aca="false">H201-H115</f>
        <v>-1.73144008898973</v>
      </c>
      <c r="I202" s="18" t="n">
        <f aca="false">I201-I115</f>
        <v>-1.97284927561569</v>
      </c>
      <c r="K202" s="2"/>
    </row>
    <row r="203" customFormat="false" ht="15" hidden="false" customHeight="false" outlineLevel="0" collapsed="false">
      <c r="A203" s="15" t="s">
        <v>5292</v>
      </c>
    </row>
    <row r="204" customFormat="false" ht="15" hidden="false" customHeight="false" outlineLevel="0" collapsed="false">
      <c r="A204" s="9" t="s">
        <v>5293</v>
      </c>
      <c r="B204" s="9" t="s">
        <v>5294</v>
      </c>
      <c r="C204" s="11" t="s">
        <v>269</v>
      </c>
      <c r="D204" s="16" t="n">
        <f aca="false">SRC_ANT_222/(SRC_ANT_222+SRC_ANT_224)</f>
        <v>0.567901234567901</v>
      </c>
      <c r="K204" s="2" t="s">
        <v>5295</v>
      </c>
    </row>
    <row r="205" customFormat="false" ht="15" hidden="false" customHeight="false" outlineLevel="0" collapsed="false">
      <c r="A205" s="9" t="s">
        <v>5296</v>
      </c>
      <c r="B205" s="9" t="s">
        <v>5297</v>
      </c>
      <c r="C205" s="11" t="s">
        <v>269</v>
      </c>
      <c r="D205" s="16" t="n">
        <f aca="false">(1-$D$204)</f>
        <v>0.432098765432099</v>
      </c>
      <c r="K205" s="2"/>
    </row>
    <row r="206" customFormat="false" ht="15" hidden="false" customHeight="false" outlineLevel="0" collapsed="false">
      <c r="A206" s="9" t="s">
        <v>5298</v>
      </c>
      <c r="B206" s="9" t="s">
        <v>5299</v>
      </c>
      <c r="C206" s="9" t="s">
        <v>482</v>
      </c>
      <c r="D206" s="17" t="n">
        <f aca="false">SRC_ANT_400*$D$204</f>
        <v>48.8395061728395</v>
      </c>
      <c r="K206" s="12" t="s">
        <v>5300</v>
      </c>
    </row>
    <row r="207" customFormat="false" ht="15" hidden="false" customHeight="false" outlineLevel="0" collapsed="false">
      <c r="A207" s="9" t="s">
        <v>5301</v>
      </c>
      <c r="B207" s="9" t="s">
        <v>5302</v>
      </c>
      <c r="C207" s="9" t="s">
        <v>482</v>
      </c>
      <c r="D207" s="17" t="n">
        <f aca="false">SRC_ANT_400*$D$205</f>
        <v>37.1604938271605</v>
      </c>
      <c r="K207" s="2"/>
    </row>
    <row r="208" customFormat="false" ht="15" hidden="false" customHeight="false" outlineLevel="0" collapsed="false">
      <c r="A208" s="9" t="s">
        <v>5303</v>
      </c>
      <c r="B208" s="11" t="s">
        <v>5304</v>
      </c>
      <c r="C208" s="11" t="s">
        <v>269</v>
      </c>
      <c r="D208" s="16" t="n">
        <f aca="false">($D$144-(SRC_ANT_400*$D$204))/(SRC_ANT_400*$D$204)</f>
        <v>0</v>
      </c>
      <c r="K208" s="2" t="s">
        <v>5305</v>
      </c>
    </row>
    <row r="209" customFormat="false" ht="15" hidden="false" customHeight="false" outlineLevel="0" collapsed="false">
      <c r="A209" s="9" t="s">
        <v>5306</v>
      </c>
      <c r="B209" s="11" t="s">
        <v>5307</v>
      </c>
      <c r="C209" s="11" t="s">
        <v>747</v>
      </c>
      <c r="D209" s="21" t="n">
        <f aca="false">(SRC_ANT_400*$D$204)/$D$144</f>
        <v>1</v>
      </c>
      <c r="K209" s="2" t="s">
        <v>5308</v>
      </c>
    </row>
    <row r="210" customFormat="false" ht="15" hidden="false" customHeight="false" outlineLevel="0" collapsed="false">
      <c r="A210" s="9" t="s">
        <v>5309</v>
      </c>
      <c r="B210" s="11" t="s">
        <v>5310</v>
      </c>
      <c r="C210" s="11" t="s">
        <v>269</v>
      </c>
      <c r="D210" s="16" t="n">
        <f aca="false">($D$145-(SRC_ANT_400*$D$205))/(SRC_ANT_400*$D$205)</f>
        <v>0</v>
      </c>
      <c r="K210" s="2" t="s">
        <v>5305</v>
      </c>
    </row>
    <row r="211" customFormat="false" ht="15" hidden="false" customHeight="false" outlineLevel="0" collapsed="false">
      <c r="A211" s="9" t="s">
        <v>5311</v>
      </c>
      <c r="B211" s="11" t="s">
        <v>5312</v>
      </c>
      <c r="C211" s="11" t="s">
        <v>747</v>
      </c>
      <c r="D211" s="21" t="n">
        <f aca="false">(SRC_ANT_400*$D$205)/$D$145</f>
        <v>1</v>
      </c>
      <c r="K211" s="2" t="s">
        <v>5308</v>
      </c>
    </row>
    <row r="212" customFormat="false" ht="15" hidden="false" customHeight="false" outlineLevel="0" collapsed="false">
      <c r="A212" s="15" t="s">
        <v>5313</v>
      </c>
    </row>
    <row r="213" customFormat="false" ht="15" hidden="false" customHeight="false" outlineLevel="0" collapsed="false">
      <c r="A213" s="9" t="s">
        <v>5314</v>
      </c>
      <c r="B213" s="11" t="s">
        <v>5315</v>
      </c>
      <c r="C213" s="9" t="s">
        <v>482</v>
      </c>
      <c r="D213" s="17" t="n">
        <f aca="false">$D$149-$D$139</f>
        <v>473.06</v>
      </c>
      <c r="K213" s="2" t="s">
        <v>5316</v>
      </c>
    </row>
    <row r="214" customFormat="false" ht="15" hidden="false" customHeight="false" outlineLevel="0" collapsed="false">
      <c r="A214" s="9" t="s">
        <v>5317</v>
      </c>
      <c r="B214" s="11" t="s">
        <v>5318</v>
      </c>
      <c r="C214" s="9" t="s">
        <v>482</v>
      </c>
      <c r="D214" s="17" t="n">
        <f aca="false">SRC_ANT_396</f>
        <v>450</v>
      </c>
      <c r="K214" s="12" t="s">
        <v>5181</v>
      </c>
    </row>
    <row r="215" customFormat="false" ht="15" hidden="false" customHeight="false" outlineLevel="0" collapsed="false">
      <c r="A215" s="9" t="s">
        <v>5319</v>
      </c>
      <c r="B215" s="11" t="s">
        <v>5320</v>
      </c>
      <c r="C215" s="11" t="s">
        <v>269</v>
      </c>
      <c r="D215" s="16" t="n">
        <f aca="false">($D$213-$D$214)/$D$214</f>
        <v>0.0512444444444445</v>
      </c>
      <c r="K215" s="2"/>
    </row>
    <row r="216" customFormat="false" ht="15" hidden="false" customHeight="false" outlineLevel="0" collapsed="false">
      <c r="A216" s="9" t="s">
        <v>5321</v>
      </c>
      <c r="B216" s="11" t="s">
        <v>5322</v>
      </c>
      <c r="C216" s="9" t="s">
        <v>482</v>
      </c>
      <c r="D216" s="17" t="n">
        <f aca="false">$D$149</f>
        <v>598.26</v>
      </c>
      <c r="K216" s="2"/>
    </row>
    <row r="217" customFormat="false" ht="15" hidden="false" customHeight="false" outlineLevel="0" collapsed="false">
      <c r="A217" s="9" t="s">
        <v>5323</v>
      </c>
      <c r="B217" s="11" t="s">
        <v>5324</v>
      </c>
      <c r="C217" s="9" t="s">
        <v>482</v>
      </c>
      <c r="D217" s="17" t="n">
        <f aca="false">SRC_ANT_402</f>
        <v>600</v>
      </c>
      <c r="K217" s="12" t="s">
        <v>5325</v>
      </c>
    </row>
    <row r="218" customFormat="false" ht="15" hidden="false" customHeight="false" outlineLevel="0" collapsed="false">
      <c r="A218" s="9" t="s">
        <v>5326</v>
      </c>
      <c r="B218" s="11" t="s">
        <v>5327</v>
      </c>
      <c r="C218" s="11" t="s">
        <v>269</v>
      </c>
      <c r="D218" s="16" t="n">
        <f aca="false">($D$216-$D$217)/$D$217</f>
        <v>-0.00290000000000002</v>
      </c>
      <c r="K218" s="2"/>
    </row>
    <row r="219" customFormat="false" ht="15" hidden="false" customHeight="false" outlineLevel="0" collapsed="false">
      <c r="A219" s="9" t="s">
        <v>5328</v>
      </c>
      <c r="B219" s="11" t="s">
        <v>5329</v>
      </c>
      <c r="C219" s="9" t="s">
        <v>482</v>
      </c>
      <c r="D219" s="17" t="n">
        <f aca="false">$D$216+$D$250</f>
        <v>748.26</v>
      </c>
      <c r="K219" s="2"/>
    </row>
    <row r="220" customFormat="false" ht="15" hidden="false" customHeight="false" outlineLevel="0" collapsed="false">
      <c r="A220" s="9" t="s">
        <v>5330</v>
      </c>
      <c r="B220" s="11" t="s">
        <v>5331</v>
      </c>
      <c r="C220" s="9" t="s">
        <v>482</v>
      </c>
      <c r="D220" s="17" t="n">
        <f aca="false">SRC_ANT_404</f>
        <v>750</v>
      </c>
      <c r="K220" s="12" t="s">
        <v>5181</v>
      </c>
    </row>
    <row r="221" customFormat="false" ht="15" hidden="false" customHeight="false" outlineLevel="0" collapsed="false">
      <c r="A221" s="9" t="s">
        <v>5332</v>
      </c>
      <c r="B221" s="11" t="s">
        <v>5333</v>
      </c>
      <c r="C221" s="11" t="s">
        <v>269</v>
      </c>
      <c r="D221" s="16" t="n">
        <f aca="false">($D$219-$D$220)/$D$220</f>
        <v>-0.00232000000000001</v>
      </c>
      <c r="K221" s="2"/>
    </row>
    <row r="222" customFormat="false" ht="15" hidden="false" customHeight="false" outlineLevel="0" collapsed="false">
      <c r="A222" s="9" t="s">
        <v>5334</v>
      </c>
      <c r="B222" s="11" t="s">
        <v>5335</v>
      </c>
      <c r="C222" s="9" t="s">
        <v>482</v>
      </c>
      <c r="D222" s="17" t="n">
        <f aca="false">SRC_ANT_397+SRC_ANT_398+SRC_ANT_399+SRC_ANT_400</f>
        <v>338</v>
      </c>
      <c r="K222" s="12" t="s">
        <v>5336</v>
      </c>
    </row>
    <row r="223" customFormat="false" ht="15" hidden="false" customHeight="false" outlineLevel="0" collapsed="false">
      <c r="A223" s="9" t="s">
        <v>5337</v>
      </c>
      <c r="B223" s="11" t="s">
        <v>5338</v>
      </c>
      <c r="C223" s="9" t="s">
        <v>482</v>
      </c>
      <c r="D223" s="17" t="n">
        <f aca="false">$D$214-$D$222</f>
        <v>112</v>
      </c>
      <c r="K223" s="12" t="s">
        <v>5339</v>
      </c>
    </row>
    <row r="224" customFormat="false" ht="15" hidden="false" customHeight="false" outlineLevel="0" collapsed="false">
      <c r="A224" s="9" t="s">
        <v>5340</v>
      </c>
      <c r="B224" s="11" t="s">
        <v>5341</v>
      </c>
      <c r="C224" s="9" t="s">
        <v>482</v>
      </c>
      <c r="D224" s="17" t="n">
        <f aca="false">$D$143+$D$142+$D$146+$D$147</f>
        <v>134.56</v>
      </c>
      <c r="K224" s="2"/>
    </row>
    <row r="225" customFormat="false" ht="15" hidden="false" customHeight="false" outlineLevel="0" collapsed="false">
      <c r="A225" s="9" t="s">
        <v>5342</v>
      </c>
      <c r="B225" s="11" t="s">
        <v>5343</v>
      </c>
      <c r="C225" s="11" t="s">
        <v>269</v>
      </c>
      <c r="D225" s="16" t="n">
        <f aca="false">($D$224-$D$223)/$D$223</f>
        <v>0.201428571428571</v>
      </c>
      <c r="K225" s="2" t="s">
        <v>5344</v>
      </c>
    </row>
    <row r="226" customFormat="false" ht="15" hidden="false" customHeight="false" outlineLevel="0" collapsed="false">
      <c r="A226" s="9" t="s">
        <v>5345</v>
      </c>
      <c r="B226" s="11" t="s">
        <v>5346</v>
      </c>
      <c r="C226" s="9" t="s">
        <v>482</v>
      </c>
      <c r="D226" s="17" t="n">
        <f aca="false">$D$217-$D$214</f>
        <v>150</v>
      </c>
      <c r="K226" s="2" t="s">
        <v>5347</v>
      </c>
    </row>
    <row r="227" customFormat="false" ht="15" hidden="false" customHeight="false" outlineLevel="0" collapsed="false">
      <c r="A227" s="15" t="s">
        <v>5348</v>
      </c>
    </row>
    <row r="228" customFormat="false" ht="15" hidden="false" customHeight="false" outlineLevel="0" collapsed="false">
      <c r="A228" s="9" t="s">
        <v>5349</v>
      </c>
      <c r="B228" s="11" t="s">
        <v>5350</v>
      </c>
      <c r="C228" s="9" t="s">
        <v>482</v>
      </c>
      <c r="E228" s="17" t="n">
        <f aca="false">SRC_ANT_394</f>
        <v>9</v>
      </c>
      <c r="K228" s="12" t="s">
        <v>5351</v>
      </c>
    </row>
    <row r="229" customFormat="false" ht="15" hidden="false" customHeight="false" outlineLevel="0" collapsed="false">
      <c r="A229" s="9" t="s">
        <v>5352</v>
      </c>
      <c r="B229" s="11" t="s">
        <v>5353</v>
      </c>
      <c r="C229" s="9" t="s">
        <v>482</v>
      </c>
      <c r="E229" s="17" t="n">
        <f aca="false">SRC_ANT_408</f>
        <v>9.88235294117647</v>
      </c>
      <c r="K229" s="12" t="s">
        <v>5354</v>
      </c>
    </row>
    <row r="230" customFormat="false" ht="15" hidden="false" customHeight="false" outlineLevel="0" collapsed="false">
      <c r="A230" s="9" t="s">
        <v>5355</v>
      </c>
      <c r="B230" s="11" t="s">
        <v>5356</v>
      </c>
      <c r="C230" s="9" t="s">
        <v>482</v>
      </c>
      <c r="E230" s="17" t="n">
        <f aca="false">SRC_ANT_384*(1+INP_181)/SRC_ANT_387</f>
        <v>9.88235294117647</v>
      </c>
      <c r="K230" s="2" t="s">
        <v>5357</v>
      </c>
    </row>
    <row r="231" customFormat="false" ht="15" hidden="false" customHeight="false" outlineLevel="0" collapsed="false">
      <c r="A231" s="9" t="s">
        <v>5358</v>
      </c>
      <c r="B231" s="11" t="s">
        <v>5359</v>
      </c>
      <c r="C231" s="9" t="s">
        <v>482</v>
      </c>
      <c r="E231" s="17" t="n">
        <f aca="false">E228+E229+E230</f>
        <v>28.7647058823529</v>
      </c>
      <c r="K231" s="2"/>
    </row>
    <row r="232" customFormat="false" ht="15" hidden="false" customHeight="false" outlineLevel="0" collapsed="false">
      <c r="A232" s="9" t="s">
        <v>5360</v>
      </c>
      <c r="B232" s="11" t="s">
        <v>5361</v>
      </c>
      <c r="C232" s="9" t="s">
        <v>482</v>
      </c>
      <c r="E232" s="17" t="n">
        <f aca="false">E50</f>
        <v>25.7535018893387</v>
      </c>
      <c r="K232" s="12" t="s">
        <v>5362</v>
      </c>
    </row>
    <row r="233" customFormat="false" ht="15" hidden="false" customHeight="false" outlineLevel="0" collapsed="false">
      <c r="A233" s="9" t="s">
        <v>5363</v>
      </c>
      <c r="B233" s="11" t="s">
        <v>5364</v>
      </c>
      <c r="C233" s="9" t="s">
        <v>482</v>
      </c>
      <c r="E233" s="17" t="n">
        <f aca="false">E53</f>
        <v>42.4201685560054</v>
      </c>
      <c r="K233" s="12" t="s">
        <v>2966</v>
      </c>
    </row>
    <row r="234" customFormat="false" ht="15" hidden="false" customHeight="false" outlineLevel="0" collapsed="false">
      <c r="A234" s="9" t="s">
        <v>5365</v>
      </c>
      <c r="B234" s="11" t="s">
        <v>5366</v>
      </c>
      <c r="C234" s="9" t="s">
        <v>482</v>
      </c>
      <c r="E234" s="17" t="n">
        <f aca="false">E52</f>
        <v>16.6666666666667</v>
      </c>
      <c r="K234" s="2" t="s">
        <v>5367</v>
      </c>
    </row>
    <row r="235" customFormat="false" ht="15" hidden="false" customHeight="false" outlineLevel="0" collapsed="false">
      <c r="A235" s="9" t="s">
        <v>5368</v>
      </c>
      <c r="B235" s="11" t="s">
        <v>5369</v>
      </c>
      <c r="C235" s="11" t="s">
        <v>269</v>
      </c>
      <c r="E235" s="16" t="n">
        <f aca="false">(E232-E231)/E231</f>
        <v>-0.104683983397222</v>
      </c>
      <c r="K235" s="2"/>
    </row>
    <row r="236" customFormat="false" ht="15" hidden="false" customHeight="false" outlineLevel="0" collapsed="false">
      <c r="A236" s="9" t="s">
        <v>5370</v>
      </c>
      <c r="B236" s="11" t="s">
        <v>5371</v>
      </c>
      <c r="C236" s="11" t="s">
        <v>269</v>
      </c>
      <c r="E236" s="16" t="n">
        <f aca="false">(E233-E231)/E231</f>
        <v>0.474729786200597</v>
      </c>
      <c r="K236" s="2"/>
    </row>
    <row r="237" customFormat="false" ht="15" hidden="false" customHeight="false" outlineLevel="0" collapsed="false">
      <c r="A237" s="9" t="s">
        <v>5372</v>
      </c>
      <c r="B237" s="11" t="s">
        <v>5373</v>
      </c>
      <c r="C237" s="11" t="s">
        <v>269</v>
      </c>
      <c r="E237" s="16" t="n">
        <f aca="false">(E50*INP_009/INP_008-E228)/E228</f>
        <v>0.430750104963263</v>
      </c>
      <c r="K237" s="2" t="s">
        <v>5374</v>
      </c>
    </row>
    <row r="238" customFormat="false" ht="15" hidden="false" customHeight="false" outlineLevel="0" collapsed="false">
      <c r="A238" s="15" t="s">
        <v>5375</v>
      </c>
    </row>
    <row r="239" customFormat="false" ht="15" hidden="false" customHeight="false" outlineLevel="0" collapsed="false">
      <c r="A239" s="9" t="s">
        <v>5376</v>
      </c>
      <c r="B239" s="11" t="s">
        <v>5377</v>
      </c>
      <c r="C239" s="11" t="s">
        <v>269</v>
      </c>
      <c r="E239" s="16" t="n">
        <f aca="false">SRC_ANT_385</f>
        <v>0.11</v>
      </c>
      <c r="K239" s="12" t="s">
        <v>5378</v>
      </c>
    </row>
    <row r="240" customFormat="false" ht="15" hidden="false" customHeight="false" outlineLevel="0" collapsed="false">
      <c r="A240" s="9" t="s">
        <v>5379</v>
      </c>
      <c r="B240" s="11" t="s">
        <v>5380</v>
      </c>
      <c r="C240" s="11" t="s">
        <v>269</v>
      </c>
      <c r="E240" s="16" t="n">
        <f aca="false">E131</f>
        <v>0.0512844036697248</v>
      </c>
      <c r="K240" s="2"/>
    </row>
    <row r="241" customFormat="false" ht="15" hidden="false" customHeight="false" outlineLevel="0" collapsed="false">
      <c r="A241" s="9" t="s">
        <v>5381</v>
      </c>
      <c r="B241" s="11" t="s">
        <v>5382</v>
      </c>
      <c r="C241" s="11" t="s">
        <v>269</v>
      </c>
      <c r="E241" s="16" t="n">
        <f aca="false">E130-E239</f>
        <v>0.197576074057281</v>
      </c>
      <c r="K241" s="2" t="s">
        <v>5383</v>
      </c>
    </row>
    <row r="242" customFormat="false" ht="15" hidden="false" customHeight="false" outlineLevel="0" collapsed="false">
      <c r="A242" s="9" t="s">
        <v>5384</v>
      </c>
      <c r="B242" s="11" t="s">
        <v>5385</v>
      </c>
      <c r="C242" s="11" t="s">
        <v>269</v>
      </c>
      <c r="E242" s="16" t="n">
        <f aca="false">SRC_ANT_408/SRC_ANT_384</f>
        <v>0.588235294117647</v>
      </c>
      <c r="K242" s="2" t="s">
        <v>5386</v>
      </c>
    </row>
    <row r="243" customFormat="false" ht="15" hidden="false" customHeight="false" outlineLevel="0" collapsed="false">
      <c r="A243" s="9" t="s">
        <v>5387</v>
      </c>
      <c r="B243" s="11" t="s">
        <v>5388</v>
      </c>
      <c r="C243" s="9" t="s">
        <v>482</v>
      </c>
      <c r="E243" s="17" t="n">
        <f aca="false">SRC_ANT_384*(1-E242-E239)</f>
        <v>5.06964705882353</v>
      </c>
      <c r="K243" s="2"/>
    </row>
    <row r="244" customFormat="false" ht="15" hidden="false" customHeight="false" outlineLevel="0" collapsed="false">
      <c r="A244" s="9" t="s">
        <v>5389</v>
      </c>
      <c r="B244" s="11" t="s">
        <v>5273</v>
      </c>
      <c r="C244" s="9" t="s">
        <v>482</v>
      </c>
      <c r="E244" s="17" t="n">
        <f aca="false">E243*INP_164</f>
        <v>20.2785882352941</v>
      </c>
      <c r="K244" s="12" t="s">
        <v>5390</v>
      </c>
    </row>
    <row r="245" customFormat="false" ht="15" hidden="false" customHeight="false" outlineLevel="0" collapsed="false">
      <c r="A245" s="9" t="s">
        <v>5391</v>
      </c>
      <c r="B245" s="11" t="s">
        <v>5392</v>
      </c>
      <c r="C245" s="9" t="s">
        <v>482</v>
      </c>
      <c r="E245" s="17" t="n">
        <f aca="false">E244-E196</f>
        <v>10.2103374327422</v>
      </c>
      <c r="K245" s="2" t="s">
        <v>5393</v>
      </c>
    </row>
    <row r="246" customFormat="false" ht="15" hidden="false" customHeight="false" outlineLevel="0" collapsed="false">
      <c r="A246" s="9" t="s">
        <v>5394</v>
      </c>
      <c r="B246" s="11" t="s">
        <v>5395</v>
      </c>
      <c r="C246" s="11" t="s">
        <v>269</v>
      </c>
      <c r="E246" s="16" t="n">
        <f aca="false">E243/SRC_ANT_384</f>
        <v>0.301764705882353</v>
      </c>
      <c r="K246" s="2"/>
    </row>
    <row r="247" customFormat="false" ht="15" hidden="false" customHeight="false" outlineLevel="0" collapsed="false">
      <c r="A247" s="9" t="s">
        <v>5396</v>
      </c>
      <c r="B247" s="11" t="s">
        <v>5397</v>
      </c>
      <c r="C247" s="11" t="s">
        <v>269</v>
      </c>
      <c r="E247" s="16" t="n">
        <f aca="false">E196/Revenue!E67</f>
        <v>0.201768553157353</v>
      </c>
      <c r="K247" s="2"/>
    </row>
    <row r="248" customFormat="false" ht="15" hidden="false" customHeight="false" outlineLevel="0" collapsed="false">
      <c r="A248" s="9" t="s">
        <v>5398</v>
      </c>
      <c r="B248" s="11" t="s">
        <v>5399</v>
      </c>
      <c r="C248" s="9" t="s">
        <v>482</v>
      </c>
      <c r="E248" s="17" t="n">
        <f aca="false">(E246-E247)*Revenue!E67</f>
        <v>4.98980802097747</v>
      </c>
      <c r="K248" s="2" t="s">
        <v>5400</v>
      </c>
    </row>
    <row r="249" customFormat="false" ht="15" hidden="false" customHeight="false" outlineLevel="0" collapsed="false">
      <c r="A249" s="15" t="s">
        <v>5401</v>
      </c>
    </row>
    <row r="250" customFormat="false" ht="15" hidden="false" customHeight="false" outlineLevel="0" collapsed="false">
      <c r="A250" s="9" t="s">
        <v>5402</v>
      </c>
      <c r="B250" s="11" t="s">
        <v>5403</v>
      </c>
      <c r="C250" s="9" t="s">
        <v>482</v>
      </c>
      <c r="D250" s="17" t="n">
        <f aca="false">SRC_ANT_403</f>
        <v>150</v>
      </c>
      <c r="K250" s="2" t="s">
        <v>5404</v>
      </c>
    </row>
    <row r="251" customFormat="false" ht="15" hidden="false" customHeight="false" outlineLevel="0" collapsed="false">
      <c r="A251" s="9" t="s">
        <v>5405</v>
      </c>
      <c r="B251" s="11" t="s">
        <v>5406</v>
      </c>
      <c r="C251" s="11" t="s">
        <v>2189</v>
      </c>
      <c r="D251" s="23" t="n">
        <f aca="false">INP_185</f>
        <v>2028</v>
      </c>
      <c r="K251" s="2"/>
    </row>
    <row r="252" customFormat="false" ht="15" hidden="false" customHeight="false" outlineLevel="0" collapsed="false">
      <c r="A252" s="9" t="s">
        <v>5407</v>
      </c>
      <c r="B252" s="11" t="s">
        <v>5408</v>
      </c>
      <c r="C252" s="11" t="s">
        <v>2189</v>
      </c>
      <c r="D252" s="23" t="n">
        <f aca="false">INP_186</f>
        <v>7</v>
      </c>
      <c r="K252" s="2"/>
    </row>
    <row r="253" customFormat="false" ht="15" hidden="false" customHeight="false" outlineLevel="0" collapsed="false">
      <c r="A253" s="9" t="s">
        <v>5409</v>
      </c>
      <c r="B253" s="9" t="s">
        <v>5410</v>
      </c>
      <c r="C253" s="11" t="s">
        <v>747</v>
      </c>
      <c r="D253" s="21" t="n">
        <f aca="false">(($D$252+$D$252)-INP_122+1)/INP_112</f>
        <v>6.5</v>
      </c>
      <c r="K253" s="2" t="s">
        <v>5411</v>
      </c>
    </row>
    <row r="254" customFormat="false" ht="15" hidden="false" customHeight="false" outlineLevel="0" collapsed="false">
      <c r="A254" s="9" t="s">
        <v>5412</v>
      </c>
      <c r="B254" s="11" t="s">
        <v>5413</v>
      </c>
      <c r="C254" s="9" t="s">
        <v>482</v>
      </c>
      <c r="D254" s="17" t="n">
        <f aca="false">$D$250/$D$253*MIN(INP_122,D$6-$D$251+1)/INP_122*(D$6&gt;=$D$251)*(D$6&lt;$D$251+$D$252)</f>
        <v>-0</v>
      </c>
      <c r="E254" s="17" t="n">
        <f aca="false">$D$250/$D$253*MIN(INP_122,E$6-$D$251+1)/INP_122*(E$6&gt;=$D$251)*(E$6&lt;$D$251+$D$252)</f>
        <v>-0</v>
      </c>
      <c r="F254" s="17" t="n">
        <f aca="false">$D$250/$D$253*MIN(INP_122,F$6-$D$251+1)/INP_122*(F$6&gt;=$D$251)*(F$6&lt;$D$251+$D$252)</f>
        <v>0</v>
      </c>
      <c r="G254" s="17" t="n">
        <f aca="false">$D$250/$D$253*MIN(INP_122,G$6-$D$251+1)/INP_122*(G$6&gt;=$D$251)*(G$6&lt;$D$251+$D$252)</f>
        <v>11.5384615384615</v>
      </c>
      <c r="H254" s="17" t="n">
        <f aca="false">$D$250/$D$253*MIN(INP_122,H$6-$D$251+1)/INP_122*(H$6&gt;=$D$251)*(H$6&lt;$D$251+$D$252)</f>
        <v>23.0769230769231</v>
      </c>
      <c r="I254" s="17" t="n">
        <f aca="false">$D$250/$D$253*MIN(INP_122,I$6-$D$251+1)/INP_122*(I$6&gt;=$D$251)*(I$6&lt;$D$251+$D$252)</f>
        <v>23.0769230769231</v>
      </c>
      <c r="K254" s="2" t="s">
        <v>5414</v>
      </c>
    </row>
    <row r="255" customFormat="false" ht="15" hidden="false" customHeight="false" outlineLevel="0" collapsed="false">
      <c r="A255" s="9" t="s">
        <v>5415</v>
      </c>
      <c r="B255" s="11" t="s">
        <v>5416</v>
      </c>
      <c r="C255" s="9" t="s">
        <v>1106</v>
      </c>
      <c r="D255" s="21" t="n">
        <f aca="false">D254/Compute!D40</f>
        <v>-0</v>
      </c>
      <c r="E255" s="21" t="n">
        <f aca="false">E254/Compute!E40</f>
        <v>-0</v>
      </c>
      <c r="F255" s="21" t="n">
        <f aca="false">F254/Compute!F40</f>
        <v>0</v>
      </c>
      <c r="G255" s="21" t="n">
        <f aca="false">G254/Compute!G40</f>
        <v>0.961538461538462</v>
      </c>
      <c r="H255" s="21" t="n">
        <f aca="false">H254/Compute!H40</f>
        <v>1.92307692307692</v>
      </c>
      <c r="I255" s="21" t="n">
        <f aca="false">I254/Compute!I40</f>
        <v>1.92307692307692</v>
      </c>
      <c r="K255" s="12" t="s">
        <v>5417</v>
      </c>
    </row>
    <row r="256" customFormat="false" ht="15" hidden="false" customHeight="false" outlineLevel="0" collapsed="false">
      <c r="A256" s="9" t="s">
        <v>5418</v>
      </c>
      <c r="B256" s="11" t="s">
        <v>5419</v>
      </c>
      <c r="C256" s="9" t="s">
        <v>1106</v>
      </c>
      <c r="D256" s="21" t="n">
        <f aca="false">Compute!D91+D255</f>
        <v>0.783119658119658</v>
      </c>
      <c r="E256" s="21" t="n">
        <f aca="false">Compute!E91+E255</f>
        <v>2.56405211747317</v>
      </c>
      <c r="F256" s="21" t="n">
        <f aca="false">Compute!F91+F255</f>
        <v>7.51899368268758</v>
      </c>
      <c r="G256" s="21" t="n">
        <f aca="false">Compute!G91+G255</f>
        <v>12.0349472329929</v>
      </c>
      <c r="H256" s="21" t="n">
        <f aca="false">Compute!H91+H255</f>
        <v>12.7247853986829</v>
      </c>
      <c r="I256" s="21" t="n">
        <f aca="false">Compute!I91+I255</f>
        <v>12.3081187320162</v>
      </c>
      <c r="K256" s="2"/>
    </row>
    <row r="257" customFormat="false" ht="15" hidden="false" customHeight="false" outlineLevel="0" collapsed="false">
      <c r="A257" s="9" t="s">
        <v>5420</v>
      </c>
      <c r="B257" s="11" t="s">
        <v>5421</v>
      </c>
      <c r="C257" s="9" t="s">
        <v>1106</v>
      </c>
      <c r="D257" s="21" t="n">
        <f aca="false">Compute!D168+D255*Compute!D41</f>
        <v>0.0578024697954382</v>
      </c>
      <c r="E257" s="21" t="n">
        <f aca="false">Compute!E168+E255*Compute!E41</f>
        <v>1.07470023516865</v>
      </c>
      <c r="F257" s="21" t="n">
        <f aca="false">Compute!F168+F255*Compute!F41</f>
        <v>4.60959697168135</v>
      </c>
      <c r="G257" s="21" t="n">
        <f aca="false">Compute!G168+G255*Compute!G41</f>
        <v>8.34341639842386</v>
      </c>
      <c r="H257" s="21" t="n">
        <f aca="false">Compute!H168+H255*Compute!H41</f>
        <v>9.71239162236016</v>
      </c>
      <c r="I257" s="21" t="n">
        <f aca="false">Compute!I168+I255*Compute!I41</f>
        <v>9.66845678856515</v>
      </c>
      <c r="K257" s="2"/>
    </row>
    <row r="258" customFormat="false" ht="15" hidden="false" customHeight="false" outlineLevel="0" collapsed="false">
      <c r="A258" s="9" t="s">
        <v>5422</v>
      </c>
      <c r="B258" s="11" t="s">
        <v>5423</v>
      </c>
      <c r="C258" s="11" t="s">
        <v>747</v>
      </c>
      <c r="D258" s="21" t="n">
        <f aca="false">IF(D$6&lt;=INP_113,Compute!$D$62,MIN(D256*(1-INP_115)*(1-INP_116),Compute!D153)/Compute!D153)</f>
        <v>1</v>
      </c>
      <c r="E258" s="21" t="n">
        <f aca="false">IF(E$6&lt;=INP_113,Compute!$D$62,MIN(E256*(1-INP_115)*(1-INP_116),Compute!E153)/Compute!E153)</f>
        <v>1</v>
      </c>
      <c r="F258" s="21" t="n">
        <f aca="false">IF(F$6&lt;=INP_113,Compute!$D$62,MIN(F256*(1-INP_115)*(1-INP_116),Compute!F153)/Compute!F153)</f>
        <v>1</v>
      </c>
      <c r="G258" s="21" t="n">
        <f aca="false">IF(G$6&lt;=INP_113,Compute!$D$62,MIN(G256*(1-INP_115)*(1-INP_116),Compute!G153)/Compute!G153)</f>
        <v>1</v>
      </c>
      <c r="H258" s="21" t="n">
        <f aca="false">IF(H$6&lt;=INP_113,Compute!$D$62,MIN(H256*(1-INP_115)*(1-INP_116),Compute!H153)/Compute!H153)</f>
        <v>1</v>
      </c>
      <c r="I258" s="21" t="n">
        <f aca="false">IF(I$6&lt;=INP_113,Compute!$D$62,MIN(I256*(1-INP_115)*(1-INP_116),Compute!I153)/Compute!I153)</f>
        <v>1</v>
      </c>
      <c r="K258" s="2" t="s">
        <v>5424</v>
      </c>
    </row>
    <row r="259" customFormat="false" ht="15" hidden="false" customHeight="false" outlineLevel="0" collapsed="false">
      <c r="A259" s="9" t="s">
        <v>5425</v>
      </c>
      <c r="B259" s="11" t="s">
        <v>5426</v>
      </c>
      <c r="C259" s="9" t="s">
        <v>482</v>
      </c>
      <c r="D259" s="17" t="n">
        <f aca="false">Revenue!D72*D258</f>
        <v>4.249</v>
      </c>
      <c r="E259" s="17" t="n">
        <f aca="false">Revenue!E72*E258</f>
        <v>45.7715943974481</v>
      </c>
      <c r="F259" s="17" t="n">
        <f aca="false">Revenue!F72*F258</f>
        <v>76.1385566082697</v>
      </c>
      <c r="G259" s="17" t="n">
        <f aca="false">Revenue!G72*G258</f>
        <v>114.352405776343</v>
      </c>
      <c r="H259" s="17" t="n">
        <f aca="false">Revenue!H72*H258</f>
        <v>156.497881966067</v>
      </c>
      <c r="I259" s="17" t="n">
        <f aca="false">Revenue!I72*I258</f>
        <v>201.579345535295</v>
      </c>
      <c r="K259" s="2"/>
    </row>
    <row r="260" customFormat="false" ht="15" hidden="false" customHeight="false" outlineLevel="0" collapsed="false">
      <c r="A260" s="9" t="s">
        <v>5427</v>
      </c>
      <c r="B260" s="11" t="s">
        <v>5428</v>
      </c>
      <c r="C260" s="9" t="s">
        <v>482</v>
      </c>
      <c r="D260" s="17" t="n">
        <f aca="false">D53+D254</f>
        <v>7.33</v>
      </c>
      <c r="E260" s="17" t="n">
        <f aca="false">E53+E254</f>
        <v>42.4201685560054</v>
      </c>
      <c r="F260" s="17" t="n">
        <f aca="false">F53+F254</f>
        <v>86.6888233360748</v>
      </c>
      <c r="G260" s="17" t="n">
        <f aca="false">G53+G254</f>
        <v>131.020192871889</v>
      </c>
      <c r="H260" s="17" t="n">
        <f aca="false">H53+H254</f>
        <v>120.331942850305</v>
      </c>
      <c r="I260" s="17" t="n">
        <f aca="false">I53+I254</f>
        <v>115.331942850305</v>
      </c>
      <c r="K260" s="2"/>
    </row>
    <row r="261" customFormat="false" ht="15" hidden="false" customHeight="false" outlineLevel="0" collapsed="false">
      <c r="A261" s="9" t="s">
        <v>5429</v>
      </c>
      <c r="B261" s="11" t="s">
        <v>5430</v>
      </c>
      <c r="C261" s="9" t="s">
        <v>482</v>
      </c>
      <c r="D261" s="17" t="n">
        <f aca="false">D259-D260-D89-D88</f>
        <v>-8.05</v>
      </c>
      <c r="E261" s="17" t="n">
        <f aca="false">E259-E260-E89-E88</f>
        <v>-5.76577935855733</v>
      </c>
      <c r="F261" s="17" t="n">
        <f aca="false">F259-F260-F89-F88</f>
        <v>-22.6342874506051</v>
      </c>
      <c r="G261" s="17" t="n">
        <f aca="false">G259-G260-G89-G88</f>
        <v>-31.4549362609268</v>
      </c>
      <c r="H261" s="17" t="n">
        <f aca="false">H259-H260-H89-H88</f>
        <v>18.8215664445676</v>
      </c>
      <c r="I261" s="17" t="n">
        <f aca="false">I259-I260-I89-I88</f>
        <v>66.7843345152471</v>
      </c>
      <c r="K261" s="2"/>
    </row>
    <row r="262" customFormat="false" ht="15" hidden="false" customHeight="false" outlineLevel="0" collapsed="false">
      <c r="A262" s="9" t="s">
        <v>5431</v>
      </c>
      <c r="B262" s="11" t="s">
        <v>5432</v>
      </c>
      <c r="C262" s="9" t="s">
        <v>2742</v>
      </c>
      <c r="D262" s="18" t="n">
        <f aca="false">D261/D257</f>
        <v>-139.267405501682</v>
      </c>
      <c r="E262" s="18" t="n">
        <f aca="false">E261/E257</f>
        <v>-5.36501172129409</v>
      </c>
      <c r="F262" s="18" t="n">
        <f aca="false">F261/F257</f>
        <v>-4.91025301987502</v>
      </c>
      <c r="G262" s="18" t="n">
        <f aca="false">G261/G257</f>
        <v>-3.77003073547533</v>
      </c>
      <c r="H262" s="18" t="n">
        <f aca="false">H261/H257</f>
        <v>1.93789204311285</v>
      </c>
      <c r="I262" s="18" t="n">
        <f aca="false">I261/I257</f>
        <v>6.9074451048106</v>
      </c>
      <c r="K262" s="2"/>
    </row>
    <row r="263" customFormat="false" ht="15" hidden="false" customHeight="false" outlineLevel="0" collapsed="false">
      <c r="A263" s="9" t="s">
        <v>5433</v>
      </c>
      <c r="B263" s="11" t="s">
        <v>5434</v>
      </c>
      <c r="C263" s="9" t="s">
        <v>2742</v>
      </c>
      <c r="D263" s="18" t="n">
        <f aca="false">D262-D115</f>
        <v>0</v>
      </c>
      <c r="E263" s="18" t="n">
        <f aca="false">E262-E115</f>
        <v>0</v>
      </c>
      <c r="F263" s="18" t="n">
        <f aca="false">F262-F115</f>
        <v>0</v>
      </c>
      <c r="G263" s="18" t="n">
        <f aca="false">G262-G115</f>
        <v>-1.07200797043506</v>
      </c>
      <c r="H263" s="18" t="n">
        <f aca="false">H262-H115</f>
        <v>-3.44107788415767</v>
      </c>
      <c r="I263" s="18" t="n">
        <f aca="false">I262-I115</f>
        <v>-4.6944723159957</v>
      </c>
      <c r="K263" s="2"/>
    </row>
    <row r="264" customFormat="false" ht="15" hidden="false" customHeight="false" outlineLevel="0" collapsed="false">
      <c r="A264" s="9" t="s">
        <v>5435</v>
      </c>
      <c r="B264" s="11" t="s">
        <v>5436</v>
      </c>
      <c r="C264" s="11" t="s">
        <v>747</v>
      </c>
      <c r="D264" s="21" t="n">
        <f aca="false">D259/(D260+D89+D88)</f>
        <v>0.345475241889585</v>
      </c>
      <c r="E264" s="21" t="n">
        <f aca="false">E259/(E260+E89+E88)</f>
        <v>0.888124307888594</v>
      </c>
      <c r="F264" s="21" t="n">
        <f aca="false">F259/(F260+F89+F88)</f>
        <v>0.770845036748019</v>
      </c>
      <c r="G264" s="21" t="n">
        <f aca="false">G259/(G260+G89+G88)</f>
        <v>0.784270559894805</v>
      </c>
      <c r="H264" s="21" t="n">
        <f aca="false">H259/(H260+H89+H88)</f>
        <v>1.13670881860307</v>
      </c>
      <c r="I264" s="21" t="n">
        <f aca="false">I259/(I260+I89+I88)</f>
        <v>1.49545108539154</v>
      </c>
      <c r="K264" s="2"/>
    </row>
    <row r="265" customFormat="false" ht="15" hidden="false" customHeight="false" outlineLevel="0" collapsed="false">
      <c r="A265" s="9" t="s">
        <v>5437</v>
      </c>
      <c r="B265" s="11" t="s">
        <v>5438</v>
      </c>
      <c r="C265" s="9" t="s">
        <v>482</v>
      </c>
      <c r="D265" s="17" t="n">
        <f aca="false">D259-D260-D89</f>
        <v>-6.2848</v>
      </c>
      <c r="E265" s="17" t="n">
        <f aca="false">E259-E260-E89</f>
        <v>-2.58841935855733</v>
      </c>
      <c r="F265" s="17" t="n">
        <f aca="false">F259-F260-F89</f>
        <v>-18.5037194506051</v>
      </c>
      <c r="G265" s="17" t="n">
        <f aca="false">G259-G260-G89</f>
        <v>-26.4982546609268</v>
      </c>
      <c r="H265" s="17" t="n">
        <f aca="false">H259-H260-H89</f>
        <v>24.5217502845676</v>
      </c>
      <c r="I265" s="17" t="n">
        <f aca="false">I259-I260-I89</f>
        <v>73.0545367392471</v>
      </c>
      <c r="K265" s="12" t="s">
        <v>5439</v>
      </c>
    </row>
    <row r="266" customFormat="false" ht="15" hidden="false" customHeight="false" outlineLevel="0" collapsed="false">
      <c r="A266" s="15" t="s">
        <v>5440</v>
      </c>
    </row>
    <row r="267" customFormat="false" ht="15" hidden="false" customHeight="false" outlineLevel="0" collapsed="false">
      <c r="A267" s="9" t="s">
        <v>5441</v>
      </c>
      <c r="B267" s="9" t="s">
        <v>5442</v>
      </c>
      <c r="C267" s="9" t="s">
        <v>2742</v>
      </c>
      <c r="E267" s="18" t="n">
        <f aca="false">TK_L1_RevGW_PQ_VR200</f>
        <v>49.5137840363362</v>
      </c>
      <c r="K267" s="12" t="s">
        <v>5443</v>
      </c>
    </row>
    <row r="268" customFormat="false" ht="15" hidden="false" customHeight="false" outlineLevel="0" collapsed="false">
      <c r="A268" s="9" t="s">
        <v>5444</v>
      </c>
      <c r="B268" s="9" t="s">
        <v>5445</v>
      </c>
      <c r="C268" s="9" t="s">
        <v>2742</v>
      </c>
      <c r="E268" s="18" t="n">
        <f aca="false">TK_L1_RevGW_PQ_VR200_Lo</f>
        <v>36.2295980753679</v>
      </c>
      <c r="K268" s="2"/>
    </row>
    <row r="269" customFormat="false" ht="15" hidden="false" customHeight="false" outlineLevel="0" collapsed="false">
      <c r="A269" s="9" t="s">
        <v>5446</v>
      </c>
      <c r="B269" s="9" t="s">
        <v>5447</v>
      </c>
      <c r="C269" s="9" t="s">
        <v>2742</v>
      </c>
      <c r="E269" s="18" t="n">
        <f aca="false">TK_L1_RevGW_PQ_VR200_Hi</f>
        <v>78.4974624966305</v>
      </c>
      <c r="K269" s="2"/>
    </row>
    <row r="270" customFormat="false" ht="15" hidden="false" customHeight="false" outlineLevel="0" collapsed="false">
      <c r="A270" s="9" t="s">
        <v>5448</v>
      </c>
      <c r="B270" s="9" t="s">
        <v>5449</v>
      </c>
      <c r="C270" s="9" t="s">
        <v>2742</v>
      </c>
      <c r="E270" s="18" t="n">
        <f aca="false">TK_L1_RevGW_PQ_VR200_FY</f>
        <v>52.7760211320419</v>
      </c>
      <c r="K270" s="2"/>
    </row>
    <row r="271" customFormat="false" ht="15" hidden="false" customHeight="false" outlineLevel="0" collapsed="false">
      <c r="A271" s="9" t="s">
        <v>5450</v>
      </c>
      <c r="B271" s="9" t="s">
        <v>5451</v>
      </c>
      <c r="C271" s="9" t="s">
        <v>2742</v>
      </c>
      <c r="E271" s="18" t="n">
        <f aca="false">TK_L1_RevGW_PQ_VR200_Life</f>
        <v>34.6024369655691</v>
      </c>
      <c r="K271" s="2"/>
    </row>
    <row r="272" customFormat="false" ht="15" hidden="false" customHeight="false" outlineLevel="0" collapsed="false">
      <c r="A272" s="9" t="s">
        <v>5452</v>
      </c>
      <c r="B272" s="9" t="s">
        <v>5453</v>
      </c>
      <c r="C272" s="11" t="s">
        <v>747</v>
      </c>
      <c r="E272" s="21" t="n">
        <f aca="false">TK_L1_TokLedger_2026Q2</f>
        <v>3.01947256066794</v>
      </c>
      <c r="K272" s="2" t="s">
        <v>5454</v>
      </c>
    </row>
    <row r="273" customFormat="false" ht="15" hidden="false" customHeight="false" outlineLevel="0" collapsed="false">
      <c r="A273" s="9" t="s">
        <v>5455</v>
      </c>
      <c r="B273" s="11" t="s">
        <v>5456</v>
      </c>
      <c r="C273" s="9" t="s">
        <v>2742</v>
      </c>
      <c r="D273" s="18" t="n">
        <f aca="false">Revenue!D67/(Compute!D151*Compute!D161*Compute!D167)</f>
        <v>184.897240665313</v>
      </c>
      <c r="E273" s="18" t="n">
        <f aca="false">Revenue!E67/(Compute!E151*Compute!E161*Compute!E167)</f>
        <v>133.429238086678</v>
      </c>
      <c r="F273" s="18" t="n">
        <f aca="false">Revenue!F67/(Compute!F151*Compute!F161*Compute!F167)</f>
        <v>94.8399233083218</v>
      </c>
      <c r="G273" s="18" t="n">
        <f aca="false">Revenue!G67/(Compute!G151*Compute!G161*Compute!G167)</f>
        <v>80.0494266754193</v>
      </c>
      <c r="H273" s="18" t="n">
        <f aca="false">Revenue!H67/(Compute!H151*Compute!H161*Compute!H167)</f>
        <v>67.5008396840808</v>
      </c>
      <c r="I273" s="18" t="n">
        <f aca="false">Revenue!I67/(Compute!I151*Compute!I161*Compute!I167)</f>
        <v>57.0951718253985</v>
      </c>
      <c r="K273" s="2" t="s">
        <v>5457</v>
      </c>
    </row>
    <row r="274" customFormat="false" ht="15" hidden="false" customHeight="false" outlineLevel="0" collapsed="false">
      <c r="A274" s="9" t="s">
        <v>5458</v>
      </c>
      <c r="B274" s="11" t="s">
        <v>5459</v>
      </c>
      <c r="C274" s="9" t="s">
        <v>2742</v>
      </c>
      <c r="D274" s="18" t="n">
        <f aca="false">Revenue!D67/Compute!D169</f>
        <v>180.597980066754</v>
      </c>
      <c r="E274" s="18" t="n">
        <f aca="false">Revenue!E67/Compute!E169</f>
        <v>132.908840532043</v>
      </c>
      <c r="F274" s="18" t="n">
        <f aca="false">Revenue!F67/Compute!F169</f>
        <v>94.5394816898291</v>
      </c>
      <c r="G274" s="18" t="n">
        <f aca="false">Revenue!G67/Compute!G169</f>
        <v>79.815026161714</v>
      </c>
      <c r="H274" s="18" t="n">
        <f aca="false">Revenue!H67/Compute!H169</f>
        <v>67.3161007667628</v>
      </c>
      <c r="I274" s="18" t="n">
        <f aca="false">Revenue!I67/Compute!I169</f>
        <v>56.9459727317225</v>
      </c>
      <c r="K274" s="2"/>
    </row>
    <row r="275" customFormat="false" ht="15" hidden="false" customHeight="false" outlineLevel="0" collapsed="false">
      <c r="A275" s="9" t="s">
        <v>5460</v>
      </c>
      <c r="B275" s="11" t="s">
        <v>5461</v>
      </c>
      <c r="C275" s="9" t="s">
        <v>2742</v>
      </c>
      <c r="D275" s="18" t="n">
        <f aca="false">Revenue!D67/D104</f>
        <v>79.5813745723896</v>
      </c>
      <c r="E275" s="18" t="n">
        <f aca="false">Revenue!E67/E104</f>
        <v>46.4315521361817</v>
      </c>
      <c r="F275" s="18" t="n">
        <f aca="false">Revenue!F67/F104</f>
        <v>18.0108311985988</v>
      </c>
      <c r="G275" s="18" t="n">
        <f aca="false">Revenue!G67/G104</f>
        <v>16.9010095740587</v>
      </c>
      <c r="H275" s="18" t="n">
        <f aca="false">Revenue!H67/H104</f>
        <v>21.928753226177</v>
      </c>
      <c r="I275" s="18" t="n">
        <f aca="false">Revenue!I67/I104</f>
        <v>28.4205296944633</v>
      </c>
      <c r="K275" s="2" t="s">
        <v>5462</v>
      </c>
    </row>
    <row r="276" customFormat="false" ht="15" hidden="false" customHeight="false" outlineLevel="0" collapsed="false">
      <c r="A276" s="9" t="s">
        <v>5463</v>
      </c>
      <c r="B276" s="11" t="s">
        <v>5464</v>
      </c>
      <c r="C276" s="9" t="s">
        <v>2742</v>
      </c>
      <c r="D276" s="18" t="n">
        <f aca="false">D109</f>
        <v>73.5089696865398</v>
      </c>
      <c r="E276" s="18" t="n">
        <f aca="false">E109</f>
        <v>42.5901036397049</v>
      </c>
      <c r="F276" s="18" t="n">
        <f aca="false">F109</f>
        <v>16.517399910669</v>
      </c>
      <c r="G276" s="18" t="n">
        <f aca="false">G109</f>
        <v>15.4909640546821</v>
      </c>
      <c r="H276" s="18" t="n">
        <f aca="false">H109</f>
        <v>20.0913543755611</v>
      </c>
      <c r="I276" s="18" t="n">
        <f aca="false">I109</f>
        <v>26.0257532924227</v>
      </c>
      <c r="K276" s="2"/>
    </row>
    <row r="277" customFormat="false" ht="15" hidden="false" customHeight="false" outlineLevel="0" collapsed="false">
      <c r="A277" s="9" t="s">
        <v>5465</v>
      </c>
      <c r="B277" s="9" t="s">
        <v>5466</v>
      </c>
      <c r="C277" s="11" t="s">
        <v>747</v>
      </c>
      <c r="E277" s="21" t="n">
        <f aca="false">E267/E273</f>
        <v>0.371086463104669</v>
      </c>
      <c r="K277" s="12" t="s">
        <v>5467</v>
      </c>
    </row>
    <row r="278" customFormat="false" ht="15" hidden="false" customHeight="false" outlineLevel="0" collapsed="false">
      <c r="A278" s="9" t="s">
        <v>5468</v>
      </c>
      <c r="B278" s="9" t="s">
        <v>5469</v>
      </c>
      <c r="C278" s="11" t="s">
        <v>747</v>
      </c>
      <c r="E278" s="21" t="n">
        <f aca="false">E267/E276</f>
        <v>1.16256547425202</v>
      </c>
      <c r="K278" s="2" t="s">
        <v>5470</v>
      </c>
    </row>
    <row r="279" customFormat="false" ht="15" hidden="false" customHeight="false" outlineLevel="0" collapsed="false">
      <c r="A279" s="9" t="s">
        <v>5471</v>
      </c>
      <c r="B279" s="11" t="s">
        <v>5472</v>
      </c>
      <c r="C279" s="11" t="s">
        <v>747</v>
      </c>
      <c r="E279" s="21" t="n">
        <f aca="false">E267/E272/E273</f>
        <v>0.122897776233668</v>
      </c>
      <c r="K279" s="2" t="s">
        <v>5473</v>
      </c>
    </row>
    <row r="280" customFormat="false" ht="15" hidden="false" customHeight="false" outlineLevel="0" collapsed="false">
      <c r="A280" s="9" t="s">
        <v>5474</v>
      </c>
      <c r="B280" s="11" t="s">
        <v>5475</v>
      </c>
      <c r="C280" s="9" t="s">
        <v>2857</v>
      </c>
      <c r="D280" s="20" t="n">
        <f aca="false">Compute!D141/(Compute!D151*Compute!D161*Compute!D167)</f>
        <v>55010252556.5587</v>
      </c>
      <c r="E280" s="20" t="n">
        <f aca="false">Compute!E141/(Compute!E151*Compute!E161*Compute!E167)</f>
        <v>46433134280.7097</v>
      </c>
      <c r="F280" s="20" t="n">
        <f aca="false">Compute!F141/(Compute!F151*Compute!F161*Compute!F167)</f>
        <v>46351729716.03</v>
      </c>
      <c r="G280" s="20" t="n">
        <f aca="false">Compute!G141/(Compute!G151*Compute!G161*Compute!G167)</f>
        <v>46307235595.1689</v>
      </c>
      <c r="H280" s="20" t="n">
        <f aca="false">Compute!H141/(Compute!H151*Compute!H161*Compute!H167)</f>
        <v>46355355165.1071</v>
      </c>
      <c r="I280" s="20" t="n">
        <f aca="false">Compute!I141/(Compute!I151*Compute!I161*Compute!I167)</f>
        <v>46368252953.006</v>
      </c>
      <c r="K280" s="12" t="s">
        <v>5476</v>
      </c>
    </row>
    <row r="281" customFormat="false" ht="15" hidden="false" customHeight="false" outlineLevel="0" collapsed="false">
      <c r="A281" s="9" t="s">
        <v>5477</v>
      </c>
      <c r="B281" s="9" t="s">
        <v>5478</v>
      </c>
      <c r="C281" s="9" t="s">
        <v>2857</v>
      </c>
      <c r="E281" s="20" t="n">
        <f aca="false">TK_L1_TokGW_PaidPQ_VR200</f>
        <v>18800929768.0786</v>
      </c>
      <c r="K281" s="2" t="s">
        <v>5479</v>
      </c>
    </row>
    <row r="282" customFormat="false" ht="15" hidden="false" customHeight="false" outlineLevel="0" collapsed="false">
      <c r="A282" s="9" t="s">
        <v>5480</v>
      </c>
      <c r="B282" s="11" t="s">
        <v>5481</v>
      </c>
      <c r="C282" s="11" t="s">
        <v>747</v>
      </c>
      <c r="E282" s="21" t="n">
        <f aca="false">E280/E281</f>
        <v>2.46972542600243</v>
      </c>
      <c r="K282" s="2" t="s">
        <v>5482</v>
      </c>
    </row>
    <row r="283" customFormat="false" ht="15" hidden="false" customHeight="false" outlineLevel="0" collapsed="false">
      <c r="A283" s="15" t="s">
        <v>5483</v>
      </c>
    </row>
    <row r="284" customFormat="false" ht="15" hidden="false" customHeight="false" outlineLevel="0" collapsed="false">
      <c r="A284" s="9" t="s">
        <v>5484</v>
      </c>
      <c r="B284" s="9" t="s">
        <v>5485</v>
      </c>
      <c r="C284" s="9" t="s">
        <v>482</v>
      </c>
      <c r="D284" s="17" t="n">
        <f aca="false">$D$206/(((INP_144-INP_143+1)+(INP_144-INP_143+1)-INP_122+1)/INP_112)*MIN(INP_122,D$6-INP_143+1)/INP_122*(D$6&gt;=INP_143)*(D$6&lt;=INP_144)</f>
        <v>-0</v>
      </c>
      <c r="E284" s="17" t="n">
        <f aca="false">$D$206/(((INP_144-INP_143+1)+(INP_144-INP_143+1)-INP_122+1)/INP_112)*MIN(INP_122,E$6-INP_143+1)/INP_122*(E$6&gt;=INP_143)*(E$6&lt;=INP_144)</f>
        <v>-0</v>
      </c>
      <c r="F284" s="17" t="n">
        <f aca="false">$D$206/(((INP_144-INP_143+1)+(INP_144-INP_143+1)-INP_122+1)/INP_112)*MIN(INP_122,F$6-INP_143+1)/INP_122*(F$6&gt;=INP_143)*(F$6&lt;=INP_144)</f>
        <v>0</v>
      </c>
      <c r="G284" s="17" t="n">
        <f aca="false">$D$206/(((INP_144-INP_143+1)+(INP_144-INP_143+1)-INP_122+1)/INP_112)*MIN(INP_122,G$6-INP_143+1)/INP_122*(G$6&gt;=INP_143)*(G$6&lt;=INP_144)</f>
        <v>4.43995510662177</v>
      </c>
      <c r="H284" s="17" t="n">
        <f aca="false">$D$206/(((INP_144-INP_143+1)+(INP_144-INP_143+1)-INP_122+1)/INP_112)*MIN(INP_122,H$6-INP_143+1)/INP_122*(H$6&gt;=INP_143)*(H$6&lt;=INP_144)</f>
        <v>8.87991021324355</v>
      </c>
      <c r="I284" s="17" t="n">
        <f aca="false">$D$206/(((INP_144-INP_143+1)+(INP_144-INP_143+1)-INP_122+1)/INP_112)*MIN(INP_122,I$6-INP_143+1)/INP_122*(I$6&gt;=INP_143)*(I$6&lt;=INP_144)</f>
        <v>8.87991021324355</v>
      </c>
      <c r="K284" s="2" t="s">
        <v>5486</v>
      </c>
    </row>
    <row r="285" customFormat="false" ht="15" hidden="false" customHeight="false" outlineLevel="0" collapsed="false">
      <c r="A285" s="9" t="s">
        <v>5487</v>
      </c>
      <c r="B285" s="9" t="s">
        <v>5488</v>
      </c>
      <c r="C285" s="9" t="s">
        <v>482</v>
      </c>
      <c r="D285" s="17" t="n">
        <f aca="false">$D$207/(((INP_184-INP_145+1)+(INP_184-INP_145+1)-INP_122+1)/INP_112)*MIN(INP_122,D$6-INP_145+1)/INP_122*(D$6&gt;=INP_145)*(D$6&lt;=INP_184)</f>
        <v>-0</v>
      </c>
      <c r="E285" s="17" t="n">
        <f aca="false">$D$207/(((INP_184-INP_145+1)+(INP_184-INP_145+1)-INP_122+1)/INP_112)*MIN(INP_122,E$6-INP_145+1)/INP_122*(E$6&gt;=INP_145)*(E$6&lt;=INP_184)</f>
        <v>0</v>
      </c>
      <c r="F285" s="17" t="n">
        <f aca="false">$D$207/(((INP_184-INP_145+1)+(INP_184-INP_145+1)-INP_122+1)/INP_112)*MIN(INP_122,F$6-INP_145+1)/INP_122*(F$6&gt;=INP_145)*(F$6&lt;=INP_184)</f>
        <v>2.47736625514403</v>
      </c>
      <c r="G285" s="17" t="n">
        <f aca="false">$D$207/(((INP_184-INP_145+1)+(INP_184-INP_145+1)-INP_122+1)/INP_112)*MIN(INP_122,G$6-INP_145+1)/INP_122*(G$6&gt;=INP_145)*(G$6&lt;=INP_184)</f>
        <v>4.95473251028807</v>
      </c>
      <c r="H285" s="17" t="n">
        <f aca="false">$D$207/(((INP_184-INP_145+1)+(INP_184-INP_145+1)-INP_122+1)/INP_112)*MIN(INP_122,H$6-INP_145+1)/INP_122*(H$6&gt;=INP_145)*(H$6&lt;=INP_184)</f>
        <v>4.95473251028807</v>
      </c>
      <c r="I285" s="17" t="n">
        <f aca="false">$D$207/(((INP_184-INP_145+1)+(INP_184-INP_145+1)-INP_122+1)/INP_112)*MIN(INP_122,I$6-INP_145+1)/INP_122*(I$6&gt;=INP_145)*(I$6&lt;=INP_184)</f>
        <v>4.95473251028807</v>
      </c>
      <c r="K285" s="2" t="s">
        <v>5486</v>
      </c>
    </row>
    <row r="286" customFormat="false" ht="15" hidden="false" customHeight="false" outlineLevel="0" collapsed="false">
      <c r="A286" s="9" t="s">
        <v>5489</v>
      </c>
      <c r="B286" s="11" t="s">
        <v>5490</v>
      </c>
      <c r="C286" s="9" t="s">
        <v>2742</v>
      </c>
      <c r="D286" s="18" t="n">
        <f aca="false">MAX($D$284:$I$284)/MAX(Compute!$D$243:$I$243)</f>
        <v>19.304152637486</v>
      </c>
      <c r="K286" s="2" t="s">
        <v>5491</v>
      </c>
    </row>
    <row r="287" customFormat="false" ht="15" hidden="false" customHeight="false" outlineLevel="0" collapsed="false">
      <c r="A287" s="9" t="s">
        <v>5492</v>
      </c>
      <c r="B287" s="11" t="s">
        <v>5493</v>
      </c>
      <c r="C287" s="9" t="s">
        <v>2742</v>
      </c>
      <c r="D287" s="18" t="n">
        <f aca="false">MAX($D$285:$I$285)/MAX(Compute!$D$244:$I$244)</f>
        <v>14.156378600823</v>
      </c>
      <c r="K287" s="2" t="s">
        <v>5491</v>
      </c>
    </row>
    <row r="288" customFormat="false" ht="15" hidden="false" customHeight="false" outlineLevel="0" collapsed="false">
      <c r="A288" s="9" t="s">
        <v>5494</v>
      </c>
      <c r="B288" s="11" t="s">
        <v>5495</v>
      </c>
      <c r="C288" s="9" t="s">
        <v>2742</v>
      </c>
      <c r="D288" s="18" t="n">
        <f aca="false">(MAX($D$284:$I$284)+MAX($D$285:$I$285))/(MAX(Compute!$D$243:$I$243)+MAX(Compute!$D$244:$I$244))</f>
        <v>17.0798058315205</v>
      </c>
      <c r="K288" s="2"/>
    </row>
    <row r="289" customFormat="false" ht="15" hidden="false" customHeight="false" outlineLevel="0" collapsed="false">
      <c r="A289" s="9" t="s">
        <v>5496</v>
      </c>
      <c r="B289" s="9" t="s">
        <v>5497</v>
      </c>
      <c r="C289" s="9" t="s">
        <v>482</v>
      </c>
      <c r="D289" s="17" t="n">
        <f aca="false">INP_182*(ABS(D46-D284)+ABS(D47-D285))</f>
        <v>0</v>
      </c>
      <c r="E289" s="17" t="n">
        <f aca="false">INP_182*(ABS(E46-E284)+ABS(E47-E285))</f>
        <v>0</v>
      </c>
      <c r="F289" s="17" t="n">
        <f aca="false">INP_182*(ABS(F46-F284)+ABS(F47-F285))</f>
        <v>0</v>
      </c>
      <c r="G289" s="17" t="n">
        <f aca="false">INP_182*(ABS(G46-G284)+ABS(G47-G285))</f>
        <v>0</v>
      </c>
      <c r="H289" s="17" t="n">
        <f aca="false">INP_182*(ABS(H46-H284)+ABS(H47-H285))</f>
        <v>0</v>
      </c>
      <c r="I289" s="17" t="n">
        <f aca="false">INP_182*(ABS(I46-I284)+ABS(I47-I285))</f>
        <v>0</v>
      </c>
      <c r="K289" s="2"/>
    </row>
    <row r="290" customFormat="false" ht="15" hidden="false" customHeight="false" outlineLevel="0" collapsed="false">
      <c r="A290" s="15" t="s">
        <v>5498</v>
      </c>
    </row>
    <row r="291" customFormat="false" ht="15" hidden="false" customHeight="false" outlineLevel="0" collapsed="false">
      <c r="A291" s="9" t="s">
        <v>5499</v>
      </c>
      <c r="B291" s="11" t="s">
        <v>5500</v>
      </c>
      <c r="C291" s="9" t="s">
        <v>482</v>
      </c>
      <c r="D291" s="17" t="n">
        <f aca="false">INP_189*D50*(D$6&gt;=INP_190)*(D$6&lt;=INP_191)</f>
        <v>0</v>
      </c>
      <c r="E291" s="17" t="n">
        <f aca="false">INP_189*E50*(E$6&gt;=INP_190)*(E$6&lt;=INP_191)</f>
        <v>0</v>
      </c>
      <c r="F291" s="17" t="n">
        <f aca="false">INP_189*F50*(F$6&gt;=INP_190)*(F$6&lt;=INP_191)</f>
        <v>0</v>
      </c>
      <c r="G291" s="17" t="n">
        <f aca="false">INP_189*G50*(G$6&gt;=INP_190)*(G$6&lt;=INP_191)</f>
        <v>0</v>
      </c>
      <c r="H291" s="17" t="n">
        <f aca="false">INP_189*H50*(H$6&gt;=INP_190)*(H$6&lt;=INP_191)</f>
        <v>29.1765059320147</v>
      </c>
      <c r="I291" s="17" t="n">
        <f aca="false">INP_189*I50*(I$6&gt;=INP_190)*(I$6&lt;=INP_191)</f>
        <v>27.6765059320147</v>
      </c>
      <c r="K291" s="12" t="s">
        <v>5501</v>
      </c>
    </row>
    <row r="292" customFormat="false" ht="15" hidden="false" customHeight="false" outlineLevel="0" collapsed="false">
      <c r="A292" s="9" t="s">
        <v>5502</v>
      </c>
      <c r="B292" s="11" t="s">
        <v>5503</v>
      </c>
      <c r="C292" s="9" t="s">
        <v>482</v>
      </c>
      <c r="D292" s="17" t="n">
        <f aca="false">SUMPRODUCT(($D$6:$I$6&lt;=D$6)*$D$291:$I$291*(((D$6-$D$6:$I$6+1)&lt;INP_122)*(D$6-$D$6:$I$6+1)+((D$6-$D$6:$I$6+1)&gt;=INP_122)*INP_122)/INP_122)</f>
        <v>0</v>
      </c>
      <c r="E292" s="17" t="n">
        <f aca="false">SUMPRODUCT(($D$6:$I$6&lt;=E$6)*$D$291:$I$291*(((E$6-$D$6:$I$6+1)&lt;INP_122)*(E$6-$D$6:$I$6+1)+((E$6-$D$6:$I$6+1)&gt;=INP_122)*INP_122)/INP_122)</f>
        <v>0</v>
      </c>
      <c r="F292" s="17" t="n">
        <f aca="false">SUMPRODUCT(($D$6:$I$6&lt;=F$6)*$D$291:$I$291*(((F$6-$D$6:$I$6+1)&lt;INP_122)*(F$6-$D$6:$I$6+1)+((F$6-$D$6:$I$6+1)&gt;=INP_122)*INP_122)/INP_122)</f>
        <v>0</v>
      </c>
      <c r="G292" s="17" t="n">
        <f aca="false">SUMPRODUCT(($D$6:$I$6&lt;=G$6)*$D$291:$I$291*(((G$6-$D$6:$I$6+1)&lt;INP_122)*(G$6-$D$6:$I$6+1)+((G$6-$D$6:$I$6+1)&gt;=INP_122)*INP_122)/INP_122)</f>
        <v>0</v>
      </c>
      <c r="H292" s="17" t="n">
        <f aca="false">SUMPRODUCT(($D$6:$I$6&lt;=H$6)*$D$291:$I$291*(((H$6-$D$6:$I$6+1)&lt;INP_122)*(H$6-$D$6:$I$6+1)+((H$6-$D$6:$I$6+1)&gt;=INP_122)*INP_122)/INP_122)</f>
        <v>14.5882529660074</v>
      </c>
      <c r="I292" s="17" t="n">
        <f aca="false">SUMPRODUCT(($D$6:$I$6&lt;=I$6)*$D$291:$I$291*(((I$6-$D$6:$I$6+1)&lt;INP_122)*(I$6-$D$6:$I$6+1)+((I$6-$D$6:$I$6+1)&gt;=INP_122)*INP_122)/INP_122)</f>
        <v>43.0147588980221</v>
      </c>
      <c r="K292" s="2" t="s">
        <v>5504</v>
      </c>
    </row>
    <row r="293" customFormat="false" ht="15" hidden="false" customHeight="false" outlineLevel="0" collapsed="false">
      <c r="A293" s="9" t="s">
        <v>5505</v>
      </c>
      <c r="B293" s="11" t="s">
        <v>5506</v>
      </c>
      <c r="C293" s="9" t="s">
        <v>1106</v>
      </c>
      <c r="D293" s="21" t="n">
        <f aca="false">D292/Compute!D40</f>
        <v>0</v>
      </c>
      <c r="E293" s="21" t="n">
        <f aca="false">E292/Compute!E40</f>
        <v>0</v>
      </c>
      <c r="F293" s="21" t="n">
        <f aca="false">F292/Compute!F40</f>
        <v>0</v>
      </c>
      <c r="G293" s="21" t="n">
        <f aca="false">G292/Compute!G40</f>
        <v>0</v>
      </c>
      <c r="H293" s="21" t="n">
        <f aca="false">H292/Compute!H40</f>
        <v>1.21568774716728</v>
      </c>
      <c r="I293" s="21" t="n">
        <f aca="false">I292/Compute!I40</f>
        <v>3.58456324150184</v>
      </c>
      <c r="K293" s="12" t="s">
        <v>5507</v>
      </c>
    </row>
    <row r="294" customFormat="false" ht="15" hidden="false" customHeight="false" outlineLevel="0" collapsed="false">
      <c r="A294" s="9" t="s">
        <v>5508</v>
      </c>
      <c r="B294" s="11" t="s">
        <v>5509</v>
      </c>
      <c r="C294" s="9" t="s">
        <v>1106</v>
      </c>
      <c r="D294" s="21" t="n">
        <f aca="false">Compute!D168+D293*Compute!D41</f>
        <v>0.0578024697954382</v>
      </c>
      <c r="E294" s="21" t="n">
        <f aca="false">Compute!E168+E293*Compute!E41</f>
        <v>1.07470023516865</v>
      </c>
      <c r="F294" s="21" t="n">
        <f aca="false">Compute!F168+F293*Compute!F41</f>
        <v>4.60959697168135</v>
      </c>
      <c r="G294" s="21" t="n">
        <f aca="false">Compute!G168+G293*Compute!G41</f>
        <v>7.3818779368854</v>
      </c>
      <c r="H294" s="21" t="n">
        <f aca="false">Compute!H168+H293*Compute!H41</f>
        <v>9.00500244645052</v>
      </c>
      <c r="I294" s="21" t="n">
        <f aca="false">Compute!I168+I293*Compute!I41</f>
        <v>11.3299431069901</v>
      </c>
      <c r="K294" s="2"/>
    </row>
    <row r="295" customFormat="false" ht="15" hidden="false" customHeight="false" outlineLevel="0" collapsed="false">
      <c r="A295" s="9" t="s">
        <v>5510</v>
      </c>
      <c r="B295" s="11" t="s">
        <v>5511</v>
      </c>
      <c r="C295" s="9" t="s">
        <v>482</v>
      </c>
      <c r="D295" s="17" t="n">
        <f aca="false">D53+D292</f>
        <v>7.33</v>
      </c>
      <c r="E295" s="17" t="n">
        <f aca="false">E53+E292</f>
        <v>42.4201685560054</v>
      </c>
      <c r="F295" s="17" t="n">
        <f aca="false">F53+F292</f>
        <v>86.6888233360748</v>
      </c>
      <c r="G295" s="17" t="n">
        <f aca="false">G53+G292</f>
        <v>119.481731333427</v>
      </c>
      <c r="H295" s="17" t="n">
        <f aca="false">H53+H292</f>
        <v>111.84327273939</v>
      </c>
      <c r="I295" s="17" t="n">
        <f aca="false">I53+I292</f>
        <v>135.269778671404</v>
      </c>
      <c r="K295" s="2"/>
    </row>
    <row r="296" customFormat="false" ht="15" hidden="false" customHeight="false" outlineLevel="0" collapsed="false">
      <c r="A296" s="9" t="s">
        <v>5512</v>
      </c>
      <c r="B296" s="11" t="s">
        <v>5513</v>
      </c>
      <c r="C296" s="9" t="s">
        <v>482</v>
      </c>
      <c r="D296" s="17" t="n">
        <f aca="false">INP_192*D293*Compute!D41*D109</f>
        <v>0</v>
      </c>
      <c r="E296" s="17" t="n">
        <f aca="false">INP_192*E293*Compute!E41*E109</f>
        <v>0</v>
      </c>
      <c r="F296" s="17" t="n">
        <f aca="false">INP_192*F293*Compute!F41*F109</f>
        <v>0</v>
      </c>
      <c r="G296" s="17" t="n">
        <f aca="false">INP_192*G293*Compute!G41*G109</f>
        <v>0</v>
      </c>
      <c r="H296" s="17" t="n">
        <f aca="false">INP_192*H293*Compute!H41*H109</f>
        <v>0</v>
      </c>
      <c r="I296" s="17" t="n">
        <f aca="false">INP_192*I293*Compute!I41*I109</f>
        <v>0</v>
      </c>
      <c r="K296" s="2" t="s">
        <v>5514</v>
      </c>
    </row>
    <row r="297" customFormat="false" ht="15" hidden="false" customHeight="false" outlineLevel="0" collapsed="false">
      <c r="A297" s="9" t="s">
        <v>5515</v>
      </c>
      <c r="B297" s="11" t="s">
        <v>5516</v>
      </c>
      <c r="C297" s="9" t="s">
        <v>2742</v>
      </c>
      <c r="D297" s="18" t="n">
        <f aca="false">(D108+D296-D292)/D294</f>
        <v>-139.267405501682</v>
      </c>
      <c r="E297" s="18" t="n">
        <f aca="false">(E108+E296-E292)/E294</f>
        <v>-5.36501172129409</v>
      </c>
      <c r="F297" s="18" t="n">
        <f aca="false">(F108+F296-F292)/F294</f>
        <v>-4.91025301987502</v>
      </c>
      <c r="G297" s="18" t="n">
        <f aca="false">(G108+G296-G292)/G294</f>
        <v>-2.69802276504026</v>
      </c>
      <c r="H297" s="18" t="n">
        <f aca="false">(H108+H296-H292)/H294</f>
        <v>3.03278502342309</v>
      </c>
      <c r="I297" s="18" t="n">
        <f aca="false">(I108+I296-I292)/I294</f>
        <v>4.13475145036218</v>
      </c>
      <c r="K297" s="2" t="s">
        <v>5517</v>
      </c>
    </row>
    <row r="298" customFormat="false" ht="15" hidden="false" customHeight="false" outlineLevel="0" collapsed="false">
      <c r="A298" s="9" t="s">
        <v>5518</v>
      </c>
      <c r="B298" s="11" t="s">
        <v>5519</v>
      </c>
      <c r="C298" s="9" t="s">
        <v>2742</v>
      </c>
      <c r="D298" s="18" t="n">
        <f aca="false">D297-D115</f>
        <v>0</v>
      </c>
      <c r="E298" s="18" t="n">
        <f aca="false">E297-E115</f>
        <v>0</v>
      </c>
      <c r="F298" s="18" t="n">
        <f aca="false">F297-F115</f>
        <v>0</v>
      </c>
      <c r="G298" s="18" t="n">
        <f aca="false">G297-G115</f>
        <v>0</v>
      </c>
      <c r="H298" s="18" t="n">
        <f aca="false">H297-H115</f>
        <v>-2.34618490384743</v>
      </c>
      <c r="I298" s="18" t="n">
        <f aca="false">I297-I115</f>
        <v>-7.46716597044412</v>
      </c>
      <c r="K298" s="2"/>
    </row>
    <row r="299" customFormat="false" ht="15" hidden="false" customHeight="false" outlineLevel="0" collapsed="false">
      <c r="A299" s="9" t="s">
        <v>5520</v>
      </c>
      <c r="B299" s="11" t="s">
        <v>5521</v>
      </c>
      <c r="C299" s="11" t="s">
        <v>747</v>
      </c>
      <c r="D299" s="21" t="n">
        <f aca="false">(D105+D296)/(D106+D292)</f>
        <v>0.345475241889585</v>
      </c>
      <c r="E299" s="21" t="n">
        <f aca="false">(E105+E296)/(E106+E292)</f>
        <v>0.888124307888594</v>
      </c>
      <c r="F299" s="21" t="n">
        <f aca="false">(F105+F296)/(F106+F292)</f>
        <v>0.770845036748019</v>
      </c>
      <c r="G299" s="21" t="n">
        <f aca="false">(G105+G296)/(G106+G292)</f>
        <v>0.851667231837521</v>
      </c>
      <c r="H299" s="21" t="n">
        <f aca="false">(H105+H296)/(H106+H292)</f>
        <v>1.21139975474192</v>
      </c>
      <c r="I299" s="21" t="n">
        <f aca="false">(I105+I296)/(I106+I292)</f>
        <v>1.30275729846968</v>
      </c>
      <c r="K299" s="2" t="s">
        <v>5522</v>
      </c>
    </row>
    <row r="300" customFormat="false" ht="15" hidden="false" customHeight="false" outlineLevel="0" collapsed="false">
      <c r="A300" s="9" t="s">
        <v>5523</v>
      </c>
      <c r="B300" s="11" t="s">
        <v>5524</v>
      </c>
      <c r="C300" s="9" t="s">
        <v>482</v>
      </c>
      <c r="D300" s="17" t="n">
        <f aca="false">D105+D296-D53-D292-D89</f>
        <v>-6.2848</v>
      </c>
      <c r="E300" s="17" t="n">
        <f aca="false">E105+E296-E53-E292-E89</f>
        <v>-2.58841935855733</v>
      </c>
      <c r="F300" s="17" t="n">
        <f aca="false">F105+F296-F53-F292-F89</f>
        <v>-18.5037194506051</v>
      </c>
      <c r="G300" s="17" t="n">
        <f aca="false">G105+G296-G53-G292-G89</f>
        <v>-14.9597931224653</v>
      </c>
      <c r="H300" s="17" t="n">
        <f aca="false">H105+H296-H53-H292-H89</f>
        <v>33.0104203954834</v>
      </c>
      <c r="I300" s="17" t="n">
        <f aca="false">I105+I296-I53-I292-I89</f>
        <v>53.1167009181481</v>
      </c>
      <c r="K300" s="12" t="s">
        <v>5525</v>
      </c>
    </row>
    <row r="301" customFormat="false" ht="15" hidden="false" customHeight="false" outlineLevel="0" collapsed="false">
      <c r="A301" s="9" t="s">
        <v>5526</v>
      </c>
      <c r="B301" s="11" t="s">
        <v>5527</v>
      </c>
      <c r="C301" s="9" t="s">
        <v>482</v>
      </c>
      <c r="D301" s="17" t="n">
        <f aca="false">INP_193*D293*Compute!D41*D109</f>
        <v>0</v>
      </c>
      <c r="E301" s="17" t="n">
        <f aca="false">INP_193*E293*Compute!E41*E109</f>
        <v>0</v>
      </c>
      <c r="F301" s="17" t="n">
        <f aca="false">INP_193*F293*Compute!F41*F109</f>
        <v>0</v>
      </c>
      <c r="G301" s="17" t="n">
        <f aca="false">INP_193*G293*Compute!G41*G109</f>
        <v>0</v>
      </c>
      <c r="H301" s="17" t="n">
        <f aca="false">INP_193*H293*Compute!H41*H109</f>
        <v>12.2124066691827</v>
      </c>
      <c r="I301" s="17" t="n">
        <f aca="false">INP_193*I293*Compute!I41*I109</f>
        <v>46.645479292207</v>
      </c>
      <c r="K301" s="2" t="s">
        <v>5514</v>
      </c>
    </row>
    <row r="302" customFormat="false" ht="15" hidden="false" customHeight="false" outlineLevel="0" collapsed="false">
      <c r="A302" s="9" t="s">
        <v>5528</v>
      </c>
      <c r="B302" s="11" t="s">
        <v>5529</v>
      </c>
      <c r="C302" s="9" t="s">
        <v>2742</v>
      </c>
      <c r="D302" s="18" t="n">
        <f aca="false">(D108+D301-D292)/D294</f>
        <v>-139.267405501682</v>
      </c>
      <c r="E302" s="18" t="n">
        <f aca="false">(E108+E301-E292)/E294</f>
        <v>-5.36501172129409</v>
      </c>
      <c r="F302" s="18" t="n">
        <f aca="false">(F108+F301-F292)/F294</f>
        <v>-4.91025301987502</v>
      </c>
      <c r="G302" s="18" t="n">
        <f aca="false">(G108+G301-G292)/G294</f>
        <v>-2.69802276504026</v>
      </c>
      <c r="H302" s="18" t="n">
        <f aca="false">(H108+H301-H292)/H294</f>
        <v>4.3889652956446</v>
      </c>
      <c r="I302" s="18" t="n">
        <f aca="false">(I108+I301-I292)/I294</f>
        <v>8.25176058727734</v>
      </c>
      <c r="K302" s="2" t="s">
        <v>5517</v>
      </c>
    </row>
    <row r="303" customFormat="false" ht="15" hidden="false" customHeight="false" outlineLevel="0" collapsed="false">
      <c r="A303" s="9" t="s">
        <v>5530</v>
      </c>
      <c r="B303" s="11" t="s">
        <v>5531</v>
      </c>
      <c r="C303" s="9" t="s">
        <v>2742</v>
      </c>
      <c r="D303" s="18" t="n">
        <f aca="false">D302-D115</f>
        <v>0</v>
      </c>
      <c r="E303" s="18" t="n">
        <f aca="false">E302-E115</f>
        <v>0</v>
      </c>
      <c r="F303" s="18" t="n">
        <f aca="false">F302-F115</f>
        <v>0</v>
      </c>
      <c r="G303" s="18" t="n">
        <f aca="false">G302-G115</f>
        <v>0</v>
      </c>
      <c r="H303" s="18" t="n">
        <f aca="false">H302-H115</f>
        <v>-0.990004631625918</v>
      </c>
      <c r="I303" s="18" t="n">
        <f aca="false">I302-I115</f>
        <v>-3.35015683352896</v>
      </c>
      <c r="K303" s="2"/>
    </row>
    <row r="304" customFormat="false" ht="15" hidden="false" customHeight="false" outlineLevel="0" collapsed="false">
      <c r="A304" s="9" t="s">
        <v>5532</v>
      </c>
      <c r="B304" s="11" t="s">
        <v>5533</v>
      </c>
      <c r="C304" s="11" t="s">
        <v>747</v>
      </c>
      <c r="D304" s="21" t="n">
        <f aca="false">(D105+D301)/(D106+D292)</f>
        <v>0.345475241889585</v>
      </c>
      <c r="E304" s="21" t="n">
        <f aca="false">(E105+E301)/(E106+E292)</f>
        <v>0.888124307888594</v>
      </c>
      <c r="F304" s="21" t="n">
        <f aca="false">(F105+F301)/(F106+F292)</f>
        <v>0.770845036748019</v>
      </c>
      <c r="G304" s="21" t="n">
        <f aca="false">(G105+G301)/(G106+G292)</f>
        <v>0.851667231837521</v>
      </c>
      <c r="H304" s="21" t="n">
        <f aca="false">(H105+H301)/(H106+H292)</f>
        <v>1.30593206570996</v>
      </c>
      <c r="I304" s="21" t="n">
        <f aca="false">(I105+I301)/(I106+I292)</f>
        <v>1.60421545841741</v>
      </c>
      <c r="K304" s="2" t="s">
        <v>5522</v>
      </c>
    </row>
    <row r="305" customFormat="false" ht="15" hidden="false" customHeight="false" outlineLevel="0" collapsed="false">
      <c r="A305" s="9" t="s">
        <v>5534</v>
      </c>
      <c r="B305" s="11" t="s">
        <v>5535</v>
      </c>
      <c r="C305" s="9" t="s">
        <v>482</v>
      </c>
      <c r="D305" s="17" t="n">
        <f aca="false">D105+D301-D53-D292-D89</f>
        <v>-6.2848</v>
      </c>
      <c r="E305" s="17" t="n">
        <f aca="false">E105+E301-E53-E292-E89</f>
        <v>-2.58841935855733</v>
      </c>
      <c r="F305" s="17" t="n">
        <f aca="false">F105+F301-F53-F292-F89</f>
        <v>-18.5037194506051</v>
      </c>
      <c r="G305" s="17" t="n">
        <f aca="false">G105+G301-G53-G292-G89</f>
        <v>-14.9597931224653</v>
      </c>
      <c r="H305" s="17" t="n">
        <f aca="false">H105+H301-H53-H292-H89</f>
        <v>45.222827064666</v>
      </c>
      <c r="I305" s="17" t="n">
        <f aca="false">I105+I301-I53-I292-I89</f>
        <v>99.7621802103551</v>
      </c>
      <c r="K305" s="12" t="s">
        <v>5525</v>
      </c>
    </row>
    <row r="306" customFormat="false" ht="15" hidden="false" customHeight="false" outlineLevel="0" collapsed="false">
      <c r="A306" s="9" t="s">
        <v>5536</v>
      </c>
      <c r="B306" s="11" t="s">
        <v>5537</v>
      </c>
      <c r="C306" s="9" t="s">
        <v>482</v>
      </c>
      <c r="D306" s="17" t="n">
        <f aca="false">INP_194*D293*Compute!D41*D109</f>
        <v>0</v>
      </c>
      <c r="E306" s="17" t="n">
        <f aca="false">INP_194*E293*Compute!E41*E109</f>
        <v>0</v>
      </c>
      <c r="F306" s="17" t="n">
        <f aca="false">INP_194*F293*Compute!F41*F109</f>
        <v>0</v>
      </c>
      <c r="G306" s="17" t="n">
        <f aca="false">INP_194*G293*Compute!G41*G109</f>
        <v>0</v>
      </c>
      <c r="H306" s="17" t="n">
        <f aca="false">INP_194*H293*Compute!H41*H109</f>
        <v>24.4248133383653</v>
      </c>
      <c r="I306" s="17" t="n">
        <f aca="false">INP_194*I293*Compute!I41*I109</f>
        <v>93.290958584414</v>
      </c>
      <c r="K306" s="2" t="s">
        <v>5514</v>
      </c>
    </row>
    <row r="307" customFormat="false" ht="15" hidden="false" customHeight="false" outlineLevel="0" collapsed="false">
      <c r="A307" s="9" t="s">
        <v>5538</v>
      </c>
      <c r="B307" s="11" t="s">
        <v>5539</v>
      </c>
      <c r="C307" s="9" t="s">
        <v>2742</v>
      </c>
      <c r="D307" s="18" t="n">
        <f aca="false">(D108+D306-D292)/D294</f>
        <v>-139.267405501682</v>
      </c>
      <c r="E307" s="18" t="n">
        <f aca="false">(E108+E306-E292)/E294</f>
        <v>-5.36501172129409</v>
      </c>
      <c r="F307" s="18" t="n">
        <f aca="false">(F108+F306-F292)/F294</f>
        <v>-4.91025301987502</v>
      </c>
      <c r="G307" s="18" t="n">
        <f aca="false">(G108+G306-G292)/G294</f>
        <v>-2.69802276504026</v>
      </c>
      <c r="H307" s="18" t="n">
        <f aca="false">(H108+H306-H292)/H294</f>
        <v>5.74514556786612</v>
      </c>
      <c r="I307" s="18" t="n">
        <f aca="false">(I108+I306-I292)/I294</f>
        <v>12.3687697241925</v>
      </c>
      <c r="K307" s="2" t="s">
        <v>5517</v>
      </c>
    </row>
    <row r="308" customFormat="false" ht="15" hidden="false" customHeight="false" outlineLevel="0" collapsed="false">
      <c r="A308" s="9" t="s">
        <v>5540</v>
      </c>
      <c r="B308" s="11" t="s">
        <v>5541</v>
      </c>
      <c r="C308" s="9" t="s">
        <v>2742</v>
      </c>
      <c r="D308" s="18" t="n">
        <f aca="false">D307-D115</f>
        <v>0</v>
      </c>
      <c r="E308" s="18" t="n">
        <f aca="false">E307-E115</f>
        <v>0</v>
      </c>
      <c r="F308" s="18" t="n">
        <f aca="false">F307-F115</f>
        <v>0</v>
      </c>
      <c r="G308" s="18" t="n">
        <f aca="false">G307-G115</f>
        <v>0</v>
      </c>
      <c r="H308" s="18" t="n">
        <f aca="false">H307-H115</f>
        <v>0.366175640595597</v>
      </c>
      <c r="I308" s="18" t="n">
        <f aca="false">I307-I115</f>
        <v>0.766852303386195</v>
      </c>
      <c r="K308" s="2"/>
    </row>
    <row r="309" customFormat="false" ht="15" hidden="false" customHeight="false" outlineLevel="0" collapsed="false">
      <c r="A309" s="9" t="s">
        <v>5542</v>
      </c>
      <c r="B309" s="11" t="s">
        <v>5543</v>
      </c>
      <c r="C309" s="11" t="s">
        <v>747</v>
      </c>
      <c r="D309" s="21" t="n">
        <f aca="false">(D105+D306)/(D106+D292)</f>
        <v>0.345475241889585</v>
      </c>
      <c r="E309" s="21" t="n">
        <f aca="false">(E105+E306)/(E106+E292)</f>
        <v>0.888124307888594</v>
      </c>
      <c r="F309" s="21" t="n">
        <f aca="false">(F105+F306)/(F106+F292)</f>
        <v>0.770845036748019</v>
      </c>
      <c r="G309" s="21" t="n">
        <f aca="false">(G105+G306)/(G106+G292)</f>
        <v>0.851667231837521</v>
      </c>
      <c r="H309" s="21" t="n">
        <f aca="false">(H105+H306)/(H106+H292)</f>
        <v>1.40046437667801</v>
      </c>
      <c r="I309" s="21" t="n">
        <f aca="false">(I105+I306)/(I106+I292)</f>
        <v>1.90567361836515</v>
      </c>
      <c r="K309" s="2" t="s">
        <v>5522</v>
      </c>
    </row>
    <row r="310" customFormat="false" ht="15" hidden="false" customHeight="false" outlineLevel="0" collapsed="false">
      <c r="A310" s="9" t="s">
        <v>5544</v>
      </c>
      <c r="B310" s="11" t="s">
        <v>5545</v>
      </c>
      <c r="C310" s="9" t="s">
        <v>482</v>
      </c>
      <c r="D310" s="17" t="n">
        <f aca="false">D105+D306-D53-D292-D89</f>
        <v>-6.2848</v>
      </c>
      <c r="E310" s="17" t="n">
        <f aca="false">E105+E306-E53-E292-E89</f>
        <v>-2.58841935855733</v>
      </c>
      <c r="F310" s="17" t="n">
        <f aca="false">F105+F306-F53-F292-F89</f>
        <v>-18.5037194506051</v>
      </c>
      <c r="G310" s="17" t="n">
        <f aca="false">G105+G306-G53-G292-G89</f>
        <v>-14.9597931224653</v>
      </c>
      <c r="H310" s="17" t="n">
        <f aca="false">H105+H306-H53-H292-H89</f>
        <v>57.4352337338487</v>
      </c>
      <c r="I310" s="17" t="n">
        <f aca="false">I105+I306-I53-I292-I89</f>
        <v>146.407659502562</v>
      </c>
      <c r="K310" s="12" t="s">
        <v>5525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0" min="10" style="0" width="34"/>
    <col collapsed="false" customWidth="true" hidden="false" outlineLevel="0" max="11" min="11" style="0" width="42"/>
    <col collapsed="false" customWidth="true" hidden="false" outlineLevel="0" max="13" min="12" style="0" width="13"/>
    <col collapsed="false" customWidth="true" hidden="false" outlineLevel="0" max="14" min="14" style="0" width="56"/>
  </cols>
  <sheetData>
    <row r="1" customFormat="false" ht="20.1" hidden="false" customHeight="false" outlineLevel="0" collapsed="false">
      <c r="A1" s="1" t="s">
        <v>5546</v>
      </c>
    </row>
    <row r="2" customFormat="false" ht="15" hidden="false" customHeight="false" outlineLevel="0" collapsed="false">
      <c r="A2" s="2" t="s">
        <v>5547</v>
      </c>
    </row>
    <row r="3" customFormat="false" ht="15" hidden="false" customHeight="false" outlineLevel="0" collapsed="false">
      <c r="A3" s="2" t="s">
        <v>5548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 t="s">
        <v>38</v>
      </c>
      <c r="K5" s="8" t="s">
        <v>2519</v>
      </c>
      <c r="L5" s="8" t="s">
        <v>50</v>
      </c>
      <c r="M5" s="8" t="s">
        <v>51</v>
      </c>
      <c r="N5" s="8" t="s">
        <v>5549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5550</v>
      </c>
    </row>
    <row r="8" customFormat="false" ht="15" hidden="false" customHeight="false" outlineLevel="0" collapsed="false">
      <c r="A8" s="9" t="s">
        <v>5551</v>
      </c>
      <c r="B8" s="11" t="s">
        <v>5552</v>
      </c>
      <c r="C8" s="9" t="s">
        <v>3875</v>
      </c>
      <c r="D8" s="17" t="n">
        <f aca="false">Demand!D11</f>
        <v>1.58686352973644</v>
      </c>
      <c r="E8" s="17" t="n">
        <f aca="false">Demand!E11</f>
        <v>6.34745411894577</v>
      </c>
      <c r="F8" s="17" t="n">
        <f aca="false">Demand!F11</f>
        <v>10.1559265903132</v>
      </c>
      <c r="G8" s="17" t="n">
        <f aca="false">Demand!G11</f>
        <v>14.2182972264385</v>
      </c>
      <c r="H8" s="17" t="n">
        <f aca="false">Demand!H11</f>
        <v>18.4837863943701</v>
      </c>
      <c r="I8" s="17" t="n">
        <f aca="false">Demand!I11</f>
        <v>22.1805436732441</v>
      </c>
      <c r="J8" s="12" t="s">
        <v>5553</v>
      </c>
      <c r="K8" s="12" t="s">
        <v>5554</v>
      </c>
    </row>
    <row r="9" customFormat="false" ht="15" hidden="false" customHeight="false" outlineLevel="0" collapsed="false">
      <c r="A9" s="9" t="s">
        <v>5555</v>
      </c>
      <c r="B9" s="11" t="s">
        <v>5556</v>
      </c>
      <c r="C9" s="9" t="s">
        <v>3875</v>
      </c>
      <c r="D9" s="17" t="n">
        <f aca="false">Demand!D19</f>
        <v>0.163771712158809</v>
      </c>
      <c r="E9" s="17" t="n">
        <f aca="false">Demand!E19</f>
        <v>0.655086848635236</v>
      </c>
      <c r="F9" s="17" t="n">
        <f aca="false">Demand!F19</f>
        <v>1.31017369727047</v>
      </c>
      <c r="G9" s="17" t="n">
        <f aca="false">Demand!G19</f>
        <v>1.96526054590571</v>
      </c>
      <c r="H9" s="17" t="n">
        <f aca="false">Demand!H19</f>
        <v>2.65310173697271</v>
      </c>
      <c r="I9" s="17" t="n">
        <f aca="false">Demand!I19</f>
        <v>3.31637717121588</v>
      </c>
      <c r="J9" s="12" t="s">
        <v>5557</v>
      </c>
      <c r="K9" s="12" t="s">
        <v>5558</v>
      </c>
    </row>
    <row r="10" customFormat="false" ht="15" hidden="false" customHeight="false" outlineLevel="0" collapsed="false">
      <c r="A10" s="9" t="s">
        <v>5559</v>
      </c>
      <c r="B10" s="9" t="s">
        <v>3884</v>
      </c>
      <c r="C10" s="9" t="s">
        <v>3875</v>
      </c>
      <c r="D10" s="17" t="n">
        <f aca="false">Demand!D15</f>
        <v>17.3131364702636</v>
      </c>
      <c r="E10" s="17" t="n">
        <f aca="false">Demand!E15</f>
        <v>34.6262729405271</v>
      </c>
      <c r="F10" s="17" t="n">
        <f aca="false">Demand!F15</f>
        <v>51.9394094107907</v>
      </c>
      <c r="G10" s="17" t="n">
        <f aca="false">Demand!G15</f>
        <v>67.5212322340279</v>
      </c>
      <c r="H10" s="17" t="n">
        <f aca="false">Demand!H15</f>
        <v>81.0254786808334</v>
      </c>
      <c r="I10" s="17" t="n">
        <f aca="false">Demand!I15</f>
        <v>93.1793004829584</v>
      </c>
      <c r="J10" s="12" t="s">
        <v>5560</v>
      </c>
      <c r="K10" s="12" t="s">
        <v>5561</v>
      </c>
    </row>
    <row r="11" customFormat="false" ht="15" hidden="false" customHeight="false" outlineLevel="0" collapsed="false">
      <c r="A11" s="15" t="s">
        <v>5562</v>
      </c>
    </row>
    <row r="12" customFormat="false" ht="15" hidden="false" customHeight="false" outlineLevel="0" collapsed="false">
      <c r="A12" s="9" t="s">
        <v>5563</v>
      </c>
      <c r="B12" s="11" t="s">
        <v>5564</v>
      </c>
      <c r="C12" s="11" t="s">
        <v>3218</v>
      </c>
      <c r="D12" s="18" t="n">
        <f aca="false">Demand!D24</f>
        <v>2</v>
      </c>
      <c r="E12" s="18" t="n">
        <f aca="false">Demand!E24</f>
        <v>2.2</v>
      </c>
      <c r="F12" s="18" t="n">
        <f aca="false">Demand!F24</f>
        <v>2.42</v>
      </c>
      <c r="G12" s="18" t="n">
        <f aca="false">Demand!G24</f>
        <v>2.662</v>
      </c>
      <c r="H12" s="18" t="n">
        <f aca="false">Demand!H24</f>
        <v>2.9282</v>
      </c>
      <c r="I12" s="18" t="n">
        <f aca="false">Demand!I24</f>
        <v>3.22102</v>
      </c>
      <c r="J12" s="12" t="s">
        <v>5565</v>
      </c>
      <c r="K12" s="12" t="s">
        <v>5566</v>
      </c>
    </row>
    <row r="13" customFormat="false" ht="15" hidden="false" customHeight="false" outlineLevel="0" collapsed="false">
      <c r="A13" s="9" t="s">
        <v>5567</v>
      </c>
      <c r="B13" s="11" t="s">
        <v>5568</v>
      </c>
      <c r="C13" s="11" t="s">
        <v>3218</v>
      </c>
      <c r="D13" s="18" t="n">
        <f aca="false">Demand!D25</f>
        <v>8</v>
      </c>
      <c r="E13" s="18" t="n">
        <f aca="false">Demand!E25</f>
        <v>8.8</v>
      </c>
      <c r="F13" s="18" t="n">
        <f aca="false">Demand!F25</f>
        <v>9.68</v>
      </c>
      <c r="G13" s="18" t="n">
        <f aca="false">Demand!G25</f>
        <v>10.648</v>
      </c>
      <c r="H13" s="18" t="n">
        <f aca="false">Demand!H25</f>
        <v>11.7128</v>
      </c>
      <c r="I13" s="18" t="n">
        <f aca="false">Demand!I25</f>
        <v>12.88408</v>
      </c>
      <c r="J13" s="12" t="s">
        <v>5565</v>
      </c>
      <c r="K13" s="12" t="s">
        <v>5569</v>
      </c>
    </row>
    <row r="14" customFormat="false" ht="15" hidden="false" customHeight="false" outlineLevel="0" collapsed="false">
      <c r="A14" s="9" t="s">
        <v>5570</v>
      </c>
      <c r="B14" s="11" t="s">
        <v>5571</v>
      </c>
      <c r="C14" s="11" t="s">
        <v>3218</v>
      </c>
      <c r="D14" s="18" t="n">
        <f aca="false">Demand!D26</f>
        <v>20</v>
      </c>
      <c r="E14" s="18" t="n">
        <f aca="false">Demand!E26</f>
        <v>22</v>
      </c>
      <c r="F14" s="18" t="n">
        <f aca="false">Demand!F26</f>
        <v>24.2</v>
      </c>
      <c r="G14" s="18" t="n">
        <f aca="false">Demand!G26</f>
        <v>26.62</v>
      </c>
      <c r="H14" s="18" t="n">
        <f aca="false">Demand!H26</f>
        <v>29.282</v>
      </c>
      <c r="I14" s="18" t="n">
        <f aca="false">Demand!I26</f>
        <v>32.2102</v>
      </c>
      <c r="J14" s="12" t="s">
        <v>5565</v>
      </c>
      <c r="K14" s="12" t="s">
        <v>5572</v>
      </c>
    </row>
    <row r="15" customFormat="false" ht="15" hidden="false" customHeight="false" outlineLevel="0" collapsed="false">
      <c r="A15" s="9" t="s">
        <v>5573</v>
      </c>
      <c r="B15" s="11" t="s">
        <v>5574</v>
      </c>
      <c r="C15" s="11" t="s">
        <v>3218</v>
      </c>
      <c r="D15" s="18" t="n">
        <f aca="false">Demand!D27</f>
        <v>40</v>
      </c>
      <c r="E15" s="18" t="n">
        <f aca="false">Demand!E27</f>
        <v>44</v>
      </c>
      <c r="F15" s="18" t="n">
        <f aca="false">Demand!F27</f>
        <v>48.4</v>
      </c>
      <c r="G15" s="18" t="n">
        <f aca="false">Demand!G27</f>
        <v>53.24</v>
      </c>
      <c r="H15" s="18" t="n">
        <f aca="false">Demand!H27</f>
        <v>58.564</v>
      </c>
      <c r="I15" s="18" t="n">
        <f aca="false">Demand!I27</f>
        <v>64.4204</v>
      </c>
      <c r="J15" s="12" t="s">
        <v>5565</v>
      </c>
      <c r="K15" s="12" t="s">
        <v>5575</v>
      </c>
    </row>
    <row r="16" customFormat="false" ht="15" hidden="false" customHeight="false" outlineLevel="0" collapsed="false">
      <c r="A16" s="9" t="s">
        <v>5576</v>
      </c>
      <c r="B16" s="11" t="s">
        <v>5577</v>
      </c>
      <c r="C16" s="11" t="s">
        <v>3218</v>
      </c>
      <c r="D16" s="18" t="n">
        <f aca="false">Demand!D28</f>
        <v>6</v>
      </c>
      <c r="E16" s="18" t="n">
        <f aca="false">Demand!E28</f>
        <v>6.6</v>
      </c>
      <c r="F16" s="18" t="n">
        <f aca="false">Demand!F28</f>
        <v>7.26</v>
      </c>
      <c r="G16" s="18" t="n">
        <f aca="false">Demand!G28</f>
        <v>7.986</v>
      </c>
      <c r="H16" s="18" t="n">
        <f aca="false">Demand!H28</f>
        <v>8.7846</v>
      </c>
      <c r="I16" s="18" t="n">
        <f aca="false">Demand!I28</f>
        <v>9.66306</v>
      </c>
      <c r="J16" s="12" t="s">
        <v>5565</v>
      </c>
      <c r="K16" s="12" t="s">
        <v>5578</v>
      </c>
    </row>
    <row r="17" customFormat="false" ht="15" hidden="false" customHeight="false" outlineLevel="0" collapsed="false">
      <c r="A17" s="9" t="s">
        <v>5579</v>
      </c>
      <c r="B17" s="11" t="s">
        <v>5580</v>
      </c>
      <c r="C17" s="11" t="s">
        <v>3218</v>
      </c>
      <c r="D17" s="18" t="n">
        <f aca="false">Demand!D29</f>
        <v>15</v>
      </c>
      <c r="E17" s="18" t="n">
        <f aca="false">Demand!E29</f>
        <v>16.5</v>
      </c>
      <c r="F17" s="18" t="n">
        <f aca="false">Demand!F29</f>
        <v>18.15</v>
      </c>
      <c r="G17" s="18" t="n">
        <f aca="false">Demand!G29</f>
        <v>19.965</v>
      </c>
      <c r="H17" s="18" t="n">
        <f aca="false">Demand!H29</f>
        <v>21.9615</v>
      </c>
      <c r="I17" s="18" t="n">
        <f aca="false">Demand!I29</f>
        <v>24.15765</v>
      </c>
      <c r="J17" s="12" t="s">
        <v>5565</v>
      </c>
      <c r="K17" s="12" t="s">
        <v>5581</v>
      </c>
    </row>
    <row r="18" customFormat="false" ht="15" hidden="false" customHeight="false" outlineLevel="0" collapsed="false">
      <c r="A18" s="9" t="s">
        <v>5582</v>
      </c>
      <c r="B18" s="11" t="s">
        <v>5583</v>
      </c>
      <c r="C18" s="11" t="s">
        <v>3218</v>
      </c>
      <c r="D18" s="18" t="n">
        <f aca="false">Demand!D30</f>
        <v>8</v>
      </c>
      <c r="E18" s="18" t="n">
        <f aca="false">Demand!E30</f>
        <v>8.8</v>
      </c>
      <c r="F18" s="18" t="n">
        <f aca="false">Demand!F30</f>
        <v>9.68</v>
      </c>
      <c r="G18" s="18" t="n">
        <f aca="false">Demand!G30</f>
        <v>10.648</v>
      </c>
      <c r="H18" s="18" t="n">
        <f aca="false">Demand!H30</f>
        <v>11.7128</v>
      </c>
      <c r="I18" s="18" t="n">
        <f aca="false">Demand!I30</f>
        <v>12.88408</v>
      </c>
      <c r="J18" s="12" t="s">
        <v>5565</v>
      </c>
      <c r="K18" s="12" t="s">
        <v>5584</v>
      </c>
    </row>
    <row r="19" customFormat="false" ht="15" hidden="false" customHeight="false" outlineLevel="0" collapsed="false">
      <c r="A19" s="9" t="s">
        <v>5585</v>
      </c>
      <c r="B19" s="11" t="s">
        <v>5586</v>
      </c>
      <c r="C19" s="11" t="s">
        <v>5587</v>
      </c>
      <c r="D19" s="22" t="n">
        <f aca="false">(Demand!D15*Demand!D24+Demand!D12*Demand!D25+Demand!D13*Demand!D26+Demand!D14*Demand!D27+Demand!D20*Demand!D28+Demand!D21*Demand!D29+Demand!D22*Demand!D30)*INP_007/INP_012</f>
        <v>19.3752078907641</v>
      </c>
      <c r="E19" s="22" t="n">
        <f aca="false">(Demand!E15*Demand!E24+Demand!E12*Demand!E25+Demand!E13*Demand!E26+Demand!E14*Demand!E27+Demand!E20*Demand!E28+Demand!E21*Demand!E29+Demand!E22*Demand!E30)*INP_007/INP_012</f>
        <v>65.7721878904628</v>
      </c>
      <c r="F19" s="22" t="n">
        <f aca="false">(Demand!F15*Demand!F24+Demand!F12*Demand!F25+Demand!F13*Demand!F26+Demand!F14*Demand!F27+Demand!F20*Demand!F28+Demand!F21*Demand!F29+Demand!F22*Demand!F30)*INP_007/INP_012</f>
        <v>113.707342489693</v>
      </c>
      <c r="G19" s="22" t="n">
        <f aca="false">(Demand!G15*Demand!G24+Demand!G12*Demand!G25+Demand!G13*Demand!G26+Demand!G14*Demand!G27+Demand!G20*Demand!G28+Demand!G21*Demand!G29+Demand!G22*Demand!G30)*INP_007/INP_012</f>
        <v>170.61647536777</v>
      </c>
      <c r="H19" s="22" t="n">
        <f aca="false">(Demand!H15*Demand!H24+Demand!H12*Demand!H25+Demand!H13*Demand!H26+Demand!H14*Demand!H27+Demand!H20*Demand!H28+Demand!H21*Demand!H29+Demand!H22*Demand!H30)*INP_007/INP_012</f>
        <v>237.221787075035</v>
      </c>
      <c r="I19" s="22" t="n">
        <f aca="false">(Demand!I15*Demand!I24+Demand!I12*Demand!I25+Demand!I13*Demand!I26+Demand!I14*Demand!I27+Demand!I20*Demand!I28+Demand!I21*Demand!I29+Demand!I22*Demand!I30)*INP_007/INP_012</f>
        <v>309.048209658201</v>
      </c>
      <c r="J19" s="12" t="s">
        <v>102</v>
      </c>
      <c r="K19" s="12" t="s">
        <v>5588</v>
      </c>
    </row>
    <row r="20" customFormat="false" ht="15" hidden="false" customHeight="false" outlineLevel="0" collapsed="false">
      <c r="A20" s="9" t="s">
        <v>5589</v>
      </c>
      <c r="B20" s="9" t="s">
        <v>5590</v>
      </c>
      <c r="C20" s="11" t="s">
        <v>5587</v>
      </c>
      <c r="D20" s="22" t="n">
        <f aca="false">Demand!D53</f>
        <v>14.920704873522</v>
      </c>
      <c r="E20" s="22" t="n">
        <f aca="false">Demand!E53</f>
        <v>207.126316696668</v>
      </c>
      <c r="F20" s="22" t="n">
        <f aca="false">Demand!F53</f>
        <v>393.335574686682</v>
      </c>
      <c r="G20" s="22" t="n">
        <f aca="false">Demand!G53</f>
        <v>594.981891262844</v>
      </c>
      <c r="H20" s="22" t="n">
        <f aca="false">Demand!H53</f>
        <v>833.33670834399</v>
      </c>
      <c r="I20" s="22" t="n">
        <f aca="false">Demand!I53</f>
        <v>1120.49135693802</v>
      </c>
      <c r="J20" s="12" t="s">
        <v>5591</v>
      </c>
      <c r="K20" s="12" t="s">
        <v>5592</v>
      </c>
    </row>
    <row r="21" customFormat="false" ht="15" hidden="false" customHeight="false" outlineLevel="0" collapsed="false">
      <c r="A21" s="9" t="s">
        <v>5593</v>
      </c>
      <c r="B21" s="11" t="s">
        <v>5594</v>
      </c>
      <c r="C21" s="11" t="s">
        <v>5587</v>
      </c>
      <c r="D21" s="22" t="n">
        <f aca="false">D19+D20</f>
        <v>34.2959127642861</v>
      </c>
      <c r="E21" s="22" t="n">
        <f aca="false">E19+E20</f>
        <v>272.898504587131</v>
      </c>
      <c r="F21" s="22" t="n">
        <f aca="false">F19+F20</f>
        <v>507.042917176375</v>
      </c>
      <c r="G21" s="22" t="n">
        <f aca="false">G19+G20</f>
        <v>765.598366630614</v>
      </c>
      <c r="H21" s="22" t="n">
        <f aca="false">H19+H20</f>
        <v>1070.55849541903</v>
      </c>
      <c r="I21" s="22" t="n">
        <f aca="false">I19+I20</f>
        <v>1429.53956659622</v>
      </c>
      <c r="J21" s="12" t="s">
        <v>102</v>
      </c>
      <c r="K21" s="12" t="s">
        <v>5595</v>
      </c>
    </row>
    <row r="22" customFormat="false" ht="15" hidden="false" customHeight="false" outlineLevel="0" collapsed="false">
      <c r="A22" s="15" t="s">
        <v>5596</v>
      </c>
    </row>
    <row r="23" customFormat="false" ht="15" hidden="false" customHeight="false" outlineLevel="0" collapsed="false">
      <c r="A23" s="9" t="s">
        <v>5597</v>
      </c>
      <c r="B23" s="9" t="s">
        <v>5598</v>
      </c>
      <c r="C23" s="9" t="s">
        <v>3404</v>
      </c>
      <c r="D23" s="19" t="n">
        <f aca="false">(SUMIFS(TK_IF_TaskTokFresh,TK_IF_HdrTask,INP_102)+SUMIFS(TK_IF_TaskTokCached,TK_IF_HdrTask,INP_102)+SUMIFS(TK_IF_TaskTokDec,TK_IF_HdrTask,INP_102))/INP_108</f>
        <v>3</v>
      </c>
      <c r="J23" s="12" t="s">
        <v>5599</v>
      </c>
      <c r="K23" s="12" t="s">
        <v>5600</v>
      </c>
    </row>
    <row r="24" customFormat="false" ht="15" hidden="false" customHeight="false" outlineLevel="0" collapsed="false">
      <c r="A24" s="9" t="s">
        <v>5601</v>
      </c>
      <c r="B24" s="9" t="s">
        <v>5602</v>
      </c>
      <c r="C24" s="9" t="s">
        <v>3404</v>
      </c>
      <c r="D24" s="19" t="n">
        <f aca="false">(SUMIFS(TK_IF_TaskTokFresh,TK_IF_HdrTask,INP_103)+SUMIFS(TK_IF_TaskTokCached,TK_IF_HdrTask,INP_103)+SUMIFS(TK_IF_TaskTokDec,TK_IF_HdrTask,INP_103))/INP_108</f>
        <v>1494</v>
      </c>
      <c r="J24" s="12" t="s">
        <v>5599</v>
      </c>
      <c r="K24" s="12" t="s">
        <v>5603</v>
      </c>
    </row>
    <row r="25" customFormat="false" ht="15" hidden="false" customHeight="false" outlineLevel="0" collapsed="false">
      <c r="A25" s="9" t="s">
        <v>5604</v>
      </c>
      <c r="B25" s="9" t="s">
        <v>5605</v>
      </c>
      <c r="C25" s="9" t="s">
        <v>3404</v>
      </c>
      <c r="D25" s="19" t="n">
        <f aca="false">(SUMIFS(TK_IF_TaskTokFresh,TK_IF_HdrTask,INP_104)+SUMIFS(TK_IF_TaskTokCached,TK_IF_HdrTask,INP_104)+SUMIFS(TK_IF_TaskTokDec,TK_IF_HdrTask,INP_104))/INP_108</f>
        <v>27.6</v>
      </c>
      <c r="J25" s="12" t="s">
        <v>5599</v>
      </c>
      <c r="K25" s="12" t="s">
        <v>5606</v>
      </c>
    </row>
    <row r="26" customFormat="false" ht="15" hidden="false" customHeight="false" outlineLevel="0" collapsed="false">
      <c r="A26" s="9" t="s">
        <v>5607</v>
      </c>
      <c r="B26" s="11" t="s">
        <v>5608</v>
      </c>
      <c r="C26" s="11" t="s">
        <v>747</v>
      </c>
      <c r="D26" s="21" t="n">
        <f aca="false">INP_105</f>
        <v>1</v>
      </c>
      <c r="J26" s="12" t="s">
        <v>5609</v>
      </c>
      <c r="K26" s="12" t="s">
        <v>28</v>
      </c>
      <c r="L26" s="24" t="n">
        <f aca="false">Inputs!$F$77</f>
        <v>0.5</v>
      </c>
      <c r="M26" s="24" t="n">
        <f aca="false">Inputs!$G$77</f>
        <v>2</v>
      </c>
      <c r="N26" s="12" t="s">
        <v>5610</v>
      </c>
    </row>
    <row r="27" customFormat="false" ht="15" hidden="false" customHeight="false" outlineLevel="0" collapsed="false">
      <c r="A27" s="9" t="s">
        <v>5611</v>
      </c>
      <c r="B27" s="11" t="s">
        <v>5612</v>
      </c>
      <c r="C27" s="11" t="s">
        <v>747</v>
      </c>
      <c r="D27" s="21" t="n">
        <f aca="false">INP_106</f>
        <v>0.15</v>
      </c>
      <c r="J27" s="12" t="s">
        <v>5609</v>
      </c>
      <c r="K27" s="12" t="s">
        <v>28</v>
      </c>
      <c r="L27" s="24" t="n">
        <f aca="false">Inputs!$F$78</f>
        <v>0.05</v>
      </c>
      <c r="M27" s="24" t="n">
        <f aca="false">Inputs!$G$78</f>
        <v>0.4</v>
      </c>
      <c r="N27" s="12" t="s">
        <v>5610</v>
      </c>
    </row>
    <row r="28" customFormat="false" ht="15" hidden="false" customHeight="false" outlineLevel="0" collapsed="false">
      <c r="A28" s="9" t="s">
        <v>5613</v>
      </c>
      <c r="B28" s="11" t="s">
        <v>5614</v>
      </c>
      <c r="C28" s="11" t="s">
        <v>747</v>
      </c>
      <c r="D28" s="21" t="n">
        <f aca="false">INP_107</f>
        <v>1</v>
      </c>
      <c r="J28" s="12" t="s">
        <v>5609</v>
      </c>
      <c r="K28" s="12" t="s">
        <v>28</v>
      </c>
      <c r="L28" s="24" t="n">
        <f aca="false">Inputs!$F$79</f>
        <v>0.5</v>
      </c>
      <c r="M28" s="24" t="n">
        <f aca="false">Inputs!$G$79</f>
        <v>4</v>
      </c>
      <c r="N28" s="12" t="s">
        <v>5610</v>
      </c>
    </row>
    <row r="29" customFormat="false" ht="15" hidden="false" customHeight="false" outlineLevel="0" collapsed="false">
      <c r="A29" s="9" t="s">
        <v>5615</v>
      </c>
      <c r="B29" s="11" t="s">
        <v>5616</v>
      </c>
      <c r="C29" s="9" t="s">
        <v>3404</v>
      </c>
      <c r="D29" s="19" t="n">
        <f aca="false">Demand!D31</f>
        <v>3</v>
      </c>
      <c r="E29" s="19" t="n">
        <f aca="false">Demand!E31</f>
        <v>3.45</v>
      </c>
      <c r="F29" s="19" t="n">
        <f aca="false">Demand!F31</f>
        <v>3.9675</v>
      </c>
      <c r="G29" s="19" t="n">
        <f aca="false">Demand!G31</f>
        <v>4.562625</v>
      </c>
      <c r="H29" s="19" t="n">
        <f aca="false">Demand!H31</f>
        <v>5.24701875</v>
      </c>
      <c r="I29" s="19" t="n">
        <f aca="false">Demand!I31</f>
        <v>6.0340715625</v>
      </c>
      <c r="J29" s="12" t="s">
        <v>5617</v>
      </c>
      <c r="K29" s="12" t="s">
        <v>5618</v>
      </c>
      <c r="L29" s="19" t="n">
        <f aca="false">$D$23*$L$26</f>
        <v>1.5</v>
      </c>
      <c r="M29" s="19" t="n">
        <f aca="false">$D$23*$M$26</f>
        <v>6</v>
      </c>
      <c r="N29" s="12" t="s">
        <v>5619</v>
      </c>
    </row>
    <row r="30" customFormat="false" ht="15" hidden="false" customHeight="false" outlineLevel="0" collapsed="false">
      <c r="A30" s="9" t="s">
        <v>5620</v>
      </c>
      <c r="B30" s="11" t="s">
        <v>5621</v>
      </c>
      <c r="C30" s="9" t="s">
        <v>3404</v>
      </c>
      <c r="D30" s="19" t="n">
        <f aca="false">Demand!D32</f>
        <v>224.1</v>
      </c>
      <c r="E30" s="19" t="n">
        <f aca="false">Demand!E32</f>
        <v>257.715</v>
      </c>
      <c r="F30" s="19" t="n">
        <f aca="false">Demand!F32</f>
        <v>296.37225</v>
      </c>
      <c r="G30" s="19" t="n">
        <f aca="false">Demand!G32</f>
        <v>340.8280875</v>
      </c>
      <c r="H30" s="19" t="n">
        <f aca="false">Demand!H32</f>
        <v>391.952300625</v>
      </c>
      <c r="I30" s="19" t="n">
        <f aca="false">Demand!I32</f>
        <v>450.74514571875</v>
      </c>
      <c r="J30" s="12" t="s">
        <v>5617</v>
      </c>
      <c r="K30" s="12" t="s">
        <v>5622</v>
      </c>
      <c r="L30" s="19" t="n">
        <f aca="false">$D$24*$L$27</f>
        <v>74.7</v>
      </c>
      <c r="M30" s="19" t="n">
        <f aca="false">$D$24*$M$27</f>
        <v>597.6</v>
      </c>
      <c r="N30" s="12" t="s">
        <v>5619</v>
      </c>
    </row>
    <row r="31" customFormat="false" ht="15" hidden="false" customHeight="false" outlineLevel="0" collapsed="false">
      <c r="A31" s="9" t="s">
        <v>5623</v>
      </c>
      <c r="B31" s="11" t="s">
        <v>5624</v>
      </c>
      <c r="C31" s="9" t="s">
        <v>3404</v>
      </c>
      <c r="D31" s="19" t="n">
        <f aca="false">Demand!D33</f>
        <v>27.6</v>
      </c>
      <c r="E31" s="19" t="n">
        <f aca="false">Demand!E33</f>
        <v>31.74</v>
      </c>
      <c r="F31" s="19" t="n">
        <f aca="false">Demand!F33</f>
        <v>36.501</v>
      </c>
      <c r="G31" s="19" t="n">
        <f aca="false">Demand!G33</f>
        <v>41.97615</v>
      </c>
      <c r="H31" s="19" t="n">
        <f aca="false">Demand!H33</f>
        <v>48.2725725</v>
      </c>
      <c r="I31" s="19" t="n">
        <f aca="false">Demand!I33</f>
        <v>55.513458375</v>
      </c>
      <c r="J31" s="12" t="s">
        <v>5617</v>
      </c>
      <c r="K31" s="12" t="s">
        <v>5625</v>
      </c>
      <c r="L31" s="19" t="n">
        <f aca="false">$D$25*$L$28</f>
        <v>13.8</v>
      </c>
      <c r="M31" s="19" t="n">
        <f aca="false">$D$25*$M$28</f>
        <v>110.4</v>
      </c>
      <c r="N31" s="12" t="s">
        <v>5619</v>
      </c>
    </row>
    <row r="32" customFormat="false" ht="15" hidden="false" customHeight="false" outlineLevel="0" collapsed="false">
      <c r="A32" s="9" t="s">
        <v>5626</v>
      </c>
      <c r="B32" s="9" t="s">
        <v>3966</v>
      </c>
      <c r="C32" s="9" t="s">
        <v>3404</v>
      </c>
      <c r="D32" s="19" t="n">
        <f aca="false">Demand!D52</f>
        <v>50</v>
      </c>
      <c r="E32" s="19" t="n">
        <f aca="false">Demand!E52</f>
        <v>60</v>
      </c>
      <c r="F32" s="19" t="n">
        <f aca="false">Demand!F52</f>
        <v>77.4569683573399</v>
      </c>
      <c r="G32" s="19" t="n">
        <f aca="false">Demand!G52</f>
        <v>91.0862535954576</v>
      </c>
      <c r="H32" s="19" t="n">
        <f aca="false">Demand!H52</f>
        <v>105.200994950213</v>
      </c>
      <c r="I32" s="19" t="n">
        <f aca="false">Demand!I52</f>
        <v>119.293814317234</v>
      </c>
      <c r="J32" s="12" t="s">
        <v>5627</v>
      </c>
      <c r="K32" s="12" t="s">
        <v>5628</v>
      </c>
    </row>
    <row r="33" customFormat="false" ht="15" hidden="false" customHeight="false" outlineLevel="0" collapsed="false">
      <c r="A33" s="15" t="s">
        <v>5629</v>
      </c>
    </row>
    <row r="34" customFormat="false" ht="15" hidden="false" customHeight="false" outlineLevel="0" collapsed="false">
      <c r="A34" s="9" t="s">
        <v>5630</v>
      </c>
      <c r="B34" s="11" t="s">
        <v>3994</v>
      </c>
      <c r="C34" s="9" t="s">
        <v>2956</v>
      </c>
      <c r="D34" s="20" t="n">
        <f aca="false">Demand!D63</f>
        <v>322.966506236519</v>
      </c>
      <c r="E34" s="20" t="n">
        <f aca="false">Demand!E63</f>
        <v>6037.19144842346</v>
      </c>
      <c r="F34" s="20" t="n">
        <f aca="false">Demand!F63</f>
        <v>14118.0037715554</v>
      </c>
      <c r="G34" s="20" t="n">
        <f aca="false">Demand!G63</f>
        <v>25111.1539097947</v>
      </c>
      <c r="H34" s="20" t="n">
        <f aca="false">Demand!H63</f>
        <v>40809.4187949505</v>
      </c>
      <c r="I34" s="20" t="n">
        <f aca="false">Demand!I63</f>
        <v>62194.5511620398</v>
      </c>
      <c r="J34" s="12" t="s">
        <v>5631</v>
      </c>
      <c r="K34" s="12" t="s">
        <v>5632</v>
      </c>
    </row>
    <row r="35" customFormat="false" ht="15" hidden="false" customHeight="false" outlineLevel="0" collapsed="false">
      <c r="A35" s="9" t="s">
        <v>5633</v>
      </c>
      <c r="B35" s="11" t="s">
        <v>3997</v>
      </c>
      <c r="C35" s="9" t="s">
        <v>2956</v>
      </c>
      <c r="D35" s="20" t="n">
        <f aca="false">Demand!D64</f>
        <v>858.962301395927</v>
      </c>
      <c r="E35" s="20" t="n">
        <f aca="false">Demand!E64</f>
        <v>9179.00726651179</v>
      </c>
      <c r="F35" s="20" t="n">
        <f aca="false">Demand!F64</f>
        <v>21304.6323021141</v>
      </c>
      <c r="G35" s="20" t="n">
        <f aca="false">Demand!G64</f>
        <v>37893.7930632655</v>
      </c>
      <c r="H35" s="20" t="n">
        <f aca="false">Demand!H64</f>
        <v>61630.5499929222</v>
      </c>
      <c r="I35" s="20" t="n">
        <f aca="false">Demand!I64</f>
        <v>93920.590163386</v>
      </c>
      <c r="J35" s="12" t="s">
        <v>5631</v>
      </c>
      <c r="K35" s="12" t="s">
        <v>5634</v>
      </c>
    </row>
    <row r="36" customFormat="false" ht="15" hidden="false" customHeight="false" outlineLevel="0" collapsed="false">
      <c r="A36" s="9" t="s">
        <v>5635</v>
      </c>
      <c r="B36" s="11" t="s">
        <v>3999</v>
      </c>
      <c r="C36" s="9" t="s">
        <v>2956</v>
      </c>
      <c r="D36" s="20" t="n">
        <f aca="false">Demand!D65</f>
        <v>186.653875644138</v>
      </c>
      <c r="E36" s="20" t="n">
        <f aca="false">Demand!E65</f>
        <v>2148.91131516352</v>
      </c>
      <c r="F36" s="20" t="n">
        <f aca="false">Demand!F65</f>
        <v>5153.57236963097</v>
      </c>
      <c r="G36" s="20" t="n">
        <f aca="false">Demand!G65</f>
        <v>9167.28515723522</v>
      </c>
      <c r="H36" s="20" t="n">
        <f aca="false">Demand!H65</f>
        <v>14861.6291071105</v>
      </c>
      <c r="I36" s="20" t="n">
        <f aca="false">Demand!I65</f>
        <v>22655.5167660894</v>
      </c>
      <c r="J36" s="12" t="s">
        <v>5631</v>
      </c>
      <c r="K36" s="12" t="s">
        <v>5636</v>
      </c>
    </row>
    <row r="37" customFormat="false" ht="15" hidden="false" customHeight="false" outlineLevel="0" collapsed="false">
      <c r="A37" s="9" t="s">
        <v>5637</v>
      </c>
      <c r="B37" s="11" t="s">
        <v>3987</v>
      </c>
      <c r="C37" s="9" t="s">
        <v>2956</v>
      </c>
      <c r="D37" s="20" t="n">
        <f aca="false">Demand!D60</f>
        <v>4.41718707334069</v>
      </c>
      <c r="E37" s="20" t="n">
        <f aca="false">Demand!E60</f>
        <v>11.175483295552</v>
      </c>
      <c r="F37" s="20" t="n">
        <f aca="false">Demand!F60</f>
        <v>21.2054795533098</v>
      </c>
      <c r="G37" s="20" t="n">
        <f aca="false">Demand!G60</f>
        <v>34.872411125418</v>
      </c>
      <c r="H37" s="20" t="n">
        <f aca="false">Demand!H60</f>
        <v>52.9363200883846</v>
      </c>
      <c r="I37" s="20" t="n">
        <f aca="false">Demand!I60</f>
        <v>77.0091116485774</v>
      </c>
      <c r="J37" s="12" t="s">
        <v>5631</v>
      </c>
      <c r="K37" s="12" t="s">
        <v>5638</v>
      </c>
    </row>
    <row r="38" customFormat="false" ht="15" hidden="false" customHeight="false" outlineLevel="0" collapsed="false">
      <c r="A38" s="9" t="s">
        <v>5639</v>
      </c>
      <c r="B38" s="11" t="s">
        <v>3990</v>
      </c>
      <c r="C38" s="9" t="s">
        <v>2956</v>
      </c>
      <c r="D38" s="20" t="n">
        <f aca="false">Demand!D61</f>
        <v>33.8777394852353</v>
      </c>
      <c r="E38" s="20" t="n">
        <f aca="false">Demand!E61</f>
        <v>85.7106808976453</v>
      </c>
      <c r="F38" s="20" t="n">
        <f aca="false">Demand!F61</f>
        <v>162.636017003282</v>
      </c>
      <c r="G38" s="20" t="n">
        <f aca="false">Demand!G61</f>
        <v>267.454929961897</v>
      </c>
      <c r="H38" s="20" t="n">
        <f aca="false">Demand!H61</f>
        <v>405.99658368216</v>
      </c>
      <c r="I38" s="20" t="n">
        <f aca="false">Demand!I61</f>
        <v>590.623530111622</v>
      </c>
      <c r="J38" s="12" t="s">
        <v>5631</v>
      </c>
      <c r="K38" s="12" t="s">
        <v>5640</v>
      </c>
    </row>
    <row r="39" customFormat="false" ht="15" hidden="false" customHeight="false" outlineLevel="0" collapsed="false">
      <c r="A39" s="9" t="s">
        <v>5641</v>
      </c>
      <c r="B39" s="11" t="s">
        <v>3992</v>
      </c>
      <c r="C39" s="9" t="s">
        <v>2956</v>
      </c>
      <c r="D39" s="20" t="n">
        <f aca="false">Demand!D62</f>
        <v>15.1663075479509</v>
      </c>
      <c r="E39" s="20" t="n">
        <f aca="false">Demand!E62</f>
        <v>38.3707580963157</v>
      </c>
      <c r="F39" s="20" t="n">
        <f aca="false">Demand!F62</f>
        <v>72.8085134877591</v>
      </c>
      <c r="G39" s="20" t="n">
        <f aca="false">Demand!G62</f>
        <v>119.73360043062</v>
      </c>
      <c r="H39" s="20" t="n">
        <f aca="false">Demand!H62</f>
        <v>181.755605453681</v>
      </c>
      <c r="I39" s="20" t="n">
        <f aca="false">Demand!I62</f>
        <v>264.408967033742</v>
      </c>
      <c r="J39" s="12" t="s">
        <v>5631</v>
      </c>
      <c r="K39" s="12" t="s">
        <v>5642</v>
      </c>
    </row>
    <row r="40" customFormat="false" ht="15" hidden="false" customHeight="false" outlineLevel="0" collapsed="false">
      <c r="A40" s="9" t="s">
        <v>5643</v>
      </c>
      <c r="B40" s="11" t="s">
        <v>4003</v>
      </c>
      <c r="C40" s="9" t="s">
        <v>2956</v>
      </c>
      <c r="D40" s="20" t="n">
        <f aca="false">Demand!D67</f>
        <v>1368.58268327658</v>
      </c>
      <c r="E40" s="20" t="n">
        <f aca="false">Demand!E67</f>
        <v>17365.1100300988</v>
      </c>
      <c r="F40" s="20" t="n">
        <f aca="false">Demand!F67</f>
        <v>40576.2084433004</v>
      </c>
      <c r="G40" s="20" t="n">
        <f aca="false">Demand!G67</f>
        <v>72172.2321302954</v>
      </c>
      <c r="H40" s="20" t="n">
        <f aca="false">Demand!H67</f>
        <v>117301.597894983</v>
      </c>
      <c r="I40" s="20" t="n">
        <f aca="false">Demand!I67</f>
        <v>178770.658091515</v>
      </c>
      <c r="J40" s="12" t="s">
        <v>102</v>
      </c>
      <c r="K40" s="12" t="s">
        <v>5644</v>
      </c>
    </row>
    <row r="41" customFormat="false" ht="15" hidden="false" customHeight="false" outlineLevel="0" collapsed="false">
      <c r="A41" s="9" t="s">
        <v>5645</v>
      </c>
      <c r="B41" s="11" t="s">
        <v>4001</v>
      </c>
      <c r="C41" s="9" t="s">
        <v>2956</v>
      </c>
      <c r="D41" s="20" t="n">
        <f aca="false">Demand!D66</f>
        <v>53.4612341065268</v>
      </c>
      <c r="E41" s="20" t="n">
        <f aca="false">Demand!E66</f>
        <v>135.256922289513</v>
      </c>
      <c r="F41" s="20" t="n">
        <f aca="false">Demand!F66</f>
        <v>256.650010044351</v>
      </c>
      <c r="G41" s="20" t="n">
        <f aca="false">Demand!G66</f>
        <v>422.060941517935</v>
      </c>
      <c r="H41" s="20" t="n">
        <f aca="false">Demand!H66</f>
        <v>640.688509224225</v>
      </c>
      <c r="I41" s="20" t="n">
        <f aca="false">Demand!I66</f>
        <v>932.041608793941</v>
      </c>
      <c r="J41" s="12" t="s">
        <v>102</v>
      </c>
      <c r="K41" s="12" t="s">
        <v>5646</v>
      </c>
    </row>
    <row r="42" customFormat="false" ht="15" hidden="false" customHeight="false" outlineLevel="0" collapsed="false">
      <c r="A42" s="9" t="s">
        <v>5647</v>
      </c>
      <c r="B42" s="9" t="s">
        <v>2955</v>
      </c>
      <c r="C42" s="9" t="s">
        <v>2956</v>
      </c>
      <c r="D42" s="20" t="n">
        <f aca="false">Demand!D68</f>
        <v>1422.04391738311</v>
      </c>
      <c r="E42" s="20" t="n">
        <f aca="false">Demand!E68</f>
        <v>17500.3669523883</v>
      </c>
      <c r="F42" s="20" t="n">
        <f aca="false">Demand!F68</f>
        <v>40832.8584533447</v>
      </c>
      <c r="G42" s="20" t="n">
        <f aca="false">Demand!G68</f>
        <v>72594.2930718133</v>
      </c>
      <c r="H42" s="20" t="n">
        <f aca="false">Demand!H68</f>
        <v>117942.286404207</v>
      </c>
      <c r="I42" s="20" t="n">
        <f aca="false">Demand!I68</f>
        <v>179702.699700309</v>
      </c>
      <c r="J42" s="12" t="s">
        <v>102</v>
      </c>
      <c r="K42" s="12" t="s">
        <v>5648</v>
      </c>
    </row>
    <row r="43" customFormat="false" ht="15" hidden="false" customHeight="false" outlineLevel="0" collapsed="false">
      <c r="A43" s="9" t="s">
        <v>5649</v>
      </c>
      <c r="B43" s="9" t="s">
        <v>4009</v>
      </c>
      <c r="C43" s="11" t="s">
        <v>269</v>
      </c>
      <c r="D43" s="16" t="n">
        <f aca="false">Demand!D70</f>
        <v>0.52462180285471</v>
      </c>
      <c r="E43" s="16" t="n">
        <f aca="false">Demand!E70</f>
        <v>0.710132480970867</v>
      </c>
      <c r="F43" s="16" t="n">
        <f aca="false">Demand!F70</f>
        <v>0.746129032262909</v>
      </c>
      <c r="G43" s="16" t="n">
        <f aca="false">Demand!G70</f>
        <v>0.746541761604604</v>
      </c>
      <c r="H43" s="16" t="n">
        <f aca="false">Demand!H70</f>
        <v>0.743311440867536</v>
      </c>
      <c r="I43" s="16" t="n">
        <f aca="false">Demand!I70</f>
        <v>0.743826821197162</v>
      </c>
      <c r="J43" s="12" t="s">
        <v>102</v>
      </c>
      <c r="K43" s="12" t="s">
        <v>5650</v>
      </c>
    </row>
    <row r="44" customFormat="false" ht="15" hidden="false" customHeight="false" outlineLevel="0" collapsed="false">
      <c r="A44" s="15" t="s">
        <v>5651</v>
      </c>
    </row>
    <row r="45" customFormat="false" ht="15" hidden="false" customHeight="false" outlineLevel="0" collapsed="false">
      <c r="A45" s="9" t="s">
        <v>5652</v>
      </c>
      <c r="B45" s="9" t="s">
        <v>5653</v>
      </c>
      <c r="C45" s="9" t="s">
        <v>2557</v>
      </c>
      <c r="D45" s="21" t="n">
        <f aca="false">Revenue!D26</f>
        <v>16.8790370547945</v>
      </c>
      <c r="E45" s="21" t="n">
        <f aca="false">Revenue!E26</f>
        <v>5.71137583561644</v>
      </c>
      <c r="F45" s="21" t="n">
        <f aca="false">Revenue!F26</f>
        <v>4.111263</v>
      </c>
      <c r="G45" s="21" t="n">
        <f aca="false">Revenue!G26</f>
        <v>3.49457355</v>
      </c>
      <c r="H45" s="21" t="n">
        <f aca="false">Revenue!H26</f>
        <v>2.9703875175</v>
      </c>
      <c r="I45" s="21" t="n">
        <f aca="false">Revenue!I26</f>
        <v>2.524829389875</v>
      </c>
      <c r="J45" s="12" t="s">
        <v>5654</v>
      </c>
      <c r="K45" s="12" t="s">
        <v>5655</v>
      </c>
    </row>
    <row r="46" customFormat="false" ht="15" hidden="false" customHeight="false" outlineLevel="0" collapsed="false">
      <c r="A46" s="9" t="s">
        <v>5656</v>
      </c>
      <c r="B46" s="9" t="s">
        <v>5657</v>
      </c>
      <c r="C46" s="9" t="s">
        <v>2557</v>
      </c>
      <c r="D46" s="21" t="n">
        <f aca="false">Revenue!D27</f>
        <v>3.627585</v>
      </c>
      <c r="E46" s="21" t="n">
        <f aca="false">Revenue!E27</f>
        <v>3.01470534246575</v>
      </c>
      <c r="F46" s="21" t="n">
        <f aca="false">Revenue!F27</f>
        <v>2.0556315</v>
      </c>
      <c r="G46" s="21" t="n">
        <f aca="false">Revenue!G27</f>
        <v>1.747286775</v>
      </c>
      <c r="H46" s="21" t="n">
        <f aca="false">Revenue!H27</f>
        <v>1.48519375875</v>
      </c>
      <c r="I46" s="21" t="n">
        <f aca="false">Revenue!I27</f>
        <v>1.2624146949375</v>
      </c>
      <c r="J46" s="12" t="s">
        <v>5654</v>
      </c>
      <c r="K46" s="12" t="s">
        <v>5658</v>
      </c>
    </row>
    <row r="47" customFormat="false" ht="15" hidden="false" customHeight="false" outlineLevel="0" collapsed="false">
      <c r="A47" s="9" t="s">
        <v>5659</v>
      </c>
      <c r="B47" s="9" t="s">
        <v>5660</v>
      </c>
      <c r="C47" s="9" t="s">
        <v>2557</v>
      </c>
      <c r="D47" s="21" t="n">
        <f aca="false">Revenue!D28</f>
        <v>1.0190366630137</v>
      </c>
      <c r="E47" s="21" t="n">
        <f aca="false">Revenue!E28</f>
        <v>0.952779402739726</v>
      </c>
      <c r="F47" s="21" t="n">
        <f aca="false">Revenue!F28</f>
        <v>0.102781575</v>
      </c>
      <c r="G47" s="21" t="n">
        <f aca="false">Revenue!G28</f>
        <v>0.08736433875</v>
      </c>
      <c r="H47" s="21" t="n">
        <f aca="false">Revenue!H28</f>
        <v>0.0742596879375</v>
      </c>
      <c r="I47" s="21" t="n">
        <f aca="false">Revenue!I28</f>
        <v>0.063120734746875</v>
      </c>
      <c r="J47" s="12" t="s">
        <v>5654</v>
      </c>
      <c r="K47" s="12" t="s">
        <v>5661</v>
      </c>
    </row>
    <row r="48" customFormat="false" ht="15" hidden="false" customHeight="false" outlineLevel="0" collapsed="false">
      <c r="A48" s="9" t="s">
        <v>5662</v>
      </c>
      <c r="B48" s="9" t="s">
        <v>4073</v>
      </c>
      <c r="C48" s="9" t="s">
        <v>2557</v>
      </c>
      <c r="D48" s="21" t="n">
        <f aca="false">Revenue!D32</f>
        <v>5.09359314082192</v>
      </c>
      <c r="E48" s="21" t="n">
        <f aca="false">Revenue!E32</f>
        <v>3.64925112410959</v>
      </c>
      <c r="F48" s="21" t="n">
        <f aca="false">Revenue!F32</f>
        <v>2.48217503625</v>
      </c>
      <c r="G48" s="21" t="n">
        <f aca="false">Revenue!G32</f>
        <v>2.1098487808125</v>
      </c>
      <c r="H48" s="21" t="n">
        <f aca="false">Revenue!H32</f>
        <v>1.79337146369062</v>
      </c>
      <c r="I48" s="21" t="n">
        <f aca="false">Revenue!I32</f>
        <v>1.52436574413703</v>
      </c>
      <c r="J48" s="12" t="s">
        <v>102</v>
      </c>
      <c r="K48" s="12" t="s">
        <v>5663</v>
      </c>
    </row>
    <row r="49" customFormat="false" ht="15" hidden="false" customHeight="false" outlineLevel="0" collapsed="false">
      <c r="A49" s="9" t="s">
        <v>5664</v>
      </c>
      <c r="B49" s="9" t="s">
        <v>5665</v>
      </c>
      <c r="C49" s="9" t="s">
        <v>482</v>
      </c>
      <c r="D49" s="17" t="n">
        <f aca="false">Demand!D54*D48/INP_012</f>
        <v>3.8</v>
      </c>
      <c r="E49" s="17" t="n">
        <f aca="false">Demand!E54*E48/INP_012</f>
        <v>45.3513566422796</v>
      </c>
      <c r="F49" s="17" t="n">
        <f aca="false">Demand!F54*F48/INP_012</f>
        <v>75.6233872010013</v>
      </c>
      <c r="G49" s="17" t="n">
        <f aca="false">Demand!G54*G48/INP_012</f>
        <v>114.342561447914</v>
      </c>
      <c r="H49" s="17" t="n">
        <f aca="false">Demand!H54*H48/INP_012</f>
        <v>157.221021990882</v>
      </c>
      <c r="I49" s="17" t="n">
        <f aca="false">Demand!I54*I48/INP_012</f>
        <v>203.758444500183</v>
      </c>
      <c r="J49" s="12" t="s">
        <v>102</v>
      </c>
      <c r="K49" s="12" t="s">
        <v>5666</v>
      </c>
    </row>
    <row r="50" customFormat="false" ht="15" hidden="false" customHeight="false" outlineLevel="0" collapsed="false">
      <c r="A50" s="9" t="s">
        <v>5667</v>
      </c>
      <c r="B50" s="11" t="s">
        <v>5668</v>
      </c>
      <c r="C50" s="9" t="s">
        <v>482</v>
      </c>
      <c r="D50" s="17" t="n">
        <f aca="false">Revenue!D55</f>
        <v>0.789</v>
      </c>
      <c r="E50" s="17" t="n">
        <f aca="false">Revenue!E55</f>
        <v>4.53764335772037</v>
      </c>
      <c r="F50" s="17" t="n">
        <f aca="false">Revenue!F55</f>
        <v>7.38828574952381</v>
      </c>
      <c r="G50" s="17" t="n">
        <f aca="false">Revenue!G55</f>
        <v>10.4076282379189</v>
      </c>
      <c r="H50" s="17" t="n">
        <f aca="false">Revenue!H55</f>
        <v>13.5779378507338</v>
      </c>
      <c r="I50" s="17" t="n">
        <f aca="false">Revenue!I55</f>
        <v>16.3583539618235</v>
      </c>
      <c r="J50" s="12" t="s">
        <v>5669</v>
      </c>
      <c r="K50" s="12" t="s">
        <v>5670</v>
      </c>
    </row>
    <row r="51" customFormat="false" ht="15" hidden="false" customHeight="false" outlineLevel="0" collapsed="false">
      <c r="A51" s="9" t="s">
        <v>5671</v>
      </c>
      <c r="B51" s="9" t="s">
        <v>5672</v>
      </c>
      <c r="C51" s="9" t="s">
        <v>482</v>
      </c>
      <c r="D51" s="17" t="n">
        <f aca="false">Revenue!D58</f>
        <v>3.8</v>
      </c>
      <c r="E51" s="17" t="n">
        <f aca="false">Revenue!E58</f>
        <v>45.3513566422796</v>
      </c>
      <c r="F51" s="17" t="n">
        <f aca="false">Revenue!F58</f>
        <v>75.6233872010013</v>
      </c>
      <c r="G51" s="17" t="n">
        <f aca="false">Revenue!G58</f>
        <v>114.342561447914</v>
      </c>
      <c r="H51" s="17" t="n">
        <f aca="false">Revenue!H58</f>
        <v>157.221021990882</v>
      </c>
      <c r="I51" s="17" t="n">
        <f aca="false">Revenue!I58</f>
        <v>203.758444500183</v>
      </c>
      <c r="J51" s="12" t="s">
        <v>5673</v>
      </c>
      <c r="K51" s="12" t="s">
        <v>5674</v>
      </c>
    </row>
    <row r="52" customFormat="false" ht="15" hidden="false" customHeight="false" outlineLevel="0" collapsed="false">
      <c r="A52" s="9" t="s">
        <v>5675</v>
      </c>
      <c r="B52" s="11" t="s">
        <v>5676</v>
      </c>
      <c r="C52" s="9" t="s">
        <v>482</v>
      </c>
      <c r="D52" s="17" t="n">
        <f aca="false">Revenue!D64+Revenue!D65</f>
        <v>0.0109999999999997</v>
      </c>
      <c r="E52" s="17" t="n">
        <f aca="false">Revenue!E64+Revenue!E65</f>
        <v>0.0109999999999997</v>
      </c>
      <c r="F52" s="17" t="n">
        <f aca="false">Revenue!F64+Revenue!F65</f>
        <v>0.0109999999999997</v>
      </c>
      <c r="G52" s="17" t="n">
        <f aca="false">Revenue!G64+Revenue!G65</f>
        <v>0.0109999999999997</v>
      </c>
      <c r="H52" s="17" t="n">
        <f aca="false">Revenue!H64+Revenue!H65</f>
        <v>0.0109999999999997</v>
      </c>
      <c r="I52" s="17" t="n">
        <f aca="false">Revenue!I64+Revenue!I65</f>
        <v>0.0109999999999997</v>
      </c>
      <c r="J52" s="12" t="s">
        <v>102</v>
      </c>
      <c r="K52" s="12" t="s">
        <v>5677</v>
      </c>
    </row>
    <row r="53" customFormat="false" ht="15" hidden="false" customHeight="false" outlineLevel="0" collapsed="false">
      <c r="A53" s="9" t="s">
        <v>5678</v>
      </c>
      <c r="B53" s="11" t="s">
        <v>5679</v>
      </c>
      <c r="C53" s="9" t="s">
        <v>482</v>
      </c>
      <c r="D53" s="17" t="n">
        <f aca="false">Revenue!D67</f>
        <v>4.6</v>
      </c>
      <c r="E53" s="17" t="n">
        <f aca="false">Revenue!E67</f>
        <v>49.9</v>
      </c>
      <c r="F53" s="17" t="n">
        <f aca="false">Revenue!F67</f>
        <v>83.0226729505251</v>
      </c>
      <c r="G53" s="17" t="n">
        <f aca="false">Revenue!G67</f>
        <v>124.761189685833</v>
      </c>
      <c r="H53" s="17" t="n">
        <f aca="false">Revenue!H67</f>
        <v>170.809959841616</v>
      </c>
      <c r="I53" s="17" t="n">
        <f aca="false">Revenue!I67</f>
        <v>220.127798462006</v>
      </c>
      <c r="J53" s="12" t="s">
        <v>5680</v>
      </c>
      <c r="K53" s="12" t="s">
        <v>5681</v>
      </c>
    </row>
    <row r="54" customFormat="false" ht="15" hidden="false" customHeight="false" outlineLevel="0" collapsed="false">
      <c r="A54" s="9" t="s">
        <v>5682</v>
      </c>
      <c r="B54" s="11" t="s">
        <v>5683</v>
      </c>
      <c r="C54" s="9" t="s">
        <v>482</v>
      </c>
      <c r="D54" s="17" t="n">
        <f aca="false">D50+D49+D52-D53</f>
        <v>0</v>
      </c>
      <c r="E54" s="17" t="n">
        <f aca="false">E50+E49+E52-E53</f>
        <v>0</v>
      </c>
      <c r="F54" s="17" t="n">
        <f aca="false">F50+F49+F52-F53</f>
        <v>0</v>
      </c>
      <c r="G54" s="17" t="n">
        <f aca="false">G50+G49+G52-G53</f>
        <v>0</v>
      </c>
      <c r="H54" s="17" t="n">
        <f aca="false">H50+H49+H52-H53</f>
        <v>0</v>
      </c>
      <c r="I54" s="17" t="n">
        <f aca="false">I50+I49+I52-I53</f>
        <v>0</v>
      </c>
      <c r="J54" s="2" t="s">
        <v>5684</v>
      </c>
      <c r="K54" s="12" t="s">
        <v>5685</v>
      </c>
    </row>
    <row r="55" customFormat="false" ht="15" hidden="false" customHeight="false" outlineLevel="0" collapsed="false">
      <c r="A55" s="9" t="s">
        <v>5686</v>
      </c>
      <c r="B55" s="11" t="s">
        <v>4160</v>
      </c>
      <c r="C55" s="9" t="s">
        <v>482</v>
      </c>
      <c r="D55" s="17" t="n">
        <f aca="false">Revenue!D71</f>
        <v>0.351</v>
      </c>
      <c r="E55" s="17" t="n">
        <f aca="false">Revenue!E71</f>
        <v>4.12840560255194</v>
      </c>
      <c r="F55" s="17" t="n">
        <f aca="false">Revenue!F71</f>
        <v>6.88411634225536</v>
      </c>
      <c r="G55" s="17" t="n">
        <f aca="false">Revenue!G71</f>
        <v>10.4087839094901</v>
      </c>
      <c r="H55" s="17" t="n">
        <f aca="false">Revenue!H71</f>
        <v>14.3120778755489</v>
      </c>
      <c r="I55" s="17" t="n">
        <f aca="false">Revenue!I71</f>
        <v>18.5484529267114</v>
      </c>
      <c r="J55" s="12" t="s">
        <v>5687</v>
      </c>
      <c r="K55" s="12" t="s">
        <v>5688</v>
      </c>
    </row>
    <row r="56" customFormat="false" ht="15" hidden="false" customHeight="false" outlineLevel="0" collapsed="false">
      <c r="A56" s="9" t="s">
        <v>5689</v>
      </c>
      <c r="B56" s="11" t="s">
        <v>5690</v>
      </c>
      <c r="C56" s="9" t="s">
        <v>482</v>
      </c>
      <c r="D56" s="17" t="n">
        <f aca="false">Revenue!D83</f>
        <v>4.249</v>
      </c>
      <c r="E56" s="17" t="n">
        <f aca="false">Revenue!E83</f>
        <v>45.7715943974481</v>
      </c>
      <c r="F56" s="17" t="n">
        <f aca="false">Revenue!F83</f>
        <v>76.1385566082697</v>
      </c>
      <c r="G56" s="17" t="n">
        <f aca="false">Revenue!G83</f>
        <v>114.352405776343</v>
      </c>
      <c r="H56" s="17" t="n">
        <f aca="false">Revenue!H83</f>
        <v>156.497881966067</v>
      </c>
      <c r="I56" s="17" t="n">
        <f aca="false">Revenue!I83</f>
        <v>201.579345535295</v>
      </c>
      <c r="J56" s="12" t="s">
        <v>102</v>
      </c>
      <c r="K56" s="12" t="s">
        <v>5691</v>
      </c>
    </row>
    <row r="57" customFormat="false" ht="15" hidden="false" customHeight="false" outlineLevel="0" collapsed="false">
      <c r="A57" s="15" t="s">
        <v>5692</v>
      </c>
    </row>
    <row r="58" customFormat="false" ht="15" hidden="false" customHeight="false" outlineLevel="0" collapsed="false">
      <c r="A58" s="9" t="s">
        <v>5693</v>
      </c>
      <c r="B58" s="9" t="s">
        <v>5694</v>
      </c>
      <c r="C58" s="9" t="s">
        <v>2857</v>
      </c>
      <c r="D58" s="20" t="n">
        <f aca="false">Compute!$D$22</f>
        <v>69625193603.6778</v>
      </c>
      <c r="J58" s="12" t="s">
        <v>5695</v>
      </c>
      <c r="K58" s="12" t="s">
        <v>5696</v>
      </c>
    </row>
    <row r="59" customFormat="false" ht="15" hidden="false" customHeight="false" outlineLevel="0" collapsed="false">
      <c r="A59" s="9" t="s">
        <v>5697</v>
      </c>
      <c r="B59" s="9" t="s">
        <v>5698</v>
      </c>
      <c r="C59" s="9" t="s">
        <v>2857</v>
      </c>
      <c r="D59" s="20" t="n">
        <f aca="false">Compute!$D$23</f>
        <v>318984897819.054</v>
      </c>
      <c r="J59" s="12" t="s">
        <v>5695</v>
      </c>
      <c r="K59" s="12" t="s">
        <v>5699</v>
      </c>
    </row>
    <row r="60" customFormat="false" ht="15" hidden="false" customHeight="false" outlineLevel="0" collapsed="false">
      <c r="A60" s="9" t="s">
        <v>5700</v>
      </c>
      <c r="B60" s="9" t="s">
        <v>5701</v>
      </c>
      <c r="C60" s="9" t="s">
        <v>2857</v>
      </c>
      <c r="D60" s="20" t="n">
        <f aca="false">Compute!$D$24</f>
        <v>1229271098522.29</v>
      </c>
      <c r="J60" s="12" t="s">
        <v>5695</v>
      </c>
      <c r="K60" s="12" t="s">
        <v>5702</v>
      </c>
    </row>
    <row r="61" customFormat="false" ht="15" hidden="false" customHeight="false" outlineLevel="0" collapsed="false">
      <c r="A61" s="9" t="s">
        <v>5703</v>
      </c>
      <c r="B61" s="9" t="s">
        <v>5704</v>
      </c>
      <c r="C61" s="11" t="s">
        <v>269</v>
      </c>
      <c r="D61" s="16" t="n">
        <f aca="false">TK_IF_Util</f>
        <v>0.6</v>
      </c>
      <c r="J61" s="12" t="s">
        <v>5705</v>
      </c>
      <c r="K61" s="12" t="s">
        <v>24</v>
      </c>
    </row>
    <row r="62" customFormat="false" ht="15" hidden="false" customHeight="false" outlineLevel="0" collapsed="false">
      <c r="A62" s="9" t="s">
        <v>5706</v>
      </c>
      <c r="B62" s="11" t="s">
        <v>5707</v>
      </c>
      <c r="C62" s="11" t="s">
        <v>269</v>
      </c>
      <c r="D62" s="16" t="n">
        <f aca="false">Compute!D113</f>
        <v>0.235986111897376</v>
      </c>
      <c r="E62" s="16" t="n">
        <f aca="false">Compute!E113</f>
        <v>0.347662147717997</v>
      </c>
      <c r="F62" s="16" t="n">
        <f aca="false">Compute!F113</f>
        <v>0.34793797432511</v>
      </c>
      <c r="G62" s="16" t="n">
        <f aca="false">Compute!G113</f>
        <v>0.34793372975441</v>
      </c>
      <c r="H62" s="16" t="n">
        <f aca="false">Compute!H113</f>
        <v>0.347901644370489</v>
      </c>
      <c r="I62" s="16" t="n">
        <f aca="false">Compute!I113</f>
        <v>0.347901338094317</v>
      </c>
      <c r="J62" s="12" t="s">
        <v>5708</v>
      </c>
      <c r="K62" s="12" t="s">
        <v>5709</v>
      </c>
    </row>
    <row r="63" customFormat="false" ht="15" hidden="false" customHeight="false" outlineLevel="0" collapsed="false">
      <c r="A63" s="9" t="s">
        <v>5710</v>
      </c>
      <c r="B63" s="11" t="s">
        <v>5711</v>
      </c>
      <c r="C63" s="11" t="s">
        <v>269</v>
      </c>
      <c r="D63" s="16" t="n">
        <f aca="false">Compute!D114</f>
        <v>0.627629088028096</v>
      </c>
      <c r="E63" s="16" t="n">
        <f aca="false">Compute!E114</f>
        <v>0.528589064543899</v>
      </c>
      <c r="F63" s="16" t="n">
        <f aca="false">Compute!F114</f>
        <v>0.525052318081526</v>
      </c>
      <c r="G63" s="16" t="n">
        <f aca="false">Compute!G114</f>
        <v>0.525046710414253</v>
      </c>
      <c r="H63" s="16" t="n">
        <f aca="false">Compute!H114</f>
        <v>0.525402476171708</v>
      </c>
      <c r="I63" s="16" t="n">
        <f aca="false">Compute!I114</f>
        <v>0.525369158261457</v>
      </c>
      <c r="J63" s="12" t="s">
        <v>5708</v>
      </c>
      <c r="K63" s="12" t="s">
        <v>5712</v>
      </c>
    </row>
    <row r="64" customFormat="false" ht="15" hidden="false" customHeight="false" outlineLevel="0" collapsed="false">
      <c r="A64" s="9" t="s">
        <v>5713</v>
      </c>
      <c r="B64" s="11" t="s">
        <v>5714</v>
      </c>
      <c r="C64" s="11" t="s">
        <v>269</v>
      </c>
      <c r="D64" s="16" t="n">
        <f aca="false">Compute!D115</f>
        <v>0.136384800074528</v>
      </c>
      <c r="E64" s="16" t="n">
        <f aca="false">Compute!E115</f>
        <v>0.123748787738104</v>
      </c>
      <c r="F64" s="16" t="n">
        <f aca="false">Compute!F115</f>
        <v>0.127009707593364</v>
      </c>
      <c r="G64" s="16" t="n">
        <f aca="false">Compute!G115</f>
        <v>0.127019559831337</v>
      </c>
      <c r="H64" s="16" t="n">
        <f aca="false">Compute!H115</f>
        <v>0.126695879457803</v>
      </c>
      <c r="I64" s="16" t="n">
        <f aca="false">Compute!I115</f>
        <v>0.126729503644226</v>
      </c>
      <c r="J64" s="12" t="s">
        <v>5708</v>
      </c>
      <c r="K64" s="12" t="s">
        <v>5715</v>
      </c>
    </row>
    <row r="65" customFormat="false" ht="15" hidden="false" customHeight="false" outlineLevel="0" collapsed="false">
      <c r="A65" s="9" t="s">
        <v>5716</v>
      </c>
      <c r="B65" s="11" t="s">
        <v>5717</v>
      </c>
      <c r="C65" s="11" t="s">
        <v>269</v>
      </c>
      <c r="D65" s="16" t="n">
        <f aca="false">Compute!D102</f>
        <v>0.1</v>
      </c>
      <c r="E65" s="16" t="n">
        <f aca="false">Compute!E102</f>
        <v>0.335085342531175</v>
      </c>
      <c r="F65" s="16" t="n">
        <f aca="false">Compute!F102</f>
        <v>0.166245651047442</v>
      </c>
      <c r="G65" s="16" t="n">
        <f aca="false">Compute!G102</f>
        <v>0.112883035910524</v>
      </c>
      <c r="H65" s="16" t="n">
        <f aca="false">Compute!H102</f>
        <v>0.0385741447853038</v>
      </c>
      <c r="I65" s="16" t="n">
        <f aca="false">Compute!I102</f>
        <v>0</v>
      </c>
      <c r="J65" s="12" t="s">
        <v>5718</v>
      </c>
      <c r="K65" s="12" t="s">
        <v>5719</v>
      </c>
    </row>
    <row r="66" customFormat="false" ht="15" hidden="false" customHeight="false" outlineLevel="0" collapsed="false">
      <c r="A66" s="9" t="s">
        <v>5720</v>
      </c>
      <c r="B66" s="11" t="s">
        <v>5721</v>
      </c>
      <c r="C66" s="11" t="s">
        <v>269</v>
      </c>
      <c r="D66" s="16" t="n">
        <f aca="false">Compute!D103</f>
        <v>0</v>
      </c>
      <c r="E66" s="16" t="n">
        <f aca="false">Compute!E103</f>
        <v>0.00450008853557645</v>
      </c>
      <c r="F66" s="16" t="n">
        <f aca="false">Compute!F103</f>
        <v>0.00306915048087585</v>
      </c>
      <c r="G66" s="16" t="n">
        <f aca="false">Compute!G103</f>
        <v>0.00208399450911736</v>
      </c>
      <c r="H66" s="16" t="n">
        <f aca="false">Compute!H103</f>
        <v>0.00213641417272452</v>
      </c>
      <c r="I66" s="16" t="n">
        <f aca="false">Compute!I103</f>
        <v>0.00222213097467348</v>
      </c>
      <c r="J66" s="12" t="s">
        <v>5718</v>
      </c>
      <c r="K66" s="12" t="s">
        <v>5722</v>
      </c>
    </row>
    <row r="67" customFormat="false" ht="15" hidden="false" customHeight="false" outlineLevel="0" collapsed="false">
      <c r="A67" s="9" t="s">
        <v>5723</v>
      </c>
      <c r="B67" s="11" t="s">
        <v>5724</v>
      </c>
      <c r="C67" s="11" t="s">
        <v>269</v>
      </c>
      <c r="D67" s="16" t="n">
        <f aca="false">Compute!D104</f>
        <v>-0</v>
      </c>
      <c r="E67" s="16" t="n">
        <f aca="false">Compute!E104</f>
        <v>0</v>
      </c>
      <c r="F67" s="16" t="n">
        <f aca="false">Compute!F104</f>
        <v>0.0500442036742813</v>
      </c>
      <c r="G67" s="16" t="n">
        <f aca="false">Compute!G104</f>
        <v>0.0679613764917716</v>
      </c>
      <c r="H67" s="16" t="n">
        <f aca="false">Compute!H104</f>
        <v>0.0696708399660717</v>
      </c>
      <c r="I67" s="16" t="n">
        <f aca="false">Compute!I104</f>
        <v>0.0724661601185184</v>
      </c>
      <c r="J67" s="12" t="s">
        <v>5718</v>
      </c>
      <c r="K67" s="12" t="s">
        <v>5725</v>
      </c>
    </row>
    <row r="68" customFormat="false" ht="15" hidden="false" customHeight="false" outlineLevel="0" collapsed="false">
      <c r="A68" s="9" t="s">
        <v>5726</v>
      </c>
      <c r="B68" s="11" t="s">
        <v>5727</v>
      </c>
      <c r="C68" s="11" t="s">
        <v>269</v>
      </c>
      <c r="D68" s="16" t="n">
        <f aca="false">Compute!D105</f>
        <v>-0</v>
      </c>
      <c r="E68" s="16" t="n">
        <f aca="false">Compute!E105</f>
        <v>0</v>
      </c>
      <c r="F68" s="16" t="n">
        <f aca="false">Compute!F105</f>
        <v>0.00884426863572392</v>
      </c>
      <c r="G68" s="16" t="n">
        <f aca="false">Compute!G105</f>
        <v>0.032781233628416</v>
      </c>
      <c r="H68" s="16" t="n">
        <f aca="false">Compute!H105</f>
        <v>0.0548987228584443</v>
      </c>
      <c r="I68" s="16" t="n">
        <f aca="false">Compute!I105</f>
        <v>0.0571013589458595</v>
      </c>
      <c r="J68" s="12" t="s">
        <v>5718</v>
      </c>
      <c r="K68" s="12" t="s">
        <v>5728</v>
      </c>
    </row>
    <row r="69" customFormat="false" ht="15" hidden="false" customHeight="false" outlineLevel="0" collapsed="false">
      <c r="A69" s="9" t="s">
        <v>5729</v>
      </c>
      <c r="B69" s="11" t="s">
        <v>5730</v>
      </c>
      <c r="C69" s="11" t="s">
        <v>269</v>
      </c>
      <c r="D69" s="16" t="n">
        <f aca="false">Compute!D106</f>
        <v>0.5</v>
      </c>
      <c r="E69" s="16" t="n">
        <f aca="false">Compute!E106</f>
        <v>0.0503947414754902</v>
      </c>
      <c r="F69" s="16" t="n">
        <f aca="false">Compute!F106</f>
        <v>0</v>
      </c>
      <c r="G69" s="16" t="n">
        <f aca="false">Compute!G106</f>
        <v>0</v>
      </c>
      <c r="H69" s="16" t="n">
        <f aca="false">Compute!H106</f>
        <v>0</v>
      </c>
      <c r="I69" s="16" t="n">
        <f aca="false">Compute!I106</f>
        <v>0</v>
      </c>
      <c r="J69" s="12" t="s">
        <v>5718</v>
      </c>
      <c r="K69" s="12" t="s">
        <v>5731</v>
      </c>
    </row>
    <row r="70" customFormat="false" ht="15" hidden="false" customHeight="false" outlineLevel="0" collapsed="false">
      <c r="A70" s="9" t="s">
        <v>5732</v>
      </c>
      <c r="B70" s="11" t="s">
        <v>5733</v>
      </c>
      <c r="C70" s="11" t="s">
        <v>269</v>
      </c>
      <c r="D70" s="16" t="n">
        <f aca="false">Compute!D107</f>
        <v>0</v>
      </c>
      <c r="E70" s="16" t="n">
        <f aca="false">Compute!E107</f>
        <v>0.300901753330235</v>
      </c>
      <c r="F70" s="16" t="n">
        <f aca="false">Compute!F107</f>
        <v>0.482070971995388</v>
      </c>
      <c r="G70" s="16" t="n">
        <f aca="false">Compute!G107</f>
        <v>0.51531752762846</v>
      </c>
      <c r="H70" s="16" t="n">
        <f aca="false">Compute!H107</f>
        <v>0.558981450170208</v>
      </c>
      <c r="I70" s="16" t="n">
        <f aca="false">Compute!I107</f>
        <v>0.581408797296575</v>
      </c>
      <c r="J70" s="12" t="s">
        <v>5718</v>
      </c>
      <c r="K70" s="12" t="s">
        <v>5734</v>
      </c>
    </row>
    <row r="71" customFormat="false" ht="15" hidden="false" customHeight="false" outlineLevel="0" collapsed="false">
      <c r="A71" s="9" t="s">
        <v>5735</v>
      </c>
      <c r="B71" s="11" t="s">
        <v>5736</v>
      </c>
      <c r="C71" s="11" t="s">
        <v>269</v>
      </c>
      <c r="D71" s="16" t="n">
        <f aca="false">Compute!D108</f>
        <v>0.4</v>
      </c>
      <c r="E71" s="16" t="n">
        <f aca="false">Compute!E108</f>
        <v>0.0403157931803922</v>
      </c>
      <c r="F71" s="16" t="n">
        <f aca="false">Compute!F108</f>
        <v>0</v>
      </c>
      <c r="G71" s="16" t="n">
        <f aca="false">Compute!G108</f>
        <v>0</v>
      </c>
      <c r="H71" s="16" t="n">
        <f aca="false">Compute!H108</f>
        <v>0</v>
      </c>
      <c r="I71" s="16" t="n">
        <f aca="false">Compute!I108</f>
        <v>0</v>
      </c>
      <c r="J71" s="12" t="s">
        <v>5718</v>
      </c>
      <c r="K71" s="12" t="s">
        <v>5737</v>
      </c>
    </row>
    <row r="72" customFormat="false" ht="15" hidden="false" customHeight="false" outlineLevel="0" collapsed="false">
      <c r="A72" s="9" t="s">
        <v>5738</v>
      </c>
      <c r="B72" s="11" t="s">
        <v>5739</v>
      </c>
      <c r="C72" s="11" t="s">
        <v>269</v>
      </c>
      <c r="D72" s="16" t="n">
        <f aca="false">Compute!D109</f>
        <v>0</v>
      </c>
      <c r="E72" s="16" t="n">
        <f aca="false">Compute!E109</f>
        <v>0.268802280947132</v>
      </c>
      <c r="F72" s="16" t="n">
        <f aca="false">Compute!F109</f>
        <v>0.183328537495926</v>
      </c>
      <c r="G72" s="16" t="n">
        <f aca="false">Compute!G109</f>
        <v>0.124482545866242</v>
      </c>
      <c r="H72" s="16" t="n">
        <f aca="false">Compute!H109</f>
        <v>0.127613712071682</v>
      </c>
      <c r="I72" s="16" t="n">
        <f aca="false">Compute!I109</f>
        <v>0.132733805087012</v>
      </c>
      <c r="J72" s="12" t="s">
        <v>5718</v>
      </c>
      <c r="K72" s="12" t="s">
        <v>5740</v>
      </c>
    </row>
    <row r="73" customFormat="false" ht="15" hidden="false" customHeight="false" outlineLevel="0" collapsed="false">
      <c r="A73" s="9" t="s">
        <v>5741</v>
      </c>
      <c r="B73" s="11" t="s">
        <v>5742</v>
      </c>
      <c r="C73" s="11" t="s">
        <v>269</v>
      </c>
      <c r="D73" s="16" t="n">
        <f aca="false">Compute!D110</f>
        <v>-0</v>
      </c>
      <c r="E73" s="16" t="n">
        <f aca="false">Compute!E110</f>
        <v>0</v>
      </c>
      <c r="F73" s="16" t="n">
        <f aca="false">Compute!F110</f>
        <v>0.106397216670363</v>
      </c>
      <c r="G73" s="16" t="n">
        <f aca="false">Compute!G110</f>
        <v>0.14449028596547</v>
      </c>
      <c r="H73" s="16" t="n">
        <f aca="false">Compute!H110</f>
        <v>0.148124715975566</v>
      </c>
      <c r="I73" s="16" t="n">
        <f aca="false">Compute!I110</f>
        <v>0.154067747577361</v>
      </c>
      <c r="J73" s="12" t="s">
        <v>5718</v>
      </c>
      <c r="K73" s="12" t="s">
        <v>5743</v>
      </c>
    </row>
    <row r="74" customFormat="false" ht="15" hidden="false" customHeight="false" outlineLevel="0" collapsed="false">
      <c r="A74" s="9" t="s">
        <v>5744</v>
      </c>
      <c r="B74" s="11" t="s">
        <v>5745</v>
      </c>
      <c r="C74" s="9" t="s">
        <v>2857</v>
      </c>
      <c r="D74" s="20" t="n">
        <f aca="false">Compute!D129</f>
        <v>7727676208.82428</v>
      </c>
      <c r="E74" s="20" t="n">
        <f aca="false">Compute!E129</f>
        <v>37040385992.1749</v>
      </c>
      <c r="F74" s="20" t="n">
        <f aca="false">Compute!F129</f>
        <v>54082429086.9784</v>
      </c>
      <c r="G74" s="20" t="n">
        <f aca="false">Compute!G129</f>
        <v>58751829066.8743</v>
      </c>
      <c r="H74" s="20" t="n">
        <f aca="false">Compute!H129</f>
        <v>63620008024.1892</v>
      </c>
      <c r="I74" s="20" t="n">
        <f aca="false">Compute!I129</f>
        <v>65817626122.5793</v>
      </c>
      <c r="J74" s="12" t="s">
        <v>5746</v>
      </c>
      <c r="K74" s="12" t="s">
        <v>5747</v>
      </c>
      <c r="L74" s="26" t="n">
        <f aca="false">MIN(Compute!$I$220,Compute!$I$227)</f>
        <v>50375615328.7746</v>
      </c>
      <c r="M74" s="26" t="n">
        <f aca="false">MAX(Compute!$I$220,Compute!$I$227)</f>
        <v>88980642313.2862</v>
      </c>
      <c r="N74" s="12" t="s">
        <v>5748</v>
      </c>
    </row>
    <row r="75" customFormat="false" ht="15" hidden="false" customHeight="false" outlineLevel="0" collapsed="false">
      <c r="A75" s="9" t="s">
        <v>5749</v>
      </c>
      <c r="B75" s="11" t="s">
        <v>5750</v>
      </c>
      <c r="C75" s="9" t="s">
        <v>2857</v>
      </c>
      <c r="D75" s="20" t="n">
        <f aca="false">Compute!D139</f>
        <v>12680488194.3588</v>
      </c>
      <c r="E75" s="20" t="n">
        <f aca="false">Compute!E139</f>
        <v>73684490945.2007</v>
      </c>
      <c r="F75" s="20" t="n">
        <f aca="false">Compute!F139</f>
        <v>107641350102.349</v>
      </c>
      <c r="G75" s="20" t="n">
        <f aca="false">Compute!G139</f>
        <v>116991017718.422</v>
      </c>
      <c r="H75" s="20" t="n">
        <f aca="false">Compute!H139</f>
        <v>126618534943.022</v>
      </c>
      <c r="I75" s="20" t="n">
        <f aca="false">Compute!I139</f>
        <v>130971893753.24</v>
      </c>
      <c r="J75" s="12" t="s">
        <v>5751</v>
      </c>
      <c r="K75" s="12" t="s">
        <v>5752</v>
      </c>
      <c r="L75" s="26" t="n">
        <f aca="false">MIN(Compute!$I$221,Compute!$I$228)</f>
        <v>100365655481.018</v>
      </c>
      <c r="M75" s="26" t="n">
        <f aca="false">MAX(Compute!$I$221,Compute!$I$228)</f>
        <v>176881251161.573</v>
      </c>
      <c r="N75" s="12" t="s">
        <v>5753</v>
      </c>
    </row>
    <row r="76" customFormat="false" ht="15" hidden="false" customHeight="false" outlineLevel="0" collapsed="false">
      <c r="A76" s="9" t="s">
        <v>5754</v>
      </c>
      <c r="B76" s="11" t="s">
        <v>4608</v>
      </c>
      <c r="C76" s="9" t="s">
        <v>2541</v>
      </c>
      <c r="D76" s="20" t="n">
        <f aca="false">Compute!D141</f>
        <v>1368582683.27658</v>
      </c>
      <c r="E76" s="20" t="n">
        <f aca="false">Compute!E141</f>
        <v>17365110030.0988</v>
      </c>
      <c r="F76" s="20" t="n">
        <f aca="false">Compute!F141</f>
        <v>40576208443.3004</v>
      </c>
      <c r="G76" s="20" t="n">
        <f aca="false">Compute!G141</f>
        <v>72172232130.2954</v>
      </c>
      <c r="H76" s="20" t="n">
        <f aca="false">Compute!H141</f>
        <v>117301597894.983</v>
      </c>
      <c r="I76" s="20" t="n">
        <f aca="false">Compute!I141</f>
        <v>178770658091.515</v>
      </c>
      <c r="J76" s="12" t="s">
        <v>102</v>
      </c>
      <c r="K76" s="12" t="s">
        <v>5755</v>
      </c>
    </row>
    <row r="77" customFormat="false" ht="15" hidden="false" customHeight="false" outlineLevel="0" collapsed="false">
      <c r="A77" s="9" t="s">
        <v>5756</v>
      </c>
      <c r="B77" s="11" t="s">
        <v>4611</v>
      </c>
      <c r="C77" s="9" t="s">
        <v>2541</v>
      </c>
      <c r="D77" s="20" t="n">
        <f aca="false">Compute!D142</f>
        <v>53461234.1065268</v>
      </c>
      <c r="E77" s="20" t="n">
        <f aca="false">Compute!E142</f>
        <v>135256922.289513</v>
      </c>
      <c r="F77" s="20" t="n">
        <f aca="false">Compute!F142</f>
        <v>256650010.044351</v>
      </c>
      <c r="G77" s="20" t="n">
        <f aca="false">Compute!G142</f>
        <v>422060941.517935</v>
      </c>
      <c r="H77" s="20" t="n">
        <f aca="false">Compute!H142</f>
        <v>640688509.224225</v>
      </c>
      <c r="I77" s="20" t="n">
        <f aca="false">Compute!I142</f>
        <v>932041608.793941</v>
      </c>
      <c r="J77" s="12" t="s">
        <v>102</v>
      </c>
      <c r="K77" s="12" t="s">
        <v>5757</v>
      </c>
    </row>
    <row r="78" customFormat="false" ht="15" hidden="false" customHeight="false" outlineLevel="0" collapsed="false">
      <c r="A78" s="9" t="s">
        <v>5758</v>
      </c>
      <c r="B78" s="11" t="s">
        <v>4613</v>
      </c>
      <c r="C78" s="9" t="s">
        <v>1106</v>
      </c>
      <c r="D78" s="21" t="n">
        <f aca="false">Compute!D143</f>
        <v>0.177101452790399</v>
      </c>
      <c r="E78" s="21" t="n">
        <f aca="false">Compute!E143</f>
        <v>0.468815579669372</v>
      </c>
      <c r="F78" s="21" t="n">
        <f aca="false">Compute!F143</f>
        <v>0.750266012978882</v>
      </c>
      <c r="G78" s="21" t="n">
        <f aca="false">Compute!G143</f>
        <v>1.22842528099245</v>
      </c>
      <c r="H78" s="21" t="n">
        <f aca="false">Compute!H143</f>
        <v>1.84378470764077</v>
      </c>
      <c r="I78" s="21" t="n">
        <f aca="false">Compute!I143</f>
        <v>2.71615171532579</v>
      </c>
      <c r="J78" s="12" t="s">
        <v>102</v>
      </c>
      <c r="K78" s="12" t="s">
        <v>5759</v>
      </c>
    </row>
    <row r="79" customFormat="false" ht="15" hidden="false" customHeight="false" outlineLevel="0" collapsed="false">
      <c r="A79" s="9" t="s">
        <v>5760</v>
      </c>
      <c r="B79" s="11" t="s">
        <v>4615</v>
      </c>
      <c r="C79" s="9" t="s">
        <v>1106</v>
      </c>
      <c r="D79" s="21" t="n">
        <f aca="false">Compute!D144</f>
        <v>0.00421602333341632</v>
      </c>
      <c r="E79" s="21" t="n">
        <f aca="false">Compute!E144</f>
        <v>0.00183562267384196</v>
      </c>
      <c r="F79" s="21" t="n">
        <f aca="false">Compute!F144</f>
        <v>0.00238430686534792</v>
      </c>
      <c r="G79" s="21" t="n">
        <f aca="false">Compute!G144</f>
        <v>0.0036076354385921</v>
      </c>
      <c r="H79" s="21" t="n">
        <f aca="false">Compute!H144</f>
        <v>0.00505998990994907</v>
      </c>
      <c r="I79" s="21" t="n">
        <f aca="false">Compute!I144</f>
        <v>0.00711634826438391</v>
      </c>
      <c r="J79" s="12" t="s">
        <v>102</v>
      </c>
      <c r="K79" s="12" t="s">
        <v>5761</v>
      </c>
    </row>
    <row r="80" customFormat="false" ht="15" hidden="false" customHeight="false" outlineLevel="0" collapsed="false">
      <c r="A80" s="9" t="s">
        <v>5762</v>
      </c>
      <c r="B80" s="11" t="s">
        <v>4617</v>
      </c>
      <c r="C80" s="9" t="s">
        <v>1106</v>
      </c>
      <c r="D80" s="21" t="n">
        <f aca="false">Compute!D145</f>
        <v>0.181317476123816</v>
      </c>
      <c r="E80" s="21" t="n">
        <f aca="false">Compute!E145</f>
        <v>0.470651202343214</v>
      </c>
      <c r="F80" s="21" t="n">
        <f aca="false">Compute!F145</f>
        <v>0.75265031984423</v>
      </c>
      <c r="G80" s="21" t="n">
        <f aca="false">Compute!G145</f>
        <v>1.23203291643104</v>
      </c>
      <c r="H80" s="21" t="n">
        <f aca="false">Compute!H145</f>
        <v>1.84884469755072</v>
      </c>
      <c r="I80" s="21" t="n">
        <f aca="false">Compute!I145</f>
        <v>2.72326806359017</v>
      </c>
      <c r="J80" s="12" t="s">
        <v>102</v>
      </c>
      <c r="K80" s="12" t="s">
        <v>5763</v>
      </c>
      <c r="L80" s="24" t="n">
        <f aca="false">MIN(Compute!$I$222,Compute!$I$229)</f>
        <v>2.01436536925379</v>
      </c>
      <c r="M80" s="24" t="n">
        <f aca="false">MAX(Compute!$I$222,Compute!$I$229)</f>
        <v>3.55804029469965</v>
      </c>
      <c r="N80" s="12" t="s">
        <v>5764</v>
      </c>
    </row>
    <row r="81" customFormat="false" ht="15" hidden="false" customHeight="false" outlineLevel="0" collapsed="false">
      <c r="A81" s="9" t="s">
        <v>5765</v>
      </c>
      <c r="B81" s="9" t="s">
        <v>5766</v>
      </c>
      <c r="C81" s="11" t="s">
        <v>747</v>
      </c>
      <c r="D81" s="21" t="n">
        <f aca="false">Compute!D150</f>
        <v>0.525427732668394</v>
      </c>
      <c r="E81" s="21" t="n">
        <f aca="false">Compute!E150</f>
        <v>0.525427732668394</v>
      </c>
      <c r="F81" s="21" t="n">
        <f aca="false">Compute!F150</f>
        <v>0.525427732668394</v>
      </c>
      <c r="G81" s="21" t="n">
        <f aca="false">Compute!G150</f>
        <v>0.525427732668394</v>
      </c>
      <c r="H81" s="21" t="n">
        <f aca="false">Compute!H150</f>
        <v>0.525427732668394</v>
      </c>
      <c r="I81" s="21" t="n">
        <f aca="false">Compute!I150</f>
        <v>0.525427732668394</v>
      </c>
      <c r="J81" s="12" t="s">
        <v>5767</v>
      </c>
      <c r="K81" s="12" t="s">
        <v>5768</v>
      </c>
      <c r="L81" s="24" t="n">
        <f aca="false">MIN(Compute!$I$214,Compute!$I$217)</f>
        <v>0.525427732668394</v>
      </c>
      <c r="M81" s="24" t="n">
        <f aca="false">MAX(Compute!$I$214,Compute!$I$217)</f>
        <v>1</v>
      </c>
      <c r="N81" s="12" t="s">
        <v>5769</v>
      </c>
    </row>
    <row r="82" customFormat="false" ht="15" hidden="false" customHeight="false" outlineLevel="0" collapsed="false">
      <c r="A82" s="9" t="s">
        <v>5770</v>
      </c>
      <c r="B82" s="11" t="s">
        <v>5771</v>
      </c>
      <c r="C82" s="9" t="s">
        <v>1106</v>
      </c>
      <c r="D82" s="21" t="n">
        <f aca="false">Compute!D153</f>
        <v>0.34508547008547</v>
      </c>
      <c r="E82" s="21" t="n">
        <f aca="false">Compute!E153</f>
        <v>0.895748688317238</v>
      </c>
      <c r="F82" s="21" t="n">
        <f aca="false">Compute!F153</f>
        <v>1.43245259632925</v>
      </c>
      <c r="G82" s="21" t="n">
        <f aca="false">Compute!G153</f>
        <v>2.34481897286643</v>
      </c>
      <c r="H82" s="21" t="n">
        <f aca="false">Compute!H153</f>
        <v>3.51874212684079</v>
      </c>
      <c r="I82" s="21" t="n">
        <f aca="false">Compute!I153</f>
        <v>5.18295456115346</v>
      </c>
      <c r="J82" s="12" t="s">
        <v>102</v>
      </c>
      <c r="K82" s="12" t="s">
        <v>5772</v>
      </c>
      <c r="L82" s="24" t="n">
        <f aca="false">MIN(Compute!$I$197,Compute!$I$211,Compute!$I$215,Compute!$I$218,Compute!$I$223,Compute!$I$230)</f>
        <v>2.72326806359017</v>
      </c>
      <c r="M82" s="24" t="n">
        <f aca="false">MAX(Compute!$I$197,Compute!$I$211,Compute!$I$215,Compute!$I$218,Compute!$I$223,Compute!$I$230)</f>
        <v>7.77443184173019</v>
      </c>
      <c r="N82" s="12" t="s">
        <v>5773</v>
      </c>
    </row>
    <row r="83" customFormat="false" ht="15" hidden="false" customHeight="false" outlineLevel="0" collapsed="false">
      <c r="A83" s="9" t="s">
        <v>5774</v>
      </c>
      <c r="B83" s="11" t="s">
        <v>5775</v>
      </c>
      <c r="C83" s="9" t="s">
        <v>1106</v>
      </c>
      <c r="D83" s="21" t="n">
        <f aca="false">D80/D81-D82</f>
        <v>0</v>
      </c>
      <c r="E83" s="21" t="n">
        <f aca="false">E80/E81-E82</f>
        <v>0</v>
      </c>
      <c r="F83" s="21" t="n">
        <f aca="false">F80/F81-F82</f>
        <v>0</v>
      </c>
      <c r="G83" s="21" t="n">
        <f aca="false">G80/G81-G82</f>
        <v>0</v>
      </c>
      <c r="H83" s="21" t="n">
        <f aca="false">H80/H81-H82</f>
        <v>0</v>
      </c>
      <c r="I83" s="21" t="n">
        <f aca="false">I80/I81-I82</f>
        <v>0</v>
      </c>
      <c r="J83" s="2" t="s">
        <v>5684</v>
      </c>
      <c r="K83" s="12" t="s">
        <v>5776</v>
      </c>
    </row>
    <row r="84" customFormat="false" ht="15" hidden="false" customHeight="false" outlineLevel="0" collapsed="false">
      <c r="A84" s="9" t="s">
        <v>5777</v>
      </c>
      <c r="B84" s="11" t="s">
        <v>4647</v>
      </c>
      <c r="C84" s="9" t="s">
        <v>1106</v>
      </c>
      <c r="D84" s="21" t="n">
        <f aca="false">Compute!D158</f>
        <v>0.34508547008547</v>
      </c>
      <c r="E84" s="21" t="n">
        <f aca="false">Compute!E158</f>
        <v>0.895748688317238</v>
      </c>
      <c r="F84" s="21" t="n">
        <f aca="false">Compute!F158</f>
        <v>1.43245259632925</v>
      </c>
      <c r="G84" s="21" t="n">
        <f aca="false">Compute!G158</f>
        <v>2.34481897286643</v>
      </c>
      <c r="H84" s="21" t="n">
        <f aca="false">Compute!H158</f>
        <v>3.51874212684079</v>
      </c>
      <c r="I84" s="21" t="n">
        <f aca="false">Compute!I158</f>
        <v>5.18295456115346</v>
      </c>
      <c r="J84" s="12" t="s">
        <v>102</v>
      </c>
      <c r="K84" s="12" t="s">
        <v>5778</v>
      </c>
    </row>
    <row r="85" customFormat="false" ht="15" hidden="false" customHeight="false" outlineLevel="0" collapsed="false">
      <c r="A85" s="9" t="s">
        <v>5779</v>
      </c>
      <c r="B85" s="11" t="s">
        <v>5780</v>
      </c>
      <c r="C85" s="9" t="s">
        <v>1106</v>
      </c>
      <c r="D85" s="21" t="n">
        <f aca="false">Compute!D156</f>
        <v>0</v>
      </c>
      <c r="E85" s="21" t="n">
        <f aca="false">Compute!E156</f>
        <v>0.256405211747317</v>
      </c>
      <c r="F85" s="21" t="n">
        <f aca="false">Compute!F156</f>
        <v>0.751899368268758</v>
      </c>
      <c r="G85" s="21" t="n">
        <f aca="false">Compute!G156</f>
        <v>1.10734087714545</v>
      </c>
      <c r="H85" s="21" t="n">
        <f aca="false">Compute!H156</f>
        <v>1.0801708475606</v>
      </c>
      <c r="I85" s="21" t="n">
        <f aca="false">Compute!I156</f>
        <v>1.03850418089393</v>
      </c>
      <c r="J85" s="12" t="s">
        <v>5781</v>
      </c>
      <c r="K85" s="12" t="s">
        <v>5782</v>
      </c>
    </row>
    <row r="86" customFormat="false" ht="15" hidden="false" customHeight="false" outlineLevel="0" collapsed="false">
      <c r="A86" s="9" t="s">
        <v>5783</v>
      </c>
      <c r="B86" s="11" t="s">
        <v>5784</v>
      </c>
      <c r="C86" s="9" t="s">
        <v>1106</v>
      </c>
      <c r="D86" s="21" t="n">
        <f aca="false">Compute!D159</f>
        <v>0.438034188034188</v>
      </c>
      <c r="E86" s="21" t="n">
        <f aca="false">Compute!E159</f>
        <v>1.41189821740862</v>
      </c>
      <c r="F86" s="21" t="n">
        <f aca="false">Compute!F159</f>
        <v>5.33464171808957</v>
      </c>
      <c r="G86" s="21" t="n">
        <f aca="false">Compute!G159</f>
        <v>7.62124892144258</v>
      </c>
      <c r="H86" s="21" t="n">
        <f aca="false">Compute!H159</f>
        <v>6.20279550120457</v>
      </c>
      <c r="I86" s="21" t="n">
        <f aca="false">Compute!I159</f>
        <v>4.1635830668919</v>
      </c>
      <c r="J86" s="12" t="s">
        <v>5785</v>
      </c>
      <c r="K86" s="12" t="s">
        <v>5786</v>
      </c>
    </row>
    <row r="87" customFormat="false" ht="15" hidden="false" customHeight="false" outlineLevel="0" collapsed="false">
      <c r="A87" s="9" t="s">
        <v>5787</v>
      </c>
      <c r="B87" s="11" t="s">
        <v>5788</v>
      </c>
      <c r="C87" s="9" t="s">
        <v>1106</v>
      </c>
      <c r="D87" s="21" t="n">
        <f aca="false">Compute!D90</f>
        <v>0.783119658119658</v>
      </c>
      <c r="E87" s="21" t="n">
        <f aca="false">Compute!E90</f>
        <v>2.56405211747317</v>
      </c>
      <c r="F87" s="21" t="n">
        <f aca="false">Compute!F90</f>
        <v>7.18736064520275</v>
      </c>
      <c r="G87" s="21" t="n">
        <f aca="false">Compute!G90</f>
        <v>10.4101426964848</v>
      </c>
      <c r="H87" s="21" t="n">
        <f aca="false">Compute!H90</f>
        <v>9.80680936315147</v>
      </c>
      <c r="I87" s="21" t="n">
        <f aca="false">Compute!I90</f>
        <v>9.3901426964848</v>
      </c>
      <c r="J87" s="12" t="s">
        <v>5789</v>
      </c>
      <c r="K87" s="12" t="s">
        <v>5790</v>
      </c>
      <c r="L87" s="24" t="n">
        <f aca="false">MIN(Compute!$I$194,Compute!$I$208)</f>
        <v>8.72218473034537</v>
      </c>
      <c r="M87" s="24" t="n">
        <f aca="false">MAX(Compute!$I$194,Compute!$I$208)</f>
        <v>12.4636131571817</v>
      </c>
      <c r="N87" s="12" t="s">
        <v>5791</v>
      </c>
    </row>
    <row r="88" customFormat="false" ht="15" hidden="false" customHeight="false" outlineLevel="0" collapsed="false">
      <c r="A88" s="9" t="s">
        <v>5792</v>
      </c>
      <c r="B88" s="11" t="s">
        <v>4500</v>
      </c>
      <c r="C88" s="9" t="s">
        <v>1106</v>
      </c>
      <c r="D88" s="21" t="n">
        <f aca="false">Compute!D88</f>
        <v>0</v>
      </c>
      <c r="E88" s="21" t="n">
        <f aca="false">Compute!E88</f>
        <v>0</v>
      </c>
      <c r="F88" s="21" t="n">
        <f aca="false">Compute!F88</f>
        <v>0.331633037484827</v>
      </c>
      <c r="G88" s="21" t="n">
        <f aca="false">Compute!G88</f>
        <v>0.663266074969654</v>
      </c>
      <c r="H88" s="21" t="n">
        <f aca="false">Compute!H88</f>
        <v>0.994899112454481</v>
      </c>
      <c r="I88" s="21" t="n">
        <f aca="false">Compute!I88</f>
        <v>0.994899112454481</v>
      </c>
      <c r="J88" s="12" t="s">
        <v>5793</v>
      </c>
      <c r="K88" s="12" t="s">
        <v>5794</v>
      </c>
    </row>
    <row r="89" customFormat="false" ht="15" hidden="false" customHeight="false" outlineLevel="0" collapsed="false">
      <c r="A89" s="9" t="s">
        <v>5795</v>
      </c>
      <c r="B89" s="11" t="s">
        <v>5796</v>
      </c>
      <c r="C89" s="9" t="s">
        <v>1106</v>
      </c>
      <c r="D89" s="21" t="n">
        <f aca="false">Compute!D91</f>
        <v>0.783119658119658</v>
      </c>
      <c r="E89" s="21" t="n">
        <f aca="false">Compute!E91</f>
        <v>2.56405211747317</v>
      </c>
      <c r="F89" s="21" t="n">
        <f aca="false">Compute!F91</f>
        <v>7.51899368268758</v>
      </c>
      <c r="G89" s="21" t="n">
        <f aca="false">Compute!G91</f>
        <v>11.0734087714545</v>
      </c>
      <c r="H89" s="21" t="n">
        <f aca="false">Compute!H91</f>
        <v>10.8017084756059</v>
      </c>
      <c r="I89" s="21" t="n">
        <f aca="false">Compute!I91</f>
        <v>10.3850418089393</v>
      </c>
      <c r="J89" s="12" t="s">
        <v>102</v>
      </c>
      <c r="K89" s="12" t="s">
        <v>5797</v>
      </c>
      <c r="L89" s="24" t="n">
        <f aca="false">MIN(Compute!$I$194,Compute!$I$208)</f>
        <v>8.72218473034537</v>
      </c>
      <c r="M89" s="24" t="n">
        <f aca="false">MAX(Compute!$I$194,Compute!$I$208)</f>
        <v>12.4636131571817</v>
      </c>
      <c r="N89" s="12" t="s">
        <v>5798</v>
      </c>
    </row>
    <row r="90" customFormat="false" ht="15" hidden="false" customHeight="false" outlineLevel="0" collapsed="false">
      <c r="A90" s="9" t="s">
        <v>5799</v>
      </c>
      <c r="B90" s="11" t="s">
        <v>5800</v>
      </c>
      <c r="C90" s="11" t="s">
        <v>747</v>
      </c>
      <c r="D90" s="21" t="n">
        <f aca="false">Compute!D167</f>
        <v>0.0738105207756209</v>
      </c>
      <c r="E90" s="21" t="n">
        <f aca="false">Compute!E167</f>
        <v>0.419141337980193</v>
      </c>
      <c r="F90" s="21" t="n">
        <f aca="false">Compute!F167</f>
        <v>0.613060359698787</v>
      </c>
      <c r="G90" s="21" t="n">
        <f aca="false">Compute!G167</f>
        <v>0.666631033789229</v>
      </c>
      <c r="H90" s="21" t="n">
        <f aca="false">Compute!H167</f>
        <v>0.721118767172271</v>
      </c>
      <c r="I90" s="21" t="n">
        <f aca="false">Compute!I167</f>
        <v>0.74582076875426</v>
      </c>
      <c r="J90" s="12" t="s">
        <v>5801</v>
      </c>
      <c r="K90" s="12" t="s">
        <v>5802</v>
      </c>
      <c r="L90" s="24" t="n">
        <f aca="false">MIN(Compute!$I$225,Compute!$I$232)</f>
        <v>0.57217869876207</v>
      </c>
      <c r="M90" s="24" t="n">
        <f aca="false">MAX(Compute!$I$225,Compute!$I$232)</f>
        <v>1.00628387374254</v>
      </c>
      <c r="N90" s="12" t="s">
        <v>5764</v>
      </c>
    </row>
    <row r="91" customFormat="false" ht="15" hidden="false" customHeight="false" outlineLevel="0" collapsed="false">
      <c r="A91" s="9" t="s">
        <v>5803</v>
      </c>
      <c r="B91" s="11" t="s">
        <v>5804</v>
      </c>
      <c r="C91" s="9" t="s">
        <v>1106</v>
      </c>
      <c r="D91" s="21" t="n">
        <f aca="false">Compute!D168</f>
        <v>0.0578024697954382</v>
      </c>
      <c r="E91" s="21" t="n">
        <f aca="false">Compute!E168</f>
        <v>1.07470023516865</v>
      </c>
      <c r="F91" s="21" t="n">
        <f aca="false">Compute!F168</f>
        <v>4.60959697168135</v>
      </c>
      <c r="G91" s="21" t="n">
        <f aca="false">Compute!G168</f>
        <v>7.3818779368854</v>
      </c>
      <c r="H91" s="21" t="n">
        <f aca="false">Compute!H168</f>
        <v>7.78931469928324</v>
      </c>
      <c r="I91" s="21" t="n">
        <f aca="false">Compute!I168</f>
        <v>7.74537986548822</v>
      </c>
      <c r="J91" s="12" t="s">
        <v>102</v>
      </c>
      <c r="K91" s="12" t="s">
        <v>5805</v>
      </c>
      <c r="L91" s="24" t="n">
        <f aca="false">MIN(Compute!$I$195,Compute!$I$209)</f>
        <v>6.58679563527837</v>
      </c>
      <c r="M91" s="24" t="n">
        <f aca="false">MAX(Compute!$I$195,Compute!$I$209)</f>
        <v>9.19361015325054</v>
      </c>
      <c r="N91" s="12" t="s">
        <v>5798</v>
      </c>
    </row>
    <row r="92" customFormat="false" ht="15" hidden="false" customHeight="false" outlineLevel="0" collapsed="false">
      <c r="A92" s="15" t="s">
        <v>5806</v>
      </c>
    </row>
    <row r="93" customFormat="false" ht="15" hidden="false" customHeight="false" outlineLevel="0" collapsed="false">
      <c r="A93" s="9" t="s">
        <v>5807</v>
      </c>
      <c r="B93" s="11" t="s">
        <v>5808</v>
      </c>
      <c r="C93" s="9" t="s">
        <v>482</v>
      </c>
      <c r="D93" s="17" t="n">
        <f aca="false">Cost!D39</f>
        <v>7.33</v>
      </c>
      <c r="E93" s="17" t="n">
        <f aca="false">Cost!E39</f>
        <v>2.4189</v>
      </c>
      <c r="F93" s="17" t="n">
        <f aca="false">Cost!F39</f>
        <v>0</v>
      </c>
      <c r="G93" s="17" t="n">
        <f aca="false">Cost!G39</f>
        <v>0</v>
      </c>
      <c r="H93" s="17" t="n">
        <f aca="false">Cost!H39</f>
        <v>0</v>
      </c>
      <c r="I93" s="17" t="n">
        <f aca="false">Cost!I39</f>
        <v>0</v>
      </c>
      <c r="J93" s="12" t="s">
        <v>5809</v>
      </c>
      <c r="K93" s="12" t="s">
        <v>5810</v>
      </c>
    </row>
    <row r="94" customFormat="false" ht="15" hidden="false" customHeight="false" outlineLevel="0" collapsed="false">
      <c r="A94" s="9" t="s">
        <v>5811</v>
      </c>
      <c r="B94" s="11" t="s">
        <v>4924</v>
      </c>
      <c r="C94" s="9" t="s">
        <v>482</v>
      </c>
      <c r="D94" s="17" t="n">
        <f aca="false">Cost!D40</f>
        <v>0</v>
      </c>
      <c r="E94" s="17" t="n">
        <f aca="false">Cost!E40</f>
        <v>7.40666666666667</v>
      </c>
      <c r="F94" s="17" t="n">
        <f aca="false">Cost!F40</f>
        <v>14.8133333333333</v>
      </c>
      <c r="G94" s="17" t="n">
        <f aca="false">Cost!G40</f>
        <v>14.8133333333333</v>
      </c>
      <c r="H94" s="17" t="n">
        <f aca="false">Cost!H40</f>
        <v>14.8133333333333</v>
      </c>
      <c r="I94" s="17" t="n">
        <f aca="false">Cost!I40</f>
        <v>14.8133333333333</v>
      </c>
      <c r="J94" s="12" t="s">
        <v>5809</v>
      </c>
      <c r="K94" s="12" t="s">
        <v>5812</v>
      </c>
    </row>
    <row r="95" customFormat="false" ht="15" hidden="false" customHeight="false" outlineLevel="0" collapsed="false">
      <c r="A95" s="9" t="s">
        <v>5813</v>
      </c>
      <c r="B95" s="11" t="s">
        <v>4927</v>
      </c>
      <c r="C95" s="9" t="s">
        <v>482</v>
      </c>
      <c r="D95" s="17" t="n">
        <f aca="false">Cost!D41</f>
        <v>-0</v>
      </c>
      <c r="E95" s="17" t="n">
        <f aca="false">Cost!E41</f>
        <v>0</v>
      </c>
      <c r="F95" s="17" t="n">
        <f aca="false">Cost!F41</f>
        <v>13.9111111111111</v>
      </c>
      <c r="G95" s="17" t="n">
        <f aca="false">Cost!G41</f>
        <v>27.8222222222222</v>
      </c>
      <c r="H95" s="17" t="n">
        <f aca="false">Cost!H41</f>
        <v>27.8222222222222</v>
      </c>
      <c r="I95" s="17" t="n">
        <f aca="false">Cost!I41</f>
        <v>27.8222222222222</v>
      </c>
      <c r="J95" s="12" t="s">
        <v>5809</v>
      </c>
      <c r="K95" s="12" t="s">
        <v>5814</v>
      </c>
    </row>
    <row r="96" customFormat="false" ht="15" hidden="false" customHeight="false" outlineLevel="0" collapsed="false">
      <c r="A96" s="9" t="s">
        <v>5815</v>
      </c>
      <c r="B96" s="11" t="s">
        <v>4929</v>
      </c>
      <c r="C96" s="9" t="s">
        <v>482</v>
      </c>
      <c r="D96" s="17" t="n">
        <f aca="false">Cost!D42</f>
        <v>0</v>
      </c>
      <c r="E96" s="17" t="n">
        <f aca="false">Cost!E42</f>
        <v>5.78947368421053</v>
      </c>
      <c r="F96" s="17" t="n">
        <f aca="false">Cost!F42</f>
        <v>11.5789473684211</v>
      </c>
      <c r="G96" s="17" t="n">
        <f aca="false">Cost!G42</f>
        <v>11.5789473684211</v>
      </c>
      <c r="H96" s="17" t="n">
        <f aca="false">Cost!H42</f>
        <v>11.5789473684211</v>
      </c>
      <c r="I96" s="17" t="n">
        <f aca="false">Cost!I42</f>
        <v>11.5789473684211</v>
      </c>
      <c r="J96" s="12" t="s">
        <v>5809</v>
      </c>
      <c r="K96" s="12" t="s">
        <v>5816</v>
      </c>
    </row>
    <row r="97" customFormat="false" ht="15" hidden="false" customHeight="false" outlineLevel="0" collapsed="false">
      <c r="A97" s="9" t="s">
        <v>5817</v>
      </c>
      <c r="B97" s="11" t="s">
        <v>4931</v>
      </c>
      <c r="C97" s="9" t="s">
        <v>482</v>
      </c>
      <c r="D97" s="17" t="n">
        <f aca="false">Cost!D43</f>
        <v>-0</v>
      </c>
      <c r="E97" s="17" t="n">
        <f aca="false">Cost!E43</f>
        <v>0</v>
      </c>
      <c r="F97" s="17" t="n">
        <f aca="false">Cost!F43</f>
        <v>2.41538461538462</v>
      </c>
      <c r="G97" s="17" t="n">
        <f aca="false">Cost!G43</f>
        <v>4.83076923076923</v>
      </c>
      <c r="H97" s="17" t="n">
        <f aca="false">Cost!H43</f>
        <v>4.83076923076923</v>
      </c>
      <c r="I97" s="17" t="n">
        <f aca="false">Cost!I43</f>
        <v>4.83076923076923</v>
      </c>
      <c r="J97" s="12" t="s">
        <v>5809</v>
      </c>
      <c r="K97" s="12" t="s">
        <v>5818</v>
      </c>
    </row>
    <row r="98" customFormat="false" ht="15" hidden="false" customHeight="false" outlineLevel="0" collapsed="false">
      <c r="A98" s="9" t="s">
        <v>5819</v>
      </c>
      <c r="B98" s="11" t="s">
        <v>4933</v>
      </c>
      <c r="C98" s="9" t="s">
        <v>482</v>
      </c>
      <c r="D98" s="17" t="n">
        <f aca="false">Cost!D44</f>
        <v>-0</v>
      </c>
      <c r="E98" s="17" t="n">
        <f aca="false">Cost!E44</f>
        <v>0</v>
      </c>
      <c r="F98" s="17" t="n">
        <f aca="false">Cost!F44</f>
        <v>8.64</v>
      </c>
      <c r="G98" s="17" t="n">
        <f aca="false">Cost!G44</f>
        <v>17.28</v>
      </c>
      <c r="H98" s="17" t="n">
        <f aca="false">Cost!H44</f>
        <v>17.28</v>
      </c>
      <c r="I98" s="17" t="n">
        <f aca="false">Cost!I44</f>
        <v>17.28</v>
      </c>
      <c r="J98" s="12" t="s">
        <v>5809</v>
      </c>
      <c r="K98" s="12" t="s">
        <v>5820</v>
      </c>
    </row>
    <row r="99" customFormat="false" ht="15" hidden="false" customHeight="false" outlineLevel="0" collapsed="false">
      <c r="A99" s="9" t="s">
        <v>5821</v>
      </c>
      <c r="B99" s="11" t="s">
        <v>4936</v>
      </c>
      <c r="C99" s="9" t="s">
        <v>482</v>
      </c>
      <c r="D99" s="17" t="n">
        <f aca="false">Cost!D45</f>
        <v>0</v>
      </c>
      <c r="E99" s="17" t="n">
        <f aca="false">Cost!E45</f>
        <v>10</v>
      </c>
      <c r="F99" s="17" t="n">
        <f aca="false">Cost!F45</f>
        <v>15</v>
      </c>
      <c r="G99" s="17" t="n">
        <f aca="false">Cost!G45</f>
        <v>15</v>
      </c>
      <c r="H99" s="17" t="n">
        <f aca="false">Cost!H45</f>
        <v>5</v>
      </c>
      <c r="I99" s="17" t="n">
        <f aca="false">Cost!I45</f>
        <v>0</v>
      </c>
      <c r="J99" s="12" t="s">
        <v>5809</v>
      </c>
      <c r="K99" s="12" t="s">
        <v>5822</v>
      </c>
    </row>
    <row r="100" customFormat="false" ht="15" hidden="false" customHeight="false" outlineLevel="0" collapsed="false">
      <c r="A100" s="9" t="s">
        <v>5823</v>
      </c>
      <c r="B100" s="11" t="s">
        <v>4939</v>
      </c>
      <c r="C100" s="9" t="s">
        <v>482</v>
      </c>
      <c r="D100" s="17" t="n">
        <f aca="false">Cost!D46</f>
        <v>-0</v>
      </c>
      <c r="E100" s="17" t="n">
        <f aca="false">Cost!E46</f>
        <v>-0</v>
      </c>
      <c r="F100" s="17" t="n">
        <f aca="false">Cost!F46</f>
        <v>0</v>
      </c>
      <c r="G100" s="17" t="n">
        <f aca="false">Cost!G46</f>
        <v>4.43995510662177</v>
      </c>
      <c r="H100" s="17" t="n">
        <f aca="false">Cost!H46</f>
        <v>8.87991021324355</v>
      </c>
      <c r="I100" s="17" t="n">
        <f aca="false">Cost!I46</f>
        <v>8.87991021324355</v>
      </c>
      <c r="J100" s="12" t="s">
        <v>5809</v>
      </c>
      <c r="K100" s="12" t="s">
        <v>5824</v>
      </c>
    </row>
    <row r="101" customFormat="false" ht="15" hidden="false" customHeight="false" outlineLevel="0" collapsed="false">
      <c r="A101" s="9" t="s">
        <v>5825</v>
      </c>
      <c r="B101" s="11" t="s">
        <v>4942</v>
      </c>
      <c r="C101" s="9" t="s">
        <v>482</v>
      </c>
      <c r="D101" s="17" t="n">
        <f aca="false">Cost!D47</f>
        <v>-0</v>
      </c>
      <c r="E101" s="17" t="n">
        <f aca="false">Cost!E47</f>
        <v>0</v>
      </c>
      <c r="F101" s="17" t="n">
        <f aca="false">Cost!F47</f>
        <v>2.47736625514403</v>
      </c>
      <c r="G101" s="17" t="n">
        <f aca="false">Cost!G47</f>
        <v>4.95473251028807</v>
      </c>
      <c r="H101" s="17" t="n">
        <f aca="false">Cost!H47</f>
        <v>4.95473251028807</v>
      </c>
      <c r="I101" s="17" t="n">
        <f aca="false">Cost!I47</f>
        <v>4.95473251028807</v>
      </c>
      <c r="J101" s="12" t="s">
        <v>5809</v>
      </c>
      <c r="K101" s="12" t="s">
        <v>5826</v>
      </c>
    </row>
    <row r="102" customFormat="false" ht="15" hidden="false" customHeight="false" outlineLevel="0" collapsed="false">
      <c r="A102" s="9" t="s">
        <v>5827</v>
      </c>
      <c r="B102" s="11" t="s">
        <v>4945</v>
      </c>
      <c r="C102" s="9" t="s">
        <v>482</v>
      </c>
      <c r="D102" s="17" t="n">
        <f aca="false">Cost!D48</f>
        <v>-0</v>
      </c>
      <c r="E102" s="17" t="n">
        <f aca="false">Cost!E48</f>
        <v>0</v>
      </c>
      <c r="F102" s="17" t="n">
        <f aca="false">Cost!F48</f>
        <v>0.909090909090909</v>
      </c>
      <c r="G102" s="17" t="n">
        <f aca="false">Cost!G48</f>
        <v>1.81818181818182</v>
      </c>
      <c r="H102" s="17" t="n">
        <f aca="false">Cost!H48</f>
        <v>1.81818181818182</v>
      </c>
      <c r="I102" s="17" t="n">
        <f aca="false">Cost!I48</f>
        <v>1.81818181818182</v>
      </c>
      <c r="J102" s="12" t="s">
        <v>5809</v>
      </c>
      <c r="K102" s="12" t="s">
        <v>5828</v>
      </c>
    </row>
    <row r="103" customFormat="false" ht="15" hidden="false" customHeight="false" outlineLevel="0" collapsed="false">
      <c r="A103" s="9" t="s">
        <v>5829</v>
      </c>
      <c r="B103" s="11" t="s">
        <v>4947</v>
      </c>
      <c r="C103" s="9" t="s">
        <v>482</v>
      </c>
      <c r="D103" s="17" t="n">
        <f aca="false">Cost!D49</f>
        <v>0</v>
      </c>
      <c r="E103" s="17" t="n">
        <f aca="false">Cost!E49</f>
        <v>0.138461538461538</v>
      </c>
      <c r="F103" s="17" t="n">
        <f aca="false">Cost!F49</f>
        <v>0.276923076923077</v>
      </c>
      <c r="G103" s="17" t="n">
        <f aca="false">Cost!G49</f>
        <v>0.276923076923077</v>
      </c>
      <c r="H103" s="17" t="n">
        <f aca="false">Cost!H49</f>
        <v>0.276923076923077</v>
      </c>
      <c r="I103" s="17" t="n">
        <f aca="false">Cost!I49</f>
        <v>0.276923076923077</v>
      </c>
      <c r="J103" s="12" t="s">
        <v>5809</v>
      </c>
      <c r="K103" s="12" t="s">
        <v>5830</v>
      </c>
    </row>
    <row r="104" customFormat="false" ht="15" hidden="false" customHeight="false" outlineLevel="0" collapsed="false">
      <c r="A104" s="9" t="s">
        <v>5831</v>
      </c>
      <c r="B104" s="11" t="s">
        <v>4949</v>
      </c>
      <c r="C104" s="9" t="s">
        <v>482</v>
      </c>
      <c r="D104" s="17" t="n">
        <f aca="false">Cost!D50</f>
        <v>7.33</v>
      </c>
      <c r="E104" s="17" t="n">
        <f aca="false">Cost!E50</f>
        <v>25.7535018893387</v>
      </c>
      <c r="F104" s="17" t="n">
        <f aca="false">Cost!F50</f>
        <v>70.0221566694081</v>
      </c>
      <c r="G104" s="17" t="n">
        <f aca="false">Cost!G50</f>
        <v>102.815064666761</v>
      </c>
      <c r="H104" s="17" t="n">
        <f aca="false">Cost!H50</f>
        <v>97.2550197733824</v>
      </c>
      <c r="I104" s="17" t="n">
        <f aca="false">Cost!I50</f>
        <v>92.2550197733824</v>
      </c>
      <c r="J104" s="12" t="s">
        <v>102</v>
      </c>
      <c r="K104" s="12" t="s">
        <v>5832</v>
      </c>
    </row>
    <row r="105" customFormat="false" ht="15" hidden="false" customHeight="false" outlineLevel="0" collapsed="false">
      <c r="A105" s="9" t="s">
        <v>5833</v>
      </c>
      <c r="B105" s="11" t="s">
        <v>4954</v>
      </c>
      <c r="C105" s="9" t="s">
        <v>482</v>
      </c>
      <c r="D105" s="17" t="n">
        <f aca="false">Cost!D52</f>
        <v>0</v>
      </c>
      <c r="E105" s="17" t="n">
        <f aca="false">Cost!E52</f>
        <v>16.6666666666667</v>
      </c>
      <c r="F105" s="17" t="n">
        <f aca="false">Cost!F52</f>
        <v>16.6666666666667</v>
      </c>
      <c r="G105" s="17" t="n">
        <f aca="false">Cost!G52</f>
        <v>16.6666666666667</v>
      </c>
      <c r="H105" s="17" t="n">
        <f aca="false">Cost!H52</f>
        <v>0</v>
      </c>
      <c r="I105" s="17" t="n">
        <f aca="false">Cost!I52</f>
        <v>0</v>
      </c>
      <c r="J105" s="12" t="s">
        <v>5834</v>
      </c>
      <c r="K105" s="12" t="s">
        <v>5835</v>
      </c>
    </row>
    <row r="106" customFormat="false" ht="15" hidden="false" customHeight="false" outlineLevel="0" collapsed="false">
      <c r="A106" s="9" t="s">
        <v>5836</v>
      </c>
      <c r="B106" s="11" t="s">
        <v>5837</v>
      </c>
      <c r="C106" s="9" t="s">
        <v>482</v>
      </c>
      <c r="D106" s="17" t="n">
        <f aca="false">Cost!D53</f>
        <v>7.33</v>
      </c>
      <c r="E106" s="17" t="n">
        <f aca="false">Cost!E53</f>
        <v>42.4201685560054</v>
      </c>
      <c r="F106" s="17" t="n">
        <f aca="false">Cost!F53</f>
        <v>86.6888233360748</v>
      </c>
      <c r="G106" s="17" t="n">
        <f aca="false">Cost!G53</f>
        <v>119.481731333427</v>
      </c>
      <c r="H106" s="17" t="n">
        <f aca="false">Cost!H53</f>
        <v>97.2550197733824</v>
      </c>
      <c r="I106" s="17" t="n">
        <f aca="false">Cost!I53</f>
        <v>92.2550197733824</v>
      </c>
      <c r="J106" s="12" t="s">
        <v>102</v>
      </c>
      <c r="K106" s="12" t="s">
        <v>5838</v>
      </c>
      <c r="L106" s="27" t="n">
        <f aca="false">MIN(Compute!$I$196,Compute!$I$210)</f>
        <v>86.4950197733824</v>
      </c>
      <c r="M106" s="27" t="n">
        <f aca="false">MAX(Compute!$I$196,Compute!$I$210)</f>
        <v>103.775019773382</v>
      </c>
      <c r="N106" s="12" t="s">
        <v>5798</v>
      </c>
    </row>
    <row r="107" customFormat="false" ht="15" hidden="false" customHeight="false" outlineLevel="0" collapsed="false">
      <c r="A107" s="9" t="s">
        <v>5839</v>
      </c>
      <c r="B107" s="11" t="s">
        <v>5840</v>
      </c>
      <c r="C107" s="9" t="s">
        <v>482</v>
      </c>
      <c r="D107" s="17" t="n">
        <f aca="false">Cost!D89</f>
        <v>3.2038</v>
      </c>
      <c r="E107" s="17" t="n">
        <f aca="false">Cost!E89</f>
        <v>5.9398452</v>
      </c>
      <c r="F107" s="17" t="n">
        <f aca="false">Cost!F89</f>
        <v>7.9534527228</v>
      </c>
      <c r="G107" s="17" t="n">
        <f aca="false">Cost!G89</f>
        <v>9.8304675653808</v>
      </c>
      <c r="H107" s="17" t="n">
        <f aca="false">Cost!H89</f>
        <v>11.6441888311936</v>
      </c>
      <c r="I107" s="17" t="n">
        <f aca="false">Cost!I89</f>
        <v>13.1928659457423</v>
      </c>
      <c r="J107" s="12" t="s">
        <v>5841</v>
      </c>
      <c r="K107" s="12" t="s">
        <v>5842</v>
      </c>
    </row>
    <row r="108" customFormat="false" ht="15" hidden="false" customHeight="false" outlineLevel="0" collapsed="false">
      <c r="A108" s="9" t="s">
        <v>5843</v>
      </c>
      <c r="B108" s="11" t="s">
        <v>5844</v>
      </c>
      <c r="C108" s="9" t="s">
        <v>482</v>
      </c>
      <c r="D108" s="17" t="n">
        <f aca="false">Cost!D88</f>
        <v>1.7652</v>
      </c>
      <c r="E108" s="17" t="n">
        <f aca="false">Cost!E88</f>
        <v>3.17736</v>
      </c>
      <c r="F108" s="17" t="n">
        <f aca="false">Cost!F88</f>
        <v>4.130568</v>
      </c>
      <c r="G108" s="17" t="n">
        <f aca="false">Cost!G88</f>
        <v>4.9566816</v>
      </c>
      <c r="H108" s="17" t="n">
        <f aca="false">Cost!H88</f>
        <v>5.70018384</v>
      </c>
      <c r="I108" s="17" t="n">
        <f aca="false">Cost!I88</f>
        <v>6.270202224</v>
      </c>
      <c r="J108" s="12" t="s">
        <v>5845</v>
      </c>
      <c r="K108" s="12" t="s">
        <v>5846</v>
      </c>
    </row>
    <row r="109" customFormat="false" ht="15" hidden="false" customHeight="false" outlineLevel="0" collapsed="false">
      <c r="A109" s="9" t="s">
        <v>5847</v>
      </c>
      <c r="B109" s="11" t="s">
        <v>5848</v>
      </c>
      <c r="C109" s="9" t="s">
        <v>482</v>
      </c>
      <c r="D109" s="17" t="n">
        <f aca="false">Cost!D106</f>
        <v>12.299</v>
      </c>
      <c r="E109" s="17" t="n">
        <f aca="false">Cost!E106</f>
        <v>51.5373737560054</v>
      </c>
      <c r="F109" s="17" t="n">
        <f aca="false">Cost!F106</f>
        <v>98.7728440588748</v>
      </c>
      <c r="G109" s="17" t="n">
        <f aca="false">Cost!G106</f>
        <v>134.268880498808</v>
      </c>
      <c r="H109" s="17" t="n">
        <f aca="false">Cost!H106</f>
        <v>114.599392444576</v>
      </c>
      <c r="I109" s="17" t="n">
        <f aca="false">Cost!I106</f>
        <v>111.718087943125</v>
      </c>
      <c r="J109" s="12" t="s">
        <v>102</v>
      </c>
      <c r="K109" s="12" t="s">
        <v>5849</v>
      </c>
    </row>
    <row r="110" customFormat="false" ht="15" hidden="false" customHeight="false" outlineLevel="0" collapsed="false">
      <c r="A110" s="9" t="s">
        <v>5850</v>
      </c>
      <c r="B110" s="11" t="s">
        <v>5091</v>
      </c>
      <c r="C110" s="9" t="s">
        <v>2742</v>
      </c>
      <c r="D110" s="18" t="n">
        <f aca="false">Cost!D109</f>
        <v>73.5089696865398</v>
      </c>
      <c r="E110" s="18" t="n">
        <f aca="false">Cost!E109</f>
        <v>42.5901036397049</v>
      </c>
      <c r="F110" s="18" t="n">
        <f aca="false">Cost!F109</f>
        <v>16.517399910669</v>
      </c>
      <c r="G110" s="18" t="n">
        <f aca="false">Cost!G109</f>
        <v>15.4909640546821</v>
      </c>
      <c r="H110" s="18" t="n">
        <f aca="false">Cost!H109</f>
        <v>20.0913543755611</v>
      </c>
      <c r="I110" s="18" t="n">
        <f aca="false">Cost!I109</f>
        <v>26.0257532924227</v>
      </c>
      <c r="J110" s="12" t="s">
        <v>102</v>
      </c>
      <c r="K110" s="12" t="s">
        <v>5851</v>
      </c>
    </row>
    <row r="111" customFormat="false" ht="15" hidden="false" customHeight="false" outlineLevel="0" collapsed="false">
      <c r="A111" s="9" t="s">
        <v>5852</v>
      </c>
      <c r="B111" s="11" t="s">
        <v>5099</v>
      </c>
      <c r="C111" s="9" t="s">
        <v>2742</v>
      </c>
      <c r="D111" s="18" t="n">
        <f aca="false">Cost!D113</f>
        <v>212.776375188222</v>
      </c>
      <c r="E111" s="18" t="n">
        <f aca="false">Cost!E113</f>
        <v>47.955115360999</v>
      </c>
      <c r="F111" s="18" t="n">
        <f aca="false">Cost!F113</f>
        <v>21.427652930544</v>
      </c>
      <c r="G111" s="18" t="n">
        <f aca="false">Cost!G113</f>
        <v>18.1889868197224</v>
      </c>
      <c r="H111" s="18" t="n">
        <f aca="false">Cost!H113</f>
        <v>14.7123844482906</v>
      </c>
      <c r="I111" s="18" t="n">
        <f aca="false">Cost!I113</f>
        <v>14.4238358716164</v>
      </c>
      <c r="J111" s="12" t="s">
        <v>102</v>
      </c>
      <c r="K111" s="12" t="s">
        <v>5853</v>
      </c>
    </row>
    <row r="112" customFormat="false" ht="15" hidden="false" customHeight="false" outlineLevel="0" collapsed="false">
      <c r="A112" s="9" t="s">
        <v>5854</v>
      </c>
      <c r="B112" s="11" t="s">
        <v>5855</v>
      </c>
      <c r="C112" s="9" t="s">
        <v>2742</v>
      </c>
      <c r="D112" s="18" t="n">
        <f aca="false">Cost!D115</f>
        <v>-139.267405501682</v>
      </c>
      <c r="E112" s="18" t="n">
        <f aca="false">Cost!E115</f>
        <v>-5.36501172129409</v>
      </c>
      <c r="F112" s="18" t="n">
        <f aca="false">Cost!F115</f>
        <v>-4.91025301987502</v>
      </c>
      <c r="G112" s="18" t="n">
        <f aca="false">Cost!G115</f>
        <v>-2.69802276504026</v>
      </c>
      <c r="H112" s="18" t="n">
        <f aca="false">Cost!H115</f>
        <v>5.37896992727052</v>
      </c>
      <c r="I112" s="18" t="n">
        <f aca="false">Cost!I115</f>
        <v>11.6019174208063</v>
      </c>
      <c r="J112" s="12" t="s">
        <v>102</v>
      </c>
      <c r="K112" s="12" t="s">
        <v>5856</v>
      </c>
      <c r="L112" s="25" t="n">
        <f aca="false">MIN(Compute!$I$199,Compute!$I$213,Compute!$I$226,Compute!$I$233)</f>
        <v>8.59891646442407</v>
      </c>
      <c r="M112" s="25" t="n">
        <f aca="false">MAX(Compute!$I$199,Compute!$I$213,Compute!$I$226,Compute!$I$233)</f>
        <v>15.1228121363661</v>
      </c>
      <c r="N112" s="12" t="s">
        <v>5857</v>
      </c>
    </row>
    <row r="113" customFormat="false" ht="15" hidden="false" customHeight="false" outlineLevel="0" collapsed="false">
      <c r="A113" s="9" t="s">
        <v>5858</v>
      </c>
      <c r="B113" s="11" t="s">
        <v>5859</v>
      </c>
      <c r="C113" s="11" t="s">
        <v>747</v>
      </c>
      <c r="D113" s="21" t="n">
        <f aca="false">Cost!D117</f>
        <v>0.345475241889585</v>
      </c>
      <c r="E113" s="21" t="n">
        <f aca="false">Cost!E117</f>
        <v>0.888124307888594</v>
      </c>
      <c r="F113" s="21" t="n">
        <f aca="false">Cost!F117</f>
        <v>0.770845036748019</v>
      </c>
      <c r="G113" s="21" t="n">
        <f aca="false">Cost!G117</f>
        <v>0.851667231837521</v>
      </c>
      <c r="H113" s="21" t="n">
        <f aca="false">Cost!H117</f>
        <v>1.36560830409074</v>
      </c>
      <c r="I113" s="21" t="n">
        <f aca="false">Cost!I117</f>
        <v>1.80435728221484</v>
      </c>
      <c r="J113" s="12" t="s">
        <v>102</v>
      </c>
      <c r="K113" s="12" t="s">
        <v>5860</v>
      </c>
    </row>
    <row r="114" customFormat="false" ht="15" hidden="false" customHeight="false" outlineLevel="0" collapsed="false">
      <c r="A114" s="15" t="s">
        <v>5861</v>
      </c>
    </row>
    <row r="115" customFormat="false" ht="15" hidden="false" customHeight="false" outlineLevel="0" collapsed="false">
      <c r="A115" s="9" t="s">
        <v>5862</v>
      </c>
      <c r="B115" s="9" t="s">
        <v>5863</v>
      </c>
      <c r="C115" s="9" t="s">
        <v>2742</v>
      </c>
      <c r="E115" s="18" t="n">
        <f aca="false">Cost!E267</f>
        <v>49.5137840363362</v>
      </c>
      <c r="J115" s="12" t="s">
        <v>5864</v>
      </c>
      <c r="K115" s="12" t="s">
        <v>5865</v>
      </c>
      <c r="L115" s="25" t="n">
        <f aca="false">Cost!$E$268</f>
        <v>36.2295980753679</v>
      </c>
      <c r="M115" s="25" t="n">
        <f aca="false">Cost!$E$269</f>
        <v>78.4974624966305</v>
      </c>
      <c r="N115" s="12" t="s">
        <v>5866</v>
      </c>
    </row>
    <row r="116" customFormat="false" ht="15" hidden="false" customHeight="false" outlineLevel="0" collapsed="false">
      <c r="A116" s="9" t="s">
        <v>5867</v>
      </c>
      <c r="B116" s="11" t="s">
        <v>5868</v>
      </c>
      <c r="C116" s="9" t="s">
        <v>2742</v>
      </c>
      <c r="E116" s="18" t="n">
        <f aca="false">Cost!E273</f>
        <v>133.429238086678</v>
      </c>
      <c r="J116" s="12" t="s">
        <v>102</v>
      </c>
      <c r="K116" s="12" t="s">
        <v>5869</v>
      </c>
    </row>
    <row r="117" customFormat="false" ht="15" hidden="false" customHeight="false" outlineLevel="0" collapsed="false">
      <c r="A117" s="9" t="s">
        <v>5870</v>
      </c>
      <c r="B117" s="11" t="s">
        <v>5871</v>
      </c>
      <c r="C117" s="9" t="s">
        <v>2742</v>
      </c>
      <c r="E117" s="18" t="n">
        <f aca="false">E116-E115</f>
        <v>83.9154540503419</v>
      </c>
      <c r="J117" s="12" t="s">
        <v>102</v>
      </c>
      <c r="K117" s="12" t="s">
        <v>5872</v>
      </c>
    </row>
    <row r="118" customFormat="false" ht="15" hidden="false" customHeight="false" outlineLevel="0" collapsed="false">
      <c r="A118" s="9" t="s">
        <v>5873</v>
      </c>
      <c r="B118" s="11" t="s">
        <v>5874</v>
      </c>
      <c r="C118" s="11" t="s">
        <v>747</v>
      </c>
      <c r="E118" s="21" t="n">
        <f aca="false">E115/E116</f>
        <v>0.371086463104669</v>
      </c>
      <c r="J118" s="12" t="s">
        <v>102</v>
      </c>
      <c r="K118" s="12" t="s">
        <v>5875</v>
      </c>
    </row>
    <row r="119" customFormat="false" ht="15" hidden="false" customHeight="false" outlineLevel="0" collapsed="false">
      <c r="A119" s="9" t="s">
        <v>5876</v>
      </c>
      <c r="B119" s="9" t="s">
        <v>5877</v>
      </c>
      <c r="C119" s="9" t="s">
        <v>2541</v>
      </c>
      <c r="E119" s="20" t="n">
        <f aca="false">Cost!E281</f>
        <v>18800929768.0786</v>
      </c>
      <c r="J119" s="12" t="s">
        <v>5878</v>
      </c>
      <c r="K119" s="12" t="s">
        <v>5879</v>
      </c>
      <c r="L119" s="20" t="n">
        <f aca="false">TK_L1_TokGW_PaidPQ_VR200_Lo</f>
        <v>13756777879.0819</v>
      </c>
      <c r="M119" s="20" t="n">
        <f aca="false">TK_L1_TokGW_PaidPQ_VR200_Hi</f>
        <v>29806352071.3441</v>
      </c>
      <c r="N119" s="12" t="s">
        <v>5866</v>
      </c>
    </row>
    <row r="120" customFormat="false" ht="15" hidden="false" customHeight="false" outlineLevel="0" collapsed="false">
      <c r="A120" s="9" t="s">
        <v>5880</v>
      </c>
      <c r="B120" s="11" t="s">
        <v>5881</v>
      </c>
      <c r="C120" s="9" t="s">
        <v>2541</v>
      </c>
      <c r="E120" s="20" t="n">
        <f aca="false">Cost!E280</f>
        <v>46433134280.7097</v>
      </c>
      <c r="J120" s="12" t="s">
        <v>5882</v>
      </c>
      <c r="K120" s="12" t="s">
        <v>5883</v>
      </c>
    </row>
    <row r="121" customFormat="false" ht="15" hidden="false" customHeight="false" outlineLevel="0" collapsed="false">
      <c r="A121" s="9" t="s">
        <v>5884</v>
      </c>
      <c r="B121" s="11" t="s">
        <v>5871</v>
      </c>
      <c r="C121" s="9" t="s">
        <v>2541</v>
      </c>
      <c r="E121" s="20" t="n">
        <f aca="false">E120-E119</f>
        <v>27632204512.6311</v>
      </c>
      <c r="J121" s="12" t="s">
        <v>102</v>
      </c>
      <c r="K121" s="12" t="s">
        <v>5885</v>
      </c>
    </row>
    <row r="122" customFormat="false" ht="15" hidden="false" customHeight="false" outlineLevel="0" collapsed="false">
      <c r="A122" s="9" t="s">
        <v>5886</v>
      </c>
      <c r="B122" s="11" t="s">
        <v>5887</v>
      </c>
      <c r="C122" s="11" t="s">
        <v>747</v>
      </c>
      <c r="E122" s="21" t="n">
        <f aca="false">E120/E119</f>
        <v>2.46972542600243</v>
      </c>
      <c r="J122" s="12" t="s">
        <v>102</v>
      </c>
      <c r="K122" s="12" t="s">
        <v>5888</v>
      </c>
    </row>
    <row r="123" customFormat="false" ht="15" hidden="false" customHeight="false" outlineLevel="0" collapsed="false">
      <c r="A123" s="9" t="s">
        <v>5889</v>
      </c>
      <c r="B123" s="9" t="s">
        <v>5890</v>
      </c>
      <c r="C123" s="11" t="s">
        <v>747</v>
      </c>
      <c r="E123" s="21" t="n">
        <f aca="false">Cost!E272</f>
        <v>3.01947256066794</v>
      </c>
      <c r="J123" s="12" t="s">
        <v>5891</v>
      </c>
      <c r="K123" s="12" t="s">
        <v>5892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40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1" t="s">
        <v>5893</v>
      </c>
    </row>
    <row r="2" customFormat="false" ht="15" hidden="false" customHeight="false" outlineLevel="0" collapsed="false">
      <c r="A2" s="12" t="s">
        <v>5894</v>
      </c>
    </row>
    <row r="3" customFormat="false" ht="15" hidden="false" customHeight="false" outlineLevel="0" collapsed="false">
      <c r="A3" s="12" t="s">
        <v>5895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8" t="s">
        <v>2515</v>
      </c>
      <c r="E5" s="8" t="s">
        <v>50</v>
      </c>
      <c r="F5" s="8" t="s">
        <v>51</v>
      </c>
      <c r="G5" s="8" t="s">
        <v>38</v>
      </c>
      <c r="H5" s="8" t="s">
        <v>5896</v>
      </c>
    </row>
    <row r="6" customFormat="false" ht="15" hidden="false" customHeight="false" outlineLevel="0" collapsed="false">
      <c r="A6" s="15" t="s">
        <v>5897</v>
      </c>
      <c r="B6" s="28"/>
    </row>
    <row r="7" customFormat="false" ht="15" hidden="false" customHeight="false" outlineLevel="0" collapsed="false">
      <c r="A7" s="9" t="s">
        <v>5898</v>
      </c>
      <c r="B7" s="4" t="s">
        <v>4625</v>
      </c>
      <c r="C7" s="11" t="s">
        <v>747</v>
      </c>
      <c r="D7" s="21" t="n">
        <f aca="false">CMP_Eta2025</f>
        <v>0.525427732668394</v>
      </c>
      <c r="G7" s="12" t="s">
        <v>102</v>
      </c>
      <c r="H7" s="12" t="s">
        <v>5899</v>
      </c>
    </row>
    <row r="8" customFormat="false" ht="15" hidden="false" customHeight="false" outlineLevel="0" collapsed="false">
      <c r="A8" s="9" t="s">
        <v>5900</v>
      </c>
      <c r="B8" s="4" t="s">
        <v>5901</v>
      </c>
      <c r="C8" s="9" t="s">
        <v>1106</v>
      </c>
      <c r="D8" s="24" t="n">
        <f aca="false">Compute!$D$145</f>
        <v>0.181317476123816</v>
      </c>
      <c r="G8" s="12" t="s">
        <v>102</v>
      </c>
      <c r="H8" s="12" t="s">
        <v>5763</v>
      </c>
    </row>
    <row r="9" customFormat="false" ht="15" hidden="false" customHeight="false" outlineLevel="0" collapsed="false">
      <c r="A9" s="9" t="s">
        <v>5902</v>
      </c>
      <c r="B9" s="6" t="s">
        <v>5903</v>
      </c>
      <c r="C9" s="9" t="s">
        <v>1106</v>
      </c>
      <c r="D9" s="24" t="n">
        <f aca="false">Compute!$D$148</f>
        <v>0.34508547008547</v>
      </c>
      <c r="G9" s="12" t="s">
        <v>102</v>
      </c>
      <c r="H9" s="12" t="s">
        <v>5904</v>
      </c>
    </row>
    <row r="10" customFormat="false" ht="15" hidden="false" customHeight="false" outlineLevel="0" collapsed="false">
      <c r="A10" s="9" t="s">
        <v>5905</v>
      </c>
      <c r="B10" s="6" t="s">
        <v>5906</v>
      </c>
      <c r="C10" s="11" t="s">
        <v>747</v>
      </c>
      <c r="D10" s="21" t="n">
        <f aca="false">$D$8/$D$9-$D$7</f>
        <v>0</v>
      </c>
      <c r="G10" s="2" t="s">
        <v>5684</v>
      </c>
      <c r="H10" s="2"/>
    </row>
    <row r="11" customFormat="false" ht="15" hidden="false" customHeight="false" outlineLevel="0" collapsed="false">
      <c r="A11" s="15" t="s">
        <v>5907</v>
      </c>
      <c r="B11" s="28"/>
    </row>
    <row r="12" customFormat="false" ht="15" hidden="false" customHeight="false" outlineLevel="0" collapsed="false">
      <c r="A12" s="9" t="s">
        <v>5908</v>
      </c>
      <c r="B12" s="6" t="s">
        <v>5909</v>
      </c>
      <c r="C12" s="9" t="s">
        <v>2742</v>
      </c>
      <c r="D12" s="25" t="n">
        <f aca="false">Compute!$D$67</f>
        <v>9.36</v>
      </c>
      <c r="G12" s="12" t="s">
        <v>5910</v>
      </c>
      <c r="H12" s="12" t="s">
        <v>5911</v>
      </c>
    </row>
    <row r="13" customFormat="false" ht="15" hidden="false" customHeight="false" outlineLevel="0" collapsed="false">
      <c r="A13" s="9" t="s">
        <v>5912</v>
      </c>
      <c r="B13" s="4" t="s">
        <v>5913</v>
      </c>
      <c r="C13" s="9" t="s">
        <v>2742</v>
      </c>
      <c r="D13" s="18" t="n">
        <f aca="false">INDEX(COST_SupplierHold,1,1)/INDEX(CMP_SupplyContractGW,1,1)</f>
        <v>7.56840808316946</v>
      </c>
      <c r="E13" s="25" t="n">
        <f aca="false">Cost!$D$71/INDEX(CMP_SupplyContractGW,1,1)</f>
        <v>5.29703822954626</v>
      </c>
      <c r="F13" s="25" t="n">
        <f aca="false">Cost!$D$72/INDEX(CMP_SupplyContractGW,1,1)</f>
        <v>12.997740392288</v>
      </c>
      <c r="G13" s="12" t="s">
        <v>5914</v>
      </c>
      <c r="H13" s="12" t="s">
        <v>5915</v>
      </c>
    </row>
    <row r="14" customFormat="false" ht="15" hidden="false" customHeight="false" outlineLevel="0" collapsed="false">
      <c r="A14" s="9" t="s">
        <v>5916</v>
      </c>
      <c r="B14" s="4" t="s">
        <v>5917</v>
      </c>
      <c r="C14" s="11" t="s">
        <v>747</v>
      </c>
      <c r="D14" s="21" t="n">
        <f aca="false">$D$12/$D$13</f>
        <v>1.2367197826997</v>
      </c>
      <c r="E14" s="21" t="n">
        <f aca="false">$D$12/$F$13</f>
        <v>0.720125169260465</v>
      </c>
      <c r="F14" s="21" t="n">
        <f aca="false">$D$12/$E$13</f>
        <v>1.76702519302032</v>
      </c>
      <c r="G14" s="12" t="s">
        <v>5918</v>
      </c>
      <c r="H14" s="2" t="s">
        <v>5919</v>
      </c>
    </row>
    <row r="15" customFormat="false" ht="15" hidden="false" customHeight="false" outlineLevel="0" collapsed="false">
      <c r="A15" s="15" t="s">
        <v>5920</v>
      </c>
      <c r="B15" s="28"/>
    </row>
    <row r="16" customFormat="false" ht="15" hidden="false" customHeight="false" outlineLevel="0" collapsed="false">
      <c r="A16" s="9" t="s">
        <v>5921</v>
      </c>
      <c r="B16" s="4" t="s">
        <v>5922</v>
      </c>
      <c r="C16" s="11" t="s">
        <v>269</v>
      </c>
      <c r="D16" s="16" t="n">
        <f aca="false">TK_IF_Util</f>
        <v>0.6</v>
      </c>
      <c r="G16" s="12" t="s">
        <v>5923</v>
      </c>
      <c r="H16" s="12" t="s">
        <v>5924</v>
      </c>
    </row>
    <row r="17" customFormat="false" ht="15" hidden="false" customHeight="false" outlineLevel="0" collapsed="false">
      <c r="A17" s="9" t="s">
        <v>5925</v>
      </c>
      <c r="B17" s="4" t="s">
        <v>5926</v>
      </c>
      <c r="C17" s="11" t="s">
        <v>269</v>
      </c>
      <c r="D17" s="16" t="n">
        <f aca="false">TK_IF_UtilActual</f>
        <v>0.41</v>
      </c>
      <c r="E17" s="16" t="n">
        <f aca="false">TK_IF_UtilActual_Lo</f>
        <v>0.3</v>
      </c>
      <c r="F17" s="16" t="n">
        <f aca="false">TK_IF_UtilActual_Hi</f>
        <v>0.65</v>
      </c>
      <c r="G17" s="12" t="s">
        <v>5927</v>
      </c>
      <c r="H17" s="2" t="s">
        <v>5928</v>
      </c>
    </row>
    <row r="18" customFormat="false" ht="15" hidden="false" customHeight="false" outlineLevel="0" collapsed="false">
      <c r="A18" s="9" t="s">
        <v>5929</v>
      </c>
      <c r="B18" s="4" t="s">
        <v>5930</v>
      </c>
      <c r="C18" s="11" t="s">
        <v>747</v>
      </c>
      <c r="D18" s="21" t="n">
        <f aca="false">$D$17/$D$16</f>
        <v>0.683333333333333</v>
      </c>
      <c r="E18" s="21" t="n">
        <f aca="false">$E$17/$D$16</f>
        <v>0.5</v>
      </c>
      <c r="F18" s="21" t="n">
        <f aca="false">$F$17/$D$16</f>
        <v>1.08333333333333</v>
      </c>
      <c r="G18" s="12" t="s">
        <v>5931</v>
      </c>
      <c r="H18" s="12" t="s">
        <v>5932</v>
      </c>
    </row>
    <row r="19" customFormat="false" ht="15" hidden="false" customHeight="false" outlineLevel="0" collapsed="false">
      <c r="A19" s="15" t="s">
        <v>5933</v>
      </c>
      <c r="B19" s="28"/>
    </row>
    <row r="20" customFormat="false" ht="15" hidden="false" customHeight="false" outlineLevel="0" collapsed="false">
      <c r="A20" s="9" t="s">
        <v>5934</v>
      </c>
      <c r="B20" s="4" t="s">
        <v>5935</v>
      </c>
      <c r="C20" s="11" t="s">
        <v>269</v>
      </c>
      <c r="D20" s="16" t="n">
        <f aca="false">INDEX(TK_B4_MixPaid,1,1)</f>
        <v>0.4</v>
      </c>
      <c r="G20" s="12" t="s">
        <v>5936</v>
      </c>
      <c r="H20" s="12" t="s">
        <v>5937</v>
      </c>
    </row>
    <row r="21" customFormat="false" ht="15" hidden="false" customHeight="false" outlineLevel="0" collapsed="false">
      <c r="A21" s="9" t="s">
        <v>5938</v>
      </c>
      <c r="B21" s="4" t="s">
        <v>5939</v>
      </c>
      <c r="C21" s="11" t="s">
        <v>269</v>
      </c>
      <c r="D21" s="16" t="n">
        <f aca="false">INDEX(TK_B4_MixPaid,1,2)</f>
        <v>0.45</v>
      </c>
      <c r="G21" s="12" t="s">
        <v>5936</v>
      </c>
      <c r="H21" s="12" t="s">
        <v>5937</v>
      </c>
    </row>
    <row r="22" customFormat="false" ht="15" hidden="false" customHeight="false" outlineLevel="0" collapsed="false">
      <c r="A22" s="9" t="s">
        <v>5940</v>
      </c>
      <c r="B22" s="4" t="s">
        <v>5941</v>
      </c>
      <c r="C22" s="11" t="s">
        <v>269</v>
      </c>
      <c r="D22" s="16" t="n">
        <f aca="false">INDEX(TK_B4_MixPaid,1,3)</f>
        <v>0.15</v>
      </c>
      <c r="G22" s="12" t="s">
        <v>5936</v>
      </c>
      <c r="H22" s="12" t="s">
        <v>5937</v>
      </c>
    </row>
    <row r="23" customFormat="false" ht="15" hidden="false" customHeight="false" outlineLevel="0" collapsed="false">
      <c r="A23" s="9" t="s">
        <v>5942</v>
      </c>
      <c r="B23" s="6" t="s">
        <v>5943</v>
      </c>
      <c r="C23" s="11" t="s">
        <v>747</v>
      </c>
      <c r="D23" s="24" t="n">
        <f aca="false">(Compute!$D$113/Compute!$D$13+Compute!$D$114/Compute!$D$14+Compute!$D$115/Compute!$D$15)/($D$22/Compute!$D$13+$D$21/Compute!$D$14+$D$20/Compute!$D$15)</f>
        <v>1.41404492798997</v>
      </c>
      <c r="G23" s="12" t="s">
        <v>102</v>
      </c>
      <c r="H23" s="2" t="s">
        <v>5944</v>
      </c>
    </row>
    <row r="24" customFormat="false" ht="15" hidden="false" customHeight="false" outlineLevel="0" collapsed="false">
      <c r="A24" s="9" t="s">
        <v>5945</v>
      </c>
      <c r="B24" s="6" t="s">
        <v>5946</v>
      </c>
      <c r="C24" s="11" t="s">
        <v>747</v>
      </c>
      <c r="D24" s="24" t="n">
        <f aca="false">(Compute!$D$113/Compute!$D$16+Compute!$D$114/Compute!$D$17+Compute!$D$115/Compute!$D$18)/($D$22/Compute!$D$16+$D$21/Compute!$D$17+$D$20/Compute!$D$18)</f>
        <v>1.41441799739932</v>
      </c>
      <c r="G24" s="12" t="s">
        <v>102</v>
      </c>
      <c r="H24" s="2" t="s">
        <v>5944</v>
      </c>
    </row>
    <row r="25" customFormat="false" ht="15" hidden="false" customHeight="false" outlineLevel="0" collapsed="false">
      <c r="A25" s="9" t="s">
        <v>5947</v>
      </c>
      <c r="B25" s="6" t="s">
        <v>5948</v>
      </c>
      <c r="C25" s="11" t="s">
        <v>747</v>
      </c>
      <c r="D25" s="24" t="n">
        <f aca="false">(Compute!$D$113/Compute!$D$19+Compute!$D$114/Compute!$D$20+Compute!$D$115/Compute!$D$21)/($D$22/Compute!$D$19+$D$21/Compute!$D$20+$D$20/Compute!$D$21)</f>
        <v>1.42397274653618</v>
      </c>
      <c r="G25" s="12" t="s">
        <v>102</v>
      </c>
      <c r="H25" s="2" t="s">
        <v>5944</v>
      </c>
    </row>
    <row r="26" customFormat="false" ht="15" hidden="false" customHeight="false" outlineLevel="0" collapsed="false">
      <c r="A26" s="9" t="s">
        <v>5949</v>
      </c>
      <c r="B26" s="6" t="s">
        <v>5950</v>
      </c>
      <c r="C26" s="11" t="s">
        <v>747</v>
      </c>
      <c r="D26" s="24" t="n">
        <f aca="false">(Compute!$D$113/Compute!$D$22+Compute!$D$114/Compute!$D$23+Compute!$D$115/Compute!$D$24)/($D$22/Compute!$D$22+$D$21/Compute!$D$23+$D$20/Compute!$D$24)</f>
        <v>1.40544634552515</v>
      </c>
      <c r="G26" s="12" t="s">
        <v>102</v>
      </c>
      <c r="H26" s="2" t="s">
        <v>5944</v>
      </c>
    </row>
    <row r="27" customFormat="false" ht="15" hidden="false" customHeight="false" outlineLevel="0" collapsed="false">
      <c r="A27" s="9" t="s">
        <v>5951</v>
      </c>
      <c r="B27" s="6" t="s">
        <v>5952</v>
      </c>
      <c r="C27" s="9" t="s">
        <v>2857</v>
      </c>
      <c r="D27" s="26" t="n">
        <f aca="false">Compute!$D$129</f>
        <v>7727676208.82428</v>
      </c>
      <c r="G27" s="12" t="s">
        <v>5953</v>
      </c>
      <c r="H27" s="12" t="s">
        <v>5747</v>
      </c>
    </row>
    <row r="28" customFormat="false" ht="29.85" hidden="false" customHeight="false" outlineLevel="0" collapsed="false">
      <c r="A28" s="9" t="s">
        <v>5954</v>
      </c>
      <c r="B28" s="4" t="s">
        <v>5955</v>
      </c>
      <c r="C28" s="9" t="s">
        <v>2857</v>
      </c>
      <c r="D28" s="26" t="n">
        <f aca="false">Compute!$D$102*Compute!$D$120*$D$23+Compute!$D$103*Compute!$D$121*$D$24+Compute!$D$104*Compute!$D$122*$D$25+Compute!$D$105*Compute!$D$123*$D$26+Compute!$D$106*Compute!$D$124*$D$23+Compute!$D$107*Compute!$D$125*$D$26+Compute!$D$108*Compute!$D$126*$D$23+Compute!$D$109*Compute!$D$127*$D$26+Compute!$D$110*Compute!$D$128*$D$26</f>
        <v>10927281348.2367</v>
      </c>
      <c r="G28" s="12" t="s">
        <v>5956</v>
      </c>
      <c r="H28" s="12" t="s">
        <v>5957</v>
      </c>
    </row>
    <row r="29" customFormat="false" ht="15" hidden="false" customHeight="false" outlineLevel="0" collapsed="false">
      <c r="A29" s="9" t="s">
        <v>5958</v>
      </c>
      <c r="B29" s="4" t="s">
        <v>5959</v>
      </c>
      <c r="C29" s="11" t="s">
        <v>747</v>
      </c>
      <c r="D29" s="21" t="n">
        <f aca="false">$D$28/$D$27</f>
        <v>1.41404492798997</v>
      </c>
      <c r="G29" s="12" t="s">
        <v>102</v>
      </c>
      <c r="H29" s="2" t="s">
        <v>5960</v>
      </c>
    </row>
    <row r="30" customFormat="false" ht="29.85" hidden="false" customHeight="false" outlineLevel="0" collapsed="false">
      <c r="A30" s="9" t="s">
        <v>5961</v>
      </c>
      <c r="B30" s="6" t="s">
        <v>5962</v>
      </c>
      <c r="C30" s="11" t="s">
        <v>747</v>
      </c>
      <c r="D30" s="24" t="n">
        <f aca="false">TK_L1_TokGW_PaidCap_VR200*TK_IF_Util/Compute!$D$123</f>
        <v>1.40544634552515</v>
      </c>
      <c r="G30" s="12" t="s">
        <v>102</v>
      </c>
      <c r="H30" s="12" t="s">
        <v>5963</v>
      </c>
    </row>
    <row r="31" customFormat="false" ht="15" hidden="false" customHeight="false" outlineLevel="0" collapsed="false">
      <c r="A31" s="9" t="s">
        <v>5964</v>
      </c>
      <c r="B31" s="6" t="s">
        <v>5965</v>
      </c>
      <c r="C31" s="11" t="s">
        <v>747</v>
      </c>
      <c r="D31" s="21" t="str">
        <f aca="false">"無法分離"</f>
        <v>無法分離</v>
      </c>
      <c r="G31" s="2" t="s">
        <v>5966</v>
      </c>
      <c r="H31" s="2" t="s">
        <v>5967</v>
      </c>
    </row>
    <row r="32" customFormat="false" ht="15" hidden="false" customHeight="false" outlineLevel="0" collapsed="false">
      <c r="A32" s="15" t="s">
        <v>5968</v>
      </c>
      <c r="B32" s="28"/>
    </row>
    <row r="33" customFormat="false" ht="15" hidden="false" customHeight="false" outlineLevel="0" collapsed="false">
      <c r="A33" s="9" t="s">
        <v>5969</v>
      </c>
      <c r="B33" s="6" t="s">
        <v>5970</v>
      </c>
      <c r="C33" s="11" t="s">
        <v>747</v>
      </c>
      <c r="D33" s="21" t="n">
        <f aca="false">$D$14*$D$18*$D$29</f>
        <v>1.19499784631543</v>
      </c>
      <c r="E33" s="21" t="n">
        <f aca="false">$E$14*$E$18*$D$29</f>
        <v>0.509144671555338</v>
      </c>
      <c r="F33" s="21" t="n">
        <f aca="false">$F$14*$F$18*$D$29</f>
        <v>2.70687409613928</v>
      </c>
      <c r="G33" s="12" t="s">
        <v>102</v>
      </c>
      <c r="H33" s="2"/>
    </row>
    <row r="34" customFormat="false" ht="15" hidden="false" customHeight="false" outlineLevel="0" collapsed="false">
      <c r="A34" s="9" t="s">
        <v>5971</v>
      </c>
      <c r="B34" s="6" t="s">
        <v>5972</v>
      </c>
      <c r="C34" s="11" t="s">
        <v>747</v>
      </c>
      <c r="D34" s="21" t="n">
        <f aca="false">$D$7/$D$33</f>
        <v>0.439689271648864</v>
      </c>
      <c r="E34" s="21" t="n">
        <f aca="false">$D$7/$F$33</f>
        <v>0.194108670742312</v>
      </c>
      <c r="F34" s="21" t="n">
        <f aca="false">$D$7/$E$33</f>
        <v>1.03198120695895</v>
      </c>
      <c r="G34" s="12" t="s">
        <v>5785</v>
      </c>
      <c r="H34" s="2" t="s">
        <v>5973</v>
      </c>
    </row>
    <row r="35" customFormat="false" ht="15" hidden="false" customHeight="false" outlineLevel="0" collapsed="false">
      <c r="A35" s="9" t="s">
        <v>5974</v>
      </c>
      <c r="B35" s="6" t="s">
        <v>5975</v>
      </c>
      <c r="C35" s="11" t="s">
        <v>747</v>
      </c>
      <c r="D35" s="21" t="n">
        <f aca="false">1/$D$34</f>
        <v>2.27433340879557</v>
      </c>
      <c r="E35" s="21" t="n">
        <f aca="false">1/$F$34</f>
        <v>0.969009894033644</v>
      </c>
      <c r="F35" s="21" t="n">
        <f aca="false">1/$E$34</f>
        <v>5.1517533769913</v>
      </c>
      <c r="G35" s="12" t="s">
        <v>102</v>
      </c>
      <c r="H35" s="2"/>
    </row>
    <row r="36" customFormat="false" ht="15" hidden="false" customHeight="false" outlineLevel="0" collapsed="false">
      <c r="A36" s="15" t="s">
        <v>5976</v>
      </c>
      <c r="B36" s="28"/>
    </row>
    <row r="37" customFormat="false" ht="15" hidden="false" customHeight="false" outlineLevel="0" collapsed="false">
      <c r="A37" s="9" t="s">
        <v>5977</v>
      </c>
      <c r="B37" s="4" t="s">
        <v>5978</v>
      </c>
      <c r="C37" s="11" t="s">
        <v>747</v>
      </c>
      <c r="D37" s="21" t="n">
        <f aca="false">TK_L1_GapPrompt</f>
        <v>1.29879572787952</v>
      </c>
      <c r="E37" s="21" t="n">
        <f aca="false">TK_L1_GapPrompt_Lo</f>
        <v>1</v>
      </c>
      <c r="F37" s="21" t="n">
        <f aca="false">TK_L1_GapPrompt_Hi</f>
        <v>2.34458077545782</v>
      </c>
      <c r="G37" s="12" t="s">
        <v>5979</v>
      </c>
      <c r="H37" s="12" t="s">
        <v>2862</v>
      </c>
    </row>
    <row r="38" customFormat="false" ht="15" hidden="false" customHeight="false" outlineLevel="0" collapsed="false">
      <c r="A38" s="9" t="s">
        <v>5980</v>
      </c>
      <c r="B38" s="4" t="s">
        <v>5981</v>
      </c>
      <c r="C38" s="11" t="s">
        <v>747</v>
      </c>
      <c r="D38" s="21" t="n">
        <f aca="false">TK_L1_GapSpendBasis</f>
        <v>1.8</v>
      </c>
      <c r="E38" s="21" t="n">
        <f aca="false">TK_L1_GapSpendBasis_Lo</f>
        <v>0.85</v>
      </c>
      <c r="F38" s="21" t="n">
        <f aca="false">TK_L1_GapSpendBasis_Hi</f>
        <v>2.3</v>
      </c>
      <c r="G38" s="12" t="s">
        <v>5979</v>
      </c>
      <c r="H38" s="12" t="s">
        <v>2871</v>
      </c>
    </row>
    <row r="39" customFormat="false" ht="15" hidden="false" customHeight="false" outlineLevel="0" collapsed="false">
      <c r="A39" s="9" t="s">
        <v>5982</v>
      </c>
      <c r="B39" s="4" t="s">
        <v>5983</v>
      </c>
      <c r="C39" s="11" t="s">
        <v>747</v>
      </c>
      <c r="D39" s="21" t="n">
        <f aca="false">TK_L1_GapISL</f>
        <v>1</v>
      </c>
      <c r="E39" s="21" t="n">
        <f aca="false">TK_L1_GapISL_Lo</f>
        <v>0.833333333333333</v>
      </c>
      <c r="F39" s="21" t="n">
        <f aca="false">TK_L1_GapISL_Hi</f>
        <v>1.53846153846154</v>
      </c>
      <c r="G39" s="12" t="s">
        <v>5979</v>
      </c>
      <c r="H39" s="12" t="s">
        <v>2880</v>
      </c>
    </row>
    <row r="40" customFormat="false" ht="15" hidden="false" customHeight="false" outlineLevel="0" collapsed="false">
      <c r="A40" s="9" t="s">
        <v>5984</v>
      </c>
      <c r="B40" s="4" t="s">
        <v>5985</v>
      </c>
      <c r="C40" s="11" t="s">
        <v>747</v>
      </c>
      <c r="D40" s="21" t="n">
        <f aca="false">TK_L1_GapUtil</f>
        <v>1.72166427546628</v>
      </c>
      <c r="E40" s="21" t="n">
        <f aca="false">TK_L1_GapUtil_Lo</f>
        <v>1.08597285067873</v>
      </c>
      <c r="F40" s="21" t="n">
        <f aca="false">TK_L1_GapUtil_Hi</f>
        <v>2.35294117647059</v>
      </c>
      <c r="G40" s="12" t="s">
        <v>5979</v>
      </c>
      <c r="H40" s="12" t="s">
        <v>2889</v>
      </c>
    </row>
    <row r="41" customFormat="false" ht="15" hidden="false" customHeight="false" outlineLevel="0" collapsed="false">
      <c r="A41" s="9" t="s">
        <v>5986</v>
      </c>
      <c r="B41" s="4" t="s">
        <v>5987</v>
      </c>
      <c r="C41" s="11" t="s">
        <v>747</v>
      </c>
      <c r="D41" s="21" t="n">
        <f aca="false">TK_L1_GapProduct</f>
        <v>4.02496237047311</v>
      </c>
      <c r="E41" s="21" t="n">
        <f aca="false">TK_L1_GapProduct_Lo</f>
        <v>0.769230769230769</v>
      </c>
      <c r="F41" s="21" t="n">
        <f aca="false">TK_L1_GapProduct_Hi</f>
        <v>19.5204915241737</v>
      </c>
      <c r="G41" s="12" t="s">
        <v>5979</v>
      </c>
      <c r="H41" s="12" t="s">
        <v>2898</v>
      </c>
    </row>
    <row r="42" customFormat="false" ht="15" hidden="false" customHeight="false" outlineLevel="0" collapsed="false">
      <c r="A42" s="9" t="s">
        <v>5988</v>
      </c>
      <c r="B42" s="4" t="s">
        <v>5989</v>
      </c>
      <c r="C42" s="11" t="s">
        <v>747</v>
      </c>
      <c r="D42" s="21" t="n">
        <f aca="false">TK_L1_GapUnexplained</f>
        <v>2.65196815080688</v>
      </c>
      <c r="E42" s="21" t="n">
        <f aca="false">TK_L1_GapUnexplained_Lo</f>
        <v>0.546813690704065</v>
      </c>
      <c r="F42" s="21" t="n">
        <f aca="false">TK_L1_GapUnexplained_Hi</f>
        <v>13.8762936190981</v>
      </c>
      <c r="G42" s="12" t="s">
        <v>5979</v>
      </c>
      <c r="H42" s="12" t="s">
        <v>2907</v>
      </c>
    </row>
    <row r="43" customFormat="false" ht="15" hidden="false" customHeight="false" outlineLevel="0" collapsed="false">
      <c r="A43" s="9" t="s">
        <v>5990</v>
      </c>
      <c r="B43" s="6" t="s">
        <v>5991</v>
      </c>
      <c r="C43" s="11" t="s">
        <v>747</v>
      </c>
      <c r="D43" s="21" t="n">
        <f aca="false">1/$D$14</f>
        <v>0.808590607176224</v>
      </c>
      <c r="E43" s="21" t="n">
        <f aca="false">1/$F$14</f>
        <v>0.565922887772037</v>
      </c>
      <c r="F43" s="21" t="n">
        <f aca="false">1/$E$14</f>
        <v>1.38864747780855</v>
      </c>
      <c r="G43" s="12" t="s">
        <v>102</v>
      </c>
      <c r="H43" s="2"/>
    </row>
    <row r="44" customFormat="false" ht="15" hidden="false" customHeight="false" outlineLevel="0" collapsed="false">
      <c r="A44" s="9" t="s">
        <v>5992</v>
      </c>
      <c r="B44" s="6" t="s">
        <v>5993</v>
      </c>
      <c r="C44" s="11" t="s">
        <v>747</v>
      </c>
      <c r="D44" s="21" t="n">
        <f aca="false">1/$D$18</f>
        <v>1.46341463414634</v>
      </c>
      <c r="E44" s="21" t="n">
        <f aca="false">1/$F$18</f>
        <v>0.923076923076923</v>
      </c>
      <c r="F44" s="21" t="n">
        <f aca="false">1/$E$18</f>
        <v>2</v>
      </c>
      <c r="G44" s="12" t="s">
        <v>102</v>
      </c>
      <c r="H44" s="2"/>
    </row>
    <row r="45" customFormat="false" ht="15" hidden="false" customHeight="false" outlineLevel="0" collapsed="false">
      <c r="A45" s="9" t="s">
        <v>5994</v>
      </c>
      <c r="B45" s="6" t="s">
        <v>5995</v>
      </c>
      <c r="C45" s="11" t="s">
        <v>747</v>
      </c>
      <c r="D45" s="21" t="n">
        <f aca="false">1/$D$29</f>
        <v>0.707191108433505</v>
      </c>
      <c r="G45" s="12" t="s">
        <v>102</v>
      </c>
      <c r="H45" s="2"/>
    </row>
    <row r="46" customFormat="false" ht="15" hidden="false" customHeight="false" outlineLevel="0" collapsed="false">
      <c r="A46" s="9" t="s">
        <v>5996</v>
      </c>
      <c r="B46" s="6" t="s">
        <v>5997</v>
      </c>
      <c r="C46" s="11" t="s">
        <v>747</v>
      </c>
      <c r="D46" s="21" t="n">
        <f aca="false">$D$35</f>
        <v>2.27433340879557</v>
      </c>
      <c r="E46" s="21" t="n">
        <f aca="false">$E$35</f>
        <v>0.969009894033644</v>
      </c>
      <c r="F46" s="21" t="n">
        <f aca="false">$F$35</f>
        <v>5.1517533769913</v>
      </c>
      <c r="G46" s="12" t="s">
        <v>102</v>
      </c>
      <c r="H46" s="2"/>
    </row>
    <row r="47" customFormat="false" ht="15" hidden="false" customHeight="false" outlineLevel="0" collapsed="false">
      <c r="A47" s="9" t="s">
        <v>5998</v>
      </c>
      <c r="B47" s="6" t="s">
        <v>5999</v>
      </c>
      <c r="C47" s="11" t="s">
        <v>747</v>
      </c>
      <c r="D47" s="21" t="n">
        <f aca="false">1/$D$33</f>
        <v>0.836821591840792</v>
      </c>
      <c r="E47" s="21" t="n">
        <f aca="false">1/$F$33</f>
        <v>0.369429816268982</v>
      </c>
      <c r="F47" s="21" t="n">
        <f aca="false">1/$E$33</f>
        <v>1.96407829810964</v>
      </c>
      <c r="G47" s="12" t="s">
        <v>102</v>
      </c>
      <c r="H47" s="2"/>
    </row>
    <row r="48" customFormat="false" ht="15" hidden="false" customHeight="false" outlineLevel="0" collapsed="false">
      <c r="A48" s="9" t="s">
        <v>6000</v>
      </c>
      <c r="B48" s="6" t="s">
        <v>6001</v>
      </c>
      <c r="C48" s="11" t="s">
        <v>747</v>
      </c>
      <c r="D48" s="21" t="n">
        <f aca="false">1/$D$7</f>
        <v>1.903211303525</v>
      </c>
      <c r="G48" s="12" t="s">
        <v>102</v>
      </c>
      <c r="H48" s="2" t="s">
        <v>6002</v>
      </c>
    </row>
    <row r="49" customFormat="false" ht="15" hidden="false" customHeight="false" outlineLevel="0" collapsed="false">
      <c r="A49" s="15" t="s">
        <v>6003</v>
      </c>
      <c r="B49" s="28"/>
    </row>
    <row r="50" customFormat="false" ht="15" hidden="false" customHeight="false" outlineLevel="0" collapsed="false">
      <c r="A50" s="9" t="s">
        <v>6004</v>
      </c>
      <c r="B50" s="4" t="s">
        <v>6005</v>
      </c>
      <c r="C50" s="11" t="s">
        <v>269</v>
      </c>
      <c r="D50" s="16" t="n">
        <f aca="false">TK_IF_ProdDerate</f>
        <v>0.85</v>
      </c>
      <c r="G50" s="12" t="s">
        <v>5979</v>
      </c>
      <c r="H50" s="12" t="s">
        <v>6006</v>
      </c>
    </row>
    <row r="51" customFormat="false" ht="15" hidden="false" customHeight="false" outlineLevel="0" collapsed="false">
      <c r="A51" s="9" t="s">
        <v>6007</v>
      </c>
      <c r="B51" s="4" t="s">
        <v>6008</v>
      </c>
      <c r="C51" s="11" t="s">
        <v>747</v>
      </c>
      <c r="D51" s="21" t="n">
        <f aca="false">$D$18*$D$50</f>
        <v>0.580833333333333</v>
      </c>
      <c r="E51" s="21" t="n">
        <f aca="false">$E$18*$D$50</f>
        <v>0.425</v>
      </c>
      <c r="F51" s="21" t="n">
        <f aca="false">$F$18*$D$50</f>
        <v>0.920833333333333</v>
      </c>
      <c r="G51" s="12" t="s">
        <v>5931</v>
      </c>
      <c r="H51" s="12" t="s">
        <v>6009</v>
      </c>
    </row>
    <row r="52" customFormat="false" ht="15" hidden="false" customHeight="false" outlineLevel="0" collapsed="false">
      <c r="A52" s="9" t="s">
        <v>6010</v>
      </c>
      <c r="B52" s="6" t="s">
        <v>6011</v>
      </c>
      <c r="C52" s="11" t="s">
        <v>747</v>
      </c>
      <c r="D52" s="21" t="n">
        <f aca="false">$D$14*$D$51*$D$29</f>
        <v>1.01574816936812</v>
      </c>
      <c r="E52" s="21" t="n">
        <f aca="false">$E$14*$E$51*$D$29</f>
        <v>0.432772970822038</v>
      </c>
      <c r="F52" s="21" t="n">
        <f aca="false">$F$14*$F$51*$D$29</f>
        <v>2.30084298171839</v>
      </c>
      <c r="G52" s="12" t="s">
        <v>102</v>
      </c>
      <c r="H52" s="2"/>
    </row>
    <row r="53" customFormat="false" ht="15" hidden="false" customHeight="false" outlineLevel="0" collapsed="false">
      <c r="A53" s="9" t="s">
        <v>6012</v>
      </c>
      <c r="B53" s="6" t="s">
        <v>6013</v>
      </c>
      <c r="C53" s="11" t="s">
        <v>747</v>
      </c>
      <c r="D53" s="21" t="n">
        <f aca="false">$D$7/$D$52</f>
        <v>0.517281496057487</v>
      </c>
      <c r="E53" s="21" t="n">
        <f aca="false">$D$7/$F$52</f>
        <v>0.228363142049779</v>
      </c>
      <c r="F53" s="21" t="n">
        <f aca="false">$D$7/$E$52</f>
        <v>1.21409553759876</v>
      </c>
      <c r="G53" s="12" t="s">
        <v>5785</v>
      </c>
      <c r="H53" s="2" t="s">
        <v>6014</v>
      </c>
    </row>
    <row r="54" customFormat="false" ht="15" hidden="false" customHeight="false" outlineLevel="0" collapsed="false">
      <c r="A54" s="9" t="s">
        <v>6015</v>
      </c>
      <c r="B54" s="6" t="s">
        <v>6016</v>
      </c>
      <c r="C54" s="11" t="s">
        <v>747</v>
      </c>
      <c r="D54" s="21" t="n">
        <f aca="false">$D$53/$D$34</f>
        <v>1.17647058823529</v>
      </c>
      <c r="G54" s="12" t="s">
        <v>102</v>
      </c>
      <c r="H54" s="2" t="s">
        <v>6017</v>
      </c>
    </row>
    <row r="55" customFormat="false" ht="15" hidden="false" customHeight="false" outlineLevel="0" collapsed="false">
      <c r="A55" s="9" t="s">
        <v>6018</v>
      </c>
      <c r="B55" s="6" t="s">
        <v>6019</v>
      </c>
      <c r="C55" s="11" t="s">
        <v>747</v>
      </c>
      <c r="D55" s="21" t="n">
        <f aca="false">1/$D$53</f>
        <v>1.93318339747623</v>
      </c>
      <c r="E55" s="21" t="n">
        <f aca="false">1/$F$53</f>
        <v>0.823658409928597</v>
      </c>
      <c r="F55" s="21" t="n">
        <f aca="false">1/$E$53</f>
        <v>4.3789903704426</v>
      </c>
      <c r="G55" s="12" t="s">
        <v>102</v>
      </c>
      <c r="H55" s="2"/>
    </row>
    <row r="56" customFormat="false" ht="15" hidden="false" customHeight="false" outlineLevel="0" collapsed="false">
      <c r="A56" s="9" t="s">
        <v>6020</v>
      </c>
      <c r="B56" s="6" t="s">
        <v>6021</v>
      </c>
      <c r="C56" s="11" t="s">
        <v>747</v>
      </c>
      <c r="D56" s="21" t="n">
        <f aca="false">TK_L1_GapUnexplained</f>
        <v>2.65196815080688</v>
      </c>
      <c r="E56" s="21" t="n">
        <f aca="false">TK_L1_GapUnexplained_Lo</f>
        <v>0.546813690704065</v>
      </c>
      <c r="F56" s="21" t="n">
        <f aca="false">TK_L1_GapUnexplained_Hi</f>
        <v>13.8762936190981</v>
      </c>
      <c r="G56" s="12" t="s">
        <v>5979</v>
      </c>
      <c r="H56" s="12" t="s">
        <v>6022</v>
      </c>
    </row>
    <row r="57" customFormat="false" ht="15" hidden="false" customHeight="false" outlineLevel="0" collapsed="false">
      <c r="A57" s="9" t="s">
        <v>6023</v>
      </c>
      <c r="B57" s="6" t="s">
        <v>6024</v>
      </c>
      <c r="C57" s="11" t="s">
        <v>747</v>
      </c>
      <c r="D57" s="21" t="n">
        <f aca="false">$D$55/$D$56</f>
        <v>0.728961770105741</v>
      </c>
      <c r="G57" s="12" t="s">
        <v>102</v>
      </c>
      <c r="H57" s="2" t="s">
        <v>6025</v>
      </c>
    </row>
    <row r="58" customFormat="false" ht="15" hidden="false" customHeight="false" outlineLevel="0" collapsed="false">
      <c r="A58" s="9" t="s">
        <v>6026</v>
      </c>
      <c r="B58" s="6" t="s">
        <v>6027</v>
      </c>
      <c r="C58" s="11" t="s">
        <v>747</v>
      </c>
      <c r="D58" s="21" t="n">
        <f aca="false">$D$35/$D$56</f>
        <v>0.857602082477342</v>
      </c>
      <c r="G58" s="12" t="s">
        <v>102</v>
      </c>
      <c r="H58" s="12" t="s">
        <v>6028</v>
      </c>
    </row>
    <row r="59" customFormat="false" ht="29.85" hidden="false" customHeight="false" outlineLevel="0" collapsed="false">
      <c r="A59" s="9" t="s">
        <v>6029</v>
      </c>
      <c r="B59" s="6" t="s">
        <v>6030</v>
      </c>
      <c r="C59" s="11" t="s">
        <v>747</v>
      </c>
      <c r="D59" s="21" t="n">
        <f aca="false">1/$D$51-$D$40</f>
        <v>0</v>
      </c>
      <c r="G59" s="12" t="s">
        <v>102</v>
      </c>
      <c r="H59" s="2" t="s">
        <v>6031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6032</v>
      </c>
    </row>
    <row r="2" customFormat="false" ht="15" hidden="false" customHeight="false" outlineLevel="0" collapsed="false">
      <c r="A2" s="2" t="s">
        <v>6033</v>
      </c>
    </row>
    <row r="3" customFormat="false" ht="15" hidden="false" customHeight="false" outlineLevel="0" collapsed="false">
      <c r="A3" s="12" t="s">
        <v>6034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/>
      <c r="K5" s="8" t="s">
        <v>2519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6035</v>
      </c>
    </row>
    <row r="8" customFormat="false" ht="15" hidden="false" customHeight="false" outlineLevel="0" collapsed="false">
      <c r="A8" s="9" t="s">
        <v>6036</v>
      </c>
      <c r="B8" s="11" t="s">
        <v>6037</v>
      </c>
      <c r="C8" s="9" t="s">
        <v>482</v>
      </c>
      <c r="D8" s="17" t="n">
        <f aca="false">Revenue!D83</f>
        <v>4.249</v>
      </c>
      <c r="E8" s="17" t="n">
        <f aca="false">Revenue!E83</f>
        <v>45.7715943974481</v>
      </c>
      <c r="F8" s="17" t="n">
        <f aca="false">Revenue!F83</f>
        <v>76.1385566082697</v>
      </c>
      <c r="G8" s="17" t="n">
        <f aca="false">Revenue!G83</f>
        <v>114.352405776343</v>
      </c>
      <c r="H8" s="17" t="n">
        <f aca="false">Revenue!H83</f>
        <v>156.497881966067</v>
      </c>
      <c r="I8" s="17" t="n">
        <f aca="false">Revenue!I83</f>
        <v>201.579345535295</v>
      </c>
      <c r="K8" s="12" t="s">
        <v>2941</v>
      </c>
    </row>
    <row r="9" customFormat="false" ht="15" hidden="false" customHeight="false" outlineLevel="0" collapsed="false">
      <c r="A9" s="9" t="s">
        <v>6038</v>
      </c>
      <c r="B9" s="11" t="s">
        <v>6039</v>
      </c>
      <c r="C9" s="9" t="s">
        <v>482</v>
      </c>
      <c r="D9" s="17" t="n">
        <f aca="false">Cost!D53</f>
        <v>7.33</v>
      </c>
      <c r="E9" s="17" t="n">
        <f aca="false">Cost!E53</f>
        <v>42.4201685560054</v>
      </c>
      <c r="F9" s="17" t="n">
        <f aca="false">Cost!F53</f>
        <v>86.6888233360748</v>
      </c>
      <c r="G9" s="17" t="n">
        <f aca="false">Cost!G53</f>
        <v>119.481731333427</v>
      </c>
      <c r="H9" s="17" t="n">
        <f aca="false">Cost!H53</f>
        <v>97.2550197733824</v>
      </c>
      <c r="I9" s="17" t="n">
        <f aca="false">Cost!I53</f>
        <v>92.2550197733824</v>
      </c>
      <c r="K9" s="12" t="s">
        <v>2966</v>
      </c>
    </row>
    <row r="10" customFormat="false" ht="15" hidden="false" customHeight="false" outlineLevel="0" collapsed="false">
      <c r="A10" s="9" t="s">
        <v>6040</v>
      </c>
      <c r="B10" s="11" t="s">
        <v>6041</v>
      </c>
      <c r="C10" s="9" t="s">
        <v>482</v>
      </c>
      <c r="D10" s="17" t="n">
        <f aca="false">Cost!D52</f>
        <v>0</v>
      </c>
      <c r="E10" s="17" t="n">
        <f aca="false">Cost!E52</f>
        <v>16.6666666666667</v>
      </c>
      <c r="F10" s="17" t="n">
        <f aca="false">Cost!F52</f>
        <v>16.6666666666667</v>
      </c>
      <c r="G10" s="17" t="n">
        <f aca="false">Cost!G52</f>
        <v>16.6666666666667</v>
      </c>
      <c r="H10" s="17" t="n">
        <f aca="false">Cost!H52</f>
        <v>0</v>
      </c>
      <c r="I10" s="17" t="n">
        <f aca="false">Cost!I52</f>
        <v>0</v>
      </c>
      <c r="K10" s="12" t="s">
        <v>6042</v>
      </c>
    </row>
    <row r="11" customFormat="false" ht="15" hidden="false" customHeight="false" outlineLevel="0" collapsed="false">
      <c r="A11" s="9" t="s">
        <v>6043</v>
      </c>
      <c r="B11" s="11" t="s">
        <v>5840</v>
      </c>
      <c r="C11" s="9" t="s">
        <v>482</v>
      </c>
      <c r="D11" s="17" t="n">
        <f aca="false">Cost!D89</f>
        <v>3.2038</v>
      </c>
      <c r="E11" s="17" t="n">
        <f aca="false">Cost!E89</f>
        <v>5.9398452</v>
      </c>
      <c r="F11" s="17" t="n">
        <f aca="false">Cost!F89</f>
        <v>7.9534527228</v>
      </c>
      <c r="G11" s="17" t="n">
        <f aca="false">Cost!G89</f>
        <v>9.8304675653808</v>
      </c>
      <c r="H11" s="17" t="n">
        <f aca="false">Cost!H89</f>
        <v>11.6441888311936</v>
      </c>
      <c r="I11" s="17" t="n">
        <f aca="false">Cost!I89</f>
        <v>13.1928659457423</v>
      </c>
      <c r="K11" s="12" t="s">
        <v>6044</v>
      </c>
    </row>
    <row r="12" customFormat="false" ht="15" hidden="false" customHeight="false" outlineLevel="0" collapsed="false">
      <c r="A12" s="9" t="s">
        <v>6045</v>
      </c>
      <c r="B12" s="11" t="s">
        <v>6046</v>
      </c>
      <c r="C12" s="9" t="s">
        <v>482</v>
      </c>
      <c r="D12" s="17" t="n">
        <f aca="false">Cost!D88</f>
        <v>1.7652</v>
      </c>
      <c r="E12" s="17" t="n">
        <f aca="false">Cost!E88</f>
        <v>3.17736</v>
      </c>
      <c r="F12" s="17" t="n">
        <f aca="false">Cost!F88</f>
        <v>4.130568</v>
      </c>
      <c r="G12" s="17" t="n">
        <f aca="false">Cost!G88</f>
        <v>4.9566816</v>
      </c>
      <c r="H12" s="17" t="n">
        <f aca="false">Cost!H88</f>
        <v>5.70018384</v>
      </c>
      <c r="I12" s="17" t="n">
        <f aca="false">Cost!I88</f>
        <v>6.270202224</v>
      </c>
      <c r="K12" s="12" t="s">
        <v>6047</v>
      </c>
    </row>
    <row r="13" customFormat="false" ht="15" hidden="false" customHeight="false" outlineLevel="0" collapsed="false">
      <c r="A13" s="9" t="s">
        <v>6048</v>
      </c>
      <c r="B13" s="11" t="s">
        <v>6049</v>
      </c>
      <c r="C13" s="9" t="s">
        <v>482</v>
      </c>
      <c r="D13" s="17" t="n">
        <f aca="false">Cost!D108</f>
        <v>-8.05</v>
      </c>
      <c r="E13" s="17" t="n">
        <f aca="false">Cost!E108</f>
        <v>-5.76577935855733</v>
      </c>
      <c r="F13" s="17" t="n">
        <f aca="false">Cost!F108</f>
        <v>-22.6342874506051</v>
      </c>
      <c r="G13" s="17" t="n">
        <f aca="false">Cost!G108</f>
        <v>-19.9164747224653</v>
      </c>
      <c r="H13" s="17" t="n">
        <f aca="false">Cost!H108</f>
        <v>41.8984895214907</v>
      </c>
      <c r="I13" s="17" t="n">
        <f aca="false">Cost!I108</f>
        <v>89.8612575921702</v>
      </c>
      <c r="K13" s="12" t="s">
        <v>6050</v>
      </c>
    </row>
    <row r="14" customFormat="false" ht="15" hidden="false" customHeight="false" outlineLevel="0" collapsed="false">
      <c r="A14" s="9" t="s">
        <v>6051</v>
      </c>
      <c r="B14" s="11" t="s">
        <v>6052</v>
      </c>
      <c r="C14" s="9" t="s">
        <v>482</v>
      </c>
      <c r="D14" s="17" t="n">
        <f aca="false">D13+D12</f>
        <v>-6.2848</v>
      </c>
      <c r="E14" s="17" t="n">
        <f aca="false">E13+E12</f>
        <v>-2.58841935855733</v>
      </c>
      <c r="F14" s="17" t="n">
        <f aca="false">F13+F12</f>
        <v>-18.5037194506051</v>
      </c>
      <c r="G14" s="17" t="n">
        <f aca="false">G13+G12</f>
        <v>-14.9597931224653</v>
      </c>
      <c r="H14" s="17" t="n">
        <f aca="false">H13+H12</f>
        <v>47.5986733614907</v>
      </c>
      <c r="I14" s="17" t="n">
        <f aca="false">I13+I12</f>
        <v>96.1314598161702</v>
      </c>
      <c r="K14" s="2" t="s">
        <v>6053</v>
      </c>
    </row>
    <row r="15" customFormat="false" ht="15" hidden="false" customHeight="false" outlineLevel="0" collapsed="false">
      <c r="A15" s="9" t="s">
        <v>6054</v>
      </c>
      <c r="B15" s="11" t="s">
        <v>6055</v>
      </c>
      <c r="C15" s="9" t="s">
        <v>482</v>
      </c>
      <c r="D15" s="17" t="n">
        <f aca="false">D14-(D8-D9-D11)</f>
        <v>0</v>
      </c>
      <c r="E15" s="17" t="n">
        <f aca="false">E14-(E8-E9-E11)</f>
        <v>0</v>
      </c>
      <c r="F15" s="17" t="n">
        <f aca="false">F14-(F8-F9-F11)</f>
        <v>0</v>
      </c>
      <c r="G15" s="17" t="n">
        <f aca="false">G14-(G8-G9-G11)</f>
        <v>0</v>
      </c>
      <c r="H15" s="17" t="n">
        <f aca="false">H14-(H8-H9-H11)</f>
        <v>0</v>
      </c>
      <c r="I15" s="17" t="n">
        <f aca="false">I14-(I8-I9-I11)</f>
        <v>0</v>
      </c>
      <c r="K15" s="2" t="s">
        <v>5073</v>
      </c>
    </row>
    <row r="16" customFormat="false" ht="15" hidden="false" customHeight="false" outlineLevel="0" collapsed="false">
      <c r="A16" s="9" t="s">
        <v>6056</v>
      </c>
      <c r="B16" s="11" t="s">
        <v>6057</v>
      </c>
      <c r="C16" s="11" t="s">
        <v>269</v>
      </c>
      <c r="D16" s="16" t="n">
        <f aca="false">D14/Revenue!D81</f>
        <v>-1.36626086956522</v>
      </c>
      <c r="E16" s="16" t="n">
        <f aca="false">E14/Revenue!E81</f>
        <v>-0.0518721314340146</v>
      </c>
      <c r="F16" s="16" t="n">
        <f aca="false">F14/Revenue!F81</f>
        <v>-0.222875496451817</v>
      </c>
      <c r="G16" s="16" t="n">
        <f aca="false">G14/Revenue!G81</f>
        <v>-0.119907426020353</v>
      </c>
      <c r="H16" s="16" t="n">
        <f aca="false">H14/Revenue!H81</f>
        <v>0.27866450765299</v>
      </c>
      <c r="I16" s="16" t="n">
        <f aca="false">I14/Revenue!I81</f>
        <v>0.436707496680672</v>
      </c>
      <c r="K16" s="2" t="s">
        <v>6058</v>
      </c>
    </row>
    <row r="17" customFormat="false" ht="15" hidden="false" customHeight="false" outlineLevel="0" collapsed="false">
      <c r="A17" s="9" t="s">
        <v>6059</v>
      </c>
      <c r="B17" s="9" t="s">
        <v>6060</v>
      </c>
      <c r="C17" s="9" t="s">
        <v>482</v>
      </c>
      <c r="D17" s="17" t="n">
        <f aca="false">SRC_ANT_281</f>
        <v>34</v>
      </c>
      <c r="K17" s="12" t="s">
        <v>6061</v>
      </c>
    </row>
    <row r="18" customFormat="false" ht="15" hidden="false" customHeight="false" outlineLevel="0" collapsed="false">
      <c r="A18" s="9" t="s">
        <v>6062</v>
      </c>
      <c r="B18" s="11" t="s">
        <v>6063</v>
      </c>
      <c r="C18" s="9" t="s">
        <v>482</v>
      </c>
      <c r="D18" s="17" t="n">
        <f aca="false">SRC_ANT_352</f>
        <v>3</v>
      </c>
      <c r="K18" s="12" t="s">
        <v>6064</v>
      </c>
    </row>
    <row r="19" customFormat="false" ht="15" hidden="false" customHeight="false" outlineLevel="0" collapsed="false">
      <c r="A19" s="15" t="s">
        <v>6065</v>
      </c>
    </row>
    <row r="20" customFormat="false" ht="15" hidden="false" customHeight="false" outlineLevel="0" collapsed="false">
      <c r="A20" s="9" t="s">
        <v>6066</v>
      </c>
      <c r="B20" s="9" t="s">
        <v>6067</v>
      </c>
      <c r="C20" s="9" t="s">
        <v>482</v>
      </c>
      <c r="D20" s="17" t="n">
        <f aca="false">SRC_ANT_302*(D$6=INP_002)</f>
        <v>0</v>
      </c>
      <c r="E20" s="17" t="n">
        <f aca="false">SRC_ANT_302*(E$6=INP_002)</f>
        <v>30</v>
      </c>
      <c r="F20" s="17" t="n">
        <f aca="false">SRC_ANT_302*(F$6=INP_002)</f>
        <v>0</v>
      </c>
      <c r="G20" s="17" t="n">
        <f aca="false">SRC_ANT_302*(G$6=INP_002)</f>
        <v>0</v>
      </c>
      <c r="H20" s="17" t="n">
        <f aca="false">SRC_ANT_302*(H$6=INP_002)</f>
        <v>0</v>
      </c>
      <c r="I20" s="17" t="n">
        <f aca="false">SRC_ANT_302*(I$6=INP_002)</f>
        <v>0</v>
      </c>
      <c r="K20" s="12" t="s">
        <v>6068</v>
      </c>
    </row>
    <row r="21" customFormat="false" ht="15" hidden="false" customHeight="false" outlineLevel="0" collapsed="false">
      <c r="A21" s="9" t="s">
        <v>6069</v>
      </c>
      <c r="B21" s="9" t="s">
        <v>6070</v>
      </c>
      <c r="C21" s="9" t="s">
        <v>482</v>
      </c>
      <c r="D21" s="17" t="n">
        <f aca="false">SRC_ANT_319*INP_166*(D$6=INP_002)</f>
        <v>0</v>
      </c>
      <c r="E21" s="17" t="n">
        <f aca="false">SRC_ANT_319*INP_166*(E$6=INP_002)</f>
        <v>5</v>
      </c>
      <c r="F21" s="17" t="n">
        <f aca="false">SRC_ANT_319*INP_166*(F$6=INP_002)</f>
        <v>0</v>
      </c>
      <c r="G21" s="17" t="n">
        <f aca="false">SRC_ANT_319*INP_166*(G$6=INP_002)</f>
        <v>0</v>
      </c>
      <c r="H21" s="17" t="n">
        <f aca="false">SRC_ANT_319*INP_166*(H$6=INP_002)</f>
        <v>0</v>
      </c>
      <c r="I21" s="17" t="n">
        <f aca="false">SRC_ANT_319*INP_166*(I$6=INP_002)</f>
        <v>0</v>
      </c>
      <c r="K21" s="12" t="s">
        <v>6071</v>
      </c>
    </row>
    <row r="22" customFormat="false" ht="15" hidden="false" customHeight="false" outlineLevel="0" collapsed="false">
      <c r="A22" s="9" t="s">
        <v>6072</v>
      </c>
      <c r="B22" s="9" t="s">
        <v>6073</v>
      </c>
      <c r="C22" s="9" t="s">
        <v>482</v>
      </c>
      <c r="D22" s="17" t="n">
        <f aca="false">SRC_ANT_298*(D$6=INP_002)</f>
        <v>0</v>
      </c>
      <c r="E22" s="17" t="n">
        <f aca="false">SRC_ANT_298*(E$6=INP_002)</f>
        <v>65</v>
      </c>
      <c r="F22" s="17" t="n">
        <f aca="false">SRC_ANT_298*(F$6=INP_002)</f>
        <v>0</v>
      </c>
      <c r="G22" s="17" t="n">
        <f aca="false">SRC_ANT_298*(G$6=INP_002)</f>
        <v>0</v>
      </c>
      <c r="H22" s="17" t="n">
        <f aca="false">SRC_ANT_298*(H$6=INP_002)</f>
        <v>0</v>
      </c>
      <c r="I22" s="17" t="n">
        <f aca="false">SRC_ANT_298*(I$6=INP_002)</f>
        <v>0</v>
      </c>
      <c r="K22" s="12" t="s">
        <v>6074</v>
      </c>
    </row>
    <row r="23" customFormat="false" ht="15" hidden="false" customHeight="false" outlineLevel="0" collapsed="false">
      <c r="A23" s="9" t="s">
        <v>6075</v>
      </c>
      <c r="B23" s="11" t="s">
        <v>6076</v>
      </c>
      <c r="C23" s="9" t="s">
        <v>482</v>
      </c>
      <c r="D23" s="17" t="n">
        <f aca="false">SRC_ANT_300*(D$6=INP_002)</f>
        <v>0</v>
      </c>
      <c r="E23" s="17" t="n">
        <f aca="false">SRC_ANT_300*(E$6=INP_002)</f>
        <v>15</v>
      </c>
      <c r="F23" s="17" t="n">
        <f aca="false">SRC_ANT_300*(F$6=INP_002)</f>
        <v>0</v>
      </c>
      <c r="G23" s="17" t="n">
        <f aca="false">SRC_ANT_300*(G$6=INP_002)</f>
        <v>0</v>
      </c>
      <c r="H23" s="17" t="n">
        <f aca="false">SRC_ANT_300*(H$6=INP_002)</f>
        <v>0</v>
      </c>
      <c r="I23" s="17" t="n">
        <f aca="false">SRC_ANT_300*(I$6=INP_002)</f>
        <v>0</v>
      </c>
      <c r="K23" s="12" t="s">
        <v>6077</v>
      </c>
    </row>
    <row r="24" customFormat="false" ht="15" hidden="false" customHeight="false" outlineLevel="0" collapsed="false">
      <c r="A24" s="9" t="s">
        <v>6078</v>
      </c>
      <c r="B24" s="9" t="s">
        <v>6079</v>
      </c>
      <c r="C24" s="9" t="s">
        <v>482</v>
      </c>
      <c r="D24" s="17" t="n">
        <f aca="false">SRC_ANT_331*INP_167*(D$6=INP_002)</f>
        <v>0</v>
      </c>
      <c r="E24" s="17" t="n">
        <f aca="false">SRC_ANT_331*INP_167*(E$6=INP_002)</f>
        <v>0</v>
      </c>
      <c r="F24" s="17" t="n">
        <f aca="false">SRC_ANT_331*INP_167*(F$6=INP_002)</f>
        <v>0</v>
      </c>
      <c r="G24" s="17" t="n">
        <f aca="false">SRC_ANT_331*INP_167*(G$6=INP_002)</f>
        <v>0</v>
      </c>
      <c r="H24" s="17" t="n">
        <f aca="false">SRC_ANT_331*INP_167*(H$6=INP_002)</f>
        <v>0</v>
      </c>
      <c r="I24" s="17" t="n">
        <f aca="false">SRC_ANT_331*INP_167*(I$6=INP_002)</f>
        <v>0</v>
      </c>
      <c r="K24" s="12" t="s">
        <v>6080</v>
      </c>
    </row>
    <row r="25" customFormat="false" ht="15" hidden="false" customHeight="false" outlineLevel="0" collapsed="false">
      <c r="A25" s="9" t="s">
        <v>6081</v>
      </c>
      <c r="B25" s="9" t="s">
        <v>6082</v>
      </c>
      <c r="C25" s="9" t="s">
        <v>482</v>
      </c>
      <c r="D25" s="17" t="n">
        <f aca="false">SRC_ANT_328*INP_168*(D$6=INP_002)</f>
        <v>0</v>
      </c>
      <c r="E25" s="17" t="n">
        <f aca="false">SRC_ANT_328*INP_168*(E$6=INP_002)</f>
        <v>0</v>
      </c>
      <c r="F25" s="17" t="n">
        <f aca="false">SRC_ANT_328*INP_168*(F$6=INP_002)</f>
        <v>0</v>
      </c>
      <c r="G25" s="17" t="n">
        <f aca="false">SRC_ANT_328*INP_168*(G$6=INP_002)</f>
        <v>0</v>
      </c>
      <c r="H25" s="17" t="n">
        <f aca="false">SRC_ANT_328*INP_168*(H$6=INP_002)</f>
        <v>0</v>
      </c>
      <c r="I25" s="17" t="n">
        <f aca="false">SRC_ANT_328*INP_168*(I$6=INP_002)</f>
        <v>0</v>
      </c>
      <c r="K25" s="12" t="s">
        <v>6083</v>
      </c>
    </row>
    <row r="26" customFormat="false" ht="15" hidden="false" customHeight="false" outlineLevel="0" collapsed="false">
      <c r="A26" s="9" t="s">
        <v>6084</v>
      </c>
      <c r="B26" s="11" t="s">
        <v>6085</v>
      </c>
      <c r="C26" s="9" t="s">
        <v>482</v>
      </c>
      <c r="D26" s="17" t="n">
        <f aca="false">D20+D21+D22+D24+D25</f>
        <v>0</v>
      </c>
      <c r="E26" s="17" t="n">
        <f aca="false">E20+E21+E22+E24+E25</f>
        <v>100</v>
      </c>
      <c r="F26" s="17" t="n">
        <f aca="false">F20+F21+F22+F24+F25</f>
        <v>0</v>
      </c>
      <c r="G26" s="17" t="n">
        <f aca="false">G20+G21+G22+G24+G25</f>
        <v>0</v>
      </c>
      <c r="H26" s="17" t="n">
        <f aca="false">H20+H21+H22+H24+H25</f>
        <v>0</v>
      </c>
      <c r="I26" s="17" t="n">
        <f aca="false">I20+I21+I22+I24+I25</f>
        <v>0</v>
      </c>
      <c r="K26" s="2" t="s">
        <v>6086</v>
      </c>
    </row>
    <row r="27" customFormat="false" ht="15" hidden="false" customHeight="false" outlineLevel="0" collapsed="false">
      <c r="A27" s="9" t="s">
        <v>6087</v>
      </c>
      <c r="B27" s="11" t="s">
        <v>6088</v>
      </c>
      <c r="C27" s="9" t="s">
        <v>482</v>
      </c>
      <c r="K27" s="12" t="s">
        <v>6089</v>
      </c>
    </row>
    <row r="28" customFormat="false" ht="15" hidden="false" customHeight="false" outlineLevel="0" collapsed="false">
      <c r="A28" s="9" t="s">
        <v>6090</v>
      </c>
      <c r="B28" s="11" t="s">
        <v>6091</v>
      </c>
      <c r="C28" s="9" t="s">
        <v>482</v>
      </c>
      <c r="D28" s="17" t="n">
        <f aca="false">SRC_ANT_304_Lo</f>
        <v>125</v>
      </c>
      <c r="E28" s="17" t="n">
        <f aca="false">SRC_ANT_314+SRC_ANT_312+SRC_ANT_302+SRC_ANT_298+SRC_ANT_317+SRC_ANT_327+SRC_ANT_331+SRC_ANT_319*INP_166</f>
        <v>132.5</v>
      </c>
      <c r="K28" s="12" t="s">
        <v>6092</v>
      </c>
    </row>
    <row r="29" customFormat="false" ht="15" hidden="false" customHeight="false" outlineLevel="0" collapsed="false">
      <c r="A29" s="15" t="s">
        <v>6093</v>
      </c>
    </row>
    <row r="30" customFormat="false" ht="15" hidden="false" customHeight="false" outlineLevel="0" collapsed="false">
      <c r="A30" s="9" t="s">
        <v>6094</v>
      </c>
      <c r="B30" s="9" t="s">
        <v>6095</v>
      </c>
      <c r="C30" s="9" t="s">
        <v>482</v>
      </c>
      <c r="D30" s="17" t="n">
        <f aca="false">SRC_ANT_341*(D$6=INP_170)</f>
        <v>0</v>
      </c>
      <c r="E30" s="17" t="n">
        <f aca="false">SRC_ANT_341*(E$6=INP_170)</f>
        <v>100</v>
      </c>
      <c r="F30" s="17" t="n">
        <f aca="false">SRC_ANT_341*(F$6=INP_170)</f>
        <v>0</v>
      </c>
      <c r="G30" s="17" t="n">
        <f aca="false">SRC_ANT_341*(G$6=INP_170)</f>
        <v>0</v>
      </c>
      <c r="H30" s="17" t="n">
        <f aca="false">SRC_ANT_341*(H$6=INP_170)</f>
        <v>0</v>
      </c>
      <c r="I30" s="17" t="n">
        <f aca="false">SRC_ANT_341*(I$6=INP_170)</f>
        <v>0</v>
      </c>
      <c r="K30" s="12" t="s">
        <v>6096</v>
      </c>
    </row>
    <row r="31" customFormat="false" ht="15" hidden="false" customHeight="false" outlineLevel="0" collapsed="false">
      <c r="A31" s="9" t="s">
        <v>6097</v>
      </c>
      <c r="B31" s="9" t="s">
        <v>6098</v>
      </c>
      <c r="C31" s="9" t="s">
        <v>482</v>
      </c>
      <c r="D31" s="17" t="n">
        <f aca="false">SRC_ANT_322*(D$6=INP_171)</f>
        <v>0</v>
      </c>
      <c r="E31" s="17" t="n">
        <f aca="false">SRC_ANT_322*(E$6=INP_171)</f>
        <v>0</v>
      </c>
      <c r="F31" s="17" t="n">
        <f aca="false">SRC_ANT_322*(F$6=INP_171)</f>
        <v>15</v>
      </c>
      <c r="G31" s="17" t="n">
        <f aca="false">SRC_ANT_322*(G$6=INP_171)</f>
        <v>0</v>
      </c>
      <c r="H31" s="17" t="n">
        <f aca="false">SRC_ANT_322*(H$6=INP_171)</f>
        <v>0</v>
      </c>
      <c r="I31" s="17" t="n">
        <f aca="false">SRC_ANT_322*(I$6=INP_171)</f>
        <v>0</v>
      </c>
      <c r="K31" s="12" t="s">
        <v>6099</v>
      </c>
    </row>
    <row r="32" customFormat="false" ht="15" hidden="false" customHeight="false" outlineLevel="0" collapsed="false">
      <c r="A32" s="9" t="s">
        <v>6100</v>
      </c>
      <c r="B32" s="9" t="s">
        <v>6101</v>
      </c>
      <c r="C32" s="9" t="s">
        <v>482</v>
      </c>
      <c r="D32" s="17" t="n">
        <f aca="false">SRC_ANT_329*(D$6=INP_172)</f>
        <v>0</v>
      </c>
      <c r="E32" s="17" t="n">
        <f aca="false">SRC_ANT_329*(E$6=INP_172)</f>
        <v>0</v>
      </c>
      <c r="F32" s="17" t="n">
        <f aca="false">SRC_ANT_329*(F$6=INP_172)</f>
        <v>30</v>
      </c>
      <c r="G32" s="17" t="n">
        <f aca="false">SRC_ANT_329*(G$6=INP_172)</f>
        <v>0</v>
      </c>
      <c r="H32" s="17" t="n">
        <f aca="false">SRC_ANT_329*(H$6=INP_172)</f>
        <v>0</v>
      </c>
      <c r="I32" s="17" t="n">
        <f aca="false">SRC_ANT_329*(I$6=INP_172)</f>
        <v>0</v>
      </c>
      <c r="K32" s="12" t="s">
        <v>2054</v>
      </c>
    </row>
    <row r="33" customFormat="false" ht="15" hidden="false" customHeight="false" outlineLevel="0" collapsed="false">
      <c r="A33" s="9" t="s">
        <v>6102</v>
      </c>
      <c r="B33" s="9" t="s">
        <v>6103</v>
      </c>
      <c r="C33" s="9" t="s">
        <v>482</v>
      </c>
      <c r="D33" s="17" t="n">
        <f aca="false">(SRC_ANT_330-SRC_ANT_331)*(D$6=INP_173)</f>
        <v>0</v>
      </c>
      <c r="E33" s="17" t="n">
        <f aca="false">(SRC_ANT_330-SRC_ANT_331)*(E$6=INP_173)</f>
        <v>10</v>
      </c>
      <c r="F33" s="17" t="n">
        <f aca="false">(SRC_ANT_330-SRC_ANT_331)*(F$6=INP_173)</f>
        <v>0</v>
      </c>
      <c r="G33" s="17" t="n">
        <f aca="false">(SRC_ANT_330-SRC_ANT_331)*(G$6=INP_173)</f>
        <v>0</v>
      </c>
      <c r="H33" s="17" t="n">
        <f aca="false">(SRC_ANT_330-SRC_ANT_331)*(H$6=INP_173)</f>
        <v>0</v>
      </c>
      <c r="I33" s="17" t="n">
        <f aca="false">(SRC_ANT_330-SRC_ANT_331)*(I$6=INP_173)</f>
        <v>0</v>
      </c>
      <c r="K33" s="12" t="s">
        <v>6104</v>
      </c>
    </row>
    <row r="34" customFormat="false" ht="15" hidden="false" customHeight="false" outlineLevel="0" collapsed="false">
      <c r="A34" s="9" t="s">
        <v>6105</v>
      </c>
      <c r="B34" s="9" t="s">
        <v>6106</v>
      </c>
      <c r="C34" s="9" t="s">
        <v>482</v>
      </c>
      <c r="D34" s="17" t="n">
        <f aca="false">SRC_ANT_332*(D$6=INP_174)</f>
        <v>0</v>
      </c>
      <c r="E34" s="17" t="n">
        <f aca="false">SRC_ANT_332*(E$6=INP_174)</f>
        <v>0</v>
      </c>
      <c r="F34" s="17" t="n">
        <f aca="false">SRC_ANT_332*(F$6=INP_174)</f>
        <v>5</v>
      </c>
      <c r="G34" s="17" t="n">
        <f aca="false">SRC_ANT_332*(G$6=INP_174)</f>
        <v>0</v>
      </c>
      <c r="H34" s="17" t="n">
        <f aca="false">SRC_ANT_332*(H$6=INP_174)</f>
        <v>0</v>
      </c>
      <c r="I34" s="17" t="n">
        <f aca="false">SRC_ANT_332*(I$6=INP_174)</f>
        <v>0</v>
      </c>
      <c r="K34" s="12" t="s">
        <v>2074</v>
      </c>
    </row>
    <row r="35" customFormat="false" ht="15" hidden="false" customHeight="false" outlineLevel="0" collapsed="false">
      <c r="A35" s="9" t="s">
        <v>6107</v>
      </c>
      <c r="B35" s="11" t="s">
        <v>6108</v>
      </c>
      <c r="C35" s="9" t="s">
        <v>482</v>
      </c>
      <c r="D35" s="17" t="n">
        <f aca="false">INP_169*(D30+D31+D32+D34)</f>
        <v>0</v>
      </c>
      <c r="E35" s="17" t="n">
        <f aca="false">INP_169*(E30+E31+E32+E34)</f>
        <v>0</v>
      </c>
      <c r="F35" s="17" t="n">
        <f aca="false">INP_169*(F30+F31+F32+F34)</f>
        <v>0</v>
      </c>
      <c r="G35" s="17" t="n">
        <f aca="false">INP_169*(G30+G31+G32+G34)</f>
        <v>0</v>
      </c>
      <c r="H35" s="17" t="n">
        <f aca="false">INP_169*(H30+H31+H32+H34)</f>
        <v>0</v>
      </c>
      <c r="I35" s="17" t="n">
        <f aca="false">INP_169*(I30+I31+I32+I34)</f>
        <v>0</v>
      </c>
      <c r="K35" s="2" t="s">
        <v>6109</v>
      </c>
    </row>
    <row r="36" customFormat="false" ht="15" hidden="false" customHeight="false" outlineLevel="0" collapsed="false">
      <c r="A36" s="9" t="s">
        <v>6110</v>
      </c>
      <c r="B36" s="11" t="s">
        <v>6111</v>
      </c>
      <c r="C36" s="9" t="s">
        <v>482</v>
      </c>
      <c r="D36" s="17" t="n">
        <f aca="false">D26+D35</f>
        <v>0</v>
      </c>
      <c r="E36" s="17" t="n">
        <f aca="false">E26+E35</f>
        <v>100</v>
      </c>
      <c r="F36" s="17" t="n">
        <f aca="false">F26+F35</f>
        <v>0</v>
      </c>
      <c r="G36" s="17" t="n">
        <f aca="false">G26+G35</f>
        <v>0</v>
      </c>
      <c r="H36" s="17" t="n">
        <f aca="false">H26+H35</f>
        <v>0</v>
      </c>
      <c r="I36" s="17" t="n">
        <f aca="false">I26+I35</f>
        <v>0</v>
      </c>
      <c r="K36" s="2"/>
    </row>
    <row r="37" customFormat="false" ht="15" hidden="false" customHeight="false" outlineLevel="0" collapsed="false">
      <c r="A37" s="15" t="s">
        <v>6112</v>
      </c>
    </row>
    <row r="38" customFormat="false" ht="15" hidden="false" customHeight="false" outlineLevel="0" collapsed="false">
      <c r="A38" s="9" t="s">
        <v>6113</v>
      </c>
      <c r="B38" s="11" t="s">
        <v>6114</v>
      </c>
      <c r="C38" s="9" t="s">
        <v>482</v>
      </c>
      <c r="D38" s="27" t="n">
        <f aca="false">Cost!E89*INP_165/INP_008</f>
        <v>2.9699226</v>
      </c>
      <c r="E38" s="27" t="n">
        <f aca="false">Cost!F89*INP_165/INP_008</f>
        <v>3.9767263614</v>
      </c>
      <c r="F38" s="27" t="n">
        <f aca="false">Cost!G89*INP_165/INP_008</f>
        <v>4.9152337826904</v>
      </c>
      <c r="G38" s="27" t="n">
        <f aca="false">Cost!H89*INP_165/INP_008</f>
        <v>5.82209441559678</v>
      </c>
      <c r="H38" s="27" t="n">
        <f aca="false">Cost!I89*INP_165/INP_008</f>
        <v>6.59643297287115</v>
      </c>
      <c r="I38" s="17" t="n">
        <f aca="false">Cost!I89*INP_165/INP_008</f>
        <v>6.59643297287115</v>
      </c>
      <c r="K38" s="12" t="s">
        <v>6115</v>
      </c>
    </row>
    <row r="39" customFormat="false" ht="15" hidden="false" customHeight="false" outlineLevel="0" collapsed="false">
      <c r="A39" s="9" t="s">
        <v>6116</v>
      </c>
      <c r="B39" s="11" t="s">
        <v>6117</v>
      </c>
      <c r="C39" s="9" t="s">
        <v>482</v>
      </c>
      <c r="E39" s="17" t="n">
        <f aca="false">SRC_ANT_305</f>
        <v>20.28</v>
      </c>
      <c r="F39" s="17" t="n">
        <f aca="false">E42</f>
        <v>117.691580641443</v>
      </c>
      <c r="G39" s="17" t="n">
        <f aca="false">F42</f>
        <v>99.1878611908376</v>
      </c>
      <c r="H39" s="17" t="n">
        <f aca="false">G42</f>
        <v>84.2280680683723</v>
      </c>
      <c r="I39" s="17" t="n">
        <f aca="false">H42</f>
        <v>131.826741429863</v>
      </c>
      <c r="K39" s="12" t="s">
        <v>6118</v>
      </c>
    </row>
    <row r="40" customFormat="false" ht="15" hidden="false" customHeight="false" outlineLevel="0" collapsed="false">
      <c r="A40" s="9" t="s">
        <v>6119</v>
      </c>
      <c r="B40" s="11" t="s">
        <v>6120</v>
      </c>
      <c r="C40" s="9" t="s">
        <v>482</v>
      </c>
      <c r="E40" s="17" t="n">
        <f aca="false">E39+E14+E36</f>
        <v>117.691580641443</v>
      </c>
      <c r="F40" s="17" t="n">
        <f aca="false">F39+F14+F36</f>
        <v>99.1878611908376</v>
      </c>
      <c r="G40" s="17" t="n">
        <f aca="false">G39+G14+G36</f>
        <v>84.2280680683723</v>
      </c>
      <c r="H40" s="17" t="n">
        <f aca="false">H39+H14+H36</f>
        <v>131.826741429863</v>
      </c>
      <c r="I40" s="17" t="n">
        <f aca="false">I39+I14+I36</f>
        <v>227.958201246033</v>
      </c>
      <c r="K40" s="2"/>
    </row>
    <row r="41" customFormat="false" ht="15" hidden="false" customHeight="false" outlineLevel="0" collapsed="false">
      <c r="A41" s="9" t="s">
        <v>6121</v>
      </c>
      <c r="B41" s="11" t="s">
        <v>6122</v>
      </c>
      <c r="C41" s="9" t="s">
        <v>482</v>
      </c>
      <c r="E41" s="17" t="n">
        <f aca="false">(E38-E40)*(E38&gt;E40)</f>
        <v>-0</v>
      </c>
      <c r="F41" s="17" t="n">
        <f aca="false">(F38-F40)*(F38&gt;F40)</f>
        <v>-0</v>
      </c>
      <c r="G41" s="17" t="n">
        <f aca="false">(G38-G40)*(G38&gt;G40)</f>
        <v>-0</v>
      </c>
      <c r="H41" s="17" t="n">
        <f aca="false">(H38-H40)*(H38&gt;H40)</f>
        <v>-0</v>
      </c>
      <c r="I41" s="17" t="n">
        <f aca="false">(I38-I40)*(I38&gt;I40)</f>
        <v>-0</v>
      </c>
      <c r="K41" s="2" t="s">
        <v>6123</v>
      </c>
    </row>
    <row r="42" customFormat="false" ht="15" hidden="false" customHeight="false" outlineLevel="0" collapsed="false">
      <c r="A42" s="9" t="s">
        <v>6124</v>
      </c>
      <c r="B42" s="11" t="s">
        <v>3000</v>
      </c>
      <c r="C42" s="9" t="s">
        <v>482</v>
      </c>
      <c r="D42" s="17" t="n">
        <f aca="false">SRC_ANT_305</f>
        <v>20.28</v>
      </c>
      <c r="E42" s="17" t="n">
        <f aca="false">E40+E41</f>
        <v>117.691580641443</v>
      </c>
      <c r="F42" s="17" t="n">
        <f aca="false">F40+F41</f>
        <v>99.1878611908376</v>
      </c>
      <c r="G42" s="17" t="n">
        <f aca="false">G40+G41</f>
        <v>84.2280680683723</v>
      </c>
      <c r="H42" s="17" t="n">
        <f aca="false">H40+H41</f>
        <v>131.826741429863</v>
      </c>
      <c r="I42" s="17" t="n">
        <f aca="false">I40+I41</f>
        <v>227.958201246033</v>
      </c>
      <c r="K42" s="12" t="s">
        <v>6125</v>
      </c>
    </row>
    <row r="43" customFormat="false" ht="15" hidden="false" customHeight="false" outlineLevel="0" collapsed="false">
      <c r="A43" s="9" t="s">
        <v>6126</v>
      </c>
      <c r="B43" s="11" t="s">
        <v>2996</v>
      </c>
      <c r="C43" s="9" t="s">
        <v>482</v>
      </c>
      <c r="E43" s="17" t="n">
        <f aca="false">E41</f>
        <v>-0</v>
      </c>
      <c r="F43" s="17" t="n">
        <f aca="false">E43+F41</f>
        <v>-0</v>
      </c>
      <c r="G43" s="17" t="n">
        <f aca="false">F43+G41</f>
        <v>-0</v>
      </c>
      <c r="H43" s="17" t="n">
        <f aca="false">G43+H41</f>
        <v>-0</v>
      </c>
      <c r="I43" s="17" t="n">
        <f aca="false">H43+I41</f>
        <v>-0</v>
      </c>
      <c r="K43" s="2"/>
    </row>
    <row r="44" customFormat="false" ht="15" hidden="false" customHeight="false" outlineLevel="0" collapsed="false">
      <c r="A44" s="9" t="s">
        <v>6127</v>
      </c>
      <c r="B44" s="11" t="s">
        <v>6128</v>
      </c>
      <c r="C44" s="9" t="s">
        <v>482</v>
      </c>
      <c r="E44" s="17" t="n">
        <f aca="false">E42-(E39+E14+E36+E41)</f>
        <v>0</v>
      </c>
      <c r="F44" s="17" t="n">
        <f aca="false">F42-(F39+F14+F36+F41)</f>
        <v>0</v>
      </c>
      <c r="G44" s="17" t="n">
        <f aca="false">G42-(G39+G14+G36+G41)</f>
        <v>0</v>
      </c>
      <c r="H44" s="17" t="n">
        <f aca="false">H42-(H39+H14+H36+H41)</f>
        <v>0</v>
      </c>
      <c r="I44" s="17" t="n">
        <f aca="false">I42-(I39+I14+I36+I41)</f>
        <v>0</v>
      </c>
      <c r="K44" s="2" t="s">
        <v>5073</v>
      </c>
    </row>
    <row r="45" customFormat="false" ht="15" hidden="false" customHeight="false" outlineLevel="0" collapsed="false">
      <c r="A45" s="9" t="s">
        <v>6129</v>
      </c>
      <c r="B45" s="11" t="s">
        <v>6130</v>
      </c>
      <c r="C45" s="9" t="s">
        <v>482</v>
      </c>
      <c r="E45" s="17" t="n">
        <f aca="false">E42-E38</f>
        <v>113.714854280043</v>
      </c>
      <c r="F45" s="17" t="n">
        <f aca="false">F42-F38</f>
        <v>94.2726274081472</v>
      </c>
      <c r="G45" s="17" t="n">
        <f aca="false">G42-G38</f>
        <v>78.4059736527755</v>
      </c>
      <c r="H45" s="17" t="n">
        <f aca="false">H42-H38</f>
        <v>125.230308456992</v>
      </c>
      <c r="I45" s="17" t="n">
        <f aca="false">I42-I38</f>
        <v>221.361768273162</v>
      </c>
      <c r="K45" s="12" t="s">
        <v>6131</v>
      </c>
    </row>
    <row r="46" customFormat="false" ht="15" hidden="false" customHeight="false" outlineLevel="0" collapsed="false">
      <c r="A46" s="9" t="s">
        <v>6132</v>
      </c>
      <c r="B46" s="11" t="s">
        <v>6133</v>
      </c>
      <c r="C46" s="11" t="s">
        <v>4659</v>
      </c>
      <c r="E46" s="23" t="n">
        <f aca="false">SIGN(E41)</f>
        <v>0</v>
      </c>
      <c r="F46" s="23" t="n">
        <f aca="false">SIGN(F41)</f>
        <v>0</v>
      </c>
      <c r="G46" s="23" t="n">
        <f aca="false">SIGN(G41)</f>
        <v>0</v>
      </c>
      <c r="H46" s="23" t="n">
        <f aca="false">SIGN(H41)</f>
        <v>0</v>
      </c>
      <c r="I46" s="23" t="n">
        <f aca="false">SIGN(I41)</f>
        <v>0</v>
      </c>
      <c r="K46" s="2"/>
    </row>
    <row r="47" customFormat="false" ht="15" hidden="false" customHeight="false" outlineLevel="0" collapsed="false">
      <c r="A47" s="9" t="s">
        <v>6134</v>
      </c>
      <c r="B47" s="11" t="s">
        <v>6135</v>
      </c>
      <c r="C47" s="11" t="s">
        <v>2189</v>
      </c>
      <c r="E47" s="23" t="str">
        <f aca="false">IF(E46,E$6,"")</f>
        <v/>
      </c>
      <c r="F47" s="23" t="str">
        <f aca="false">IF(F46,F$6,"")</f>
        <v/>
      </c>
      <c r="G47" s="23" t="str">
        <f aca="false">IF(G46,G$6,"")</f>
        <v/>
      </c>
      <c r="H47" s="23" t="str">
        <f aca="false">IF(H46,H$6,"")</f>
        <v/>
      </c>
      <c r="I47" s="23" t="str">
        <f aca="false">IF(I46,I$6,"")</f>
        <v/>
      </c>
      <c r="K47" s="2"/>
    </row>
    <row r="48" customFormat="false" ht="15" hidden="false" customHeight="false" outlineLevel="0" collapsed="false">
      <c r="A48" s="9" t="s">
        <v>6136</v>
      </c>
      <c r="B48" s="11" t="s">
        <v>6137</v>
      </c>
      <c r="C48" s="9" t="s">
        <v>482</v>
      </c>
      <c r="E48" s="17" t="n">
        <f aca="false">SRC_ANT_305+E14+E36</f>
        <v>117.691580641443</v>
      </c>
      <c r="F48" s="17" t="n">
        <f aca="false">E48+F14+F36</f>
        <v>99.1878611908376</v>
      </c>
      <c r="G48" s="17" t="n">
        <f aca="false">F48+G14+G36</f>
        <v>84.2280680683723</v>
      </c>
      <c r="H48" s="17" t="n">
        <f aca="false">G48+H14+H36</f>
        <v>131.826741429863</v>
      </c>
      <c r="I48" s="17" t="n">
        <f aca="false">H48+I14+I36</f>
        <v>227.958201246033</v>
      </c>
      <c r="K48" s="2" t="s">
        <v>6138</v>
      </c>
    </row>
    <row r="49" customFormat="false" ht="15" hidden="false" customHeight="false" outlineLevel="0" collapsed="false">
      <c r="A49" s="9" t="s">
        <v>6139</v>
      </c>
      <c r="B49" s="11" t="s">
        <v>6140</v>
      </c>
      <c r="C49" s="11" t="s">
        <v>2189</v>
      </c>
      <c r="E49" s="23" t="str">
        <f aca="false">IF(E48&lt;E38,E$6,"")</f>
        <v/>
      </c>
      <c r="F49" s="23" t="str">
        <f aca="false">IF(F48&lt;F38,F$6,"")</f>
        <v/>
      </c>
      <c r="G49" s="23" t="str">
        <f aca="false">IF(G48&lt;G38,G$6,"")</f>
        <v/>
      </c>
      <c r="H49" s="23" t="str">
        <f aca="false">IF(H48&lt;H38,H$6,"")</f>
        <v/>
      </c>
      <c r="I49" s="23" t="str">
        <f aca="false">IF(I48&lt;I38,I$6,"")</f>
        <v/>
      </c>
      <c r="K49" s="2"/>
    </row>
    <row r="50" customFormat="false" ht="15" hidden="false" customHeight="false" outlineLevel="0" collapsed="false">
      <c r="A50" s="9" t="s">
        <v>6141</v>
      </c>
      <c r="B50" s="11" t="s">
        <v>6142</v>
      </c>
      <c r="C50" s="11" t="s">
        <v>2189</v>
      </c>
      <c r="E50" s="23" t="str">
        <f aca="false">IF(AND(E46,E41=MAX($D$41:$I$41)),E$6,"")</f>
        <v/>
      </c>
      <c r="F50" s="23" t="str">
        <f aca="false">IF(AND(F46,F41=MAX($D$41:$I$41)),F$6,"")</f>
        <v/>
      </c>
      <c r="G50" s="23" t="str">
        <f aca="false">IF(AND(G46,G41=MAX($D$41:$I$41)),G$6,"")</f>
        <v/>
      </c>
      <c r="H50" s="23" t="str">
        <f aca="false">IF(AND(H46,H41=MAX($D$41:$I$41)),H$6,"")</f>
        <v/>
      </c>
      <c r="I50" s="23" t="str">
        <f aca="false">IF(AND(I46,I41=MAX($D$41:$I$41)),I$6,"")</f>
        <v/>
      </c>
      <c r="K50" s="2"/>
    </row>
    <row r="51" customFormat="false" ht="15" hidden="false" customHeight="false" outlineLevel="0" collapsed="false">
      <c r="A51" s="9" t="s">
        <v>6143</v>
      </c>
      <c r="B51" s="11" t="s">
        <v>6144</v>
      </c>
      <c r="C51" s="11" t="s">
        <v>2189</v>
      </c>
      <c r="D51" s="23" t="str">
        <f aca="false">IF(COUNT($D$47:$I$47),MIN($D$47:$I$47),"無")</f>
        <v>無</v>
      </c>
      <c r="K51" s="2"/>
    </row>
    <row r="52" customFormat="false" ht="15" hidden="false" customHeight="false" outlineLevel="0" collapsed="false">
      <c r="A52" s="9" t="s">
        <v>6145</v>
      </c>
      <c r="B52" s="11" t="s">
        <v>6146</v>
      </c>
      <c r="C52" s="9" t="s">
        <v>482</v>
      </c>
      <c r="D52" s="17" t="n">
        <f aca="false">MAX($D$41:$I$41)</f>
        <v>-0</v>
      </c>
      <c r="K52" s="2"/>
    </row>
    <row r="53" customFormat="false" ht="15" hidden="false" customHeight="false" outlineLevel="0" collapsed="false">
      <c r="A53" s="9" t="s">
        <v>6147</v>
      </c>
      <c r="B53" s="11" t="s">
        <v>6148</v>
      </c>
      <c r="C53" s="11" t="s">
        <v>2189</v>
      </c>
      <c r="D53" s="23" t="str">
        <f aca="false">IF(COUNT($D$50:$I$50),MIN($D$50:$I$50),"無")</f>
        <v>無</v>
      </c>
      <c r="K53" s="2"/>
    </row>
    <row r="54" customFormat="false" ht="15" hidden="false" customHeight="false" outlineLevel="0" collapsed="false">
      <c r="A54" s="9" t="s">
        <v>6149</v>
      </c>
      <c r="B54" s="11" t="s">
        <v>6150</v>
      </c>
      <c r="C54" s="9" t="s">
        <v>482</v>
      </c>
      <c r="D54" s="17" t="n">
        <f aca="false">MIN($D$48:$I$48)</f>
        <v>84.2280680683723</v>
      </c>
      <c r="K54" s="2" t="s">
        <v>6151</v>
      </c>
    </row>
    <row r="55" customFormat="false" ht="15" hidden="false" customHeight="false" outlineLevel="0" collapsed="false">
      <c r="A55" s="9" t="s">
        <v>6152</v>
      </c>
      <c r="B55" s="11" t="s">
        <v>6153</v>
      </c>
      <c r="C55" s="11" t="s">
        <v>2189</v>
      </c>
      <c r="D55" s="23" t="str">
        <f aca="false">IF(COUNT($D$49:$I$49),MIN($D$49:$I$49),"無")</f>
        <v>無</v>
      </c>
      <c r="K55" s="2"/>
    </row>
    <row r="56" customFormat="false" ht="15" hidden="false" customHeight="false" outlineLevel="0" collapsed="false">
      <c r="A56" s="15" t="s">
        <v>6154</v>
      </c>
    </row>
    <row r="57" customFormat="false" ht="15" hidden="false" customHeight="false" outlineLevel="0" collapsed="false">
      <c r="A57" s="9" t="s">
        <v>6155</v>
      </c>
      <c r="B57" s="11" t="s">
        <v>6156</v>
      </c>
      <c r="C57" s="9" t="s">
        <v>482</v>
      </c>
      <c r="E57" s="17" t="n">
        <f aca="false">E26+E30</f>
        <v>200</v>
      </c>
      <c r="F57" s="17" t="n">
        <f aca="false">F26+F30</f>
        <v>0</v>
      </c>
      <c r="G57" s="17" t="n">
        <f aca="false">G26+G30</f>
        <v>0</v>
      </c>
      <c r="H57" s="17" t="n">
        <f aca="false">H26+H30</f>
        <v>0</v>
      </c>
      <c r="I57" s="17" t="n">
        <f aca="false">I26+I30</f>
        <v>0</v>
      </c>
      <c r="K57" s="2"/>
    </row>
    <row r="58" customFormat="false" ht="15" hidden="false" customHeight="false" outlineLevel="0" collapsed="false">
      <c r="A58" s="9" t="s">
        <v>6157</v>
      </c>
      <c r="B58" s="11" t="s">
        <v>6158</v>
      </c>
      <c r="C58" s="9" t="s">
        <v>482</v>
      </c>
      <c r="E58" s="17" t="n">
        <f aca="false">SRC_ANT_305+E14+E57</f>
        <v>217.691580641443</v>
      </c>
      <c r="F58" s="17" t="n">
        <f aca="false">E60+F14+F57</f>
        <v>199.187861190838</v>
      </c>
      <c r="G58" s="17" t="n">
        <f aca="false">F60+G14+G57</f>
        <v>184.228068068372</v>
      </c>
      <c r="H58" s="17" t="n">
        <f aca="false">G60+H14+H57</f>
        <v>231.826741429863</v>
      </c>
      <c r="I58" s="17" t="n">
        <f aca="false">H60+I14+I57</f>
        <v>327.958201246033</v>
      </c>
      <c r="K58" s="2"/>
    </row>
    <row r="59" customFormat="false" ht="15" hidden="false" customHeight="false" outlineLevel="0" collapsed="false">
      <c r="A59" s="9" t="s">
        <v>6159</v>
      </c>
      <c r="B59" s="11" t="s">
        <v>6160</v>
      </c>
      <c r="C59" s="9" t="s">
        <v>482</v>
      </c>
      <c r="E59" s="17" t="n">
        <f aca="false">(E38-E58)*(E38&gt;E58)</f>
        <v>-0</v>
      </c>
      <c r="F59" s="17" t="n">
        <f aca="false">(F38-F58)*(F38&gt;F58)</f>
        <v>-0</v>
      </c>
      <c r="G59" s="17" t="n">
        <f aca="false">(G38-G58)*(G38&gt;G58)</f>
        <v>-0</v>
      </c>
      <c r="H59" s="17" t="n">
        <f aca="false">(H38-H58)*(H38&gt;H58)</f>
        <v>-0</v>
      </c>
      <c r="I59" s="17" t="n">
        <f aca="false">(I38-I58)*(I38&gt;I58)</f>
        <v>-0</v>
      </c>
      <c r="K59" s="2"/>
    </row>
    <row r="60" customFormat="false" ht="15" hidden="false" customHeight="false" outlineLevel="0" collapsed="false">
      <c r="A60" s="9" t="s">
        <v>6161</v>
      </c>
      <c r="B60" s="11" t="s">
        <v>6162</v>
      </c>
      <c r="C60" s="9" t="s">
        <v>482</v>
      </c>
      <c r="D60" s="17" t="n">
        <f aca="false">SRC_ANT_305</f>
        <v>20.28</v>
      </c>
      <c r="E60" s="17" t="n">
        <f aca="false">E58+E59</f>
        <v>217.691580641443</v>
      </c>
      <c r="F60" s="17" t="n">
        <f aca="false">F58+F59</f>
        <v>199.187861190838</v>
      </c>
      <c r="G60" s="17" t="n">
        <f aca="false">G58+G59</f>
        <v>184.228068068372</v>
      </c>
      <c r="H60" s="17" t="n">
        <f aca="false">H58+H59</f>
        <v>231.826741429863</v>
      </c>
      <c r="I60" s="17" t="n">
        <f aca="false">I58+I59</f>
        <v>327.958201246033</v>
      </c>
      <c r="K60" s="2"/>
    </row>
    <row r="61" customFormat="false" ht="15" hidden="false" customHeight="false" outlineLevel="0" collapsed="false">
      <c r="A61" s="9" t="s">
        <v>6163</v>
      </c>
      <c r="B61" s="11" t="s">
        <v>6164</v>
      </c>
      <c r="C61" s="9" t="s">
        <v>482</v>
      </c>
      <c r="E61" s="17" t="n">
        <f aca="false">E59</f>
        <v>-0</v>
      </c>
      <c r="F61" s="17" t="n">
        <f aca="false">E61+F59</f>
        <v>-0</v>
      </c>
      <c r="G61" s="17" t="n">
        <f aca="false">F61+G59</f>
        <v>-0</v>
      </c>
      <c r="H61" s="17" t="n">
        <f aca="false">G61+H59</f>
        <v>-0</v>
      </c>
      <c r="I61" s="17" t="n">
        <f aca="false">H61+I59</f>
        <v>-0</v>
      </c>
      <c r="K61" s="2"/>
    </row>
    <row r="62" customFormat="false" ht="15" hidden="false" customHeight="false" outlineLevel="0" collapsed="false">
      <c r="A62" s="9" t="s">
        <v>6165</v>
      </c>
      <c r="B62" s="11" t="s">
        <v>6166</v>
      </c>
      <c r="C62" s="9" t="s">
        <v>482</v>
      </c>
      <c r="E62" s="17" t="n">
        <f aca="false">E26+E31+E32+E33+E34</f>
        <v>110</v>
      </c>
      <c r="F62" s="17" t="n">
        <f aca="false">F26+F31+F32+F33+F34</f>
        <v>50</v>
      </c>
      <c r="G62" s="17" t="n">
        <f aca="false">G26+G31+G32+G33+G34</f>
        <v>0</v>
      </c>
      <c r="H62" s="17" t="n">
        <f aca="false">H26+H31+H32+H33+H34</f>
        <v>0</v>
      </c>
      <c r="I62" s="17" t="n">
        <f aca="false">I26+I31+I32+I33+I34</f>
        <v>0</v>
      </c>
      <c r="K62" s="2"/>
    </row>
    <row r="63" customFormat="false" ht="15" hidden="false" customHeight="false" outlineLevel="0" collapsed="false">
      <c r="A63" s="9" t="s">
        <v>6167</v>
      </c>
      <c r="B63" s="11" t="s">
        <v>6168</v>
      </c>
      <c r="C63" s="9" t="s">
        <v>482</v>
      </c>
      <c r="E63" s="17" t="n">
        <f aca="false">SRC_ANT_305+E14+E62</f>
        <v>127.691580641443</v>
      </c>
      <c r="F63" s="17" t="n">
        <f aca="false">E65+F14+F62</f>
        <v>159.187861190838</v>
      </c>
      <c r="G63" s="17" t="n">
        <f aca="false">F65+G14+G62</f>
        <v>144.228068068372</v>
      </c>
      <c r="H63" s="17" t="n">
        <f aca="false">G65+H14+H62</f>
        <v>191.826741429863</v>
      </c>
      <c r="I63" s="17" t="n">
        <f aca="false">H65+I14+I62</f>
        <v>287.958201246033</v>
      </c>
      <c r="K63" s="2"/>
    </row>
    <row r="64" customFormat="false" ht="15" hidden="false" customHeight="false" outlineLevel="0" collapsed="false">
      <c r="A64" s="9" t="s">
        <v>6169</v>
      </c>
      <c r="B64" s="11" t="s">
        <v>6170</v>
      </c>
      <c r="C64" s="9" t="s">
        <v>482</v>
      </c>
      <c r="E64" s="17" t="n">
        <f aca="false">(E38-E63)*(E38&gt;E63)</f>
        <v>-0</v>
      </c>
      <c r="F64" s="17" t="n">
        <f aca="false">(F38-F63)*(F38&gt;F63)</f>
        <v>-0</v>
      </c>
      <c r="G64" s="17" t="n">
        <f aca="false">(G38-G63)*(G38&gt;G63)</f>
        <v>-0</v>
      </c>
      <c r="H64" s="17" t="n">
        <f aca="false">(H38-H63)*(H38&gt;H63)</f>
        <v>-0</v>
      </c>
      <c r="I64" s="17" t="n">
        <f aca="false">(I38-I63)*(I38&gt;I63)</f>
        <v>-0</v>
      </c>
      <c r="K64" s="2"/>
    </row>
    <row r="65" customFormat="false" ht="15" hidden="false" customHeight="false" outlineLevel="0" collapsed="false">
      <c r="A65" s="9" t="s">
        <v>6171</v>
      </c>
      <c r="B65" s="11" t="s">
        <v>6172</v>
      </c>
      <c r="C65" s="9" t="s">
        <v>482</v>
      </c>
      <c r="D65" s="17" t="n">
        <f aca="false">SRC_ANT_305</f>
        <v>20.28</v>
      </c>
      <c r="E65" s="17" t="n">
        <f aca="false">E63+E64</f>
        <v>127.691580641443</v>
      </c>
      <c r="F65" s="17" t="n">
        <f aca="false">F63+F64</f>
        <v>159.187861190838</v>
      </c>
      <c r="G65" s="17" t="n">
        <f aca="false">G63+G64</f>
        <v>144.228068068372</v>
      </c>
      <c r="H65" s="17" t="n">
        <f aca="false">H63+H64</f>
        <v>191.826741429863</v>
      </c>
      <c r="I65" s="17" t="n">
        <f aca="false">I63+I64</f>
        <v>287.958201246033</v>
      </c>
      <c r="K65" s="2"/>
    </row>
    <row r="66" customFormat="false" ht="15" hidden="false" customHeight="false" outlineLevel="0" collapsed="false">
      <c r="A66" s="9" t="s">
        <v>6173</v>
      </c>
      <c r="B66" s="11" t="s">
        <v>6174</v>
      </c>
      <c r="C66" s="9" t="s">
        <v>482</v>
      </c>
      <c r="E66" s="17" t="n">
        <f aca="false">E64</f>
        <v>-0</v>
      </c>
      <c r="F66" s="17" t="n">
        <f aca="false">E66+F64</f>
        <v>-0</v>
      </c>
      <c r="G66" s="17" t="n">
        <f aca="false">F66+G64</f>
        <v>-0</v>
      </c>
      <c r="H66" s="17" t="n">
        <f aca="false">G66+H64</f>
        <v>-0</v>
      </c>
      <c r="I66" s="17" t="n">
        <f aca="false">H66+I64</f>
        <v>-0</v>
      </c>
      <c r="K66" s="2"/>
    </row>
    <row r="67" customFormat="false" ht="15" hidden="false" customHeight="false" outlineLevel="0" collapsed="false">
      <c r="A67" s="9" t="s">
        <v>6175</v>
      </c>
      <c r="B67" s="11" t="s">
        <v>6176</v>
      </c>
      <c r="C67" s="9" t="s">
        <v>482</v>
      </c>
      <c r="E67" s="17" t="n">
        <f aca="false">E26+E30+E31+E32+E34</f>
        <v>200</v>
      </c>
      <c r="F67" s="17" t="n">
        <f aca="false">F26+F30+F31+F32+F34</f>
        <v>50</v>
      </c>
      <c r="G67" s="17" t="n">
        <f aca="false">G26+G30+G31+G32+G34</f>
        <v>0</v>
      </c>
      <c r="H67" s="17" t="n">
        <f aca="false">H26+H30+H31+H32+H34</f>
        <v>0</v>
      </c>
      <c r="I67" s="17" t="n">
        <f aca="false">I26+I30+I31+I32+I34</f>
        <v>0</v>
      </c>
      <c r="K67" s="2"/>
    </row>
    <row r="68" customFormat="false" ht="15" hidden="false" customHeight="false" outlineLevel="0" collapsed="false">
      <c r="A68" s="9" t="s">
        <v>6177</v>
      </c>
      <c r="B68" s="11" t="s">
        <v>6178</v>
      </c>
      <c r="C68" s="9" t="s">
        <v>482</v>
      </c>
      <c r="E68" s="17" t="n">
        <f aca="false">SRC_ANT_305+E14+E67</f>
        <v>217.691580641443</v>
      </c>
      <c r="F68" s="17" t="n">
        <f aca="false">E70+F14+F67</f>
        <v>249.187861190838</v>
      </c>
      <c r="G68" s="17" t="n">
        <f aca="false">F70+G14+G67</f>
        <v>234.228068068372</v>
      </c>
      <c r="H68" s="17" t="n">
        <f aca="false">G70+H14+H67</f>
        <v>281.826741429863</v>
      </c>
      <c r="I68" s="17" t="n">
        <f aca="false">H70+I14+I67</f>
        <v>377.958201246033</v>
      </c>
      <c r="K68" s="2"/>
    </row>
    <row r="69" customFormat="false" ht="15" hidden="false" customHeight="false" outlineLevel="0" collapsed="false">
      <c r="A69" s="9" t="s">
        <v>6179</v>
      </c>
      <c r="B69" s="11" t="s">
        <v>6180</v>
      </c>
      <c r="C69" s="9" t="s">
        <v>482</v>
      </c>
      <c r="E69" s="17" t="n">
        <f aca="false">(E38-E68)*(E38&gt;E68)</f>
        <v>-0</v>
      </c>
      <c r="F69" s="17" t="n">
        <f aca="false">(F38-F68)*(F38&gt;F68)</f>
        <v>-0</v>
      </c>
      <c r="G69" s="17" t="n">
        <f aca="false">(G38-G68)*(G38&gt;G68)</f>
        <v>-0</v>
      </c>
      <c r="H69" s="17" t="n">
        <f aca="false">(H38-H68)*(H38&gt;H68)</f>
        <v>-0</v>
      </c>
      <c r="I69" s="17" t="n">
        <f aca="false">(I38-I68)*(I38&gt;I68)</f>
        <v>-0</v>
      </c>
      <c r="K69" s="2"/>
    </row>
    <row r="70" customFormat="false" ht="15" hidden="false" customHeight="false" outlineLevel="0" collapsed="false">
      <c r="A70" s="9" t="s">
        <v>6181</v>
      </c>
      <c r="B70" s="11" t="s">
        <v>6182</v>
      </c>
      <c r="C70" s="9" t="s">
        <v>482</v>
      </c>
      <c r="D70" s="17" t="n">
        <f aca="false">SRC_ANT_305</f>
        <v>20.28</v>
      </c>
      <c r="E70" s="17" t="n">
        <f aca="false">E68+E69</f>
        <v>217.691580641443</v>
      </c>
      <c r="F70" s="17" t="n">
        <f aca="false">F68+F69</f>
        <v>249.187861190838</v>
      </c>
      <c r="G70" s="17" t="n">
        <f aca="false">G68+G69</f>
        <v>234.228068068372</v>
      </c>
      <c r="H70" s="17" t="n">
        <f aca="false">H68+H69</f>
        <v>281.826741429863</v>
      </c>
      <c r="I70" s="17" t="n">
        <f aca="false">I68+I69</f>
        <v>377.958201246033</v>
      </c>
      <c r="K70" s="2"/>
    </row>
    <row r="71" customFormat="false" ht="15" hidden="false" customHeight="false" outlineLevel="0" collapsed="false">
      <c r="A71" s="9" t="s">
        <v>6183</v>
      </c>
      <c r="B71" s="11" t="s">
        <v>6184</v>
      </c>
      <c r="C71" s="9" t="s">
        <v>482</v>
      </c>
      <c r="E71" s="17" t="n">
        <f aca="false">E69</f>
        <v>-0</v>
      </c>
      <c r="F71" s="17" t="n">
        <f aca="false">E71+F69</f>
        <v>-0</v>
      </c>
      <c r="G71" s="17" t="n">
        <f aca="false">F71+G69</f>
        <v>-0</v>
      </c>
      <c r="H71" s="17" t="n">
        <f aca="false">G71+H69</f>
        <v>-0</v>
      </c>
      <c r="I71" s="17" t="n">
        <f aca="false">H71+I69</f>
        <v>-0</v>
      </c>
      <c r="K71" s="2"/>
    </row>
    <row r="72" customFormat="false" ht="15" hidden="false" customHeight="false" outlineLevel="0" collapsed="false">
      <c r="A72" s="9" t="s">
        <v>6185</v>
      </c>
      <c r="B72" s="11" t="s">
        <v>6186</v>
      </c>
      <c r="C72" s="9" t="s">
        <v>482</v>
      </c>
      <c r="E72" s="17" t="n">
        <f aca="false">E36</f>
        <v>100</v>
      </c>
      <c r="F72" s="17" t="n">
        <f aca="false">F36</f>
        <v>0</v>
      </c>
      <c r="G72" s="17" t="n">
        <f aca="false">G36</f>
        <v>0</v>
      </c>
      <c r="H72" s="17" t="n">
        <f aca="false">H36</f>
        <v>0</v>
      </c>
      <c r="I72" s="17" t="n">
        <f aca="false">I36</f>
        <v>0</v>
      </c>
      <c r="K72" s="2" t="s">
        <v>6187</v>
      </c>
    </row>
    <row r="73" customFormat="false" ht="15" hidden="false" customHeight="false" outlineLevel="0" collapsed="false">
      <c r="A73" s="9" t="s">
        <v>6188</v>
      </c>
      <c r="B73" s="11" t="s">
        <v>6189</v>
      </c>
      <c r="C73" s="9" t="s">
        <v>482</v>
      </c>
      <c r="E73" s="17" t="n">
        <f aca="false">SRC_ANT_305+Cost!E184+E72</f>
        <v>108.920469530332</v>
      </c>
      <c r="F73" s="17" t="n">
        <f aca="false">E75+Cost!F184+F72</f>
        <v>79.8452970882735</v>
      </c>
      <c r="G73" s="17" t="n">
        <f aca="false">F75+Cost!G184+G72</f>
        <v>56.8959313162356</v>
      </c>
      <c r="H73" s="17" t="n">
        <f aca="false">G75+Cost!H184+H72</f>
        <v>105.282809805931</v>
      </c>
      <c r="I73" s="17" t="n">
        <f aca="false">H75+Cost!I184+I72</f>
        <v>206.591363639196</v>
      </c>
      <c r="K73" s="2"/>
    </row>
    <row r="74" customFormat="false" ht="15" hidden="false" customHeight="false" outlineLevel="0" collapsed="false">
      <c r="A74" s="9" t="s">
        <v>6190</v>
      </c>
      <c r="B74" s="11" t="s">
        <v>6191</v>
      </c>
      <c r="C74" s="9" t="s">
        <v>482</v>
      </c>
      <c r="E74" s="17" t="n">
        <f aca="false">(E38-E73)*(E38&gt;E73)</f>
        <v>-0</v>
      </c>
      <c r="F74" s="17" t="n">
        <f aca="false">(F38-F73)*(F38&gt;F73)</f>
        <v>-0</v>
      </c>
      <c r="G74" s="17" t="n">
        <f aca="false">(G38-G73)*(G38&gt;G73)</f>
        <v>-0</v>
      </c>
      <c r="H74" s="17" t="n">
        <f aca="false">(H38-H73)*(H38&gt;H73)</f>
        <v>-0</v>
      </c>
      <c r="I74" s="17" t="n">
        <f aca="false">(I38-I73)*(I38&gt;I73)</f>
        <v>-0</v>
      </c>
      <c r="K74" s="2"/>
    </row>
    <row r="75" customFormat="false" ht="15" hidden="false" customHeight="false" outlineLevel="0" collapsed="false">
      <c r="A75" s="9" t="s">
        <v>6192</v>
      </c>
      <c r="B75" s="11" t="s">
        <v>6193</v>
      </c>
      <c r="C75" s="9" t="s">
        <v>482</v>
      </c>
      <c r="D75" s="17" t="n">
        <f aca="false">SRC_ANT_305</f>
        <v>20.28</v>
      </c>
      <c r="E75" s="17" t="n">
        <f aca="false">E73+E74</f>
        <v>108.920469530332</v>
      </c>
      <c r="F75" s="17" t="n">
        <f aca="false">F73+F74</f>
        <v>79.8452970882735</v>
      </c>
      <c r="G75" s="17" t="n">
        <f aca="false">G73+G74</f>
        <v>56.8959313162356</v>
      </c>
      <c r="H75" s="17" t="n">
        <f aca="false">H73+H74</f>
        <v>105.282809805931</v>
      </c>
      <c r="I75" s="17" t="n">
        <f aca="false">I73+I74</f>
        <v>206.591363639196</v>
      </c>
      <c r="K75" s="2"/>
    </row>
    <row r="76" customFormat="false" ht="15" hidden="false" customHeight="false" outlineLevel="0" collapsed="false">
      <c r="A76" s="9" t="s">
        <v>6194</v>
      </c>
      <c r="B76" s="11" t="s">
        <v>6195</v>
      </c>
      <c r="C76" s="9" t="s">
        <v>482</v>
      </c>
      <c r="E76" s="17" t="n">
        <f aca="false">E74</f>
        <v>-0</v>
      </c>
      <c r="F76" s="17" t="n">
        <f aca="false">E76+F74</f>
        <v>-0</v>
      </c>
      <c r="G76" s="17" t="n">
        <f aca="false">F76+G74</f>
        <v>-0</v>
      </c>
      <c r="H76" s="17" t="n">
        <f aca="false">G76+H74</f>
        <v>-0</v>
      </c>
      <c r="I76" s="17" t="n">
        <f aca="false">H76+I74</f>
        <v>-0</v>
      </c>
      <c r="K76" s="2"/>
    </row>
    <row r="77" customFormat="false" ht="15" hidden="false" customHeight="false" outlineLevel="0" collapsed="false">
      <c r="A77" s="9" t="s">
        <v>6196</v>
      </c>
      <c r="B77" s="11" t="s">
        <v>6197</v>
      </c>
      <c r="C77" s="9" t="s">
        <v>482</v>
      </c>
      <c r="E77" s="17" t="n">
        <f aca="false">E36</f>
        <v>100</v>
      </c>
      <c r="F77" s="17" t="n">
        <f aca="false">F36</f>
        <v>0</v>
      </c>
      <c r="G77" s="17" t="n">
        <f aca="false">G36</f>
        <v>0</v>
      </c>
      <c r="H77" s="17" t="n">
        <f aca="false">H36</f>
        <v>0</v>
      </c>
      <c r="I77" s="17" t="n">
        <f aca="false">I36</f>
        <v>0</v>
      </c>
      <c r="K77" s="12" t="s">
        <v>6198</v>
      </c>
    </row>
    <row r="78" customFormat="false" ht="15" hidden="false" customHeight="false" outlineLevel="0" collapsed="false">
      <c r="A78" s="9" t="s">
        <v>6199</v>
      </c>
      <c r="B78" s="11" t="s">
        <v>6200</v>
      </c>
      <c r="C78" s="9" t="s">
        <v>482</v>
      </c>
      <c r="E78" s="17" t="n">
        <f aca="false">SRC_ANT_305+(E14-Cost!E190)+E77</f>
        <v>117.691580641443</v>
      </c>
      <c r="F78" s="17" t="n">
        <f aca="false">E80+(F14-Cost!F190)+F77</f>
        <v>99.1878611908376</v>
      </c>
      <c r="G78" s="17" t="n">
        <f aca="false">F80+(G14-Cost!G190)+G77</f>
        <v>82.3564014017056</v>
      </c>
      <c r="H78" s="17" t="n">
        <f aca="false">G80+(H14-Cost!H190)+H77</f>
        <v>128.08340809653</v>
      </c>
      <c r="I78" s="17" t="n">
        <f aca="false">H80+(I14-Cost!I190)+I77</f>
        <v>222.343201246033</v>
      </c>
      <c r="K78" s="2"/>
    </row>
    <row r="79" customFormat="false" ht="15" hidden="false" customHeight="false" outlineLevel="0" collapsed="false">
      <c r="A79" s="9" t="s">
        <v>6201</v>
      </c>
      <c r="B79" s="11" t="s">
        <v>6202</v>
      </c>
      <c r="C79" s="9" t="s">
        <v>482</v>
      </c>
      <c r="E79" s="17" t="n">
        <f aca="false">(E38-E78)*(E38&gt;E78)</f>
        <v>-0</v>
      </c>
      <c r="F79" s="17" t="n">
        <f aca="false">(F38-F78)*(F38&gt;F78)</f>
        <v>-0</v>
      </c>
      <c r="G79" s="17" t="n">
        <f aca="false">(G38-G78)*(G38&gt;G78)</f>
        <v>-0</v>
      </c>
      <c r="H79" s="17" t="n">
        <f aca="false">(H38-H78)*(H38&gt;H78)</f>
        <v>-0</v>
      </c>
      <c r="I79" s="17" t="n">
        <f aca="false">(I38-I78)*(I38&gt;I78)</f>
        <v>-0</v>
      </c>
      <c r="K79" s="2"/>
    </row>
    <row r="80" customFormat="false" ht="15" hidden="false" customHeight="false" outlineLevel="0" collapsed="false">
      <c r="A80" s="9" t="s">
        <v>6203</v>
      </c>
      <c r="B80" s="11" t="s">
        <v>6204</v>
      </c>
      <c r="C80" s="9" t="s">
        <v>482</v>
      </c>
      <c r="D80" s="17" t="n">
        <f aca="false">SRC_ANT_305</f>
        <v>20.28</v>
      </c>
      <c r="E80" s="17" t="n">
        <f aca="false">E78+E79</f>
        <v>117.691580641443</v>
      </c>
      <c r="F80" s="17" t="n">
        <f aca="false">F78+F79</f>
        <v>99.1878611908376</v>
      </c>
      <c r="G80" s="17" t="n">
        <f aca="false">G78+G79</f>
        <v>82.3564014017056</v>
      </c>
      <c r="H80" s="17" t="n">
        <f aca="false">H78+H79</f>
        <v>128.08340809653</v>
      </c>
      <c r="I80" s="17" t="n">
        <f aca="false">I78+I79</f>
        <v>222.343201246033</v>
      </c>
      <c r="K80" s="2"/>
    </row>
    <row r="81" customFormat="false" ht="15" hidden="false" customHeight="false" outlineLevel="0" collapsed="false">
      <c r="A81" s="9" t="s">
        <v>6205</v>
      </c>
      <c r="B81" s="11" t="s">
        <v>6206</v>
      </c>
      <c r="C81" s="9" t="s">
        <v>482</v>
      </c>
      <c r="E81" s="17" t="n">
        <f aca="false">E79</f>
        <v>-0</v>
      </c>
      <c r="F81" s="17" t="n">
        <f aca="false">E81+F79</f>
        <v>-0</v>
      </c>
      <c r="G81" s="17" t="n">
        <f aca="false">F81+G79</f>
        <v>-0</v>
      </c>
      <c r="H81" s="17" t="n">
        <f aca="false">G81+H79</f>
        <v>-0</v>
      </c>
      <c r="I81" s="17" t="n">
        <f aca="false">H81+I79</f>
        <v>-0</v>
      </c>
      <c r="K81" s="2"/>
    </row>
    <row r="82" customFormat="false" ht="15" hidden="false" customHeight="false" outlineLevel="0" collapsed="false">
      <c r="A82" s="9" t="s">
        <v>6207</v>
      </c>
      <c r="B82" s="11" t="s">
        <v>6208</v>
      </c>
      <c r="C82" s="9" t="s">
        <v>482</v>
      </c>
      <c r="E82" s="17" t="n">
        <f aca="false">E36</f>
        <v>100</v>
      </c>
      <c r="F82" s="17" t="n">
        <f aca="false">F36</f>
        <v>0</v>
      </c>
      <c r="G82" s="17" t="n">
        <f aca="false">G36</f>
        <v>0</v>
      </c>
      <c r="H82" s="17" t="n">
        <f aca="false">H36</f>
        <v>0</v>
      </c>
      <c r="I82" s="17" t="n">
        <f aca="false">I36</f>
        <v>0</v>
      </c>
      <c r="K82" s="12" t="s">
        <v>6209</v>
      </c>
    </row>
    <row r="83" customFormat="false" ht="15" hidden="false" customHeight="false" outlineLevel="0" collapsed="false">
      <c r="A83" s="9" t="s">
        <v>6210</v>
      </c>
      <c r="B83" s="11" t="s">
        <v>6211</v>
      </c>
      <c r="C83" s="9" t="s">
        <v>482</v>
      </c>
      <c r="E83" s="17" t="n">
        <f aca="false">SRC_ANT_305+(E14-Cost!E200)+E82</f>
        <v>110.811831443995</v>
      </c>
      <c r="F83" s="17" t="n">
        <f aca="false">E85+(F14-Cost!F200)+F82</f>
        <v>83.0961278180066</v>
      </c>
      <c r="G83" s="17" t="n">
        <f aca="false">F85+(G14-Cost!G200)+G82</f>
        <v>56.750322254768</v>
      </c>
      <c r="H83" s="17" t="n">
        <f aca="false">G85+(H14-Cost!H200)+H82</f>
        <v>90.8622638801627</v>
      </c>
      <c r="I83" s="17" t="n">
        <f aca="false">H85+(I14-Cost!I200)+I82</f>
        <v>171.713256639336</v>
      </c>
      <c r="K83" s="2"/>
    </row>
    <row r="84" customFormat="false" ht="15" hidden="false" customHeight="false" outlineLevel="0" collapsed="false">
      <c r="A84" s="9" t="s">
        <v>6212</v>
      </c>
      <c r="B84" s="11" t="s">
        <v>6213</v>
      </c>
      <c r="C84" s="9" t="s">
        <v>482</v>
      </c>
      <c r="E84" s="17" t="n">
        <f aca="false">(E38-E83)*(E38&gt;E83)</f>
        <v>-0</v>
      </c>
      <c r="F84" s="17" t="n">
        <f aca="false">(F38-F83)*(F38&gt;F83)</f>
        <v>-0</v>
      </c>
      <c r="G84" s="17" t="n">
        <f aca="false">(G38-G83)*(G38&gt;G83)</f>
        <v>-0</v>
      </c>
      <c r="H84" s="17" t="n">
        <f aca="false">(H38-H83)*(H38&gt;H83)</f>
        <v>-0</v>
      </c>
      <c r="I84" s="17" t="n">
        <f aca="false">(I38-I83)*(I38&gt;I83)</f>
        <v>-0</v>
      </c>
      <c r="K84" s="2"/>
    </row>
    <row r="85" customFormat="false" ht="15" hidden="false" customHeight="false" outlineLevel="0" collapsed="false">
      <c r="A85" s="9" t="s">
        <v>6214</v>
      </c>
      <c r="B85" s="11" t="s">
        <v>6215</v>
      </c>
      <c r="C85" s="9" t="s">
        <v>482</v>
      </c>
      <c r="D85" s="17" t="n">
        <f aca="false">SRC_ANT_305</f>
        <v>20.28</v>
      </c>
      <c r="E85" s="17" t="n">
        <f aca="false">E83+E84</f>
        <v>110.811831443995</v>
      </c>
      <c r="F85" s="17" t="n">
        <f aca="false">F83+F84</f>
        <v>83.0961278180066</v>
      </c>
      <c r="G85" s="17" t="n">
        <f aca="false">G83+G84</f>
        <v>56.750322254768</v>
      </c>
      <c r="H85" s="17" t="n">
        <f aca="false">H83+H84</f>
        <v>90.8622638801627</v>
      </c>
      <c r="I85" s="17" t="n">
        <f aca="false">I83+I84</f>
        <v>171.713256639336</v>
      </c>
      <c r="K85" s="2"/>
    </row>
    <row r="86" customFormat="false" ht="15" hidden="false" customHeight="false" outlineLevel="0" collapsed="false">
      <c r="A86" s="9" t="s">
        <v>6216</v>
      </c>
      <c r="B86" s="11" t="s">
        <v>6217</v>
      </c>
      <c r="C86" s="9" t="s">
        <v>482</v>
      </c>
      <c r="E86" s="17" t="n">
        <f aca="false">E84</f>
        <v>-0</v>
      </c>
      <c r="F86" s="17" t="n">
        <f aca="false">E86+F84</f>
        <v>-0</v>
      </c>
      <c r="G86" s="17" t="n">
        <f aca="false">F86+G84</f>
        <v>-0</v>
      </c>
      <c r="H86" s="17" t="n">
        <f aca="false">G86+H84</f>
        <v>-0</v>
      </c>
      <c r="I86" s="17" t="n">
        <f aca="false">H86+I84</f>
        <v>-0</v>
      </c>
      <c r="K86" s="2"/>
    </row>
    <row r="87" customFormat="false" ht="15" hidden="false" customHeight="false" outlineLevel="0" collapsed="false">
      <c r="A87" s="9" t="s">
        <v>6218</v>
      </c>
      <c r="B87" s="11" t="s">
        <v>6219</v>
      </c>
      <c r="C87" s="9" t="s">
        <v>482</v>
      </c>
      <c r="E87" s="17" t="n">
        <f aca="false">E36</f>
        <v>100</v>
      </c>
      <c r="F87" s="17" t="n">
        <f aca="false">F36</f>
        <v>0</v>
      </c>
      <c r="G87" s="17" t="n">
        <f aca="false">G36</f>
        <v>0</v>
      </c>
      <c r="H87" s="17" t="n">
        <f aca="false">H36</f>
        <v>0</v>
      </c>
      <c r="I87" s="17" t="n">
        <f aca="false">I36</f>
        <v>0</v>
      </c>
      <c r="K87" s="2"/>
    </row>
    <row r="88" customFormat="false" ht="15" hidden="false" customHeight="false" outlineLevel="0" collapsed="false">
      <c r="A88" s="9" t="s">
        <v>6220</v>
      </c>
      <c r="B88" s="11" t="s">
        <v>6221</v>
      </c>
      <c r="C88" s="9" t="s">
        <v>482</v>
      </c>
      <c r="E88" s="17" t="n">
        <f aca="false">SRC_ANT_305+(Cost!E184-Cost!E190-Cost!E200)+E87</f>
        <v>102.040720332884</v>
      </c>
      <c r="F88" s="17" t="n">
        <f aca="false">E90+(Cost!F184-Cost!F190-Cost!F200)+F87</f>
        <v>63.7535637154425</v>
      </c>
      <c r="G88" s="17" t="n">
        <f aca="false">F90+(Cost!G184-Cost!G190-Cost!G200)+G87</f>
        <v>27.5465188359646</v>
      </c>
      <c r="H88" s="17" t="n">
        <f aca="false">G90+(Cost!H184-Cost!H190-Cost!H200)+H87</f>
        <v>60.5749989228978</v>
      </c>
      <c r="I88" s="17" t="n">
        <f aca="false">H90+(Cost!I184-Cost!I190-Cost!I200)+I87</f>
        <v>144.731419032499</v>
      </c>
      <c r="K88" s="2"/>
    </row>
    <row r="89" customFormat="false" ht="15" hidden="false" customHeight="false" outlineLevel="0" collapsed="false">
      <c r="A89" s="9" t="s">
        <v>6222</v>
      </c>
      <c r="B89" s="11" t="s">
        <v>6223</v>
      </c>
      <c r="C89" s="9" t="s">
        <v>482</v>
      </c>
      <c r="E89" s="17" t="n">
        <f aca="false">(E38-E88)*(E38&gt;E88)</f>
        <v>-0</v>
      </c>
      <c r="F89" s="17" t="n">
        <f aca="false">(F38-F88)*(F38&gt;F88)</f>
        <v>-0</v>
      </c>
      <c r="G89" s="17" t="n">
        <f aca="false">(G38-G88)*(G38&gt;G88)</f>
        <v>-0</v>
      </c>
      <c r="H89" s="17" t="n">
        <f aca="false">(H38-H88)*(H38&gt;H88)</f>
        <v>-0</v>
      </c>
      <c r="I89" s="17" t="n">
        <f aca="false">(I38-I88)*(I38&gt;I88)</f>
        <v>-0</v>
      </c>
      <c r="K89" s="2"/>
    </row>
    <row r="90" customFormat="false" ht="15" hidden="false" customHeight="false" outlineLevel="0" collapsed="false">
      <c r="A90" s="9" t="s">
        <v>6224</v>
      </c>
      <c r="B90" s="11" t="s">
        <v>6225</v>
      </c>
      <c r="C90" s="9" t="s">
        <v>482</v>
      </c>
      <c r="D90" s="17" t="n">
        <f aca="false">SRC_ANT_305</f>
        <v>20.28</v>
      </c>
      <c r="E90" s="17" t="n">
        <f aca="false">E88+E89</f>
        <v>102.040720332884</v>
      </c>
      <c r="F90" s="17" t="n">
        <f aca="false">F88+F89</f>
        <v>63.7535637154425</v>
      </c>
      <c r="G90" s="17" t="n">
        <f aca="false">G88+G89</f>
        <v>27.5465188359646</v>
      </c>
      <c r="H90" s="17" t="n">
        <f aca="false">H88+H89</f>
        <v>60.5749989228978</v>
      </c>
      <c r="I90" s="17" t="n">
        <f aca="false">I88+I89</f>
        <v>144.731419032499</v>
      </c>
      <c r="K90" s="2"/>
    </row>
    <row r="91" customFormat="false" ht="15" hidden="false" customHeight="false" outlineLevel="0" collapsed="false">
      <c r="A91" s="9" t="s">
        <v>6226</v>
      </c>
      <c r="B91" s="11" t="s">
        <v>6227</v>
      </c>
      <c r="C91" s="9" t="s">
        <v>482</v>
      </c>
      <c r="E91" s="17" t="n">
        <f aca="false">E89</f>
        <v>-0</v>
      </c>
      <c r="F91" s="17" t="n">
        <f aca="false">E91+F89</f>
        <v>-0</v>
      </c>
      <c r="G91" s="17" t="n">
        <f aca="false">F91+G89</f>
        <v>-0</v>
      </c>
      <c r="H91" s="17" t="n">
        <f aca="false">G91+H89</f>
        <v>-0</v>
      </c>
      <c r="I91" s="17" t="n">
        <f aca="false">H91+I89</f>
        <v>-0</v>
      </c>
      <c r="K91" s="2"/>
    </row>
    <row r="92" customFormat="false" ht="15" hidden="false" customHeight="false" outlineLevel="0" collapsed="false">
      <c r="A92" s="15" t="s">
        <v>6228</v>
      </c>
    </row>
    <row r="93" customFormat="false" ht="15" hidden="false" customHeight="false" outlineLevel="0" collapsed="false">
      <c r="A93" s="9" t="s">
        <v>6229</v>
      </c>
      <c r="B93" s="11" t="s">
        <v>6230</v>
      </c>
      <c r="C93" s="9" t="s">
        <v>482</v>
      </c>
      <c r="D93" s="17" t="n">
        <f aca="false">SRC_ANT_306</f>
        <v>15</v>
      </c>
      <c r="K93" s="12" t="s">
        <v>6231</v>
      </c>
    </row>
    <row r="94" customFormat="false" ht="15" hidden="false" customHeight="false" outlineLevel="0" collapsed="false">
      <c r="A94" s="9" t="s">
        <v>6232</v>
      </c>
      <c r="B94" s="9" t="s">
        <v>6233</v>
      </c>
      <c r="C94" s="9" t="s">
        <v>482</v>
      </c>
      <c r="D94" s="17" t="n">
        <f aca="false">SRC_ANT_251_Hi</f>
        <v>42</v>
      </c>
      <c r="K94" s="12" t="s">
        <v>6234</v>
      </c>
    </row>
    <row r="95" customFormat="false" ht="15" hidden="false" customHeight="false" outlineLevel="0" collapsed="false">
      <c r="A95" s="9" t="s">
        <v>6235</v>
      </c>
      <c r="B95" s="11" t="s">
        <v>6236</v>
      </c>
      <c r="C95" s="9" t="s">
        <v>482</v>
      </c>
      <c r="D95" s="17" t="n">
        <f aca="false">SRC_ANT_307</f>
        <v>71</v>
      </c>
      <c r="K95" s="12" t="s">
        <v>6237</v>
      </c>
    </row>
    <row r="96" customFormat="false" ht="15" hidden="false" customHeight="false" outlineLevel="0" collapsed="false">
      <c r="A96" s="9" t="s">
        <v>6238</v>
      </c>
      <c r="B96" s="11" t="s">
        <v>6239</v>
      </c>
      <c r="C96" s="9" t="s">
        <v>482</v>
      </c>
      <c r="D96" s="17" t="n">
        <f aca="false">D93+D94+D95</f>
        <v>128</v>
      </c>
      <c r="K96" s="2" t="s">
        <v>6240</v>
      </c>
    </row>
    <row r="97" customFormat="false" ht="15" hidden="false" customHeight="false" outlineLevel="0" collapsed="false">
      <c r="A97" s="9" t="s">
        <v>6241</v>
      </c>
      <c r="B97" s="11" t="s">
        <v>6242</v>
      </c>
      <c r="C97" s="9" t="s">
        <v>482</v>
      </c>
      <c r="D97" s="17" t="n">
        <f aca="false">(Cost!$D$138+Cost!$D$139+Cost!$D$140+Cost!$D$141+Cost!$D$142+Cost!$D$143+Cost!$D$144+Cost!$D$145+Cost!$D$146+Cost!$D$147)-(SUM(Cost!$D$40:$I$40)+SUM(Cost!$D$41:$I$41)+SUM(Cost!$D$42:$I$42)+SUM(Cost!$D$43:$I$43)+SUM(Cost!$D$44:$I$44)+SUM(Cost!$D$45:$I$45)+SUM(Cost!$D$46:$I$46)+SUM(Cost!$D$47:$I$47)+SUM(Cost!$D$48:$I$48)+SUM(Cost!$D$49:$I$49))</f>
        <v>212.578137227728</v>
      </c>
      <c r="K97" s="12" t="s">
        <v>6243</v>
      </c>
    </row>
    <row r="98" customFormat="false" ht="15" hidden="false" customHeight="false" outlineLevel="0" collapsed="false">
      <c r="A98" s="9" t="s">
        <v>6244</v>
      </c>
      <c r="B98" s="11" t="s">
        <v>6245</v>
      </c>
      <c r="C98" s="11" t="s">
        <v>269</v>
      </c>
      <c r="D98" s="16" t="n">
        <f aca="false">SRC_ANT_246</f>
        <v>0.8</v>
      </c>
      <c r="K98" s="12" t="s">
        <v>6246</v>
      </c>
    </row>
    <row r="99" customFormat="false" ht="15" hidden="false" customHeight="false" outlineLevel="0" collapsed="false">
      <c r="A99" s="15" t="s">
        <v>6247</v>
      </c>
    </row>
    <row r="100" customFormat="false" ht="15" hidden="false" customHeight="false" outlineLevel="0" collapsed="false">
      <c r="A100" s="9" t="s">
        <v>6248</v>
      </c>
      <c r="B100" s="11" t="s">
        <v>6249</v>
      </c>
      <c r="C100" s="11" t="s">
        <v>6250</v>
      </c>
      <c r="D100" s="29" t="s">
        <v>6251</v>
      </c>
      <c r="E100" s="29" t="s">
        <v>6252</v>
      </c>
      <c r="F100" s="29" t="s">
        <v>6253</v>
      </c>
      <c r="G100" s="29" t="s">
        <v>6254</v>
      </c>
      <c r="H100" s="29" t="s">
        <v>6255</v>
      </c>
      <c r="I100" s="29" t="s">
        <v>6256</v>
      </c>
      <c r="K100" s="2"/>
    </row>
    <row r="101" customFormat="false" ht="15" hidden="false" customHeight="false" outlineLevel="0" collapsed="false">
      <c r="A101" s="9" t="s">
        <v>6257</v>
      </c>
      <c r="B101" s="9" t="s">
        <v>6258</v>
      </c>
      <c r="C101" s="11" t="s">
        <v>6250</v>
      </c>
      <c r="D101" s="22" t="n">
        <f aca="false">SRC_ANT_323</f>
        <v>18</v>
      </c>
      <c r="E101" s="22" t="n">
        <f aca="false">SRC_ANT_322</f>
        <v>15</v>
      </c>
      <c r="F101" s="22" t="n">
        <f aca="false">SRC_ANT_248</f>
        <v>110</v>
      </c>
      <c r="G101" s="30" t="n">
        <f aca="false">SUM(Cost!$E$42:$I$42)</f>
        <v>52.1052631578947</v>
      </c>
      <c r="H101" s="22" t="n">
        <f aca="false">D101/G101</f>
        <v>0.345454545454545</v>
      </c>
      <c r="I101" s="22" t="n">
        <f aca="false">(D101+E101)/F101</f>
        <v>0.3</v>
      </c>
      <c r="K101" s="2" t="s">
        <v>6259</v>
      </c>
    </row>
    <row r="102" customFormat="false" ht="15" hidden="false" customHeight="false" outlineLevel="0" collapsed="false">
      <c r="A102" s="9" t="s">
        <v>6260</v>
      </c>
      <c r="B102" s="9" t="s">
        <v>6261</v>
      </c>
      <c r="C102" s="11" t="s">
        <v>6250</v>
      </c>
      <c r="D102" s="22" t="n">
        <f aca="false">SRC_ANT_327+SRC_ANT_328</f>
        <v>13</v>
      </c>
      <c r="E102" s="22" t="n">
        <f aca="false">SRC_ANT_329</f>
        <v>30</v>
      </c>
      <c r="F102" s="22" t="n">
        <f aca="false">SRC_ANT_247_Lo</f>
        <v>111.1</v>
      </c>
      <c r="G102" s="30" t="n">
        <f aca="false">SUM(Cost!$E$40:$I$40)</f>
        <v>66.66</v>
      </c>
      <c r="H102" s="22" t="n">
        <f aca="false">D102/G102</f>
        <v>0.195019501950195</v>
      </c>
      <c r="I102" s="22" t="n">
        <f aca="false">(D102+E102)/F102</f>
        <v>0.387038703870387</v>
      </c>
      <c r="K102" s="12" t="s">
        <v>6262</v>
      </c>
    </row>
    <row r="103" customFormat="false" ht="15" hidden="false" customHeight="false" outlineLevel="0" collapsed="false">
      <c r="A103" s="9" t="s">
        <v>6263</v>
      </c>
      <c r="B103" s="9" t="s">
        <v>6264</v>
      </c>
      <c r="C103" s="11" t="s">
        <v>6250</v>
      </c>
      <c r="E103" s="22" t="n">
        <f aca="false">SRC_ANT_251_Hi</f>
        <v>42</v>
      </c>
      <c r="F103" s="22" t="n">
        <f aca="false">SRC_ANT_249</f>
        <v>161.2</v>
      </c>
      <c r="G103" s="30" t="n">
        <f aca="false">SUM(Cost!$E$41:$I$41)</f>
        <v>97.3777777777778</v>
      </c>
      <c r="I103" s="22" t="n">
        <f aca="false">E103/F103</f>
        <v>0.260545905707196</v>
      </c>
      <c r="K103" s="12" t="s">
        <v>6265</v>
      </c>
    </row>
    <row r="104" customFormat="false" ht="15" hidden="false" customHeight="false" outlineLevel="0" collapsed="false">
      <c r="A104" s="9" t="s">
        <v>6266</v>
      </c>
      <c r="B104" s="9" t="s">
        <v>6267</v>
      </c>
      <c r="C104" s="11" t="s">
        <v>6250</v>
      </c>
      <c r="D104" s="22" t="n">
        <f aca="false">SRC_ANT_331</f>
        <v>5</v>
      </c>
      <c r="F104" s="22" t="n">
        <f aca="false">SRC_ANT_211</f>
        <v>31.4</v>
      </c>
      <c r="G104" s="30" t="n">
        <f aca="false">SUM(Cost!$E$43:$I$43)</f>
        <v>16.9076923076923</v>
      </c>
      <c r="H104" s="22" t="n">
        <f aca="false">D104/G104</f>
        <v>0.295723384895359</v>
      </c>
      <c r="I104" s="22" t="n">
        <f aca="false">D104/F104</f>
        <v>0.159235668789809</v>
      </c>
      <c r="K104" s="2"/>
    </row>
    <row r="105" customFormat="false" ht="15" hidden="false" customHeight="false" outlineLevel="0" collapsed="false">
      <c r="A105" s="9" t="s">
        <v>6268</v>
      </c>
      <c r="B105" s="9" t="s">
        <v>6269</v>
      </c>
      <c r="C105" s="11" t="s">
        <v>6250</v>
      </c>
      <c r="E105" s="22" t="n">
        <f aca="false">SRC_ANT_330-SRC_ANT_331</f>
        <v>10</v>
      </c>
      <c r="G105" s="30" t="n">
        <f aca="false">SUM(Cost!$E$43:$I$43)+SUM(Cost!$E$45:$I$45)+SUM(Cost!$E$46:$I$46)+SUM(Cost!$E$47:$I$47)+SUM(Cost!$E$48:$I$48)+SUM(Cost!$E$49:$I$49)</f>
        <v>109.0588218366</v>
      </c>
      <c r="K105" s="2" t="s">
        <v>6270</v>
      </c>
    </row>
    <row r="106" customFormat="false" ht="15" hidden="false" customHeight="false" outlineLevel="0" collapsed="false">
      <c r="A106" s="9" t="s">
        <v>6271</v>
      </c>
      <c r="B106" s="9" t="s">
        <v>6272</v>
      </c>
      <c r="C106" s="11" t="s">
        <v>6250</v>
      </c>
      <c r="E106" s="22" t="n">
        <f aca="false">SRC_ANT_332</f>
        <v>5</v>
      </c>
      <c r="F106" s="22" t="n">
        <f aca="false">SRC_ANT_232_Lo</f>
        <v>20</v>
      </c>
      <c r="G106" s="30" t="n">
        <f aca="false">SUM(Cost!$E$44:$I$44)</f>
        <v>60.48</v>
      </c>
      <c r="I106" s="22" t="n">
        <f aca="false">E106/F106</f>
        <v>0.25</v>
      </c>
      <c r="K106" s="2"/>
    </row>
    <row r="107" customFormat="false" ht="15" hidden="false" customHeight="false" outlineLevel="0" collapsed="false">
      <c r="A107" s="9" t="s">
        <v>6273</v>
      </c>
      <c r="B107" s="11" t="s">
        <v>6274</v>
      </c>
      <c r="C107" s="11" t="s">
        <v>6250</v>
      </c>
      <c r="D107" s="22" t="n">
        <f aca="false">D101+D102+D103+D104+D105+D106</f>
        <v>36</v>
      </c>
      <c r="E107" s="22" t="n">
        <f aca="false">E101+E102+E103+E104+E105+E106</f>
        <v>102</v>
      </c>
      <c r="F107" s="22" t="n">
        <f aca="false">F101+F102+F103+F104+F105+F106</f>
        <v>433.7</v>
      </c>
      <c r="G107" s="22" t="n">
        <f aca="false">G101+G102+G103+G104+G106</f>
        <v>293.530733243365</v>
      </c>
      <c r="H107" s="22" t="n">
        <f aca="false">D107/G107</f>
        <v>0.122644738430686</v>
      </c>
      <c r="I107" s="22" t="n">
        <f aca="false">(D107+E107)/F107</f>
        <v>0.318192298824072</v>
      </c>
      <c r="K107" s="2" t="s">
        <v>6275</v>
      </c>
    </row>
    <row r="108" customFormat="false" ht="15" hidden="false" customHeight="false" outlineLevel="0" collapsed="false">
      <c r="A108" s="15" t="s">
        <v>6276</v>
      </c>
    </row>
    <row r="109" customFormat="false" ht="15" hidden="false" customHeight="false" outlineLevel="0" collapsed="false">
      <c r="A109" s="9" t="s">
        <v>6277</v>
      </c>
      <c r="B109" s="9" t="s">
        <v>6278</v>
      </c>
      <c r="C109" s="9" t="s">
        <v>482</v>
      </c>
      <c r="E109" s="17" t="n">
        <f aca="false">SRC_ANT_392</f>
        <v>72</v>
      </c>
      <c r="K109" s="12" t="s">
        <v>6279</v>
      </c>
    </row>
    <row r="110" customFormat="false" ht="15" hidden="false" customHeight="false" outlineLevel="0" collapsed="false">
      <c r="A110" s="9" t="s">
        <v>6280</v>
      </c>
      <c r="B110" s="11" t="s">
        <v>6281</v>
      </c>
      <c r="C110" s="9" t="s">
        <v>482</v>
      </c>
      <c r="E110" s="17" t="n">
        <f aca="false">SRC_ANT_391</f>
        <v>80.7</v>
      </c>
      <c r="K110" s="12" t="s">
        <v>6282</v>
      </c>
    </row>
    <row r="111" customFormat="false" ht="15" hidden="false" customHeight="false" outlineLevel="0" collapsed="false">
      <c r="A111" s="9" t="s">
        <v>6283</v>
      </c>
      <c r="B111" s="11" t="s">
        <v>6284</v>
      </c>
      <c r="C111" s="9" t="s">
        <v>482</v>
      </c>
      <c r="E111" s="17" t="n">
        <f aca="false">E110-E109</f>
        <v>8.7</v>
      </c>
      <c r="K111" s="2" t="s">
        <v>6285</v>
      </c>
    </row>
    <row r="112" customFormat="false" ht="15" hidden="false" customHeight="false" outlineLevel="0" collapsed="false">
      <c r="A112" s="9" t="s">
        <v>6286</v>
      </c>
      <c r="B112" s="11" t="s">
        <v>6287</v>
      </c>
      <c r="C112" s="11" t="s">
        <v>269</v>
      </c>
      <c r="E112" s="16" t="n">
        <f aca="false">E109/E110</f>
        <v>0.892193308550186</v>
      </c>
      <c r="K112" s="2"/>
    </row>
    <row r="113" customFormat="false" ht="15" hidden="false" customHeight="false" outlineLevel="0" collapsed="false">
      <c r="A113" s="15" t="s">
        <v>6288</v>
      </c>
    </row>
    <row r="114" customFormat="false" ht="15" hidden="false" customHeight="false" outlineLevel="0" collapsed="false">
      <c r="A114" s="9" t="s">
        <v>6289</v>
      </c>
      <c r="B114" s="11" t="s">
        <v>6290</v>
      </c>
      <c r="C114" s="9" t="s">
        <v>482</v>
      </c>
      <c r="E114" s="17" t="n">
        <f aca="false">E36</f>
        <v>100</v>
      </c>
      <c r="F114" s="17" t="n">
        <f aca="false">F36</f>
        <v>0</v>
      </c>
      <c r="G114" s="17" t="n">
        <f aca="false">G36</f>
        <v>0</v>
      </c>
      <c r="H114" s="17" t="n">
        <f aca="false">H36</f>
        <v>0</v>
      </c>
      <c r="I114" s="17" t="n">
        <f aca="false">I36</f>
        <v>0</v>
      </c>
      <c r="K114" s="12" t="s">
        <v>6291</v>
      </c>
    </row>
    <row r="115" customFormat="false" ht="15" hidden="false" customHeight="false" outlineLevel="0" collapsed="false">
      <c r="A115" s="9" t="s">
        <v>6292</v>
      </c>
      <c r="B115" s="11" t="s">
        <v>6293</v>
      </c>
      <c r="C115" s="9" t="s">
        <v>482</v>
      </c>
      <c r="E115" s="17" t="n">
        <f aca="false">SRC_ANT_305+Cost!E265+E114</f>
        <v>117.691580641443</v>
      </c>
      <c r="F115" s="17" t="n">
        <f aca="false">E117+Cost!F265+F114</f>
        <v>99.1878611908376</v>
      </c>
      <c r="G115" s="17" t="n">
        <f aca="false">F117+Cost!G265+G114</f>
        <v>72.6896065299108</v>
      </c>
      <c r="H115" s="17" t="n">
        <f aca="false">G117+Cost!H265+H114</f>
        <v>97.2113568144784</v>
      </c>
      <c r="I115" s="17" t="n">
        <f aca="false">H117+Cost!I265+I114</f>
        <v>170.265893553726</v>
      </c>
      <c r="K115" s="2"/>
    </row>
    <row r="116" customFormat="false" ht="15" hidden="false" customHeight="false" outlineLevel="0" collapsed="false">
      <c r="A116" s="9" t="s">
        <v>6294</v>
      </c>
      <c r="B116" s="11" t="s">
        <v>6295</v>
      </c>
      <c r="C116" s="9" t="s">
        <v>482</v>
      </c>
      <c r="E116" s="17" t="n">
        <f aca="false">(E38-E115)*(E38&gt;E115)</f>
        <v>-0</v>
      </c>
      <c r="F116" s="17" t="n">
        <f aca="false">(F38-F115)*(F38&gt;F115)</f>
        <v>-0</v>
      </c>
      <c r="G116" s="17" t="n">
        <f aca="false">(G38-G115)*(G38&gt;G115)</f>
        <v>-0</v>
      </c>
      <c r="H116" s="17" t="n">
        <f aca="false">(H38-H115)*(H38&gt;H115)</f>
        <v>-0</v>
      </c>
      <c r="I116" s="17" t="n">
        <f aca="false">(I38-I115)*(I38&gt;I115)</f>
        <v>-0</v>
      </c>
      <c r="K116" s="2"/>
    </row>
    <row r="117" customFormat="false" ht="15" hidden="false" customHeight="false" outlineLevel="0" collapsed="false">
      <c r="A117" s="9" t="s">
        <v>6296</v>
      </c>
      <c r="B117" s="11" t="s">
        <v>6297</v>
      </c>
      <c r="C117" s="9" t="s">
        <v>482</v>
      </c>
      <c r="D117" s="17" t="n">
        <f aca="false">SRC_ANT_305</f>
        <v>20.28</v>
      </c>
      <c r="E117" s="17" t="n">
        <f aca="false">E115+E116</f>
        <v>117.691580641443</v>
      </c>
      <c r="F117" s="17" t="n">
        <f aca="false">F115+F116</f>
        <v>99.1878611908376</v>
      </c>
      <c r="G117" s="17" t="n">
        <f aca="false">G115+G116</f>
        <v>72.6896065299108</v>
      </c>
      <c r="H117" s="17" t="n">
        <f aca="false">H115+H116</f>
        <v>97.2113568144784</v>
      </c>
      <c r="I117" s="17" t="n">
        <f aca="false">I115+I116</f>
        <v>170.265893553726</v>
      </c>
      <c r="K117" s="2"/>
    </row>
    <row r="118" customFormat="false" ht="15" hidden="false" customHeight="false" outlineLevel="0" collapsed="false">
      <c r="A118" s="9" t="s">
        <v>6298</v>
      </c>
      <c r="B118" s="11" t="s">
        <v>6299</v>
      </c>
      <c r="C118" s="9" t="s">
        <v>482</v>
      </c>
      <c r="E118" s="17" t="n">
        <f aca="false">E116</f>
        <v>-0</v>
      </c>
      <c r="F118" s="17" t="n">
        <f aca="false">E118+F116</f>
        <v>-0</v>
      </c>
      <c r="G118" s="17" t="n">
        <f aca="false">F118+G116</f>
        <v>-0</v>
      </c>
      <c r="H118" s="17" t="n">
        <f aca="false">G118+H116</f>
        <v>-0</v>
      </c>
      <c r="I118" s="17" t="n">
        <f aca="false">H118+I116</f>
        <v>-0</v>
      </c>
      <c r="K118" s="2"/>
    </row>
    <row r="119" customFormat="false" ht="15" hidden="false" customHeight="false" outlineLevel="0" collapsed="false">
      <c r="A119" s="15" t="s">
        <v>6300</v>
      </c>
    </row>
    <row r="120" customFormat="false" ht="15" hidden="false" customHeight="false" outlineLevel="0" collapsed="false">
      <c r="A120" s="9" t="s">
        <v>6301</v>
      </c>
      <c r="B120" s="11" t="s">
        <v>6302</v>
      </c>
      <c r="C120" s="9" t="s">
        <v>482</v>
      </c>
      <c r="D120" s="17" t="n">
        <f aca="false">SRC_ANT_305*INP_188</f>
        <v>0</v>
      </c>
      <c r="K120" s="12" t="s">
        <v>6303</v>
      </c>
    </row>
    <row r="121" customFormat="false" ht="15" hidden="false" customHeight="false" outlineLevel="0" collapsed="false">
      <c r="A121" s="9" t="s">
        <v>6304</v>
      </c>
      <c r="B121" s="11" t="s">
        <v>6305</v>
      </c>
      <c r="C121" s="9" t="s">
        <v>482</v>
      </c>
      <c r="E121" s="17" t="n">
        <f aca="false">E14</f>
        <v>-2.58841935855733</v>
      </c>
      <c r="F121" s="17" t="n">
        <f aca="false">E121+F14</f>
        <v>-21.0921388091624</v>
      </c>
      <c r="G121" s="17" t="n">
        <f aca="false">F121+G14</f>
        <v>-36.0519319316277</v>
      </c>
      <c r="H121" s="17" t="n">
        <f aca="false">G121+H14</f>
        <v>11.546741429863</v>
      </c>
      <c r="I121" s="17" t="n">
        <f aca="false">H121+I14</f>
        <v>107.678201246033</v>
      </c>
      <c r="K121" s="2" t="s">
        <v>6306</v>
      </c>
    </row>
    <row r="122" customFormat="false" ht="15" hidden="false" customHeight="false" outlineLevel="0" collapsed="false">
      <c r="A122" s="9" t="s">
        <v>6307</v>
      </c>
      <c r="B122" s="11" t="s">
        <v>6308</v>
      </c>
      <c r="C122" s="11" t="s">
        <v>2189</v>
      </c>
      <c r="E122" s="23" t="str">
        <f aca="false">IF(E8&gt;E9+E11,E$6,"")</f>
        <v/>
      </c>
      <c r="F122" s="23" t="str">
        <f aca="false">IF(F8&gt;F9+F11,F$6,"")</f>
        <v/>
      </c>
      <c r="G122" s="23" t="str">
        <f aca="false">IF(G8&gt;G9+G11,G$6,"")</f>
        <v/>
      </c>
      <c r="H122" s="23" t="n">
        <f aca="false">IF(H8&gt;H9+H11,H$6,"")</f>
        <v>2029</v>
      </c>
      <c r="I122" s="23" t="n">
        <f aca="false">IF(I8&gt;I9+I11,I$6,"")</f>
        <v>2030</v>
      </c>
      <c r="K122" s="2"/>
    </row>
    <row r="123" customFormat="false" ht="15" hidden="false" customHeight="false" outlineLevel="0" collapsed="false">
      <c r="A123" s="9" t="s">
        <v>6309</v>
      </c>
      <c r="B123" s="11" t="s">
        <v>6310</v>
      </c>
      <c r="C123" s="11" t="s">
        <v>2189</v>
      </c>
      <c r="D123" s="23" t="n">
        <f aca="false">IF(COUNT($D$122:$I$122),MIN($D$122:$I$122),"無")</f>
        <v>2029</v>
      </c>
      <c r="K123" s="2" t="s">
        <v>6311</v>
      </c>
    </row>
    <row r="124" customFormat="false" ht="15" hidden="false" customHeight="false" outlineLevel="0" collapsed="false">
      <c r="A124" s="9" t="s">
        <v>6312</v>
      </c>
      <c r="B124" s="11" t="s">
        <v>6313</v>
      </c>
      <c r="C124" s="9" t="s">
        <v>482</v>
      </c>
      <c r="E124" s="17" t="n">
        <f aca="false">$D$120+E14</f>
        <v>-2.58841935855733</v>
      </c>
      <c r="F124" s="17" t="n">
        <f aca="false">E126+F14</f>
        <v>-14.5269930892051</v>
      </c>
      <c r="G124" s="17" t="n">
        <f aca="false">F126+G14</f>
        <v>-10.0445593397749</v>
      </c>
      <c r="H124" s="17" t="n">
        <f aca="false">G126+H14</f>
        <v>53.4207677770875</v>
      </c>
      <c r="I124" s="17" t="n">
        <f aca="false">H126+I14</f>
        <v>149.552227593258</v>
      </c>
      <c r="K124" s="2"/>
    </row>
    <row r="125" customFormat="false" ht="15" hidden="false" customHeight="false" outlineLevel="0" collapsed="false">
      <c r="A125" s="9" t="s">
        <v>6314</v>
      </c>
      <c r="B125" s="11" t="s">
        <v>6315</v>
      </c>
      <c r="C125" s="9" t="s">
        <v>482</v>
      </c>
      <c r="E125" s="17" t="n">
        <f aca="false">(E38-E124)*(E38&gt;E124)</f>
        <v>6.56514571995733</v>
      </c>
      <c r="F125" s="17" t="n">
        <f aca="false">(F38-F124)*(F38&gt;F124)</f>
        <v>19.4422268718955</v>
      </c>
      <c r="G125" s="17" t="n">
        <f aca="false">(G38-G124)*(G38&gt;G124)</f>
        <v>15.8666537553716</v>
      </c>
      <c r="H125" s="17" t="n">
        <f aca="false">(H38-H124)*(H38&gt;H124)</f>
        <v>-0</v>
      </c>
      <c r="I125" s="17" t="n">
        <f aca="false">(I38-I124)*(I38&gt;I124)</f>
        <v>-0</v>
      </c>
      <c r="K125" s="2"/>
    </row>
    <row r="126" customFormat="false" ht="15" hidden="false" customHeight="false" outlineLevel="0" collapsed="false">
      <c r="A126" s="9" t="s">
        <v>6316</v>
      </c>
      <c r="B126" s="11" t="s">
        <v>6317</v>
      </c>
      <c r="C126" s="9" t="s">
        <v>482</v>
      </c>
      <c r="D126" s="17" t="n">
        <f aca="false">$D$120</f>
        <v>0</v>
      </c>
      <c r="E126" s="17" t="n">
        <f aca="false">E124+E125</f>
        <v>3.9767263614</v>
      </c>
      <c r="F126" s="17" t="n">
        <f aca="false">F124+F125</f>
        <v>4.9152337826904</v>
      </c>
      <c r="G126" s="17" t="n">
        <f aca="false">G124+G125</f>
        <v>5.82209441559678</v>
      </c>
      <c r="H126" s="17" t="n">
        <f aca="false">H124+H125</f>
        <v>53.4207677770875</v>
      </c>
      <c r="I126" s="17" t="n">
        <f aca="false">I124+I125</f>
        <v>149.552227593258</v>
      </c>
      <c r="K126" s="2"/>
    </row>
    <row r="127" customFormat="false" ht="15" hidden="false" customHeight="false" outlineLevel="0" collapsed="false">
      <c r="A127" s="9" t="s">
        <v>6318</v>
      </c>
      <c r="B127" s="11" t="s">
        <v>6319</v>
      </c>
      <c r="C127" s="9" t="s">
        <v>482</v>
      </c>
      <c r="E127" s="17" t="n">
        <f aca="false">E125</f>
        <v>6.56514571995733</v>
      </c>
      <c r="F127" s="17" t="n">
        <f aca="false">E127+F125</f>
        <v>26.0073725918528</v>
      </c>
      <c r="G127" s="17" t="n">
        <f aca="false">F127+G125</f>
        <v>41.8740263472245</v>
      </c>
      <c r="H127" s="17" t="n">
        <f aca="false">G127+H125</f>
        <v>41.8740263472245</v>
      </c>
      <c r="I127" s="17" t="n">
        <f aca="false">H127+I125</f>
        <v>41.8740263472245</v>
      </c>
      <c r="K127" s="2"/>
    </row>
    <row r="128" customFormat="false" ht="15" hidden="false" customHeight="false" outlineLevel="0" collapsed="false">
      <c r="A128" s="9" t="s">
        <v>6320</v>
      </c>
      <c r="B128" s="11" t="s">
        <v>6321</v>
      </c>
      <c r="C128" s="9" t="s">
        <v>482</v>
      </c>
      <c r="E128" s="17" t="n">
        <f aca="false">$D$120+E14</f>
        <v>-2.58841935855733</v>
      </c>
      <c r="F128" s="17" t="n">
        <f aca="false">E128+F14</f>
        <v>-21.0921388091624</v>
      </c>
      <c r="G128" s="17" t="n">
        <f aca="false">F128+G14</f>
        <v>-36.0519319316277</v>
      </c>
      <c r="H128" s="17" t="n">
        <f aca="false">G128+H14</f>
        <v>11.546741429863</v>
      </c>
      <c r="I128" s="17" t="n">
        <f aca="false">H128+I14</f>
        <v>107.678201246033</v>
      </c>
      <c r="K128" s="2" t="s">
        <v>6322</v>
      </c>
    </row>
    <row r="129" customFormat="false" ht="15" hidden="false" customHeight="false" outlineLevel="0" collapsed="false">
      <c r="A129" s="9" t="s">
        <v>6323</v>
      </c>
      <c r="B129" s="11" t="s">
        <v>6324</v>
      </c>
      <c r="C129" s="11" t="s">
        <v>2189</v>
      </c>
      <c r="E129" s="23" t="n">
        <f aca="false">IF(SIGN(E125),E$6,"")</f>
        <v>2026</v>
      </c>
      <c r="F129" s="23" t="n">
        <f aca="false">IF(SIGN(F125),F$6,"")</f>
        <v>2027</v>
      </c>
      <c r="G129" s="23" t="n">
        <f aca="false">IF(SIGN(G125),G$6,"")</f>
        <v>2028</v>
      </c>
      <c r="H129" s="23" t="str">
        <f aca="false">IF(SIGN(H125),H$6,"")</f>
        <v/>
      </c>
      <c r="I129" s="23" t="str">
        <f aca="false">IF(SIGN(I125),I$6,"")</f>
        <v/>
      </c>
      <c r="K129" s="2"/>
    </row>
    <row r="130" customFormat="false" ht="15" hidden="false" customHeight="false" outlineLevel="0" collapsed="false">
      <c r="A130" s="9" t="s">
        <v>6325</v>
      </c>
      <c r="B130" s="11" t="s">
        <v>6326</v>
      </c>
      <c r="C130" s="11" t="s">
        <v>2189</v>
      </c>
      <c r="D130" s="23" t="n">
        <f aca="false">IF(COUNT($D$129:$I$129),MIN($D$129:$I$129),"無")</f>
        <v>2026</v>
      </c>
      <c r="K130" s="2"/>
    </row>
    <row r="131" customFormat="false" ht="15" hidden="false" customHeight="false" outlineLevel="0" collapsed="false">
      <c r="A131" s="9" t="s">
        <v>6327</v>
      </c>
      <c r="B131" s="11" t="s">
        <v>6328</v>
      </c>
      <c r="C131" s="9" t="s">
        <v>482</v>
      </c>
      <c r="D131" s="17" t="n">
        <f aca="false">I127</f>
        <v>41.8740263472245</v>
      </c>
      <c r="K131" s="2"/>
    </row>
    <row r="132" customFormat="false" ht="15" hidden="false" customHeight="false" outlineLevel="0" collapsed="false">
      <c r="A132" s="9" t="s">
        <v>6329</v>
      </c>
      <c r="B132" s="11" t="s">
        <v>6330</v>
      </c>
      <c r="C132" s="9" t="s">
        <v>482</v>
      </c>
      <c r="D132" s="17" t="n">
        <f aca="false">MIN($D$128:$I$128)</f>
        <v>-36.0519319316277</v>
      </c>
      <c r="K132" s="2" t="s">
        <v>6331</v>
      </c>
    </row>
    <row r="133" customFormat="false" ht="15" hidden="false" customHeight="false" outlineLevel="0" collapsed="false">
      <c r="A133" s="9" t="s">
        <v>6332</v>
      </c>
      <c r="B133" s="11" t="s">
        <v>6333</v>
      </c>
      <c r="C133" s="9" t="s">
        <v>482</v>
      </c>
      <c r="E133" s="17" t="n">
        <f aca="false">E36</f>
        <v>100</v>
      </c>
      <c r="F133" s="17" t="n">
        <f aca="false">F36</f>
        <v>0</v>
      </c>
      <c r="G133" s="17" t="n">
        <f aca="false">G36</f>
        <v>0</v>
      </c>
      <c r="H133" s="17" t="n">
        <f aca="false">H36</f>
        <v>0</v>
      </c>
      <c r="I133" s="17" t="n">
        <f aca="false">I36</f>
        <v>0</v>
      </c>
      <c r="K133" s="2"/>
    </row>
    <row r="134" customFormat="false" ht="15" hidden="false" customHeight="false" outlineLevel="0" collapsed="false">
      <c r="A134" s="9" t="s">
        <v>6334</v>
      </c>
      <c r="B134" s="11" t="s">
        <v>6335</v>
      </c>
      <c r="C134" s="9" t="s">
        <v>482</v>
      </c>
      <c r="E134" s="17" t="n">
        <f aca="false">SRC_ANT_305+E14+E133</f>
        <v>117.691580641443</v>
      </c>
      <c r="F134" s="17" t="n">
        <f aca="false">E136+F14+F133</f>
        <v>99.1878611908376</v>
      </c>
      <c r="G134" s="17" t="n">
        <f aca="false">F136+G14+G133</f>
        <v>84.2280680683723</v>
      </c>
      <c r="H134" s="17" t="n">
        <f aca="false">G136+H14+H133</f>
        <v>131.826741429863</v>
      </c>
      <c r="I134" s="17" t="n">
        <f aca="false">H136+I14+I133</f>
        <v>227.958201246033</v>
      </c>
      <c r="K134" s="2"/>
    </row>
    <row r="135" customFormat="false" ht="15" hidden="false" customHeight="false" outlineLevel="0" collapsed="false">
      <c r="A135" s="9" t="s">
        <v>6336</v>
      </c>
      <c r="B135" s="11" t="s">
        <v>6337</v>
      </c>
      <c r="C135" s="9" t="s">
        <v>482</v>
      </c>
      <c r="E135" s="17" t="n">
        <f aca="false">(E38-E134)*(E38&gt;E134)</f>
        <v>-0</v>
      </c>
      <c r="F135" s="17" t="n">
        <f aca="false">(F38-F134)*(F38&gt;F134)</f>
        <v>-0</v>
      </c>
      <c r="G135" s="17" t="n">
        <f aca="false">(G38-G134)*(G38&gt;G134)</f>
        <v>-0</v>
      </c>
      <c r="H135" s="17" t="n">
        <f aca="false">(H38-H134)*(H38&gt;H134)</f>
        <v>-0</v>
      </c>
      <c r="I135" s="17" t="n">
        <f aca="false">(I38-I134)*(I38&gt;I134)</f>
        <v>-0</v>
      </c>
      <c r="K135" s="2"/>
    </row>
    <row r="136" customFormat="false" ht="15" hidden="false" customHeight="false" outlineLevel="0" collapsed="false">
      <c r="A136" s="9" t="s">
        <v>6338</v>
      </c>
      <c r="B136" s="11" t="s">
        <v>6339</v>
      </c>
      <c r="C136" s="9" t="s">
        <v>482</v>
      </c>
      <c r="D136" s="17" t="n">
        <f aca="false">SRC_ANT_305</f>
        <v>20.28</v>
      </c>
      <c r="E136" s="17" t="n">
        <f aca="false">E134+E135</f>
        <v>117.691580641443</v>
      </c>
      <c r="F136" s="17" t="n">
        <f aca="false">F134+F135</f>
        <v>99.1878611908376</v>
      </c>
      <c r="G136" s="17" t="n">
        <f aca="false">G134+G135</f>
        <v>84.2280680683723</v>
      </c>
      <c r="H136" s="17" t="n">
        <f aca="false">H134+H135</f>
        <v>131.826741429863</v>
      </c>
      <c r="I136" s="17" t="n">
        <f aca="false">I134+I135</f>
        <v>227.958201246033</v>
      </c>
      <c r="K136" s="2"/>
    </row>
    <row r="137" customFormat="false" ht="15" hidden="false" customHeight="false" outlineLevel="0" collapsed="false">
      <c r="A137" s="9" t="s">
        <v>6340</v>
      </c>
      <c r="B137" s="11" t="s">
        <v>6341</v>
      </c>
      <c r="C137" s="9" t="s">
        <v>482</v>
      </c>
      <c r="E137" s="17" t="n">
        <f aca="false">E135</f>
        <v>-0</v>
      </c>
      <c r="F137" s="17" t="n">
        <f aca="false">E137+F135</f>
        <v>-0</v>
      </c>
      <c r="G137" s="17" t="n">
        <f aca="false">F137+G135</f>
        <v>-0</v>
      </c>
      <c r="H137" s="17" t="n">
        <f aca="false">G137+H135</f>
        <v>-0</v>
      </c>
      <c r="I137" s="17" t="n">
        <f aca="false">H137+I135</f>
        <v>-0</v>
      </c>
      <c r="K137" s="2"/>
    </row>
    <row r="138" customFormat="false" ht="15" hidden="false" customHeight="false" outlineLevel="0" collapsed="false">
      <c r="A138" s="9" t="s">
        <v>6342</v>
      </c>
      <c r="B138" s="11" t="s">
        <v>6343</v>
      </c>
      <c r="C138" s="9" t="s">
        <v>482</v>
      </c>
      <c r="E138" s="17" t="n">
        <f aca="false">SRC_ANT_305+E14+E133</f>
        <v>117.691580641443</v>
      </c>
      <c r="F138" s="17" t="n">
        <f aca="false">E138+F14+F133</f>
        <v>99.1878611908376</v>
      </c>
      <c r="G138" s="17" t="n">
        <f aca="false">F138+G14+G133</f>
        <v>84.2280680683723</v>
      </c>
      <c r="H138" s="17" t="n">
        <f aca="false">G138+H14+H133</f>
        <v>131.826741429863</v>
      </c>
      <c r="I138" s="17" t="n">
        <f aca="false">H138+I14+I133</f>
        <v>227.958201246033</v>
      </c>
      <c r="K138" s="2" t="s">
        <v>6322</v>
      </c>
    </row>
    <row r="139" customFormat="false" ht="15" hidden="false" customHeight="false" outlineLevel="0" collapsed="false">
      <c r="A139" s="9" t="s">
        <v>6344</v>
      </c>
      <c r="B139" s="11" t="s">
        <v>6345</v>
      </c>
      <c r="C139" s="11" t="s">
        <v>2189</v>
      </c>
      <c r="E139" s="23" t="str">
        <f aca="false">IF(SIGN(E135),E$6,"")</f>
        <v/>
      </c>
      <c r="F139" s="23" t="str">
        <f aca="false">IF(SIGN(F135),F$6,"")</f>
        <v/>
      </c>
      <c r="G139" s="23" t="str">
        <f aca="false">IF(SIGN(G135),G$6,"")</f>
        <v/>
      </c>
      <c r="H139" s="23" t="str">
        <f aca="false">IF(SIGN(H135),H$6,"")</f>
        <v/>
      </c>
      <c r="I139" s="23" t="str">
        <f aca="false">IF(SIGN(I135),I$6,"")</f>
        <v/>
      </c>
      <c r="K139" s="2"/>
    </row>
    <row r="140" customFormat="false" ht="15" hidden="false" customHeight="false" outlineLevel="0" collapsed="false">
      <c r="A140" s="9" t="s">
        <v>6346</v>
      </c>
      <c r="B140" s="11" t="s">
        <v>6347</v>
      </c>
      <c r="C140" s="11" t="s">
        <v>2189</v>
      </c>
      <c r="D140" s="23" t="str">
        <f aca="false">IF(COUNT($D$139:$I$139),MIN($D$139:$I$139),"無")</f>
        <v>無</v>
      </c>
      <c r="K140" s="2"/>
    </row>
    <row r="141" customFormat="false" ht="15" hidden="false" customHeight="false" outlineLevel="0" collapsed="false">
      <c r="A141" s="9" t="s">
        <v>6348</v>
      </c>
      <c r="B141" s="11" t="s">
        <v>6349</v>
      </c>
      <c r="C141" s="9" t="s">
        <v>482</v>
      </c>
      <c r="D141" s="17" t="n">
        <f aca="false">I137</f>
        <v>-0</v>
      </c>
      <c r="K141" s="2"/>
    </row>
    <row r="142" customFormat="false" ht="15" hidden="false" customHeight="false" outlineLevel="0" collapsed="false">
      <c r="A142" s="9" t="s">
        <v>6350</v>
      </c>
      <c r="B142" s="11" t="s">
        <v>6351</v>
      </c>
      <c r="C142" s="9" t="s">
        <v>482</v>
      </c>
      <c r="D142" s="17" t="n">
        <f aca="false">MIN($D$138:$I$138)</f>
        <v>84.2280680683723</v>
      </c>
      <c r="K142" s="2" t="s">
        <v>6331</v>
      </c>
    </row>
    <row r="143" customFormat="false" ht="15" hidden="false" customHeight="false" outlineLevel="0" collapsed="false">
      <c r="A143" s="9" t="s">
        <v>6352</v>
      </c>
      <c r="B143" s="11" t="s">
        <v>6353</v>
      </c>
      <c r="C143" s="9" t="s">
        <v>482</v>
      </c>
      <c r="E143" s="17" t="n">
        <f aca="false">E26+E30+E31+E32+E33+E34</f>
        <v>210</v>
      </c>
      <c r="F143" s="17" t="n">
        <f aca="false">F26+F30+F31+F32+F33+F34</f>
        <v>50</v>
      </c>
      <c r="G143" s="17" t="n">
        <f aca="false">G26+G30+G31+G32+G33+G34</f>
        <v>0</v>
      </c>
      <c r="H143" s="17" t="n">
        <f aca="false">H26+H30+H31+H32+H33+H34</f>
        <v>0</v>
      </c>
      <c r="I143" s="17" t="n">
        <f aca="false">I26+I30+I31+I32+I33+I34</f>
        <v>0</v>
      </c>
      <c r="K143" s="2"/>
    </row>
    <row r="144" customFormat="false" ht="15" hidden="false" customHeight="false" outlineLevel="0" collapsed="false">
      <c r="A144" s="9" t="s">
        <v>6354</v>
      </c>
      <c r="B144" s="11" t="s">
        <v>6355</v>
      </c>
      <c r="C144" s="9" t="s">
        <v>482</v>
      </c>
      <c r="E144" s="17" t="n">
        <f aca="false">SRC_ANT_305+E14+E143</f>
        <v>227.691580641443</v>
      </c>
      <c r="F144" s="17" t="n">
        <f aca="false">E146+F14+F143</f>
        <v>259.187861190838</v>
      </c>
      <c r="G144" s="17" t="n">
        <f aca="false">F146+G14+G143</f>
        <v>244.228068068372</v>
      </c>
      <c r="H144" s="17" t="n">
        <f aca="false">G146+H14+H143</f>
        <v>291.826741429863</v>
      </c>
      <c r="I144" s="17" t="n">
        <f aca="false">H146+I14+I143</f>
        <v>387.958201246033</v>
      </c>
      <c r="K144" s="2"/>
    </row>
    <row r="145" customFormat="false" ht="15" hidden="false" customHeight="false" outlineLevel="0" collapsed="false">
      <c r="A145" s="9" t="s">
        <v>6356</v>
      </c>
      <c r="B145" s="11" t="s">
        <v>6357</v>
      </c>
      <c r="C145" s="9" t="s">
        <v>482</v>
      </c>
      <c r="E145" s="17" t="n">
        <f aca="false">(E38-E144)*(E38&gt;E144)</f>
        <v>-0</v>
      </c>
      <c r="F145" s="17" t="n">
        <f aca="false">(F38-F144)*(F38&gt;F144)</f>
        <v>-0</v>
      </c>
      <c r="G145" s="17" t="n">
        <f aca="false">(G38-G144)*(G38&gt;G144)</f>
        <v>-0</v>
      </c>
      <c r="H145" s="17" t="n">
        <f aca="false">(H38-H144)*(H38&gt;H144)</f>
        <v>-0</v>
      </c>
      <c r="I145" s="17" t="n">
        <f aca="false">(I38-I144)*(I38&gt;I144)</f>
        <v>-0</v>
      </c>
      <c r="K145" s="2"/>
    </row>
    <row r="146" customFormat="false" ht="15" hidden="false" customHeight="false" outlineLevel="0" collapsed="false">
      <c r="A146" s="9" t="s">
        <v>6358</v>
      </c>
      <c r="B146" s="11" t="s">
        <v>6359</v>
      </c>
      <c r="C146" s="9" t="s">
        <v>482</v>
      </c>
      <c r="D146" s="17" t="n">
        <f aca="false">SRC_ANT_305</f>
        <v>20.28</v>
      </c>
      <c r="E146" s="17" t="n">
        <f aca="false">E144+E145</f>
        <v>227.691580641443</v>
      </c>
      <c r="F146" s="17" t="n">
        <f aca="false">F144+F145</f>
        <v>259.187861190838</v>
      </c>
      <c r="G146" s="17" t="n">
        <f aca="false">G144+G145</f>
        <v>244.228068068372</v>
      </c>
      <c r="H146" s="17" t="n">
        <f aca="false">H144+H145</f>
        <v>291.826741429863</v>
      </c>
      <c r="I146" s="17" t="n">
        <f aca="false">I144+I145</f>
        <v>387.958201246033</v>
      </c>
      <c r="K146" s="2"/>
    </row>
    <row r="147" customFormat="false" ht="15" hidden="false" customHeight="false" outlineLevel="0" collapsed="false">
      <c r="A147" s="9" t="s">
        <v>6360</v>
      </c>
      <c r="B147" s="11" t="s">
        <v>6361</v>
      </c>
      <c r="C147" s="9" t="s">
        <v>482</v>
      </c>
      <c r="E147" s="17" t="n">
        <f aca="false">E145</f>
        <v>-0</v>
      </c>
      <c r="F147" s="17" t="n">
        <f aca="false">E147+F145</f>
        <v>-0</v>
      </c>
      <c r="G147" s="17" t="n">
        <f aca="false">F147+G145</f>
        <v>-0</v>
      </c>
      <c r="H147" s="17" t="n">
        <f aca="false">G147+H145</f>
        <v>-0</v>
      </c>
      <c r="I147" s="17" t="n">
        <f aca="false">H147+I145</f>
        <v>-0</v>
      </c>
      <c r="K147" s="2"/>
    </row>
    <row r="148" customFormat="false" ht="15" hidden="false" customHeight="false" outlineLevel="0" collapsed="false">
      <c r="A148" s="9" t="s">
        <v>6362</v>
      </c>
      <c r="B148" s="11" t="s">
        <v>6363</v>
      </c>
      <c r="C148" s="9" t="s">
        <v>482</v>
      </c>
      <c r="E148" s="17" t="n">
        <f aca="false">SRC_ANT_305+E14+E143</f>
        <v>227.691580641443</v>
      </c>
      <c r="F148" s="17" t="n">
        <f aca="false">E148+F14+F143</f>
        <v>259.187861190838</v>
      </c>
      <c r="G148" s="17" t="n">
        <f aca="false">F148+G14+G143</f>
        <v>244.228068068372</v>
      </c>
      <c r="H148" s="17" t="n">
        <f aca="false">G148+H14+H143</f>
        <v>291.826741429863</v>
      </c>
      <c r="I148" s="17" t="n">
        <f aca="false">H148+I14+I143</f>
        <v>387.958201246033</v>
      </c>
      <c r="K148" s="2" t="s">
        <v>6322</v>
      </c>
    </row>
    <row r="149" customFormat="false" ht="15" hidden="false" customHeight="false" outlineLevel="0" collapsed="false">
      <c r="A149" s="9" t="s">
        <v>6364</v>
      </c>
      <c r="B149" s="11" t="s">
        <v>6365</v>
      </c>
      <c r="C149" s="11" t="s">
        <v>2189</v>
      </c>
      <c r="E149" s="23" t="str">
        <f aca="false">IF(SIGN(E145),E$6,"")</f>
        <v/>
      </c>
      <c r="F149" s="23" t="str">
        <f aca="false">IF(SIGN(F145),F$6,"")</f>
        <v/>
      </c>
      <c r="G149" s="23" t="str">
        <f aca="false">IF(SIGN(G145),G$6,"")</f>
        <v/>
      </c>
      <c r="H149" s="23" t="str">
        <f aca="false">IF(SIGN(H145),H$6,"")</f>
        <v/>
      </c>
      <c r="I149" s="23" t="str">
        <f aca="false">IF(SIGN(I145),I$6,"")</f>
        <v/>
      </c>
      <c r="K149" s="2"/>
    </row>
    <row r="150" customFormat="false" ht="15" hidden="false" customHeight="false" outlineLevel="0" collapsed="false">
      <c r="A150" s="9" t="s">
        <v>6366</v>
      </c>
      <c r="B150" s="11" t="s">
        <v>6367</v>
      </c>
      <c r="C150" s="11" t="s">
        <v>2189</v>
      </c>
      <c r="D150" s="23" t="str">
        <f aca="false">IF(COUNT($D$149:$I$149),MIN($D$149:$I$149),"無")</f>
        <v>無</v>
      </c>
      <c r="K150" s="2"/>
    </row>
    <row r="151" customFormat="false" ht="15" hidden="false" customHeight="false" outlineLevel="0" collapsed="false">
      <c r="A151" s="9" t="s">
        <v>6368</v>
      </c>
      <c r="B151" s="11" t="s">
        <v>6369</v>
      </c>
      <c r="C151" s="9" t="s">
        <v>482</v>
      </c>
      <c r="D151" s="17" t="n">
        <f aca="false">I147</f>
        <v>-0</v>
      </c>
      <c r="K151" s="2"/>
    </row>
    <row r="152" customFormat="false" ht="15" hidden="false" customHeight="false" outlineLevel="0" collapsed="false">
      <c r="A152" s="9" t="s">
        <v>6370</v>
      </c>
      <c r="B152" s="11" t="s">
        <v>6371</v>
      </c>
      <c r="C152" s="9" t="s">
        <v>482</v>
      </c>
      <c r="D152" s="17" t="n">
        <f aca="false">MIN($D$148:$I$148)</f>
        <v>227.691580641443</v>
      </c>
      <c r="K152" s="2" t="s">
        <v>6331</v>
      </c>
    </row>
    <row r="153" customFormat="false" ht="15" hidden="false" customHeight="false" outlineLevel="0" collapsed="false">
      <c r="A153" s="15" t="s">
        <v>6372</v>
      </c>
    </row>
    <row r="154" customFormat="false" ht="15" hidden="false" customHeight="false" outlineLevel="0" collapsed="false">
      <c r="A154" s="9" t="s">
        <v>6373</v>
      </c>
      <c r="B154" s="11" t="s">
        <v>6374</v>
      </c>
      <c r="C154" s="11" t="s">
        <v>2189</v>
      </c>
      <c r="E154" s="23" t="str">
        <f aca="false">IF(Cost!E105+Cost!E296&gt;Cost!E53+Cost!E292+Cost!E89,E$6,"")</f>
        <v/>
      </c>
      <c r="F154" s="23" t="str">
        <f aca="false">IF(Cost!F105+Cost!F296&gt;Cost!F53+Cost!F292+Cost!F89,F$6,"")</f>
        <v/>
      </c>
      <c r="G154" s="23" t="str">
        <f aca="false">IF(Cost!G105+Cost!G296&gt;Cost!G53+Cost!G292+Cost!G89,G$6,"")</f>
        <v/>
      </c>
      <c r="H154" s="23" t="n">
        <f aca="false">IF(Cost!H105+Cost!H296&gt;Cost!H53+Cost!H292+Cost!H89,H$6,"")</f>
        <v>2029</v>
      </c>
      <c r="I154" s="23" t="n">
        <f aca="false">IF(Cost!I105+Cost!I296&gt;Cost!I53+Cost!I292+Cost!I89,I$6,"")</f>
        <v>2030</v>
      </c>
      <c r="K154" s="2"/>
    </row>
    <row r="155" customFormat="false" ht="15" hidden="false" customHeight="false" outlineLevel="0" collapsed="false">
      <c r="A155" s="9" t="s">
        <v>6375</v>
      </c>
      <c r="B155" s="11" t="s">
        <v>6376</v>
      </c>
      <c r="C155" s="11" t="s">
        <v>2189</v>
      </c>
      <c r="D155" s="23" t="n">
        <f aca="false">IF(COUNT($D$154:$I$154),MIN($D$154:$I$154),"無")</f>
        <v>2029</v>
      </c>
      <c r="K155" s="2" t="s">
        <v>6311</v>
      </c>
    </row>
    <row r="156" customFormat="false" ht="15" hidden="false" customHeight="false" outlineLevel="0" collapsed="false">
      <c r="A156" s="9" t="s">
        <v>6377</v>
      </c>
      <c r="B156" s="11" t="s">
        <v>6378</v>
      </c>
      <c r="C156" s="9" t="s">
        <v>482</v>
      </c>
      <c r="E156" s="17" t="n">
        <f aca="false">$D$120+Cost!E300</f>
        <v>-2.58841935855733</v>
      </c>
      <c r="F156" s="17" t="n">
        <f aca="false">E158+Cost!F300</f>
        <v>-14.5269930892051</v>
      </c>
      <c r="G156" s="17" t="n">
        <f aca="false">F158+Cost!G300</f>
        <v>-10.0445593397749</v>
      </c>
      <c r="H156" s="17" t="n">
        <f aca="false">G158+Cost!H300</f>
        <v>38.8325148110802</v>
      </c>
      <c r="I156" s="17" t="n">
        <f aca="false">H158+Cost!I300</f>
        <v>91.9492157292283</v>
      </c>
      <c r="K156" s="2"/>
    </row>
    <row r="157" customFormat="false" ht="15" hidden="false" customHeight="false" outlineLevel="0" collapsed="false">
      <c r="A157" s="9" t="s">
        <v>6379</v>
      </c>
      <c r="B157" s="11" t="s">
        <v>6380</v>
      </c>
      <c r="C157" s="9" t="s">
        <v>482</v>
      </c>
      <c r="E157" s="17" t="n">
        <f aca="false">(E38-E156)*(E38&gt;E156)</f>
        <v>6.56514571995733</v>
      </c>
      <c r="F157" s="17" t="n">
        <f aca="false">(F38-F156)*(F38&gt;F156)</f>
        <v>19.4422268718955</v>
      </c>
      <c r="G157" s="17" t="n">
        <f aca="false">(G38-G156)*(G38&gt;G156)</f>
        <v>15.8666537553717</v>
      </c>
      <c r="H157" s="17" t="n">
        <f aca="false">(H38-H156)*(H38&gt;H156)</f>
        <v>-0</v>
      </c>
      <c r="I157" s="17" t="n">
        <f aca="false">(I38-I156)*(I38&gt;I156)</f>
        <v>-0</v>
      </c>
      <c r="K157" s="2"/>
    </row>
    <row r="158" customFormat="false" ht="15" hidden="false" customHeight="false" outlineLevel="0" collapsed="false">
      <c r="A158" s="9" t="s">
        <v>6381</v>
      </c>
      <c r="B158" s="11" t="s">
        <v>6382</v>
      </c>
      <c r="C158" s="9" t="s">
        <v>482</v>
      </c>
      <c r="D158" s="17" t="n">
        <f aca="false">$D$120</f>
        <v>0</v>
      </c>
      <c r="E158" s="17" t="n">
        <f aca="false">E156+E157</f>
        <v>3.9767263614</v>
      </c>
      <c r="F158" s="17" t="n">
        <f aca="false">F156+F157</f>
        <v>4.9152337826904</v>
      </c>
      <c r="G158" s="17" t="n">
        <f aca="false">G156+G157</f>
        <v>5.82209441559678</v>
      </c>
      <c r="H158" s="17" t="n">
        <f aca="false">H156+H157</f>
        <v>38.8325148110802</v>
      </c>
      <c r="I158" s="17" t="n">
        <f aca="false">I156+I157</f>
        <v>91.9492157292283</v>
      </c>
      <c r="K158" s="2"/>
    </row>
    <row r="159" customFormat="false" ht="15" hidden="false" customHeight="false" outlineLevel="0" collapsed="false">
      <c r="A159" s="9" t="s">
        <v>6383</v>
      </c>
      <c r="B159" s="11" t="s">
        <v>6384</v>
      </c>
      <c r="C159" s="9" t="s">
        <v>482</v>
      </c>
      <c r="E159" s="17" t="n">
        <f aca="false">E157</f>
        <v>6.56514571995733</v>
      </c>
      <c r="F159" s="17" t="n">
        <f aca="false">E159+F157</f>
        <v>26.0073725918528</v>
      </c>
      <c r="G159" s="17" t="n">
        <f aca="false">F159+G157</f>
        <v>41.8740263472245</v>
      </c>
      <c r="H159" s="17" t="n">
        <f aca="false">G159+H157</f>
        <v>41.8740263472245</v>
      </c>
      <c r="I159" s="17" t="n">
        <f aca="false">H159+I157</f>
        <v>41.8740263472245</v>
      </c>
      <c r="K159" s="2"/>
    </row>
    <row r="160" customFormat="false" ht="15" hidden="false" customHeight="false" outlineLevel="0" collapsed="false">
      <c r="A160" s="9" t="s">
        <v>6385</v>
      </c>
      <c r="B160" s="11" t="s">
        <v>6386</v>
      </c>
      <c r="C160" s="9" t="s">
        <v>482</v>
      </c>
      <c r="E160" s="17" t="n">
        <f aca="false">$D$120+Cost!E300</f>
        <v>-2.58841935855733</v>
      </c>
      <c r="F160" s="17" t="n">
        <f aca="false">E160+Cost!F300</f>
        <v>-21.0921388091624</v>
      </c>
      <c r="G160" s="17" t="n">
        <f aca="false">F160+Cost!G300</f>
        <v>-36.0519319316277</v>
      </c>
      <c r="H160" s="17" t="n">
        <f aca="false">G160+Cost!H300</f>
        <v>-3.04151153614433</v>
      </c>
      <c r="I160" s="17" t="n">
        <f aca="false">H160+Cost!I300</f>
        <v>50.0751893820038</v>
      </c>
      <c r="K160" s="2" t="s">
        <v>6322</v>
      </c>
    </row>
    <row r="161" customFormat="false" ht="15" hidden="false" customHeight="false" outlineLevel="0" collapsed="false">
      <c r="A161" s="9" t="s">
        <v>6387</v>
      </c>
      <c r="B161" s="11" t="s">
        <v>6388</v>
      </c>
      <c r="C161" s="11" t="s">
        <v>2189</v>
      </c>
      <c r="E161" s="23" t="n">
        <f aca="false">IF(SIGN(E157),E$6,"")</f>
        <v>2026</v>
      </c>
      <c r="F161" s="23" t="n">
        <f aca="false">IF(SIGN(F157),F$6,"")</f>
        <v>2027</v>
      </c>
      <c r="G161" s="23" t="n">
        <f aca="false">IF(SIGN(G157),G$6,"")</f>
        <v>2028</v>
      </c>
      <c r="H161" s="23" t="str">
        <f aca="false">IF(SIGN(H157),H$6,"")</f>
        <v/>
      </c>
      <c r="I161" s="23" t="str">
        <f aca="false">IF(SIGN(I157),I$6,"")</f>
        <v/>
      </c>
      <c r="K161" s="2"/>
    </row>
    <row r="162" customFormat="false" ht="15" hidden="false" customHeight="false" outlineLevel="0" collapsed="false">
      <c r="A162" s="9" t="s">
        <v>6389</v>
      </c>
      <c r="B162" s="11" t="s">
        <v>6390</v>
      </c>
      <c r="C162" s="11" t="s">
        <v>2189</v>
      </c>
      <c r="D162" s="23" t="n">
        <f aca="false">IF(COUNT($D$161:$I$161),MIN($D$161:$I$161),"無")</f>
        <v>2026</v>
      </c>
      <c r="K162" s="2"/>
    </row>
    <row r="163" customFormat="false" ht="15" hidden="false" customHeight="false" outlineLevel="0" collapsed="false">
      <c r="A163" s="9" t="s">
        <v>6391</v>
      </c>
      <c r="B163" s="11" t="s">
        <v>6392</v>
      </c>
      <c r="C163" s="9" t="s">
        <v>482</v>
      </c>
      <c r="D163" s="17" t="n">
        <f aca="false">I159</f>
        <v>41.8740263472245</v>
      </c>
      <c r="K163" s="2"/>
    </row>
    <row r="164" customFormat="false" ht="15" hidden="false" customHeight="false" outlineLevel="0" collapsed="false">
      <c r="A164" s="9" t="s">
        <v>6393</v>
      </c>
      <c r="B164" s="11" t="s">
        <v>6394</v>
      </c>
      <c r="C164" s="9" t="s">
        <v>482</v>
      </c>
      <c r="D164" s="17" t="n">
        <f aca="false">MIN($D$160:$I$160)</f>
        <v>-36.0519319316277</v>
      </c>
      <c r="K164" s="2" t="s">
        <v>6331</v>
      </c>
    </row>
    <row r="165" customFormat="false" ht="15" hidden="false" customHeight="false" outlineLevel="0" collapsed="false">
      <c r="A165" s="9" t="s">
        <v>6395</v>
      </c>
      <c r="B165" s="11" t="s">
        <v>6396</v>
      </c>
      <c r="C165" s="9" t="s">
        <v>482</v>
      </c>
      <c r="E165" s="17" t="n">
        <f aca="false">E36</f>
        <v>100</v>
      </c>
      <c r="F165" s="17" t="n">
        <f aca="false">F36</f>
        <v>0</v>
      </c>
      <c r="G165" s="17" t="n">
        <f aca="false">G36</f>
        <v>0</v>
      </c>
      <c r="H165" s="17" t="n">
        <f aca="false">H36</f>
        <v>0</v>
      </c>
      <c r="I165" s="17" t="n">
        <f aca="false">I36</f>
        <v>0</v>
      </c>
      <c r="K165" s="2"/>
    </row>
    <row r="166" customFormat="false" ht="15" hidden="false" customHeight="false" outlineLevel="0" collapsed="false">
      <c r="A166" s="9" t="s">
        <v>6397</v>
      </c>
      <c r="B166" s="11" t="s">
        <v>6398</v>
      </c>
      <c r="C166" s="9" t="s">
        <v>482</v>
      </c>
      <c r="E166" s="17" t="n">
        <f aca="false">SRC_ANT_305+Cost!E300+E165</f>
        <v>117.691580641443</v>
      </c>
      <c r="F166" s="17" t="n">
        <f aca="false">E168+Cost!F300+F165</f>
        <v>99.1878611908376</v>
      </c>
      <c r="G166" s="17" t="n">
        <f aca="false">F168+Cost!G300+G165</f>
        <v>84.2280680683723</v>
      </c>
      <c r="H166" s="17" t="n">
        <f aca="false">G168+Cost!H300+H165</f>
        <v>117.238488463856</v>
      </c>
      <c r="I166" s="17" t="n">
        <f aca="false">H168+Cost!I300+I165</f>
        <v>170.355189382004</v>
      </c>
      <c r="K166" s="2"/>
    </row>
    <row r="167" customFormat="false" ht="15" hidden="false" customHeight="false" outlineLevel="0" collapsed="false">
      <c r="A167" s="9" t="s">
        <v>6399</v>
      </c>
      <c r="B167" s="11" t="s">
        <v>6400</v>
      </c>
      <c r="C167" s="9" t="s">
        <v>482</v>
      </c>
      <c r="E167" s="17" t="n">
        <f aca="false">(E38-E166)*(E38&gt;E166)</f>
        <v>-0</v>
      </c>
      <c r="F167" s="17" t="n">
        <f aca="false">(F38-F166)*(F38&gt;F166)</f>
        <v>-0</v>
      </c>
      <c r="G167" s="17" t="n">
        <f aca="false">(G38-G166)*(G38&gt;G166)</f>
        <v>-0</v>
      </c>
      <c r="H167" s="17" t="n">
        <f aca="false">(H38-H166)*(H38&gt;H166)</f>
        <v>-0</v>
      </c>
      <c r="I167" s="17" t="n">
        <f aca="false">(I38-I166)*(I38&gt;I166)</f>
        <v>-0</v>
      </c>
      <c r="K167" s="2"/>
    </row>
    <row r="168" customFormat="false" ht="15" hidden="false" customHeight="false" outlineLevel="0" collapsed="false">
      <c r="A168" s="9" t="s">
        <v>6401</v>
      </c>
      <c r="B168" s="11" t="s">
        <v>6402</v>
      </c>
      <c r="C168" s="9" t="s">
        <v>482</v>
      </c>
      <c r="D168" s="17" t="n">
        <f aca="false">SRC_ANT_305</f>
        <v>20.28</v>
      </c>
      <c r="E168" s="17" t="n">
        <f aca="false">E166+E167</f>
        <v>117.691580641443</v>
      </c>
      <c r="F168" s="17" t="n">
        <f aca="false">F166+F167</f>
        <v>99.1878611908376</v>
      </c>
      <c r="G168" s="17" t="n">
        <f aca="false">G166+G167</f>
        <v>84.2280680683723</v>
      </c>
      <c r="H168" s="17" t="n">
        <f aca="false">H166+H167</f>
        <v>117.238488463856</v>
      </c>
      <c r="I168" s="17" t="n">
        <f aca="false">I166+I167</f>
        <v>170.355189382004</v>
      </c>
      <c r="K168" s="2"/>
    </row>
    <row r="169" customFormat="false" ht="15" hidden="false" customHeight="false" outlineLevel="0" collapsed="false">
      <c r="A169" s="9" t="s">
        <v>6403</v>
      </c>
      <c r="B169" s="11" t="s">
        <v>6404</v>
      </c>
      <c r="C169" s="9" t="s">
        <v>482</v>
      </c>
      <c r="E169" s="17" t="n">
        <f aca="false">E167</f>
        <v>-0</v>
      </c>
      <c r="F169" s="17" t="n">
        <f aca="false">E169+F167</f>
        <v>-0</v>
      </c>
      <c r="G169" s="17" t="n">
        <f aca="false">F169+G167</f>
        <v>-0</v>
      </c>
      <c r="H169" s="17" t="n">
        <f aca="false">G169+H167</f>
        <v>-0</v>
      </c>
      <c r="I169" s="17" t="n">
        <f aca="false">H169+I167</f>
        <v>-0</v>
      </c>
      <c r="K169" s="2"/>
    </row>
    <row r="170" customFormat="false" ht="15" hidden="false" customHeight="false" outlineLevel="0" collapsed="false">
      <c r="A170" s="9" t="s">
        <v>6405</v>
      </c>
      <c r="B170" s="11" t="s">
        <v>6406</v>
      </c>
      <c r="C170" s="9" t="s">
        <v>482</v>
      </c>
      <c r="E170" s="17" t="n">
        <f aca="false">SRC_ANT_305+Cost!E300+E165</f>
        <v>117.691580641443</v>
      </c>
      <c r="F170" s="17" t="n">
        <f aca="false">E170+Cost!F300+F165</f>
        <v>99.1878611908376</v>
      </c>
      <c r="G170" s="17" t="n">
        <f aca="false">F170+Cost!G300+G165</f>
        <v>84.2280680683723</v>
      </c>
      <c r="H170" s="17" t="n">
        <f aca="false">G170+Cost!H300+H165</f>
        <v>117.238488463856</v>
      </c>
      <c r="I170" s="17" t="n">
        <f aca="false">H170+Cost!I300+I165</f>
        <v>170.355189382004</v>
      </c>
      <c r="K170" s="2" t="s">
        <v>6322</v>
      </c>
    </row>
    <row r="171" customFormat="false" ht="15" hidden="false" customHeight="false" outlineLevel="0" collapsed="false">
      <c r="A171" s="9" t="s">
        <v>6407</v>
      </c>
      <c r="B171" s="11" t="s">
        <v>6408</v>
      </c>
      <c r="C171" s="11" t="s">
        <v>2189</v>
      </c>
      <c r="E171" s="23" t="str">
        <f aca="false">IF(SIGN(E167),E$6,"")</f>
        <v/>
      </c>
      <c r="F171" s="23" t="str">
        <f aca="false">IF(SIGN(F167),F$6,"")</f>
        <v/>
      </c>
      <c r="G171" s="23" t="str">
        <f aca="false">IF(SIGN(G167),G$6,"")</f>
        <v/>
      </c>
      <c r="H171" s="23" t="str">
        <f aca="false">IF(SIGN(H167),H$6,"")</f>
        <v/>
      </c>
      <c r="I171" s="23" t="str">
        <f aca="false">IF(SIGN(I167),I$6,"")</f>
        <v/>
      </c>
      <c r="K171" s="2"/>
    </row>
    <row r="172" customFormat="false" ht="15" hidden="false" customHeight="false" outlineLevel="0" collapsed="false">
      <c r="A172" s="9" t="s">
        <v>6409</v>
      </c>
      <c r="B172" s="11" t="s">
        <v>6410</v>
      </c>
      <c r="C172" s="11" t="s">
        <v>2189</v>
      </c>
      <c r="D172" s="23" t="str">
        <f aca="false">IF(COUNT($D$171:$I$171),MIN($D$171:$I$171),"無")</f>
        <v>無</v>
      </c>
      <c r="K172" s="2"/>
    </row>
    <row r="173" customFormat="false" ht="15" hidden="false" customHeight="false" outlineLevel="0" collapsed="false">
      <c r="A173" s="9" t="s">
        <v>6411</v>
      </c>
      <c r="B173" s="11" t="s">
        <v>6412</v>
      </c>
      <c r="C173" s="9" t="s">
        <v>482</v>
      </c>
      <c r="D173" s="17" t="n">
        <f aca="false">I169</f>
        <v>-0</v>
      </c>
      <c r="K173" s="2"/>
    </row>
    <row r="174" customFormat="false" ht="15" hidden="false" customHeight="false" outlineLevel="0" collapsed="false">
      <c r="A174" s="9" t="s">
        <v>6413</v>
      </c>
      <c r="B174" s="11" t="s">
        <v>6414</v>
      </c>
      <c r="C174" s="9" t="s">
        <v>482</v>
      </c>
      <c r="D174" s="17" t="n">
        <f aca="false">MIN($D$170:$I$170)</f>
        <v>84.2280680683723</v>
      </c>
      <c r="K174" s="2" t="s">
        <v>6331</v>
      </c>
    </row>
    <row r="175" customFormat="false" ht="15" hidden="false" customHeight="false" outlineLevel="0" collapsed="false">
      <c r="A175" s="9" t="s">
        <v>6415</v>
      </c>
      <c r="B175" s="11" t="s">
        <v>6416</v>
      </c>
      <c r="C175" s="9" t="s">
        <v>482</v>
      </c>
      <c r="E175" s="17" t="n">
        <f aca="false">E26+E30+E31+E32+E33+E34</f>
        <v>210</v>
      </c>
      <c r="F175" s="17" t="n">
        <f aca="false">F26+F30+F31+F32+F33+F34</f>
        <v>50</v>
      </c>
      <c r="G175" s="17" t="n">
        <f aca="false">G26+G30+G31+G32+G33+G34</f>
        <v>0</v>
      </c>
      <c r="H175" s="17" t="n">
        <f aca="false">H26+H30+H31+H32+H33+H34</f>
        <v>0</v>
      </c>
      <c r="I175" s="17" t="n">
        <f aca="false">I26+I30+I31+I32+I33+I34</f>
        <v>0</v>
      </c>
      <c r="K175" s="2"/>
    </row>
    <row r="176" customFormat="false" ht="15" hidden="false" customHeight="false" outlineLevel="0" collapsed="false">
      <c r="A176" s="9" t="s">
        <v>6417</v>
      </c>
      <c r="B176" s="11" t="s">
        <v>6418</v>
      </c>
      <c r="C176" s="9" t="s">
        <v>482</v>
      </c>
      <c r="E176" s="17" t="n">
        <f aca="false">SRC_ANT_305+Cost!E300+E175</f>
        <v>227.691580641443</v>
      </c>
      <c r="F176" s="17" t="n">
        <f aca="false">E178+Cost!F300+F175</f>
        <v>259.187861190838</v>
      </c>
      <c r="G176" s="17" t="n">
        <f aca="false">F178+Cost!G300+G175</f>
        <v>244.228068068372</v>
      </c>
      <c r="H176" s="17" t="n">
        <f aca="false">G178+Cost!H300+H175</f>
        <v>277.238488463856</v>
      </c>
      <c r="I176" s="17" t="n">
        <f aca="false">H178+Cost!I300+I175</f>
        <v>330.355189382004</v>
      </c>
      <c r="K176" s="2"/>
    </row>
    <row r="177" customFormat="false" ht="15" hidden="false" customHeight="false" outlineLevel="0" collapsed="false">
      <c r="A177" s="9" t="s">
        <v>6419</v>
      </c>
      <c r="B177" s="11" t="s">
        <v>6420</v>
      </c>
      <c r="C177" s="9" t="s">
        <v>482</v>
      </c>
      <c r="E177" s="17" t="n">
        <f aca="false">(E38-E176)*(E38&gt;E176)</f>
        <v>-0</v>
      </c>
      <c r="F177" s="17" t="n">
        <f aca="false">(F38-F176)*(F38&gt;F176)</f>
        <v>-0</v>
      </c>
      <c r="G177" s="17" t="n">
        <f aca="false">(G38-G176)*(G38&gt;G176)</f>
        <v>-0</v>
      </c>
      <c r="H177" s="17" t="n">
        <f aca="false">(H38-H176)*(H38&gt;H176)</f>
        <v>-0</v>
      </c>
      <c r="I177" s="17" t="n">
        <f aca="false">(I38-I176)*(I38&gt;I176)</f>
        <v>-0</v>
      </c>
      <c r="K177" s="2"/>
    </row>
    <row r="178" customFormat="false" ht="15" hidden="false" customHeight="false" outlineLevel="0" collapsed="false">
      <c r="A178" s="9" t="s">
        <v>6421</v>
      </c>
      <c r="B178" s="11" t="s">
        <v>6422</v>
      </c>
      <c r="C178" s="9" t="s">
        <v>482</v>
      </c>
      <c r="D178" s="17" t="n">
        <f aca="false">SRC_ANT_305</f>
        <v>20.28</v>
      </c>
      <c r="E178" s="17" t="n">
        <f aca="false">E176+E177</f>
        <v>227.691580641443</v>
      </c>
      <c r="F178" s="17" t="n">
        <f aca="false">F176+F177</f>
        <v>259.187861190838</v>
      </c>
      <c r="G178" s="17" t="n">
        <f aca="false">G176+G177</f>
        <v>244.228068068372</v>
      </c>
      <c r="H178" s="17" t="n">
        <f aca="false">H176+H177</f>
        <v>277.238488463856</v>
      </c>
      <c r="I178" s="17" t="n">
        <f aca="false">I176+I177</f>
        <v>330.355189382004</v>
      </c>
      <c r="K178" s="2"/>
    </row>
    <row r="179" customFormat="false" ht="15" hidden="false" customHeight="false" outlineLevel="0" collapsed="false">
      <c r="A179" s="9" t="s">
        <v>6423</v>
      </c>
      <c r="B179" s="11" t="s">
        <v>6424</v>
      </c>
      <c r="C179" s="9" t="s">
        <v>482</v>
      </c>
      <c r="E179" s="17" t="n">
        <f aca="false">E177</f>
        <v>-0</v>
      </c>
      <c r="F179" s="17" t="n">
        <f aca="false">E179+F177</f>
        <v>-0</v>
      </c>
      <c r="G179" s="17" t="n">
        <f aca="false">F179+G177</f>
        <v>-0</v>
      </c>
      <c r="H179" s="17" t="n">
        <f aca="false">G179+H177</f>
        <v>-0</v>
      </c>
      <c r="I179" s="17" t="n">
        <f aca="false">H179+I177</f>
        <v>-0</v>
      </c>
      <c r="K179" s="2"/>
    </row>
    <row r="180" customFormat="false" ht="15" hidden="false" customHeight="false" outlineLevel="0" collapsed="false">
      <c r="A180" s="9" t="s">
        <v>6425</v>
      </c>
      <c r="B180" s="11" t="s">
        <v>6426</v>
      </c>
      <c r="C180" s="9" t="s">
        <v>482</v>
      </c>
      <c r="E180" s="17" t="n">
        <f aca="false">SRC_ANT_305+Cost!E300+E175</f>
        <v>227.691580641443</v>
      </c>
      <c r="F180" s="17" t="n">
        <f aca="false">E180+Cost!F300+F175</f>
        <v>259.187861190838</v>
      </c>
      <c r="G180" s="17" t="n">
        <f aca="false">F180+Cost!G300+G175</f>
        <v>244.228068068372</v>
      </c>
      <c r="H180" s="17" t="n">
        <f aca="false">G180+Cost!H300+H175</f>
        <v>277.238488463856</v>
      </c>
      <c r="I180" s="17" t="n">
        <f aca="false">H180+Cost!I300+I175</f>
        <v>330.355189382004</v>
      </c>
      <c r="K180" s="2" t="s">
        <v>6322</v>
      </c>
    </row>
    <row r="181" customFormat="false" ht="15" hidden="false" customHeight="false" outlineLevel="0" collapsed="false">
      <c r="A181" s="9" t="s">
        <v>6427</v>
      </c>
      <c r="B181" s="11" t="s">
        <v>6428</v>
      </c>
      <c r="C181" s="11" t="s">
        <v>2189</v>
      </c>
      <c r="E181" s="23" t="str">
        <f aca="false">IF(SIGN(E177),E$6,"")</f>
        <v/>
      </c>
      <c r="F181" s="23" t="str">
        <f aca="false">IF(SIGN(F177),F$6,"")</f>
        <v/>
      </c>
      <c r="G181" s="23" t="str">
        <f aca="false">IF(SIGN(G177),G$6,"")</f>
        <v/>
      </c>
      <c r="H181" s="23" t="str">
        <f aca="false">IF(SIGN(H177),H$6,"")</f>
        <v/>
      </c>
      <c r="I181" s="23" t="str">
        <f aca="false">IF(SIGN(I177),I$6,"")</f>
        <v/>
      </c>
      <c r="K181" s="2"/>
    </row>
    <row r="182" customFormat="false" ht="15" hidden="false" customHeight="false" outlineLevel="0" collapsed="false">
      <c r="A182" s="9" t="s">
        <v>6429</v>
      </c>
      <c r="B182" s="11" t="s">
        <v>6430</v>
      </c>
      <c r="C182" s="11" t="s">
        <v>2189</v>
      </c>
      <c r="D182" s="23" t="str">
        <f aca="false">IF(COUNT($D$181:$I$181),MIN($D$181:$I$181),"無")</f>
        <v>無</v>
      </c>
      <c r="K182" s="2"/>
    </row>
    <row r="183" customFormat="false" ht="15" hidden="false" customHeight="false" outlineLevel="0" collapsed="false">
      <c r="A183" s="9" t="s">
        <v>6431</v>
      </c>
      <c r="B183" s="11" t="s">
        <v>6432</v>
      </c>
      <c r="C183" s="9" t="s">
        <v>482</v>
      </c>
      <c r="D183" s="17" t="n">
        <f aca="false">I179</f>
        <v>-0</v>
      </c>
      <c r="K183" s="2"/>
    </row>
    <row r="184" customFormat="false" ht="15" hidden="false" customHeight="false" outlineLevel="0" collapsed="false">
      <c r="A184" s="9" t="s">
        <v>6433</v>
      </c>
      <c r="B184" s="11" t="s">
        <v>6434</v>
      </c>
      <c r="C184" s="9" t="s">
        <v>482</v>
      </c>
      <c r="D184" s="17" t="n">
        <f aca="false">MIN($D$180:$I$180)</f>
        <v>227.691580641443</v>
      </c>
      <c r="K184" s="2" t="s">
        <v>6331</v>
      </c>
    </row>
    <row r="185" customFormat="false" ht="15" hidden="false" customHeight="false" outlineLevel="0" collapsed="false">
      <c r="A185" s="9" t="s">
        <v>6435</v>
      </c>
      <c r="B185" s="11" t="s">
        <v>6436</v>
      </c>
      <c r="C185" s="11" t="s">
        <v>2189</v>
      </c>
      <c r="E185" s="23" t="str">
        <f aca="false">IF(Cost!E105+Cost!E301&gt;Cost!E53+Cost!E292+Cost!E89,E$6,"")</f>
        <v/>
      </c>
      <c r="F185" s="23" t="str">
        <f aca="false">IF(Cost!F105+Cost!F301&gt;Cost!F53+Cost!F292+Cost!F89,F$6,"")</f>
        <v/>
      </c>
      <c r="G185" s="23" t="str">
        <f aca="false">IF(Cost!G105+Cost!G301&gt;Cost!G53+Cost!G292+Cost!G89,G$6,"")</f>
        <v/>
      </c>
      <c r="H185" s="23" t="n">
        <f aca="false">IF(Cost!H105+Cost!H301&gt;Cost!H53+Cost!H292+Cost!H89,H$6,"")</f>
        <v>2029</v>
      </c>
      <c r="I185" s="23" t="n">
        <f aca="false">IF(Cost!I105+Cost!I301&gt;Cost!I53+Cost!I292+Cost!I89,I$6,"")</f>
        <v>2030</v>
      </c>
      <c r="K185" s="2"/>
    </row>
    <row r="186" customFormat="false" ht="15" hidden="false" customHeight="false" outlineLevel="0" collapsed="false">
      <c r="A186" s="9" t="s">
        <v>6437</v>
      </c>
      <c r="B186" s="11" t="s">
        <v>6438</v>
      </c>
      <c r="C186" s="11" t="s">
        <v>2189</v>
      </c>
      <c r="D186" s="23" t="n">
        <f aca="false">IF(COUNT($D$185:$I$185),MIN($D$185:$I$185),"無")</f>
        <v>2029</v>
      </c>
      <c r="K186" s="2" t="s">
        <v>6311</v>
      </c>
    </row>
    <row r="187" customFormat="false" ht="15" hidden="false" customHeight="false" outlineLevel="0" collapsed="false">
      <c r="A187" s="9" t="s">
        <v>6439</v>
      </c>
      <c r="B187" s="11" t="s">
        <v>6440</v>
      </c>
      <c r="C187" s="9" t="s">
        <v>482</v>
      </c>
      <c r="E187" s="17" t="n">
        <f aca="false">$D$120+Cost!E305</f>
        <v>-2.58841935855733</v>
      </c>
      <c r="F187" s="17" t="n">
        <f aca="false">E189+Cost!F305</f>
        <v>-14.5269930892051</v>
      </c>
      <c r="G187" s="17" t="n">
        <f aca="false">F189+Cost!G305</f>
        <v>-10.0445593397749</v>
      </c>
      <c r="H187" s="17" t="n">
        <f aca="false">G189+Cost!H305</f>
        <v>51.0449214802628</v>
      </c>
      <c r="I187" s="17" t="n">
        <f aca="false">H189+Cost!I305</f>
        <v>150.807101690618</v>
      </c>
      <c r="K187" s="2"/>
    </row>
    <row r="188" customFormat="false" ht="15" hidden="false" customHeight="false" outlineLevel="0" collapsed="false">
      <c r="A188" s="9" t="s">
        <v>6441</v>
      </c>
      <c r="B188" s="11" t="s">
        <v>6442</v>
      </c>
      <c r="C188" s="9" t="s">
        <v>482</v>
      </c>
      <c r="E188" s="17" t="n">
        <f aca="false">(E38-E187)*(E38&gt;E187)</f>
        <v>6.56514571995733</v>
      </c>
      <c r="F188" s="17" t="n">
        <f aca="false">(F38-F187)*(F38&gt;F187)</f>
        <v>19.4422268718955</v>
      </c>
      <c r="G188" s="17" t="n">
        <f aca="false">(G38-G187)*(G38&gt;G187)</f>
        <v>15.8666537553717</v>
      </c>
      <c r="H188" s="17" t="n">
        <f aca="false">(H38-H187)*(H38&gt;H187)</f>
        <v>-0</v>
      </c>
      <c r="I188" s="17" t="n">
        <f aca="false">(I38-I187)*(I38&gt;I187)</f>
        <v>-0</v>
      </c>
      <c r="K188" s="2"/>
    </row>
    <row r="189" customFormat="false" ht="15" hidden="false" customHeight="false" outlineLevel="0" collapsed="false">
      <c r="A189" s="9" t="s">
        <v>6443</v>
      </c>
      <c r="B189" s="11" t="s">
        <v>6444</v>
      </c>
      <c r="C189" s="9" t="s">
        <v>482</v>
      </c>
      <c r="D189" s="17" t="n">
        <f aca="false">$D$120</f>
        <v>0</v>
      </c>
      <c r="E189" s="17" t="n">
        <f aca="false">E187+E188</f>
        <v>3.9767263614</v>
      </c>
      <c r="F189" s="17" t="n">
        <f aca="false">F187+F188</f>
        <v>4.9152337826904</v>
      </c>
      <c r="G189" s="17" t="n">
        <f aca="false">G187+G188</f>
        <v>5.82209441559678</v>
      </c>
      <c r="H189" s="17" t="n">
        <f aca="false">H187+H188</f>
        <v>51.0449214802628</v>
      </c>
      <c r="I189" s="17" t="n">
        <f aca="false">I187+I188</f>
        <v>150.807101690618</v>
      </c>
      <c r="K189" s="2"/>
    </row>
    <row r="190" customFormat="false" ht="15" hidden="false" customHeight="false" outlineLevel="0" collapsed="false">
      <c r="A190" s="9" t="s">
        <v>6445</v>
      </c>
      <c r="B190" s="11" t="s">
        <v>6446</v>
      </c>
      <c r="C190" s="9" t="s">
        <v>482</v>
      </c>
      <c r="E190" s="17" t="n">
        <f aca="false">E188</f>
        <v>6.56514571995733</v>
      </c>
      <c r="F190" s="17" t="n">
        <f aca="false">E190+F188</f>
        <v>26.0073725918528</v>
      </c>
      <c r="G190" s="17" t="n">
        <f aca="false">F190+G188</f>
        <v>41.8740263472245</v>
      </c>
      <c r="H190" s="17" t="n">
        <f aca="false">G190+H188</f>
        <v>41.8740263472245</v>
      </c>
      <c r="I190" s="17" t="n">
        <f aca="false">H190+I188</f>
        <v>41.8740263472245</v>
      </c>
      <c r="K190" s="2"/>
    </row>
    <row r="191" customFormat="false" ht="15" hidden="false" customHeight="false" outlineLevel="0" collapsed="false">
      <c r="A191" s="9" t="s">
        <v>6447</v>
      </c>
      <c r="B191" s="11" t="s">
        <v>6448</v>
      </c>
      <c r="C191" s="9" t="s">
        <v>482</v>
      </c>
      <c r="E191" s="17" t="n">
        <f aca="false">$D$120+Cost!E305</f>
        <v>-2.58841935855733</v>
      </c>
      <c r="F191" s="17" t="n">
        <f aca="false">E191+Cost!F305</f>
        <v>-21.0921388091624</v>
      </c>
      <c r="G191" s="17" t="n">
        <f aca="false">F191+Cost!G305</f>
        <v>-36.0519319316277</v>
      </c>
      <c r="H191" s="17" t="n">
        <f aca="false">G191+Cost!H305</f>
        <v>9.17089513303833</v>
      </c>
      <c r="I191" s="17" t="n">
        <f aca="false">H191+Cost!I305</f>
        <v>108.933075343393</v>
      </c>
      <c r="K191" s="2" t="s">
        <v>6322</v>
      </c>
    </row>
    <row r="192" customFormat="false" ht="15" hidden="false" customHeight="false" outlineLevel="0" collapsed="false">
      <c r="A192" s="9" t="s">
        <v>6449</v>
      </c>
      <c r="B192" s="11" t="s">
        <v>6450</v>
      </c>
      <c r="C192" s="11" t="s">
        <v>2189</v>
      </c>
      <c r="E192" s="23" t="n">
        <f aca="false">IF(SIGN(E188),E$6,"")</f>
        <v>2026</v>
      </c>
      <c r="F192" s="23" t="n">
        <f aca="false">IF(SIGN(F188),F$6,"")</f>
        <v>2027</v>
      </c>
      <c r="G192" s="23" t="n">
        <f aca="false">IF(SIGN(G188),G$6,"")</f>
        <v>2028</v>
      </c>
      <c r="H192" s="23" t="str">
        <f aca="false">IF(SIGN(H188),H$6,"")</f>
        <v/>
      </c>
      <c r="I192" s="23" t="str">
        <f aca="false">IF(SIGN(I188),I$6,"")</f>
        <v/>
      </c>
      <c r="K192" s="2"/>
    </row>
    <row r="193" customFormat="false" ht="15" hidden="false" customHeight="false" outlineLevel="0" collapsed="false">
      <c r="A193" s="9" t="s">
        <v>6451</v>
      </c>
      <c r="B193" s="11" t="s">
        <v>6452</v>
      </c>
      <c r="C193" s="11" t="s">
        <v>2189</v>
      </c>
      <c r="D193" s="23" t="n">
        <f aca="false">IF(COUNT($D$192:$I$192),MIN($D$192:$I$192),"無")</f>
        <v>2026</v>
      </c>
      <c r="K193" s="2"/>
    </row>
    <row r="194" customFormat="false" ht="15" hidden="false" customHeight="false" outlineLevel="0" collapsed="false">
      <c r="A194" s="9" t="s">
        <v>6453</v>
      </c>
      <c r="B194" s="11" t="s">
        <v>6454</v>
      </c>
      <c r="C194" s="9" t="s">
        <v>482</v>
      </c>
      <c r="D194" s="17" t="n">
        <f aca="false">I190</f>
        <v>41.8740263472245</v>
      </c>
      <c r="K194" s="2"/>
    </row>
    <row r="195" customFormat="false" ht="15" hidden="false" customHeight="false" outlineLevel="0" collapsed="false">
      <c r="A195" s="9" t="s">
        <v>6455</v>
      </c>
      <c r="B195" s="11" t="s">
        <v>6456</v>
      </c>
      <c r="C195" s="9" t="s">
        <v>482</v>
      </c>
      <c r="D195" s="17" t="n">
        <f aca="false">MIN($D$191:$I$191)</f>
        <v>-36.0519319316277</v>
      </c>
      <c r="K195" s="2" t="s">
        <v>6331</v>
      </c>
    </row>
    <row r="196" customFormat="false" ht="15" hidden="false" customHeight="false" outlineLevel="0" collapsed="false">
      <c r="A196" s="9" t="s">
        <v>6457</v>
      </c>
      <c r="B196" s="11" t="s">
        <v>6458</v>
      </c>
      <c r="C196" s="9" t="s">
        <v>482</v>
      </c>
      <c r="E196" s="17" t="n">
        <f aca="false">E36</f>
        <v>100</v>
      </c>
      <c r="F196" s="17" t="n">
        <f aca="false">F36</f>
        <v>0</v>
      </c>
      <c r="G196" s="17" t="n">
        <f aca="false">G36</f>
        <v>0</v>
      </c>
      <c r="H196" s="17" t="n">
        <f aca="false">H36</f>
        <v>0</v>
      </c>
      <c r="I196" s="17" t="n">
        <f aca="false">I36</f>
        <v>0</v>
      </c>
      <c r="K196" s="2"/>
    </row>
    <row r="197" customFormat="false" ht="15" hidden="false" customHeight="false" outlineLevel="0" collapsed="false">
      <c r="A197" s="9" t="s">
        <v>6459</v>
      </c>
      <c r="B197" s="11" t="s">
        <v>6460</v>
      </c>
      <c r="C197" s="9" t="s">
        <v>482</v>
      </c>
      <c r="E197" s="17" t="n">
        <f aca="false">SRC_ANT_305+Cost!E305+E196</f>
        <v>117.691580641443</v>
      </c>
      <c r="F197" s="17" t="n">
        <f aca="false">E199+Cost!F305+F196</f>
        <v>99.1878611908376</v>
      </c>
      <c r="G197" s="17" t="n">
        <f aca="false">F199+Cost!G305+G196</f>
        <v>84.2280680683723</v>
      </c>
      <c r="H197" s="17" t="n">
        <f aca="false">G199+Cost!H305+H196</f>
        <v>129.450895133038</v>
      </c>
      <c r="I197" s="17" t="n">
        <f aca="false">H199+Cost!I305+I196</f>
        <v>229.213075343393</v>
      </c>
      <c r="K197" s="2"/>
    </row>
    <row r="198" customFormat="false" ht="15" hidden="false" customHeight="false" outlineLevel="0" collapsed="false">
      <c r="A198" s="9" t="s">
        <v>6461</v>
      </c>
      <c r="B198" s="11" t="s">
        <v>6462</v>
      </c>
      <c r="C198" s="9" t="s">
        <v>482</v>
      </c>
      <c r="E198" s="17" t="n">
        <f aca="false">(E38-E197)*(E38&gt;E197)</f>
        <v>-0</v>
      </c>
      <c r="F198" s="17" t="n">
        <f aca="false">(F38-F197)*(F38&gt;F197)</f>
        <v>-0</v>
      </c>
      <c r="G198" s="17" t="n">
        <f aca="false">(G38-G197)*(G38&gt;G197)</f>
        <v>-0</v>
      </c>
      <c r="H198" s="17" t="n">
        <f aca="false">(H38-H197)*(H38&gt;H197)</f>
        <v>-0</v>
      </c>
      <c r="I198" s="17" t="n">
        <f aca="false">(I38-I197)*(I38&gt;I197)</f>
        <v>-0</v>
      </c>
      <c r="K198" s="2"/>
    </row>
    <row r="199" customFormat="false" ht="15" hidden="false" customHeight="false" outlineLevel="0" collapsed="false">
      <c r="A199" s="9" t="s">
        <v>6463</v>
      </c>
      <c r="B199" s="11" t="s">
        <v>6464</v>
      </c>
      <c r="C199" s="9" t="s">
        <v>482</v>
      </c>
      <c r="D199" s="17" t="n">
        <f aca="false">SRC_ANT_305</f>
        <v>20.28</v>
      </c>
      <c r="E199" s="17" t="n">
        <f aca="false">E197+E198</f>
        <v>117.691580641443</v>
      </c>
      <c r="F199" s="17" t="n">
        <f aca="false">F197+F198</f>
        <v>99.1878611908376</v>
      </c>
      <c r="G199" s="17" t="n">
        <f aca="false">G197+G198</f>
        <v>84.2280680683723</v>
      </c>
      <c r="H199" s="17" t="n">
        <f aca="false">H197+H198</f>
        <v>129.450895133038</v>
      </c>
      <c r="I199" s="17" t="n">
        <f aca="false">I197+I198</f>
        <v>229.213075343393</v>
      </c>
      <c r="K199" s="2"/>
    </row>
    <row r="200" customFormat="false" ht="15" hidden="false" customHeight="false" outlineLevel="0" collapsed="false">
      <c r="A200" s="9" t="s">
        <v>6465</v>
      </c>
      <c r="B200" s="11" t="s">
        <v>6466</v>
      </c>
      <c r="C200" s="9" t="s">
        <v>482</v>
      </c>
      <c r="E200" s="17" t="n">
        <f aca="false">E198</f>
        <v>-0</v>
      </c>
      <c r="F200" s="17" t="n">
        <f aca="false">E200+F198</f>
        <v>-0</v>
      </c>
      <c r="G200" s="17" t="n">
        <f aca="false">F200+G198</f>
        <v>-0</v>
      </c>
      <c r="H200" s="17" t="n">
        <f aca="false">G200+H198</f>
        <v>-0</v>
      </c>
      <c r="I200" s="17" t="n">
        <f aca="false">H200+I198</f>
        <v>-0</v>
      </c>
      <c r="K200" s="2"/>
    </row>
    <row r="201" customFormat="false" ht="15" hidden="false" customHeight="false" outlineLevel="0" collapsed="false">
      <c r="A201" s="9" t="s">
        <v>6467</v>
      </c>
      <c r="B201" s="11" t="s">
        <v>6468</v>
      </c>
      <c r="C201" s="9" t="s">
        <v>482</v>
      </c>
      <c r="E201" s="17" t="n">
        <f aca="false">SRC_ANT_305+Cost!E305+E196</f>
        <v>117.691580641443</v>
      </c>
      <c r="F201" s="17" t="n">
        <f aca="false">E201+Cost!F305+F196</f>
        <v>99.1878611908376</v>
      </c>
      <c r="G201" s="17" t="n">
        <f aca="false">F201+Cost!G305+G196</f>
        <v>84.2280680683723</v>
      </c>
      <c r="H201" s="17" t="n">
        <f aca="false">G201+Cost!H305+H196</f>
        <v>129.450895133038</v>
      </c>
      <c r="I201" s="17" t="n">
        <f aca="false">H201+Cost!I305+I196</f>
        <v>229.213075343393</v>
      </c>
      <c r="K201" s="2" t="s">
        <v>6322</v>
      </c>
    </row>
    <row r="202" customFormat="false" ht="15" hidden="false" customHeight="false" outlineLevel="0" collapsed="false">
      <c r="A202" s="9" t="s">
        <v>6469</v>
      </c>
      <c r="B202" s="11" t="s">
        <v>6470</v>
      </c>
      <c r="C202" s="11" t="s">
        <v>2189</v>
      </c>
      <c r="E202" s="23" t="str">
        <f aca="false">IF(SIGN(E198),E$6,"")</f>
        <v/>
      </c>
      <c r="F202" s="23" t="str">
        <f aca="false">IF(SIGN(F198),F$6,"")</f>
        <v/>
      </c>
      <c r="G202" s="23" t="str">
        <f aca="false">IF(SIGN(G198),G$6,"")</f>
        <v/>
      </c>
      <c r="H202" s="23" t="str">
        <f aca="false">IF(SIGN(H198),H$6,"")</f>
        <v/>
      </c>
      <c r="I202" s="23" t="str">
        <f aca="false">IF(SIGN(I198),I$6,"")</f>
        <v/>
      </c>
      <c r="K202" s="2"/>
    </row>
    <row r="203" customFormat="false" ht="15" hidden="false" customHeight="false" outlineLevel="0" collapsed="false">
      <c r="A203" s="9" t="s">
        <v>6471</v>
      </c>
      <c r="B203" s="11" t="s">
        <v>6472</v>
      </c>
      <c r="C203" s="11" t="s">
        <v>2189</v>
      </c>
      <c r="D203" s="23" t="str">
        <f aca="false">IF(COUNT($D$202:$I$202),MIN($D$202:$I$202),"無")</f>
        <v>無</v>
      </c>
      <c r="K203" s="2"/>
    </row>
    <row r="204" customFormat="false" ht="15" hidden="false" customHeight="false" outlineLevel="0" collapsed="false">
      <c r="A204" s="9" t="s">
        <v>6473</v>
      </c>
      <c r="B204" s="11" t="s">
        <v>6474</v>
      </c>
      <c r="C204" s="9" t="s">
        <v>482</v>
      </c>
      <c r="D204" s="17" t="n">
        <f aca="false">I200</f>
        <v>-0</v>
      </c>
      <c r="K204" s="2"/>
    </row>
    <row r="205" customFormat="false" ht="15" hidden="false" customHeight="false" outlineLevel="0" collapsed="false">
      <c r="A205" s="9" t="s">
        <v>6475</v>
      </c>
      <c r="B205" s="11" t="s">
        <v>6476</v>
      </c>
      <c r="C205" s="9" t="s">
        <v>482</v>
      </c>
      <c r="D205" s="17" t="n">
        <f aca="false">MIN($D$201:$I$201)</f>
        <v>84.2280680683723</v>
      </c>
      <c r="K205" s="2" t="s">
        <v>6331</v>
      </c>
    </row>
    <row r="206" customFormat="false" ht="15" hidden="false" customHeight="false" outlineLevel="0" collapsed="false">
      <c r="A206" s="9" t="s">
        <v>6477</v>
      </c>
      <c r="B206" s="11" t="s">
        <v>6478</v>
      </c>
      <c r="C206" s="9" t="s">
        <v>482</v>
      </c>
      <c r="E206" s="17" t="n">
        <f aca="false">E26+E30+E31+E32+E33+E34</f>
        <v>210</v>
      </c>
      <c r="F206" s="17" t="n">
        <f aca="false">F26+F30+F31+F32+F33+F34</f>
        <v>50</v>
      </c>
      <c r="G206" s="17" t="n">
        <f aca="false">G26+G30+G31+G32+G33+G34</f>
        <v>0</v>
      </c>
      <c r="H206" s="17" t="n">
        <f aca="false">H26+H30+H31+H32+H33+H34</f>
        <v>0</v>
      </c>
      <c r="I206" s="17" t="n">
        <f aca="false">I26+I30+I31+I32+I33+I34</f>
        <v>0</v>
      </c>
      <c r="K206" s="2"/>
    </row>
    <row r="207" customFormat="false" ht="15" hidden="false" customHeight="false" outlineLevel="0" collapsed="false">
      <c r="A207" s="9" t="s">
        <v>6479</v>
      </c>
      <c r="B207" s="11" t="s">
        <v>6480</v>
      </c>
      <c r="C207" s="9" t="s">
        <v>482</v>
      </c>
      <c r="E207" s="17" t="n">
        <f aca="false">SRC_ANT_305+Cost!E305+E206</f>
        <v>227.691580641443</v>
      </c>
      <c r="F207" s="17" t="n">
        <f aca="false">E209+Cost!F305+F206</f>
        <v>259.187861190838</v>
      </c>
      <c r="G207" s="17" t="n">
        <f aca="false">F209+Cost!G305+G206</f>
        <v>244.228068068372</v>
      </c>
      <c r="H207" s="17" t="n">
        <f aca="false">G209+Cost!H305+H206</f>
        <v>289.450895133038</v>
      </c>
      <c r="I207" s="17" t="n">
        <f aca="false">H209+Cost!I305+I206</f>
        <v>389.213075343393</v>
      </c>
      <c r="K207" s="2"/>
    </row>
    <row r="208" customFormat="false" ht="15" hidden="false" customHeight="false" outlineLevel="0" collapsed="false">
      <c r="A208" s="9" t="s">
        <v>6481</v>
      </c>
      <c r="B208" s="11" t="s">
        <v>6482</v>
      </c>
      <c r="C208" s="9" t="s">
        <v>482</v>
      </c>
      <c r="E208" s="17" t="n">
        <f aca="false">(E38-E207)*(E38&gt;E207)</f>
        <v>-0</v>
      </c>
      <c r="F208" s="17" t="n">
        <f aca="false">(F38-F207)*(F38&gt;F207)</f>
        <v>-0</v>
      </c>
      <c r="G208" s="17" t="n">
        <f aca="false">(G38-G207)*(G38&gt;G207)</f>
        <v>-0</v>
      </c>
      <c r="H208" s="17" t="n">
        <f aca="false">(H38-H207)*(H38&gt;H207)</f>
        <v>-0</v>
      </c>
      <c r="I208" s="17" t="n">
        <f aca="false">(I38-I207)*(I38&gt;I207)</f>
        <v>-0</v>
      </c>
      <c r="K208" s="2"/>
    </row>
    <row r="209" customFormat="false" ht="15" hidden="false" customHeight="false" outlineLevel="0" collapsed="false">
      <c r="A209" s="9" t="s">
        <v>6483</v>
      </c>
      <c r="B209" s="11" t="s">
        <v>6484</v>
      </c>
      <c r="C209" s="9" t="s">
        <v>482</v>
      </c>
      <c r="D209" s="17" t="n">
        <f aca="false">SRC_ANT_305</f>
        <v>20.28</v>
      </c>
      <c r="E209" s="17" t="n">
        <f aca="false">E207+E208</f>
        <v>227.691580641443</v>
      </c>
      <c r="F209" s="17" t="n">
        <f aca="false">F207+F208</f>
        <v>259.187861190838</v>
      </c>
      <c r="G209" s="17" t="n">
        <f aca="false">G207+G208</f>
        <v>244.228068068372</v>
      </c>
      <c r="H209" s="17" t="n">
        <f aca="false">H207+H208</f>
        <v>289.450895133038</v>
      </c>
      <c r="I209" s="17" t="n">
        <f aca="false">I207+I208</f>
        <v>389.213075343393</v>
      </c>
      <c r="K209" s="2"/>
    </row>
    <row r="210" customFormat="false" ht="15" hidden="false" customHeight="false" outlineLevel="0" collapsed="false">
      <c r="A210" s="9" t="s">
        <v>6485</v>
      </c>
      <c r="B210" s="11" t="s">
        <v>6486</v>
      </c>
      <c r="C210" s="9" t="s">
        <v>482</v>
      </c>
      <c r="E210" s="17" t="n">
        <f aca="false">E208</f>
        <v>-0</v>
      </c>
      <c r="F210" s="17" t="n">
        <f aca="false">E210+F208</f>
        <v>-0</v>
      </c>
      <c r="G210" s="17" t="n">
        <f aca="false">F210+G208</f>
        <v>-0</v>
      </c>
      <c r="H210" s="17" t="n">
        <f aca="false">G210+H208</f>
        <v>-0</v>
      </c>
      <c r="I210" s="17" t="n">
        <f aca="false">H210+I208</f>
        <v>-0</v>
      </c>
      <c r="K210" s="2"/>
    </row>
    <row r="211" customFormat="false" ht="15" hidden="false" customHeight="false" outlineLevel="0" collapsed="false">
      <c r="A211" s="9" t="s">
        <v>6487</v>
      </c>
      <c r="B211" s="11" t="s">
        <v>6488</v>
      </c>
      <c r="C211" s="9" t="s">
        <v>482</v>
      </c>
      <c r="E211" s="17" t="n">
        <f aca="false">SRC_ANT_305+Cost!E305+E206</f>
        <v>227.691580641443</v>
      </c>
      <c r="F211" s="17" t="n">
        <f aca="false">E211+Cost!F305+F206</f>
        <v>259.187861190838</v>
      </c>
      <c r="G211" s="17" t="n">
        <f aca="false">F211+Cost!G305+G206</f>
        <v>244.228068068372</v>
      </c>
      <c r="H211" s="17" t="n">
        <f aca="false">G211+Cost!H305+H206</f>
        <v>289.450895133038</v>
      </c>
      <c r="I211" s="17" t="n">
        <f aca="false">H211+Cost!I305+I206</f>
        <v>389.213075343393</v>
      </c>
      <c r="K211" s="2" t="s">
        <v>6322</v>
      </c>
    </row>
    <row r="212" customFormat="false" ht="15" hidden="false" customHeight="false" outlineLevel="0" collapsed="false">
      <c r="A212" s="9" t="s">
        <v>6489</v>
      </c>
      <c r="B212" s="11" t="s">
        <v>6490</v>
      </c>
      <c r="C212" s="11" t="s">
        <v>2189</v>
      </c>
      <c r="E212" s="23" t="str">
        <f aca="false">IF(SIGN(E208),E$6,"")</f>
        <v/>
      </c>
      <c r="F212" s="23" t="str">
        <f aca="false">IF(SIGN(F208),F$6,"")</f>
        <v/>
      </c>
      <c r="G212" s="23" t="str">
        <f aca="false">IF(SIGN(G208),G$6,"")</f>
        <v/>
      </c>
      <c r="H212" s="23" t="str">
        <f aca="false">IF(SIGN(H208),H$6,"")</f>
        <v/>
      </c>
      <c r="I212" s="23" t="str">
        <f aca="false">IF(SIGN(I208),I$6,"")</f>
        <v/>
      </c>
      <c r="K212" s="2"/>
    </row>
    <row r="213" customFormat="false" ht="15" hidden="false" customHeight="false" outlineLevel="0" collapsed="false">
      <c r="A213" s="9" t="s">
        <v>6491</v>
      </c>
      <c r="B213" s="11" t="s">
        <v>6492</v>
      </c>
      <c r="C213" s="11" t="s">
        <v>2189</v>
      </c>
      <c r="D213" s="23" t="str">
        <f aca="false">IF(COUNT($D$212:$I$212),MIN($D$212:$I$212),"無")</f>
        <v>無</v>
      </c>
      <c r="K213" s="2"/>
    </row>
    <row r="214" customFormat="false" ht="15" hidden="false" customHeight="false" outlineLevel="0" collapsed="false">
      <c r="A214" s="9" t="s">
        <v>6493</v>
      </c>
      <c r="B214" s="11" t="s">
        <v>6494</v>
      </c>
      <c r="C214" s="9" t="s">
        <v>482</v>
      </c>
      <c r="D214" s="17" t="n">
        <f aca="false">I210</f>
        <v>-0</v>
      </c>
      <c r="K214" s="2"/>
    </row>
    <row r="215" customFormat="false" ht="15" hidden="false" customHeight="false" outlineLevel="0" collapsed="false">
      <c r="A215" s="9" t="s">
        <v>6495</v>
      </c>
      <c r="B215" s="11" t="s">
        <v>6496</v>
      </c>
      <c r="C215" s="9" t="s">
        <v>482</v>
      </c>
      <c r="D215" s="17" t="n">
        <f aca="false">MIN($D$211:$I$211)</f>
        <v>227.691580641443</v>
      </c>
      <c r="K215" s="2" t="s">
        <v>6331</v>
      </c>
    </row>
    <row r="216" customFormat="false" ht="15" hidden="false" customHeight="false" outlineLevel="0" collapsed="false">
      <c r="A216" s="9" t="s">
        <v>6497</v>
      </c>
      <c r="B216" s="11" t="s">
        <v>6498</v>
      </c>
      <c r="C216" s="11" t="s">
        <v>2189</v>
      </c>
      <c r="E216" s="23" t="str">
        <f aca="false">IF(Cost!E105+Cost!E306&gt;Cost!E53+Cost!E292+Cost!E89,E$6,"")</f>
        <v/>
      </c>
      <c r="F216" s="23" t="str">
        <f aca="false">IF(Cost!F105+Cost!F306&gt;Cost!F53+Cost!F292+Cost!F89,F$6,"")</f>
        <v/>
      </c>
      <c r="G216" s="23" t="str">
        <f aca="false">IF(Cost!G105+Cost!G306&gt;Cost!G53+Cost!G292+Cost!G89,G$6,"")</f>
        <v/>
      </c>
      <c r="H216" s="23" t="n">
        <f aca="false">IF(Cost!H105+Cost!H306&gt;Cost!H53+Cost!H292+Cost!H89,H$6,"")</f>
        <v>2029</v>
      </c>
      <c r="I216" s="23" t="n">
        <f aca="false">IF(Cost!I105+Cost!I306&gt;Cost!I53+Cost!I292+Cost!I89,I$6,"")</f>
        <v>2030</v>
      </c>
      <c r="K216" s="2"/>
    </row>
    <row r="217" customFormat="false" ht="15" hidden="false" customHeight="false" outlineLevel="0" collapsed="false">
      <c r="A217" s="9" t="s">
        <v>6499</v>
      </c>
      <c r="B217" s="11" t="s">
        <v>6500</v>
      </c>
      <c r="C217" s="11" t="s">
        <v>2189</v>
      </c>
      <c r="D217" s="23" t="n">
        <f aca="false">IF(COUNT($D$216:$I$216),MIN($D$216:$I$216),"無")</f>
        <v>2029</v>
      </c>
      <c r="K217" s="2" t="s">
        <v>6311</v>
      </c>
    </row>
    <row r="218" customFormat="false" ht="15" hidden="false" customHeight="false" outlineLevel="0" collapsed="false">
      <c r="A218" s="9" t="s">
        <v>6501</v>
      </c>
      <c r="B218" s="11" t="s">
        <v>6502</v>
      </c>
      <c r="C218" s="9" t="s">
        <v>482</v>
      </c>
      <c r="E218" s="17" t="n">
        <f aca="false">$D$120+Cost!E310</f>
        <v>-2.58841935855733</v>
      </c>
      <c r="F218" s="17" t="n">
        <f aca="false">E220+Cost!F310</f>
        <v>-14.5269930892051</v>
      </c>
      <c r="G218" s="17" t="n">
        <f aca="false">F220+Cost!G310</f>
        <v>-10.0445593397749</v>
      </c>
      <c r="H218" s="17" t="n">
        <f aca="false">G220+Cost!H310</f>
        <v>63.2573281494455</v>
      </c>
      <c r="I218" s="17" t="n">
        <f aca="false">H220+Cost!I310</f>
        <v>209.664987652008</v>
      </c>
      <c r="K218" s="2"/>
    </row>
    <row r="219" customFormat="false" ht="15" hidden="false" customHeight="false" outlineLevel="0" collapsed="false">
      <c r="A219" s="9" t="s">
        <v>6503</v>
      </c>
      <c r="B219" s="11" t="s">
        <v>6504</v>
      </c>
      <c r="C219" s="9" t="s">
        <v>482</v>
      </c>
      <c r="E219" s="17" t="n">
        <f aca="false">(E38-E218)*(E38&gt;E218)</f>
        <v>6.56514571995733</v>
      </c>
      <c r="F219" s="17" t="n">
        <f aca="false">(F38-F218)*(F38&gt;F218)</f>
        <v>19.4422268718955</v>
      </c>
      <c r="G219" s="17" t="n">
        <f aca="false">(G38-G218)*(G38&gt;G218)</f>
        <v>15.8666537553717</v>
      </c>
      <c r="H219" s="17" t="n">
        <f aca="false">(H38-H218)*(H38&gt;H218)</f>
        <v>-0</v>
      </c>
      <c r="I219" s="17" t="n">
        <f aca="false">(I38-I218)*(I38&gt;I218)</f>
        <v>-0</v>
      </c>
      <c r="K219" s="2"/>
    </row>
    <row r="220" customFormat="false" ht="15" hidden="false" customHeight="false" outlineLevel="0" collapsed="false">
      <c r="A220" s="9" t="s">
        <v>6505</v>
      </c>
      <c r="B220" s="11" t="s">
        <v>6506</v>
      </c>
      <c r="C220" s="9" t="s">
        <v>482</v>
      </c>
      <c r="D220" s="17" t="n">
        <f aca="false">$D$120</f>
        <v>0</v>
      </c>
      <c r="E220" s="17" t="n">
        <f aca="false">E218+E219</f>
        <v>3.9767263614</v>
      </c>
      <c r="F220" s="17" t="n">
        <f aca="false">F218+F219</f>
        <v>4.9152337826904</v>
      </c>
      <c r="G220" s="17" t="n">
        <f aca="false">G218+G219</f>
        <v>5.82209441559678</v>
      </c>
      <c r="H220" s="17" t="n">
        <f aca="false">H218+H219</f>
        <v>63.2573281494455</v>
      </c>
      <c r="I220" s="17" t="n">
        <f aca="false">I218+I219</f>
        <v>209.664987652008</v>
      </c>
      <c r="K220" s="2"/>
    </row>
    <row r="221" customFormat="false" ht="15" hidden="false" customHeight="false" outlineLevel="0" collapsed="false">
      <c r="A221" s="9" t="s">
        <v>6507</v>
      </c>
      <c r="B221" s="11" t="s">
        <v>6508</v>
      </c>
      <c r="C221" s="9" t="s">
        <v>482</v>
      </c>
      <c r="E221" s="17" t="n">
        <f aca="false">E219</f>
        <v>6.56514571995733</v>
      </c>
      <c r="F221" s="17" t="n">
        <f aca="false">E221+F219</f>
        <v>26.0073725918528</v>
      </c>
      <c r="G221" s="17" t="n">
        <f aca="false">F221+G219</f>
        <v>41.8740263472245</v>
      </c>
      <c r="H221" s="17" t="n">
        <f aca="false">G221+H219</f>
        <v>41.8740263472245</v>
      </c>
      <c r="I221" s="17" t="n">
        <f aca="false">H221+I219</f>
        <v>41.8740263472245</v>
      </c>
      <c r="K221" s="2"/>
    </row>
    <row r="222" customFormat="false" ht="15" hidden="false" customHeight="false" outlineLevel="0" collapsed="false">
      <c r="A222" s="9" t="s">
        <v>6509</v>
      </c>
      <c r="B222" s="11" t="s">
        <v>6510</v>
      </c>
      <c r="C222" s="9" t="s">
        <v>482</v>
      </c>
      <c r="E222" s="17" t="n">
        <f aca="false">$D$120+Cost!E310</f>
        <v>-2.58841935855733</v>
      </c>
      <c r="F222" s="17" t="n">
        <f aca="false">E222+Cost!F310</f>
        <v>-21.0921388091624</v>
      </c>
      <c r="G222" s="17" t="n">
        <f aca="false">F222+Cost!G310</f>
        <v>-36.0519319316277</v>
      </c>
      <c r="H222" s="17" t="n">
        <f aca="false">G222+Cost!H310</f>
        <v>21.383301802221</v>
      </c>
      <c r="I222" s="17" t="n">
        <f aca="false">H222+Cost!I310</f>
        <v>167.790961304783</v>
      </c>
      <c r="K222" s="2" t="s">
        <v>6322</v>
      </c>
    </row>
    <row r="223" customFormat="false" ht="15" hidden="false" customHeight="false" outlineLevel="0" collapsed="false">
      <c r="A223" s="9" t="s">
        <v>6511</v>
      </c>
      <c r="B223" s="11" t="s">
        <v>6512</v>
      </c>
      <c r="C223" s="11" t="s">
        <v>2189</v>
      </c>
      <c r="E223" s="23" t="n">
        <f aca="false">IF(SIGN(E219),E$6,"")</f>
        <v>2026</v>
      </c>
      <c r="F223" s="23" t="n">
        <f aca="false">IF(SIGN(F219),F$6,"")</f>
        <v>2027</v>
      </c>
      <c r="G223" s="23" t="n">
        <f aca="false">IF(SIGN(G219),G$6,"")</f>
        <v>2028</v>
      </c>
      <c r="H223" s="23" t="str">
        <f aca="false">IF(SIGN(H219),H$6,"")</f>
        <v/>
      </c>
      <c r="I223" s="23" t="str">
        <f aca="false">IF(SIGN(I219),I$6,"")</f>
        <v/>
      </c>
      <c r="K223" s="2"/>
    </row>
    <row r="224" customFormat="false" ht="15" hidden="false" customHeight="false" outlineLevel="0" collapsed="false">
      <c r="A224" s="9" t="s">
        <v>6513</v>
      </c>
      <c r="B224" s="11" t="s">
        <v>6514</v>
      </c>
      <c r="C224" s="11" t="s">
        <v>2189</v>
      </c>
      <c r="D224" s="23" t="n">
        <f aca="false">IF(COUNT($D$223:$I$223),MIN($D$223:$I$223),"無")</f>
        <v>2026</v>
      </c>
      <c r="K224" s="2"/>
    </row>
    <row r="225" customFormat="false" ht="15" hidden="false" customHeight="false" outlineLevel="0" collapsed="false">
      <c r="A225" s="9" t="s">
        <v>6515</v>
      </c>
      <c r="B225" s="11" t="s">
        <v>6516</v>
      </c>
      <c r="C225" s="9" t="s">
        <v>482</v>
      </c>
      <c r="D225" s="17" t="n">
        <f aca="false">I221</f>
        <v>41.8740263472245</v>
      </c>
      <c r="K225" s="2"/>
    </row>
    <row r="226" customFormat="false" ht="15" hidden="false" customHeight="false" outlineLevel="0" collapsed="false">
      <c r="A226" s="9" t="s">
        <v>6517</v>
      </c>
      <c r="B226" s="11" t="s">
        <v>6518</v>
      </c>
      <c r="C226" s="9" t="s">
        <v>482</v>
      </c>
      <c r="D226" s="17" t="n">
        <f aca="false">MIN($D$222:$I$222)</f>
        <v>-36.0519319316277</v>
      </c>
      <c r="K226" s="2" t="s">
        <v>6331</v>
      </c>
    </row>
    <row r="227" customFormat="false" ht="15" hidden="false" customHeight="false" outlineLevel="0" collapsed="false">
      <c r="A227" s="9" t="s">
        <v>6519</v>
      </c>
      <c r="B227" s="11" t="s">
        <v>6520</v>
      </c>
      <c r="C227" s="9" t="s">
        <v>482</v>
      </c>
      <c r="E227" s="17" t="n">
        <f aca="false">E36</f>
        <v>100</v>
      </c>
      <c r="F227" s="17" t="n">
        <f aca="false">F36</f>
        <v>0</v>
      </c>
      <c r="G227" s="17" t="n">
        <f aca="false">G36</f>
        <v>0</v>
      </c>
      <c r="H227" s="17" t="n">
        <f aca="false">H36</f>
        <v>0</v>
      </c>
      <c r="I227" s="17" t="n">
        <f aca="false">I36</f>
        <v>0</v>
      </c>
      <c r="K227" s="2"/>
    </row>
    <row r="228" customFormat="false" ht="15" hidden="false" customHeight="false" outlineLevel="0" collapsed="false">
      <c r="A228" s="9" t="s">
        <v>6521</v>
      </c>
      <c r="B228" s="11" t="s">
        <v>6522</v>
      </c>
      <c r="C228" s="9" t="s">
        <v>482</v>
      </c>
      <c r="E228" s="17" t="n">
        <f aca="false">SRC_ANT_305+Cost!E310+E227</f>
        <v>117.691580641443</v>
      </c>
      <c r="F228" s="17" t="n">
        <f aca="false">E230+Cost!F310+F227</f>
        <v>99.1878611908376</v>
      </c>
      <c r="G228" s="17" t="n">
        <f aca="false">F230+Cost!G310+G227</f>
        <v>84.2280680683723</v>
      </c>
      <c r="H228" s="17" t="n">
        <f aca="false">G230+Cost!H310+H227</f>
        <v>141.663301802221</v>
      </c>
      <c r="I228" s="17" t="n">
        <f aca="false">H230+Cost!I310+I227</f>
        <v>288.070961304783</v>
      </c>
      <c r="K228" s="2"/>
    </row>
    <row r="229" customFormat="false" ht="15" hidden="false" customHeight="false" outlineLevel="0" collapsed="false">
      <c r="A229" s="9" t="s">
        <v>6523</v>
      </c>
      <c r="B229" s="11" t="s">
        <v>6524</v>
      </c>
      <c r="C229" s="9" t="s">
        <v>482</v>
      </c>
      <c r="E229" s="17" t="n">
        <f aca="false">(E38-E228)*(E38&gt;E228)</f>
        <v>-0</v>
      </c>
      <c r="F229" s="17" t="n">
        <f aca="false">(F38-F228)*(F38&gt;F228)</f>
        <v>-0</v>
      </c>
      <c r="G229" s="17" t="n">
        <f aca="false">(G38-G228)*(G38&gt;G228)</f>
        <v>-0</v>
      </c>
      <c r="H229" s="17" t="n">
        <f aca="false">(H38-H228)*(H38&gt;H228)</f>
        <v>-0</v>
      </c>
      <c r="I229" s="17" t="n">
        <f aca="false">(I38-I228)*(I38&gt;I228)</f>
        <v>-0</v>
      </c>
      <c r="K229" s="2"/>
    </row>
    <row r="230" customFormat="false" ht="15" hidden="false" customHeight="false" outlineLevel="0" collapsed="false">
      <c r="A230" s="9" t="s">
        <v>6525</v>
      </c>
      <c r="B230" s="11" t="s">
        <v>6526</v>
      </c>
      <c r="C230" s="9" t="s">
        <v>482</v>
      </c>
      <c r="D230" s="17" t="n">
        <f aca="false">SRC_ANT_305</f>
        <v>20.28</v>
      </c>
      <c r="E230" s="17" t="n">
        <f aca="false">E228+E229</f>
        <v>117.691580641443</v>
      </c>
      <c r="F230" s="17" t="n">
        <f aca="false">F228+F229</f>
        <v>99.1878611908376</v>
      </c>
      <c r="G230" s="17" t="n">
        <f aca="false">G228+G229</f>
        <v>84.2280680683723</v>
      </c>
      <c r="H230" s="17" t="n">
        <f aca="false">H228+H229</f>
        <v>141.663301802221</v>
      </c>
      <c r="I230" s="17" t="n">
        <f aca="false">I228+I229</f>
        <v>288.070961304783</v>
      </c>
      <c r="K230" s="2"/>
    </row>
    <row r="231" customFormat="false" ht="15" hidden="false" customHeight="false" outlineLevel="0" collapsed="false">
      <c r="A231" s="9" t="s">
        <v>6527</v>
      </c>
      <c r="B231" s="11" t="s">
        <v>6528</v>
      </c>
      <c r="C231" s="9" t="s">
        <v>482</v>
      </c>
      <c r="E231" s="17" t="n">
        <f aca="false">E229</f>
        <v>-0</v>
      </c>
      <c r="F231" s="17" t="n">
        <f aca="false">E231+F229</f>
        <v>-0</v>
      </c>
      <c r="G231" s="17" t="n">
        <f aca="false">F231+G229</f>
        <v>-0</v>
      </c>
      <c r="H231" s="17" t="n">
        <f aca="false">G231+H229</f>
        <v>-0</v>
      </c>
      <c r="I231" s="17" t="n">
        <f aca="false">H231+I229</f>
        <v>-0</v>
      </c>
      <c r="K231" s="2"/>
    </row>
    <row r="232" customFormat="false" ht="15" hidden="false" customHeight="false" outlineLevel="0" collapsed="false">
      <c r="A232" s="9" t="s">
        <v>6529</v>
      </c>
      <c r="B232" s="11" t="s">
        <v>6530</v>
      </c>
      <c r="C232" s="9" t="s">
        <v>482</v>
      </c>
      <c r="E232" s="17" t="n">
        <f aca="false">SRC_ANT_305+Cost!E310+E227</f>
        <v>117.691580641443</v>
      </c>
      <c r="F232" s="17" t="n">
        <f aca="false">E232+Cost!F310+F227</f>
        <v>99.1878611908376</v>
      </c>
      <c r="G232" s="17" t="n">
        <f aca="false">F232+Cost!G310+G227</f>
        <v>84.2280680683723</v>
      </c>
      <c r="H232" s="17" t="n">
        <f aca="false">G232+Cost!H310+H227</f>
        <v>141.663301802221</v>
      </c>
      <c r="I232" s="17" t="n">
        <f aca="false">H232+Cost!I310+I227</f>
        <v>288.070961304783</v>
      </c>
      <c r="K232" s="2" t="s">
        <v>6322</v>
      </c>
    </row>
    <row r="233" customFormat="false" ht="15" hidden="false" customHeight="false" outlineLevel="0" collapsed="false">
      <c r="A233" s="9" t="s">
        <v>6531</v>
      </c>
      <c r="B233" s="11" t="s">
        <v>6532</v>
      </c>
      <c r="C233" s="11" t="s">
        <v>2189</v>
      </c>
      <c r="E233" s="23" t="str">
        <f aca="false">IF(SIGN(E229),E$6,"")</f>
        <v/>
      </c>
      <c r="F233" s="23" t="str">
        <f aca="false">IF(SIGN(F229),F$6,"")</f>
        <v/>
      </c>
      <c r="G233" s="23" t="str">
        <f aca="false">IF(SIGN(G229),G$6,"")</f>
        <v/>
      </c>
      <c r="H233" s="23" t="str">
        <f aca="false">IF(SIGN(H229),H$6,"")</f>
        <v/>
      </c>
      <c r="I233" s="23" t="str">
        <f aca="false">IF(SIGN(I229),I$6,"")</f>
        <v/>
      </c>
      <c r="K233" s="2"/>
    </row>
    <row r="234" customFormat="false" ht="15" hidden="false" customHeight="false" outlineLevel="0" collapsed="false">
      <c r="A234" s="9" t="s">
        <v>6533</v>
      </c>
      <c r="B234" s="11" t="s">
        <v>6534</v>
      </c>
      <c r="C234" s="11" t="s">
        <v>2189</v>
      </c>
      <c r="D234" s="23" t="str">
        <f aca="false">IF(COUNT($D$233:$I$233),MIN($D$233:$I$233),"無")</f>
        <v>無</v>
      </c>
      <c r="K234" s="2"/>
    </row>
    <row r="235" customFormat="false" ht="15" hidden="false" customHeight="false" outlineLevel="0" collapsed="false">
      <c r="A235" s="9" t="s">
        <v>6535</v>
      </c>
      <c r="B235" s="11" t="s">
        <v>6536</v>
      </c>
      <c r="C235" s="9" t="s">
        <v>482</v>
      </c>
      <c r="D235" s="17" t="n">
        <f aca="false">I231</f>
        <v>-0</v>
      </c>
      <c r="K235" s="2"/>
    </row>
    <row r="236" customFormat="false" ht="15" hidden="false" customHeight="false" outlineLevel="0" collapsed="false">
      <c r="A236" s="9" t="s">
        <v>6537</v>
      </c>
      <c r="B236" s="11" t="s">
        <v>6538</v>
      </c>
      <c r="C236" s="9" t="s">
        <v>482</v>
      </c>
      <c r="D236" s="17" t="n">
        <f aca="false">MIN($D$232:$I$232)</f>
        <v>84.2280680683723</v>
      </c>
      <c r="K236" s="2" t="s">
        <v>6331</v>
      </c>
    </row>
    <row r="237" customFormat="false" ht="15" hidden="false" customHeight="false" outlineLevel="0" collapsed="false">
      <c r="A237" s="9" t="s">
        <v>6539</v>
      </c>
      <c r="B237" s="11" t="s">
        <v>6540</v>
      </c>
      <c r="C237" s="9" t="s">
        <v>482</v>
      </c>
      <c r="E237" s="17" t="n">
        <f aca="false">E26+E30+E31+E32+E33+E34</f>
        <v>210</v>
      </c>
      <c r="F237" s="17" t="n">
        <f aca="false">F26+F30+F31+F32+F33+F34</f>
        <v>50</v>
      </c>
      <c r="G237" s="17" t="n">
        <f aca="false">G26+G30+G31+G32+G33+G34</f>
        <v>0</v>
      </c>
      <c r="H237" s="17" t="n">
        <f aca="false">H26+H30+H31+H32+H33+H34</f>
        <v>0</v>
      </c>
      <c r="I237" s="17" t="n">
        <f aca="false">I26+I30+I31+I32+I33+I34</f>
        <v>0</v>
      </c>
      <c r="K237" s="2"/>
    </row>
    <row r="238" customFormat="false" ht="15" hidden="false" customHeight="false" outlineLevel="0" collapsed="false">
      <c r="A238" s="9" t="s">
        <v>6541</v>
      </c>
      <c r="B238" s="11" t="s">
        <v>6542</v>
      </c>
      <c r="C238" s="9" t="s">
        <v>482</v>
      </c>
      <c r="E238" s="17" t="n">
        <f aca="false">SRC_ANT_305+Cost!E310+E237</f>
        <v>227.691580641443</v>
      </c>
      <c r="F238" s="17" t="n">
        <f aca="false">E240+Cost!F310+F237</f>
        <v>259.187861190838</v>
      </c>
      <c r="G238" s="17" t="n">
        <f aca="false">F240+Cost!G310+G237</f>
        <v>244.228068068372</v>
      </c>
      <c r="H238" s="17" t="n">
        <f aca="false">G240+Cost!H310+H237</f>
        <v>301.663301802221</v>
      </c>
      <c r="I238" s="17" t="n">
        <f aca="false">H240+Cost!I310+I237</f>
        <v>448.070961304783</v>
      </c>
      <c r="K238" s="2"/>
    </row>
    <row r="239" customFormat="false" ht="15" hidden="false" customHeight="false" outlineLevel="0" collapsed="false">
      <c r="A239" s="9" t="s">
        <v>6543</v>
      </c>
      <c r="B239" s="11" t="s">
        <v>6544</v>
      </c>
      <c r="C239" s="9" t="s">
        <v>482</v>
      </c>
      <c r="E239" s="17" t="n">
        <f aca="false">(E38-E238)*(E38&gt;E238)</f>
        <v>-0</v>
      </c>
      <c r="F239" s="17" t="n">
        <f aca="false">(F38-F238)*(F38&gt;F238)</f>
        <v>-0</v>
      </c>
      <c r="G239" s="17" t="n">
        <f aca="false">(G38-G238)*(G38&gt;G238)</f>
        <v>-0</v>
      </c>
      <c r="H239" s="17" t="n">
        <f aca="false">(H38-H238)*(H38&gt;H238)</f>
        <v>-0</v>
      </c>
      <c r="I239" s="17" t="n">
        <f aca="false">(I38-I238)*(I38&gt;I238)</f>
        <v>-0</v>
      </c>
      <c r="K239" s="2"/>
    </row>
    <row r="240" customFormat="false" ht="15" hidden="false" customHeight="false" outlineLevel="0" collapsed="false">
      <c r="A240" s="9" t="s">
        <v>6545</v>
      </c>
      <c r="B240" s="11" t="s">
        <v>6546</v>
      </c>
      <c r="C240" s="9" t="s">
        <v>482</v>
      </c>
      <c r="D240" s="17" t="n">
        <f aca="false">SRC_ANT_305</f>
        <v>20.28</v>
      </c>
      <c r="E240" s="17" t="n">
        <f aca="false">E238+E239</f>
        <v>227.691580641443</v>
      </c>
      <c r="F240" s="17" t="n">
        <f aca="false">F238+F239</f>
        <v>259.187861190838</v>
      </c>
      <c r="G240" s="17" t="n">
        <f aca="false">G238+G239</f>
        <v>244.228068068372</v>
      </c>
      <c r="H240" s="17" t="n">
        <f aca="false">H238+H239</f>
        <v>301.663301802221</v>
      </c>
      <c r="I240" s="17" t="n">
        <f aca="false">I238+I239</f>
        <v>448.070961304783</v>
      </c>
      <c r="K240" s="2"/>
    </row>
    <row r="241" customFormat="false" ht="15" hidden="false" customHeight="false" outlineLevel="0" collapsed="false">
      <c r="A241" s="9" t="s">
        <v>6547</v>
      </c>
      <c r="B241" s="11" t="s">
        <v>6548</v>
      </c>
      <c r="C241" s="9" t="s">
        <v>482</v>
      </c>
      <c r="E241" s="17" t="n">
        <f aca="false">E239</f>
        <v>-0</v>
      </c>
      <c r="F241" s="17" t="n">
        <f aca="false">E241+F239</f>
        <v>-0</v>
      </c>
      <c r="G241" s="17" t="n">
        <f aca="false">F241+G239</f>
        <v>-0</v>
      </c>
      <c r="H241" s="17" t="n">
        <f aca="false">G241+H239</f>
        <v>-0</v>
      </c>
      <c r="I241" s="17" t="n">
        <f aca="false">H241+I239</f>
        <v>-0</v>
      </c>
      <c r="K241" s="2"/>
    </row>
    <row r="242" customFormat="false" ht="15" hidden="false" customHeight="false" outlineLevel="0" collapsed="false">
      <c r="A242" s="9" t="s">
        <v>6549</v>
      </c>
      <c r="B242" s="11" t="s">
        <v>6550</v>
      </c>
      <c r="C242" s="9" t="s">
        <v>482</v>
      </c>
      <c r="E242" s="17" t="n">
        <f aca="false">SRC_ANT_305+Cost!E310+E237</f>
        <v>227.691580641443</v>
      </c>
      <c r="F242" s="17" t="n">
        <f aca="false">E242+Cost!F310+F237</f>
        <v>259.187861190838</v>
      </c>
      <c r="G242" s="17" t="n">
        <f aca="false">F242+Cost!G310+G237</f>
        <v>244.228068068372</v>
      </c>
      <c r="H242" s="17" t="n">
        <f aca="false">G242+Cost!H310+H237</f>
        <v>301.663301802221</v>
      </c>
      <c r="I242" s="17" t="n">
        <f aca="false">H242+Cost!I310+I237</f>
        <v>448.070961304783</v>
      </c>
      <c r="K242" s="2" t="s">
        <v>6322</v>
      </c>
    </row>
    <row r="243" customFormat="false" ht="15" hidden="false" customHeight="false" outlineLevel="0" collapsed="false">
      <c r="A243" s="9" t="s">
        <v>6551</v>
      </c>
      <c r="B243" s="11" t="s">
        <v>6552</v>
      </c>
      <c r="C243" s="11" t="s">
        <v>2189</v>
      </c>
      <c r="E243" s="23" t="str">
        <f aca="false">IF(SIGN(E239),E$6,"")</f>
        <v/>
      </c>
      <c r="F243" s="23" t="str">
        <f aca="false">IF(SIGN(F239),F$6,"")</f>
        <v/>
      </c>
      <c r="G243" s="23" t="str">
        <f aca="false">IF(SIGN(G239),G$6,"")</f>
        <v/>
      </c>
      <c r="H243" s="23" t="str">
        <f aca="false">IF(SIGN(H239),H$6,"")</f>
        <v/>
      </c>
      <c r="I243" s="23" t="str">
        <f aca="false">IF(SIGN(I239),I$6,"")</f>
        <v/>
      </c>
      <c r="K243" s="2"/>
    </row>
    <row r="244" customFormat="false" ht="15" hidden="false" customHeight="false" outlineLevel="0" collapsed="false">
      <c r="A244" s="9" t="s">
        <v>6553</v>
      </c>
      <c r="B244" s="11" t="s">
        <v>6554</v>
      </c>
      <c r="C244" s="11" t="s">
        <v>2189</v>
      </c>
      <c r="D244" s="23" t="str">
        <f aca="false">IF(COUNT($D$243:$I$243),MIN($D$243:$I$243),"無")</f>
        <v>無</v>
      </c>
      <c r="K244" s="2"/>
    </row>
    <row r="245" customFormat="false" ht="15" hidden="false" customHeight="false" outlineLevel="0" collapsed="false">
      <c r="A245" s="9" t="s">
        <v>6555</v>
      </c>
      <c r="B245" s="11" t="s">
        <v>6556</v>
      </c>
      <c r="C245" s="9" t="s">
        <v>482</v>
      </c>
      <c r="D245" s="17" t="n">
        <f aca="false">I241</f>
        <v>-0</v>
      </c>
      <c r="K245" s="2"/>
    </row>
    <row r="246" customFormat="false" ht="15" hidden="false" customHeight="false" outlineLevel="0" collapsed="false">
      <c r="A246" s="9" t="s">
        <v>6557</v>
      </c>
      <c r="B246" s="11" t="s">
        <v>6558</v>
      </c>
      <c r="C246" s="9" t="s">
        <v>482</v>
      </c>
      <c r="D246" s="17" t="n">
        <f aca="false">MIN($D$242:$I$242)</f>
        <v>227.691580641443</v>
      </c>
      <c r="K246" s="2" t="s">
        <v>6331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6"/>
    <col collapsed="false" customWidth="true" hidden="false" outlineLevel="0" max="3" min="3" style="0" width="12"/>
    <col collapsed="false" customWidth="true" hidden="false" outlineLevel="0" max="9" min="4" style="0" width="13"/>
    <col collapsed="false" customWidth="true" hidden="false" outlineLevel="0" max="11" min="11" style="0" width="80"/>
  </cols>
  <sheetData>
    <row r="1" customFormat="false" ht="20.1" hidden="false" customHeight="false" outlineLevel="0" collapsed="false">
      <c r="A1" s="1" t="s">
        <v>6559</v>
      </c>
    </row>
    <row r="2" customFormat="false" ht="15" hidden="false" customHeight="false" outlineLevel="0" collapsed="false">
      <c r="A2" s="2" t="s">
        <v>6560</v>
      </c>
    </row>
    <row r="3" customFormat="false" ht="15" hidden="false" customHeight="false" outlineLevel="0" collapsed="false">
      <c r="A3" s="2" t="s">
        <v>6561</v>
      </c>
    </row>
    <row r="5" customFormat="false" ht="15" hidden="false" customHeight="false" outlineLevel="0" collapsed="false">
      <c r="A5" s="8" t="s">
        <v>3862</v>
      </c>
      <c r="B5" s="8" t="s">
        <v>48</v>
      </c>
      <c r="C5" s="8" t="s">
        <v>52</v>
      </c>
      <c r="D5" s="7" t="s">
        <v>77</v>
      </c>
      <c r="E5" s="7" t="s">
        <v>306</v>
      </c>
      <c r="F5" s="7" t="s">
        <v>2929</v>
      </c>
      <c r="G5" s="7" t="s">
        <v>1660</v>
      </c>
      <c r="H5" s="7" t="s">
        <v>2930</v>
      </c>
      <c r="I5" s="7" t="s">
        <v>2931</v>
      </c>
      <c r="J5" s="8"/>
      <c r="K5" s="8" t="s">
        <v>2519</v>
      </c>
    </row>
    <row r="6" customFormat="false" ht="15" hidden="false" customHeight="false" outlineLevel="0" collapsed="false">
      <c r="B6" s="3" t="s">
        <v>3863</v>
      </c>
      <c r="D6" s="9" t="n">
        <f aca="false">INP_001</f>
        <v>2025</v>
      </c>
      <c r="E6" s="9" t="n">
        <f aca="false">INP_002</f>
        <v>2026</v>
      </c>
      <c r="F6" s="9" t="n">
        <f aca="false">INP_003</f>
        <v>2027</v>
      </c>
      <c r="G6" s="9" t="n">
        <f aca="false">INP_004</f>
        <v>2028</v>
      </c>
      <c r="H6" s="9" t="n">
        <f aca="false">INP_005</f>
        <v>2029</v>
      </c>
      <c r="I6" s="9" t="n">
        <f aca="false">INP_006</f>
        <v>2030</v>
      </c>
    </row>
    <row r="7" customFormat="false" ht="15" hidden="false" customHeight="false" outlineLevel="0" collapsed="false">
      <c r="A7" s="15" t="s">
        <v>6562</v>
      </c>
    </row>
    <row r="8" customFormat="false" ht="15" hidden="false" customHeight="false" outlineLevel="0" collapsed="false">
      <c r="A8" s="9" t="s">
        <v>6563</v>
      </c>
      <c r="B8" s="11" t="s">
        <v>6564</v>
      </c>
      <c r="C8" s="9" t="s">
        <v>482</v>
      </c>
      <c r="D8" s="17" t="n">
        <f aca="false">SRC_ANT_001</f>
        <v>4.6</v>
      </c>
      <c r="E8" s="17" t="n">
        <f aca="false">SRC_ANT_368</f>
        <v>18</v>
      </c>
      <c r="F8" s="17" t="n">
        <f aca="false">SRC_ANT_369</f>
        <v>55</v>
      </c>
      <c r="G8" s="17" t="n">
        <f aca="false">SRC_ANT_362</f>
        <v>70</v>
      </c>
      <c r="H8" s="17" t="n">
        <f aca="false">SRC_ANT_370</f>
        <v>148</v>
      </c>
      <c r="I8" s="17" t="n">
        <f aca="false">I13</f>
        <v>220.127798462006</v>
      </c>
      <c r="K8" s="12" t="s">
        <v>6565</v>
      </c>
    </row>
    <row r="9" customFormat="false" ht="15" hidden="false" customHeight="false" outlineLevel="0" collapsed="false">
      <c r="A9" s="9" t="s">
        <v>6566</v>
      </c>
      <c r="B9" s="11" t="s">
        <v>6567</v>
      </c>
      <c r="C9" s="11" t="s">
        <v>269</v>
      </c>
      <c r="E9" s="16" t="n">
        <f aca="false">(E8-D8)/D8</f>
        <v>2.91304347826087</v>
      </c>
      <c r="F9" s="16" t="n">
        <f aca="false">(F8-E8)/E8</f>
        <v>2.05555555555556</v>
      </c>
      <c r="G9" s="16" t="n">
        <f aca="false">(G8-F8)/F8</f>
        <v>0.272727272727273</v>
      </c>
      <c r="H9" s="16" t="n">
        <f aca="false">(H8-G8)/G8</f>
        <v>1.11428571428571</v>
      </c>
      <c r="I9" s="16" t="n">
        <f aca="false">(I8-H8)/H8</f>
        <v>0.48734998960815</v>
      </c>
      <c r="K9" s="2"/>
    </row>
    <row r="10" customFormat="false" ht="15" hidden="false" customHeight="false" outlineLevel="0" collapsed="false">
      <c r="A10" s="9" t="s">
        <v>6568</v>
      </c>
      <c r="B10" s="11" t="s">
        <v>6569</v>
      </c>
      <c r="C10" s="9" t="s">
        <v>482</v>
      </c>
      <c r="F10" s="17" t="n">
        <f aca="false">SRC_ANT_359</f>
        <v>12</v>
      </c>
      <c r="K10" s="12" t="s">
        <v>6570</v>
      </c>
    </row>
    <row r="11" customFormat="false" ht="15" hidden="false" customHeight="false" outlineLevel="0" collapsed="false">
      <c r="A11" s="9" t="s">
        <v>6571</v>
      </c>
      <c r="B11" s="11" t="s">
        <v>6572</v>
      </c>
      <c r="C11" s="9" t="s">
        <v>76</v>
      </c>
      <c r="E11" s="17" t="n">
        <f aca="false">SRC_ANT_364_Hi</f>
        <v>26</v>
      </c>
      <c r="F11" s="17" t="n">
        <f aca="false">SRC_ANT_373_Lo</f>
        <v>100</v>
      </c>
      <c r="K11" s="12" t="s">
        <v>6573</v>
      </c>
    </row>
    <row r="12" customFormat="false" ht="15" hidden="false" customHeight="false" outlineLevel="0" collapsed="false">
      <c r="A12" s="15" t="s">
        <v>6574</v>
      </c>
    </row>
    <row r="13" customFormat="false" ht="15" hidden="false" customHeight="false" outlineLevel="0" collapsed="false">
      <c r="A13" s="9" t="s">
        <v>6575</v>
      </c>
      <c r="B13" s="11" t="s">
        <v>6576</v>
      </c>
      <c r="C13" s="9" t="s">
        <v>482</v>
      </c>
      <c r="D13" s="17" t="n">
        <f aca="false">Revenue!D81</f>
        <v>4.6</v>
      </c>
      <c r="E13" s="17" t="n">
        <f aca="false">Revenue!E81</f>
        <v>49.9</v>
      </c>
      <c r="F13" s="17" t="n">
        <f aca="false">Revenue!F81</f>
        <v>83.0226729505251</v>
      </c>
      <c r="G13" s="17" t="n">
        <f aca="false">Revenue!G81</f>
        <v>124.761189685833</v>
      </c>
      <c r="H13" s="17" t="n">
        <f aca="false">Revenue!H81</f>
        <v>170.809959841616</v>
      </c>
      <c r="I13" s="17" t="n">
        <f aca="false">Revenue!I81</f>
        <v>220.127798462006</v>
      </c>
      <c r="K13" s="12" t="s">
        <v>6577</v>
      </c>
    </row>
    <row r="14" customFormat="false" ht="15" hidden="false" customHeight="false" outlineLevel="0" collapsed="false">
      <c r="A14" s="9" t="s">
        <v>6578</v>
      </c>
      <c r="B14" s="11" t="s">
        <v>6579</v>
      </c>
      <c r="C14" s="9" t="s">
        <v>482</v>
      </c>
      <c r="D14" s="17" t="n">
        <f aca="false">Revenue!D55*Revenue!D80</f>
        <v>0.789</v>
      </c>
      <c r="E14" s="17" t="n">
        <f aca="false">Revenue!E55*Revenue!E80</f>
        <v>4.53764335772037</v>
      </c>
      <c r="F14" s="17" t="n">
        <f aca="false">Revenue!F55*Revenue!F80</f>
        <v>7.38828574952381</v>
      </c>
      <c r="G14" s="17" t="n">
        <f aca="false">Revenue!G55*Revenue!G80</f>
        <v>10.4076282379189</v>
      </c>
      <c r="H14" s="17" t="n">
        <f aca="false">Revenue!H55*Revenue!H80</f>
        <v>13.5779378507338</v>
      </c>
      <c r="I14" s="17" t="n">
        <f aca="false">Revenue!I55*Revenue!I80</f>
        <v>16.3583539618235</v>
      </c>
      <c r="K14" s="2" t="s">
        <v>6580</v>
      </c>
    </row>
    <row r="15" customFormat="false" ht="15" hidden="false" customHeight="false" outlineLevel="0" collapsed="false">
      <c r="A15" s="9" t="s">
        <v>6581</v>
      </c>
      <c r="B15" s="11" t="s">
        <v>6582</v>
      </c>
      <c r="C15" s="9" t="s">
        <v>482</v>
      </c>
      <c r="D15" s="17" t="n">
        <f aca="false">Revenue!D58*Revenue!D80</f>
        <v>3.8</v>
      </c>
      <c r="E15" s="17" t="n">
        <f aca="false">Revenue!E58*Revenue!E80</f>
        <v>45.3513566422796</v>
      </c>
      <c r="F15" s="17" t="n">
        <f aca="false">Revenue!F58*Revenue!F80</f>
        <v>75.6233872010013</v>
      </c>
      <c r="G15" s="17" t="n">
        <f aca="false">Revenue!G58*Revenue!G80</f>
        <v>114.342561447914</v>
      </c>
      <c r="H15" s="17" t="n">
        <f aca="false">Revenue!H58*Revenue!H80</f>
        <v>157.221021990882</v>
      </c>
      <c r="I15" s="17" t="n">
        <f aca="false">Revenue!I58*Revenue!I80</f>
        <v>203.758444500183</v>
      </c>
      <c r="K15" s="2" t="s">
        <v>6580</v>
      </c>
    </row>
    <row r="16" customFormat="false" ht="15" hidden="false" customHeight="false" outlineLevel="0" collapsed="false">
      <c r="A16" s="9" t="s">
        <v>6583</v>
      </c>
      <c r="B16" s="11" t="s">
        <v>6584</v>
      </c>
      <c r="C16" s="9" t="s">
        <v>482</v>
      </c>
      <c r="D16" s="17" t="n">
        <f aca="false">Revenue!D64*Revenue!D80</f>
        <v>0.0109999999999997</v>
      </c>
      <c r="E16" s="17" t="n">
        <f aca="false">Revenue!E64*Revenue!E80</f>
        <v>0.0109999999999997</v>
      </c>
      <c r="F16" s="17" t="n">
        <f aca="false">Revenue!F64*Revenue!F80</f>
        <v>0.0109999999999997</v>
      </c>
      <c r="G16" s="17" t="n">
        <f aca="false">Revenue!G64*Revenue!G80</f>
        <v>0.0109999999999997</v>
      </c>
      <c r="H16" s="17" t="n">
        <f aca="false">Revenue!H64*Revenue!H80</f>
        <v>0.0109999999999997</v>
      </c>
      <c r="I16" s="17" t="n">
        <f aca="false">Revenue!I64*Revenue!I80</f>
        <v>0.0109999999999997</v>
      </c>
      <c r="K16" s="2" t="s">
        <v>6580</v>
      </c>
    </row>
    <row r="17" customFormat="false" ht="15" hidden="false" customHeight="false" outlineLevel="0" collapsed="false">
      <c r="A17" s="9" t="s">
        <v>6585</v>
      </c>
      <c r="B17" s="11" t="s">
        <v>6586</v>
      </c>
      <c r="C17" s="9" t="s">
        <v>482</v>
      </c>
      <c r="D17" s="17" t="n">
        <f aca="false">D8-D13</f>
        <v>0</v>
      </c>
      <c r="E17" s="17" t="n">
        <f aca="false">E8-E13</f>
        <v>-31.9</v>
      </c>
      <c r="F17" s="17" t="n">
        <f aca="false">F8-F13</f>
        <v>-28.0226729505251</v>
      </c>
      <c r="G17" s="17" t="n">
        <f aca="false">G8-G13</f>
        <v>-54.7611896858329</v>
      </c>
      <c r="H17" s="17" t="n">
        <f aca="false">H8-H13</f>
        <v>-22.8099598416155</v>
      </c>
      <c r="I17" s="17" t="n">
        <f aca="false">I8-I13</f>
        <v>0</v>
      </c>
      <c r="K17" s="2" t="s">
        <v>6587</v>
      </c>
    </row>
    <row r="18" customFormat="false" ht="15" hidden="false" customHeight="false" outlineLevel="0" collapsed="false">
      <c r="A18" s="15" t="s">
        <v>6588</v>
      </c>
    </row>
    <row r="19" customFormat="false" ht="15" hidden="false" customHeight="false" outlineLevel="0" collapsed="false">
      <c r="A19" s="9" t="s">
        <v>6589</v>
      </c>
      <c r="B19" s="11" t="s">
        <v>6590</v>
      </c>
      <c r="C19" s="11" t="s">
        <v>747</v>
      </c>
      <c r="D19" s="21" t="n">
        <f aca="false">(D8-D14-D16)/D15</f>
        <v>1</v>
      </c>
      <c r="E19" s="21" t="n">
        <f aca="false">(E8-E14-E16)/E15</f>
        <v>0.296603180989284</v>
      </c>
      <c r="F19" s="21" t="n">
        <f aca="false">(F8-F14-F16)/F15</f>
        <v>0.629444355936571</v>
      </c>
      <c r="G19" s="21" t="n">
        <f aca="false">(G8-G14-G16)/G15</f>
        <v>0.521077812212751</v>
      </c>
      <c r="H19" s="21" t="n">
        <f aca="false">(H8-H14-H16)/H15</f>
        <v>0.854917875785476</v>
      </c>
      <c r="I19" s="21" t="n">
        <f aca="false">(I8-I14-I16)/I15</f>
        <v>1</v>
      </c>
      <c r="K19" s="2"/>
    </row>
    <row r="20" customFormat="false" ht="15" hidden="false" customHeight="false" outlineLevel="0" collapsed="false">
      <c r="A20" s="9" t="s">
        <v>6591</v>
      </c>
      <c r="B20" s="11" t="s">
        <v>6592</v>
      </c>
      <c r="C20" s="11" t="s">
        <v>747</v>
      </c>
      <c r="D20" s="21" t="n">
        <f aca="false">(D8-D15-D16)/D14</f>
        <v>0.999999999999999</v>
      </c>
      <c r="E20" s="21" t="n">
        <f aca="false">(E8-E15-E16)/E14</f>
        <v>-6.03008092201102</v>
      </c>
      <c r="F20" s="21" t="n">
        <f aca="false">(F8-F15-F16)/F14</f>
        <v>-2.79285180629772</v>
      </c>
      <c r="G20" s="21" t="n">
        <f aca="false">(G8-G15-G16)/G14</f>
        <v>-4.26163967755085</v>
      </c>
      <c r="H20" s="21" t="n">
        <f aca="false">(H8-H15-H16)/H14</f>
        <v>-0.679928137274744</v>
      </c>
      <c r="I20" s="21" t="n">
        <f aca="false">(I8-I15-I16)/I14</f>
        <v>1</v>
      </c>
      <c r="K20" s="2"/>
    </row>
    <row r="21" customFormat="false" ht="15" hidden="false" customHeight="false" outlineLevel="0" collapsed="false">
      <c r="A21" s="9" t="s">
        <v>6593</v>
      </c>
      <c r="B21" s="11" t="s">
        <v>6594</v>
      </c>
      <c r="C21" s="11" t="s">
        <v>747</v>
      </c>
      <c r="D21" s="21" t="n">
        <f aca="false">(D8-D16)/(D14+D15)</f>
        <v>1</v>
      </c>
      <c r="E21" s="21" t="n">
        <f aca="false">(E8-E16)/(E14+E15)</f>
        <v>0.36058048868488</v>
      </c>
      <c r="F21" s="21" t="n">
        <f aca="false">(F8-F16)/(F14+F15)</f>
        <v>0.662424910202369</v>
      </c>
      <c r="G21" s="21" t="n">
        <f aca="false">(G8-G16)/(G14+G15)</f>
        <v>0.561033215069718</v>
      </c>
      <c r="H21" s="21" t="n">
        <f aca="false">(H8-H16)/(H14+H15)</f>
        <v>0.866451412451413</v>
      </c>
      <c r="I21" s="21" t="n">
        <f aca="false">(I8-I16)/(I14+I15)</f>
        <v>1</v>
      </c>
      <c r="K21" s="2"/>
    </row>
    <row r="22" customFormat="false" ht="15" hidden="false" customHeight="false" outlineLevel="0" collapsed="false">
      <c r="A22" s="15" t="s">
        <v>6595</v>
      </c>
    </row>
    <row r="23" customFormat="false" ht="15" hidden="false" customHeight="false" outlineLevel="0" collapsed="false">
      <c r="A23" s="9" t="s">
        <v>6596</v>
      </c>
      <c r="B23" s="11" t="s">
        <v>6597</v>
      </c>
      <c r="C23" s="9" t="s">
        <v>482</v>
      </c>
      <c r="D23" s="17" t="n">
        <f aca="false">D8*Revenue!D83/Revenue!D81</f>
        <v>4.249</v>
      </c>
      <c r="E23" s="17" t="n">
        <f aca="false">E8*Revenue!E83/Revenue!E81</f>
        <v>16.5107955742298</v>
      </c>
      <c r="F23" s="17" t="n">
        <f aca="false">F8*Revenue!F83/Revenue!F81</f>
        <v>50.4394819467006</v>
      </c>
      <c r="G23" s="17" t="n">
        <f aca="false">G8*Revenue!G83/Revenue!G81</f>
        <v>64.1599236469365</v>
      </c>
      <c r="H23" s="17" t="n">
        <f aca="false">H8*Revenue!H83/Revenue!H81</f>
        <v>135.599156819981</v>
      </c>
      <c r="I23" s="17" t="n">
        <f aca="false">I8*Revenue!I83/Revenue!I81</f>
        <v>201.579345535295</v>
      </c>
      <c r="K23" s="2"/>
    </row>
    <row r="24" customFormat="false" ht="15" hidden="false" customHeight="false" outlineLevel="0" collapsed="false">
      <c r="A24" s="9" t="s">
        <v>6598</v>
      </c>
      <c r="B24" s="11" t="s">
        <v>6599</v>
      </c>
      <c r="C24" s="9" t="s">
        <v>482</v>
      </c>
      <c r="D24" s="17" t="n">
        <f aca="false">Cost!D53</f>
        <v>7.33</v>
      </c>
      <c r="E24" s="17" t="n">
        <f aca="false">Cost!E53</f>
        <v>42.4201685560054</v>
      </c>
      <c r="F24" s="17" t="n">
        <f aca="false">Cost!F53</f>
        <v>86.6888233360748</v>
      </c>
      <c r="G24" s="17" t="n">
        <f aca="false">Cost!G53</f>
        <v>119.481731333427</v>
      </c>
      <c r="H24" s="17" t="n">
        <f aca="false">Cost!H53</f>
        <v>97.2550197733824</v>
      </c>
      <c r="I24" s="17" t="n">
        <f aca="false">Cost!I53</f>
        <v>92.2550197733824</v>
      </c>
      <c r="K24" s="12" t="s">
        <v>2966</v>
      </c>
    </row>
    <row r="25" customFormat="false" ht="15" hidden="false" customHeight="false" outlineLevel="0" collapsed="false">
      <c r="A25" s="9" t="s">
        <v>6600</v>
      </c>
      <c r="B25" s="11" t="s">
        <v>6601</v>
      </c>
      <c r="C25" s="9" t="s">
        <v>482</v>
      </c>
      <c r="D25" s="17" t="n">
        <f aca="false">Cost!D89</f>
        <v>3.2038</v>
      </c>
      <c r="E25" s="17" t="n">
        <f aca="false">Cost!E89</f>
        <v>5.9398452</v>
      </c>
      <c r="F25" s="17" t="n">
        <f aca="false">Cost!F89</f>
        <v>7.9534527228</v>
      </c>
      <c r="G25" s="17" t="n">
        <f aca="false">Cost!G89</f>
        <v>9.8304675653808</v>
      </c>
      <c r="H25" s="17" t="n">
        <f aca="false">Cost!H89</f>
        <v>11.6441888311936</v>
      </c>
      <c r="I25" s="17" t="n">
        <f aca="false">Cost!I89</f>
        <v>13.1928659457423</v>
      </c>
      <c r="K25" s="2" t="s">
        <v>6602</v>
      </c>
    </row>
    <row r="26" customFormat="false" ht="15" hidden="false" customHeight="false" outlineLevel="0" collapsed="false">
      <c r="A26" s="9" t="s">
        <v>6603</v>
      </c>
      <c r="B26" s="11" t="s">
        <v>6604</v>
      </c>
      <c r="C26" s="9" t="s">
        <v>482</v>
      </c>
      <c r="D26" s="17" t="n">
        <f aca="false">D23-D24-D25</f>
        <v>-6.2848</v>
      </c>
      <c r="E26" s="17" t="n">
        <f aca="false">E23-E24-E25</f>
        <v>-31.8492181817756</v>
      </c>
      <c r="F26" s="17" t="n">
        <f aca="false">F23-F24-F25</f>
        <v>-44.2027941121742</v>
      </c>
      <c r="G26" s="17" t="n">
        <f aca="false">G23-G24-G25</f>
        <v>-65.1522752518716</v>
      </c>
      <c r="H26" s="17" t="n">
        <f aca="false">H23-H24-H25</f>
        <v>26.699948215405</v>
      </c>
      <c r="I26" s="17" t="n">
        <f aca="false">I23-I24-I25</f>
        <v>96.1314598161702</v>
      </c>
      <c r="K26" s="2"/>
    </row>
    <row r="27" customFormat="false" ht="15" hidden="false" customHeight="false" outlineLevel="0" collapsed="false">
      <c r="A27" s="9" t="s">
        <v>6605</v>
      </c>
      <c r="B27" s="11" t="s">
        <v>6606</v>
      </c>
      <c r="C27" s="9" t="s">
        <v>482</v>
      </c>
      <c r="E27" s="17" t="n">
        <f aca="false">Funding!E36</f>
        <v>100</v>
      </c>
      <c r="F27" s="17" t="n">
        <f aca="false">Funding!F36</f>
        <v>0</v>
      </c>
      <c r="G27" s="17" t="n">
        <f aca="false">Funding!G36</f>
        <v>0</v>
      </c>
      <c r="H27" s="17" t="n">
        <f aca="false">Funding!H36</f>
        <v>0</v>
      </c>
      <c r="I27" s="17" t="n">
        <f aca="false">Funding!I36</f>
        <v>0</v>
      </c>
      <c r="K27" s="12" t="s">
        <v>6607</v>
      </c>
    </row>
    <row r="28" customFormat="false" ht="15" hidden="false" customHeight="false" outlineLevel="0" collapsed="false">
      <c r="A28" s="9" t="s">
        <v>6608</v>
      </c>
      <c r="B28" s="11" t="s">
        <v>6609</v>
      </c>
      <c r="C28" s="9" t="s">
        <v>482</v>
      </c>
      <c r="E28" s="17" t="n">
        <f aca="false">SRC_ANT_305+E26+E27</f>
        <v>88.4307818182244</v>
      </c>
      <c r="F28" s="17" t="n">
        <f aca="false">E30+F26+F27</f>
        <v>44.2279877060501</v>
      </c>
      <c r="G28" s="17" t="n">
        <f aca="false">F30+G26+G27</f>
        <v>-20.9242875458215</v>
      </c>
      <c r="H28" s="17" t="n">
        <f aca="false">G30+H26+H27</f>
        <v>32.5220426310018</v>
      </c>
      <c r="I28" s="17" t="n">
        <f aca="false">H30+I26+I27</f>
        <v>128.653502447172</v>
      </c>
      <c r="K28" s="2"/>
    </row>
    <row r="29" customFormat="false" ht="15" hidden="false" customHeight="false" outlineLevel="0" collapsed="false">
      <c r="A29" s="9" t="s">
        <v>6610</v>
      </c>
      <c r="B29" s="11" t="s">
        <v>6611</v>
      </c>
      <c r="C29" s="9" t="s">
        <v>482</v>
      </c>
      <c r="E29" s="17" t="n">
        <f aca="false">(Funding!E38-E28)*(Funding!E38&gt;E28)</f>
        <v>-0</v>
      </c>
      <c r="F29" s="17" t="n">
        <f aca="false">(Funding!F38-F28)*(Funding!F38&gt;F28)</f>
        <v>-0</v>
      </c>
      <c r="G29" s="17" t="n">
        <f aca="false">(Funding!G38-G28)*(Funding!G38&gt;G28)</f>
        <v>26.7463819614183</v>
      </c>
      <c r="H29" s="17" t="n">
        <f aca="false">(Funding!H38-H28)*(Funding!H38&gt;H28)</f>
        <v>-0</v>
      </c>
      <c r="I29" s="17" t="n">
        <f aca="false">(Funding!I38-I28)*(Funding!I38&gt;I28)</f>
        <v>-0</v>
      </c>
      <c r="K29" s="2"/>
    </row>
    <row r="30" customFormat="false" ht="15" hidden="false" customHeight="false" outlineLevel="0" collapsed="false">
      <c r="A30" s="9" t="s">
        <v>6612</v>
      </c>
      <c r="B30" s="11" t="s">
        <v>6613</v>
      </c>
      <c r="C30" s="9" t="s">
        <v>482</v>
      </c>
      <c r="D30" s="17" t="n">
        <f aca="false">SRC_ANT_305</f>
        <v>20.28</v>
      </c>
      <c r="E30" s="17" t="n">
        <f aca="false">E28+E29</f>
        <v>88.4307818182244</v>
      </c>
      <c r="F30" s="17" t="n">
        <f aca="false">F28+F29</f>
        <v>44.2279877060501</v>
      </c>
      <c r="G30" s="17" t="n">
        <f aca="false">G28+G29</f>
        <v>5.82209441559678</v>
      </c>
      <c r="H30" s="17" t="n">
        <f aca="false">H28+H29</f>
        <v>32.5220426310018</v>
      </c>
      <c r="I30" s="17" t="n">
        <f aca="false">I28+I29</f>
        <v>128.653502447172</v>
      </c>
      <c r="K30" s="2"/>
    </row>
    <row r="31" customFormat="false" ht="15" hidden="false" customHeight="false" outlineLevel="0" collapsed="false">
      <c r="A31" s="9" t="s">
        <v>6614</v>
      </c>
      <c r="B31" s="11" t="s">
        <v>6615</v>
      </c>
      <c r="C31" s="9" t="s">
        <v>482</v>
      </c>
      <c r="E31" s="17" t="n">
        <f aca="false">E29</f>
        <v>-0</v>
      </c>
      <c r="F31" s="17" t="n">
        <f aca="false">E31+F29</f>
        <v>-0</v>
      </c>
      <c r="G31" s="17" t="n">
        <f aca="false">F31+G29</f>
        <v>26.7463819614183</v>
      </c>
      <c r="H31" s="17" t="n">
        <f aca="false">G31+H29</f>
        <v>26.7463819614183</v>
      </c>
      <c r="I31" s="17" t="n">
        <f aca="false">H31+I29</f>
        <v>26.7463819614183</v>
      </c>
      <c r="K31" s="2"/>
    </row>
    <row r="32" customFormat="false" ht="15" hidden="false" customHeight="false" outlineLevel="0" collapsed="false">
      <c r="A32" s="15" t="s">
        <v>6616</v>
      </c>
    </row>
    <row r="33" customFormat="false" ht="15" hidden="false" customHeight="false" outlineLevel="0" collapsed="false">
      <c r="A33" s="9" t="s">
        <v>6617</v>
      </c>
      <c r="B33" s="11" t="s">
        <v>6618</v>
      </c>
      <c r="C33" s="11" t="s">
        <v>2189</v>
      </c>
      <c r="E33" s="23" t="str">
        <f aca="false">IF(Funding!E14&gt;Funding!E14-Funding!E14,E$6,"")</f>
        <v/>
      </c>
      <c r="F33" s="23" t="str">
        <f aca="false">IF(Funding!F14&gt;Funding!F14-Funding!F14,F$6,"")</f>
        <v/>
      </c>
      <c r="G33" s="23" t="str">
        <f aca="false">IF(Funding!G14&gt;Funding!G14-Funding!G14,G$6,"")</f>
        <v/>
      </c>
      <c r="H33" s="23" t="n">
        <f aca="false">IF(Funding!H14&gt;Funding!H14-Funding!H14,H$6,"")</f>
        <v>2029</v>
      </c>
      <c r="I33" s="23" t="n">
        <f aca="false">IF(Funding!I14&gt;Funding!I14-Funding!I14,I$6,"")</f>
        <v>2030</v>
      </c>
      <c r="K33" s="2"/>
    </row>
    <row r="34" customFormat="false" ht="15" hidden="false" customHeight="false" outlineLevel="0" collapsed="false">
      <c r="A34" s="9" t="s">
        <v>6619</v>
      </c>
      <c r="B34" s="11" t="s">
        <v>6620</v>
      </c>
      <c r="C34" s="11" t="s">
        <v>2189</v>
      </c>
      <c r="E34" s="23" t="str">
        <f aca="false">IF(E26&gt;E26-E26,E$6,"")</f>
        <v/>
      </c>
      <c r="F34" s="23" t="str">
        <f aca="false">IF(F26&gt;F26-F26,F$6,"")</f>
        <v/>
      </c>
      <c r="G34" s="23" t="str">
        <f aca="false">IF(G26&gt;G26-G26,G$6,"")</f>
        <v/>
      </c>
      <c r="H34" s="23" t="n">
        <f aca="false">IF(H26&gt;H26-H26,H$6,"")</f>
        <v>2029</v>
      </c>
      <c r="I34" s="23" t="n">
        <f aca="false">IF(I26&gt;I26-I26,I$6,"")</f>
        <v>2030</v>
      </c>
      <c r="K34" s="2"/>
    </row>
    <row r="35" customFormat="false" ht="15" hidden="false" customHeight="false" outlineLevel="0" collapsed="false">
      <c r="A35" s="9" t="s">
        <v>6621</v>
      </c>
      <c r="B35" s="11" t="s">
        <v>6622</v>
      </c>
      <c r="C35" s="11" t="s">
        <v>2189</v>
      </c>
      <c r="D35" s="23" t="n">
        <f aca="false">SRC_ANT_371</f>
        <v>2028</v>
      </c>
      <c r="E35" s="23" t="n">
        <f aca="false">IF(COUNT($D$33:$I$33),MIN($D$33:$I$33),"無")</f>
        <v>2029</v>
      </c>
      <c r="F35" s="23" t="n">
        <f aca="false">IF(COUNT($D$34:$I$34),MIN($D$34:$I$34),"無")</f>
        <v>2029</v>
      </c>
      <c r="K35" s="12" t="s">
        <v>6623</v>
      </c>
    </row>
    <row r="36" customFormat="false" ht="15" hidden="false" customHeight="false" outlineLevel="0" collapsed="false">
      <c r="A36" s="9" t="s">
        <v>6624</v>
      </c>
      <c r="B36" s="9" t="s">
        <v>6625</v>
      </c>
      <c r="C36" s="9" t="s">
        <v>482</v>
      </c>
      <c r="D36" s="17" t="n">
        <f aca="false">SRC_ANT_365</f>
        <v>17</v>
      </c>
      <c r="E36" s="17" t="n">
        <f aca="false">Funding!G14</f>
        <v>-14.9597931224653</v>
      </c>
      <c r="F36" s="17" t="n">
        <f aca="false">G26</f>
        <v>-65.1522752518716</v>
      </c>
      <c r="K36" s="12" t="s">
        <v>6626</v>
      </c>
    </row>
    <row r="37" customFormat="false" ht="15" hidden="false" customHeight="false" outlineLevel="0" collapsed="false">
      <c r="A37" s="9" t="s">
        <v>6627</v>
      </c>
      <c r="B37" s="11" t="s">
        <v>6628</v>
      </c>
      <c r="C37" s="11" t="s">
        <v>269</v>
      </c>
      <c r="E37" s="16" t="n">
        <f aca="false">SRC_ANT_353</f>
        <v>0.33</v>
      </c>
      <c r="F37" s="16" t="n">
        <f aca="false">SRC_ANT_354</f>
        <v>0.09</v>
      </c>
      <c r="G37" s="16" t="n">
        <f aca="false">-Funding!E16</f>
        <v>0.0518721314340146</v>
      </c>
      <c r="H37" s="16" t="n">
        <f aca="false">-Funding!F16</f>
        <v>0.222875496451817</v>
      </c>
      <c r="K37" s="12" t="s">
        <v>6629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1" t="s">
        <v>6630</v>
      </c>
    </row>
    <row r="2" customFormat="false" ht="15" hidden="false" customHeight="false" outlineLevel="0" collapsed="false">
      <c r="A2" s="12" t="s">
        <v>6631</v>
      </c>
    </row>
    <row r="4" customFormat="false" ht="15" hidden="false" customHeight="false" outlineLevel="0" collapsed="false">
      <c r="A4" s="8" t="s">
        <v>3862</v>
      </c>
      <c r="B4" s="8" t="s">
        <v>6632</v>
      </c>
      <c r="C4" s="8" t="s">
        <v>6633</v>
      </c>
      <c r="D4" s="8" t="s">
        <v>6634</v>
      </c>
      <c r="E4" s="8" t="s">
        <v>6635</v>
      </c>
      <c r="F4" s="8" t="s">
        <v>2519</v>
      </c>
    </row>
    <row r="5" customFormat="false" ht="15" hidden="false" customHeight="false" outlineLevel="0" collapsed="false">
      <c r="A5" s="9" t="s">
        <v>4312</v>
      </c>
      <c r="B5" s="9" t="s">
        <v>6636</v>
      </c>
      <c r="C5" s="9" t="n">
        <f aca="false">SUMPRODUCT(--(LEN(SRC_ANT!$A$5:$A$600)&gt;0))</f>
        <v>409</v>
      </c>
      <c r="D5" s="9" t="n">
        <v>409</v>
      </c>
      <c r="E5" s="9" t="str">
        <f aca="false">IF(C5=D5,"OK","ERR")</f>
        <v>OK</v>
      </c>
      <c r="F5" s="12" t="s">
        <v>6637</v>
      </c>
    </row>
    <row r="6" customFormat="false" ht="15" hidden="false" customHeight="false" outlineLevel="0" collapsed="false">
      <c r="A6" s="9" t="s">
        <v>4315</v>
      </c>
      <c r="B6" s="9" t="s">
        <v>6638</v>
      </c>
      <c r="C6" s="9" t="n">
        <f aca="false">SUM(SRC_ANT!$X$5:$X$600)</f>
        <v>0</v>
      </c>
      <c r="D6" s="9" t="n">
        <v>0</v>
      </c>
      <c r="E6" s="9" t="str">
        <f aca="false">IF(C6=D6,"OK","ERR")</f>
        <v>OK</v>
      </c>
      <c r="F6" s="2" t="s">
        <v>6639</v>
      </c>
    </row>
    <row r="7" customFormat="false" ht="15" hidden="false" customHeight="false" outlineLevel="0" collapsed="false">
      <c r="A7" s="9" t="s">
        <v>4317</v>
      </c>
      <c r="B7" s="9" t="s">
        <v>6640</v>
      </c>
      <c r="C7" s="9" t="n">
        <f aca="false">SUM(SRC_ANT!$Y$5:$Y$600)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4319</v>
      </c>
      <c r="B8" s="9" t="s">
        <v>6641</v>
      </c>
      <c r="C8" s="9" t="n">
        <f aca="false">SUM(SRC_ANT!$Z$5:$Z$600)</f>
        <v>0</v>
      </c>
      <c r="D8" s="9" t="n">
        <v>0</v>
      </c>
      <c r="E8" s="9" t="str">
        <f aca="false">IF(C8=D8,"OK","ERR")</f>
        <v>OK</v>
      </c>
      <c r="F8" s="2" t="s">
        <v>6642</v>
      </c>
    </row>
    <row r="9" customFormat="false" ht="15" hidden="false" customHeight="false" outlineLevel="0" collapsed="false">
      <c r="A9" s="9" t="s">
        <v>4321</v>
      </c>
      <c r="B9" s="9" t="s">
        <v>6643</v>
      </c>
      <c r="C9" s="9" t="n">
        <f aca="false">SUM(SRC_ANT!$AA$5:$AA$600)</f>
        <v>0</v>
      </c>
      <c r="D9" s="9" t="n">
        <v>0</v>
      </c>
      <c r="E9" s="9" t="str">
        <f aca="false">IF(C9=D9,"OK","ERR")</f>
        <v>OK</v>
      </c>
      <c r="F9" s="12" t="s">
        <v>6644</v>
      </c>
    </row>
    <row r="10" customFormat="false" ht="15" hidden="false" customHeight="false" outlineLevel="0" collapsed="false">
      <c r="A10" s="9" t="s">
        <v>4324</v>
      </c>
      <c r="B10" s="9" t="s">
        <v>6645</v>
      </c>
      <c r="C10" s="9" t="n">
        <f aca="false">SUMPRODUCT(--(LEN(Inputs!$A$5:$A$600)&gt;0))</f>
        <v>190</v>
      </c>
      <c r="D10" s="9" t="n">
        <v>190</v>
      </c>
      <c r="E10" s="9" t="str">
        <f aca="false">IF(C10=D10,"OK","ERR")</f>
        <v>OK</v>
      </c>
      <c r="F10" s="2"/>
    </row>
    <row r="11" customFormat="false" ht="15" hidden="false" customHeight="false" outlineLevel="0" collapsed="false">
      <c r="A11" s="9" t="s">
        <v>4327</v>
      </c>
      <c r="B11" s="9" t="s">
        <v>6646</v>
      </c>
      <c r="C11" s="9" t="n">
        <f aca="false">SUM(Inputs!$L$5:$L$600)</f>
        <v>0</v>
      </c>
      <c r="D11" s="9" t="n">
        <v>0</v>
      </c>
      <c r="E11" s="9" t="str">
        <f aca="false">IF(C11=D11,"OK","ERR")</f>
        <v>OK</v>
      </c>
      <c r="F11" s="2" t="s">
        <v>6647</v>
      </c>
    </row>
    <row r="12" customFormat="false" ht="15" hidden="false" customHeight="false" outlineLevel="0" collapsed="false">
      <c r="A12" s="9" t="s">
        <v>4330</v>
      </c>
      <c r="B12" s="9" t="s">
        <v>6648</v>
      </c>
      <c r="C12" s="9" t="n">
        <f aca="false">SUM(Inputs!$M$5:$M$600)</f>
        <v>0</v>
      </c>
      <c r="D12" s="9" t="n">
        <v>0</v>
      </c>
      <c r="E12" s="9" t="str">
        <f aca="false">IF(C12=D12,"OK","ERR")</f>
        <v>OK</v>
      </c>
      <c r="F12" s="2" t="s">
        <v>6649</v>
      </c>
    </row>
    <row r="13" customFormat="false" ht="15" hidden="false" customHeight="false" outlineLevel="0" collapsed="false">
      <c r="A13" s="9" t="s">
        <v>4333</v>
      </c>
      <c r="B13" s="9" t="s">
        <v>6650</v>
      </c>
      <c r="C13" s="9" t="n">
        <f aca="false">COUNTIF(TK_Link!$F$10:$F$200,"OK")</f>
        <v>106</v>
      </c>
      <c r="D13" s="9" t="n">
        <v>106</v>
      </c>
      <c r="E13" s="9" t="str">
        <f aca="false">IF(C13=D13,"OK","ERR")</f>
        <v>OK</v>
      </c>
      <c r="F13" s="12" t="s">
        <v>6651</v>
      </c>
    </row>
    <row r="14" customFormat="false" ht="15" hidden="false" customHeight="false" outlineLevel="0" collapsed="false">
      <c r="A14" s="9" t="s">
        <v>4335</v>
      </c>
      <c r="B14" s="9" t="s">
        <v>6652</v>
      </c>
      <c r="C14" s="9" t="n">
        <f aca="false">COUNTIF(TK_Link!$F$10:$F$200,"讀表（非具名）")</f>
        <v>21</v>
      </c>
      <c r="D14" s="9" t="n">
        <v>21</v>
      </c>
      <c r="E14" s="9" t="str">
        <f aca="false">IF(C14=D14,"OK","ERR")</f>
        <v>OK</v>
      </c>
      <c r="F14" s="12" t="s">
        <v>6653</v>
      </c>
    </row>
    <row r="15" customFormat="false" ht="15" hidden="false" customHeight="false" outlineLevel="0" collapsed="false">
      <c r="A15" s="9" t="s">
        <v>4337</v>
      </c>
      <c r="B15" s="9" t="s">
        <v>6654</v>
      </c>
      <c r="C15" s="9" t="n">
        <f aca="false">COUNTIF(TK_Link!$F$10:$F$200,"待 Tokenomics 提供")</f>
        <v>0</v>
      </c>
      <c r="D15" s="9" t="n">
        <v>0</v>
      </c>
      <c r="E15" s="9" t="str">
        <f aca="false">IF(C15=D15,"OK","ERR")</f>
        <v>OK</v>
      </c>
      <c r="F15" s="2"/>
    </row>
    <row r="16" customFormat="false" ht="15" hidden="false" customHeight="false" outlineLevel="0" collapsed="false">
      <c r="A16" s="9" t="s">
        <v>4339</v>
      </c>
      <c r="B16" s="9" t="s">
        <v>6655</v>
      </c>
      <c r="C16" s="9" t="n">
        <f aca="false">SUMPRODUCT(--ISERROR(TK_Link!$J$10:$X$200))</f>
        <v>0</v>
      </c>
      <c r="D16" s="9" t="n">
        <v>0</v>
      </c>
      <c r="E16" s="9" t="str">
        <f aca="false">IF(C16=D16,"OK","ERR")</f>
        <v>OK</v>
      </c>
      <c r="F16" s="2"/>
    </row>
    <row r="17" customFormat="false" ht="15" hidden="false" customHeight="false" outlineLevel="0" collapsed="false">
      <c r="A17" s="9" t="s">
        <v>4341</v>
      </c>
      <c r="B17" s="9" t="s">
        <v>6656</v>
      </c>
      <c r="C17" s="9" t="n">
        <f aca="false">(TK_NNV_MI455X_OutLo&gt;TK_NNV_MI455X_Out)+(TK_NNV_MI455X_Out&gt;TK_NNV_MI455X_OutHi)+(TK_NNV_MI455X_HoldLo&gt;TK_NNV_MI455X_Hold)+(TK_NNV_MI455X_Hold&gt;TK_NNV_MI455X_HoldHi)+(TK_NNV_TPUv7_OutLo&gt;TK_NNV_TPUv7_Out)+(TK_NNV_TPUv7_Out&gt;TK_NNV_TPUv7_OutHi)+(TK_NNV_TPUv7_HoldLo&gt;TK_NNV_TPUv7_Hold)+(TK_NNV_TPUv7_Hold&gt;TK_NNV_TPUv7_HoldHi)+(TK_NNV_Trn3_OutLo&gt;TK_NNV_Trn3_Out)+(TK_NNV_Trn3_Out&gt;TK_NNV_Trn3_OutHi)+(TK_NNV_Trn3_HoldLo&gt;TK_NNV_Trn3_Hold)+(TK_NNV_Trn3_Hold&gt;TK_NNV_Trn3_HoldHi)</f>
        <v>0</v>
      </c>
      <c r="D17" s="9" t="n">
        <v>0</v>
      </c>
      <c r="E17" s="9" t="str">
        <f aca="false">IF(C17=D17,"OK","ERR")</f>
        <v>OK</v>
      </c>
      <c r="F17" s="12" t="s">
        <v>6657</v>
      </c>
    </row>
    <row r="18" customFormat="false" ht="15" hidden="false" customHeight="false" outlineLevel="0" collapsed="false">
      <c r="A18" s="9" t="s">
        <v>4343</v>
      </c>
      <c r="B18" s="9" t="s">
        <v>6658</v>
      </c>
      <c r="C18" s="9" t="str">
        <f aca="false">TK_Version</f>
        <v>v21.2</v>
      </c>
      <c r="E18" s="9" t="s">
        <v>6659</v>
      </c>
      <c r="F18" s="12" t="s">
        <v>6660</v>
      </c>
    </row>
    <row r="19" customFormat="false" ht="15" hidden="false" customHeight="false" outlineLevel="0" collapsed="false">
      <c r="A19" s="9" t="s">
        <v>4345</v>
      </c>
      <c r="B19" s="9" t="s">
        <v>6661</v>
      </c>
      <c r="C19" s="9" t="str">
        <f aca="false">TK_Commit</f>
        <v>45ce1cad52fe64e0bf379daf94420668631f60be</v>
      </c>
      <c r="E19" s="9" t="s">
        <v>6659</v>
      </c>
      <c r="F19" s="2"/>
    </row>
    <row r="20" customFormat="false" ht="15" hidden="false" customHeight="false" outlineLevel="0" collapsed="false">
      <c r="A20" s="9" t="s">
        <v>4347</v>
      </c>
      <c r="B20" s="9" t="s">
        <v>6662</v>
      </c>
      <c r="C20" s="9" t="n">
        <v>0</v>
      </c>
      <c r="D20" s="9" t="n">
        <v>0</v>
      </c>
      <c r="E20" s="9" t="str">
        <f aca="false">IF(C20=D20,"OK","ERR")</f>
        <v>OK</v>
      </c>
      <c r="F20" s="2" t="s">
        <v>6663</v>
      </c>
    </row>
    <row r="21" customFormat="false" ht="15" hidden="false" customHeight="false" outlineLevel="0" collapsed="false">
      <c r="A21" s="9" t="s">
        <v>4349</v>
      </c>
      <c r="B21" s="9" t="s">
        <v>6664</v>
      </c>
      <c r="C21" s="9" t="str">
        <f aca="false">OAI_SHA256</f>
        <v>34fc34a7ea2c18e8f608356ca462d8bd208496ca61780589b559fd2efc6597fe</v>
      </c>
      <c r="E21" s="9" t="s">
        <v>6659</v>
      </c>
      <c r="F21" s="2"/>
    </row>
    <row r="22" customFormat="false" ht="15" hidden="false" customHeight="false" outlineLevel="0" collapsed="false">
      <c r="A22" s="9" t="s">
        <v>4352</v>
      </c>
      <c r="B22" s="9" t="s">
        <v>6665</v>
      </c>
      <c r="C22" s="9" t="n">
        <v>0</v>
      </c>
      <c r="D22" s="9" t="n">
        <v>0</v>
      </c>
      <c r="E22" s="9" t="str">
        <f aca="false">IF(C22=D22,"OK","ERR")</f>
        <v>OK</v>
      </c>
      <c r="F22" s="12" t="s">
        <v>6666</v>
      </c>
    </row>
    <row r="23" customFormat="false" ht="15" hidden="false" customHeight="false" outlineLevel="0" collapsed="false">
      <c r="A23" s="9" t="s">
        <v>4355</v>
      </c>
      <c r="B23" s="9" t="s">
        <v>6667</v>
      </c>
      <c r="C23" s="17" t="n">
        <f aca="false">REV_Gap2025</f>
        <v>0</v>
      </c>
      <c r="D23" s="9" t="n">
        <v>0</v>
      </c>
      <c r="E23" s="9" t="str">
        <f aca="false">IF(ISNUMBER(C23),IF(ABS(C23-D23)&lt;0.000000001,"OK","ERR"),"ERR")</f>
        <v>OK</v>
      </c>
      <c r="F23" s="12" t="s">
        <v>6668</v>
      </c>
    </row>
    <row r="24" customFormat="false" ht="15" hidden="false" customHeight="false" outlineLevel="0" collapsed="false">
      <c r="A24" s="9" t="s">
        <v>4358</v>
      </c>
      <c r="B24" s="9" t="s">
        <v>6669</v>
      </c>
      <c r="C24" s="9" t="n">
        <f aca="false">Revenue!$D$55-SRC_ANT_025</f>
        <v>0</v>
      </c>
      <c r="D24" s="9" t="n">
        <v>0</v>
      </c>
      <c r="E24" s="9" t="str">
        <f aca="false">IF(ISNUMBER(C24),IF(ABS(C24-D24)&lt;0.000000001,"OK","ERR"),"ERR")</f>
        <v>OK</v>
      </c>
      <c r="F24" s="2" t="s">
        <v>6670</v>
      </c>
    </row>
    <row r="25" customFormat="false" ht="15" hidden="false" customHeight="false" outlineLevel="0" collapsed="false">
      <c r="A25" s="9" t="s">
        <v>4361</v>
      </c>
      <c r="B25" s="9" t="s">
        <v>6671</v>
      </c>
      <c r="C25" s="9" t="n">
        <f aca="false">Revenue!$D$58-SRC_ANT_026</f>
        <v>0</v>
      </c>
      <c r="D25" s="9" t="n">
        <v>0</v>
      </c>
      <c r="E25" s="9" t="str">
        <f aca="false">IF(ISNUMBER(C25),IF(ABS(C25-D25)&lt;0.000000001,"OK","ERR"),"ERR")</f>
        <v>OK</v>
      </c>
      <c r="F25" s="12" t="s">
        <v>6672</v>
      </c>
    </row>
    <row r="26" customFormat="false" ht="15" hidden="false" customHeight="false" outlineLevel="0" collapsed="false">
      <c r="A26" s="9" t="s">
        <v>4364</v>
      </c>
      <c r="B26" s="9" t="s">
        <v>6673</v>
      </c>
      <c r="C26" s="9" t="n">
        <f aca="false">Revenue!$D$71-SRC_ANT_031</f>
        <v>0</v>
      </c>
      <c r="D26" s="9" t="n">
        <v>0</v>
      </c>
      <c r="E26" s="9" t="str">
        <f aca="false">IF(ISNUMBER(C26),IF(ABS(C26-D26)&lt;0.000000001,"OK","ERR"),"ERR")</f>
        <v>OK</v>
      </c>
      <c r="F26" s="12" t="s">
        <v>6674</v>
      </c>
    </row>
    <row r="27" customFormat="false" ht="15" hidden="false" customHeight="false" outlineLevel="0" collapsed="false">
      <c r="A27" s="9" t="s">
        <v>4366</v>
      </c>
      <c r="B27" s="9" t="s">
        <v>6675</v>
      </c>
      <c r="C27" s="17" t="n">
        <f aca="false">REV_Gap2026</f>
        <v>0</v>
      </c>
      <c r="D27" s="9" t="n">
        <v>0</v>
      </c>
      <c r="E27" s="9" t="str">
        <f aca="false">IF(ISNUMBER(C27),IF(ABS(C27-D27)&lt;0.000000001,"OK","ERR"),"ERR")</f>
        <v>OK</v>
      </c>
      <c r="F27" s="12" t="s">
        <v>6676</v>
      </c>
    </row>
    <row r="28" customFormat="false" ht="15" hidden="false" customHeight="false" outlineLevel="0" collapsed="false">
      <c r="A28" s="9" t="s">
        <v>4368</v>
      </c>
      <c r="B28" s="9" t="s">
        <v>6677</v>
      </c>
      <c r="C28" s="16" t="n">
        <f aca="false">REV_RRGap2026</f>
        <v>-0.155212315484559</v>
      </c>
      <c r="D28" s="9" t="n">
        <f aca="false">INP_018</f>
        <v>0.25</v>
      </c>
      <c r="E28" s="9" t="str">
        <f aca="false">IF(ISNUMBER(C28),IF(ABS(C28)&gt;D28,"WARN","OK"),"ERR")</f>
        <v>OK</v>
      </c>
      <c r="F28" s="12" t="s">
        <v>6678</v>
      </c>
    </row>
    <row r="29" customFormat="false" ht="15" hidden="false" customHeight="false" outlineLevel="0" collapsed="false">
      <c r="A29" s="9" t="s">
        <v>4370</v>
      </c>
      <c r="B29" s="11" t="s">
        <v>6679</v>
      </c>
      <c r="C29" s="9" t="n">
        <f aca="false">MAX(MAX(Revenue!$D$76:$I$76),-MIN(Revenue!$D$76:$I$76))</f>
        <v>-0</v>
      </c>
      <c r="D29" s="9" t="n">
        <v>0</v>
      </c>
      <c r="E29" s="9" t="str">
        <f aca="false">IF(ISNUMBER(C29),IF(ABS(C29-D29)&lt;0.000000001,"OK","ERR"),"ERR")</f>
        <v>OK</v>
      </c>
      <c r="F29" s="2"/>
    </row>
    <row r="30" customFormat="false" ht="15" hidden="false" customHeight="false" outlineLevel="0" collapsed="false">
      <c r="A30" s="9" t="s">
        <v>4372</v>
      </c>
      <c r="B30" s="9" t="s">
        <v>6680</v>
      </c>
      <c r="C30" s="9" t="n">
        <f aca="false">MAX(MAX(Revenue!$D$62:$I$62),-MIN(Revenue!$D$62:$I$62))</f>
        <v>-0</v>
      </c>
      <c r="D30" s="9" t="n">
        <v>0</v>
      </c>
      <c r="E30" s="9" t="str">
        <f aca="false">IF(ISNUMBER(C30),IF(ABS(C30-D30)&lt;0.000000001,"OK","ERR"),"ERR")</f>
        <v>OK</v>
      </c>
      <c r="F30" s="2"/>
    </row>
    <row r="31" customFormat="false" ht="15" hidden="false" customHeight="false" outlineLevel="0" collapsed="false">
      <c r="A31" s="9" t="s">
        <v>4374</v>
      </c>
      <c r="B31" s="9" t="s">
        <v>6681</v>
      </c>
      <c r="C31" s="9" t="n">
        <f aca="false">SUMPRODUCT(--(ABS(Demand!$D$68:$I$68-Demand!$D$69:$I$69)&gt;0.000000001*Demand!$D$69:$I$69))</f>
        <v>0</v>
      </c>
      <c r="D31" s="9" t="n">
        <v>0</v>
      </c>
      <c r="E31" s="9" t="str">
        <f aca="false">IF(C31=D31,"OK","ERR")</f>
        <v>OK</v>
      </c>
      <c r="F31" s="2" t="s">
        <v>6682</v>
      </c>
    </row>
    <row r="32" customFormat="false" ht="15" hidden="false" customHeight="false" outlineLevel="0" collapsed="false">
      <c r="A32" s="9" t="s">
        <v>4376</v>
      </c>
      <c r="B32" s="11" t="s">
        <v>6683</v>
      </c>
      <c r="C32" s="9" t="n">
        <f aca="false">SUMPRODUCT(--(ABS(Demand!$D$48:$I$48)&gt;0.000000001))</f>
        <v>0</v>
      </c>
      <c r="D32" s="9" t="n">
        <v>0</v>
      </c>
      <c r="E32" s="9" t="str">
        <f aca="false">IF(C32=D32,"OK","ERR")</f>
        <v>OK</v>
      </c>
      <c r="F32" s="2" t="s">
        <v>6684</v>
      </c>
    </row>
    <row r="33" customFormat="false" ht="15" hidden="false" customHeight="false" outlineLevel="0" collapsed="false">
      <c r="A33" s="9" t="s">
        <v>4378</v>
      </c>
      <c r="B33" s="11" t="s">
        <v>6685</v>
      </c>
      <c r="C33" s="9" t="n">
        <f aca="false">(INP_021&lt;0)+(INP_021&gt;1)+(INP_022&lt;0)+(INP_022&gt;1)+((1-INP_021-INP_022)&lt;0)+(INP_023&lt;0)+(INP_023&gt;1)+(INP_024&lt;0)+(INP_024&gt;1)+((1-INP_023-INP_024)&lt;0)+(INP_025&lt;0)+(INP_025&gt;1)+(INP_026&lt;0)+(INP_026&gt;1)+((1-INP_025-INP_026)&lt;0)+(INP_027&lt;0)+(INP_027&gt;1)+(INP_028&lt;0)+(INP_028&gt;1)+((1-INP_027-INP_028)&lt;0)+(INP_077&lt;0)+(INP_077&gt;1)+(INP_078&lt;0)+(INP_078&gt;1)+((1-INP_077-INP_078)&lt;0)+(INP_079&lt;0)+(INP_079&gt;1)+(INP_080&lt;0)+(INP_080&gt;1)+((1-INP_079-INP_080)&lt;0)+(INP_053&lt;0)+(INP_053&gt;1)+(INP_054&lt;0)+(INP_054&gt;1)+((1-INP_053-INP_054)&lt;0)+(INP_055&lt;0)+(INP_055&gt;1)+(INP_056&lt;0)+(INP_056&gt;1)+((1-INP_055-INP_056)&lt;0)+(INP_057&lt;0)+(INP_057&gt;1)+(INP_058&lt;0)+(INP_058&gt;1)+((1-INP_057-INP_058)&lt;0)+(INP_059&lt;0)+(INP_059&gt;1)+(INP_060&lt;0)+(INP_060&gt;1)+((1-INP_059-INP_060)&lt;0)+(INP_061&lt;0)+(INP_061&gt;1)+(INP_062&lt;0)+(INP_062&gt;1)+((1-INP_061-INP_062)&lt;0)+(INP_063&lt;0)+(INP_063&gt;1)+(INP_064&lt;0)+(INP_064&gt;1)+((1-INP_063-INP_064)&lt;0)+(INP_065&lt;0)+(INP_065&gt;1)+(INP_066&lt;0)+(INP_066&gt;1)+((1-INP_065-INP_066)&lt;0)+(INP_071&lt;0)+(INP_071&gt;1)+(INP_072&lt;0)+(INP_072&gt;1)+((1-INP_071-INP_072)&lt;0)+(INP_073&lt;0)+(INP_073&gt;1)+(INP_074&lt;0)+(INP_074&gt;1)+((1-INP_073-INP_074)&lt;0)+(INP_075&lt;0)+(INP_075&gt;1)+(INP_076&lt;0)+(INP_076&gt;1)+((1-INP_075-INP_076)&lt;0)</f>
        <v>0</v>
      </c>
      <c r="D33" s="9" t="n">
        <v>0</v>
      </c>
      <c r="E33" s="9" t="str">
        <f aca="false">IF(C33=D33,"OK","ERR")</f>
        <v>OK</v>
      </c>
      <c r="F33" s="12" t="s">
        <v>6686</v>
      </c>
    </row>
    <row r="34" customFormat="false" ht="15" hidden="false" customHeight="false" outlineLevel="0" collapsed="false">
      <c r="A34" s="9" t="s">
        <v>4380</v>
      </c>
      <c r="B34" s="9" t="s">
        <v>6687</v>
      </c>
      <c r="C34" s="9" t="n">
        <f aca="false">(Demand!$D$11&lt;=0)+(Demand!$D$19&lt;=0)+(Demand!$D$15&lt;0)+(Demand!$D$54&lt;=0)</f>
        <v>0</v>
      </c>
      <c r="D34" s="9" t="n">
        <v>0</v>
      </c>
      <c r="E34" s="9" t="str">
        <f aca="false">IF(C34=D34,"OK","ERR")</f>
        <v>OK</v>
      </c>
      <c r="F34" s="2" t="s">
        <v>6688</v>
      </c>
    </row>
    <row r="35" customFormat="false" ht="15" hidden="false" customHeight="false" outlineLevel="0" collapsed="false">
      <c r="A35" s="9" t="s">
        <v>4382</v>
      </c>
      <c r="B35" s="9" t="s">
        <v>6689</v>
      </c>
      <c r="C35" s="9" t="n">
        <f aca="false">IF(Revenue!$E$57&lt;=0,1,0)</f>
        <v>0</v>
      </c>
      <c r="D35" s="9" t="n">
        <v>0</v>
      </c>
      <c r="E35" s="9" t="str">
        <f aca="false">IF(C35=D35,"OK","ERR")</f>
        <v>OK</v>
      </c>
      <c r="F35" s="2"/>
    </row>
    <row r="36" customFormat="false" ht="15" hidden="false" customHeight="false" outlineLevel="0" collapsed="false">
      <c r="A36" s="9" t="s">
        <v>4384</v>
      </c>
      <c r="B36" s="11" t="s">
        <v>6690</v>
      </c>
      <c r="C36" s="9" t="n">
        <f aca="false">SUMPRODUCT(--(REV_CapFactor&lt;=0))+SUMPRODUCT(--(REV_CapFactor&gt;1.000000001))</f>
        <v>0</v>
      </c>
      <c r="D36" s="9" t="n">
        <v>0</v>
      </c>
      <c r="E36" s="9" t="str">
        <f aca="false">IF(C36=D36,"OK","ERR")</f>
        <v>OK</v>
      </c>
      <c r="F36" s="12" t="s">
        <v>6691</v>
      </c>
    </row>
    <row r="37" customFormat="false" ht="15" hidden="false" customHeight="false" outlineLevel="0" collapsed="false">
      <c r="A37" s="9" t="s">
        <v>4386</v>
      </c>
      <c r="B37" s="11" t="s">
        <v>6692</v>
      </c>
      <c r="C37" s="9" t="n">
        <f aca="false">SUMPRODUCT(--(REV_Ads&lt;&gt;0))</f>
        <v>0</v>
      </c>
      <c r="D37" s="9" t="n">
        <v>0</v>
      </c>
      <c r="E37" s="9" t="str">
        <f aca="false">IF(C37=D37,"OK","ERR")</f>
        <v>OK</v>
      </c>
      <c r="F37" s="12" t="s">
        <v>6693</v>
      </c>
    </row>
    <row r="38" customFormat="false" ht="15" hidden="false" customHeight="false" outlineLevel="0" collapsed="false">
      <c r="A38" s="9" t="s">
        <v>4388</v>
      </c>
      <c r="B38" s="11" t="s">
        <v>6694</v>
      </c>
      <c r="C38" s="9" t="n">
        <f aca="false">(Revenue!$N$103&lt;Revenue!$N$102)+(Revenue!$N$104&lt;Revenue!$N$103)+(Revenue!$N$105&lt;Revenue!$N$104)+(Revenue!$N$106&lt;Revenue!$N$105)+(Revenue!$N$107&lt;Revenue!$N$106)+(Revenue!$N$108&lt;Revenue!$N$107)+(Revenue!$N$109&lt;Revenue!$N$108)+(Revenue!$N$110&lt;Revenue!$N$109)+(Revenue!$N$112&lt;Revenue!$N$111)+(Revenue!$N$113&lt;Revenue!$N$112)+(Revenue!$N$114&lt;Revenue!$N$113)+(Revenue!$N$115&lt;Revenue!$N$114)+(Revenue!$N$116&lt;Revenue!$N$115)+(Revenue!$N$117&lt;Revenue!$N$116)+(Revenue!$N$118&lt;Revenue!$N$117)+(Revenue!$N$119&lt;Revenue!$N$118)+(Revenue!$N$121&lt;Revenue!$N$120)+(Revenue!$N$122&lt;Revenue!$N$121)+(Revenue!$N$123&lt;Revenue!$N$122)+(Revenue!$N$124&lt;Revenue!$N$123)+(Revenue!$N$125&lt;Revenue!$N$124)+(Revenue!$N$126&lt;Revenue!$N$125)+(Revenue!$N$128&lt;Revenue!$N$127)+(Revenue!$N$129&lt;Revenue!$N$128)+(Revenue!$N$130&lt;Revenue!$N$129)+(Revenue!$N$131&lt;Revenue!$N$130)+(Revenue!$N$132&lt;Revenue!$N$131)+(Revenue!$N$133&lt;Revenue!$N$132)+(Revenue!$N$135&lt;Revenue!$N$134)+(Revenue!$N$136&lt;Revenue!$N$135)+(Revenue!$N$138&lt;Revenue!$N$137)+(Revenue!$N$139&lt;Revenue!$N$138)</f>
        <v>0</v>
      </c>
      <c r="D38" s="9" t="n">
        <v>0</v>
      </c>
      <c r="E38" s="9" t="str">
        <f aca="false">IF(C38=D38,"OK","ERR")</f>
        <v>OK</v>
      </c>
      <c r="F38" s="12" t="s">
        <v>6695</v>
      </c>
    </row>
    <row r="39" customFormat="false" ht="15" hidden="false" customHeight="false" outlineLevel="0" collapsed="false">
      <c r="A39" s="9" t="s">
        <v>4390</v>
      </c>
      <c r="B39" s="11" t="s">
        <v>6696</v>
      </c>
      <c r="C39" s="9" t="n">
        <f aca="false">SRC_ANT_001-SRC_ANT_002</f>
        <v>0.00999999999999979</v>
      </c>
      <c r="E39" s="9" t="s">
        <v>6659</v>
      </c>
      <c r="F39" s="2" t="s">
        <v>6697</v>
      </c>
    </row>
    <row r="40" customFormat="false" ht="15" hidden="false" customHeight="false" outlineLevel="0" collapsed="false">
      <c r="A40" s="9" t="s">
        <v>4392</v>
      </c>
      <c r="B40" s="11" t="s">
        <v>6698</v>
      </c>
      <c r="C40" s="17" t="n">
        <f aca="false">REV_GapUncal2025</f>
        <v>-0.2790951</v>
      </c>
      <c r="E40" s="9" t="s">
        <v>6659</v>
      </c>
      <c r="F40" s="2" t="s">
        <v>6699</v>
      </c>
    </row>
    <row r="41" customFormat="false" ht="15" hidden="false" customHeight="false" outlineLevel="0" collapsed="false">
      <c r="A41" s="9" t="s">
        <v>4394</v>
      </c>
      <c r="B41" s="11" t="s">
        <v>6700</v>
      </c>
      <c r="C41" s="16" t="n">
        <f aca="false">Revenue!$D$90</f>
        <v>0.263404131968326</v>
      </c>
      <c r="E41" s="9" t="s">
        <v>6659</v>
      </c>
      <c r="F41" s="12" t="s">
        <v>6701</v>
      </c>
    </row>
    <row r="42" customFormat="false" ht="15" hidden="false" customHeight="false" outlineLevel="0" collapsed="false">
      <c r="A42" s="9" t="s">
        <v>4396</v>
      </c>
      <c r="B42" s="11" t="s">
        <v>6702</v>
      </c>
      <c r="C42" s="16" t="n">
        <f aca="false">Revenue!$D$70</f>
        <v>0.162349676225717</v>
      </c>
      <c r="E42" s="9" t="s">
        <v>6659</v>
      </c>
      <c r="F42" s="12" t="s">
        <v>6703</v>
      </c>
    </row>
    <row r="43" customFormat="false" ht="15" hidden="false" customHeight="false" outlineLevel="0" collapsed="false">
      <c r="A43" s="9" t="s">
        <v>4398</v>
      </c>
      <c r="B43" s="11" t="s">
        <v>6704</v>
      </c>
      <c r="C43" s="16" t="n">
        <f aca="false">Revenue!$E$96</f>
        <v>0.248037644209916</v>
      </c>
      <c r="E43" s="9" t="s">
        <v>6659</v>
      </c>
      <c r="F43" s="12" t="s">
        <v>6705</v>
      </c>
    </row>
    <row r="44" customFormat="false" ht="15" hidden="false" customHeight="false" outlineLevel="0" collapsed="false">
      <c r="A44" s="9" t="s">
        <v>4400</v>
      </c>
      <c r="B44" s="11" t="s">
        <v>6706</v>
      </c>
      <c r="C44" s="16" t="n">
        <f aca="false">Revenue!$E$78</f>
        <v>0.0909347366276627</v>
      </c>
      <c r="E44" s="9" t="s">
        <v>6659</v>
      </c>
      <c r="F44" s="12" t="s">
        <v>6707</v>
      </c>
    </row>
    <row r="45" customFormat="false" ht="15" hidden="false" customHeight="false" outlineLevel="0" collapsed="false">
      <c r="A45" s="9" t="s">
        <v>4402</v>
      </c>
      <c r="B45" s="11" t="s">
        <v>6708</v>
      </c>
      <c r="C45" s="16" t="n">
        <f aca="false">Demand!$E$55</f>
        <v>12.881805079077</v>
      </c>
      <c r="E45" s="9" t="s">
        <v>6659</v>
      </c>
      <c r="F45" s="12" t="s">
        <v>6709</v>
      </c>
    </row>
    <row r="46" customFormat="false" ht="15" hidden="false" customHeight="false" outlineLevel="0" collapsed="false">
      <c r="A46" s="9" t="s">
        <v>4404</v>
      </c>
      <c r="B46" s="11" t="s">
        <v>6710</v>
      </c>
      <c r="C46" s="17" t="n">
        <f aca="false">Revenue!$F$95</f>
        <v>28.0226729505251</v>
      </c>
      <c r="E46" s="9" t="s">
        <v>6659</v>
      </c>
      <c r="F46" s="12" t="s">
        <v>6711</v>
      </c>
    </row>
    <row r="47" customFormat="false" ht="15" hidden="false" customHeight="false" outlineLevel="0" collapsed="false">
      <c r="A47" s="9" t="s">
        <v>4406</v>
      </c>
      <c r="B47" s="11" t="s">
        <v>6712</v>
      </c>
      <c r="C47" s="17" t="n">
        <f aca="false">INDEX(REV_Net,1,6)</f>
        <v>201.579345535295</v>
      </c>
      <c r="E47" s="9" t="s">
        <v>6659</v>
      </c>
      <c r="F47" s="2" t="s">
        <v>6713</v>
      </c>
    </row>
    <row r="48" customFormat="false" ht="15" hidden="false" customHeight="false" outlineLevel="0" collapsed="false">
      <c r="A48" s="9" t="s">
        <v>4408</v>
      </c>
      <c r="B48" s="9" t="s">
        <v>6714</v>
      </c>
      <c r="C48" s="9" t="n">
        <f aca="false">INDEX(REV_Gross,1,1)/INDEX(OAI_REV_Gross,1,1)</f>
        <v>0.35195103289977</v>
      </c>
      <c r="E48" s="9" t="s">
        <v>6659</v>
      </c>
      <c r="F48" s="12" t="s">
        <v>6715</v>
      </c>
    </row>
    <row r="49" customFormat="false" ht="15" hidden="false" customHeight="false" outlineLevel="0" collapsed="false">
      <c r="A49" s="9" t="s">
        <v>4410</v>
      </c>
      <c r="B49" s="9" t="s">
        <v>6716</v>
      </c>
      <c r="C49" s="9" t="n">
        <f aca="false">INDEX(REV_Net,1,6)/INDEX(OAI_REV_Net,1,6)</f>
        <v>1.59498664911641</v>
      </c>
      <c r="E49" s="9" t="s">
        <v>6659</v>
      </c>
      <c r="F49" s="2"/>
    </row>
    <row r="50" customFormat="false" ht="15" hidden="false" customHeight="false" outlineLevel="0" collapsed="false">
      <c r="A50" s="9" t="s">
        <v>4412</v>
      </c>
      <c r="B50" s="9" t="s">
        <v>6717</v>
      </c>
      <c r="C50" s="9" t="n">
        <f aca="false">INDEX(DEM_Tok_Total,1,6)/INDEX(OAI_DEM_Tok_Total,1,6)</f>
        <v>1.03471353489404</v>
      </c>
      <c r="E50" s="9" t="s">
        <v>6659</v>
      </c>
      <c r="F50" s="2" t="s">
        <v>6718</v>
      </c>
    </row>
    <row r="51" customFormat="false" ht="15" hidden="false" customHeight="false" outlineLevel="0" collapsed="false">
      <c r="A51" s="9" t="s">
        <v>4414</v>
      </c>
      <c r="B51" s="11" t="s">
        <v>6719</v>
      </c>
      <c r="C51" s="9" t="n">
        <f aca="false">(COUNTIF(TK_IF_HdrTask,INP_102)&lt;&gt;1)+(COUNTIF(TK_IF_HdrTask,INP_103)&lt;&gt;1)+(COUNTIF(TK_IF_HdrTask,INP_104)&lt;&gt;1)</f>
        <v>0</v>
      </c>
      <c r="D51" s="9" t="n">
        <v>0</v>
      </c>
      <c r="E51" s="9" t="str">
        <f aca="false">IF(C51=D51,"OK","ERR")</f>
        <v>OK</v>
      </c>
      <c r="F51" s="12" t="s">
        <v>6720</v>
      </c>
    </row>
    <row r="52" customFormat="false" ht="15" hidden="false" customHeight="false" outlineLevel="0" collapsed="false">
      <c r="A52" s="9" t="s">
        <v>4416</v>
      </c>
      <c r="B52" s="11" t="s">
        <v>6721</v>
      </c>
      <c r="C52" s="9" t="n">
        <f aca="false">SUMIFS(TK_IF_TaskTokCached,TK_IF_HdrTask,INP_103)/(SUMIFS(TK_IF_TaskTokCached,TK_IF_HdrTask,INP_103)+SUMIFS(TK_IF_TaskTokFresh,TK_IF_HdrTask,INP_103))</f>
        <v>0.863114754098361</v>
      </c>
      <c r="E52" s="9" t="s">
        <v>6659</v>
      </c>
      <c r="F52" s="12" t="s">
        <v>6722</v>
      </c>
    </row>
    <row r="53" customFormat="false" ht="15" hidden="false" customHeight="false" outlineLevel="0" collapsed="false">
      <c r="A53" s="9" t="s">
        <v>4418</v>
      </c>
      <c r="B53" s="9" t="s">
        <v>6723</v>
      </c>
      <c r="C53" s="9" t="n">
        <f aca="false">(TK_PUE_Lo&gt;TK_PUE)+(TK_PUE&gt;TK_PUE_Hi)</f>
        <v>0</v>
      </c>
      <c r="D53" s="9" t="n">
        <v>0</v>
      </c>
      <c r="E53" s="9" t="str">
        <f aca="false">IF(C53=D53,"OK","ERR")</f>
        <v>OK</v>
      </c>
      <c r="F53" s="12" t="s">
        <v>6724</v>
      </c>
    </row>
    <row r="54" customFormat="false" ht="15" hidden="false" customHeight="false" outlineLevel="0" collapsed="false">
      <c r="A54" s="9" t="s">
        <v>4420</v>
      </c>
      <c r="B54" s="9" t="s">
        <v>6725</v>
      </c>
      <c r="C54" s="17" t="n">
        <f aca="false">COST_Gap2025</f>
        <v>0</v>
      </c>
      <c r="D54" s="9" t="n">
        <v>0</v>
      </c>
      <c r="E54" s="9" t="str">
        <f aca="false">IF(ISNUMBER(C54),IF(ABS(C54-D54)&lt;0.000000001,"OK","ERR"),"ERR")</f>
        <v>OK</v>
      </c>
      <c r="F54" s="2" t="s">
        <v>6726</v>
      </c>
    </row>
    <row r="55" customFormat="false" ht="15" hidden="false" customHeight="false" outlineLevel="0" collapsed="false">
      <c r="A55" s="9" t="s">
        <v>4422</v>
      </c>
      <c r="B55" s="9" t="s">
        <v>6727</v>
      </c>
      <c r="C55" s="9" t="n">
        <f aca="false">SRC_ANT_255+SRC_ANT_253-SRC_ANT_252</f>
        <v>0</v>
      </c>
      <c r="D55" s="9" t="n">
        <v>0</v>
      </c>
      <c r="E55" s="9" t="str">
        <f aca="false">IF(ISNUMBER(C55),IF(ABS(C55-D55)&lt;0.000000001,"OK","ERR"),"ERR")</f>
        <v>OK</v>
      </c>
      <c r="F55" s="12" t="s">
        <v>6728</v>
      </c>
    </row>
    <row r="56" customFormat="false" ht="15" hidden="false" customHeight="false" outlineLevel="0" collapsed="false">
      <c r="A56" s="9" t="s">
        <v>4424</v>
      </c>
      <c r="B56" s="11" t="s">
        <v>6729</v>
      </c>
      <c r="C56" s="9" t="n">
        <f aca="false">SUMPRODUCT(--(Compute!$D$91:$I$91&lt;Compute!$D$158:$I$158))</f>
        <v>0</v>
      </c>
      <c r="D56" s="9" t="n">
        <v>0</v>
      </c>
      <c r="E56" s="9" t="str">
        <f aca="false">IF(C56=D56,"OK","ERR")</f>
        <v>OK</v>
      </c>
      <c r="F56" s="2" t="s">
        <v>6730</v>
      </c>
    </row>
    <row r="57" customFormat="false" ht="15" hidden="false" customHeight="false" outlineLevel="0" collapsed="false">
      <c r="A57" s="9" t="s">
        <v>4426</v>
      </c>
      <c r="B57" s="11" t="s">
        <v>6731</v>
      </c>
      <c r="C57" s="9" t="n">
        <f aca="false">COUNTIF(Compute!$D$159:$I$159,"&lt;0")</f>
        <v>0</v>
      </c>
      <c r="D57" s="9" t="n">
        <f aca="false">0</f>
        <v>0</v>
      </c>
      <c r="E57" s="9" t="str">
        <f aca="false">IF(ISNUMBER(C57),IF(ABS(C57)&gt;D57,"WARN","OK"),"ERR")</f>
        <v>OK</v>
      </c>
      <c r="F57" s="12" t="s">
        <v>6732</v>
      </c>
    </row>
    <row r="58" customFormat="false" ht="15" hidden="false" customHeight="false" outlineLevel="0" collapsed="false">
      <c r="A58" s="9" t="s">
        <v>4428</v>
      </c>
      <c r="B58" s="9" t="s">
        <v>6733</v>
      </c>
      <c r="C58" s="9" t="n">
        <f aca="false">COUNTIF(Compute!$D$150:$I$150,"&lt;"&amp;INP_120)+COUNTIF(Compute!$D$150:$I$150,"&gt;"&amp;INP_121)</f>
        <v>0</v>
      </c>
      <c r="D58" s="9" t="n">
        <f aca="false">0</f>
        <v>0</v>
      </c>
      <c r="E58" s="9" t="str">
        <f aca="false">IF(ISNUMBER(C58),IF(ABS(C58)&gt;D58,"WARN","OK"),"ERR")</f>
        <v>OK</v>
      </c>
      <c r="F58" s="2" t="s">
        <v>6734</v>
      </c>
    </row>
    <row r="59" customFormat="false" ht="15" hidden="false" customHeight="false" outlineLevel="0" collapsed="false">
      <c r="A59" s="9" t="s">
        <v>4432</v>
      </c>
      <c r="B59" s="11" t="s">
        <v>6735</v>
      </c>
      <c r="C59" s="9" t="n">
        <f aca="false">MAX(MAX(Compute!$D$163:$I$163),-MIN(Compute!$D$163:$I$163))</f>
        <v>-0</v>
      </c>
      <c r="D59" s="9" t="n">
        <v>0</v>
      </c>
      <c r="E59" s="9" t="str">
        <f aca="false">IF(ISNUMBER(C59),IF(ABS(C59-D59)&lt;0.000000001,"OK","ERR"),"ERR")</f>
        <v>OK</v>
      </c>
      <c r="F59" s="12" t="s">
        <v>6736</v>
      </c>
    </row>
    <row r="60" customFormat="false" ht="15" hidden="false" customHeight="false" outlineLevel="0" collapsed="false">
      <c r="A60" s="9" t="s">
        <v>4435</v>
      </c>
      <c r="B60" s="11" t="s">
        <v>6737</v>
      </c>
      <c r="C60" s="9" t="n">
        <f aca="false">MAX(MAX(Compute!$D$101:$I$101),-MIN(Compute!$D$101:$I$101))</f>
        <v>-0</v>
      </c>
      <c r="D60" s="9" t="n">
        <v>0</v>
      </c>
      <c r="E60" s="9" t="str">
        <f aca="false">IF(ISNUMBER(C60),IF(ABS(C60-D60)&lt;0.000000001,"OK","ERR"),"ERR")</f>
        <v>OK</v>
      </c>
      <c r="F60" s="2"/>
    </row>
    <row r="61" customFormat="false" ht="15" hidden="false" customHeight="false" outlineLevel="0" collapsed="false">
      <c r="A61" s="9" t="s">
        <v>4437</v>
      </c>
      <c r="B61" s="11" t="s">
        <v>6738</v>
      </c>
      <c r="C61" s="9" t="n">
        <f aca="false">MAX(MAX(Compute!$D$111:$I$111),-MIN(Compute!$D$111:$I$111))-Compute!$D$62</f>
        <v>0</v>
      </c>
      <c r="E61" s="9" t="s">
        <v>6659</v>
      </c>
      <c r="F61" s="2" t="s">
        <v>6739</v>
      </c>
    </row>
    <row r="62" customFormat="false" ht="15" hidden="false" customHeight="false" outlineLevel="0" collapsed="false">
      <c r="A62" s="9" t="s">
        <v>4440</v>
      </c>
      <c r="B62" s="11" t="s">
        <v>6740</v>
      </c>
      <c r="C62" s="9" t="n">
        <f aca="false">(INP_125&lt;0)+(INP_126&lt;0)+((1-INP_125-INP_126)&lt;0)</f>
        <v>0</v>
      </c>
      <c r="D62" s="9" t="n">
        <v>0</v>
      </c>
      <c r="E62" s="9" t="str">
        <f aca="false">IF(C62=D62,"OK","ERR")</f>
        <v>OK</v>
      </c>
      <c r="F62" s="12" t="s">
        <v>6741</v>
      </c>
    </row>
    <row r="63" customFormat="false" ht="15" hidden="false" customHeight="false" outlineLevel="0" collapsed="false">
      <c r="A63" s="9" t="s">
        <v>4443</v>
      </c>
      <c r="B63" s="11" t="s">
        <v>6742</v>
      </c>
      <c r="C63" s="9" t="n">
        <f aca="false">((INP_130-INP_129+1)&lt;INP_122)+((INP_132-INP_131+1)&lt;INP_122)+((INP_134-INP_133+1)&lt;INP_122)+((INP_136-INP_135+1)&lt;INP_122)+((INP_144-INP_143+1)&lt;INP_122)+((INP_148-INP_147+1)&lt;INP_122)+((INP_150-INP_149+1)&lt;INP_122)</f>
        <v>0</v>
      </c>
      <c r="D63" s="9" t="n">
        <v>0</v>
      </c>
      <c r="E63" s="9" t="str">
        <f aca="false">IF(C63=D63,"OK","ERR")</f>
        <v>OK</v>
      </c>
      <c r="F63" s="12" t="s">
        <v>6743</v>
      </c>
    </row>
    <row r="64" customFormat="false" ht="15" hidden="false" customHeight="false" outlineLevel="0" collapsed="false">
      <c r="A64" s="9" t="s">
        <v>4447</v>
      </c>
      <c r="B64" s="11" t="s">
        <v>6744</v>
      </c>
      <c r="C64" s="9" t="n">
        <f aca="false">(Compute!$D$161&lt;&gt;Compute!$D$62)+(Compute!$E$161&lt;&gt;Compute!$D$62)</f>
        <v>0</v>
      </c>
      <c r="D64" s="9" t="n">
        <v>0</v>
      </c>
      <c r="E64" s="9" t="str">
        <f aca="false">IF(C64=D64,"OK","ERR")</f>
        <v>OK</v>
      </c>
      <c r="F64" s="12" t="s">
        <v>6745</v>
      </c>
    </row>
    <row r="65" customFormat="false" ht="15" hidden="false" customHeight="false" outlineLevel="0" collapsed="false">
      <c r="A65" s="9" t="s">
        <v>4450</v>
      </c>
      <c r="B65" s="9" t="s">
        <v>6746</v>
      </c>
      <c r="C65" s="9" t="n">
        <f aca="false">SUMPRODUCT(--(REV_CapFactor&lt;&gt;CMP_CapFactor))</f>
        <v>0</v>
      </c>
      <c r="D65" s="9" t="n">
        <v>0</v>
      </c>
      <c r="E65" s="9" t="str">
        <f aca="false">IF(C65=D65,"OK","ERR")</f>
        <v>OK</v>
      </c>
      <c r="F65" s="2"/>
    </row>
    <row r="66" customFormat="false" ht="15" hidden="false" customHeight="false" outlineLevel="0" collapsed="false">
      <c r="A66" s="9" t="s">
        <v>4453</v>
      </c>
      <c r="B66" s="11" t="s">
        <v>6747</v>
      </c>
      <c r="C66" s="9" t="n">
        <f aca="false">MAX(MAX(Cost!$D$133:$I$133),-MIN(Cost!$D$133:$I$133))</f>
        <v>-0</v>
      </c>
      <c r="D66" s="9" t="n">
        <v>0</v>
      </c>
      <c r="E66" s="9" t="str">
        <f aca="false">IF(ISNUMBER(C66),IF(ABS(C66-D66)&lt;0.000000001,"OK","ERR"),"ERR")</f>
        <v>OK</v>
      </c>
      <c r="F66" s="2"/>
    </row>
    <row r="67" customFormat="false" ht="15" hidden="false" customHeight="false" outlineLevel="0" collapsed="false">
      <c r="A67" s="9" t="s">
        <v>4455</v>
      </c>
      <c r="B67" s="11" t="s">
        <v>6748</v>
      </c>
      <c r="C67" s="9" t="n">
        <f aca="false">MAX(MAX(Cost!$D$134:$I$134),-MIN(Cost!$D$134:$I$134))</f>
        <v>-0</v>
      </c>
      <c r="D67" s="9" t="n">
        <v>0</v>
      </c>
      <c r="E67" s="9" t="str">
        <f aca="false">IF(ISNUMBER(C67),IF(ABS(C67-D67)&lt;0.000000001,"OK","ERR"),"ERR")</f>
        <v>OK</v>
      </c>
      <c r="F67" s="12" t="s">
        <v>3888</v>
      </c>
    </row>
    <row r="68" customFormat="false" ht="15" hidden="false" customHeight="false" outlineLevel="0" collapsed="false">
      <c r="A68" s="9" t="s">
        <v>4458</v>
      </c>
      <c r="B68" s="11" t="s">
        <v>6749</v>
      </c>
      <c r="C68" s="9" t="n">
        <f aca="false">MAX(MAX(Cost!$D$135:$I$135),-MIN(Cost!$D$135:$I$135))</f>
        <v>-0</v>
      </c>
      <c r="D68" s="9" t="n">
        <v>0</v>
      </c>
      <c r="E68" s="9" t="str">
        <f aca="false">IF(ISNUMBER(C68),IF(ABS(C68-D68)&lt;0.000000001,"OK","ERR"),"ERR")</f>
        <v>OK</v>
      </c>
      <c r="F68" s="2"/>
    </row>
    <row r="69" customFormat="false" ht="15" hidden="false" customHeight="false" outlineLevel="0" collapsed="false">
      <c r="A69" s="9" t="s">
        <v>4461</v>
      </c>
      <c r="B69" s="11" t="s">
        <v>6750</v>
      </c>
      <c r="C69" s="9" t="n">
        <f aca="false">MAX(MAX(Cost!$D$136:$I$136),-MIN(Cost!$D$136:$I$136))</f>
        <v>-0</v>
      </c>
      <c r="D69" s="9" t="n">
        <v>0</v>
      </c>
      <c r="E69" s="9" t="str">
        <f aca="false">IF(ISNUMBER(C69),IF(ABS(C69-D69)&lt;0.000000001,"OK","ERR"),"ERR")</f>
        <v>OK</v>
      </c>
      <c r="F69" s="2"/>
    </row>
    <row r="70" customFormat="false" ht="15" hidden="false" customHeight="false" outlineLevel="0" collapsed="false">
      <c r="A70" s="9" t="s">
        <v>4464</v>
      </c>
      <c r="B70" s="11" t="s">
        <v>6751</v>
      </c>
      <c r="C70" s="9" t="n">
        <f aca="false">MAX(MAX(Cost!$D$101:$I$101),-MIN(Cost!$D$101:$I$101))</f>
        <v>-0</v>
      </c>
      <c r="D70" s="9" t="n">
        <v>0</v>
      </c>
      <c r="E70" s="9" t="str">
        <f aca="false">IF(ISNUMBER(C70),IF(ABS(C70-D70)&lt;0.000000001,"OK","ERR"),"ERR")</f>
        <v>OK</v>
      </c>
      <c r="F70" s="2"/>
    </row>
    <row r="71" customFormat="false" ht="15" hidden="false" customHeight="false" outlineLevel="0" collapsed="false">
      <c r="A71" s="9" t="s">
        <v>4467</v>
      </c>
      <c r="B71" s="9" t="s">
        <v>6752</v>
      </c>
      <c r="C71" s="9" t="n">
        <f aca="false">IF(Cost!$D$89&lt;=0,1,0)</f>
        <v>0</v>
      </c>
      <c r="D71" s="9" t="n">
        <v>0</v>
      </c>
      <c r="E71" s="9" t="str">
        <f aca="false">IF(C71=D71,"OK","ERR")</f>
        <v>OK</v>
      </c>
      <c r="F71" s="2" t="s">
        <v>6753</v>
      </c>
    </row>
    <row r="72" customFormat="false" ht="15" hidden="false" customHeight="false" outlineLevel="0" collapsed="false">
      <c r="A72" s="9" t="s">
        <v>4470</v>
      </c>
      <c r="B72" s="11" t="s">
        <v>6754</v>
      </c>
      <c r="C72" s="16" t="n">
        <f aca="false">COST_CommitGap</f>
        <v>-0.0338610038610039</v>
      </c>
      <c r="D72" s="9" t="n">
        <f aca="false">INP_155</f>
        <v>0.25</v>
      </c>
      <c r="E72" s="9" t="str">
        <f aca="false">IF(ISNUMBER(C72),IF(ABS(C72)&gt;D72,"WARN","OK"),"ERR")</f>
        <v>OK</v>
      </c>
      <c r="F72" s="12" t="s">
        <v>6755</v>
      </c>
    </row>
    <row r="73" customFormat="false" ht="15" hidden="false" customHeight="false" outlineLevel="0" collapsed="false">
      <c r="A73" s="9" t="s">
        <v>4473</v>
      </c>
      <c r="B73" s="9" t="s">
        <v>6756</v>
      </c>
      <c r="C73" s="16" t="n">
        <f aca="false">INDEX(CMP_YEGap,1,1)</f>
        <v>0.195418491283153</v>
      </c>
      <c r="D73" s="9" t="n">
        <f aca="false">INP_154</f>
        <v>0.25</v>
      </c>
      <c r="E73" s="9" t="str">
        <f aca="false">IF(ISNUMBER(C73),IF(ABS(C73)&gt;D73,"WARN","OK"),"ERR")</f>
        <v>OK</v>
      </c>
      <c r="F73" s="2" t="s">
        <v>6757</v>
      </c>
    </row>
    <row r="74" customFormat="false" ht="15" hidden="false" customHeight="false" outlineLevel="0" collapsed="false">
      <c r="A74" s="9" t="s">
        <v>4476</v>
      </c>
      <c r="B74" s="9" t="s">
        <v>6758</v>
      </c>
      <c r="C74" s="16" t="n">
        <f aca="false">INDEX(CMP_YEGap,1,2)</f>
        <v>0.00830458001607468</v>
      </c>
      <c r="D74" s="9" t="n">
        <f aca="false">INP_154</f>
        <v>0.25</v>
      </c>
      <c r="E74" s="9" t="str">
        <f aca="false">IF(ISNUMBER(C74),IF(ABS(C74)&gt;D74,"WARN","OK"),"ERR")</f>
        <v>OK</v>
      </c>
      <c r="F74" s="2" t="s">
        <v>6757</v>
      </c>
    </row>
    <row r="75" customFormat="false" ht="15" hidden="false" customHeight="false" outlineLevel="0" collapsed="false">
      <c r="A75" s="9" t="s">
        <v>4479</v>
      </c>
      <c r="B75" s="11" t="s">
        <v>6759</v>
      </c>
      <c r="C75" s="16" t="n">
        <f aca="false">INDEX(CMP_YEGap,1,3)</f>
        <v>-0.0703798772928984</v>
      </c>
      <c r="E75" s="9" t="s">
        <v>6659</v>
      </c>
      <c r="F75" s="12" t="s">
        <v>6760</v>
      </c>
    </row>
    <row r="76" customFormat="false" ht="15" hidden="false" customHeight="false" outlineLevel="0" collapsed="false">
      <c r="A76" s="9" t="s">
        <v>4482</v>
      </c>
      <c r="B76" s="11" t="s">
        <v>6761</v>
      </c>
      <c r="C76" s="17" t="n">
        <f aca="false">COST_OpLossGap2025</f>
        <v>0.00999999999999979</v>
      </c>
      <c r="E76" s="9" t="s">
        <v>6659</v>
      </c>
      <c r="F76" s="12" t="s">
        <v>6762</v>
      </c>
    </row>
    <row r="77" customFormat="false" ht="15" hidden="false" customHeight="false" outlineLevel="0" collapsed="false">
      <c r="A77" s="9" t="s">
        <v>4485</v>
      </c>
      <c r="B77" s="9" t="s">
        <v>6763</v>
      </c>
      <c r="C77" s="16" t="n">
        <f aca="false">COST_AdjOIM2026</f>
        <v>0.307576074057281</v>
      </c>
      <c r="E77" s="9" t="s">
        <v>6659</v>
      </c>
      <c r="F77" s="2" t="s">
        <v>6764</v>
      </c>
    </row>
    <row r="78" customFormat="false" ht="15" hidden="false" customHeight="false" outlineLevel="0" collapsed="false">
      <c r="A78" s="9" t="s">
        <v>4489</v>
      </c>
      <c r="B78" s="9" t="s">
        <v>6765</v>
      </c>
      <c r="C78" s="16" t="n">
        <f aca="false">COST_AdjOIMRep2026Q2</f>
        <v>0.0512844036697248</v>
      </c>
      <c r="E78" s="9" t="s">
        <v>6659</v>
      </c>
      <c r="F78" s="12" t="s">
        <v>6766</v>
      </c>
    </row>
    <row r="79" customFormat="false" ht="15" hidden="false" customHeight="false" outlineLevel="0" collapsed="false">
      <c r="A79" s="9" t="s">
        <v>4492</v>
      </c>
      <c r="B79" s="11" t="s">
        <v>6767</v>
      </c>
      <c r="C79" s="17" t="n">
        <f aca="false">COST_H1Compute2026</f>
        <v>9.7983</v>
      </c>
      <c r="E79" s="9" t="s">
        <v>6659</v>
      </c>
      <c r="F79" s="2" t="s">
        <v>6768</v>
      </c>
    </row>
    <row r="80" customFormat="false" ht="15" hidden="false" customHeight="false" outlineLevel="0" collapsed="false">
      <c r="A80" s="9" t="s">
        <v>4495</v>
      </c>
      <c r="B80" s="11" t="s">
        <v>6769</v>
      </c>
      <c r="C80" s="21" t="n">
        <f aca="false">CMP_Eta2025</f>
        <v>0.525427732668394</v>
      </c>
      <c r="E80" s="9" t="s">
        <v>6659</v>
      </c>
      <c r="F80" s="12" t="s">
        <v>6770</v>
      </c>
    </row>
    <row r="81" customFormat="false" ht="15" hidden="false" customHeight="false" outlineLevel="0" collapsed="false">
      <c r="A81" s="9" t="s">
        <v>4499</v>
      </c>
      <c r="B81" s="11" t="s">
        <v>6771</v>
      </c>
      <c r="C81" s="18" t="n">
        <f aca="false">INDEX(COST_PropGap_VR,1,6)</f>
        <v>11.6019174208063</v>
      </c>
      <c r="E81" s="9" t="s">
        <v>6659</v>
      </c>
      <c r="F81" s="2" t="s">
        <v>6772</v>
      </c>
    </row>
    <row r="82" customFormat="false" ht="15" hidden="false" customHeight="false" outlineLevel="0" collapsed="false">
      <c r="A82" s="9" t="s">
        <v>4503</v>
      </c>
      <c r="B82" s="11" t="s">
        <v>6773</v>
      </c>
      <c r="C82" s="21" t="n">
        <f aca="false">INDEX(COST_Coverage,1,6)</f>
        <v>1.80435728221484</v>
      </c>
      <c r="E82" s="9" t="s">
        <v>6659</v>
      </c>
      <c r="F82" s="2"/>
    </row>
    <row r="83" customFormat="false" ht="15" hidden="false" customHeight="false" outlineLevel="0" collapsed="false">
      <c r="A83" s="9" t="s">
        <v>4506</v>
      </c>
      <c r="B83" s="9" t="s">
        <v>6774</v>
      </c>
      <c r="C83" s="9" t="n">
        <f aca="false">INDEX(COST_PropGap_VR,1,6)-INDEX(OAI_COST_PropGap_VR,1,6)</f>
        <v>21.6563961974449</v>
      </c>
      <c r="E83" s="9" t="s">
        <v>6659</v>
      </c>
      <c r="F83" s="12" t="s">
        <v>6715</v>
      </c>
    </row>
    <row r="84" customFormat="false" ht="15" hidden="false" customHeight="false" outlineLevel="0" collapsed="false">
      <c r="A84" s="9" t="s">
        <v>4509</v>
      </c>
      <c r="B84" s="9" t="s">
        <v>6775</v>
      </c>
      <c r="C84" s="9" t="n">
        <f aca="false">INDEX(COST_Coverage,1,6)/INDEX(OAI_COST_Coverage,1,6)</f>
        <v>3.94962290058408</v>
      </c>
      <c r="E84" s="9" t="s">
        <v>6659</v>
      </c>
      <c r="F84" s="2"/>
    </row>
    <row r="85" customFormat="false" ht="15" hidden="false" customHeight="false" outlineLevel="0" collapsed="false">
      <c r="A85" s="9" t="s">
        <v>4512</v>
      </c>
      <c r="B85" s="9" t="s">
        <v>6776</v>
      </c>
      <c r="C85" s="9" t="n">
        <f aca="false">INDEX(CMP_Supply_VReq,1,6)/INDEX(OAI_CMP_Supply_VReq,1,6)</f>
        <v>0.518268447406009</v>
      </c>
      <c r="E85" s="9" t="s">
        <v>6659</v>
      </c>
      <c r="F85" s="2"/>
    </row>
    <row r="86" customFormat="false" ht="15" hidden="false" customHeight="false" outlineLevel="0" collapsed="false">
      <c r="A86" s="9" t="s">
        <v>4514</v>
      </c>
      <c r="B86" s="9" t="s">
        <v>6777</v>
      </c>
      <c r="C86" s="9" t="n">
        <f aca="false">INDEX(COST_Compute,1,6)/INDEX(OAI_COST_Compute,1,6)</f>
        <v>0.404233290146272</v>
      </c>
      <c r="E86" s="9" t="s">
        <v>6659</v>
      </c>
      <c r="F86" s="2"/>
    </row>
    <row r="87" customFormat="false" ht="15" hidden="false" customHeight="false" outlineLevel="0" collapsed="false">
      <c r="A87" s="9" t="s">
        <v>4516</v>
      </c>
      <c r="B87" s="11" t="s">
        <v>6778</v>
      </c>
      <c r="C87" s="9" t="n">
        <f aca="false">MAX(MAX(Funding!$D$15:$I$15),-MIN(Funding!$D$15:$I$15))</f>
        <v>-0</v>
      </c>
      <c r="D87" s="9" t="n">
        <v>0</v>
      </c>
      <c r="E87" s="9" t="str">
        <f aca="false">IF(ISNUMBER(C87),IF(ABS(C87-D87)&lt;0.000000001,"OK","ERR"),"ERR")</f>
        <v>OK</v>
      </c>
      <c r="F87" s="12" t="s">
        <v>6779</v>
      </c>
    </row>
    <row r="88" customFormat="false" ht="15" hidden="false" customHeight="false" outlineLevel="0" collapsed="false">
      <c r="A88" s="9" t="s">
        <v>4518</v>
      </c>
      <c r="B88" s="11" t="s">
        <v>6780</v>
      </c>
      <c r="C88" s="9" t="n">
        <f aca="false">MAX(MAX(Funding!$E$44:$I$44),-MIN(Funding!$E$44:$I$44))</f>
        <v>-0</v>
      </c>
      <c r="D88" s="9" t="n">
        <v>0</v>
      </c>
      <c r="E88" s="9" t="str">
        <f aca="false">IF(ISNUMBER(C88),IF(ABS(C88-D88)&lt;0.000000001,"OK","ERR"),"ERR")</f>
        <v>OK</v>
      </c>
      <c r="F88" s="2" t="s">
        <v>6781</v>
      </c>
    </row>
    <row r="89" customFormat="false" ht="15" hidden="false" customHeight="false" outlineLevel="0" collapsed="false">
      <c r="A89" s="9" t="s">
        <v>4520</v>
      </c>
      <c r="B89" s="11" t="s">
        <v>6782</v>
      </c>
      <c r="C89" s="9" t="n">
        <f aca="false">COUNTIF(Funding!$E$41:$I$41,"&lt;0")</f>
        <v>0</v>
      </c>
      <c r="D89" s="9" t="n">
        <v>0</v>
      </c>
      <c r="E89" s="9" t="str">
        <f aca="false">IF(C89=D89,"OK","ERR")</f>
        <v>OK</v>
      </c>
      <c r="F89" s="2"/>
    </row>
    <row r="90" customFormat="false" ht="15" hidden="false" customHeight="false" outlineLevel="0" collapsed="false">
      <c r="A90" s="9" t="s">
        <v>4522</v>
      </c>
      <c r="B90" s="11" t="s">
        <v>6783</v>
      </c>
      <c r="C90" s="9" t="n">
        <f aca="false">COUNTIF(Funding!$D$38:$I$38,"&lt;=0")</f>
        <v>0</v>
      </c>
      <c r="D90" s="9" t="n">
        <v>0</v>
      </c>
      <c r="E90" s="9" t="str">
        <f aca="false">IF(C90=D90,"OK","ERR")</f>
        <v>OK</v>
      </c>
      <c r="F90" s="12" t="s">
        <v>6784</v>
      </c>
    </row>
    <row r="91" customFormat="false" ht="15" hidden="false" customHeight="false" outlineLevel="0" collapsed="false">
      <c r="A91" s="9" t="s">
        <v>4524</v>
      </c>
      <c r="B91" s="11" t="s">
        <v>6785</v>
      </c>
      <c r="C91" s="9" t="n">
        <f aca="false">Funding!$I$43-SUM(Funding!$E$41:$I$41)</f>
        <v>-0</v>
      </c>
      <c r="D91" s="9" t="n">
        <v>0</v>
      </c>
      <c r="E91" s="9" t="str">
        <f aca="false">IF(ISNUMBER(C91),IF(ABS(C91-D91)&lt;0.000000001,"OK","ERR"),"ERR")</f>
        <v>OK</v>
      </c>
      <c r="F91" s="2"/>
    </row>
    <row r="92" customFormat="false" ht="15" hidden="false" customHeight="false" outlineLevel="0" collapsed="false">
      <c r="A92" s="9" t="s">
        <v>4526</v>
      </c>
      <c r="B92" s="9" t="s">
        <v>6786</v>
      </c>
      <c r="C92" s="9" t="n">
        <v>0</v>
      </c>
      <c r="D92" s="9" t="n">
        <v>0</v>
      </c>
      <c r="E92" s="9" t="str">
        <f aca="false">IF(C92=D92,"OK","ERR")</f>
        <v>OK</v>
      </c>
      <c r="F92" s="12" t="s">
        <v>6787</v>
      </c>
    </row>
    <row r="93" customFormat="false" ht="15" hidden="false" customHeight="false" outlineLevel="0" collapsed="false">
      <c r="A93" s="9" t="s">
        <v>4528</v>
      </c>
      <c r="B93" s="11" t="s">
        <v>6788</v>
      </c>
      <c r="C93" s="16" t="n">
        <f aca="false">COST_PartnerGapMax</f>
        <v>2.888</v>
      </c>
      <c r="D93" s="9" t="n">
        <f aca="false">INP_179</f>
        <v>0.25</v>
      </c>
      <c r="E93" s="9" t="str">
        <f aca="false">IF(ISNUMBER(C93),IF(ABS(C93)&gt;D93,"WARN","OK"),"ERR")</f>
        <v>WARN</v>
      </c>
      <c r="F93" s="12" t="s">
        <v>6789</v>
      </c>
    </row>
    <row r="94" customFormat="false" ht="15" hidden="false" customHeight="false" outlineLevel="0" collapsed="false">
      <c r="A94" s="9" t="s">
        <v>4530</v>
      </c>
      <c r="B94" s="11" t="s">
        <v>6790</v>
      </c>
      <c r="C94" s="17" t="n">
        <f aca="false">Funding!$E$26</f>
        <v>100</v>
      </c>
      <c r="E94" s="9" t="s">
        <v>6659</v>
      </c>
      <c r="F94" s="12" t="s">
        <v>6791</v>
      </c>
    </row>
    <row r="95" customFormat="false" ht="15" hidden="false" customHeight="false" outlineLevel="0" collapsed="false">
      <c r="A95" s="9" t="s">
        <v>4532</v>
      </c>
      <c r="B95" s="11" t="s">
        <v>6792</v>
      </c>
      <c r="C95" s="9" t="str">
        <f aca="false">FND_FirstGapYear</f>
        <v>無</v>
      </c>
      <c r="E95" s="9" t="s">
        <v>6659</v>
      </c>
      <c r="F95" s="2" t="s">
        <v>6793</v>
      </c>
    </row>
    <row r="96" customFormat="false" ht="15" hidden="false" customHeight="false" outlineLevel="0" collapsed="false">
      <c r="A96" s="9" t="s">
        <v>4534</v>
      </c>
      <c r="B96" s="11" t="s">
        <v>6794</v>
      </c>
      <c r="C96" s="17" t="n">
        <f aca="false">FND_ExtNeedPeak</f>
        <v>-0</v>
      </c>
      <c r="E96" s="9" t="s">
        <v>6659</v>
      </c>
      <c r="F96" s="2"/>
    </row>
    <row r="97" customFormat="false" ht="15" hidden="false" customHeight="false" outlineLevel="0" collapsed="false">
      <c r="A97" s="9" t="s">
        <v>4536</v>
      </c>
      <c r="B97" s="11" t="s">
        <v>6795</v>
      </c>
      <c r="C97" s="9" t="str">
        <f aca="false">FND_PeakYear</f>
        <v>無</v>
      </c>
      <c r="E97" s="9" t="s">
        <v>6659</v>
      </c>
      <c r="F97" s="2"/>
    </row>
    <row r="98" customFormat="false" ht="15" hidden="false" customHeight="false" outlineLevel="0" collapsed="false">
      <c r="A98" s="9" t="s">
        <v>4538</v>
      </c>
      <c r="B98" s="11" t="s">
        <v>6796</v>
      </c>
      <c r="C98" s="17" t="n">
        <f aca="false">Funding!$I$43</f>
        <v>-0</v>
      </c>
      <c r="E98" s="9" t="s">
        <v>6659</v>
      </c>
      <c r="F98" s="2"/>
    </row>
    <row r="99" customFormat="false" ht="15" hidden="false" customHeight="false" outlineLevel="0" collapsed="false">
      <c r="A99" s="9" t="s">
        <v>4540</v>
      </c>
      <c r="B99" s="11" t="s">
        <v>6797</v>
      </c>
      <c r="C99" s="17" t="n">
        <f aca="false">Funding!$I$42</f>
        <v>227.958201246033</v>
      </c>
      <c r="E99" s="9" t="s">
        <v>6659</v>
      </c>
      <c r="F99" s="2"/>
    </row>
    <row r="100" customFormat="false" ht="15" hidden="false" customHeight="false" outlineLevel="0" collapsed="false">
      <c r="A100" s="9" t="s">
        <v>4542</v>
      </c>
      <c r="B100" s="11" t="s">
        <v>6798</v>
      </c>
      <c r="C100" s="17" t="n">
        <f aca="false">FND_CashNoExtTrough</f>
        <v>84.2280680683723</v>
      </c>
      <c r="E100" s="9" t="s">
        <v>6659</v>
      </c>
      <c r="F100" s="2"/>
    </row>
    <row r="101" customFormat="false" ht="15" hidden="false" customHeight="false" outlineLevel="0" collapsed="false">
      <c r="A101" s="9" t="s">
        <v>4544</v>
      </c>
      <c r="B101" s="11" t="s">
        <v>6799</v>
      </c>
      <c r="C101" s="9" t="n">
        <f aca="false">INDEX(FND_ExtNeedCumAnchor,1,6)-Funding!$I$43</f>
        <v>0</v>
      </c>
      <c r="E101" s="9" t="s">
        <v>6659</v>
      </c>
      <c r="F101" s="2"/>
    </row>
    <row r="102" customFormat="false" ht="15" hidden="false" customHeight="false" outlineLevel="0" collapsed="false">
      <c r="A102" s="9" t="s">
        <v>4546</v>
      </c>
      <c r="B102" s="9" t="s">
        <v>6800</v>
      </c>
      <c r="C102" s="17" t="n">
        <f aca="false">COST_D22Under</f>
        <v>6.87974919744806</v>
      </c>
      <c r="E102" s="9" t="s">
        <v>6659</v>
      </c>
      <c r="F102" s="2" t="s">
        <v>6764</v>
      </c>
    </row>
    <row r="103" customFormat="false" ht="15" hidden="false" customHeight="false" outlineLevel="0" collapsed="false">
      <c r="A103" s="9" t="s">
        <v>4548</v>
      </c>
      <c r="B103" s="11" t="s">
        <v>6801</v>
      </c>
      <c r="C103" s="17" t="n">
        <f aca="false">INDEX(COST_LeaseRent,1,6)</f>
        <v>1.87166666666667</v>
      </c>
      <c r="E103" s="9" t="s">
        <v>6659</v>
      </c>
      <c r="F103" s="12" t="s">
        <v>6802</v>
      </c>
    </row>
    <row r="104" customFormat="false" ht="15" hidden="false" customHeight="false" outlineLevel="0" collapsed="false">
      <c r="A104" s="9" t="s">
        <v>4551</v>
      </c>
      <c r="B104" s="9" t="s">
        <v>6803</v>
      </c>
      <c r="C104" s="22" t="n">
        <f aca="false">Funding!$H$107</f>
        <v>0.122644738430686</v>
      </c>
      <c r="E104" s="9" t="s">
        <v>6659</v>
      </c>
      <c r="F104" s="2" t="s">
        <v>6804</v>
      </c>
    </row>
    <row r="105" customFormat="false" ht="15" hidden="false" customHeight="false" outlineLevel="0" collapsed="false">
      <c r="A105" s="9" t="s">
        <v>4553</v>
      </c>
      <c r="B105" s="11" t="s">
        <v>6805</v>
      </c>
      <c r="C105" s="9" t="n">
        <f aca="false">Funding!$E$28-Funding!$D$28</f>
        <v>7.5</v>
      </c>
      <c r="E105" s="9" t="s">
        <v>6659</v>
      </c>
      <c r="F105" s="2" t="s">
        <v>6806</v>
      </c>
    </row>
    <row r="106" customFormat="false" ht="15" hidden="false" customHeight="false" outlineLevel="0" collapsed="false">
      <c r="A106" s="9" t="s">
        <v>4555</v>
      </c>
      <c r="B106" s="9" t="s">
        <v>6807</v>
      </c>
      <c r="C106" s="17" t="n">
        <f aca="false">INDEX(RVS_ExtNeedCum,1,6)</f>
        <v>26.7463819614183</v>
      </c>
      <c r="E106" s="9" t="s">
        <v>6659</v>
      </c>
      <c r="F106" s="2" t="s">
        <v>6808</v>
      </c>
    </row>
    <row r="107" customFormat="false" ht="15" hidden="false" customHeight="false" outlineLevel="0" collapsed="false">
      <c r="A107" s="9" t="s">
        <v>4557</v>
      </c>
      <c r="B107" s="9" t="s">
        <v>6809</v>
      </c>
      <c r="C107" s="21" t="n">
        <f aca="false">INDEX(RVS_MultProp,1,5)</f>
        <v>0.866451412451413</v>
      </c>
      <c r="E107" s="9" t="s">
        <v>6659</v>
      </c>
      <c r="F107" s="12" t="s">
        <v>6810</v>
      </c>
    </row>
    <row r="108" customFormat="false" ht="15" hidden="false" customHeight="false" outlineLevel="0" collapsed="false">
      <c r="A108" s="9" t="s">
        <v>4559</v>
      </c>
      <c r="B108" s="9" t="s">
        <v>6811</v>
      </c>
      <c r="C108" s="9" t="n">
        <f aca="false">Funding!$I$43-INDEX(OAI_FND_ExtNeedCum,1,6)</f>
        <v>-442.844811653528</v>
      </c>
      <c r="E108" s="9" t="s">
        <v>6659</v>
      </c>
      <c r="F108" s="12" t="s">
        <v>6715</v>
      </c>
    </row>
    <row r="109" customFormat="false" ht="15" hidden="false" customHeight="false" outlineLevel="0" collapsed="false">
      <c r="A109" s="9" t="s">
        <v>4561</v>
      </c>
      <c r="B109" s="9" t="s">
        <v>6812</v>
      </c>
      <c r="C109" s="9" t="n">
        <f aca="false">Funding!$I$42-INDEX(OAI_FND_CashEnd,1,6)</f>
        <v>217.958201246033</v>
      </c>
      <c r="E109" s="9" t="s">
        <v>6659</v>
      </c>
      <c r="F109" s="2"/>
    </row>
    <row r="110" customFormat="false" ht="15" hidden="false" customHeight="false" outlineLevel="0" collapsed="false">
      <c r="A110" s="9" t="s">
        <v>4564</v>
      </c>
      <c r="B110" s="9" t="s">
        <v>6813</v>
      </c>
      <c r="C110" s="17" t="n">
        <f aca="false">INDEX(REV_Target,1,2)</f>
        <v>49.9</v>
      </c>
      <c r="E110" s="9" t="s">
        <v>6659</v>
      </c>
      <c r="F110" s="12" t="s">
        <v>6814</v>
      </c>
    </row>
    <row r="111" customFormat="false" ht="15" hidden="false" customHeight="false" outlineLevel="0" collapsed="false">
      <c r="A111" s="9" t="s">
        <v>4566</v>
      </c>
      <c r="B111" s="9" t="s">
        <v>6815</v>
      </c>
      <c r="C111" s="9" t="n">
        <f aca="false">SRC_ANT_004+SRC_ANT_382-SRC_ANT_380</f>
        <v>0.0299999999999976</v>
      </c>
      <c r="E111" s="9" t="s">
        <v>6659</v>
      </c>
      <c r="F111" s="2" t="s">
        <v>6816</v>
      </c>
    </row>
    <row r="112" customFormat="false" ht="15" hidden="false" customHeight="false" outlineLevel="0" collapsed="false">
      <c r="A112" s="9" t="s">
        <v>4568</v>
      </c>
      <c r="B112" s="9" t="s">
        <v>6817</v>
      </c>
      <c r="C112" s="9" t="n">
        <f aca="false">SRC_ANT_382-SRC_ANT_383</f>
        <v>0.0999999999999996</v>
      </c>
      <c r="E112" s="9" t="s">
        <v>6659</v>
      </c>
      <c r="F112" s="2" t="s">
        <v>6818</v>
      </c>
    </row>
    <row r="113" customFormat="false" ht="15" hidden="false" customHeight="false" outlineLevel="0" collapsed="false">
      <c r="A113" s="9" t="s">
        <v>4570</v>
      </c>
      <c r="B113" s="9" t="s">
        <v>6819</v>
      </c>
      <c r="C113" s="9" t="n">
        <f aca="false">INP_182*(Cost!$D$144+Cost!$D$145-SRC_ANT_400)</f>
        <v>0</v>
      </c>
      <c r="D113" s="9" t="n">
        <v>0</v>
      </c>
      <c r="E113" s="9" t="str">
        <f aca="false">IF(ISNUMBER(C113),IF(ABS(C113-D113)&lt;0.000000001,"OK","ERR"),"ERR")</f>
        <v>OK</v>
      </c>
      <c r="F113" s="2" t="s">
        <v>6820</v>
      </c>
    </row>
    <row r="114" customFormat="false" ht="15" hidden="false" customHeight="false" outlineLevel="0" collapsed="false">
      <c r="A114" s="9" t="s">
        <v>4572</v>
      </c>
      <c r="B114" s="9" t="s">
        <v>6821</v>
      </c>
      <c r="C114" s="21" t="n">
        <f aca="false">CMP_U2GWRatio_Nscale</f>
        <v>1</v>
      </c>
      <c r="E114" s="9" t="s">
        <v>6659</v>
      </c>
      <c r="F114" s="12" t="s">
        <v>6822</v>
      </c>
    </row>
    <row r="115" customFormat="false" ht="15" hidden="false" customHeight="false" outlineLevel="0" collapsed="false">
      <c r="A115" s="9" t="s">
        <v>4575</v>
      </c>
      <c r="B115" s="9" t="s">
        <v>6823</v>
      </c>
      <c r="C115" s="21" t="n">
        <f aca="false">CMP_U2GWRatio_Lambda</f>
        <v>1</v>
      </c>
      <c r="E115" s="9" t="s">
        <v>6659</v>
      </c>
      <c r="F115" s="2"/>
    </row>
    <row r="116" customFormat="false" ht="15" hidden="false" customHeight="false" outlineLevel="0" collapsed="false">
      <c r="A116" s="9" t="s">
        <v>4577</v>
      </c>
      <c r="B116" s="9" t="s">
        <v>6824</v>
      </c>
      <c r="C116" s="16" t="n">
        <f aca="false">COST_CommitGapCloud</f>
        <v>0.0512444444444445</v>
      </c>
      <c r="D116" s="9" t="n">
        <f aca="false">INP_155</f>
        <v>0.25</v>
      </c>
      <c r="E116" s="9" t="str">
        <f aca="false">IF(ISNUMBER(C116),IF(ABS(C116)&gt;D116,"WARN","OK"),"ERR")</f>
        <v>OK</v>
      </c>
      <c r="F116" s="2" t="s">
        <v>6825</v>
      </c>
    </row>
    <row r="117" customFormat="false" ht="15" hidden="false" customHeight="false" outlineLevel="0" collapsed="false">
      <c r="A117" s="9" t="s">
        <v>4579</v>
      </c>
      <c r="B117" s="9" t="s">
        <v>6826</v>
      </c>
      <c r="C117" s="16" t="n">
        <f aca="false">COST_CommitGapLocked</f>
        <v>-0.00290000000000002</v>
      </c>
      <c r="D117" s="9" t="n">
        <f aca="false">INP_155</f>
        <v>0.25</v>
      </c>
      <c r="E117" s="9" t="str">
        <f aca="false">IF(ISNUMBER(C117),IF(ABS(C117)&gt;D117,"WARN","OK"),"ERR")</f>
        <v>OK</v>
      </c>
      <c r="F117" s="2" t="s">
        <v>6827</v>
      </c>
    </row>
    <row r="118" customFormat="false" ht="15" hidden="false" customHeight="false" outlineLevel="0" collapsed="false">
      <c r="A118" s="9" t="s">
        <v>4581</v>
      </c>
      <c r="B118" s="9" t="s">
        <v>6828</v>
      </c>
      <c r="C118" s="16" t="n">
        <f aca="false">COST_CommitGapAll</f>
        <v>-0.00232000000000001</v>
      </c>
      <c r="D118" s="9" t="n">
        <f aca="false">INP_155</f>
        <v>0.25</v>
      </c>
      <c r="E118" s="9" t="str">
        <f aca="false">IF(ISNUMBER(C118),IF(ABS(C118)&gt;D118,"WARN","OK"),"ERR")</f>
        <v>OK</v>
      </c>
      <c r="F118" s="2" t="s">
        <v>6829</v>
      </c>
    </row>
    <row r="119" customFormat="false" ht="15" hidden="false" customHeight="false" outlineLevel="0" collapsed="false">
      <c r="A119" s="9" t="s">
        <v>4583</v>
      </c>
      <c r="B119" s="9" t="s">
        <v>6830</v>
      </c>
      <c r="C119" s="16" t="n">
        <f aca="false">COST_SpendGap2026Pay</f>
        <v>-0.104683983397222</v>
      </c>
      <c r="D119" s="9" t="n">
        <f aca="false">INP_183</f>
        <v>0.25</v>
      </c>
      <c r="E119" s="9" t="str">
        <f aca="false">IF(ISNUMBER(C119),IF(ABS(C119)&gt;D119,"WARN","OK"),"ERR")</f>
        <v>OK</v>
      </c>
      <c r="F119" s="2" t="s">
        <v>6831</v>
      </c>
    </row>
    <row r="120" customFormat="false" ht="15" hidden="false" customHeight="false" outlineLevel="0" collapsed="false">
      <c r="A120" s="9" t="s">
        <v>4586</v>
      </c>
      <c r="B120" s="9" t="s">
        <v>6832</v>
      </c>
      <c r="C120" s="16" t="n">
        <f aca="false">COST_SpendGap2026Cc</f>
        <v>0.474729786200597</v>
      </c>
      <c r="D120" s="9" t="n">
        <f aca="false">INP_183</f>
        <v>0.25</v>
      </c>
      <c r="E120" s="9" t="str">
        <f aca="false">IF(ISNUMBER(C120),IF(ABS(C120)&gt;D120,"WARN","OK"),"ERR")</f>
        <v>WARN</v>
      </c>
      <c r="F120" s="2" t="s">
        <v>6833</v>
      </c>
    </row>
    <row r="121" customFormat="false" ht="15" hidden="false" customHeight="false" outlineLevel="0" collapsed="false">
      <c r="A121" s="9" t="s">
        <v>4588</v>
      </c>
      <c r="B121" s="9" t="s">
        <v>6834</v>
      </c>
      <c r="C121" s="16" t="n">
        <f aca="false">COST_AdjOIMGapQ3</f>
        <v>0.197576074057281</v>
      </c>
      <c r="E121" s="9" t="s">
        <v>6659</v>
      </c>
      <c r="F121" s="12" t="s">
        <v>6835</v>
      </c>
    </row>
    <row r="122" customFormat="false" ht="15" hidden="false" customHeight="false" outlineLevel="0" collapsed="false">
      <c r="A122" s="9" t="s">
        <v>4590</v>
      </c>
      <c r="B122" s="9" t="s">
        <v>6836</v>
      </c>
      <c r="C122" s="17" t="n">
        <f aca="false">COST_D22UnderQ3</f>
        <v>10.2103374327422</v>
      </c>
      <c r="E122" s="9" t="s">
        <v>6659</v>
      </c>
      <c r="F122" s="2" t="s">
        <v>6837</v>
      </c>
    </row>
    <row r="123" customFormat="false" ht="15" hidden="false" customHeight="false" outlineLevel="0" collapsed="false">
      <c r="A123" s="9" t="s">
        <v>4592</v>
      </c>
      <c r="B123" s="9" t="s">
        <v>6838</v>
      </c>
      <c r="C123" s="17" t="n">
        <f aca="false">COST_D22UnderQ3Ratio</f>
        <v>4.98980802097747</v>
      </c>
      <c r="E123" s="9" t="s">
        <v>6659</v>
      </c>
      <c r="F123" s="2" t="s">
        <v>6839</v>
      </c>
    </row>
    <row r="124" customFormat="false" ht="15" hidden="false" customHeight="false" outlineLevel="0" collapsed="false">
      <c r="A124" s="9" t="s">
        <v>4594</v>
      </c>
      <c r="B124" s="9" t="s">
        <v>6840</v>
      </c>
      <c r="C124" s="9" t="n">
        <f aca="false">IF(INP_186&lt;INP_122,1,0)</f>
        <v>0</v>
      </c>
      <c r="D124" s="9" t="n">
        <v>0</v>
      </c>
      <c r="E124" s="9" t="str">
        <f aca="false">IF(C124=D124,"OK","ERR")</f>
        <v>OK</v>
      </c>
      <c r="F124" s="2"/>
    </row>
    <row r="125" customFormat="false" ht="15" hidden="false" customHeight="false" outlineLevel="0" collapsed="false">
      <c r="A125" s="9" t="s">
        <v>4596</v>
      </c>
      <c r="B125" s="9" t="s">
        <v>6841</v>
      </c>
      <c r="C125" s="18" t="n">
        <f aca="false">INDEX(COST_PropGap_VR_Neg,1,6)</f>
        <v>6.9074451048106</v>
      </c>
      <c r="E125" s="9" t="s">
        <v>6659</v>
      </c>
      <c r="F125" s="2" t="s">
        <v>6842</v>
      </c>
    </row>
    <row r="126" customFormat="false" ht="15" hidden="false" customHeight="false" outlineLevel="0" collapsed="false">
      <c r="A126" s="9" t="s">
        <v>4598</v>
      </c>
      <c r="B126" s="9" t="s">
        <v>6843</v>
      </c>
      <c r="C126" s="17" t="n">
        <f aca="false">Funding!$I$118</f>
        <v>-0</v>
      </c>
      <c r="E126" s="9" t="s">
        <v>6659</v>
      </c>
      <c r="F126" s="2" t="s">
        <v>6844</v>
      </c>
    </row>
    <row r="127" customFormat="false" ht="15" hidden="false" customHeight="false" outlineLevel="0" collapsed="false">
      <c r="A127" s="9" t="s">
        <v>4600</v>
      </c>
      <c r="B127" s="9" t="s">
        <v>6845</v>
      </c>
      <c r="C127" s="17" t="n">
        <f aca="false">Funding!$E$109</f>
        <v>72</v>
      </c>
      <c r="E127" s="9" t="s">
        <v>6659</v>
      </c>
      <c r="F127" s="12" t="s">
        <v>6846</v>
      </c>
    </row>
    <row r="128" customFormat="false" ht="15" hidden="false" customHeight="false" outlineLevel="0" collapsed="false">
      <c r="A128" s="9" t="s">
        <v>4602</v>
      </c>
      <c r="B128" s="9" t="s">
        <v>6847</v>
      </c>
      <c r="C128" s="18" t="n">
        <f aca="false">COST_TKPQ</f>
        <v>49.5137840363362</v>
      </c>
      <c r="E128" s="9" t="s">
        <v>6659</v>
      </c>
      <c r="F128" s="2" t="s">
        <v>6848</v>
      </c>
    </row>
    <row r="129" customFormat="false" ht="15" hidden="false" customHeight="false" outlineLevel="0" collapsed="false">
      <c r="A129" s="9" t="s">
        <v>4604</v>
      </c>
      <c r="B129" s="9" t="s">
        <v>6849</v>
      </c>
      <c r="C129" s="21" t="n">
        <f aca="false">COST_TKPQRatio</f>
        <v>0.371086463104669</v>
      </c>
      <c r="E129" s="9" t="s">
        <v>6659</v>
      </c>
      <c r="F129" s="12" t="s">
        <v>6850</v>
      </c>
    </row>
    <row r="130" customFormat="false" ht="15" hidden="false" customHeight="false" outlineLevel="0" collapsed="false">
      <c r="A130" s="9" t="s">
        <v>4607</v>
      </c>
      <c r="B130" s="9" t="s">
        <v>6851</v>
      </c>
      <c r="C130" s="21" t="n">
        <f aca="false">COST_TKTokLedger</f>
        <v>3.01947256066794</v>
      </c>
      <c r="E130" s="9" t="s">
        <v>6659</v>
      </c>
      <c r="F130" s="2" t="s">
        <v>6852</v>
      </c>
    </row>
    <row r="131" customFormat="false" ht="15" hidden="false" customHeight="false" outlineLevel="0" collapsed="false">
      <c r="A131" s="9" t="s">
        <v>4610</v>
      </c>
      <c r="B131" s="9" t="s">
        <v>6853</v>
      </c>
      <c r="C131" s="9" t="n">
        <f aca="false">MAX(MAX(Cost!$D$289:$I$289),-MIN(Cost!$D$289:$I$289))</f>
        <v>-0</v>
      </c>
      <c r="D131" s="9" t="n">
        <v>0</v>
      </c>
      <c r="E131" s="9" t="str">
        <f aca="false">IF(ISNUMBER(C131),IF(ABS(C131-D131)&lt;0.000000001,"OK","ERR"),"ERR")</f>
        <v>OK</v>
      </c>
      <c r="F131" s="12" t="s">
        <v>6854</v>
      </c>
    </row>
    <row r="132" customFormat="false" ht="15" hidden="false" customHeight="false" outlineLevel="0" collapsed="false">
      <c r="A132" s="9" t="s">
        <v>4614</v>
      </c>
      <c r="B132" s="9" t="s">
        <v>6855</v>
      </c>
      <c r="C132" s="9" t="n">
        <f aca="false">FND_L2_ExtTotal-INDEX(FND_ExtNeedCum,1,6)</f>
        <v>0</v>
      </c>
      <c r="D132" s="9" t="n">
        <v>0</v>
      </c>
      <c r="E132" s="9" t="str">
        <f aca="false">IF(ISNUMBER(C132),IF(ABS(C132-D132)&lt;0.000000001,"OK","ERR"),"ERR")</f>
        <v>OK</v>
      </c>
      <c r="F132" s="2" t="s">
        <v>6856</v>
      </c>
    </row>
    <row r="133" customFormat="false" ht="15" hidden="false" customHeight="false" outlineLevel="0" collapsed="false">
      <c r="A133" s="9" t="s">
        <v>4616</v>
      </c>
      <c r="B133" s="9" t="s">
        <v>6857</v>
      </c>
      <c r="C133" s="9" t="n">
        <f aca="false">(FND_L1_ExtTotal&lt;FND_L2_ExtTotal)+(FND_L2_ExtTotal&lt;FND_L3_ExtTotal)</f>
        <v>0</v>
      </c>
      <c r="D133" s="9" t="n">
        <v>0</v>
      </c>
      <c r="E133" s="9" t="str">
        <f aca="false">IF(C133=D133,"OK","ERR")</f>
        <v>OK</v>
      </c>
      <c r="F133" s="2" t="s">
        <v>6858</v>
      </c>
    </row>
    <row r="134" customFormat="false" ht="15" hidden="false" customHeight="false" outlineLevel="0" collapsed="false">
      <c r="A134" s="9" t="s">
        <v>4619</v>
      </c>
      <c r="B134" s="9" t="s">
        <v>6859</v>
      </c>
      <c r="C134" s="23" t="n">
        <f aca="false">FND_FCFFirstPos</f>
        <v>2029</v>
      </c>
      <c r="E134" s="9" t="s">
        <v>6659</v>
      </c>
      <c r="F134" s="2" t="s">
        <v>6860</v>
      </c>
    </row>
    <row r="135" customFormat="false" ht="15" hidden="false" customHeight="false" outlineLevel="0" collapsed="false">
      <c r="A135" s="9" t="s">
        <v>4622</v>
      </c>
      <c r="B135" s="9" t="s">
        <v>6861</v>
      </c>
      <c r="C135" s="17" t="n">
        <f aca="false">FND_L1_ExtTotal</f>
        <v>41.8740263472245</v>
      </c>
      <c r="E135" s="9" t="s">
        <v>6659</v>
      </c>
      <c r="F135" s="2" t="s">
        <v>6862</v>
      </c>
    </row>
    <row r="136" customFormat="false" ht="15" hidden="false" customHeight="false" outlineLevel="0" collapsed="false">
      <c r="A136" s="9" t="s">
        <v>4624</v>
      </c>
      <c r="B136" s="9" t="s">
        <v>6863</v>
      </c>
      <c r="C136" s="17" t="n">
        <f aca="false">FND_L1_Trough</f>
        <v>-36.0519319316277</v>
      </c>
      <c r="E136" s="9" t="s">
        <v>6659</v>
      </c>
      <c r="F136" s="2"/>
    </row>
    <row r="137" customFormat="false" ht="15" hidden="false" customHeight="false" outlineLevel="0" collapsed="false">
      <c r="A137" s="9" t="s">
        <v>4627</v>
      </c>
      <c r="B137" s="9" t="s">
        <v>6864</v>
      </c>
      <c r="C137" s="17" t="n">
        <f aca="false">FND_L2_Trough</f>
        <v>84.2280680683723</v>
      </c>
      <c r="E137" s="9" t="s">
        <v>6659</v>
      </c>
      <c r="F137" s="2" t="s">
        <v>6865</v>
      </c>
    </row>
    <row r="138" customFormat="false" ht="15" hidden="false" customHeight="false" outlineLevel="0" collapsed="false">
      <c r="A138" s="9" t="s">
        <v>4630</v>
      </c>
      <c r="B138" s="9" t="s">
        <v>6866</v>
      </c>
      <c r="C138" s="17" t="n">
        <f aca="false">FND_L3_Trough</f>
        <v>227.691580641443</v>
      </c>
      <c r="E138" s="9" t="s">
        <v>6659</v>
      </c>
      <c r="F138" s="2" t="s">
        <v>6867</v>
      </c>
    </row>
    <row r="139" customFormat="false" ht="15" hidden="false" customHeight="false" outlineLevel="0" collapsed="false">
      <c r="A139" s="9" t="s">
        <v>4632</v>
      </c>
      <c r="B139" s="9" t="s">
        <v>6868</v>
      </c>
      <c r="C139" s="18" t="n">
        <f aca="false">INDEX(COST_PropGap_VR_ExpNone,1,6)</f>
        <v>4.13475145036218</v>
      </c>
      <c r="E139" s="9" t="s">
        <v>6659</v>
      </c>
      <c r="F139" s="2" t="s">
        <v>6842</v>
      </c>
    </row>
    <row r="140" customFormat="false" ht="15" hidden="false" customHeight="false" outlineLevel="0" collapsed="false">
      <c r="A140" s="9" t="s">
        <v>4634</v>
      </c>
      <c r="B140" s="9" t="s">
        <v>6869</v>
      </c>
      <c r="C140" s="18" t="n">
        <f aca="false">INDEX(COST_PropGap_VR_ExpHalf,1,6)</f>
        <v>8.25176058727734</v>
      </c>
      <c r="E140" s="9" t="s">
        <v>6659</v>
      </c>
      <c r="F140" s="2"/>
    </row>
    <row r="141" customFormat="false" ht="15" hidden="false" customHeight="false" outlineLevel="0" collapsed="false">
      <c r="A141" s="9" t="s">
        <v>4638</v>
      </c>
      <c r="B141" s="9" t="s">
        <v>6870</v>
      </c>
      <c r="C141" s="18" t="n">
        <f aca="false">INDEX(COST_PropGap_VR_ExpFull,1,6)</f>
        <v>12.3687697241925</v>
      </c>
      <c r="E141" s="9" t="s">
        <v>6659</v>
      </c>
      <c r="F141" s="2"/>
    </row>
    <row r="142" customFormat="false" ht="15" hidden="false" customHeight="false" outlineLevel="0" collapsed="false">
      <c r="A142" s="9" t="s">
        <v>4641</v>
      </c>
      <c r="B142" s="9" t="s">
        <v>6871</v>
      </c>
      <c r="C142" s="17" t="n">
        <f aca="false">FND_L2_ExtTotal_ExpNone</f>
        <v>-0</v>
      </c>
      <c r="E142" s="9" t="s">
        <v>6659</v>
      </c>
      <c r="F142" s="2" t="s">
        <v>6872</v>
      </c>
    </row>
    <row r="143" customFormat="false" ht="15" hidden="false" customHeight="false" outlineLevel="0" collapsed="false">
      <c r="A143" s="9" t="s">
        <v>4644</v>
      </c>
      <c r="B143" s="9" t="s">
        <v>6873</v>
      </c>
      <c r="C143" s="18" t="n">
        <f aca="false">COST_U2PayPerGW_Nscale</f>
        <v>19.304152637486</v>
      </c>
      <c r="E143" s="9" t="s">
        <v>6659</v>
      </c>
      <c r="F143" s="12" t="s">
        <v>6874</v>
      </c>
    </row>
    <row r="144" customFormat="false" ht="15" hidden="false" customHeight="false" outlineLevel="0" collapsed="false">
      <c r="A144" s="9" t="s">
        <v>4646</v>
      </c>
      <c r="B144" s="9" t="s">
        <v>6875</v>
      </c>
      <c r="C144" s="18" t="n">
        <f aca="false">COST_U2PayPerGW_Lambda</f>
        <v>14.156378600823</v>
      </c>
      <c r="E144" s="9" t="s">
        <v>6659</v>
      </c>
      <c r="F144" s="2"/>
    </row>
    <row r="145" customFormat="false" ht="15" hidden="false" customHeight="false" outlineLevel="0" collapsed="false">
      <c r="A145" s="9" t="s">
        <v>4649</v>
      </c>
      <c r="B145" s="9" t="s">
        <v>6876</v>
      </c>
      <c r="C145" s="18" t="n">
        <f aca="false">COST_U2PayPerGW_Both</f>
        <v>17.0798058315205</v>
      </c>
      <c r="E145" s="9" t="s">
        <v>6659</v>
      </c>
      <c r="F145" s="2"/>
    </row>
    <row r="146" customFormat="false" ht="15" hidden="false" customHeight="false" outlineLevel="0" collapsed="false">
      <c r="A146" s="9" t="s">
        <v>4652</v>
      </c>
      <c r="B146" s="9" t="s">
        <v>6877</v>
      </c>
      <c r="C146" s="9" t="n">
        <v>0</v>
      </c>
      <c r="D146" s="9" t="n">
        <v>0</v>
      </c>
      <c r="E146" s="9" t="str">
        <f aca="false">IF(C146=D146,"OK","ERR")</f>
        <v>OK</v>
      </c>
      <c r="F146" s="12" t="s">
        <v>6878</v>
      </c>
    </row>
    <row r="147" customFormat="false" ht="15" hidden="false" customHeight="false" outlineLevel="0" collapsed="false">
      <c r="A147" s="9" t="s">
        <v>4654</v>
      </c>
      <c r="B147" s="9" t="s">
        <v>6879</v>
      </c>
      <c r="C147" s="9" t="n">
        <f aca="false">MAX(MAX(Bridge!$D$54:$I$54),-MIN(Bridge!$D$54:$I$54))</f>
        <v>-0</v>
      </c>
      <c r="D147" s="9" t="n">
        <v>0</v>
      </c>
      <c r="E147" s="9" t="str">
        <f aca="false">IF(ISNUMBER(C147),IF(ABS(C147-D147)&lt;0.000000001,"OK","ERR"),"ERR")</f>
        <v>OK</v>
      </c>
      <c r="F147" s="12" t="s">
        <v>6880</v>
      </c>
    </row>
    <row r="148" customFormat="false" ht="15" hidden="false" customHeight="false" outlineLevel="0" collapsed="false">
      <c r="A148" s="9" t="s">
        <v>4657</v>
      </c>
      <c r="B148" s="9" t="s">
        <v>6881</v>
      </c>
      <c r="C148" s="9" t="n">
        <f aca="false">MAX(MAX(Bridge!$D$83:$I$83),-MIN(Bridge!$D$83:$I$83))</f>
        <v>-0</v>
      </c>
      <c r="D148" s="9" t="n">
        <v>0</v>
      </c>
      <c r="E148" s="9" t="str">
        <f aca="false">IF(ISNUMBER(C148),IF(ABS(C148-D148)&lt;0.000000001,"OK","ERR"),"ERR")</f>
        <v>OK</v>
      </c>
      <c r="F148" s="12" t="s">
        <v>6882</v>
      </c>
    </row>
    <row r="149" customFormat="false" ht="15" hidden="false" customHeight="false" outlineLevel="0" collapsed="false">
      <c r="A149" s="9" t="s">
        <v>4661</v>
      </c>
      <c r="B149" s="9" t="s">
        <v>6883</v>
      </c>
      <c r="C149" s="9" t="n">
        <f aca="false">EtaDiag!$D$7-INDEX(CMP_Eta,1,1)</f>
        <v>0</v>
      </c>
      <c r="D149" s="9" t="n">
        <v>0</v>
      </c>
      <c r="E149" s="9" t="str">
        <f aca="false">IF(ISNUMBER(C149),IF(ABS(C149-D149)&lt;0.000000001,"OK","ERR"),"ERR")</f>
        <v>OK</v>
      </c>
      <c r="F149" s="2" t="s">
        <v>6884</v>
      </c>
    </row>
    <row r="150" customFormat="false" ht="15" hidden="false" customHeight="false" outlineLevel="0" collapsed="false">
      <c r="A150" s="9" t="s">
        <v>4664</v>
      </c>
      <c r="B150" s="9" t="s">
        <v>6885</v>
      </c>
      <c r="C150" s="9" t="n">
        <f aca="false">EtaDiag!$D$33*EtaDiag!$D$34-EtaDiag!$D$7</f>
        <v>0</v>
      </c>
      <c r="D150" s="9" t="n">
        <v>0</v>
      </c>
      <c r="E150" s="9" t="str">
        <f aca="false">IF(ISNUMBER(C150),IF(ABS(C150-D150)&lt;0.000000001,"OK","ERR"),"ERR")</f>
        <v>OK</v>
      </c>
      <c r="F150" s="2" t="s">
        <v>6886</v>
      </c>
    </row>
    <row r="151" customFormat="false" ht="15" hidden="false" customHeight="false" outlineLevel="0" collapsed="false">
      <c r="A151" s="9" t="s">
        <v>4666</v>
      </c>
      <c r="B151" s="11" t="s">
        <v>6887</v>
      </c>
      <c r="C151" s="21" t="n">
        <f aca="false">EtaDiag!$D$14</f>
        <v>1.2367197826997</v>
      </c>
      <c r="E151" s="9" t="s">
        <v>6659</v>
      </c>
      <c r="F151" s="2" t="s">
        <v>6888</v>
      </c>
    </row>
    <row r="152" customFormat="false" ht="15" hidden="false" customHeight="false" outlineLevel="0" collapsed="false">
      <c r="A152" s="9" t="s">
        <v>4670</v>
      </c>
      <c r="B152" s="11" t="s">
        <v>6889</v>
      </c>
      <c r="C152" s="21" t="n">
        <f aca="false">EtaDiag!$D$18</f>
        <v>0.683333333333333</v>
      </c>
      <c r="E152" s="9" t="s">
        <v>6659</v>
      </c>
      <c r="F152" s="12" t="s">
        <v>299</v>
      </c>
    </row>
    <row r="153" customFormat="false" ht="15" hidden="false" customHeight="false" outlineLevel="0" collapsed="false">
      <c r="A153" s="9" t="s">
        <v>4672</v>
      </c>
      <c r="B153" s="11" t="s">
        <v>6890</v>
      </c>
      <c r="C153" s="21" t="n">
        <f aca="false">EtaDiag!$D$29</f>
        <v>1.41404492798997</v>
      </c>
      <c r="E153" s="9" t="s">
        <v>6659</v>
      </c>
      <c r="F153" s="2"/>
    </row>
    <row r="154" customFormat="false" ht="15" hidden="false" customHeight="false" outlineLevel="0" collapsed="false">
      <c r="A154" s="9" t="s">
        <v>4673</v>
      </c>
      <c r="B154" s="11" t="s">
        <v>6891</v>
      </c>
      <c r="C154" s="21" t="n">
        <f aca="false">EtaDiag!$D$34</f>
        <v>0.439689271648864</v>
      </c>
      <c r="E154" s="9" t="s">
        <v>6659</v>
      </c>
      <c r="F154" s="2" t="s">
        <v>6892</v>
      </c>
    </row>
    <row r="155" customFormat="false" ht="15" hidden="false" customHeight="false" outlineLevel="0" collapsed="false">
      <c r="A155" s="9" t="s">
        <v>4675</v>
      </c>
      <c r="B155" s="11" t="s">
        <v>6893</v>
      </c>
      <c r="C155" s="21" t="n">
        <f aca="false">Bridge!$E$122</f>
        <v>2.46972542600243</v>
      </c>
      <c r="E155" s="9" t="s">
        <v>6659</v>
      </c>
      <c r="F155" s="2" t="s">
        <v>6894</v>
      </c>
    </row>
    <row r="156" customFormat="false" ht="15" hidden="false" customHeight="false" outlineLevel="0" collapsed="false">
      <c r="A156" s="9" t="s">
        <v>4677</v>
      </c>
      <c r="B156" s="11" t="s">
        <v>6895</v>
      </c>
      <c r="C156" s="21" t="n">
        <f aca="false">EtaDiag!$D$51</f>
        <v>0.580833333333333</v>
      </c>
      <c r="E156" s="9" t="s">
        <v>6659</v>
      </c>
      <c r="F156" s="12" t="s">
        <v>6896</v>
      </c>
    </row>
    <row r="157" customFormat="false" ht="15" hidden="false" customHeight="false" outlineLevel="0" collapsed="false">
      <c r="A157" s="9" t="s">
        <v>4681</v>
      </c>
      <c r="B157" s="11" t="s">
        <v>6897</v>
      </c>
      <c r="C157" s="21" t="n">
        <f aca="false">EtaDiag!$D$53</f>
        <v>0.517281496057487</v>
      </c>
      <c r="E157" s="9" t="s">
        <v>6659</v>
      </c>
      <c r="F157" s="12" t="s">
        <v>6898</v>
      </c>
    </row>
    <row r="158" customFormat="false" ht="15" hidden="false" customHeight="false" outlineLevel="0" collapsed="false">
      <c r="A158" s="9" t="s">
        <v>4684</v>
      </c>
      <c r="B158" s="9" t="s">
        <v>6899</v>
      </c>
      <c r="C158" s="9" t="n">
        <f aca="false">EtaDiag!$D$52*EtaDiag!$D$53-EtaDiag!$D$7</f>
        <v>0</v>
      </c>
      <c r="D158" s="9" t="n">
        <v>0</v>
      </c>
      <c r="E158" s="9" t="str">
        <f aca="false">IF(ISNUMBER(C158),IF(ABS(C158-D158)&lt;0.000000001,"OK","ERR"),"ERR")</f>
        <v>OK</v>
      </c>
      <c r="F158" s="12" t="s">
        <v>6900</v>
      </c>
    </row>
    <row r="159" customFormat="false" ht="15" hidden="false" customHeight="false" outlineLevel="0" collapsed="false">
      <c r="A159" s="9" t="s">
        <v>4687</v>
      </c>
      <c r="B159" s="11" t="s">
        <v>6901</v>
      </c>
      <c r="C159" s="21" t="n">
        <f aca="false">EtaDiag!$D$57</f>
        <v>0.728961770105741</v>
      </c>
      <c r="E159" s="9" t="s">
        <v>6659</v>
      </c>
      <c r="F159" s="12" t="s">
        <v>6902</v>
      </c>
    </row>
    <row r="161" customFormat="false" ht="15" hidden="false" customHeight="false" outlineLevel="0" collapsed="false">
      <c r="A161" s="5" t="s">
        <v>6903</v>
      </c>
      <c r="C161" s="9" t="n">
        <f aca="false">COUNTIF($E$5:$E$159,"ERR")</f>
        <v>0</v>
      </c>
    </row>
    <row r="162" customFormat="false" ht="15" hidden="false" customHeight="false" outlineLevel="0" collapsed="false">
      <c r="A162" s="5" t="s">
        <v>6904</v>
      </c>
      <c r="C162" s="9" t="n">
        <f aca="false">COUNTIF($E$5:$E$159,"WARN")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6905</v>
      </c>
      <c r="B1" s="0" t="s">
        <v>6906</v>
      </c>
      <c r="C1" s="0" t="s">
        <v>6907</v>
      </c>
      <c r="D1" s="0" t="s">
        <v>6908</v>
      </c>
    </row>
    <row r="2" customFormat="false" ht="15" hidden="false" customHeight="false" outlineLevel="0" collapsed="false">
      <c r="A2" s="0" t="s">
        <v>22</v>
      </c>
      <c r="B2" s="0" t="s">
        <v>72</v>
      </c>
      <c r="C2" s="0" t="s">
        <v>1746</v>
      </c>
      <c r="D2" s="0" t="n">
        <v>4.6</v>
      </c>
    </row>
    <row r="3" customFormat="false" ht="15" hidden="false" customHeight="false" outlineLevel="0" collapsed="false">
      <c r="A3" s="0" t="s">
        <v>22</v>
      </c>
      <c r="B3" s="0" t="s">
        <v>72</v>
      </c>
      <c r="C3" s="0" t="s">
        <v>1882</v>
      </c>
    </row>
    <row r="4" customFormat="false" ht="15" hidden="false" customHeight="false" outlineLevel="0" collapsed="false">
      <c r="A4" s="0" t="s">
        <v>22</v>
      </c>
      <c r="B4" s="0" t="s">
        <v>72</v>
      </c>
      <c r="C4" s="0" t="s">
        <v>2175</v>
      </c>
    </row>
    <row r="5" customFormat="false" ht="15" hidden="false" customHeight="false" outlineLevel="0" collapsed="false">
      <c r="A5" s="0" t="s">
        <v>22</v>
      </c>
      <c r="B5" s="0" t="s">
        <v>91</v>
      </c>
      <c r="C5" s="0" t="s">
        <v>1746</v>
      </c>
      <c r="D5" s="0" t="n">
        <v>4.59</v>
      </c>
    </row>
    <row r="6" customFormat="false" ht="15" hidden="false" customHeight="false" outlineLevel="0" collapsed="false">
      <c r="A6" s="0" t="s">
        <v>22</v>
      </c>
      <c r="B6" s="0" t="s">
        <v>91</v>
      </c>
      <c r="C6" s="0" t="s">
        <v>1882</v>
      </c>
    </row>
    <row r="7" customFormat="false" ht="15" hidden="false" customHeight="false" outlineLevel="0" collapsed="false">
      <c r="A7" s="0" t="s">
        <v>22</v>
      </c>
      <c r="B7" s="0" t="s">
        <v>91</v>
      </c>
      <c r="C7" s="0" t="s">
        <v>2175</v>
      </c>
    </row>
    <row r="8" customFormat="false" ht="15" hidden="false" customHeight="false" outlineLevel="0" collapsed="false">
      <c r="A8" s="0" t="s">
        <v>22</v>
      </c>
      <c r="B8" s="0" t="s">
        <v>97</v>
      </c>
      <c r="C8" s="0" t="s">
        <v>1746</v>
      </c>
      <c r="D8" s="0" t="n">
        <f aca="false">SRC_ANT_002/(1+SRC_ANT_377)</f>
        <v>0.386363636363636</v>
      </c>
    </row>
    <row r="9" customFormat="false" ht="15" hidden="false" customHeight="false" outlineLevel="0" collapsed="false">
      <c r="A9" s="0" t="s">
        <v>22</v>
      </c>
      <c r="B9" s="0" t="s">
        <v>97</v>
      </c>
      <c r="C9" s="0" t="s">
        <v>1882</v>
      </c>
    </row>
    <row r="10" customFormat="false" ht="15" hidden="false" customHeight="false" outlineLevel="0" collapsed="false">
      <c r="A10" s="0" t="s">
        <v>22</v>
      </c>
      <c r="B10" s="0" t="s">
        <v>97</v>
      </c>
      <c r="C10" s="0" t="s">
        <v>2175</v>
      </c>
    </row>
    <row r="11" customFormat="false" ht="15" hidden="false" customHeight="false" outlineLevel="0" collapsed="false">
      <c r="A11" s="0" t="s">
        <v>22</v>
      </c>
      <c r="B11" s="0" t="s">
        <v>108</v>
      </c>
      <c r="C11" s="0" t="s">
        <v>1746</v>
      </c>
      <c r="D11" s="0" t="n">
        <v>4.73</v>
      </c>
    </row>
    <row r="12" customFormat="false" ht="15" hidden="false" customHeight="false" outlineLevel="0" collapsed="false">
      <c r="A12" s="0" t="s">
        <v>22</v>
      </c>
      <c r="B12" s="0" t="s">
        <v>108</v>
      </c>
      <c r="C12" s="0" t="s">
        <v>1882</v>
      </c>
    </row>
    <row r="13" customFormat="false" ht="15" hidden="false" customHeight="false" outlineLevel="0" collapsed="false">
      <c r="A13" s="0" t="s">
        <v>22</v>
      </c>
      <c r="B13" s="0" t="s">
        <v>108</v>
      </c>
      <c r="C13" s="0" t="s">
        <v>2175</v>
      </c>
    </row>
    <row r="14" customFormat="false" ht="15" hidden="false" customHeight="false" outlineLevel="0" collapsed="false">
      <c r="A14" s="0" t="s">
        <v>22</v>
      </c>
      <c r="B14" s="0" t="s">
        <v>118</v>
      </c>
      <c r="C14" s="0" t="s">
        <v>1746</v>
      </c>
      <c r="D14" s="0" t="n">
        <v>11.5</v>
      </c>
    </row>
    <row r="15" customFormat="false" ht="15" hidden="false" customHeight="false" outlineLevel="0" collapsed="false">
      <c r="A15" s="0" t="s">
        <v>22</v>
      </c>
      <c r="B15" s="0" t="s">
        <v>118</v>
      </c>
      <c r="C15" s="0" t="s">
        <v>1882</v>
      </c>
    </row>
    <row r="16" customFormat="false" ht="15" hidden="false" customHeight="false" outlineLevel="0" collapsed="false">
      <c r="A16" s="0" t="s">
        <v>22</v>
      </c>
      <c r="B16" s="0" t="s">
        <v>118</v>
      </c>
      <c r="C16" s="0" t="s">
        <v>2175</v>
      </c>
    </row>
    <row r="17" customFormat="false" ht="15" hidden="false" customHeight="false" outlineLevel="0" collapsed="false">
      <c r="A17" s="0" t="s">
        <v>22</v>
      </c>
      <c r="B17" s="0" t="s">
        <v>125</v>
      </c>
      <c r="C17" s="0" t="s">
        <v>1746</v>
      </c>
      <c r="D17" s="0" t="n">
        <v>0.787</v>
      </c>
    </row>
    <row r="18" customFormat="false" ht="15" hidden="false" customHeight="false" outlineLevel="0" collapsed="false">
      <c r="A18" s="0" t="s">
        <v>22</v>
      </c>
      <c r="B18" s="0" t="s">
        <v>125</v>
      </c>
      <c r="C18" s="0" t="s">
        <v>1882</v>
      </c>
    </row>
    <row r="19" customFormat="false" ht="15" hidden="false" customHeight="false" outlineLevel="0" collapsed="false">
      <c r="A19" s="0" t="s">
        <v>22</v>
      </c>
      <c r="B19" s="0" t="s">
        <v>125</v>
      </c>
      <c r="C19" s="0" t="s">
        <v>2175</v>
      </c>
    </row>
    <row r="20" customFormat="false" ht="15" hidden="false" customHeight="false" outlineLevel="0" collapsed="false">
      <c r="A20" s="0" t="s">
        <v>22</v>
      </c>
      <c r="B20" s="0" t="s">
        <v>134</v>
      </c>
      <c r="C20" s="0" t="s">
        <v>1746</v>
      </c>
      <c r="D20" s="0" t="n">
        <f aca="false">SRC_ANT_004+SRC_ANT_005</f>
        <v>16.23</v>
      </c>
    </row>
    <row r="21" customFormat="false" ht="15" hidden="false" customHeight="false" outlineLevel="0" collapsed="false">
      <c r="A21" s="0" t="s">
        <v>22</v>
      </c>
      <c r="B21" s="0" t="s">
        <v>134</v>
      </c>
      <c r="C21" s="0" t="s">
        <v>1882</v>
      </c>
    </row>
    <row r="22" customFormat="false" ht="15" hidden="false" customHeight="false" outlineLevel="0" collapsed="false">
      <c r="A22" s="0" t="s">
        <v>22</v>
      </c>
      <c r="B22" s="0" t="s">
        <v>134</v>
      </c>
      <c r="C22" s="0" t="s">
        <v>2175</v>
      </c>
    </row>
    <row r="23" customFormat="false" ht="15" hidden="false" customHeight="false" outlineLevel="0" collapsed="false">
      <c r="A23" s="0" t="s">
        <v>22</v>
      </c>
      <c r="B23" s="0" t="s">
        <v>142</v>
      </c>
      <c r="C23" s="0" t="s">
        <v>1746</v>
      </c>
      <c r="D23" s="0" t="n">
        <v>1</v>
      </c>
    </row>
    <row r="24" customFormat="false" ht="15" hidden="false" customHeight="false" outlineLevel="0" collapsed="false">
      <c r="A24" s="0" t="s">
        <v>22</v>
      </c>
      <c r="B24" s="0" t="s">
        <v>142</v>
      </c>
      <c r="C24" s="0" t="s">
        <v>1882</v>
      </c>
    </row>
    <row r="25" customFormat="false" ht="15" hidden="false" customHeight="false" outlineLevel="0" collapsed="false">
      <c r="A25" s="0" t="s">
        <v>22</v>
      </c>
      <c r="B25" s="0" t="s">
        <v>142</v>
      </c>
      <c r="C25" s="0" t="s">
        <v>2175</v>
      </c>
    </row>
    <row r="26" customFormat="false" ht="15" hidden="false" customHeight="false" outlineLevel="0" collapsed="false">
      <c r="A26" s="0" t="s">
        <v>22</v>
      </c>
      <c r="B26" s="0" t="s">
        <v>154</v>
      </c>
      <c r="C26" s="0" t="s">
        <v>1746</v>
      </c>
      <c r="D26" s="0" t="n">
        <v>1</v>
      </c>
    </row>
    <row r="27" customFormat="false" ht="15" hidden="false" customHeight="false" outlineLevel="0" collapsed="false">
      <c r="A27" s="0" t="s">
        <v>22</v>
      </c>
      <c r="B27" s="0" t="s">
        <v>154</v>
      </c>
      <c r="C27" s="0" t="s">
        <v>1882</v>
      </c>
    </row>
    <row r="28" customFormat="false" ht="15" hidden="false" customHeight="false" outlineLevel="0" collapsed="false">
      <c r="A28" s="0" t="s">
        <v>22</v>
      </c>
      <c r="B28" s="0" t="s">
        <v>154</v>
      </c>
      <c r="C28" s="0" t="s">
        <v>2175</v>
      </c>
    </row>
    <row r="29" customFormat="false" ht="15" hidden="false" customHeight="false" outlineLevel="0" collapsed="false">
      <c r="A29" s="0" t="s">
        <v>22</v>
      </c>
      <c r="B29" s="0" t="s">
        <v>161</v>
      </c>
      <c r="C29" s="0" t="s">
        <v>1746</v>
      </c>
      <c r="D29" s="0" t="n">
        <v>1.4</v>
      </c>
    </row>
    <row r="30" customFormat="false" ht="15" hidden="false" customHeight="false" outlineLevel="0" collapsed="false">
      <c r="A30" s="0" t="s">
        <v>22</v>
      </c>
      <c r="B30" s="0" t="s">
        <v>161</v>
      </c>
      <c r="C30" s="0" t="s">
        <v>1882</v>
      </c>
    </row>
    <row r="31" customFormat="false" ht="15" hidden="false" customHeight="false" outlineLevel="0" collapsed="false">
      <c r="A31" s="0" t="s">
        <v>22</v>
      </c>
      <c r="B31" s="0" t="s">
        <v>161</v>
      </c>
      <c r="C31" s="0" t="s">
        <v>2175</v>
      </c>
    </row>
    <row r="32" customFormat="false" ht="15" hidden="false" customHeight="false" outlineLevel="0" collapsed="false">
      <c r="A32" s="0" t="s">
        <v>22</v>
      </c>
      <c r="B32" s="0" t="s">
        <v>168</v>
      </c>
      <c r="C32" s="0" t="s">
        <v>1746</v>
      </c>
      <c r="D32" s="0" t="n">
        <v>2</v>
      </c>
    </row>
    <row r="33" customFormat="false" ht="15" hidden="false" customHeight="false" outlineLevel="0" collapsed="false">
      <c r="A33" s="0" t="s">
        <v>22</v>
      </c>
      <c r="B33" s="0" t="s">
        <v>168</v>
      </c>
      <c r="C33" s="0" t="s">
        <v>1882</v>
      </c>
    </row>
    <row r="34" customFormat="false" ht="15" hidden="false" customHeight="false" outlineLevel="0" collapsed="false">
      <c r="A34" s="0" t="s">
        <v>22</v>
      </c>
      <c r="B34" s="0" t="s">
        <v>168</v>
      </c>
      <c r="C34" s="0" t="s">
        <v>2175</v>
      </c>
    </row>
    <row r="35" customFormat="false" ht="15" hidden="false" customHeight="false" outlineLevel="0" collapsed="false">
      <c r="A35" s="0" t="s">
        <v>22</v>
      </c>
      <c r="B35" s="0" t="s">
        <v>172</v>
      </c>
      <c r="C35" s="0" t="s">
        <v>1746</v>
      </c>
      <c r="D35" s="0" t="n">
        <v>3</v>
      </c>
    </row>
    <row r="36" customFormat="false" ht="15" hidden="false" customHeight="false" outlineLevel="0" collapsed="false">
      <c r="A36" s="0" t="s">
        <v>22</v>
      </c>
      <c r="B36" s="0" t="s">
        <v>172</v>
      </c>
      <c r="C36" s="0" t="s">
        <v>1882</v>
      </c>
    </row>
    <row r="37" customFormat="false" ht="15" hidden="false" customHeight="false" outlineLevel="0" collapsed="false">
      <c r="A37" s="0" t="s">
        <v>22</v>
      </c>
      <c r="B37" s="0" t="s">
        <v>172</v>
      </c>
      <c r="C37" s="0" t="s">
        <v>2175</v>
      </c>
    </row>
    <row r="38" customFormat="false" ht="15" hidden="false" customHeight="false" outlineLevel="0" collapsed="false">
      <c r="A38" s="0" t="s">
        <v>22</v>
      </c>
      <c r="B38" s="0" t="s">
        <v>177</v>
      </c>
      <c r="C38" s="0" t="s">
        <v>1746</v>
      </c>
      <c r="D38" s="0" t="n">
        <v>4</v>
      </c>
    </row>
    <row r="39" customFormat="false" ht="15" hidden="false" customHeight="false" outlineLevel="0" collapsed="false">
      <c r="A39" s="0" t="s">
        <v>22</v>
      </c>
      <c r="B39" s="0" t="s">
        <v>177</v>
      </c>
      <c r="C39" s="0" t="s">
        <v>1882</v>
      </c>
    </row>
    <row r="40" customFormat="false" ht="15" hidden="false" customHeight="false" outlineLevel="0" collapsed="false">
      <c r="A40" s="0" t="s">
        <v>22</v>
      </c>
      <c r="B40" s="0" t="s">
        <v>177</v>
      </c>
      <c r="C40" s="0" t="s">
        <v>2175</v>
      </c>
    </row>
    <row r="41" customFormat="false" ht="15" hidden="false" customHeight="false" outlineLevel="0" collapsed="false">
      <c r="A41" s="0" t="s">
        <v>22</v>
      </c>
      <c r="B41" s="0" t="s">
        <v>183</v>
      </c>
      <c r="C41" s="0" t="s">
        <v>1746</v>
      </c>
      <c r="D41" s="0" t="n">
        <v>4</v>
      </c>
    </row>
    <row r="42" customFormat="false" ht="15" hidden="false" customHeight="false" outlineLevel="0" collapsed="false">
      <c r="A42" s="0" t="s">
        <v>22</v>
      </c>
      <c r="B42" s="0" t="s">
        <v>183</v>
      </c>
      <c r="C42" s="0" t="s">
        <v>1882</v>
      </c>
    </row>
    <row r="43" customFormat="false" ht="15" hidden="false" customHeight="false" outlineLevel="0" collapsed="false">
      <c r="A43" s="0" t="s">
        <v>22</v>
      </c>
      <c r="B43" s="0" t="s">
        <v>183</v>
      </c>
      <c r="C43" s="0" t="s">
        <v>2175</v>
      </c>
    </row>
    <row r="44" customFormat="false" ht="15" hidden="false" customHeight="false" outlineLevel="0" collapsed="false">
      <c r="A44" s="0" t="s">
        <v>22</v>
      </c>
      <c r="B44" s="0" t="s">
        <v>190</v>
      </c>
      <c r="C44" s="0" t="s">
        <v>1746</v>
      </c>
      <c r="D44" s="0" t="n">
        <v>5</v>
      </c>
    </row>
    <row r="45" customFormat="false" ht="15" hidden="false" customHeight="false" outlineLevel="0" collapsed="false">
      <c r="A45" s="0" t="s">
        <v>22</v>
      </c>
      <c r="B45" s="0" t="s">
        <v>190</v>
      </c>
      <c r="C45" s="0" t="s">
        <v>1882</v>
      </c>
    </row>
    <row r="46" customFormat="false" ht="15" hidden="false" customHeight="false" outlineLevel="0" collapsed="false">
      <c r="A46" s="0" t="s">
        <v>22</v>
      </c>
      <c r="B46" s="0" t="s">
        <v>190</v>
      </c>
      <c r="C46" s="0" t="s">
        <v>2175</v>
      </c>
    </row>
    <row r="47" customFormat="false" ht="15" hidden="false" customHeight="false" outlineLevel="0" collapsed="false">
      <c r="A47" s="0" t="s">
        <v>22</v>
      </c>
      <c r="B47" s="0" t="s">
        <v>194</v>
      </c>
      <c r="C47" s="0" t="s">
        <v>1746</v>
      </c>
      <c r="D47" s="0" t="n">
        <v>7</v>
      </c>
    </row>
    <row r="48" customFormat="false" ht="15" hidden="false" customHeight="false" outlineLevel="0" collapsed="false">
      <c r="A48" s="0" t="s">
        <v>22</v>
      </c>
      <c r="B48" s="0" t="s">
        <v>194</v>
      </c>
      <c r="C48" s="0" t="s">
        <v>1882</v>
      </c>
    </row>
    <row r="49" customFormat="false" ht="15" hidden="false" customHeight="false" outlineLevel="0" collapsed="false">
      <c r="A49" s="0" t="s">
        <v>22</v>
      </c>
      <c r="B49" s="0" t="s">
        <v>194</v>
      </c>
      <c r="C49" s="0" t="s">
        <v>2175</v>
      </c>
      <c r="D49" s="0" t="n">
        <v>7</v>
      </c>
    </row>
    <row r="50" customFormat="false" ht="15" hidden="false" customHeight="false" outlineLevel="0" collapsed="false">
      <c r="A50" s="0" t="s">
        <v>22</v>
      </c>
      <c r="B50" s="0" t="s">
        <v>202</v>
      </c>
      <c r="C50" s="0" t="s">
        <v>1746</v>
      </c>
      <c r="D50" s="0" t="n">
        <v>9</v>
      </c>
    </row>
    <row r="51" customFormat="false" ht="15" hidden="false" customHeight="false" outlineLevel="0" collapsed="false">
      <c r="A51" s="0" t="s">
        <v>22</v>
      </c>
      <c r="B51" s="0" t="s">
        <v>202</v>
      </c>
      <c r="C51" s="0" t="s">
        <v>1882</v>
      </c>
    </row>
    <row r="52" customFormat="false" ht="15" hidden="false" customHeight="false" outlineLevel="0" collapsed="false">
      <c r="A52" s="0" t="s">
        <v>22</v>
      </c>
      <c r="B52" s="0" t="s">
        <v>202</v>
      </c>
      <c r="C52" s="0" t="s">
        <v>2175</v>
      </c>
    </row>
    <row r="53" customFormat="false" ht="15" hidden="false" customHeight="false" outlineLevel="0" collapsed="false">
      <c r="A53" s="0" t="s">
        <v>22</v>
      </c>
      <c r="B53" s="0" t="s">
        <v>210</v>
      </c>
      <c r="C53" s="0" t="s">
        <v>1746</v>
      </c>
      <c r="D53" s="0" t="n">
        <v>9</v>
      </c>
    </row>
    <row r="54" customFormat="false" ht="15" hidden="false" customHeight="false" outlineLevel="0" collapsed="false">
      <c r="A54" s="0" t="s">
        <v>22</v>
      </c>
      <c r="B54" s="0" t="s">
        <v>210</v>
      </c>
      <c r="C54" s="0" t="s">
        <v>1882</v>
      </c>
    </row>
    <row r="55" customFormat="false" ht="15" hidden="false" customHeight="false" outlineLevel="0" collapsed="false">
      <c r="A55" s="0" t="s">
        <v>22</v>
      </c>
      <c r="B55" s="0" t="s">
        <v>210</v>
      </c>
      <c r="C55" s="0" t="s">
        <v>2175</v>
      </c>
    </row>
    <row r="56" customFormat="false" ht="15" hidden="false" customHeight="false" outlineLevel="0" collapsed="false">
      <c r="A56" s="0" t="s">
        <v>22</v>
      </c>
      <c r="B56" s="0" t="s">
        <v>213</v>
      </c>
      <c r="C56" s="0" t="s">
        <v>1746</v>
      </c>
      <c r="D56" s="0" t="n">
        <v>14</v>
      </c>
    </row>
    <row r="57" customFormat="false" ht="15" hidden="false" customHeight="false" outlineLevel="0" collapsed="false">
      <c r="A57" s="0" t="s">
        <v>22</v>
      </c>
      <c r="B57" s="0" t="s">
        <v>213</v>
      </c>
      <c r="C57" s="0" t="s">
        <v>1882</v>
      </c>
    </row>
    <row r="58" customFormat="false" ht="15" hidden="false" customHeight="false" outlineLevel="0" collapsed="false">
      <c r="A58" s="0" t="s">
        <v>22</v>
      </c>
      <c r="B58" s="0" t="s">
        <v>213</v>
      </c>
      <c r="C58" s="0" t="s">
        <v>2175</v>
      </c>
    </row>
    <row r="59" customFormat="false" ht="15" hidden="false" customHeight="false" outlineLevel="0" collapsed="false">
      <c r="A59" s="0" t="s">
        <v>22</v>
      </c>
      <c r="B59" s="0" t="s">
        <v>220</v>
      </c>
      <c r="C59" s="0" t="s">
        <v>1746</v>
      </c>
      <c r="D59" s="0" t="n">
        <v>19</v>
      </c>
    </row>
    <row r="60" customFormat="false" ht="15" hidden="false" customHeight="false" outlineLevel="0" collapsed="false">
      <c r="A60" s="0" t="s">
        <v>22</v>
      </c>
      <c r="B60" s="0" t="s">
        <v>220</v>
      </c>
      <c r="C60" s="0" t="s">
        <v>1882</v>
      </c>
    </row>
    <row r="61" customFormat="false" ht="15" hidden="false" customHeight="false" outlineLevel="0" collapsed="false">
      <c r="A61" s="0" t="s">
        <v>22</v>
      </c>
      <c r="B61" s="0" t="s">
        <v>220</v>
      </c>
      <c r="C61" s="0" t="s">
        <v>2175</v>
      </c>
    </row>
    <row r="62" customFormat="false" ht="15" hidden="false" customHeight="false" outlineLevel="0" collapsed="false">
      <c r="A62" s="0" t="s">
        <v>22</v>
      </c>
      <c r="B62" s="0" t="s">
        <v>227</v>
      </c>
      <c r="C62" s="0" t="s">
        <v>1746</v>
      </c>
      <c r="D62" s="0" t="n">
        <v>30</v>
      </c>
    </row>
    <row r="63" customFormat="false" ht="15" hidden="false" customHeight="false" outlineLevel="0" collapsed="false">
      <c r="A63" s="0" t="s">
        <v>22</v>
      </c>
      <c r="B63" s="0" t="s">
        <v>227</v>
      </c>
      <c r="C63" s="0" t="s">
        <v>1882</v>
      </c>
    </row>
    <row r="64" customFormat="false" ht="15" hidden="false" customHeight="false" outlineLevel="0" collapsed="false">
      <c r="A64" s="0" t="s">
        <v>22</v>
      </c>
      <c r="B64" s="0" t="s">
        <v>227</v>
      </c>
      <c r="C64" s="0" t="s">
        <v>2175</v>
      </c>
    </row>
    <row r="65" customFormat="false" ht="15" hidden="false" customHeight="false" outlineLevel="0" collapsed="false">
      <c r="A65" s="0" t="s">
        <v>22</v>
      </c>
      <c r="B65" s="0" t="s">
        <v>231</v>
      </c>
      <c r="C65" s="0" t="s">
        <v>1746</v>
      </c>
      <c r="D65" s="0" t="n">
        <v>47</v>
      </c>
    </row>
    <row r="66" customFormat="false" ht="15" hidden="false" customHeight="false" outlineLevel="0" collapsed="false">
      <c r="A66" s="0" t="s">
        <v>22</v>
      </c>
      <c r="B66" s="0" t="s">
        <v>231</v>
      </c>
      <c r="C66" s="0" t="s">
        <v>1882</v>
      </c>
    </row>
    <row r="67" customFormat="false" ht="15" hidden="false" customHeight="false" outlineLevel="0" collapsed="false">
      <c r="A67" s="0" t="s">
        <v>22</v>
      </c>
      <c r="B67" s="0" t="s">
        <v>231</v>
      </c>
      <c r="C67" s="0" t="s">
        <v>2175</v>
      </c>
    </row>
    <row r="68" customFormat="false" ht="15" hidden="false" customHeight="false" outlineLevel="0" collapsed="false">
      <c r="A68" s="0" t="s">
        <v>22</v>
      </c>
      <c r="B68" s="0" t="s">
        <v>238</v>
      </c>
      <c r="C68" s="0" t="s">
        <v>1746</v>
      </c>
      <c r="D68" s="0" t="n">
        <v>65</v>
      </c>
    </row>
    <row r="69" customFormat="false" ht="15" hidden="false" customHeight="false" outlineLevel="0" collapsed="false">
      <c r="A69" s="0" t="s">
        <v>22</v>
      </c>
      <c r="B69" s="0" t="s">
        <v>238</v>
      </c>
      <c r="C69" s="0" t="s">
        <v>1882</v>
      </c>
    </row>
    <row r="70" customFormat="false" ht="15" hidden="false" customHeight="false" outlineLevel="0" collapsed="false">
      <c r="A70" s="0" t="s">
        <v>22</v>
      </c>
      <c r="B70" s="0" t="s">
        <v>238</v>
      </c>
      <c r="C70" s="0" t="s">
        <v>2175</v>
      </c>
    </row>
    <row r="71" customFormat="false" ht="15" hidden="false" customHeight="false" outlineLevel="0" collapsed="false">
      <c r="A71" s="0" t="s">
        <v>22</v>
      </c>
      <c r="B71" s="0" t="s">
        <v>245</v>
      </c>
      <c r="C71" s="0" t="s">
        <v>1746</v>
      </c>
      <c r="D71" s="0" t="n">
        <v>65</v>
      </c>
    </row>
    <row r="72" customFormat="false" ht="15" hidden="false" customHeight="false" outlineLevel="0" collapsed="false">
      <c r="A72" s="0" t="s">
        <v>22</v>
      </c>
      <c r="B72" s="0" t="s">
        <v>245</v>
      </c>
      <c r="C72" s="0" t="s">
        <v>1882</v>
      </c>
    </row>
    <row r="73" customFormat="false" ht="15" hidden="false" customHeight="false" outlineLevel="0" collapsed="false">
      <c r="A73" s="0" t="s">
        <v>22</v>
      </c>
      <c r="B73" s="0" t="s">
        <v>245</v>
      </c>
      <c r="C73" s="0" t="s">
        <v>2175</v>
      </c>
    </row>
    <row r="74" customFormat="false" ht="15" hidden="false" customHeight="false" outlineLevel="0" collapsed="false">
      <c r="A74" s="0" t="s">
        <v>22</v>
      </c>
      <c r="B74" s="0" t="s">
        <v>253</v>
      </c>
      <c r="C74" s="0" t="s">
        <v>1746</v>
      </c>
      <c r="D74" s="0" t="n">
        <v>0.789</v>
      </c>
    </row>
    <row r="75" customFormat="false" ht="15" hidden="false" customHeight="false" outlineLevel="0" collapsed="false">
      <c r="A75" s="0" t="s">
        <v>22</v>
      </c>
      <c r="B75" s="0" t="s">
        <v>253</v>
      </c>
      <c r="C75" s="0" t="s">
        <v>1882</v>
      </c>
    </row>
    <row r="76" customFormat="false" ht="15" hidden="false" customHeight="false" outlineLevel="0" collapsed="false">
      <c r="A76" s="0" t="s">
        <v>22</v>
      </c>
      <c r="B76" s="0" t="s">
        <v>253</v>
      </c>
      <c r="C76" s="0" t="s">
        <v>2175</v>
      </c>
    </row>
    <row r="77" customFormat="false" ht="15" hidden="false" customHeight="false" outlineLevel="0" collapsed="false">
      <c r="A77" s="0" t="s">
        <v>22</v>
      </c>
      <c r="B77" s="0" t="s">
        <v>261</v>
      </c>
      <c r="C77" s="0" t="s">
        <v>1746</v>
      </c>
      <c r="D77" s="0" t="n">
        <v>3.8</v>
      </c>
    </row>
    <row r="78" customFormat="false" ht="15" hidden="false" customHeight="false" outlineLevel="0" collapsed="false">
      <c r="A78" s="0" t="s">
        <v>22</v>
      </c>
      <c r="B78" s="0" t="s">
        <v>261</v>
      </c>
      <c r="C78" s="0" t="s">
        <v>1882</v>
      </c>
    </row>
    <row r="79" customFormat="false" ht="15" hidden="false" customHeight="false" outlineLevel="0" collapsed="false">
      <c r="A79" s="0" t="s">
        <v>22</v>
      </c>
      <c r="B79" s="0" t="s">
        <v>261</v>
      </c>
      <c r="C79" s="0" t="s">
        <v>2175</v>
      </c>
    </row>
    <row r="80" customFormat="false" ht="15" hidden="false" customHeight="false" outlineLevel="0" collapsed="false">
      <c r="A80" s="0" t="s">
        <v>22</v>
      </c>
      <c r="B80" s="0" t="s">
        <v>266</v>
      </c>
      <c r="C80" s="0" t="s">
        <v>1746</v>
      </c>
      <c r="D80" s="0" t="n">
        <v>0.47</v>
      </c>
    </row>
    <row r="81" customFormat="false" ht="15" hidden="false" customHeight="false" outlineLevel="0" collapsed="false">
      <c r="A81" s="0" t="s">
        <v>22</v>
      </c>
      <c r="B81" s="0" t="s">
        <v>266</v>
      </c>
      <c r="C81" s="0" t="s">
        <v>1882</v>
      </c>
    </row>
    <row r="82" customFormat="false" ht="15" hidden="false" customHeight="false" outlineLevel="0" collapsed="false">
      <c r="A82" s="0" t="s">
        <v>22</v>
      </c>
      <c r="B82" s="0" t="s">
        <v>266</v>
      </c>
      <c r="C82" s="0" t="s">
        <v>2175</v>
      </c>
    </row>
    <row r="83" customFormat="false" ht="15" hidden="false" customHeight="false" outlineLevel="0" collapsed="false">
      <c r="A83" s="0" t="s">
        <v>22</v>
      </c>
      <c r="B83" s="0" t="s">
        <v>271</v>
      </c>
      <c r="C83" s="0" t="s">
        <v>1746</v>
      </c>
      <c r="D83" s="0" t="n">
        <v>0.32</v>
      </c>
    </row>
    <row r="84" customFormat="false" ht="15" hidden="false" customHeight="false" outlineLevel="0" collapsed="false">
      <c r="A84" s="0" t="s">
        <v>22</v>
      </c>
      <c r="B84" s="0" t="s">
        <v>271</v>
      </c>
      <c r="C84" s="0" t="s">
        <v>1882</v>
      </c>
    </row>
    <row r="85" customFormat="false" ht="15" hidden="false" customHeight="false" outlineLevel="0" collapsed="false">
      <c r="A85" s="0" t="s">
        <v>22</v>
      </c>
      <c r="B85" s="0" t="s">
        <v>271</v>
      </c>
      <c r="C85" s="0" t="s">
        <v>2175</v>
      </c>
    </row>
    <row r="86" customFormat="false" ht="15" hidden="false" customHeight="false" outlineLevel="0" collapsed="false">
      <c r="A86" s="0" t="s">
        <v>22</v>
      </c>
      <c r="B86" s="0" t="s">
        <v>274</v>
      </c>
      <c r="C86" s="0" t="s">
        <v>1746</v>
      </c>
      <c r="D86" s="0" t="n">
        <v>0.11</v>
      </c>
    </row>
    <row r="87" customFormat="false" ht="15" hidden="false" customHeight="false" outlineLevel="0" collapsed="false">
      <c r="A87" s="0" t="s">
        <v>22</v>
      </c>
      <c r="B87" s="0" t="s">
        <v>274</v>
      </c>
      <c r="C87" s="0" t="s">
        <v>1882</v>
      </c>
    </row>
    <row r="88" customFormat="false" ht="15" hidden="false" customHeight="false" outlineLevel="0" collapsed="false">
      <c r="A88" s="0" t="s">
        <v>22</v>
      </c>
      <c r="B88" s="0" t="s">
        <v>274</v>
      </c>
      <c r="C88" s="0" t="s">
        <v>2175</v>
      </c>
    </row>
    <row r="89" customFormat="false" ht="15" hidden="false" customHeight="false" outlineLevel="0" collapsed="false">
      <c r="A89" s="0" t="s">
        <v>22</v>
      </c>
      <c r="B89" s="0" t="s">
        <v>278</v>
      </c>
      <c r="C89" s="0" t="s">
        <v>1746</v>
      </c>
    </row>
    <row r="90" customFormat="false" ht="15" hidden="false" customHeight="false" outlineLevel="0" collapsed="false">
      <c r="A90" s="0" t="s">
        <v>22</v>
      </c>
      <c r="B90" s="0" t="s">
        <v>278</v>
      </c>
      <c r="C90" s="0" t="s">
        <v>1882</v>
      </c>
    </row>
    <row r="91" customFormat="false" ht="15" hidden="false" customHeight="false" outlineLevel="0" collapsed="false">
      <c r="A91" s="0" t="s">
        <v>22</v>
      </c>
      <c r="B91" s="0" t="s">
        <v>278</v>
      </c>
      <c r="C91" s="0" t="s">
        <v>2175</v>
      </c>
    </row>
    <row r="92" customFormat="false" ht="15" hidden="false" customHeight="false" outlineLevel="0" collapsed="false">
      <c r="A92" s="0" t="s">
        <v>22</v>
      </c>
      <c r="B92" s="0" t="s">
        <v>283</v>
      </c>
      <c r="C92" s="0" t="s">
        <v>1746</v>
      </c>
      <c r="D92" s="0" t="n">
        <v>0.351</v>
      </c>
    </row>
    <row r="93" customFormat="false" ht="15" hidden="false" customHeight="false" outlineLevel="0" collapsed="false">
      <c r="A93" s="0" t="s">
        <v>22</v>
      </c>
      <c r="B93" s="0" t="s">
        <v>283</v>
      </c>
      <c r="C93" s="0" t="s">
        <v>1882</v>
      </c>
    </row>
    <row r="94" customFormat="false" ht="15" hidden="false" customHeight="false" outlineLevel="0" collapsed="false">
      <c r="A94" s="0" t="s">
        <v>22</v>
      </c>
      <c r="B94" s="0" t="s">
        <v>283</v>
      </c>
      <c r="C94" s="0" t="s">
        <v>2175</v>
      </c>
    </row>
    <row r="95" customFormat="false" ht="15" hidden="false" customHeight="false" outlineLevel="0" collapsed="false">
      <c r="A95" s="0" t="s">
        <v>22</v>
      </c>
      <c r="B95" s="0" t="s">
        <v>289</v>
      </c>
      <c r="C95" s="0" t="s">
        <v>1746</v>
      </c>
      <c r="D95" s="0" t="n">
        <f aca="false">SRC_ANT_031/(SRC_ANT_002*SRC_ANT_027)</f>
        <v>0.16270337922403</v>
      </c>
    </row>
    <row r="96" customFormat="false" ht="15" hidden="false" customHeight="false" outlineLevel="0" collapsed="false">
      <c r="A96" s="0" t="s">
        <v>22</v>
      </c>
      <c r="B96" s="0" t="s">
        <v>289</v>
      </c>
      <c r="C96" s="0" t="s">
        <v>1882</v>
      </c>
    </row>
    <row r="97" customFormat="false" ht="15" hidden="false" customHeight="false" outlineLevel="0" collapsed="false">
      <c r="A97" s="0" t="s">
        <v>22</v>
      </c>
      <c r="B97" s="0" t="s">
        <v>289</v>
      </c>
      <c r="C97" s="0" t="s">
        <v>2175</v>
      </c>
    </row>
    <row r="98" customFormat="false" ht="15" hidden="false" customHeight="false" outlineLevel="0" collapsed="false">
      <c r="A98" s="0" t="s">
        <v>22</v>
      </c>
      <c r="B98" s="0" t="s">
        <v>293</v>
      </c>
      <c r="C98" s="0" t="s">
        <v>1746</v>
      </c>
      <c r="D98" s="0" t="n">
        <v>1.9</v>
      </c>
    </row>
    <row r="99" customFormat="false" ht="15" hidden="false" customHeight="false" outlineLevel="0" collapsed="false">
      <c r="A99" s="0" t="s">
        <v>22</v>
      </c>
      <c r="B99" s="0" t="s">
        <v>293</v>
      </c>
      <c r="C99" s="0" t="s">
        <v>1882</v>
      </c>
    </row>
    <row r="100" customFormat="false" ht="15" hidden="false" customHeight="false" outlineLevel="0" collapsed="false">
      <c r="A100" s="0" t="s">
        <v>22</v>
      </c>
      <c r="B100" s="0" t="s">
        <v>293</v>
      </c>
      <c r="C100" s="0" t="s">
        <v>2175</v>
      </c>
    </row>
    <row r="101" customFormat="false" ht="15" hidden="false" customHeight="false" outlineLevel="0" collapsed="false">
      <c r="A101" s="0" t="s">
        <v>22</v>
      </c>
      <c r="B101" s="0" t="s">
        <v>303</v>
      </c>
      <c r="C101" s="0" t="s">
        <v>1746</v>
      </c>
      <c r="D101" s="0" t="n">
        <v>6.4</v>
      </c>
    </row>
    <row r="102" customFormat="false" ht="15" hidden="false" customHeight="false" outlineLevel="0" collapsed="false">
      <c r="A102" s="0" t="s">
        <v>22</v>
      </c>
      <c r="B102" s="0" t="s">
        <v>303</v>
      </c>
      <c r="C102" s="0" t="s">
        <v>1882</v>
      </c>
    </row>
    <row r="103" customFormat="false" ht="15" hidden="false" customHeight="false" outlineLevel="0" collapsed="false">
      <c r="A103" s="0" t="s">
        <v>22</v>
      </c>
      <c r="B103" s="0" t="s">
        <v>303</v>
      </c>
      <c r="C103" s="0" t="s">
        <v>2175</v>
      </c>
      <c r="D103" s="0" t="n">
        <v>6.4</v>
      </c>
    </row>
    <row r="104" customFormat="false" ht="15" hidden="false" customHeight="false" outlineLevel="0" collapsed="false">
      <c r="A104" s="0" t="s">
        <v>22</v>
      </c>
      <c r="B104" s="0" t="s">
        <v>309</v>
      </c>
      <c r="C104" s="0" t="s">
        <v>1746</v>
      </c>
      <c r="D104" s="0" t="n">
        <v>22</v>
      </c>
    </row>
    <row r="105" customFormat="false" ht="15" hidden="false" customHeight="false" outlineLevel="0" collapsed="false">
      <c r="A105" s="0" t="s">
        <v>22</v>
      </c>
      <c r="B105" s="0" t="s">
        <v>309</v>
      </c>
      <c r="C105" s="0" t="s">
        <v>1882</v>
      </c>
    </row>
    <row r="106" customFormat="false" ht="15" hidden="false" customHeight="false" outlineLevel="0" collapsed="false">
      <c r="A106" s="0" t="s">
        <v>22</v>
      </c>
      <c r="B106" s="0" t="s">
        <v>309</v>
      </c>
      <c r="C106" s="0" t="s">
        <v>2175</v>
      </c>
    </row>
    <row r="107" customFormat="false" ht="15" hidden="false" customHeight="false" outlineLevel="0" collapsed="false">
      <c r="A107" s="0" t="s">
        <v>22</v>
      </c>
      <c r="B107" s="0" t="s">
        <v>318</v>
      </c>
      <c r="C107" s="0" t="s">
        <v>1746</v>
      </c>
      <c r="D107" s="0" t="n">
        <v>0.8</v>
      </c>
    </row>
    <row r="108" customFormat="false" ht="15" hidden="false" customHeight="false" outlineLevel="0" collapsed="false">
      <c r="A108" s="0" t="s">
        <v>22</v>
      </c>
      <c r="B108" s="0" t="s">
        <v>318</v>
      </c>
      <c r="C108" s="0" t="s">
        <v>1882</v>
      </c>
    </row>
    <row r="109" customFormat="false" ht="15" hidden="false" customHeight="false" outlineLevel="0" collapsed="false">
      <c r="A109" s="0" t="s">
        <v>22</v>
      </c>
      <c r="B109" s="0" t="s">
        <v>318</v>
      </c>
      <c r="C109" s="0" t="s">
        <v>2175</v>
      </c>
    </row>
    <row r="110" customFormat="false" ht="15" hidden="false" customHeight="false" outlineLevel="0" collapsed="false">
      <c r="A110" s="0" t="s">
        <v>22</v>
      </c>
      <c r="B110" s="0" t="s">
        <v>323</v>
      </c>
      <c r="C110" s="0" t="s">
        <v>1746</v>
      </c>
      <c r="D110" s="0" t="n">
        <v>0.65</v>
      </c>
    </row>
    <row r="111" customFormat="false" ht="15" hidden="false" customHeight="false" outlineLevel="0" collapsed="false">
      <c r="A111" s="0" t="s">
        <v>22</v>
      </c>
      <c r="B111" s="0" t="s">
        <v>323</v>
      </c>
      <c r="C111" s="0" t="s">
        <v>1882</v>
      </c>
      <c r="D111" s="0" t="n">
        <v>0.6</v>
      </c>
    </row>
    <row r="112" customFormat="false" ht="15" hidden="false" customHeight="false" outlineLevel="0" collapsed="false">
      <c r="A112" s="0" t="s">
        <v>22</v>
      </c>
      <c r="B112" s="0" t="s">
        <v>323</v>
      </c>
      <c r="C112" s="0" t="s">
        <v>2175</v>
      </c>
      <c r="D112" s="0" t="n">
        <v>0.67</v>
      </c>
    </row>
    <row r="113" customFormat="false" ht="15" hidden="false" customHeight="false" outlineLevel="0" collapsed="false">
      <c r="A113" s="0" t="s">
        <v>22</v>
      </c>
      <c r="B113" s="0" t="s">
        <v>328</v>
      </c>
      <c r="C113" s="0" t="s">
        <v>1746</v>
      </c>
      <c r="D113" s="0" t="n">
        <v>0.24</v>
      </c>
    </row>
    <row r="114" customFormat="false" ht="15" hidden="false" customHeight="false" outlineLevel="0" collapsed="false">
      <c r="A114" s="0" t="s">
        <v>22</v>
      </c>
      <c r="B114" s="0" t="s">
        <v>328</v>
      </c>
      <c r="C114" s="0" t="s">
        <v>1882</v>
      </c>
    </row>
    <row r="115" customFormat="false" ht="15" hidden="false" customHeight="false" outlineLevel="0" collapsed="false">
      <c r="A115" s="0" t="s">
        <v>22</v>
      </c>
      <c r="B115" s="0" t="s">
        <v>328</v>
      </c>
      <c r="C115" s="0" t="s">
        <v>2175</v>
      </c>
    </row>
    <row r="116" customFormat="false" ht="15" hidden="false" customHeight="false" outlineLevel="0" collapsed="false">
      <c r="A116" s="0" t="s">
        <v>22</v>
      </c>
      <c r="B116" s="0" t="s">
        <v>332</v>
      </c>
      <c r="C116" s="0" t="s">
        <v>1746</v>
      </c>
      <c r="D116" s="0" t="n">
        <v>0.24</v>
      </c>
    </row>
    <row r="117" customFormat="false" ht="15" hidden="false" customHeight="false" outlineLevel="0" collapsed="false">
      <c r="A117" s="0" t="s">
        <v>22</v>
      </c>
      <c r="B117" s="0" t="s">
        <v>332</v>
      </c>
      <c r="C117" s="0" t="s">
        <v>1882</v>
      </c>
    </row>
    <row r="118" customFormat="false" ht="15" hidden="false" customHeight="false" outlineLevel="0" collapsed="false">
      <c r="A118" s="0" t="s">
        <v>22</v>
      </c>
      <c r="B118" s="0" t="s">
        <v>332</v>
      </c>
      <c r="C118" s="0" t="s">
        <v>2175</v>
      </c>
    </row>
    <row r="119" customFormat="false" ht="15" hidden="false" customHeight="false" outlineLevel="0" collapsed="false">
      <c r="A119" s="0" t="s">
        <v>22</v>
      </c>
      <c r="B119" s="0" t="s">
        <v>339</v>
      </c>
      <c r="C119" s="0" t="s">
        <v>1746</v>
      </c>
      <c r="D119" s="0" t="n">
        <v>1.2</v>
      </c>
    </row>
    <row r="120" customFormat="false" ht="15" hidden="false" customHeight="false" outlineLevel="0" collapsed="false">
      <c r="A120" s="0" t="s">
        <v>22</v>
      </c>
      <c r="B120" s="0" t="s">
        <v>339</v>
      </c>
      <c r="C120" s="0" t="s">
        <v>1882</v>
      </c>
    </row>
    <row r="121" customFormat="false" ht="15" hidden="false" customHeight="false" outlineLevel="0" collapsed="false">
      <c r="A121" s="0" t="s">
        <v>22</v>
      </c>
      <c r="B121" s="0" t="s">
        <v>339</v>
      </c>
      <c r="C121" s="0" t="s">
        <v>2175</v>
      </c>
    </row>
    <row r="122" customFormat="false" ht="15" hidden="false" customHeight="false" outlineLevel="0" collapsed="false">
      <c r="A122" s="0" t="s">
        <v>22</v>
      </c>
      <c r="B122" s="0" t="s">
        <v>347</v>
      </c>
      <c r="C122" s="0" t="s">
        <v>1746</v>
      </c>
      <c r="D122" s="0" t="n">
        <v>0.5</v>
      </c>
    </row>
    <row r="123" customFormat="false" ht="15" hidden="false" customHeight="false" outlineLevel="0" collapsed="false">
      <c r="A123" s="0" t="s">
        <v>22</v>
      </c>
      <c r="B123" s="0" t="s">
        <v>347</v>
      </c>
      <c r="C123" s="0" t="s">
        <v>1882</v>
      </c>
    </row>
    <row r="124" customFormat="false" ht="15" hidden="false" customHeight="false" outlineLevel="0" collapsed="false">
      <c r="A124" s="0" t="s">
        <v>22</v>
      </c>
      <c r="B124" s="0" t="s">
        <v>347</v>
      </c>
      <c r="C124" s="0" t="s">
        <v>2175</v>
      </c>
      <c r="D124" s="0" t="n">
        <v>0.5</v>
      </c>
    </row>
    <row r="125" customFormat="false" ht="15" hidden="false" customHeight="false" outlineLevel="0" collapsed="false">
      <c r="A125" s="0" t="s">
        <v>22</v>
      </c>
      <c r="B125" s="0" t="s">
        <v>354</v>
      </c>
      <c r="C125" s="0" t="s">
        <v>1746</v>
      </c>
      <c r="D125" s="0" t="n">
        <v>0.5</v>
      </c>
    </row>
    <row r="126" customFormat="false" ht="15" hidden="false" customHeight="false" outlineLevel="0" collapsed="false">
      <c r="A126" s="0" t="s">
        <v>22</v>
      </c>
      <c r="B126" s="0" t="s">
        <v>354</v>
      </c>
      <c r="C126" s="0" t="s">
        <v>1882</v>
      </c>
    </row>
    <row r="127" customFormat="false" ht="15" hidden="false" customHeight="false" outlineLevel="0" collapsed="false">
      <c r="A127" s="0" t="s">
        <v>22</v>
      </c>
      <c r="B127" s="0" t="s">
        <v>354</v>
      </c>
      <c r="C127" s="0" t="s">
        <v>2175</v>
      </c>
    </row>
    <row r="128" customFormat="false" ht="15" hidden="false" customHeight="false" outlineLevel="0" collapsed="false">
      <c r="A128" s="0" t="s">
        <v>22</v>
      </c>
      <c r="B128" s="0" t="s">
        <v>360</v>
      </c>
      <c r="C128" s="0" t="s">
        <v>1746</v>
      </c>
      <c r="D128" s="0" t="n">
        <v>0.4</v>
      </c>
    </row>
    <row r="129" customFormat="false" ht="15" hidden="false" customHeight="false" outlineLevel="0" collapsed="false">
      <c r="A129" s="0" t="s">
        <v>22</v>
      </c>
      <c r="B129" s="0" t="s">
        <v>360</v>
      </c>
      <c r="C129" s="0" t="s">
        <v>1882</v>
      </c>
    </row>
    <row r="130" customFormat="false" ht="15" hidden="false" customHeight="false" outlineLevel="0" collapsed="false">
      <c r="A130" s="0" t="s">
        <v>22</v>
      </c>
      <c r="B130" s="0" t="s">
        <v>360</v>
      </c>
      <c r="C130" s="0" t="s">
        <v>2175</v>
      </c>
    </row>
    <row r="131" customFormat="false" ht="15" hidden="false" customHeight="false" outlineLevel="0" collapsed="false">
      <c r="A131" s="0" t="s">
        <v>22</v>
      </c>
      <c r="B131" s="0" t="s">
        <v>367</v>
      </c>
      <c r="C131" s="0" t="s">
        <v>1746</v>
      </c>
      <c r="D131" s="0" t="n">
        <v>0.38</v>
      </c>
    </row>
    <row r="132" customFormat="false" ht="15" hidden="false" customHeight="false" outlineLevel="0" collapsed="false">
      <c r="A132" s="0" t="s">
        <v>22</v>
      </c>
      <c r="B132" s="0" t="s">
        <v>367</v>
      </c>
      <c r="C132" s="0" t="s">
        <v>1882</v>
      </c>
    </row>
    <row r="133" customFormat="false" ht="15" hidden="false" customHeight="false" outlineLevel="0" collapsed="false">
      <c r="A133" s="0" t="s">
        <v>22</v>
      </c>
      <c r="B133" s="0" t="s">
        <v>367</v>
      </c>
      <c r="C133" s="0" t="s">
        <v>2175</v>
      </c>
    </row>
    <row r="134" customFormat="false" ht="15" hidden="false" customHeight="false" outlineLevel="0" collapsed="false">
      <c r="A134" s="0" t="s">
        <v>22</v>
      </c>
      <c r="B134" s="0" t="s">
        <v>374</v>
      </c>
      <c r="C134" s="0" t="s">
        <v>1746</v>
      </c>
      <c r="D134" s="0" t="n">
        <v>0.23</v>
      </c>
    </row>
    <row r="135" customFormat="false" ht="15" hidden="false" customHeight="false" outlineLevel="0" collapsed="false">
      <c r="A135" s="0" t="s">
        <v>22</v>
      </c>
      <c r="B135" s="0" t="s">
        <v>374</v>
      </c>
      <c r="C135" s="0" t="s">
        <v>1882</v>
      </c>
    </row>
    <row r="136" customFormat="false" ht="15" hidden="false" customHeight="false" outlineLevel="0" collapsed="false">
      <c r="A136" s="0" t="s">
        <v>22</v>
      </c>
      <c r="B136" s="0" t="s">
        <v>374</v>
      </c>
      <c r="C136" s="0" t="s">
        <v>2175</v>
      </c>
    </row>
    <row r="137" customFormat="false" ht="15" hidden="false" customHeight="false" outlineLevel="0" collapsed="false">
      <c r="A137" s="0" t="s">
        <v>22</v>
      </c>
      <c r="B137" s="0" t="s">
        <v>378</v>
      </c>
      <c r="C137" s="0" t="s">
        <v>1746</v>
      </c>
      <c r="D137" s="0" t="n">
        <v>4.1</v>
      </c>
    </row>
    <row r="138" customFormat="false" ht="15" hidden="false" customHeight="false" outlineLevel="0" collapsed="false">
      <c r="A138" s="0" t="s">
        <v>22</v>
      </c>
      <c r="B138" s="0" t="s">
        <v>378</v>
      </c>
      <c r="C138" s="0" t="s">
        <v>1882</v>
      </c>
    </row>
    <row r="139" customFormat="false" ht="15" hidden="false" customHeight="false" outlineLevel="0" collapsed="false">
      <c r="A139" s="0" t="s">
        <v>22</v>
      </c>
      <c r="B139" s="0" t="s">
        <v>378</v>
      </c>
      <c r="C139" s="0" t="s">
        <v>2175</v>
      </c>
    </row>
    <row r="140" customFormat="false" ht="15" hidden="false" customHeight="false" outlineLevel="0" collapsed="false">
      <c r="A140" s="0" t="s">
        <v>22</v>
      </c>
      <c r="B140" s="0" t="s">
        <v>382</v>
      </c>
      <c r="C140" s="0" t="s">
        <v>1746</v>
      </c>
      <c r="D140" s="0" t="n">
        <v>4.5</v>
      </c>
    </row>
    <row r="141" customFormat="false" ht="15" hidden="false" customHeight="false" outlineLevel="0" collapsed="false">
      <c r="A141" s="0" t="s">
        <v>22</v>
      </c>
      <c r="B141" s="0" t="s">
        <v>382</v>
      </c>
      <c r="C141" s="0" t="s">
        <v>1882</v>
      </c>
    </row>
    <row r="142" customFormat="false" ht="15" hidden="false" customHeight="false" outlineLevel="0" collapsed="false">
      <c r="A142" s="0" t="s">
        <v>22</v>
      </c>
      <c r="B142" s="0" t="s">
        <v>382</v>
      </c>
      <c r="C142" s="0" t="s">
        <v>2175</v>
      </c>
    </row>
    <row r="143" customFormat="false" ht="15" hidden="false" customHeight="false" outlineLevel="0" collapsed="false">
      <c r="A143" s="0" t="s">
        <v>22</v>
      </c>
      <c r="B143" s="0" t="s">
        <v>386</v>
      </c>
      <c r="C143" s="0" t="s">
        <v>1746</v>
      </c>
      <c r="D143" s="0" t="n">
        <v>10</v>
      </c>
    </row>
    <row r="144" customFormat="false" ht="15" hidden="false" customHeight="false" outlineLevel="0" collapsed="false">
      <c r="A144" s="0" t="s">
        <v>22</v>
      </c>
      <c r="B144" s="0" t="s">
        <v>386</v>
      </c>
      <c r="C144" s="0" t="s">
        <v>1882</v>
      </c>
    </row>
    <row r="145" customFormat="false" ht="15" hidden="false" customHeight="false" outlineLevel="0" collapsed="false">
      <c r="A145" s="0" t="s">
        <v>22</v>
      </c>
      <c r="B145" s="0" t="s">
        <v>386</v>
      </c>
      <c r="C145" s="0" t="s">
        <v>2175</v>
      </c>
    </row>
    <row r="146" customFormat="false" ht="15" hidden="false" customHeight="false" outlineLevel="0" collapsed="false">
      <c r="A146" s="0" t="s">
        <v>22</v>
      </c>
      <c r="B146" s="0" t="s">
        <v>393</v>
      </c>
      <c r="C146" s="0" t="s">
        <v>1746</v>
      </c>
      <c r="D146" s="0" t="n">
        <v>0.8</v>
      </c>
    </row>
    <row r="147" customFormat="false" ht="15" hidden="false" customHeight="false" outlineLevel="0" collapsed="false">
      <c r="A147" s="0" t="s">
        <v>22</v>
      </c>
      <c r="B147" s="0" t="s">
        <v>393</v>
      </c>
      <c r="C147" s="0" t="s">
        <v>1882</v>
      </c>
      <c r="D147" s="0" t="n">
        <v>0.8</v>
      </c>
    </row>
    <row r="148" customFormat="false" ht="15" hidden="false" customHeight="false" outlineLevel="0" collapsed="false">
      <c r="A148" s="0" t="s">
        <v>22</v>
      </c>
      <c r="B148" s="0" t="s">
        <v>393</v>
      </c>
      <c r="C148" s="0" t="s">
        <v>2175</v>
      </c>
    </row>
    <row r="149" customFormat="false" ht="15" hidden="false" customHeight="false" outlineLevel="0" collapsed="false">
      <c r="A149" s="0" t="s">
        <v>22</v>
      </c>
      <c r="B149" s="0" t="s">
        <v>401</v>
      </c>
      <c r="C149" s="0" t="s">
        <v>1746</v>
      </c>
      <c r="D149" s="0" t="n">
        <v>0.44</v>
      </c>
    </row>
    <row r="150" customFormat="false" ht="15" hidden="false" customHeight="false" outlineLevel="0" collapsed="false">
      <c r="A150" s="0" t="s">
        <v>22</v>
      </c>
      <c r="B150" s="0" t="s">
        <v>401</v>
      </c>
      <c r="C150" s="0" t="s">
        <v>1882</v>
      </c>
      <c r="D150" s="0" t="n">
        <v>0.4</v>
      </c>
    </row>
    <row r="151" customFormat="false" ht="15" hidden="false" customHeight="false" outlineLevel="0" collapsed="false">
      <c r="A151" s="0" t="s">
        <v>22</v>
      </c>
      <c r="B151" s="0" t="s">
        <v>401</v>
      </c>
      <c r="C151" s="0" t="s">
        <v>2175</v>
      </c>
      <c r="D151" s="0" t="n">
        <v>0.5</v>
      </c>
    </row>
    <row r="152" customFormat="false" ht="15" hidden="false" customHeight="false" outlineLevel="0" collapsed="false">
      <c r="A152" s="0" t="s">
        <v>22</v>
      </c>
      <c r="B152" s="0" t="s">
        <v>408</v>
      </c>
      <c r="C152" s="0" t="s">
        <v>1746</v>
      </c>
      <c r="D152" s="0" t="n">
        <v>0.71</v>
      </c>
    </row>
    <row r="153" customFormat="false" ht="15" hidden="false" customHeight="false" outlineLevel="0" collapsed="false">
      <c r="A153" s="0" t="s">
        <v>22</v>
      </c>
      <c r="B153" s="0" t="s">
        <v>408</v>
      </c>
      <c r="C153" s="0" t="s">
        <v>1882</v>
      </c>
    </row>
    <row r="154" customFormat="false" ht="15" hidden="false" customHeight="false" outlineLevel="0" collapsed="false">
      <c r="A154" s="0" t="s">
        <v>22</v>
      </c>
      <c r="B154" s="0" t="s">
        <v>408</v>
      </c>
      <c r="C154" s="0" t="s">
        <v>2175</v>
      </c>
    </row>
    <row r="155" customFormat="false" ht="15" hidden="false" customHeight="false" outlineLevel="0" collapsed="false">
      <c r="A155" s="0" t="s">
        <v>22</v>
      </c>
      <c r="B155" s="0" t="s">
        <v>417</v>
      </c>
      <c r="C155" s="0" t="s">
        <v>1746</v>
      </c>
      <c r="D155" s="0" t="n">
        <v>0.56</v>
      </c>
    </row>
    <row r="156" customFormat="false" ht="15" hidden="false" customHeight="false" outlineLevel="0" collapsed="false">
      <c r="A156" s="0" t="s">
        <v>22</v>
      </c>
      <c r="B156" s="0" t="s">
        <v>417</v>
      </c>
      <c r="C156" s="0" t="s">
        <v>1882</v>
      </c>
    </row>
    <row r="157" customFormat="false" ht="15" hidden="false" customHeight="false" outlineLevel="0" collapsed="false">
      <c r="A157" s="0" t="s">
        <v>22</v>
      </c>
      <c r="B157" s="0" t="s">
        <v>417</v>
      </c>
      <c r="C157" s="0" t="s">
        <v>2175</v>
      </c>
    </row>
    <row r="158" customFormat="false" ht="15" hidden="false" customHeight="false" outlineLevel="0" collapsed="false">
      <c r="A158" s="0" t="s">
        <v>22</v>
      </c>
      <c r="B158" s="0" t="s">
        <v>423</v>
      </c>
      <c r="C158" s="0" t="s">
        <v>1746</v>
      </c>
      <c r="D158" s="0" t="n">
        <v>4.8</v>
      </c>
    </row>
    <row r="159" customFormat="false" ht="15" hidden="false" customHeight="false" outlineLevel="0" collapsed="false">
      <c r="A159" s="0" t="s">
        <v>22</v>
      </c>
      <c r="B159" s="0" t="s">
        <v>423</v>
      </c>
      <c r="C159" s="0" t="s">
        <v>1882</v>
      </c>
    </row>
    <row r="160" customFormat="false" ht="15" hidden="false" customHeight="false" outlineLevel="0" collapsed="false">
      <c r="A160" s="0" t="s">
        <v>22</v>
      </c>
      <c r="B160" s="0" t="s">
        <v>423</v>
      </c>
      <c r="C160" s="0" t="s">
        <v>2175</v>
      </c>
    </row>
    <row r="161" customFormat="false" ht="15" hidden="false" customHeight="false" outlineLevel="0" collapsed="false">
      <c r="A161" s="0" t="s">
        <v>22</v>
      </c>
      <c r="B161" s="0" t="s">
        <v>426</v>
      </c>
      <c r="C161" s="0" t="s">
        <v>1746</v>
      </c>
      <c r="D161" s="0" t="n">
        <v>10.9</v>
      </c>
    </row>
    <row r="162" customFormat="false" ht="15" hidden="false" customHeight="false" outlineLevel="0" collapsed="false">
      <c r="A162" s="0" t="s">
        <v>22</v>
      </c>
      <c r="B162" s="0" t="s">
        <v>426</v>
      </c>
      <c r="C162" s="0" t="s">
        <v>1882</v>
      </c>
    </row>
    <row r="163" customFormat="false" ht="15" hidden="false" customHeight="false" outlineLevel="0" collapsed="false">
      <c r="A163" s="0" t="s">
        <v>22</v>
      </c>
      <c r="B163" s="0" t="s">
        <v>426</v>
      </c>
      <c r="C163" s="0" t="s">
        <v>2175</v>
      </c>
    </row>
    <row r="164" customFormat="false" ht="15" hidden="false" customHeight="false" outlineLevel="0" collapsed="false">
      <c r="A164" s="0" t="s">
        <v>22</v>
      </c>
      <c r="B164" s="0" t="s">
        <v>430</v>
      </c>
      <c r="C164" s="0" t="s">
        <v>1746</v>
      </c>
      <c r="D164" s="0" t="n">
        <v>0.5</v>
      </c>
    </row>
    <row r="165" customFormat="false" ht="15" hidden="false" customHeight="false" outlineLevel="0" collapsed="false">
      <c r="A165" s="0" t="s">
        <v>22</v>
      </c>
      <c r="B165" s="0" t="s">
        <v>430</v>
      </c>
      <c r="C165" s="0" t="s">
        <v>1882</v>
      </c>
    </row>
    <row r="166" customFormat="false" ht="15" hidden="false" customHeight="false" outlineLevel="0" collapsed="false">
      <c r="A166" s="0" t="s">
        <v>22</v>
      </c>
      <c r="B166" s="0" t="s">
        <v>430</v>
      </c>
      <c r="C166" s="0" t="s">
        <v>2175</v>
      </c>
    </row>
    <row r="167" customFormat="false" ht="15" hidden="false" customHeight="false" outlineLevel="0" collapsed="false">
      <c r="A167" s="0" t="s">
        <v>22</v>
      </c>
      <c r="B167" s="0" t="s">
        <v>436</v>
      </c>
      <c r="C167" s="0" t="s">
        <v>1746</v>
      </c>
      <c r="D167" s="0" t="n">
        <v>1</v>
      </c>
    </row>
    <row r="168" customFormat="false" ht="15" hidden="false" customHeight="false" outlineLevel="0" collapsed="false">
      <c r="A168" s="0" t="s">
        <v>22</v>
      </c>
      <c r="B168" s="0" t="s">
        <v>436</v>
      </c>
      <c r="C168" s="0" t="s">
        <v>1882</v>
      </c>
    </row>
    <row r="169" customFormat="false" ht="15" hidden="false" customHeight="false" outlineLevel="0" collapsed="false">
      <c r="A169" s="0" t="s">
        <v>22</v>
      </c>
      <c r="B169" s="0" t="s">
        <v>436</v>
      </c>
      <c r="C169" s="0" t="s">
        <v>2175</v>
      </c>
      <c r="D169" s="0" t="n">
        <v>1</v>
      </c>
    </row>
    <row r="170" customFormat="false" ht="15" hidden="false" customHeight="false" outlineLevel="0" collapsed="false">
      <c r="A170" s="0" t="s">
        <v>22</v>
      </c>
      <c r="B170" s="0" t="s">
        <v>439</v>
      </c>
      <c r="C170" s="0" t="s">
        <v>1746</v>
      </c>
      <c r="D170" s="0" t="n">
        <v>1</v>
      </c>
    </row>
    <row r="171" customFormat="false" ht="15" hidden="false" customHeight="false" outlineLevel="0" collapsed="false">
      <c r="A171" s="0" t="s">
        <v>22</v>
      </c>
      <c r="B171" s="0" t="s">
        <v>439</v>
      </c>
      <c r="C171" s="0" t="s">
        <v>1882</v>
      </c>
    </row>
    <row r="172" customFormat="false" ht="15" hidden="false" customHeight="false" outlineLevel="0" collapsed="false">
      <c r="A172" s="0" t="s">
        <v>22</v>
      </c>
      <c r="B172" s="0" t="s">
        <v>439</v>
      </c>
      <c r="C172" s="0" t="s">
        <v>2175</v>
      </c>
    </row>
    <row r="173" customFormat="false" ht="15" hidden="false" customHeight="false" outlineLevel="0" collapsed="false">
      <c r="A173" s="0" t="s">
        <v>22</v>
      </c>
      <c r="B173" s="0" t="s">
        <v>446</v>
      </c>
      <c r="C173" s="0" t="s">
        <v>1746</v>
      </c>
      <c r="D173" s="0" t="n">
        <v>2.5</v>
      </c>
    </row>
    <row r="174" customFormat="false" ht="15" hidden="false" customHeight="false" outlineLevel="0" collapsed="false">
      <c r="A174" s="0" t="s">
        <v>22</v>
      </c>
      <c r="B174" s="0" t="s">
        <v>446</v>
      </c>
      <c r="C174" s="0" t="s">
        <v>1882</v>
      </c>
    </row>
    <row r="175" customFormat="false" ht="15" hidden="false" customHeight="false" outlineLevel="0" collapsed="false">
      <c r="A175" s="0" t="s">
        <v>22</v>
      </c>
      <c r="B175" s="0" t="s">
        <v>446</v>
      </c>
      <c r="C175" s="0" t="s">
        <v>2175</v>
      </c>
    </row>
    <row r="176" customFormat="false" ht="15" hidden="false" customHeight="false" outlineLevel="0" collapsed="false">
      <c r="A176" s="0" t="s">
        <v>22</v>
      </c>
      <c r="B176" s="0" t="s">
        <v>450</v>
      </c>
      <c r="C176" s="0" t="s">
        <v>1746</v>
      </c>
      <c r="D176" s="0" t="n">
        <v>0.5</v>
      </c>
    </row>
    <row r="177" customFormat="false" ht="15" hidden="false" customHeight="false" outlineLevel="0" collapsed="false">
      <c r="A177" s="0" t="s">
        <v>22</v>
      </c>
      <c r="B177" s="0" t="s">
        <v>450</v>
      </c>
      <c r="C177" s="0" t="s">
        <v>1882</v>
      </c>
      <c r="D177" s="0" t="n">
        <v>0.5</v>
      </c>
    </row>
    <row r="178" customFormat="false" ht="15" hidden="false" customHeight="false" outlineLevel="0" collapsed="false">
      <c r="A178" s="0" t="s">
        <v>22</v>
      </c>
      <c r="B178" s="0" t="s">
        <v>450</v>
      </c>
      <c r="C178" s="0" t="s">
        <v>2175</v>
      </c>
    </row>
    <row r="179" customFormat="false" ht="15" hidden="false" customHeight="false" outlineLevel="0" collapsed="false">
      <c r="A179" s="0" t="s">
        <v>22</v>
      </c>
      <c r="B179" s="0" t="s">
        <v>454</v>
      </c>
      <c r="C179" s="0" t="s">
        <v>1746</v>
      </c>
      <c r="D179" s="0" t="n">
        <v>8</v>
      </c>
    </row>
    <row r="180" customFormat="false" ht="15" hidden="false" customHeight="false" outlineLevel="0" collapsed="false">
      <c r="A180" s="0" t="s">
        <v>22</v>
      </c>
      <c r="B180" s="0" t="s">
        <v>454</v>
      </c>
      <c r="C180" s="0" t="s">
        <v>1882</v>
      </c>
      <c r="D180" s="0" t="n">
        <v>5</v>
      </c>
    </row>
    <row r="181" customFormat="false" ht="15" hidden="false" customHeight="false" outlineLevel="0" collapsed="false">
      <c r="A181" s="0" t="s">
        <v>22</v>
      </c>
      <c r="B181" s="0" t="s">
        <v>454</v>
      </c>
      <c r="C181" s="0" t="s">
        <v>2175</v>
      </c>
      <c r="D181" s="0" t="n">
        <v>10</v>
      </c>
    </row>
    <row r="182" customFormat="false" ht="15" hidden="false" customHeight="false" outlineLevel="0" collapsed="false">
      <c r="A182" s="0" t="s">
        <v>22</v>
      </c>
      <c r="B182" s="0" t="s">
        <v>460</v>
      </c>
      <c r="C182" s="0" t="s">
        <v>1746</v>
      </c>
      <c r="D182" s="0" t="n">
        <v>0.725</v>
      </c>
    </row>
    <row r="183" customFormat="false" ht="15" hidden="false" customHeight="false" outlineLevel="0" collapsed="false">
      <c r="A183" s="0" t="s">
        <v>22</v>
      </c>
      <c r="B183" s="0" t="s">
        <v>460</v>
      </c>
      <c r="C183" s="0" t="s">
        <v>1882</v>
      </c>
      <c r="D183" s="0" t="n">
        <v>0.7</v>
      </c>
    </row>
    <row r="184" customFormat="false" ht="15" hidden="false" customHeight="false" outlineLevel="0" collapsed="false">
      <c r="A184" s="0" t="s">
        <v>22</v>
      </c>
      <c r="B184" s="0" t="s">
        <v>460</v>
      </c>
      <c r="C184" s="0" t="s">
        <v>2175</v>
      </c>
      <c r="D184" s="0" t="n">
        <v>0.75</v>
      </c>
    </row>
    <row r="185" customFormat="false" ht="15" hidden="false" customHeight="false" outlineLevel="0" collapsed="false">
      <c r="A185" s="0" t="s">
        <v>22</v>
      </c>
      <c r="B185" s="0" t="s">
        <v>467</v>
      </c>
      <c r="C185" s="0" t="s">
        <v>1746</v>
      </c>
      <c r="D185" s="0" t="n">
        <v>0.125</v>
      </c>
    </row>
    <row r="186" customFormat="false" ht="15" hidden="false" customHeight="false" outlineLevel="0" collapsed="false">
      <c r="A186" s="0" t="s">
        <v>22</v>
      </c>
      <c r="B186" s="0" t="s">
        <v>467</v>
      </c>
      <c r="C186" s="0" t="s">
        <v>1882</v>
      </c>
      <c r="D186" s="0" t="n">
        <v>0.1</v>
      </c>
    </row>
    <row r="187" customFormat="false" ht="15" hidden="false" customHeight="false" outlineLevel="0" collapsed="false">
      <c r="A187" s="0" t="s">
        <v>22</v>
      </c>
      <c r="B187" s="0" t="s">
        <v>467</v>
      </c>
      <c r="C187" s="0" t="s">
        <v>2175</v>
      </c>
      <c r="D187" s="0" t="n">
        <v>0.15</v>
      </c>
    </row>
    <row r="188" customFormat="false" ht="15" hidden="false" customHeight="false" outlineLevel="0" collapsed="false">
      <c r="A188" s="0" t="s">
        <v>22</v>
      </c>
      <c r="B188" s="0" t="s">
        <v>472</v>
      </c>
      <c r="C188" s="0" t="s">
        <v>1746</v>
      </c>
      <c r="D188" s="0" t="n">
        <v>0.15</v>
      </c>
    </row>
    <row r="189" customFormat="false" ht="15" hidden="false" customHeight="false" outlineLevel="0" collapsed="false">
      <c r="A189" s="0" t="s">
        <v>22</v>
      </c>
      <c r="B189" s="0" t="s">
        <v>472</v>
      </c>
      <c r="C189" s="0" t="s">
        <v>1882</v>
      </c>
      <c r="D189" s="0" t="n">
        <v>0.1</v>
      </c>
    </row>
    <row r="190" customFormat="false" ht="15" hidden="false" customHeight="false" outlineLevel="0" collapsed="false">
      <c r="A190" s="0" t="s">
        <v>22</v>
      </c>
      <c r="B190" s="0" t="s">
        <v>472</v>
      </c>
      <c r="C190" s="0" t="s">
        <v>2175</v>
      </c>
      <c r="D190" s="0" t="n">
        <v>0.2</v>
      </c>
    </row>
    <row r="191" customFormat="false" ht="15" hidden="false" customHeight="false" outlineLevel="0" collapsed="false">
      <c r="A191" s="0" t="s">
        <v>22</v>
      </c>
      <c r="B191" s="0" t="s">
        <v>479</v>
      </c>
      <c r="C191" s="0" t="s">
        <v>1746</v>
      </c>
      <c r="D191" s="0" t="n">
        <v>0.909</v>
      </c>
    </row>
    <row r="192" customFormat="false" ht="15" hidden="false" customHeight="false" outlineLevel="0" collapsed="false">
      <c r="A192" s="0" t="s">
        <v>22</v>
      </c>
      <c r="B192" s="0" t="s">
        <v>479</v>
      </c>
      <c r="C192" s="0" t="s">
        <v>1882</v>
      </c>
    </row>
    <row r="193" customFormat="false" ht="15" hidden="false" customHeight="false" outlineLevel="0" collapsed="false">
      <c r="A193" s="0" t="s">
        <v>22</v>
      </c>
      <c r="B193" s="0" t="s">
        <v>479</v>
      </c>
      <c r="C193" s="0" t="s">
        <v>2175</v>
      </c>
    </row>
    <row r="194" customFormat="false" ht="15" hidden="false" customHeight="false" outlineLevel="0" collapsed="false">
      <c r="A194" s="0" t="s">
        <v>22</v>
      </c>
      <c r="B194" s="0" t="s">
        <v>485</v>
      </c>
      <c r="C194" s="0" t="s">
        <v>1746</v>
      </c>
      <c r="D194" s="0" t="n">
        <v>15</v>
      </c>
    </row>
    <row r="195" customFormat="false" ht="15" hidden="false" customHeight="false" outlineLevel="0" collapsed="false">
      <c r="A195" s="0" t="s">
        <v>22</v>
      </c>
      <c r="B195" s="0" t="s">
        <v>485</v>
      </c>
      <c r="C195" s="0" t="s">
        <v>1882</v>
      </c>
    </row>
    <row r="196" customFormat="false" ht="15" hidden="false" customHeight="false" outlineLevel="0" collapsed="false">
      <c r="A196" s="0" t="s">
        <v>22</v>
      </c>
      <c r="B196" s="0" t="s">
        <v>485</v>
      </c>
      <c r="C196" s="0" t="s">
        <v>2175</v>
      </c>
    </row>
    <row r="197" customFormat="false" ht="15" hidden="false" customHeight="false" outlineLevel="0" collapsed="false">
      <c r="A197" s="0" t="s">
        <v>22</v>
      </c>
      <c r="B197" s="0" t="s">
        <v>495</v>
      </c>
      <c r="C197" s="0" t="s">
        <v>1746</v>
      </c>
      <c r="D197" s="0" t="n">
        <v>75</v>
      </c>
    </row>
    <row r="198" customFormat="false" ht="15" hidden="false" customHeight="false" outlineLevel="0" collapsed="false">
      <c r="A198" s="0" t="s">
        <v>22</v>
      </c>
      <c r="B198" s="0" t="s">
        <v>495</v>
      </c>
      <c r="C198" s="0" t="s">
        <v>1882</v>
      </c>
    </row>
    <row r="199" customFormat="false" ht="15" hidden="false" customHeight="false" outlineLevel="0" collapsed="false">
      <c r="A199" s="0" t="s">
        <v>22</v>
      </c>
      <c r="B199" s="0" t="s">
        <v>495</v>
      </c>
      <c r="C199" s="0" t="s">
        <v>2175</v>
      </c>
    </row>
    <row r="200" customFormat="false" ht="15" hidden="false" customHeight="false" outlineLevel="0" collapsed="false">
      <c r="A200" s="0" t="s">
        <v>22</v>
      </c>
      <c r="B200" s="0" t="s">
        <v>498</v>
      </c>
      <c r="C200" s="0" t="s">
        <v>1746</v>
      </c>
      <c r="D200" s="0" t="n">
        <v>3</v>
      </c>
    </row>
    <row r="201" customFormat="false" ht="15" hidden="false" customHeight="false" outlineLevel="0" collapsed="false">
      <c r="A201" s="0" t="s">
        <v>22</v>
      </c>
      <c r="B201" s="0" t="s">
        <v>498</v>
      </c>
      <c r="C201" s="0" t="s">
        <v>1882</v>
      </c>
    </row>
    <row r="202" customFormat="false" ht="15" hidden="false" customHeight="false" outlineLevel="0" collapsed="false">
      <c r="A202" s="0" t="s">
        <v>22</v>
      </c>
      <c r="B202" s="0" t="s">
        <v>498</v>
      </c>
      <c r="C202" s="0" t="s">
        <v>2175</v>
      </c>
    </row>
    <row r="203" customFormat="false" ht="15" hidden="false" customHeight="false" outlineLevel="0" collapsed="false">
      <c r="A203" s="0" t="s">
        <v>22</v>
      </c>
      <c r="B203" s="0" t="s">
        <v>502</v>
      </c>
      <c r="C203" s="0" t="s">
        <v>1746</v>
      </c>
      <c r="D203" s="0" t="n">
        <v>15</v>
      </c>
    </row>
    <row r="204" customFormat="false" ht="15" hidden="false" customHeight="false" outlineLevel="0" collapsed="false">
      <c r="A204" s="0" t="s">
        <v>22</v>
      </c>
      <c r="B204" s="0" t="s">
        <v>502</v>
      </c>
      <c r="C204" s="0" t="s">
        <v>1882</v>
      </c>
    </row>
    <row r="205" customFormat="false" ht="15" hidden="false" customHeight="false" outlineLevel="0" collapsed="false">
      <c r="A205" s="0" t="s">
        <v>22</v>
      </c>
      <c r="B205" s="0" t="s">
        <v>502</v>
      </c>
      <c r="C205" s="0" t="s">
        <v>2175</v>
      </c>
    </row>
    <row r="206" customFormat="false" ht="15" hidden="false" customHeight="false" outlineLevel="0" collapsed="false">
      <c r="A206" s="0" t="s">
        <v>22</v>
      </c>
      <c r="B206" s="0" t="s">
        <v>505</v>
      </c>
      <c r="C206" s="0" t="s">
        <v>1746</v>
      </c>
      <c r="D206" s="0" t="n">
        <v>0.25</v>
      </c>
    </row>
    <row r="207" customFormat="false" ht="15" hidden="false" customHeight="false" outlineLevel="0" collapsed="false">
      <c r="A207" s="0" t="s">
        <v>22</v>
      </c>
      <c r="B207" s="0" t="s">
        <v>505</v>
      </c>
      <c r="C207" s="0" t="s">
        <v>1882</v>
      </c>
    </row>
    <row r="208" customFormat="false" ht="15" hidden="false" customHeight="false" outlineLevel="0" collapsed="false">
      <c r="A208" s="0" t="s">
        <v>22</v>
      </c>
      <c r="B208" s="0" t="s">
        <v>505</v>
      </c>
      <c r="C208" s="0" t="s">
        <v>2175</v>
      </c>
    </row>
    <row r="209" customFormat="false" ht="15" hidden="false" customHeight="false" outlineLevel="0" collapsed="false">
      <c r="A209" s="0" t="s">
        <v>22</v>
      </c>
      <c r="B209" s="0" t="s">
        <v>509</v>
      </c>
      <c r="C209" s="0" t="s">
        <v>1746</v>
      </c>
      <c r="D209" s="0" t="n">
        <v>1.25</v>
      </c>
    </row>
    <row r="210" customFormat="false" ht="15" hidden="false" customHeight="false" outlineLevel="0" collapsed="false">
      <c r="A210" s="0" t="s">
        <v>22</v>
      </c>
      <c r="B210" s="0" t="s">
        <v>509</v>
      </c>
      <c r="C210" s="0" t="s">
        <v>1882</v>
      </c>
    </row>
    <row r="211" customFormat="false" ht="15" hidden="false" customHeight="false" outlineLevel="0" collapsed="false">
      <c r="A211" s="0" t="s">
        <v>22</v>
      </c>
      <c r="B211" s="0" t="s">
        <v>509</v>
      </c>
      <c r="C211" s="0" t="s">
        <v>2175</v>
      </c>
    </row>
    <row r="212" customFormat="false" ht="15" hidden="false" customHeight="false" outlineLevel="0" collapsed="false">
      <c r="A212" s="0" t="s">
        <v>22</v>
      </c>
      <c r="B212" s="0" t="s">
        <v>512</v>
      </c>
      <c r="C212" s="0" t="s">
        <v>1746</v>
      </c>
      <c r="D212" s="0" t="n">
        <v>3</v>
      </c>
    </row>
    <row r="213" customFormat="false" ht="15" hidden="false" customHeight="false" outlineLevel="0" collapsed="false">
      <c r="A213" s="0" t="s">
        <v>22</v>
      </c>
      <c r="B213" s="0" t="s">
        <v>512</v>
      </c>
      <c r="C213" s="0" t="s">
        <v>1882</v>
      </c>
    </row>
    <row r="214" customFormat="false" ht="15" hidden="false" customHeight="false" outlineLevel="0" collapsed="false">
      <c r="A214" s="0" t="s">
        <v>22</v>
      </c>
      <c r="B214" s="0" t="s">
        <v>512</v>
      </c>
      <c r="C214" s="0" t="s">
        <v>2175</v>
      </c>
    </row>
    <row r="215" customFormat="false" ht="15" hidden="false" customHeight="false" outlineLevel="0" collapsed="false">
      <c r="A215" s="0" t="s">
        <v>22</v>
      </c>
      <c r="B215" s="0" t="s">
        <v>520</v>
      </c>
      <c r="C215" s="0" t="s">
        <v>1746</v>
      </c>
      <c r="D215" s="0" t="n">
        <v>15</v>
      </c>
    </row>
    <row r="216" customFormat="false" ht="15" hidden="false" customHeight="false" outlineLevel="0" collapsed="false">
      <c r="A216" s="0" t="s">
        <v>22</v>
      </c>
      <c r="B216" s="0" t="s">
        <v>520</v>
      </c>
      <c r="C216" s="0" t="s">
        <v>1882</v>
      </c>
    </row>
    <row r="217" customFormat="false" ht="15" hidden="false" customHeight="false" outlineLevel="0" collapsed="false">
      <c r="A217" s="0" t="s">
        <v>22</v>
      </c>
      <c r="B217" s="0" t="s">
        <v>520</v>
      </c>
      <c r="C217" s="0" t="s">
        <v>2175</v>
      </c>
    </row>
    <row r="218" customFormat="false" ht="15" hidden="false" customHeight="false" outlineLevel="0" collapsed="false">
      <c r="A218" s="0" t="s">
        <v>22</v>
      </c>
      <c r="B218" s="0" t="s">
        <v>523</v>
      </c>
      <c r="C218" s="0" t="s">
        <v>1746</v>
      </c>
      <c r="D218" s="0" t="n">
        <v>1</v>
      </c>
    </row>
    <row r="219" customFormat="false" ht="15" hidden="false" customHeight="false" outlineLevel="0" collapsed="false">
      <c r="A219" s="0" t="s">
        <v>22</v>
      </c>
      <c r="B219" s="0" t="s">
        <v>523</v>
      </c>
      <c r="C219" s="0" t="s">
        <v>1882</v>
      </c>
    </row>
    <row r="220" customFormat="false" ht="15" hidden="false" customHeight="false" outlineLevel="0" collapsed="false">
      <c r="A220" s="0" t="s">
        <v>22</v>
      </c>
      <c r="B220" s="0" t="s">
        <v>523</v>
      </c>
      <c r="C220" s="0" t="s">
        <v>2175</v>
      </c>
    </row>
    <row r="221" customFormat="false" ht="15" hidden="false" customHeight="false" outlineLevel="0" collapsed="false">
      <c r="A221" s="0" t="s">
        <v>22</v>
      </c>
      <c r="B221" s="0" t="s">
        <v>531</v>
      </c>
      <c r="C221" s="0" t="s">
        <v>1746</v>
      </c>
      <c r="D221" s="0" t="n">
        <v>5</v>
      </c>
    </row>
    <row r="222" customFormat="false" ht="15" hidden="false" customHeight="false" outlineLevel="0" collapsed="false">
      <c r="A222" s="0" t="s">
        <v>22</v>
      </c>
      <c r="B222" s="0" t="s">
        <v>531</v>
      </c>
      <c r="C222" s="0" t="s">
        <v>1882</v>
      </c>
    </row>
    <row r="223" customFormat="false" ht="15" hidden="false" customHeight="false" outlineLevel="0" collapsed="false">
      <c r="A223" s="0" t="s">
        <v>22</v>
      </c>
      <c r="B223" s="0" t="s">
        <v>531</v>
      </c>
      <c r="C223" s="0" t="s">
        <v>2175</v>
      </c>
    </row>
    <row r="224" customFormat="false" ht="15" hidden="false" customHeight="false" outlineLevel="0" collapsed="false">
      <c r="A224" s="0" t="s">
        <v>22</v>
      </c>
      <c r="B224" s="0" t="s">
        <v>534</v>
      </c>
      <c r="C224" s="0" t="s">
        <v>1746</v>
      </c>
      <c r="D224" s="0" t="n">
        <v>0.8</v>
      </c>
    </row>
    <row r="225" customFormat="false" ht="15" hidden="false" customHeight="false" outlineLevel="0" collapsed="false">
      <c r="A225" s="0" t="s">
        <v>22</v>
      </c>
      <c r="B225" s="0" t="s">
        <v>534</v>
      </c>
      <c r="C225" s="0" t="s">
        <v>1882</v>
      </c>
    </row>
    <row r="226" customFormat="false" ht="15" hidden="false" customHeight="false" outlineLevel="0" collapsed="false">
      <c r="A226" s="0" t="s">
        <v>22</v>
      </c>
      <c r="B226" s="0" t="s">
        <v>534</v>
      </c>
      <c r="C226" s="0" t="s">
        <v>2175</v>
      </c>
    </row>
    <row r="227" customFormat="false" ht="15" hidden="false" customHeight="false" outlineLevel="0" collapsed="false">
      <c r="A227" s="0" t="s">
        <v>22</v>
      </c>
      <c r="B227" s="0" t="s">
        <v>541</v>
      </c>
      <c r="C227" s="0" t="s">
        <v>1746</v>
      </c>
      <c r="D227" s="0" t="n">
        <v>4</v>
      </c>
    </row>
    <row r="228" customFormat="false" ht="15" hidden="false" customHeight="false" outlineLevel="0" collapsed="false">
      <c r="A228" s="0" t="s">
        <v>22</v>
      </c>
      <c r="B228" s="0" t="s">
        <v>541</v>
      </c>
      <c r="C228" s="0" t="s">
        <v>1882</v>
      </c>
    </row>
    <row r="229" customFormat="false" ht="15" hidden="false" customHeight="false" outlineLevel="0" collapsed="false">
      <c r="A229" s="0" t="s">
        <v>22</v>
      </c>
      <c r="B229" s="0" t="s">
        <v>541</v>
      </c>
      <c r="C229" s="0" t="s">
        <v>2175</v>
      </c>
    </row>
    <row r="230" customFormat="false" ht="15" hidden="false" customHeight="false" outlineLevel="0" collapsed="false">
      <c r="A230" s="0" t="s">
        <v>22</v>
      </c>
      <c r="B230" s="0" t="s">
        <v>544</v>
      </c>
      <c r="C230" s="0" t="s">
        <v>1746</v>
      </c>
      <c r="D230" s="0" t="n">
        <v>3</v>
      </c>
    </row>
    <row r="231" customFormat="false" ht="15" hidden="false" customHeight="false" outlineLevel="0" collapsed="false">
      <c r="A231" s="0" t="s">
        <v>22</v>
      </c>
      <c r="B231" s="0" t="s">
        <v>544</v>
      </c>
      <c r="C231" s="0" t="s">
        <v>1882</v>
      </c>
    </row>
    <row r="232" customFormat="false" ht="15" hidden="false" customHeight="false" outlineLevel="0" collapsed="false">
      <c r="A232" s="0" t="s">
        <v>22</v>
      </c>
      <c r="B232" s="0" t="s">
        <v>544</v>
      </c>
      <c r="C232" s="0" t="s">
        <v>2175</v>
      </c>
    </row>
    <row r="233" customFormat="false" ht="15" hidden="false" customHeight="false" outlineLevel="0" collapsed="false">
      <c r="A233" s="0" t="s">
        <v>22</v>
      </c>
      <c r="B233" s="0" t="s">
        <v>551</v>
      </c>
      <c r="C233" s="0" t="s">
        <v>1746</v>
      </c>
      <c r="D233" s="0" t="n">
        <v>15</v>
      </c>
    </row>
    <row r="234" customFormat="false" ht="15" hidden="false" customHeight="false" outlineLevel="0" collapsed="false">
      <c r="A234" s="0" t="s">
        <v>22</v>
      </c>
      <c r="B234" s="0" t="s">
        <v>551</v>
      </c>
      <c r="C234" s="0" t="s">
        <v>1882</v>
      </c>
    </row>
    <row r="235" customFormat="false" ht="15" hidden="false" customHeight="false" outlineLevel="0" collapsed="false">
      <c r="A235" s="0" t="s">
        <v>22</v>
      </c>
      <c r="B235" s="0" t="s">
        <v>551</v>
      </c>
      <c r="C235" s="0" t="s">
        <v>2175</v>
      </c>
    </row>
    <row r="236" customFormat="false" ht="15" hidden="false" customHeight="false" outlineLevel="0" collapsed="false">
      <c r="A236" s="0" t="s">
        <v>22</v>
      </c>
      <c r="B236" s="0" t="s">
        <v>554</v>
      </c>
      <c r="C236" s="0" t="s">
        <v>1746</v>
      </c>
      <c r="D236" s="0" t="n">
        <v>15</v>
      </c>
    </row>
    <row r="237" customFormat="false" ht="15" hidden="false" customHeight="false" outlineLevel="0" collapsed="false">
      <c r="A237" s="0" t="s">
        <v>22</v>
      </c>
      <c r="B237" s="0" t="s">
        <v>554</v>
      </c>
      <c r="C237" s="0" t="s">
        <v>1882</v>
      </c>
    </row>
    <row r="238" customFormat="false" ht="15" hidden="false" customHeight="false" outlineLevel="0" collapsed="false">
      <c r="A238" s="0" t="s">
        <v>22</v>
      </c>
      <c r="B238" s="0" t="s">
        <v>554</v>
      </c>
      <c r="C238" s="0" t="s">
        <v>2175</v>
      </c>
    </row>
    <row r="239" customFormat="false" ht="15" hidden="false" customHeight="false" outlineLevel="0" collapsed="false">
      <c r="A239" s="0" t="s">
        <v>22</v>
      </c>
      <c r="B239" s="0" t="s">
        <v>561</v>
      </c>
      <c r="C239" s="0" t="s">
        <v>1746</v>
      </c>
      <c r="D239" s="0" t="n">
        <v>75</v>
      </c>
    </row>
    <row r="240" customFormat="false" ht="15" hidden="false" customHeight="false" outlineLevel="0" collapsed="false">
      <c r="A240" s="0" t="s">
        <v>22</v>
      </c>
      <c r="B240" s="0" t="s">
        <v>561</v>
      </c>
      <c r="C240" s="0" t="s">
        <v>1882</v>
      </c>
    </row>
    <row r="241" customFormat="false" ht="15" hidden="false" customHeight="false" outlineLevel="0" collapsed="false">
      <c r="A241" s="0" t="s">
        <v>22</v>
      </c>
      <c r="B241" s="0" t="s">
        <v>561</v>
      </c>
      <c r="C241" s="0" t="s">
        <v>2175</v>
      </c>
    </row>
    <row r="242" customFormat="false" ht="15" hidden="false" customHeight="false" outlineLevel="0" collapsed="false">
      <c r="A242" s="0" t="s">
        <v>22</v>
      </c>
      <c r="B242" s="0" t="s">
        <v>564</v>
      </c>
      <c r="C242" s="0" t="s">
        <v>1746</v>
      </c>
      <c r="D242" s="0" t="n">
        <v>3</v>
      </c>
    </row>
    <row r="243" customFormat="false" ht="15" hidden="false" customHeight="false" outlineLevel="0" collapsed="false">
      <c r="A243" s="0" t="s">
        <v>22</v>
      </c>
      <c r="B243" s="0" t="s">
        <v>564</v>
      </c>
      <c r="C243" s="0" t="s">
        <v>1882</v>
      </c>
    </row>
    <row r="244" customFormat="false" ht="15" hidden="false" customHeight="false" outlineLevel="0" collapsed="false">
      <c r="A244" s="0" t="s">
        <v>22</v>
      </c>
      <c r="B244" s="0" t="s">
        <v>564</v>
      </c>
      <c r="C244" s="0" t="s">
        <v>2175</v>
      </c>
    </row>
    <row r="245" customFormat="false" ht="15" hidden="false" customHeight="false" outlineLevel="0" collapsed="false">
      <c r="A245" s="0" t="s">
        <v>22</v>
      </c>
      <c r="B245" s="0" t="s">
        <v>568</v>
      </c>
      <c r="C245" s="0" t="s">
        <v>1746</v>
      </c>
      <c r="D245" s="0" t="n">
        <v>15</v>
      </c>
    </row>
    <row r="246" customFormat="false" ht="15" hidden="false" customHeight="false" outlineLevel="0" collapsed="false">
      <c r="A246" s="0" t="s">
        <v>22</v>
      </c>
      <c r="B246" s="0" t="s">
        <v>568</v>
      </c>
      <c r="C246" s="0" t="s">
        <v>1882</v>
      </c>
    </row>
    <row r="247" customFormat="false" ht="15" hidden="false" customHeight="false" outlineLevel="0" collapsed="false">
      <c r="A247" s="0" t="s">
        <v>22</v>
      </c>
      <c r="B247" s="0" t="s">
        <v>568</v>
      </c>
      <c r="C247" s="0" t="s">
        <v>2175</v>
      </c>
    </row>
    <row r="248" customFormat="false" ht="15" hidden="false" customHeight="false" outlineLevel="0" collapsed="false">
      <c r="A248" s="0" t="s">
        <v>22</v>
      </c>
      <c r="B248" s="0" t="s">
        <v>571</v>
      </c>
      <c r="C248" s="0" t="s">
        <v>1746</v>
      </c>
      <c r="D248" s="0" t="n">
        <v>15</v>
      </c>
    </row>
    <row r="249" customFormat="false" ht="15" hidden="false" customHeight="false" outlineLevel="0" collapsed="false">
      <c r="A249" s="0" t="s">
        <v>22</v>
      </c>
      <c r="B249" s="0" t="s">
        <v>571</v>
      </c>
      <c r="C249" s="0" t="s">
        <v>1882</v>
      </c>
    </row>
    <row r="250" customFormat="false" ht="15" hidden="false" customHeight="false" outlineLevel="0" collapsed="false">
      <c r="A250" s="0" t="s">
        <v>22</v>
      </c>
      <c r="B250" s="0" t="s">
        <v>571</v>
      </c>
      <c r="C250" s="0" t="s">
        <v>2175</v>
      </c>
    </row>
    <row r="251" customFormat="false" ht="15" hidden="false" customHeight="false" outlineLevel="0" collapsed="false">
      <c r="A251" s="0" t="s">
        <v>22</v>
      </c>
      <c r="B251" s="0" t="s">
        <v>578</v>
      </c>
      <c r="C251" s="0" t="s">
        <v>1746</v>
      </c>
      <c r="D251" s="0" t="n">
        <v>75</v>
      </c>
    </row>
    <row r="252" customFormat="false" ht="15" hidden="false" customHeight="false" outlineLevel="0" collapsed="false">
      <c r="A252" s="0" t="s">
        <v>22</v>
      </c>
      <c r="B252" s="0" t="s">
        <v>578</v>
      </c>
      <c r="C252" s="0" t="s">
        <v>1882</v>
      </c>
    </row>
    <row r="253" customFormat="false" ht="15" hidden="false" customHeight="false" outlineLevel="0" collapsed="false">
      <c r="A253" s="0" t="s">
        <v>22</v>
      </c>
      <c r="B253" s="0" t="s">
        <v>578</v>
      </c>
      <c r="C253" s="0" t="s">
        <v>2175</v>
      </c>
    </row>
    <row r="254" customFormat="false" ht="15" hidden="false" customHeight="false" outlineLevel="0" collapsed="false">
      <c r="A254" s="0" t="s">
        <v>22</v>
      </c>
      <c r="B254" s="0" t="s">
        <v>581</v>
      </c>
      <c r="C254" s="0" t="s">
        <v>1746</v>
      </c>
      <c r="D254" s="0" t="n">
        <v>3</v>
      </c>
    </row>
    <row r="255" customFormat="false" ht="15" hidden="false" customHeight="false" outlineLevel="0" collapsed="false">
      <c r="A255" s="0" t="s">
        <v>22</v>
      </c>
      <c r="B255" s="0" t="s">
        <v>581</v>
      </c>
      <c r="C255" s="0" t="s">
        <v>1882</v>
      </c>
    </row>
    <row r="256" customFormat="false" ht="15" hidden="false" customHeight="false" outlineLevel="0" collapsed="false">
      <c r="A256" s="0" t="s">
        <v>22</v>
      </c>
      <c r="B256" s="0" t="s">
        <v>581</v>
      </c>
      <c r="C256" s="0" t="s">
        <v>2175</v>
      </c>
    </row>
    <row r="257" customFormat="false" ht="15" hidden="false" customHeight="false" outlineLevel="0" collapsed="false">
      <c r="A257" s="0" t="s">
        <v>22</v>
      </c>
      <c r="B257" s="0" t="s">
        <v>588</v>
      </c>
      <c r="C257" s="0" t="s">
        <v>1746</v>
      </c>
      <c r="D257" s="0" t="n">
        <v>15</v>
      </c>
    </row>
    <row r="258" customFormat="false" ht="15" hidden="false" customHeight="false" outlineLevel="0" collapsed="false">
      <c r="A258" s="0" t="s">
        <v>22</v>
      </c>
      <c r="B258" s="0" t="s">
        <v>588</v>
      </c>
      <c r="C258" s="0" t="s">
        <v>1882</v>
      </c>
    </row>
    <row r="259" customFormat="false" ht="15" hidden="false" customHeight="false" outlineLevel="0" collapsed="false">
      <c r="A259" s="0" t="s">
        <v>22</v>
      </c>
      <c r="B259" s="0" t="s">
        <v>588</v>
      </c>
      <c r="C259" s="0" t="s">
        <v>2175</v>
      </c>
    </row>
    <row r="260" customFormat="false" ht="15" hidden="false" customHeight="false" outlineLevel="0" collapsed="false">
      <c r="A260" s="0" t="s">
        <v>22</v>
      </c>
      <c r="B260" s="0" t="s">
        <v>591</v>
      </c>
      <c r="C260" s="0" t="s">
        <v>1746</v>
      </c>
      <c r="D260" s="0" t="n">
        <v>1</v>
      </c>
    </row>
    <row r="261" customFormat="false" ht="15" hidden="false" customHeight="false" outlineLevel="0" collapsed="false">
      <c r="A261" s="0" t="s">
        <v>22</v>
      </c>
      <c r="B261" s="0" t="s">
        <v>591</v>
      </c>
      <c r="C261" s="0" t="s">
        <v>1882</v>
      </c>
    </row>
    <row r="262" customFormat="false" ht="15" hidden="false" customHeight="false" outlineLevel="0" collapsed="false">
      <c r="A262" s="0" t="s">
        <v>22</v>
      </c>
      <c r="B262" s="0" t="s">
        <v>591</v>
      </c>
      <c r="C262" s="0" t="s">
        <v>2175</v>
      </c>
    </row>
    <row r="263" customFormat="false" ht="15" hidden="false" customHeight="false" outlineLevel="0" collapsed="false">
      <c r="A263" s="0" t="s">
        <v>22</v>
      </c>
      <c r="B263" s="0" t="s">
        <v>597</v>
      </c>
      <c r="C263" s="0" t="s">
        <v>1746</v>
      </c>
      <c r="D263" s="0" t="n">
        <v>5</v>
      </c>
    </row>
    <row r="264" customFormat="false" ht="15" hidden="false" customHeight="false" outlineLevel="0" collapsed="false">
      <c r="A264" s="0" t="s">
        <v>22</v>
      </c>
      <c r="B264" s="0" t="s">
        <v>597</v>
      </c>
      <c r="C264" s="0" t="s">
        <v>1882</v>
      </c>
    </row>
    <row r="265" customFormat="false" ht="15" hidden="false" customHeight="false" outlineLevel="0" collapsed="false">
      <c r="A265" s="0" t="s">
        <v>22</v>
      </c>
      <c r="B265" s="0" t="s">
        <v>597</v>
      </c>
      <c r="C265" s="0" t="s">
        <v>2175</v>
      </c>
    </row>
    <row r="266" customFormat="false" ht="15" hidden="false" customHeight="false" outlineLevel="0" collapsed="false">
      <c r="A266" s="0" t="s">
        <v>22</v>
      </c>
      <c r="B266" s="0" t="s">
        <v>600</v>
      </c>
      <c r="C266" s="0" t="s">
        <v>1746</v>
      </c>
      <c r="D266" s="0" t="n">
        <v>5</v>
      </c>
    </row>
    <row r="267" customFormat="false" ht="15" hidden="false" customHeight="false" outlineLevel="0" collapsed="false">
      <c r="A267" s="0" t="s">
        <v>22</v>
      </c>
      <c r="B267" s="0" t="s">
        <v>600</v>
      </c>
      <c r="C267" s="0" t="s">
        <v>1882</v>
      </c>
    </row>
    <row r="268" customFormat="false" ht="15" hidden="false" customHeight="false" outlineLevel="0" collapsed="false">
      <c r="A268" s="0" t="s">
        <v>22</v>
      </c>
      <c r="B268" s="0" t="s">
        <v>600</v>
      </c>
      <c r="C268" s="0" t="s">
        <v>2175</v>
      </c>
    </row>
    <row r="269" customFormat="false" ht="15" hidden="false" customHeight="false" outlineLevel="0" collapsed="false">
      <c r="A269" s="0" t="s">
        <v>22</v>
      </c>
      <c r="B269" s="0" t="s">
        <v>607</v>
      </c>
      <c r="C269" s="0" t="s">
        <v>1746</v>
      </c>
      <c r="D269" s="0" t="n">
        <v>25</v>
      </c>
    </row>
    <row r="270" customFormat="false" ht="15" hidden="false" customHeight="false" outlineLevel="0" collapsed="false">
      <c r="A270" s="0" t="s">
        <v>22</v>
      </c>
      <c r="B270" s="0" t="s">
        <v>607</v>
      </c>
      <c r="C270" s="0" t="s">
        <v>1882</v>
      </c>
    </row>
    <row r="271" customFormat="false" ht="15" hidden="false" customHeight="false" outlineLevel="0" collapsed="false">
      <c r="A271" s="0" t="s">
        <v>22</v>
      </c>
      <c r="B271" s="0" t="s">
        <v>607</v>
      </c>
      <c r="C271" s="0" t="s">
        <v>2175</v>
      </c>
    </row>
    <row r="272" customFormat="false" ht="15" hidden="false" customHeight="false" outlineLevel="0" collapsed="false">
      <c r="A272" s="0" t="s">
        <v>22</v>
      </c>
      <c r="B272" s="0" t="s">
        <v>610</v>
      </c>
      <c r="C272" s="0" t="s">
        <v>1746</v>
      </c>
      <c r="D272" s="0" t="n">
        <v>5</v>
      </c>
    </row>
    <row r="273" customFormat="false" ht="15" hidden="false" customHeight="false" outlineLevel="0" collapsed="false">
      <c r="A273" s="0" t="s">
        <v>22</v>
      </c>
      <c r="B273" s="0" t="s">
        <v>610</v>
      </c>
      <c r="C273" s="0" t="s">
        <v>1882</v>
      </c>
    </row>
    <row r="274" customFormat="false" ht="15" hidden="false" customHeight="false" outlineLevel="0" collapsed="false">
      <c r="A274" s="0" t="s">
        <v>22</v>
      </c>
      <c r="B274" s="0" t="s">
        <v>610</v>
      </c>
      <c r="C274" s="0" t="s">
        <v>2175</v>
      </c>
    </row>
    <row r="275" customFormat="false" ht="15" hidden="false" customHeight="false" outlineLevel="0" collapsed="false">
      <c r="A275" s="0" t="s">
        <v>22</v>
      </c>
      <c r="B275" s="0" t="s">
        <v>617</v>
      </c>
      <c r="C275" s="0" t="s">
        <v>1746</v>
      </c>
      <c r="D275" s="0" t="n">
        <v>25</v>
      </c>
    </row>
    <row r="276" customFormat="false" ht="15" hidden="false" customHeight="false" outlineLevel="0" collapsed="false">
      <c r="A276" s="0" t="s">
        <v>22</v>
      </c>
      <c r="B276" s="0" t="s">
        <v>617</v>
      </c>
      <c r="C276" s="0" t="s">
        <v>1882</v>
      </c>
    </row>
    <row r="277" customFormat="false" ht="15" hidden="false" customHeight="false" outlineLevel="0" collapsed="false">
      <c r="A277" s="0" t="s">
        <v>22</v>
      </c>
      <c r="B277" s="0" t="s">
        <v>617</v>
      </c>
      <c r="C277" s="0" t="s">
        <v>2175</v>
      </c>
    </row>
    <row r="278" customFormat="false" ht="15" hidden="false" customHeight="false" outlineLevel="0" collapsed="false">
      <c r="A278" s="0" t="s">
        <v>22</v>
      </c>
      <c r="B278" s="0" t="s">
        <v>620</v>
      </c>
      <c r="C278" s="0" t="s">
        <v>1746</v>
      </c>
      <c r="D278" s="0" t="n">
        <v>3</v>
      </c>
    </row>
    <row r="279" customFormat="false" ht="15" hidden="false" customHeight="false" outlineLevel="0" collapsed="false">
      <c r="A279" s="0" t="s">
        <v>22</v>
      </c>
      <c r="B279" s="0" t="s">
        <v>620</v>
      </c>
      <c r="C279" s="0" t="s">
        <v>1882</v>
      </c>
    </row>
    <row r="280" customFormat="false" ht="15" hidden="false" customHeight="false" outlineLevel="0" collapsed="false">
      <c r="A280" s="0" t="s">
        <v>22</v>
      </c>
      <c r="B280" s="0" t="s">
        <v>620</v>
      </c>
      <c r="C280" s="0" t="s">
        <v>2175</v>
      </c>
    </row>
    <row r="281" customFormat="false" ht="15" hidden="false" customHeight="false" outlineLevel="0" collapsed="false">
      <c r="A281" s="0" t="s">
        <v>22</v>
      </c>
      <c r="B281" s="0" t="s">
        <v>627</v>
      </c>
      <c r="C281" s="0" t="s">
        <v>1746</v>
      </c>
      <c r="D281" s="0" t="n">
        <v>15</v>
      </c>
    </row>
    <row r="282" customFormat="false" ht="15" hidden="false" customHeight="false" outlineLevel="0" collapsed="false">
      <c r="A282" s="0" t="s">
        <v>22</v>
      </c>
      <c r="B282" s="0" t="s">
        <v>627</v>
      </c>
      <c r="C282" s="0" t="s">
        <v>1882</v>
      </c>
    </row>
    <row r="283" customFormat="false" ht="15" hidden="false" customHeight="false" outlineLevel="0" collapsed="false">
      <c r="A283" s="0" t="s">
        <v>22</v>
      </c>
      <c r="B283" s="0" t="s">
        <v>627</v>
      </c>
      <c r="C283" s="0" t="s">
        <v>2175</v>
      </c>
    </row>
    <row r="284" customFormat="false" ht="15" hidden="false" customHeight="false" outlineLevel="0" collapsed="false">
      <c r="A284" s="0" t="s">
        <v>22</v>
      </c>
      <c r="B284" s="0" t="s">
        <v>630</v>
      </c>
      <c r="C284" s="0" t="s">
        <v>1746</v>
      </c>
      <c r="D284" s="0" t="n">
        <v>25</v>
      </c>
    </row>
    <row r="285" customFormat="false" ht="15" hidden="false" customHeight="false" outlineLevel="0" collapsed="false">
      <c r="A285" s="0" t="s">
        <v>22</v>
      </c>
      <c r="B285" s="0" t="s">
        <v>630</v>
      </c>
      <c r="C285" s="0" t="s">
        <v>1882</v>
      </c>
    </row>
    <row r="286" customFormat="false" ht="15" hidden="false" customHeight="false" outlineLevel="0" collapsed="false">
      <c r="A286" s="0" t="s">
        <v>22</v>
      </c>
      <c r="B286" s="0" t="s">
        <v>630</v>
      </c>
      <c r="C286" s="0" t="s">
        <v>2175</v>
      </c>
    </row>
    <row r="287" customFormat="false" ht="15" hidden="false" customHeight="false" outlineLevel="0" collapsed="false">
      <c r="A287" s="0" t="s">
        <v>22</v>
      </c>
      <c r="B287" s="0" t="s">
        <v>637</v>
      </c>
      <c r="C287" s="0" t="s">
        <v>1746</v>
      </c>
      <c r="D287" s="0" t="n">
        <v>125</v>
      </c>
    </row>
    <row r="288" customFormat="false" ht="15" hidden="false" customHeight="false" outlineLevel="0" collapsed="false">
      <c r="A288" s="0" t="s">
        <v>22</v>
      </c>
      <c r="B288" s="0" t="s">
        <v>637</v>
      </c>
      <c r="C288" s="0" t="s">
        <v>1882</v>
      </c>
    </row>
    <row r="289" customFormat="false" ht="15" hidden="false" customHeight="false" outlineLevel="0" collapsed="false">
      <c r="A289" s="0" t="s">
        <v>22</v>
      </c>
      <c r="B289" s="0" t="s">
        <v>637</v>
      </c>
      <c r="C289" s="0" t="s">
        <v>2175</v>
      </c>
    </row>
    <row r="290" customFormat="false" ht="15" hidden="false" customHeight="false" outlineLevel="0" collapsed="false">
      <c r="A290" s="0" t="s">
        <v>22</v>
      </c>
      <c r="B290" s="0" t="s">
        <v>640</v>
      </c>
      <c r="C290" s="0" t="s">
        <v>1746</v>
      </c>
      <c r="D290" s="0" t="n">
        <v>5</v>
      </c>
    </row>
    <row r="291" customFormat="false" ht="15" hidden="false" customHeight="false" outlineLevel="0" collapsed="false">
      <c r="A291" s="0" t="s">
        <v>22</v>
      </c>
      <c r="B291" s="0" t="s">
        <v>640</v>
      </c>
      <c r="C291" s="0" t="s">
        <v>1882</v>
      </c>
    </row>
    <row r="292" customFormat="false" ht="15" hidden="false" customHeight="false" outlineLevel="0" collapsed="false">
      <c r="A292" s="0" t="s">
        <v>22</v>
      </c>
      <c r="B292" s="0" t="s">
        <v>640</v>
      </c>
      <c r="C292" s="0" t="s">
        <v>2175</v>
      </c>
    </row>
    <row r="293" customFormat="false" ht="15" hidden="false" customHeight="false" outlineLevel="0" collapsed="false">
      <c r="A293" s="0" t="s">
        <v>22</v>
      </c>
      <c r="B293" s="0" t="s">
        <v>647</v>
      </c>
      <c r="C293" s="0" t="s">
        <v>1746</v>
      </c>
      <c r="D293" s="0" t="n">
        <v>25</v>
      </c>
    </row>
    <row r="294" customFormat="false" ht="15" hidden="false" customHeight="false" outlineLevel="0" collapsed="false">
      <c r="A294" s="0" t="s">
        <v>22</v>
      </c>
      <c r="B294" s="0" t="s">
        <v>647</v>
      </c>
      <c r="C294" s="0" t="s">
        <v>1882</v>
      </c>
    </row>
    <row r="295" customFormat="false" ht="15" hidden="false" customHeight="false" outlineLevel="0" collapsed="false">
      <c r="A295" s="0" t="s">
        <v>22</v>
      </c>
      <c r="B295" s="0" t="s">
        <v>647</v>
      </c>
      <c r="C295" s="0" t="s">
        <v>2175</v>
      </c>
    </row>
    <row r="296" customFormat="false" ht="15" hidden="false" customHeight="false" outlineLevel="0" collapsed="false">
      <c r="A296" s="0" t="s">
        <v>22</v>
      </c>
      <c r="B296" s="0" t="s">
        <v>650</v>
      </c>
      <c r="C296" s="0" t="s">
        <v>1746</v>
      </c>
      <c r="D296" s="0" t="n">
        <v>5</v>
      </c>
    </row>
    <row r="297" customFormat="false" ht="15" hidden="false" customHeight="false" outlineLevel="0" collapsed="false">
      <c r="A297" s="0" t="s">
        <v>22</v>
      </c>
      <c r="B297" s="0" t="s">
        <v>650</v>
      </c>
      <c r="C297" s="0" t="s">
        <v>1882</v>
      </c>
    </row>
    <row r="298" customFormat="false" ht="15" hidden="false" customHeight="false" outlineLevel="0" collapsed="false">
      <c r="A298" s="0" t="s">
        <v>22</v>
      </c>
      <c r="B298" s="0" t="s">
        <v>650</v>
      </c>
      <c r="C298" s="0" t="s">
        <v>2175</v>
      </c>
    </row>
    <row r="299" customFormat="false" ht="15" hidden="false" customHeight="false" outlineLevel="0" collapsed="false">
      <c r="A299" s="0" t="s">
        <v>22</v>
      </c>
      <c r="B299" s="0" t="s">
        <v>656</v>
      </c>
      <c r="C299" s="0" t="s">
        <v>1746</v>
      </c>
      <c r="D299" s="0" t="n">
        <v>25</v>
      </c>
    </row>
    <row r="300" customFormat="false" ht="15" hidden="false" customHeight="false" outlineLevel="0" collapsed="false">
      <c r="A300" s="0" t="s">
        <v>22</v>
      </c>
      <c r="B300" s="0" t="s">
        <v>656</v>
      </c>
      <c r="C300" s="0" t="s">
        <v>1882</v>
      </c>
    </row>
    <row r="301" customFormat="false" ht="15" hidden="false" customHeight="false" outlineLevel="0" collapsed="false">
      <c r="A301" s="0" t="s">
        <v>22</v>
      </c>
      <c r="B301" s="0" t="s">
        <v>656</v>
      </c>
      <c r="C301" s="0" t="s">
        <v>2175</v>
      </c>
    </row>
    <row r="302" customFormat="false" ht="15" hidden="false" customHeight="false" outlineLevel="0" collapsed="false">
      <c r="A302" s="0" t="s">
        <v>22</v>
      </c>
      <c r="B302" s="0" t="s">
        <v>659</v>
      </c>
      <c r="C302" s="0" t="s">
        <v>1746</v>
      </c>
      <c r="D302" s="0" t="n">
        <v>10</v>
      </c>
    </row>
    <row r="303" customFormat="false" ht="15" hidden="false" customHeight="false" outlineLevel="0" collapsed="false">
      <c r="A303" s="0" t="s">
        <v>22</v>
      </c>
      <c r="B303" s="0" t="s">
        <v>659</v>
      </c>
      <c r="C303" s="0" t="s">
        <v>1882</v>
      </c>
    </row>
    <row r="304" customFormat="false" ht="15" hidden="false" customHeight="false" outlineLevel="0" collapsed="false">
      <c r="A304" s="0" t="s">
        <v>22</v>
      </c>
      <c r="B304" s="0" t="s">
        <v>659</v>
      </c>
      <c r="C304" s="0" t="s">
        <v>2175</v>
      </c>
    </row>
    <row r="305" customFormat="false" ht="15" hidden="false" customHeight="false" outlineLevel="0" collapsed="false">
      <c r="A305" s="0" t="s">
        <v>22</v>
      </c>
      <c r="B305" s="0" t="s">
        <v>666</v>
      </c>
      <c r="C305" s="0" t="s">
        <v>1746</v>
      </c>
      <c r="D305" s="0" t="n">
        <v>50</v>
      </c>
    </row>
    <row r="306" customFormat="false" ht="15" hidden="false" customHeight="false" outlineLevel="0" collapsed="false">
      <c r="A306" s="0" t="s">
        <v>22</v>
      </c>
      <c r="B306" s="0" t="s">
        <v>666</v>
      </c>
      <c r="C306" s="0" t="s">
        <v>1882</v>
      </c>
    </row>
    <row r="307" customFormat="false" ht="15" hidden="false" customHeight="false" outlineLevel="0" collapsed="false">
      <c r="A307" s="0" t="s">
        <v>22</v>
      </c>
      <c r="B307" s="0" t="s">
        <v>666</v>
      </c>
      <c r="C307" s="0" t="s">
        <v>2175</v>
      </c>
    </row>
    <row r="308" customFormat="false" ht="15" hidden="false" customHeight="false" outlineLevel="0" collapsed="false">
      <c r="A308" s="0" t="s">
        <v>22</v>
      </c>
      <c r="B308" s="0" t="s">
        <v>669</v>
      </c>
      <c r="C308" s="0" t="s">
        <v>1746</v>
      </c>
      <c r="D308" s="0" t="n">
        <v>10</v>
      </c>
    </row>
    <row r="309" customFormat="false" ht="15" hidden="false" customHeight="false" outlineLevel="0" collapsed="false">
      <c r="A309" s="0" t="s">
        <v>22</v>
      </c>
      <c r="B309" s="0" t="s">
        <v>669</v>
      </c>
      <c r="C309" s="0" t="s">
        <v>1882</v>
      </c>
    </row>
    <row r="310" customFormat="false" ht="15" hidden="false" customHeight="false" outlineLevel="0" collapsed="false">
      <c r="A310" s="0" t="s">
        <v>22</v>
      </c>
      <c r="B310" s="0" t="s">
        <v>669</v>
      </c>
      <c r="C310" s="0" t="s">
        <v>2175</v>
      </c>
    </row>
    <row r="311" customFormat="false" ht="15" hidden="false" customHeight="false" outlineLevel="0" collapsed="false">
      <c r="A311" s="0" t="s">
        <v>22</v>
      </c>
      <c r="B311" s="0" t="s">
        <v>673</v>
      </c>
      <c r="C311" s="0" t="s">
        <v>1746</v>
      </c>
      <c r="D311" s="0" t="n">
        <v>50</v>
      </c>
    </row>
    <row r="312" customFormat="false" ht="15" hidden="false" customHeight="false" outlineLevel="0" collapsed="false">
      <c r="A312" s="0" t="s">
        <v>22</v>
      </c>
      <c r="B312" s="0" t="s">
        <v>673</v>
      </c>
      <c r="C312" s="0" t="s">
        <v>1882</v>
      </c>
    </row>
    <row r="313" customFormat="false" ht="15" hidden="false" customHeight="false" outlineLevel="0" collapsed="false">
      <c r="A313" s="0" t="s">
        <v>22</v>
      </c>
      <c r="B313" s="0" t="s">
        <v>673</v>
      </c>
      <c r="C313" s="0" t="s">
        <v>2175</v>
      </c>
    </row>
    <row r="314" customFormat="false" ht="15" hidden="false" customHeight="false" outlineLevel="0" collapsed="false">
      <c r="A314" s="0" t="s">
        <v>22</v>
      </c>
      <c r="B314" s="0" t="s">
        <v>676</v>
      </c>
      <c r="C314" s="0" t="s">
        <v>1746</v>
      </c>
      <c r="D314" s="0" t="n">
        <v>2</v>
      </c>
    </row>
    <row r="315" customFormat="false" ht="15" hidden="false" customHeight="false" outlineLevel="0" collapsed="false">
      <c r="A315" s="0" t="s">
        <v>22</v>
      </c>
      <c r="B315" s="0" t="s">
        <v>676</v>
      </c>
      <c r="C315" s="0" t="s">
        <v>1882</v>
      </c>
    </row>
    <row r="316" customFormat="false" ht="15" hidden="false" customHeight="false" outlineLevel="0" collapsed="false">
      <c r="A316" s="0" t="s">
        <v>22</v>
      </c>
      <c r="B316" s="0" t="s">
        <v>676</v>
      </c>
      <c r="C316" s="0" t="s">
        <v>2175</v>
      </c>
    </row>
    <row r="317" customFormat="false" ht="15" hidden="false" customHeight="false" outlineLevel="0" collapsed="false">
      <c r="A317" s="0" t="s">
        <v>22</v>
      </c>
      <c r="B317" s="0" t="s">
        <v>683</v>
      </c>
      <c r="C317" s="0" t="s">
        <v>1746</v>
      </c>
      <c r="D317" s="0" t="n">
        <v>10</v>
      </c>
    </row>
    <row r="318" customFormat="false" ht="15" hidden="false" customHeight="false" outlineLevel="0" collapsed="false">
      <c r="A318" s="0" t="s">
        <v>22</v>
      </c>
      <c r="B318" s="0" t="s">
        <v>683</v>
      </c>
      <c r="C318" s="0" t="s">
        <v>1882</v>
      </c>
    </row>
    <row r="319" customFormat="false" ht="15" hidden="false" customHeight="false" outlineLevel="0" collapsed="false">
      <c r="A319" s="0" t="s">
        <v>22</v>
      </c>
      <c r="B319" s="0" t="s">
        <v>683</v>
      </c>
      <c r="C319" s="0" t="s">
        <v>2175</v>
      </c>
    </row>
    <row r="320" customFormat="false" ht="15" hidden="false" customHeight="false" outlineLevel="0" collapsed="false">
      <c r="A320" s="0" t="s">
        <v>22</v>
      </c>
      <c r="B320" s="0" t="s">
        <v>686</v>
      </c>
      <c r="C320" s="0" t="s">
        <v>1746</v>
      </c>
      <c r="D320" s="0" t="n">
        <v>5</v>
      </c>
    </row>
    <row r="321" customFormat="false" ht="15" hidden="false" customHeight="false" outlineLevel="0" collapsed="false">
      <c r="A321" s="0" t="s">
        <v>22</v>
      </c>
      <c r="B321" s="0" t="s">
        <v>686</v>
      </c>
      <c r="C321" s="0" t="s">
        <v>1882</v>
      </c>
    </row>
    <row r="322" customFormat="false" ht="15" hidden="false" customHeight="false" outlineLevel="0" collapsed="false">
      <c r="A322" s="0" t="s">
        <v>22</v>
      </c>
      <c r="B322" s="0" t="s">
        <v>686</v>
      </c>
      <c r="C322" s="0" t="s">
        <v>2175</v>
      </c>
    </row>
    <row r="323" customFormat="false" ht="15" hidden="false" customHeight="false" outlineLevel="0" collapsed="false">
      <c r="A323" s="0" t="s">
        <v>22</v>
      </c>
      <c r="B323" s="0" t="s">
        <v>693</v>
      </c>
      <c r="C323" s="0" t="s">
        <v>1746</v>
      </c>
      <c r="D323" s="0" t="n">
        <v>25</v>
      </c>
    </row>
    <row r="324" customFormat="false" ht="15" hidden="false" customHeight="false" outlineLevel="0" collapsed="false">
      <c r="A324" s="0" t="s">
        <v>22</v>
      </c>
      <c r="B324" s="0" t="s">
        <v>693</v>
      </c>
      <c r="C324" s="0" t="s">
        <v>1882</v>
      </c>
    </row>
    <row r="325" customFormat="false" ht="15" hidden="false" customHeight="false" outlineLevel="0" collapsed="false">
      <c r="A325" s="0" t="s">
        <v>22</v>
      </c>
      <c r="B325" s="0" t="s">
        <v>693</v>
      </c>
      <c r="C325" s="0" t="s">
        <v>2175</v>
      </c>
    </row>
    <row r="326" customFormat="false" ht="15" hidden="false" customHeight="false" outlineLevel="0" collapsed="false">
      <c r="A326" s="0" t="s">
        <v>22</v>
      </c>
      <c r="B326" s="0" t="s">
        <v>696</v>
      </c>
      <c r="C326" s="0" t="s">
        <v>1746</v>
      </c>
      <c r="D326" s="0" t="n">
        <v>10</v>
      </c>
    </row>
    <row r="327" customFormat="false" ht="15" hidden="false" customHeight="false" outlineLevel="0" collapsed="false">
      <c r="A327" s="0" t="s">
        <v>22</v>
      </c>
      <c r="B327" s="0" t="s">
        <v>696</v>
      </c>
      <c r="C327" s="0" t="s">
        <v>1882</v>
      </c>
    </row>
    <row r="328" customFormat="false" ht="15" hidden="false" customHeight="false" outlineLevel="0" collapsed="false">
      <c r="A328" s="0" t="s">
        <v>22</v>
      </c>
      <c r="B328" s="0" t="s">
        <v>696</v>
      </c>
      <c r="C328" s="0" t="s">
        <v>2175</v>
      </c>
    </row>
    <row r="329" customFormat="false" ht="15" hidden="false" customHeight="false" outlineLevel="0" collapsed="false">
      <c r="A329" s="0" t="s">
        <v>22</v>
      </c>
      <c r="B329" s="0" t="s">
        <v>703</v>
      </c>
      <c r="C329" s="0" t="s">
        <v>1746</v>
      </c>
      <c r="D329" s="0" t="n">
        <v>50</v>
      </c>
    </row>
    <row r="330" customFormat="false" ht="15" hidden="false" customHeight="false" outlineLevel="0" collapsed="false">
      <c r="A330" s="0" t="s">
        <v>22</v>
      </c>
      <c r="B330" s="0" t="s">
        <v>703</v>
      </c>
      <c r="C330" s="0" t="s">
        <v>1882</v>
      </c>
    </row>
    <row r="331" customFormat="false" ht="15" hidden="false" customHeight="false" outlineLevel="0" collapsed="false">
      <c r="A331" s="0" t="s">
        <v>22</v>
      </c>
      <c r="B331" s="0" t="s">
        <v>703</v>
      </c>
      <c r="C331" s="0" t="s">
        <v>2175</v>
      </c>
    </row>
    <row r="332" customFormat="false" ht="15" hidden="false" customHeight="false" outlineLevel="0" collapsed="false">
      <c r="A332" s="0" t="s">
        <v>22</v>
      </c>
      <c r="B332" s="0" t="s">
        <v>706</v>
      </c>
      <c r="C332" s="0" t="s">
        <v>1746</v>
      </c>
      <c r="D332" s="0" t="n">
        <v>4</v>
      </c>
    </row>
    <row r="333" customFormat="false" ht="15" hidden="false" customHeight="false" outlineLevel="0" collapsed="false">
      <c r="A333" s="0" t="s">
        <v>22</v>
      </c>
      <c r="B333" s="0" t="s">
        <v>706</v>
      </c>
      <c r="C333" s="0" t="s">
        <v>1882</v>
      </c>
    </row>
    <row r="334" customFormat="false" ht="15" hidden="false" customHeight="false" outlineLevel="0" collapsed="false">
      <c r="A334" s="0" t="s">
        <v>22</v>
      </c>
      <c r="B334" s="0" t="s">
        <v>706</v>
      </c>
      <c r="C334" s="0" t="s">
        <v>2175</v>
      </c>
    </row>
    <row r="335" customFormat="false" ht="15" hidden="false" customHeight="false" outlineLevel="0" collapsed="false">
      <c r="A335" s="0" t="s">
        <v>22</v>
      </c>
      <c r="B335" s="0" t="s">
        <v>713</v>
      </c>
      <c r="C335" s="0" t="s">
        <v>1746</v>
      </c>
      <c r="D335" s="0" t="n">
        <v>20</v>
      </c>
    </row>
    <row r="336" customFormat="false" ht="15" hidden="false" customHeight="false" outlineLevel="0" collapsed="false">
      <c r="A336" s="0" t="s">
        <v>22</v>
      </c>
      <c r="B336" s="0" t="s">
        <v>713</v>
      </c>
      <c r="C336" s="0" t="s">
        <v>1882</v>
      </c>
    </row>
    <row r="337" customFormat="false" ht="15" hidden="false" customHeight="false" outlineLevel="0" collapsed="false">
      <c r="A337" s="0" t="s">
        <v>22</v>
      </c>
      <c r="B337" s="0" t="s">
        <v>713</v>
      </c>
      <c r="C337" s="0" t="s">
        <v>2175</v>
      </c>
    </row>
    <row r="338" customFormat="false" ht="15" hidden="false" customHeight="false" outlineLevel="0" collapsed="false">
      <c r="A338" s="0" t="s">
        <v>22</v>
      </c>
      <c r="B338" s="0" t="s">
        <v>716</v>
      </c>
      <c r="C338" s="0" t="s">
        <v>1746</v>
      </c>
      <c r="D338" s="0" t="n">
        <v>2</v>
      </c>
    </row>
    <row r="339" customFormat="false" ht="15" hidden="false" customHeight="false" outlineLevel="0" collapsed="false">
      <c r="A339" s="0" t="s">
        <v>22</v>
      </c>
      <c r="B339" s="0" t="s">
        <v>716</v>
      </c>
      <c r="C339" s="0" t="s">
        <v>1882</v>
      </c>
    </row>
    <row r="340" customFormat="false" ht="15" hidden="false" customHeight="false" outlineLevel="0" collapsed="false">
      <c r="A340" s="0" t="s">
        <v>22</v>
      </c>
      <c r="B340" s="0" t="s">
        <v>716</v>
      </c>
      <c r="C340" s="0" t="s">
        <v>2175</v>
      </c>
    </row>
    <row r="341" customFormat="false" ht="15" hidden="false" customHeight="false" outlineLevel="0" collapsed="false">
      <c r="A341" s="0" t="s">
        <v>22</v>
      </c>
      <c r="B341" s="0" t="s">
        <v>723</v>
      </c>
      <c r="C341" s="0" t="s">
        <v>1746</v>
      </c>
      <c r="D341" s="0" t="n">
        <v>10</v>
      </c>
    </row>
    <row r="342" customFormat="false" ht="15" hidden="false" customHeight="false" outlineLevel="0" collapsed="false">
      <c r="A342" s="0" t="s">
        <v>22</v>
      </c>
      <c r="B342" s="0" t="s">
        <v>723</v>
      </c>
      <c r="C342" s="0" t="s">
        <v>1882</v>
      </c>
    </row>
    <row r="343" customFormat="false" ht="15" hidden="false" customHeight="false" outlineLevel="0" collapsed="false">
      <c r="A343" s="0" t="s">
        <v>22</v>
      </c>
      <c r="B343" s="0" t="s">
        <v>723</v>
      </c>
      <c r="C343" s="0" t="s">
        <v>2175</v>
      </c>
    </row>
    <row r="344" customFormat="false" ht="15" hidden="false" customHeight="false" outlineLevel="0" collapsed="false">
      <c r="A344" s="0" t="s">
        <v>22</v>
      </c>
      <c r="B344" s="0" t="s">
        <v>726</v>
      </c>
      <c r="C344" s="0" t="s">
        <v>1746</v>
      </c>
      <c r="D344" s="0" t="n">
        <v>0.1</v>
      </c>
    </row>
    <row r="345" customFormat="false" ht="15" hidden="false" customHeight="false" outlineLevel="0" collapsed="false">
      <c r="A345" s="0" t="s">
        <v>22</v>
      </c>
      <c r="B345" s="0" t="s">
        <v>726</v>
      </c>
      <c r="C345" s="0" t="s">
        <v>1882</v>
      </c>
    </row>
    <row r="346" customFormat="false" ht="15" hidden="false" customHeight="false" outlineLevel="0" collapsed="false">
      <c r="A346" s="0" t="s">
        <v>22</v>
      </c>
      <c r="B346" s="0" t="s">
        <v>726</v>
      </c>
      <c r="C346" s="0" t="s">
        <v>2175</v>
      </c>
    </row>
    <row r="347" customFormat="false" ht="15" hidden="false" customHeight="false" outlineLevel="0" collapsed="false">
      <c r="A347" s="0" t="s">
        <v>22</v>
      </c>
      <c r="B347" s="0" t="s">
        <v>733</v>
      </c>
      <c r="C347" s="0" t="s">
        <v>1746</v>
      </c>
      <c r="D347" s="0" t="n">
        <v>0.5</v>
      </c>
    </row>
    <row r="348" customFormat="false" ht="15" hidden="false" customHeight="false" outlineLevel="0" collapsed="false">
      <c r="A348" s="0" t="s">
        <v>22</v>
      </c>
      <c r="B348" s="0" t="s">
        <v>733</v>
      </c>
      <c r="C348" s="0" t="s">
        <v>1882</v>
      </c>
    </row>
    <row r="349" customFormat="false" ht="15" hidden="false" customHeight="false" outlineLevel="0" collapsed="false">
      <c r="A349" s="0" t="s">
        <v>22</v>
      </c>
      <c r="B349" s="0" t="s">
        <v>733</v>
      </c>
      <c r="C349" s="0" t="s">
        <v>2175</v>
      </c>
    </row>
    <row r="350" customFormat="false" ht="15" hidden="false" customHeight="false" outlineLevel="0" collapsed="false">
      <c r="A350" s="0" t="s">
        <v>22</v>
      </c>
      <c r="B350" s="0" t="s">
        <v>736</v>
      </c>
      <c r="C350" s="0" t="s">
        <v>1746</v>
      </c>
      <c r="D350" s="0" t="n">
        <v>10</v>
      </c>
    </row>
    <row r="351" customFormat="false" ht="15" hidden="false" customHeight="false" outlineLevel="0" collapsed="false">
      <c r="A351" s="0" t="s">
        <v>22</v>
      </c>
      <c r="B351" s="0" t="s">
        <v>736</v>
      </c>
      <c r="C351" s="0" t="s">
        <v>1882</v>
      </c>
    </row>
    <row r="352" customFormat="false" ht="15" hidden="false" customHeight="false" outlineLevel="0" collapsed="false">
      <c r="A352" s="0" t="s">
        <v>22</v>
      </c>
      <c r="B352" s="0" t="s">
        <v>736</v>
      </c>
      <c r="C352" s="0" t="s">
        <v>2175</v>
      </c>
    </row>
    <row r="353" customFormat="false" ht="15" hidden="false" customHeight="false" outlineLevel="0" collapsed="false">
      <c r="A353" s="0" t="s">
        <v>22</v>
      </c>
      <c r="B353" s="0" t="s">
        <v>740</v>
      </c>
      <c r="C353" s="0" t="s">
        <v>1746</v>
      </c>
      <c r="D353" s="0" t="n">
        <v>37.5</v>
      </c>
    </row>
    <row r="354" customFormat="false" ht="15" hidden="false" customHeight="false" outlineLevel="0" collapsed="false">
      <c r="A354" s="0" t="s">
        <v>22</v>
      </c>
      <c r="B354" s="0" t="s">
        <v>740</v>
      </c>
      <c r="C354" s="0" t="s">
        <v>1882</v>
      </c>
    </row>
    <row r="355" customFormat="false" ht="15" hidden="false" customHeight="false" outlineLevel="0" collapsed="false">
      <c r="A355" s="0" t="s">
        <v>22</v>
      </c>
      <c r="B355" s="0" t="s">
        <v>740</v>
      </c>
      <c r="C355" s="0" t="s">
        <v>2175</v>
      </c>
    </row>
    <row r="356" customFormat="false" ht="15" hidden="false" customHeight="false" outlineLevel="0" collapsed="false">
      <c r="A356" s="0" t="s">
        <v>22</v>
      </c>
      <c r="B356" s="0" t="s">
        <v>744</v>
      </c>
      <c r="C356" s="0" t="s">
        <v>1746</v>
      </c>
      <c r="D356" s="0" t="n">
        <v>1.1</v>
      </c>
    </row>
    <row r="357" customFormat="false" ht="15" hidden="false" customHeight="false" outlineLevel="0" collapsed="false">
      <c r="A357" s="0" t="s">
        <v>22</v>
      </c>
      <c r="B357" s="0" t="s">
        <v>744</v>
      </c>
      <c r="C357" s="0" t="s">
        <v>1882</v>
      </c>
    </row>
    <row r="358" customFormat="false" ht="15" hidden="false" customHeight="false" outlineLevel="0" collapsed="false">
      <c r="A358" s="0" t="s">
        <v>22</v>
      </c>
      <c r="B358" s="0" t="s">
        <v>744</v>
      </c>
      <c r="C358" s="0" t="s">
        <v>2175</v>
      </c>
    </row>
    <row r="359" customFormat="false" ht="15" hidden="false" customHeight="false" outlineLevel="0" collapsed="false">
      <c r="A359" s="0" t="s">
        <v>22</v>
      </c>
      <c r="B359" s="0" t="s">
        <v>749</v>
      </c>
      <c r="C359" s="0" t="s">
        <v>1746</v>
      </c>
      <c r="D359" s="0" t="n">
        <v>10</v>
      </c>
    </row>
    <row r="360" customFormat="false" ht="15" hidden="false" customHeight="false" outlineLevel="0" collapsed="false">
      <c r="A360" s="0" t="s">
        <v>22</v>
      </c>
      <c r="B360" s="0" t="s">
        <v>749</v>
      </c>
      <c r="C360" s="0" t="s">
        <v>1882</v>
      </c>
    </row>
    <row r="361" customFormat="false" ht="15" hidden="false" customHeight="false" outlineLevel="0" collapsed="false">
      <c r="A361" s="0" t="s">
        <v>22</v>
      </c>
      <c r="B361" s="0" t="s">
        <v>749</v>
      </c>
      <c r="C361" s="0" t="s">
        <v>2175</v>
      </c>
    </row>
    <row r="362" customFormat="false" ht="15" hidden="false" customHeight="false" outlineLevel="0" collapsed="false">
      <c r="A362" s="0" t="s">
        <v>22</v>
      </c>
      <c r="B362" s="0" t="s">
        <v>753</v>
      </c>
      <c r="C362" s="0" t="s">
        <v>1746</v>
      </c>
      <c r="D362" s="0" t="n">
        <v>50</v>
      </c>
    </row>
    <row r="363" customFormat="false" ht="15" hidden="false" customHeight="false" outlineLevel="0" collapsed="false">
      <c r="A363" s="0" t="s">
        <v>22</v>
      </c>
      <c r="B363" s="0" t="s">
        <v>753</v>
      </c>
      <c r="C363" s="0" t="s">
        <v>1882</v>
      </c>
    </row>
    <row r="364" customFormat="false" ht="15" hidden="false" customHeight="false" outlineLevel="0" collapsed="false">
      <c r="A364" s="0" t="s">
        <v>22</v>
      </c>
      <c r="B364" s="0" t="s">
        <v>753</v>
      </c>
      <c r="C364" s="0" t="s">
        <v>2175</v>
      </c>
    </row>
    <row r="365" customFormat="false" ht="15" hidden="false" customHeight="false" outlineLevel="0" collapsed="false">
      <c r="A365" s="0" t="s">
        <v>22</v>
      </c>
      <c r="B365" s="0" t="s">
        <v>757</v>
      </c>
      <c r="C365" s="0" t="s">
        <v>1746</v>
      </c>
      <c r="D365" s="0" t="n">
        <v>2</v>
      </c>
    </row>
    <row r="366" customFormat="false" ht="15" hidden="false" customHeight="false" outlineLevel="0" collapsed="false">
      <c r="A366" s="0" t="s">
        <v>22</v>
      </c>
      <c r="B366" s="0" t="s">
        <v>757</v>
      </c>
      <c r="C366" s="0" t="s">
        <v>1882</v>
      </c>
    </row>
    <row r="367" customFormat="false" ht="15" hidden="false" customHeight="false" outlineLevel="0" collapsed="false">
      <c r="A367" s="0" t="s">
        <v>22</v>
      </c>
      <c r="B367" s="0" t="s">
        <v>757</v>
      </c>
      <c r="C367" s="0" t="s">
        <v>2175</v>
      </c>
    </row>
    <row r="368" customFormat="false" ht="15" hidden="false" customHeight="false" outlineLevel="0" collapsed="false">
      <c r="A368" s="0" t="s">
        <v>22</v>
      </c>
      <c r="B368" s="0" t="s">
        <v>761</v>
      </c>
      <c r="C368" s="0" t="s">
        <v>1746</v>
      </c>
      <c r="D368" s="0" t="n">
        <v>8</v>
      </c>
    </row>
    <row r="369" customFormat="false" ht="15" hidden="false" customHeight="false" outlineLevel="0" collapsed="false">
      <c r="A369" s="0" t="s">
        <v>22</v>
      </c>
      <c r="B369" s="0" t="s">
        <v>761</v>
      </c>
      <c r="C369" s="0" t="s">
        <v>1882</v>
      </c>
    </row>
    <row r="370" customFormat="false" ht="15" hidden="false" customHeight="false" outlineLevel="0" collapsed="false">
      <c r="A370" s="0" t="s">
        <v>22</v>
      </c>
      <c r="B370" s="0" t="s">
        <v>761</v>
      </c>
      <c r="C370" s="0" t="s">
        <v>2175</v>
      </c>
    </row>
    <row r="371" customFormat="false" ht="15" hidden="false" customHeight="false" outlineLevel="0" collapsed="false">
      <c r="A371" s="0" t="s">
        <v>22</v>
      </c>
      <c r="B371" s="0" t="s">
        <v>765</v>
      </c>
      <c r="C371" s="0" t="s">
        <v>1746</v>
      </c>
      <c r="D371" s="0" t="n">
        <v>40</v>
      </c>
    </row>
    <row r="372" customFormat="false" ht="15" hidden="false" customHeight="false" outlineLevel="0" collapsed="false">
      <c r="A372" s="0" t="s">
        <v>22</v>
      </c>
      <c r="B372" s="0" t="s">
        <v>765</v>
      </c>
      <c r="C372" s="0" t="s">
        <v>1882</v>
      </c>
    </row>
    <row r="373" customFormat="false" ht="15" hidden="false" customHeight="false" outlineLevel="0" collapsed="false">
      <c r="A373" s="0" t="s">
        <v>22</v>
      </c>
      <c r="B373" s="0" t="s">
        <v>765</v>
      </c>
      <c r="C373" s="0" t="s">
        <v>2175</v>
      </c>
    </row>
    <row r="374" customFormat="false" ht="15" hidden="false" customHeight="false" outlineLevel="0" collapsed="false">
      <c r="A374" s="0" t="s">
        <v>22</v>
      </c>
      <c r="B374" s="0" t="s">
        <v>769</v>
      </c>
      <c r="C374" s="0" t="s">
        <v>1746</v>
      </c>
      <c r="D374" s="0" t="n">
        <v>0.2</v>
      </c>
    </row>
    <row r="375" customFormat="false" ht="15" hidden="false" customHeight="false" outlineLevel="0" collapsed="false">
      <c r="A375" s="0" t="s">
        <v>22</v>
      </c>
      <c r="B375" s="0" t="s">
        <v>769</v>
      </c>
      <c r="C375" s="0" t="s">
        <v>1882</v>
      </c>
    </row>
    <row r="376" customFormat="false" ht="15" hidden="false" customHeight="false" outlineLevel="0" collapsed="false">
      <c r="A376" s="0" t="s">
        <v>22</v>
      </c>
      <c r="B376" s="0" t="s">
        <v>769</v>
      </c>
      <c r="C376" s="0" t="s">
        <v>2175</v>
      </c>
    </row>
    <row r="377" customFormat="false" ht="15" hidden="false" customHeight="false" outlineLevel="0" collapsed="false">
      <c r="A377" s="0" t="s">
        <v>22</v>
      </c>
      <c r="B377" s="0" t="s">
        <v>773</v>
      </c>
      <c r="C377" s="0" t="s">
        <v>1746</v>
      </c>
      <c r="D377" s="0" t="n">
        <v>0.25</v>
      </c>
    </row>
    <row r="378" customFormat="false" ht="15" hidden="false" customHeight="false" outlineLevel="0" collapsed="false">
      <c r="A378" s="0" t="s">
        <v>22</v>
      </c>
      <c r="B378" s="0" t="s">
        <v>773</v>
      </c>
      <c r="C378" s="0" t="s">
        <v>1882</v>
      </c>
    </row>
    <row r="379" customFormat="false" ht="15" hidden="false" customHeight="false" outlineLevel="0" collapsed="false">
      <c r="A379" s="0" t="s">
        <v>22</v>
      </c>
      <c r="B379" s="0" t="s">
        <v>773</v>
      </c>
      <c r="C379" s="0" t="s">
        <v>2175</v>
      </c>
    </row>
    <row r="380" customFormat="false" ht="15" hidden="false" customHeight="false" outlineLevel="0" collapsed="false">
      <c r="A380" s="0" t="s">
        <v>22</v>
      </c>
      <c r="B380" s="0" t="s">
        <v>777</v>
      </c>
      <c r="C380" s="0" t="s">
        <v>1746</v>
      </c>
      <c r="D380" s="0" t="n">
        <v>0.2</v>
      </c>
    </row>
    <row r="381" customFormat="false" ht="15" hidden="false" customHeight="false" outlineLevel="0" collapsed="false">
      <c r="A381" s="0" t="s">
        <v>22</v>
      </c>
      <c r="B381" s="0" t="s">
        <v>777</v>
      </c>
      <c r="C381" s="0" t="s">
        <v>1882</v>
      </c>
    </row>
    <row r="382" customFormat="false" ht="15" hidden="false" customHeight="false" outlineLevel="0" collapsed="false">
      <c r="A382" s="0" t="s">
        <v>22</v>
      </c>
      <c r="B382" s="0" t="s">
        <v>777</v>
      </c>
      <c r="C382" s="0" t="s">
        <v>2175</v>
      </c>
    </row>
    <row r="383" customFormat="false" ht="15" hidden="false" customHeight="false" outlineLevel="0" collapsed="false">
      <c r="A383" s="0" t="s">
        <v>22</v>
      </c>
      <c r="B383" s="0" t="s">
        <v>781</v>
      </c>
      <c r="C383" s="0" t="s">
        <v>1746</v>
      </c>
      <c r="D383" s="0" t="n">
        <v>0.1</v>
      </c>
    </row>
    <row r="384" customFormat="false" ht="15" hidden="false" customHeight="false" outlineLevel="0" collapsed="false">
      <c r="A384" s="0" t="s">
        <v>22</v>
      </c>
      <c r="B384" s="0" t="s">
        <v>781</v>
      </c>
      <c r="C384" s="0" t="s">
        <v>1882</v>
      </c>
    </row>
    <row r="385" customFormat="false" ht="15" hidden="false" customHeight="false" outlineLevel="0" collapsed="false">
      <c r="A385" s="0" t="s">
        <v>22</v>
      </c>
      <c r="B385" s="0" t="s">
        <v>781</v>
      </c>
      <c r="C385" s="0" t="s">
        <v>2175</v>
      </c>
    </row>
    <row r="386" customFormat="false" ht="15" hidden="false" customHeight="false" outlineLevel="0" collapsed="false">
      <c r="A386" s="0" t="s">
        <v>22</v>
      </c>
      <c r="B386" s="0" t="s">
        <v>785</v>
      </c>
      <c r="C386" s="0" t="s">
        <v>1746</v>
      </c>
      <c r="D386" s="0" t="n">
        <v>2.5</v>
      </c>
    </row>
    <row r="387" customFormat="false" ht="15" hidden="false" customHeight="false" outlineLevel="0" collapsed="false">
      <c r="A387" s="0" t="s">
        <v>22</v>
      </c>
      <c r="B387" s="0" t="s">
        <v>785</v>
      </c>
      <c r="C387" s="0" t="s">
        <v>1882</v>
      </c>
    </row>
    <row r="388" customFormat="false" ht="15" hidden="false" customHeight="false" outlineLevel="0" collapsed="false">
      <c r="A388" s="0" t="s">
        <v>22</v>
      </c>
      <c r="B388" s="0" t="s">
        <v>785</v>
      </c>
      <c r="C388" s="0" t="s">
        <v>2175</v>
      </c>
    </row>
    <row r="389" customFormat="false" ht="15" hidden="false" customHeight="false" outlineLevel="0" collapsed="false">
      <c r="A389" s="0" t="s">
        <v>22</v>
      </c>
      <c r="B389" s="0" t="s">
        <v>790</v>
      </c>
      <c r="C389" s="0" t="s">
        <v>1746</v>
      </c>
      <c r="D389" s="0" t="n">
        <v>0.5</v>
      </c>
    </row>
    <row r="390" customFormat="false" ht="15" hidden="false" customHeight="false" outlineLevel="0" collapsed="false">
      <c r="A390" s="0" t="s">
        <v>22</v>
      </c>
      <c r="B390" s="0" t="s">
        <v>790</v>
      </c>
      <c r="C390" s="0" t="s">
        <v>1882</v>
      </c>
    </row>
    <row r="391" customFormat="false" ht="15" hidden="false" customHeight="false" outlineLevel="0" collapsed="false">
      <c r="A391" s="0" t="s">
        <v>22</v>
      </c>
      <c r="B391" s="0" t="s">
        <v>790</v>
      </c>
      <c r="C391" s="0" t="s">
        <v>2175</v>
      </c>
    </row>
    <row r="392" customFormat="false" ht="15" hidden="false" customHeight="false" outlineLevel="0" collapsed="false">
      <c r="A392" s="0" t="s">
        <v>22</v>
      </c>
      <c r="B392" s="0" t="s">
        <v>794</v>
      </c>
      <c r="C392" s="0" t="s">
        <v>1746</v>
      </c>
      <c r="D392" s="0" t="n">
        <v>2.5</v>
      </c>
    </row>
    <row r="393" customFormat="false" ht="15" hidden="false" customHeight="false" outlineLevel="0" collapsed="false">
      <c r="A393" s="0" t="s">
        <v>22</v>
      </c>
      <c r="B393" s="0" t="s">
        <v>794</v>
      </c>
      <c r="C393" s="0" t="s">
        <v>1882</v>
      </c>
    </row>
    <row r="394" customFormat="false" ht="15" hidden="false" customHeight="false" outlineLevel="0" collapsed="false">
      <c r="A394" s="0" t="s">
        <v>22</v>
      </c>
      <c r="B394" s="0" t="s">
        <v>794</v>
      </c>
      <c r="C394" s="0" t="s">
        <v>2175</v>
      </c>
    </row>
    <row r="395" customFormat="false" ht="15" hidden="false" customHeight="false" outlineLevel="0" collapsed="false">
      <c r="A395" s="0" t="s">
        <v>22</v>
      </c>
      <c r="B395" s="0" t="s">
        <v>798</v>
      </c>
      <c r="C395" s="0" t="s">
        <v>1746</v>
      </c>
      <c r="D395" s="0" t="n">
        <v>0.01</v>
      </c>
    </row>
    <row r="396" customFormat="false" ht="15" hidden="false" customHeight="false" outlineLevel="0" collapsed="false">
      <c r="A396" s="0" t="s">
        <v>22</v>
      </c>
      <c r="B396" s="0" t="s">
        <v>798</v>
      </c>
      <c r="C396" s="0" t="s">
        <v>1882</v>
      </c>
    </row>
    <row r="397" customFormat="false" ht="15" hidden="false" customHeight="false" outlineLevel="0" collapsed="false">
      <c r="A397" s="0" t="s">
        <v>22</v>
      </c>
      <c r="B397" s="0" t="s">
        <v>798</v>
      </c>
      <c r="C397" s="0" t="s">
        <v>2175</v>
      </c>
    </row>
    <row r="398" customFormat="false" ht="15" hidden="false" customHeight="false" outlineLevel="0" collapsed="false">
      <c r="A398" s="0" t="s">
        <v>22</v>
      </c>
      <c r="B398" s="0" t="s">
        <v>802</v>
      </c>
      <c r="C398" s="0" t="s">
        <v>1746</v>
      </c>
      <c r="D398" s="0" t="n">
        <v>1.25</v>
      </c>
    </row>
    <row r="399" customFormat="false" ht="15" hidden="false" customHeight="false" outlineLevel="0" collapsed="false">
      <c r="A399" s="0" t="s">
        <v>22</v>
      </c>
      <c r="B399" s="0" t="s">
        <v>802</v>
      </c>
      <c r="C399" s="0" t="s">
        <v>1882</v>
      </c>
    </row>
    <row r="400" customFormat="false" ht="15" hidden="false" customHeight="false" outlineLevel="0" collapsed="false">
      <c r="A400" s="0" t="s">
        <v>22</v>
      </c>
      <c r="B400" s="0" t="s">
        <v>802</v>
      </c>
      <c r="C400" s="0" t="s">
        <v>2175</v>
      </c>
    </row>
    <row r="401" customFormat="false" ht="15" hidden="false" customHeight="false" outlineLevel="0" collapsed="false">
      <c r="A401" s="0" t="s">
        <v>22</v>
      </c>
      <c r="B401" s="0" t="s">
        <v>806</v>
      </c>
      <c r="C401" s="0" t="s">
        <v>1746</v>
      </c>
      <c r="D401" s="0" t="n">
        <v>0.1</v>
      </c>
    </row>
    <row r="402" customFormat="false" ht="15" hidden="false" customHeight="false" outlineLevel="0" collapsed="false">
      <c r="A402" s="0" t="s">
        <v>22</v>
      </c>
      <c r="B402" s="0" t="s">
        <v>806</v>
      </c>
      <c r="C402" s="0" t="s">
        <v>1882</v>
      </c>
    </row>
    <row r="403" customFormat="false" ht="15" hidden="false" customHeight="false" outlineLevel="0" collapsed="false">
      <c r="A403" s="0" t="s">
        <v>22</v>
      </c>
      <c r="B403" s="0" t="s">
        <v>806</v>
      </c>
      <c r="C403" s="0" t="s">
        <v>2175</v>
      </c>
    </row>
    <row r="404" customFormat="false" ht="15" hidden="false" customHeight="false" outlineLevel="0" collapsed="false">
      <c r="A404" s="0" t="s">
        <v>22</v>
      </c>
      <c r="B404" s="0" t="s">
        <v>810</v>
      </c>
      <c r="C404" s="0" t="s">
        <v>1746</v>
      </c>
      <c r="D404" s="0" t="n">
        <v>1.25</v>
      </c>
    </row>
    <row r="405" customFormat="false" ht="15" hidden="false" customHeight="false" outlineLevel="0" collapsed="false">
      <c r="A405" s="0" t="s">
        <v>22</v>
      </c>
      <c r="B405" s="0" t="s">
        <v>810</v>
      </c>
      <c r="C405" s="0" t="s">
        <v>1882</v>
      </c>
    </row>
    <row r="406" customFormat="false" ht="15" hidden="false" customHeight="false" outlineLevel="0" collapsed="false">
      <c r="A406" s="0" t="s">
        <v>22</v>
      </c>
      <c r="B406" s="0" t="s">
        <v>810</v>
      </c>
      <c r="C406" s="0" t="s">
        <v>2175</v>
      </c>
    </row>
    <row r="407" customFormat="false" ht="15" hidden="false" customHeight="false" outlineLevel="0" collapsed="false">
      <c r="A407" s="0" t="s">
        <v>22</v>
      </c>
      <c r="B407" s="0" t="s">
        <v>818</v>
      </c>
      <c r="C407" s="0" t="s">
        <v>1746</v>
      </c>
      <c r="D407" s="0" t="n">
        <v>2</v>
      </c>
    </row>
    <row r="408" customFormat="false" ht="15" hidden="false" customHeight="false" outlineLevel="0" collapsed="false">
      <c r="A408" s="0" t="s">
        <v>22</v>
      </c>
      <c r="B408" s="0" t="s">
        <v>818</v>
      </c>
      <c r="C408" s="0" t="s">
        <v>1882</v>
      </c>
    </row>
    <row r="409" customFormat="false" ht="15" hidden="false" customHeight="false" outlineLevel="0" collapsed="false">
      <c r="A409" s="0" t="s">
        <v>22</v>
      </c>
      <c r="B409" s="0" t="s">
        <v>818</v>
      </c>
      <c r="C409" s="0" t="s">
        <v>2175</v>
      </c>
    </row>
    <row r="410" customFormat="false" ht="15" hidden="false" customHeight="false" outlineLevel="0" collapsed="false">
      <c r="A410" s="0" t="s">
        <v>22</v>
      </c>
      <c r="B410" s="0" t="s">
        <v>823</v>
      </c>
      <c r="C410" s="0" t="s">
        <v>1746</v>
      </c>
      <c r="D410" s="0" t="n">
        <v>0.1</v>
      </c>
    </row>
    <row r="411" customFormat="false" ht="15" hidden="false" customHeight="false" outlineLevel="0" collapsed="false">
      <c r="A411" s="0" t="s">
        <v>22</v>
      </c>
      <c r="B411" s="0" t="s">
        <v>823</v>
      </c>
      <c r="C411" s="0" t="s">
        <v>1882</v>
      </c>
    </row>
    <row r="412" customFormat="false" ht="15" hidden="false" customHeight="false" outlineLevel="0" collapsed="false">
      <c r="A412" s="0" t="s">
        <v>22</v>
      </c>
      <c r="B412" s="0" t="s">
        <v>823</v>
      </c>
      <c r="C412" s="0" t="s">
        <v>2175</v>
      </c>
    </row>
    <row r="413" customFormat="false" ht="15" hidden="false" customHeight="false" outlineLevel="0" collapsed="false">
      <c r="A413" s="0" t="s">
        <v>22</v>
      </c>
      <c r="B413" s="0" t="s">
        <v>827</v>
      </c>
      <c r="C413" s="0" t="s">
        <v>1746</v>
      </c>
      <c r="D413" s="0" t="n">
        <v>0.5</v>
      </c>
    </row>
    <row r="414" customFormat="false" ht="15" hidden="false" customHeight="false" outlineLevel="0" collapsed="false">
      <c r="A414" s="0" t="s">
        <v>22</v>
      </c>
      <c r="B414" s="0" t="s">
        <v>827</v>
      </c>
      <c r="C414" s="0" t="s">
        <v>1882</v>
      </c>
    </row>
    <row r="415" customFormat="false" ht="15" hidden="false" customHeight="false" outlineLevel="0" collapsed="false">
      <c r="A415" s="0" t="s">
        <v>22</v>
      </c>
      <c r="B415" s="0" t="s">
        <v>827</v>
      </c>
      <c r="C415" s="0" t="s">
        <v>2175</v>
      </c>
    </row>
    <row r="416" customFormat="false" ht="15" hidden="false" customHeight="false" outlineLevel="0" collapsed="false">
      <c r="A416" s="0" t="s">
        <v>22</v>
      </c>
      <c r="B416" s="0" t="s">
        <v>832</v>
      </c>
      <c r="C416" s="0" t="s">
        <v>1746</v>
      </c>
      <c r="D416" s="0" t="n">
        <v>0.5</v>
      </c>
    </row>
    <row r="417" customFormat="false" ht="15" hidden="false" customHeight="false" outlineLevel="0" collapsed="false">
      <c r="A417" s="0" t="s">
        <v>22</v>
      </c>
      <c r="B417" s="0" t="s">
        <v>832</v>
      </c>
      <c r="C417" s="0" t="s">
        <v>1882</v>
      </c>
    </row>
    <row r="418" customFormat="false" ht="15" hidden="false" customHeight="false" outlineLevel="0" collapsed="false">
      <c r="A418" s="0" t="s">
        <v>22</v>
      </c>
      <c r="B418" s="0" t="s">
        <v>832</v>
      </c>
      <c r="C418" s="0" t="s">
        <v>2175</v>
      </c>
    </row>
    <row r="419" customFormat="false" ht="15" hidden="false" customHeight="false" outlineLevel="0" collapsed="false">
      <c r="A419" s="0" t="s">
        <v>22</v>
      </c>
      <c r="B419" s="0" t="s">
        <v>838</v>
      </c>
      <c r="C419" s="0" t="s">
        <v>1746</v>
      </c>
      <c r="D419" s="0" t="n">
        <v>0</v>
      </c>
    </row>
    <row r="420" customFormat="false" ht="15" hidden="false" customHeight="false" outlineLevel="0" collapsed="false">
      <c r="A420" s="0" t="s">
        <v>22</v>
      </c>
      <c r="B420" s="0" t="s">
        <v>838</v>
      </c>
      <c r="C420" s="0" t="s">
        <v>1882</v>
      </c>
    </row>
    <row r="421" customFormat="false" ht="15" hidden="false" customHeight="false" outlineLevel="0" collapsed="false">
      <c r="A421" s="0" t="s">
        <v>22</v>
      </c>
      <c r="B421" s="0" t="s">
        <v>838</v>
      </c>
      <c r="C421" s="0" t="s">
        <v>2175</v>
      </c>
    </row>
    <row r="422" customFormat="false" ht="15" hidden="false" customHeight="false" outlineLevel="0" collapsed="false">
      <c r="A422" s="0" t="s">
        <v>22</v>
      </c>
      <c r="B422" s="0" t="s">
        <v>843</v>
      </c>
      <c r="C422" s="0" t="s">
        <v>1746</v>
      </c>
      <c r="D422" s="0" t="n">
        <v>20</v>
      </c>
    </row>
    <row r="423" customFormat="false" ht="15" hidden="false" customHeight="false" outlineLevel="0" collapsed="false">
      <c r="A423" s="0" t="s">
        <v>22</v>
      </c>
      <c r="B423" s="0" t="s">
        <v>843</v>
      </c>
      <c r="C423" s="0" t="s">
        <v>1882</v>
      </c>
    </row>
    <row r="424" customFormat="false" ht="15" hidden="false" customHeight="false" outlineLevel="0" collapsed="false">
      <c r="A424" s="0" t="s">
        <v>22</v>
      </c>
      <c r="B424" s="0" t="s">
        <v>843</v>
      </c>
      <c r="C424" s="0" t="s">
        <v>2175</v>
      </c>
    </row>
    <row r="425" customFormat="false" ht="15" hidden="false" customHeight="false" outlineLevel="0" collapsed="false">
      <c r="A425" s="0" t="s">
        <v>22</v>
      </c>
      <c r="B425" s="0" t="s">
        <v>852</v>
      </c>
      <c r="C425" s="0" t="s">
        <v>1746</v>
      </c>
      <c r="D425" s="0" t="n">
        <v>17</v>
      </c>
    </row>
    <row r="426" customFormat="false" ht="15" hidden="false" customHeight="false" outlineLevel="0" collapsed="false">
      <c r="A426" s="0" t="s">
        <v>22</v>
      </c>
      <c r="B426" s="0" t="s">
        <v>852</v>
      </c>
      <c r="C426" s="0" t="s">
        <v>1882</v>
      </c>
    </row>
    <row r="427" customFormat="false" ht="15" hidden="false" customHeight="false" outlineLevel="0" collapsed="false">
      <c r="A427" s="0" t="s">
        <v>22</v>
      </c>
      <c r="B427" s="0" t="s">
        <v>852</v>
      </c>
      <c r="C427" s="0" t="s">
        <v>2175</v>
      </c>
    </row>
    <row r="428" customFormat="false" ht="15" hidden="false" customHeight="false" outlineLevel="0" collapsed="false">
      <c r="A428" s="0" t="s">
        <v>22</v>
      </c>
      <c r="B428" s="0" t="s">
        <v>857</v>
      </c>
      <c r="C428" s="0" t="s">
        <v>1746</v>
      </c>
      <c r="D428" s="0" t="n">
        <v>100</v>
      </c>
    </row>
    <row r="429" customFormat="false" ht="15" hidden="false" customHeight="false" outlineLevel="0" collapsed="false">
      <c r="A429" s="0" t="s">
        <v>22</v>
      </c>
      <c r="B429" s="0" t="s">
        <v>857</v>
      </c>
      <c r="C429" s="0" t="s">
        <v>1882</v>
      </c>
    </row>
    <row r="430" customFormat="false" ht="15" hidden="false" customHeight="false" outlineLevel="0" collapsed="false">
      <c r="A430" s="0" t="s">
        <v>22</v>
      </c>
      <c r="B430" s="0" t="s">
        <v>857</v>
      </c>
      <c r="C430" s="0" t="s">
        <v>2175</v>
      </c>
    </row>
    <row r="431" customFormat="false" ht="15" hidden="false" customHeight="false" outlineLevel="0" collapsed="false">
      <c r="A431" s="0" t="s">
        <v>22</v>
      </c>
      <c r="B431" s="0" t="s">
        <v>861</v>
      </c>
      <c r="C431" s="0" t="s">
        <v>1746</v>
      </c>
      <c r="D431" s="0" t="n">
        <v>200</v>
      </c>
    </row>
    <row r="432" customFormat="false" ht="15" hidden="false" customHeight="false" outlineLevel="0" collapsed="false">
      <c r="A432" s="0" t="s">
        <v>22</v>
      </c>
      <c r="B432" s="0" t="s">
        <v>861</v>
      </c>
      <c r="C432" s="0" t="s">
        <v>1882</v>
      </c>
    </row>
    <row r="433" customFormat="false" ht="15" hidden="false" customHeight="false" outlineLevel="0" collapsed="false">
      <c r="A433" s="0" t="s">
        <v>22</v>
      </c>
      <c r="B433" s="0" t="s">
        <v>861</v>
      </c>
      <c r="C433" s="0" t="s">
        <v>2175</v>
      </c>
    </row>
    <row r="434" customFormat="false" ht="15" hidden="false" customHeight="false" outlineLevel="0" collapsed="false">
      <c r="A434" s="0" t="s">
        <v>22</v>
      </c>
      <c r="B434" s="0" t="s">
        <v>865</v>
      </c>
      <c r="C434" s="0" t="s">
        <v>1746</v>
      </c>
      <c r="D434" s="0" t="n">
        <v>100</v>
      </c>
    </row>
    <row r="435" customFormat="false" ht="15" hidden="false" customHeight="false" outlineLevel="0" collapsed="false">
      <c r="A435" s="0" t="s">
        <v>22</v>
      </c>
      <c r="B435" s="0" t="s">
        <v>865</v>
      </c>
      <c r="C435" s="0" t="s">
        <v>1882</v>
      </c>
    </row>
    <row r="436" customFormat="false" ht="15" hidden="false" customHeight="false" outlineLevel="0" collapsed="false">
      <c r="A436" s="0" t="s">
        <v>22</v>
      </c>
      <c r="B436" s="0" t="s">
        <v>865</v>
      </c>
      <c r="C436" s="0" t="s">
        <v>2175</v>
      </c>
    </row>
    <row r="437" customFormat="false" ht="15" hidden="false" customHeight="false" outlineLevel="0" collapsed="false">
      <c r="A437" s="0" t="s">
        <v>22</v>
      </c>
      <c r="B437" s="0" t="s">
        <v>873</v>
      </c>
      <c r="C437" s="0" t="s">
        <v>1746</v>
      </c>
      <c r="D437" s="0" t="n">
        <v>20</v>
      </c>
    </row>
    <row r="438" customFormat="false" ht="15" hidden="false" customHeight="false" outlineLevel="0" collapsed="false">
      <c r="A438" s="0" t="s">
        <v>22</v>
      </c>
      <c r="B438" s="0" t="s">
        <v>873</v>
      </c>
      <c r="C438" s="0" t="s">
        <v>1882</v>
      </c>
    </row>
    <row r="439" customFormat="false" ht="15" hidden="false" customHeight="false" outlineLevel="0" collapsed="false">
      <c r="A439" s="0" t="s">
        <v>22</v>
      </c>
      <c r="B439" s="0" t="s">
        <v>873</v>
      </c>
      <c r="C439" s="0" t="s">
        <v>2175</v>
      </c>
    </row>
    <row r="440" customFormat="false" ht="15" hidden="false" customHeight="false" outlineLevel="0" collapsed="false">
      <c r="A440" s="0" t="s">
        <v>22</v>
      </c>
      <c r="B440" s="0" t="s">
        <v>882</v>
      </c>
      <c r="C440" s="0" t="s">
        <v>1746</v>
      </c>
      <c r="D440" s="0" t="n">
        <v>25</v>
      </c>
    </row>
    <row r="441" customFormat="false" ht="15" hidden="false" customHeight="false" outlineLevel="0" collapsed="false">
      <c r="A441" s="0" t="s">
        <v>22</v>
      </c>
      <c r="B441" s="0" t="s">
        <v>882</v>
      </c>
      <c r="C441" s="0" t="s">
        <v>1882</v>
      </c>
    </row>
    <row r="442" customFormat="false" ht="15" hidden="false" customHeight="false" outlineLevel="0" collapsed="false">
      <c r="A442" s="0" t="s">
        <v>22</v>
      </c>
      <c r="B442" s="0" t="s">
        <v>882</v>
      </c>
      <c r="C442" s="0" t="s">
        <v>2175</v>
      </c>
    </row>
    <row r="443" customFormat="false" ht="15" hidden="false" customHeight="false" outlineLevel="0" collapsed="false">
      <c r="A443" s="0" t="s">
        <v>22</v>
      </c>
      <c r="B443" s="0" t="s">
        <v>887</v>
      </c>
      <c r="C443" s="0" t="s">
        <v>1746</v>
      </c>
      <c r="D443" s="0" t="n">
        <v>100</v>
      </c>
    </row>
    <row r="444" customFormat="false" ht="15" hidden="false" customHeight="false" outlineLevel="0" collapsed="false">
      <c r="A444" s="0" t="s">
        <v>22</v>
      </c>
      <c r="B444" s="0" t="s">
        <v>887</v>
      </c>
      <c r="C444" s="0" t="s">
        <v>1882</v>
      </c>
    </row>
    <row r="445" customFormat="false" ht="15" hidden="false" customHeight="false" outlineLevel="0" collapsed="false">
      <c r="A445" s="0" t="s">
        <v>22</v>
      </c>
      <c r="B445" s="0" t="s">
        <v>887</v>
      </c>
      <c r="C445" s="0" t="s">
        <v>2175</v>
      </c>
    </row>
    <row r="446" customFormat="false" ht="15" hidden="false" customHeight="false" outlineLevel="0" collapsed="false">
      <c r="A446" s="0" t="s">
        <v>22</v>
      </c>
      <c r="B446" s="0" t="s">
        <v>891</v>
      </c>
      <c r="C446" s="0" t="s">
        <v>1746</v>
      </c>
      <c r="D446" s="0" t="n">
        <v>125</v>
      </c>
    </row>
    <row r="447" customFormat="false" ht="15" hidden="false" customHeight="false" outlineLevel="0" collapsed="false">
      <c r="A447" s="0" t="s">
        <v>22</v>
      </c>
      <c r="B447" s="0" t="s">
        <v>891</v>
      </c>
      <c r="C447" s="0" t="s">
        <v>1882</v>
      </c>
    </row>
    <row r="448" customFormat="false" ht="15" hidden="false" customHeight="false" outlineLevel="0" collapsed="false">
      <c r="A448" s="0" t="s">
        <v>22</v>
      </c>
      <c r="B448" s="0" t="s">
        <v>891</v>
      </c>
      <c r="C448" s="0" t="s">
        <v>2175</v>
      </c>
    </row>
    <row r="449" customFormat="false" ht="15" hidden="false" customHeight="false" outlineLevel="0" collapsed="false">
      <c r="A449" s="0" t="s">
        <v>22</v>
      </c>
      <c r="B449" s="0" t="s">
        <v>895</v>
      </c>
      <c r="C449" s="0" t="s">
        <v>1746</v>
      </c>
      <c r="D449" s="0" t="n">
        <v>25</v>
      </c>
    </row>
    <row r="450" customFormat="false" ht="15" hidden="false" customHeight="false" outlineLevel="0" collapsed="false">
      <c r="A450" s="0" t="s">
        <v>22</v>
      </c>
      <c r="B450" s="0" t="s">
        <v>895</v>
      </c>
      <c r="C450" s="0" t="s">
        <v>1882</v>
      </c>
    </row>
    <row r="451" customFormat="false" ht="15" hidden="false" customHeight="false" outlineLevel="0" collapsed="false">
      <c r="A451" s="0" t="s">
        <v>22</v>
      </c>
      <c r="B451" s="0" t="s">
        <v>895</v>
      </c>
      <c r="C451" s="0" t="s">
        <v>2175</v>
      </c>
    </row>
    <row r="452" customFormat="false" ht="15" hidden="false" customHeight="false" outlineLevel="0" collapsed="false">
      <c r="A452" s="0" t="s">
        <v>22</v>
      </c>
      <c r="B452" s="0" t="s">
        <v>899</v>
      </c>
      <c r="C452" s="0" t="s">
        <v>1746</v>
      </c>
      <c r="D452" s="0" t="n">
        <v>2</v>
      </c>
    </row>
    <row r="453" customFormat="false" ht="15" hidden="false" customHeight="false" outlineLevel="0" collapsed="false">
      <c r="A453" s="0" t="s">
        <v>22</v>
      </c>
      <c r="B453" s="0" t="s">
        <v>899</v>
      </c>
      <c r="C453" s="0" t="s">
        <v>1882</v>
      </c>
    </row>
    <row r="454" customFormat="false" ht="15" hidden="false" customHeight="false" outlineLevel="0" collapsed="false">
      <c r="A454" s="0" t="s">
        <v>22</v>
      </c>
      <c r="B454" s="0" t="s">
        <v>899</v>
      </c>
      <c r="C454" s="0" t="s">
        <v>2175</v>
      </c>
    </row>
    <row r="455" customFormat="false" ht="15" hidden="false" customHeight="false" outlineLevel="0" collapsed="false">
      <c r="A455" s="0" t="s">
        <v>22</v>
      </c>
      <c r="B455" s="0" t="s">
        <v>906</v>
      </c>
      <c r="C455" s="0" t="s">
        <v>1746</v>
      </c>
      <c r="D455" s="0" t="n">
        <v>20</v>
      </c>
    </row>
    <row r="456" customFormat="false" ht="15" hidden="false" customHeight="false" outlineLevel="0" collapsed="false">
      <c r="A456" s="0" t="s">
        <v>22</v>
      </c>
      <c r="B456" s="0" t="s">
        <v>906</v>
      </c>
      <c r="C456" s="0" t="s">
        <v>1882</v>
      </c>
    </row>
    <row r="457" customFormat="false" ht="15" hidden="false" customHeight="false" outlineLevel="0" collapsed="false">
      <c r="A457" s="0" t="s">
        <v>22</v>
      </c>
      <c r="B457" s="0" t="s">
        <v>906</v>
      </c>
      <c r="C457" s="0" t="s">
        <v>2175</v>
      </c>
    </row>
    <row r="458" customFormat="false" ht="15" hidden="false" customHeight="false" outlineLevel="0" collapsed="false">
      <c r="A458" s="0" t="s">
        <v>22</v>
      </c>
      <c r="B458" s="0" t="s">
        <v>913</v>
      </c>
      <c r="C458" s="0" t="s">
        <v>1746</v>
      </c>
      <c r="D458" s="0" t="n">
        <v>60</v>
      </c>
    </row>
    <row r="459" customFormat="false" ht="15" hidden="false" customHeight="false" outlineLevel="0" collapsed="false">
      <c r="A459" s="0" t="s">
        <v>22</v>
      </c>
      <c r="B459" s="0" t="s">
        <v>913</v>
      </c>
      <c r="C459" s="0" t="s">
        <v>1882</v>
      </c>
      <c r="D459" s="0" t="n">
        <v>40</v>
      </c>
    </row>
    <row r="460" customFormat="false" ht="15" hidden="false" customHeight="false" outlineLevel="0" collapsed="false">
      <c r="A460" s="0" t="s">
        <v>22</v>
      </c>
      <c r="B460" s="0" t="s">
        <v>913</v>
      </c>
      <c r="C460" s="0" t="s">
        <v>2175</v>
      </c>
      <c r="D460" s="0" t="n">
        <v>60</v>
      </c>
    </row>
    <row r="461" customFormat="false" ht="15" hidden="false" customHeight="false" outlineLevel="0" collapsed="false">
      <c r="A461" s="0" t="s">
        <v>22</v>
      </c>
      <c r="B461" s="0" t="s">
        <v>920</v>
      </c>
      <c r="C461" s="0" t="s">
        <v>1746</v>
      </c>
    </row>
    <row r="462" customFormat="false" ht="15" hidden="false" customHeight="false" outlineLevel="0" collapsed="false">
      <c r="A462" s="0" t="s">
        <v>22</v>
      </c>
      <c r="B462" s="0" t="s">
        <v>920</v>
      </c>
      <c r="C462" s="0" t="s">
        <v>1882</v>
      </c>
    </row>
    <row r="463" customFormat="false" ht="15" hidden="false" customHeight="false" outlineLevel="0" collapsed="false">
      <c r="A463" s="0" t="s">
        <v>22</v>
      </c>
      <c r="B463" s="0" t="s">
        <v>920</v>
      </c>
      <c r="C463" s="0" t="s">
        <v>2175</v>
      </c>
    </row>
    <row r="464" customFormat="false" ht="15" hidden="false" customHeight="false" outlineLevel="0" collapsed="false">
      <c r="A464" s="0" t="s">
        <v>22</v>
      </c>
      <c r="B464" s="0" t="s">
        <v>928</v>
      </c>
      <c r="C464" s="0" t="s">
        <v>1746</v>
      </c>
      <c r="D464" s="0" t="n">
        <v>2</v>
      </c>
    </row>
    <row r="465" customFormat="false" ht="15" hidden="false" customHeight="false" outlineLevel="0" collapsed="false">
      <c r="A465" s="0" t="s">
        <v>22</v>
      </c>
      <c r="B465" s="0" t="s">
        <v>928</v>
      </c>
      <c r="C465" s="0" t="s">
        <v>1882</v>
      </c>
    </row>
    <row r="466" customFormat="false" ht="15" hidden="false" customHeight="false" outlineLevel="0" collapsed="false">
      <c r="A466" s="0" t="s">
        <v>22</v>
      </c>
      <c r="B466" s="0" t="s">
        <v>928</v>
      </c>
      <c r="C466" s="0" t="s">
        <v>2175</v>
      </c>
    </row>
    <row r="467" customFormat="false" ht="15" hidden="false" customHeight="false" outlineLevel="0" collapsed="false">
      <c r="A467" s="0" t="s">
        <v>22</v>
      </c>
      <c r="B467" s="0" t="s">
        <v>933</v>
      </c>
      <c r="C467" s="0" t="s">
        <v>1746</v>
      </c>
    </row>
    <row r="468" customFormat="false" ht="15" hidden="false" customHeight="false" outlineLevel="0" collapsed="false">
      <c r="A468" s="0" t="s">
        <v>22</v>
      </c>
      <c r="B468" s="0" t="s">
        <v>933</v>
      </c>
      <c r="C468" s="0" t="s">
        <v>1882</v>
      </c>
    </row>
    <row r="469" customFormat="false" ht="15" hidden="false" customHeight="false" outlineLevel="0" collapsed="false">
      <c r="A469" s="0" t="s">
        <v>22</v>
      </c>
      <c r="B469" s="0" t="s">
        <v>933</v>
      </c>
      <c r="C469" s="0" t="s">
        <v>2175</v>
      </c>
    </row>
    <row r="470" customFormat="false" ht="15" hidden="false" customHeight="false" outlineLevel="0" collapsed="false">
      <c r="A470" s="0" t="s">
        <v>22</v>
      </c>
      <c r="B470" s="0" t="s">
        <v>937</v>
      </c>
      <c r="C470" s="0" t="s">
        <v>1746</v>
      </c>
      <c r="D470" s="0" t="n">
        <f aca="false">SRC_ANT_089/SRC_ANT_079-1</f>
        <v>-0.666666666666667</v>
      </c>
    </row>
    <row r="471" customFormat="false" ht="15" hidden="false" customHeight="false" outlineLevel="0" collapsed="false">
      <c r="A471" s="0" t="s">
        <v>22</v>
      </c>
      <c r="B471" s="0" t="s">
        <v>937</v>
      </c>
      <c r="C471" s="0" t="s">
        <v>1882</v>
      </c>
    </row>
    <row r="472" customFormat="false" ht="15" hidden="false" customHeight="false" outlineLevel="0" collapsed="false">
      <c r="A472" s="0" t="s">
        <v>22</v>
      </c>
      <c r="B472" s="0" t="s">
        <v>937</v>
      </c>
      <c r="C472" s="0" t="s">
        <v>2175</v>
      </c>
    </row>
    <row r="473" customFormat="false" ht="15" hidden="false" customHeight="false" outlineLevel="0" collapsed="false">
      <c r="A473" s="0" t="s">
        <v>22</v>
      </c>
      <c r="B473" s="0" t="s">
        <v>942</v>
      </c>
      <c r="C473" s="0" t="s">
        <v>1746</v>
      </c>
      <c r="D473" s="0" t="n">
        <v>-0.2</v>
      </c>
    </row>
    <row r="474" customFormat="false" ht="15" hidden="false" customHeight="false" outlineLevel="0" collapsed="false">
      <c r="A474" s="0" t="s">
        <v>22</v>
      </c>
      <c r="B474" s="0" t="s">
        <v>942</v>
      </c>
      <c r="C474" s="0" t="s">
        <v>1882</v>
      </c>
    </row>
    <row r="475" customFormat="false" ht="15" hidden="false" customHeight="false" outlineLevel="0" collapsed="false">
      <c r="A475" s="0" t="s">
        <v>22</v>
      </c>
      <c r="B475" s="0" t="s">
        <v>942</v>
      </c>
      <c r="C475" s="0" t="s">
        <v>2175</v>
      </c>
    </row>
    <row r="476" customFormat="false" ht="15" hidden="false" customHeight="false" outlineLevel="0" collapsed="false">
      <c r="A476" s="0" t="s">
        <v>22</v>
      </c>
      <c r="B476" s="0" t="s">
        <v>946</v>
      </c>
      <c r="C476" s="0" t="s">
        <v>1746</v>
      </c>
      <c r="D476" s="0" t="n">
        <v>-0.9</v>
      </c>
    </row>
    <row r="477" customFormat="false" ht="15" hidden="false" customHeight="false" outlineLevel="0" collapsed="false">
      <c r="A477" s="0" t="s">
        <v>22</v>
      </c>
      <c r="B477" s="0" t="s">
        <v>946</v>
      </c>
      <c r="C477" s="0" t="s">
        <v>1882</v>
      </c>
    </row>
    <row r="478" customFormat="false" ht="15" hidden="false" customHeight="false" outlineLevel="0" collapsed="false">
      <c r="A478" s="0" t="s">
        <v>22</v>
      </c>
      <c r="B478" s="0" t="s">
        <v>946</v>
      </c>
      <c r="C478" s="0" t="s">
        <v>2175</v>
      </c>
    </row>
    <row r="479" customFormat="false" ht="15" hidden="false" customHeight="false" outlineLevel="0" collapsed="false">
      <c r="A479" s="0" t="s">
        <v>22</v>
      </c>
      <c r="B479" s="0" t="s">
        <v>950</v>
      </c>
      <c r="C479" s="0" t="s">
        <v>1746</v>
      </c>
      <c r="D479" s="0" t="n">
        <v>-0.333</v>
      </c>
    </row>
    <row r="480" customFormat="false" ht="15" hidden="false" customHeight="false" outlineLevel="0" collapsed="false">
      <c r="A480" s="0" t="s">
        <v>22</v>
      </c>
      <c r="B480" s="0" t="s">
        <v>950</v>
      </c>
      <c r="C480" s="0" t="s">
        <v>1882</v>
      </c>
    </row>
    <row r="481" customFormat="false" ht="15" hidden="false" customHeight="false" outlineLevel="0" collapsed="false">
      <c r="A481" s="0" t="s">
        <v>22</v>
      </c>
      <c r="B481" s="0" t="s">
        <v>950</v>
      </c>
      <c r="C481" s="0" t="s">
        <v>2175</v>
      </c>
    </row>
    <row r="482" customFormat="false" ht="15" hidden="false" customHeight="false" outlineLevel="0" collapsed="false">
      <c r="A482" s="0" t="s">
        <v>22</v>
      </c>
      <c r="B482" s="0" t="s">
        <v>956</v>
      </c>
      <c r="C482" s="0" t="s">
        <v>1746</v>
      </c>
      <c r="D482" s="0" t="n">
        <v>300000</v>
      </c>
    </row>
    <row r="483" customFormat="false" ht="15" hidden="false" customHeight="false" outlineLevel="0" collapsed="false">
      <c r="A483" s="0" t="s">
        <v>22</v>
      </c>
      <c r="B483" s="0" t="s">
        <v>956</v>
      </c>
      <c r="C483" s="0" t="s">
        <v>1882</v>
      </c>
    </row>
    <row r="484" customFormat="false" ht="15" hidden="false" customHeight="false" outlineLevel="0" collapsed="false">
      <c r="A484" s="0" t="s">
        <v>22</v>
      </c>
      <c r="B484" s="0" t="s">
        <v>956</v>
      </c>
      <c r="C484" s="0" t="s">
        <v>2175</v>
      </c>
    </row>
    <row r="485" customFormat="false" ht="15" hidden="false" customHeight="false" outlineLevel="0" collapsed="false">
      <c r="A485" s="0" t="s">
        <v>22</v>
      </c>
      <c r="B485" s="0" t="s">
        <v>962</v>
      </c>
      <c r="C485" s="0" t="s">
        <v>1746</v>
      </c>
      <c r="D485" s="0" t="n">
        <v>300000</v>
      </c>
    </row>
    <row r="486" customFormat="false" ht="15" hidden="false" customHeight="false" outlineLevel="0" collapsed="false">
      <c r="A486" s="0" t="s">
        <v>22</v>
      </c>
      <c r="B486" s="0" t="s">
        <v>962</v>
      </c>
      <c r="C486" s="0" t="s">
        <v>1882</v>
      </c>
    </row>
    <row r="487" customFormat="false" ht="15" hidden="false" customHeight="false" outlineLevel="0" collapsed="false">
      <c r="A487" s="0" t="s">
        <v>22</v>
      </c>
      <c r="B487" s="0" t="s">
        <v>962</v>
      </c>
      <c r="C487" s="0" t="s">
        <v>2175</v>
      </c>
    </row>
    <row r="488" customFormat="false" ht="15" hidden="false" customHeight="false" outlineLevel="0" collapsed="false">
      <c r="A488" s="0" t="s">
        <v>22</v>
      </c>
      <c r="B488" s="0" t="s">
        <v>966</v>
      </c>
      <c r="C488" s="0" t="s">
        <v>1746</v>
      </c>
      <c r="D488" s="0" t="n">
        <v>7</v>
      </c>
    </row>
    <row r="489" customFormat="false" ht="15" hidden="false" customHeight="false" outlineLevel="0" collapsed="false">
      <c r="A489" s="0" t="s">
        <v>22</v>
      </c>
      <c r="B489" s="0" t="s">
        <v>966</v>
      </c>
      <c r="C489" s="0" t="s">
        <v>1882</v>
      </c>
    </row>
    <row r="490" customFormat="false" ht="15" hidden="false" customHeight="false" outlineLevel="0" collapsed="false">
      <c r="A490" s="0" t="s">
        <v>22</v>
      </c>
      <c r="B490" s="0" t="s">
        <v>966</v>
      </c>
      <c r="C490" s="0" t="s">
        <v>2175</v>
      </c>
    </row>
    <row r="491" customFormat="false" ht="15" hidden="false" customHeight="false" outlineLevel="0" collapsed="false">
      <c r="A491" s="0" t="s">
        <v>22</v>
      </c>
      <c r="B491" s="0" t="s">
        <v>971</v>
      </c>
      <c r="C491" s="0" t="s">
        <v>1746</v>
      </c>
      <c r="D491" s="0" t="n">
        <v>7</v>
      </c>
    </row>
    <row r="492" customFormat="false" ht="15" hidden="false" customHeight="false" outlineLevel="0" collapsed="false">
      <c r="A492" s="0" t="s">
        <v>22</v>
      </c>
      <c r="B492" s="0" t="s">
        <v>971</v>
      </c>
      <c r="C492" s="0" t="s">
        <v>1882</v>
      </c>
    </row>
    <row r="493" customFormat="false" ht="15" hidden="false" customHeight="false" outlineLevel="0" collapsed="false">
      <c r="A493" s="0" t="s">
        <v>22</v>
      </c>
      <c r="B493" s="0" t="s">
        <v>971</v>
      </c>
      <c r="C493" s="0" t="s">
        <v>2175</v>
      </c>
    </row>
    <row r="494" customFormat="false" ht="15" hidden="false" customHeight="false" outlineLevel="0" collapsed="false">
      <c r="A494" s="0" t="s">
        <v>22</v>
      </c>
      <c r="B494" s="0" t="s">
        <v>974</v>
      </c>
      <c r="C494" s="0" t="s">
        <v>1746</v>
      </c>
      <c r="D494" s="0" t="n">
        <v>500</v>
      </c>
    </row>
    <row r="495" customFormat="false" ht="15" hidden="false" customHeight="false" outlineLevel="0" collapsed="false">
      <c r="A495" s="0" t="s">
        <v>22</v>
      </c>
      <c r="B495" s="0" t="s">
        <v>974</v>
      </c>
      <c r="C495" s="0" t="s">
        <v>1882</v>
      </c>
    </row>
    <row r="496" customFormat="false" ht="15" hidden="false" customHeight="false" outlineLevel="0" collapsed="false">
      <c r="A496" s="0" t="s">
        <v>22</v>
      </c>
      <c r="B496" s="0" t="s">
        <v>974</v>
      </c>
      <c r="C496" s="0" t="s">
        <v>2175</v>
      </c>
    </row>
    <row r="497" customFormat="false" ht="15" hidden="false" customHeight="false" outlineLevel="0" collapsed="false">
      <c r="A497" s="0" t="s">
        <v>22</v>
      </c>
      <c r="B497" s="0" t="s">
        <v>978</v>
      </c>
      <c r="C497" s="0" t="s">
        <v>1746</v>
      </c>
      <c r="D497" s="0" t="n">
        <v>12</v>
      </c>
    </row>
    <row r="498" customFormat="false" ht="15" hidden="false" customHeight="false" outlineLevel="0" collapsed="false">
      <c r="A498" s="0" t="s">
        <v>22</v>
      </c>
      <c r="B498" s="0" t="s">
        <v>978</v>
      </c>
      <c r="C498" s="0" t="s">
        <v>1882</v>
      </c>
    </row>
    <row r="499" customFormat="false" ht="15" hidden="false" customHeight="false" outlineLevel="0" collapsed="false">
      <c r="A499" s="0" t="s">
        <v>22</v>
      </c>
      <c r="B499" s="0" t="s">
        <v>978</v>
      </c>
      <c r="C499" s="0" t="s">
        <v>2175</v>
      </c>
    </row>
    <row r="500" customFormat="false" ht="15" hidden="false" customHeight="false" outlineLevel="0" collapsed="false">
      <c r="A500" s="0" t="s">
        <v>22</v>
      </c>
      <c r="B500" s="0" t="s">
        <v>982</v>
      </c>
      <c r="C500" s="0" t="s">
        <v>1746</v>
      </c>
      <c r="D500" s="0" t="n">
        <v>1000</v>
      </c>
    </row>
    <row r="501" customFormat="false" ht="15" hidden="false" customHeight="false" outlineLevel="0" collapsed="false">
      <c r="A501" s="0" t="s">
        <v>22</v>
      </c>
      <c r="B501" s="0" t="s">
        <v>982</v>
      </c>
      <c r="C501" s="0" t="s">
        <v>1882</v>
      </c>
    </row>
    <row r="502" customFormat="false" ht="15" hidden="false" customHeight="false" outlineLevel="0" collapsed="false">
      <c r="A502" s="0" t="s">
        <v>22</v>
      </c>
      <c r="B502" s="0" t="s">
        <v>982</v>
      </c>
      <c r="C502" s="0" t="s">
        <v>2175</v>
      </c>
    </row>
    <row r="503" customFormat="false" ht="15" hidden="false" customHeight="false" outlineLevel="0" collapsed="false">
      <c r="A503" s="0" t="s">
        <v>22</v>
      </c>
      <c r="B503" s="0" t="s">
        <v>985</v>
      </c>
      <c r="C503" s="0" t="s">
        <v>1746</v>
      </c>
      <c r="D503" s="0" t="n">
        <v>100000</v>
      </c>
    </row>
    <row r="504" customFormat="false" ht="15" hidden="false" customHeight="false" outlineLevel="0" collapsed="false">
      <c r="A504" s="0" t="s">
        <v>22</v>
      </c>
      <c r="B504" s="0" t="s">
        <v>985</v>
      </c>
      <c r="C504" s="0" t="s">
        <v>1882</v>
      </c>
    </row>
    <row r="505" customFormat="false" ht="15" hidden="false" customHeight="false" outlineLevel="0" collapsed="false">
      <c r="A505" s="0" t="s">
        <v>22</v>
      </c>
      <c r="B505" s="0" t="s">
        <v>985</v>
      </c>
      <c r="C505" s="0" t="s">
        <v>2175</v>
      </c>
    </row>
    <row r="506" customFormat="false" ht="15" hidden="false" customHeight="false" outlineLevel="0" collapsed="false">
      <c r="A506" s="0" t="s">
        <v>22</v>
      </c>
      <c r="B506" s="0" t="s">
        <v>992</v>
      </c>
      <c r="C506" s="0" t="s">
        <v>1746</v>
      </c>
      <c r="D506" s="0" t="n">
        <v>2</v>
      </c>
    </row>
    <row r="507" customFormat="false" ht="15" hidden="false" customHeight="false" outlineLevel="0" collapsed="false">
      <c r="A507" s="0" t="s">
        <v>22</v>
      </c>
      <c r="B507" s="0" t="s">
        <v>992</v>
      </c>
      <c r="C507" s="0" t="s">
        <v>1882</v>
      </c>
      <c r="D507" s="0" t="n">
        <v>2</v>
      </c>
    </row>
    <row r="508" customFormat="false" ht="15" hidden="false" customHeight="false" outlineLevel="0" collapsed="false">
      <c r="A508" s="0" t="s">
        <v>22</v>
      </c>
      <c r="B508" s="0" t="s">
        <v>992</v>
      </c>
      <c r="C508" s="0" t="s">
        <v>2175</v>
      </c>
    </row>
    <row r="509" customFormat="false" ht="15" hidden="false" customHeight="false" outlineLevel="0" collapsed="false">
      <c r="A509" s="0" t="s">
        <v>22</v>
      </c>
      <c r="B509" s="0" t="s">
        <v>1000</v>
      </c>
      <c r="C509" s="0" t="s">
        <v>1746</v>
      </c>
    </row>
    <row r="510" customFormat="false" ht="15" hidden="false" customHeight="false" outlineLevel="0" collapsed="false">
      <c r="A510" s="0" t="s">
        <v>22</v>
      </c>
      <c r="B510" s="0" t="s">
        <v>1000</v>
      </c>
      <c r="C510" s="0" t="s">
        <v>1882</v>
      </c>
      <c r="D510" s="0" t="n">
        <v>18</v>
      </c>
    </row>
    <row r="511" customFormat="false" ht="15" hidden="false" customHeight="false" outlineLevel="0" collapsed="false">
      <c r="A511" s="0" t="s">
        <v>22</v>
      </c>
      <c r="B511" s="0" t="s">
        <v>1000</v>
      </c>
      <c r="C511" s="0" t="s">
        <v>2175</v>
      </c>
      <c r="D511" s="0" t="n">
        <v>30</v>
      </c>
    </row>
    <row r="512" customFormat="false" ht="15" hidden="false" customHeight="false" outlineLevel="0" collapsed="false">
      <c r="A512" s="0" t="s">
        <v>22</v>
      </c>
      <c r="B512" s="0" t="s">
        <v>1006</v>
      </c>
      <c r="C512" s="0" t="s">
        <v>1746</v>
      </c>
      <c r="D512" s="0" t="n">
        <v>56</v>
      </c>
    </row>
    <row r="513" customFormat="false" ht="15" hidden="false" customHeight="false" outlineLevel="0" collapsed="false">
      <c r="A513" s="0" t="s">
        <v>22</v>
      </c>
      <c r="B513" s="0" t="s">
        <v>1006</v>
      </c>
      <c r="C513" s="0" t="s">
        <v>1882</v>
      </c>
      <c r="D513" s="0" t="n">
        <v>45</v>
      </c>
    </row>
    <row r="514" customFormat="false" ht="15" hidden="false" customHeight="false" outlineLevel="0" collapsed="false">
      <c r="A514" s="0" t="s">
        <v>22</v>
      </c>
      <c r="B514" s="0" t="s">
        <v>1006</v>
      </c>
      <c r="C514" s="0" t="s">
        <v>2175</v>
      </c>
      <c r="D514" s="0" t="n">
        <v>67</v>
      </c>
    </row>
    <row r="515" customFormat="false" ht="15" hidden="false" customHeight="false" outlineLevel="0" collapsed="false">
      <c r="A515" s="0" t="s">
        <v>22</v>
      </c>
      <c r="B515" s="0" t="s">
        <v>1013</v>
      </c>
      <c r="C515" s="0" t="s">
        <v>1746</v>
      </c>
      <c r="D515" s="0" t="n">
        <v>952.5</v>
      </c>
    </row>
    <row r="516" customFormat="false" ht="15" hidden="false" customHeight="false" outlineLevel="0" collapsed="false">
      <c r="A516" s="0" t="s">
        <v>22</v>
      </c>
      <c r="B516" s="0" t="s">
        <v>1013</v>
      </c>
      <c r="C516" s="0" t="s">
        <v>1882</v>
      </c>
      <c r="D516" s="0" t="n">
        <v>850</v>
      </c>
    </row>
    <row r="517" customFormat="false" ht="15" hidden="false" customHeight="false" outlineLevel="0" collapsed="false">
      <c r="A517" s="0" t="s">
        <v>22</v>
      </c>
      <c r="B517" s="0" t="s">
        <v>1013</v>
      </c>
      <c r="C517" s="0" t="s">
        <v>2175</v>
      </c>
      <c r="D517" s="0" t="n">
        <v>1050</v>
      </c>
    </row>
    <row r="518" customFormat="false" ht="15" hidden="false" customHeight="false" outlineLevel="0" collapsed="false">
      <c r="A518" s="0" t="s">
        <v>22</v>
      </c>
      <c r="B518" s="0" t="s">
        <v>1020</v>
      </c>
      <c r="C518" s="0" t="s">
        <v>1746</v>
      </c>
      <c r="D518" s="0" t="n">
        <v>18.9</v>
      </c>
    </row>
    <row r="519" customFormat="false" ht="15" hidden="false" customHeight="false" outlineLevel="0" collapsed="false">
      <c r="A519" s="0" t="s">
        <v>22</v>
      </c>
      <c r="B519" s="0" t="s">
        <v>1020</v>
      </c>
      <c r="C519" s="0" t="s">
        <v>1882</v>
      </c>
      <c r="D519" s="0" t="n">
        <v>15</v>
      </c>
    </row>
    <row r="520" customFormat="false" ht="15" hidden="false" customHeight="false" outlineLevel="0" collapsed="false">
      <c r="A520" s="0" t="s">
        <v>22</v>
      </c>
      <c r="B520" s="0" t="s">
        <v>1020</v>
      </c>
      <c r="C520" s="0" t="s">
        <v>2175</v>
      </c>
      <c r="D520" s="0" t="n">
        <v>25</v>
      </c>
    </row>
    <row r="521" customFormat="false" ht="15" hidden="false" customHeight="false" outlineLevel="0" collapsed="false">
      <c r="A521" s="0" t="s">
        <v>22</v>
      </c>
      <c r="B521" s="0" t="s">
        <v>1025</v>
      </c>
      <c r="C521" s="0" t="s">
        <v>1746</v>
      </c>
      <c r="D521" s="0" t="n">
        <v>470000</v>
      </c>
    </row>
    <row r="522" customFormat="false" ht="15" hidden="false" customHeight="false" outlineLevel="0" collapsed="false">
      <c r="A522" s="0" t="s">
        <v>22</v>
      </c>
      <c r="B522" s="0" t="s">
        <v>1025</v>
      </c>
      <c r="C522" s="0" t="s">
        <v>1882</v>
      </c>
    </row>
    <row r="523" customFormat="false" ht="15" hidden="false" customHeight="false" outlineLevel="0" collapsed="false">
      <c r="A523" s="0" t="s">
        <v>22</v>
      </c>
      <c r="B523" s="0" t="s">
        <v>1025</v>
      </c>
      <c r="C523" s="0" t="s">
        <v>2175</v>
      </c>
    </row>
    <row r="524" customFormat="false" ht="15" hidden="false" customHeight="false" outlineLevel="0" collapsed="false">
      <c r="A524" s="0" t="s">
        <v>22</v>
      </c>
      <c r="B524" s="0" t="s">
        <v>1034</v>
      </c>
      <c r="C524" s="0" t="s">
        <v>1746</v>
      </c>
      <c r="D524" s="0" t="n">
        <v>350000</v>
      </c>
    </row>
    <row r="525" customFormat="false" ht="15" hidden="false" customHeight="false" outlineLevel="0" collapsed="false">
      <c r="A525" s="0" t="s">
        <v>22</v>
      </c>
      <c r="B525" s="0" t="s">
        <v>1034</v>
      </c>
      <c r="C525" s="0" t="s">
        <v>1882</v>
      </c>
    </row>
    <row r="526" customFormat="false" ht="15" hidden="false" customHeight="false" outlineLevel="0" collapsed="false">
      <c r="A526" s="0" t="s">
        <v>22</v>
      </c>
      <c r="B526" s="0" t="s">
        <v>1034</v>
      </c>
      <c r="C526" s="0" t="s">
        <v>2175</v>
      </c>
      <c r="D526" s="0" t="n">
        <v>350000</v>
      </c>
    </row>
    <row r="527" customFormat="false" ht="15" hidden="false" customHeight="false" outlineLevel="0" collapsed="false">
      <c r="A527" s="0" t="s">
        <v>22</v>
      </c>
      <c r="B527" s="0" t="s">
        <v>1042</v>
      </c>
      <c r="C527" s="0" t="s">
        <v>1746</v>
      </c>
      <c r="D527" s="0" t="n">
        <v>30000</v>
      </c>
    </row>
    <row r="528" customFormat="false" ht="15" hidden="false" customHeight="false" outlineLevel="0" collapsed="false">
      <c r="A528" s="0" t="s">
        <v>22</v>
      </c>
      <c r="B528" s="0" t="s">
        <v>1042</v>
      </c>
      <c r="C528" s="0" t="s">
        <v>1882</v>
      </c>
    </row>
    <row r="529" customFormat="false" ht="15" hidden="false" customHeight="false" outlineLevel="0" collapsed="false">
      <c r="A529" s="0" t="s">
        <v>22</v>
      </c>
      <c r="B529" s="0" t="s">
        <v>1042</v>
      </c>
      <c r="C529" s="0" t="s">
        <v>2175</v>
      </c>
    </row>
    <row r="530" customFormat="false" ht="15" hidden="false" customHeight="false" outlineLevel="0" collapsed="false">
      <c r="A530" s="0" t="s">
        <v>22</v>
      </c>
      <c r="B530" s="0" t="s">
        <v>1050</v>
      </c>
      <c r="C530" s="0" t="s">
        <v>1746</v>
      </c>
      <c r="D530" s="0" t="n">
        <v>30000</v>
      </c>
    </row>
    <row r="531" customFormat="false" ht="15" hidden="false" customHeight="false" outlineLevel="0" collapsed="false">
      <c r="A531" s="0" t="s">
        <v>22</v>
      </c>
      <c r="B531" s="0" t="s">
        <v>1050</v>
      </c>
      <c r="C531" s="0" t="s">
        <v>1882</v>
      </c>
    </row>
    <row r="532" customFormat="false" ht="15" hidden="false" customHeight="false" outlineLevel="0" collapsed="false">
      <c r="A532" s="0" t="s">
        <v>22</v>
      </c>
      <c r="B532" s="0" t="s">
        <v>1050</v>
      </c>
      <c r="C532" s="0" t="s">
        <v>2175</v>
      </c>
    </row>
    <row r="533" customFormat="false" ht="15" hidden="false" customHeight="false" outlineLevel="0" collapsed="false">
      <c r="A533" s="0" t="s">
        <v>22</v>
      </c>
      <c r="B533" s="0" t="s">
        <v>1058</v>
      </c>
      <c r="C533" s="0" t="s">
        <v>1746</v>
      </c>
      <c r="D533" s="0" t="n">
        <v>50000</v>
      </c>
    </row>
    <row r="534" customFormat="false" ht="15" hidden="false" customHeight="false" outlineLevel="0" collapsed="false">
      <c r="A534" s="0" t="s">
        <v>22</v>
      </c>
      <c r="B534" s="0" t="s">
        <v>1058</v>
      </c>
      <c r="C534" s="0" t="s">
        <v>1882</v>
      </c>
    </row>
    <row r="535" customFormat="false" ht="15" hidden="false" customHeight="false" outlineLevel="0" collapsed="false">
      <c r="A535" s="0" t="s">
        <v>22</v>
      </c>
      <c r="B535" s="0" t="s">
        <v>1058</v>
      </c>
      <c r="C535" s="0" t="s">
        <v>2175</v>
      </c>
    </row>
    <row r="536" customFormat="false" ht="15" hidden="false" customHeight="false" outlineLevel="0" collapsed="false">
      <c r="A536" s="0" t="s">
        <v>22</v>
      </c>
      <c r="B536" s="0" t="s">
        <v>1066</v>
      </c>
      <c r="C536" s="0" t="s">
        <v>1746</v>
      </c>
      <c r="D536" s="0" t="n">
        <v>57000</v>
      </c>
    </row>
    <row r="537" customFormat="false" ht="15" hidden="false" customHeight="false" outlineLevel="0" collapsed="false">
      <c r="A537" s="0" t="s">
        <v>22</v>
      </c>
      <c r="B537" s="0" t="s">
        <v>1066</v>
      </c>
      <c r="C537" s="0" t="s">
        <v>1882</v>
      </c>
    </row>
    <row r="538" customFormat="false" ht="15" hidden="false" customHeight="false" outlineLevel="0" collapsed="false">
      <c r="A538" s="0" t="s">
        <v>22</v>
      </c>
      <c r="B538" s="0" t="s">
        <v>1066</v>
      </c>
      <c r="C538" s="0" t="s">
        <v>2175</v>
      </c>
    </row>
    <row r="539" customFormat="false" ht="15" hidden="false" customHeight="false" outlineLevel="0" collapsed="false">
      <c r="A539" s="0" t="s">
        <v>22</v>
      </c>
      <c r="B539" s="0" t="s">
        <v>1073</v>
      </c>
      <c r="C539" s="0" t="s">
        <v>1746</v>
      </c>
      <c r="D539" s="0" t="n">
        <v>16000</v>
      </c>
    </row>
    <row r="540" customFormat="false" ht="15" hidden="false" customHeight="false" outlineLevel="0" collapsed="false">
      <c r="A540" s="0" t="s">
        <v>22</v>
      </c>
      <c r="B540" s="0" t="s">
        <v>1073</v>
      </c>
      <c r="C540" s="0" t="s">
        <v>1882</v>
      </c>
    </row>
    <row r="541" customFormat="false" ht="15" hidden="false" customHeight="false" outlineLevel="0" collapsed="false">
      <c r="A541" s="0" t="s">
        <v>22</v>
      </c>
      <c r="B541" s="0" t="s">
        <v>1073</v>
      </c>
      <c r="C541" s="0" t="s">
        <v>2175</v>
      </c>
    </row>
    <row r="542" customFormat="false" ht="15" hidden="false" customHeight="false" outlineLevel="0" collapsed="false">
      <c r="A542" s="0" t="s">
        <v>22</v>
      </c>
      <c r="B542" s="0" t="s">
        <v>1081</v>
      </c>
      <c r="C542" s="0" t="s">
        <v>1746</v>
      </c>
      <c r="D542" s="0" t="n">
        <v>0.025</v>
      </c>
    </row>
    <row r="543" customFormat="false" ht="15" hidden="false" customHeight="false" outlineLevel="0" collapsed="false">
      <c r="A543" s="0" t="s">
        <v>22</v>
      </c>
      <c r="B543" s="0" t="s">
        <v>1081</v>
      </c>
      <c r="C543" s="0" t="s">
        <v>1882</v>
      </c>
      <c r="D543" s="0" t="n">
        <v>0.02</v>
      </c>
    </row>
    <row r="544" customFormat="false" ht="15" hidden="false" customHeight="false" outlineLevel="0" collapsed="false">
      <c r="A544" s="0" t="s">
        <v>22</v>
      </c>
      <c r="B544" s="0" t="s">
        <v>1081</v>
      </c>
      <c r="C544" s="0" t="s">
        <v>2175</v>
      </c>
      <c r="D544" s="0" t="n">
        <v>0.04</v>
      </c>
    </row>
    <row r="545" customFormat="false" ht="15" hidden="false" customHeight="false" outlineLevel="0" collapsed="false">
      <c r="A545" s="0" t="s">
        <v>22</v>
      </c>
      <c r="B545" s="0" t="s">
        <v>1088</v>
      </c>
      <c r="C545" s="0" t="s">
        <v>1746</v>
      </c>
      <c r="D545" s="0" t="n">
        <v>0.32</v>
      </c>
    </row>
    <row r="546" customFormat="false" ht="15" hidden="false" customHeight="false" outlineLevel="0" collapsed="false">
      <c r="A546" s="0" t="s">
        <v>22</v>
      </c>
      <c r="B546" s="0" t="s">
        <v>1088</v>
      </c>
      <c r="C546" s="0" t="s">
        <v>1882</v>
      </c>
      <c r="D546" s="0" t="n">
        <v>0.25</v>
      </c>
    </row>
    <row r="547" customFormat="false" ht="15" hidden="false" customHeight="false" outlineLevel="0" collapsed="false">
      <c r="A547" s="0" t="s">
        <v>22</v>
      </c>
      <c r="B547" s="0" t="s">
        <v>1088</v>
      </c>
      <c r="C547" s="0" t="s">
        <v>2175</v>
      </c>
      <c r="D547" s="0" t="n">
        <v>0.4</v>
      </c>
    </row>
    <row r="548" customFormat="false" ht="15" hidden="false" customHeight="false" outlineLevel="0" collapsed="false">
      <c r="A548" s="0" t="s">
        <v>22</v>
      </c>
      <c r="B548" s="0" t="s">
        <v>1093</v>
      </c>
      <c r="C548" s="0" t="s">
        <v>1746</v>
      </c>
      <c r="D548" s="0" t="n">
        <v>1000000</v>
      </c>
    </row>
    <row r="549" customFormat="false" ht="15" hidden="false" customHeight="false" outlineLevel="0" collapsed="false">
      <c r="A549" s="0" t="s">
        <v>22</v>
      </c>
      <c r="B549" s="0" t="s">
        <v>1093</v>
      </c>
      <c r="C549" s="0" t="s">
        <v>1882</v>
      </c>
    </row>
    <row r="550" customFormat="false" ht="15" hidden="false" customHeight="false" outlineLevel="0" collapsed="false">
      <c r="A550" s="0" t="s">
        <v>22</v>
      </c>
      <c r="B550" s="0" t="s">
        <v>1093</v>
      </c>
      <c r="C550" s="0" t="s">
        <v>2175</v>
      </c>
    </row>
    <row r="551" customFormat="false" ht="15" hidden="false" customHeight="false" outlineLevel="0" collapsed="false">
      <c r="A551" s="0" t="s">
        <v>22</v>
      </c>
      <c r="B551" s="0" t="s">
        <v>1103</v>
      </c>
      <c r="C551" s="0" t="s">
        <v>1746</v>
      </c>
    </row>
    <row r="552" customFormat="false" ht="15" hidden="false" customHeight="false" outlineLevel="0" collapsed="false">
      <c r="A552" s="0" t="s">
        <v>22</v>
      </c>
      <c r="B552" s="0" t="s">
        <v>1103</v>
      </c>
      <c r="C552" s="0" t="s">
        <v>1882</v>
      </c>
      <c r="D552" s="0" t="n">
        <v>1</v>
      </c>
    </row>
    <row r="553" customFormat="false" ht="15" hidden="false" customHeight="false" outlineLevel="0" collapsed="false">
      <c r="A553" s="0" t="s">
        <v>22</v>
      </c>
      <c r="B553" s="0" t="s">
        <v>1103</v>
      </c>
      <c r="C553" s="0" t="s">
        <v>2175</v>
      </c>
    </row>
    <row r="554" customFormat="false" ht="15" hidden="false" customHeight="false" outlineLevel="0" collapsed="false">
      <c r="A554" s="0" t="s">
        <v>22</v>
      </c>
      <c r="B554" s="0" t="s">
        <v>1108</v>
      </c>
      <c r="C554" s="0" t="s">
        <v>1746</v>
      </c>
    </row>
    <row r="555" customFormat="false" ht="15" hidden="false" customHeight="false" outlineLevel="0" collapsed="false">
      <c r="A555" s="0" t="s">
        <v>22</v>
      </c>
      <c r="B555" s="0" t="s">
        <v>1108</v>
      </c>
      <c r="C555" s="0" t="s">
        <v>1882</v>
      </c>
      <c r="D555" s="0" t="n">
        <v>10</v>
      </c>
    </row>
    <row r="556" customFormat="false" ht="15" hidden="false" customHeight="false" outlineLevel="0" collapsed="false">
      <c r="A556" s="0" t="s">
        <v>22</v>
      </c>
      <c r="B556" s="0" t="s">
        <v>1108</v>
      </c>
      <c r="C556" s="0" t="s">
        <v>2175</v>
      </c>
    </row>
    <row r="557" customFormat="false" ht="15" hidden="false" customHeight="false" outlineLevel="0" collapsed="false">
      <c r="A557" s="0" t="s">
        <v>22</v>
      </c>
      <c r="B557" s="0" t="s">
        <v>1113</v>
      </c>
      <c r="C557" s="0" t="s">
        <v>1746</v>
      </c>
    </row>
    <row r="558" customFormat="false" ht="15" hidden="false" customHeight="false" outlineLevel="0" collapsed="false">
      <c r="A558" s="0" t="s">
        <v>22</v>
      </c>
      <c r="B558" s="0" t="s">
        <v>1113</v>
      </c>
      <c r="C558" s="0" t="s">
        <v>1882</v>
      </c>
    </row>
    <row r="559" customFormat="false" ht="15" hidden="false" customHeight="false" outlineLevel="0" collapsed="false">
      <c r="A559" s="0" t="s">
        <v>22</v>
      </c>
      <c r="B559" s="0" t="s">
        <v>1113</v>
      </c>
      <c r="C559" s="0" t="s">
        <v>2175</v>
      </c>
    </row>
    <row r="560" customFormat="false" ht="15" hidden="false" customHeight="false" outlineLevel="0" collapsed="false">
      <c r="A560" s="0" t="s">
        <v>22</v>
      </c>
      <c r="B560" s="0" t="s">
        <v>1118</v>
      </c>
      <c r="C560" s="0" t="s">
        <v>1746</v>
      </c>
    </row>
    <row r="561" customFormat="false" ht="15" hidden="false" customHeight="false" outlineLevel="0" collapsed="false">
      <c r="A561" s="0" t="s">
        <v>22</v>
      </c>
      <c r="B561" s="0" t="s">
        <v>1118</v>
      </c>
      <c r="C561" s="0" t="s">
        <v>1882</v>
      </c>
      <c r="D561" s="0" t="n">
        <v>2</v>
      </c>
    </row>
    <row r="562" customFormat="false" ht="15" hidden="false" customHeight="false" outlineLevel="0" collapsed="false">
      <c r="A562" s="0" t="s">
        <v>22</v>
      </c>
      <c r="B562" s="0" t="s">
        <v>1118</v>
      </c>
      <c r="C562" s="0" t="s">
        <v>2175</v>
      </c>
    </row>
    <row r="563" customFormat="false" ht="15" hidden="false" customHeight="false" outlineLevel="0" collapsed="false">
      <c r="A563" s="0" t="s">
        <v>22</v>
      </c>
      <c r="B563" s="0" t="s">
        <v>1124</v>
      </c>
      <c r="C563" s="0" t="s">
        <v>1746</v>
      </c>
      <c r="D563" s="0" t="n">
        <v>3.5</v>
      </c>
    </row>
    <row r="564" customFormat="false" ht="15" hidden="false" customHeight="false" outlineLevel="0" collapsed="false">
      <c r="A564" s="0" t="s">
        <v>22</v>
      </c>
      <c r="B564" s="0" t="s">
        <v>1124</v>
      </c>
      <c r="C564" s="0" t="s">
        <v>1882</v>
      </c>
    </row>
    <row r="565" customFormat="false" ht="15" hidden="false" customHeight="false" outlineLevel="0" collapsed="false">
      <c r="A565" s="0" t="s">
        <v>22</v>
      </c>
      <c r="B565" s="0" t="s">
        <v>1124</v>
      </c>
      <c r="C565" s="0" t="s">
        <v>2175</v>
      </c>
    </row>
    <row r="566" customFormat="false" ht="15" hidden="false" customHeight="false" outlineLevel="0" collapsed="false">
      <c r="A566" s="0" t="s">
        <v>22</v>
      </c>
      <c r="B566" s="0" t="s">
        <v>1134</v>
      </c>
      <c r="C566" s="0" t="s">
        <v>1746</v>
      </c>
      <c r="D566" s="0" t="n">
        <v>5</v>
      </c>
    </row>
    <row r="567" customFormat="false" ht="15" hidden="false" customHeight="false" outlineLevel="0" collapsed="false">
      <c r="A567" s="0" t="s">
        <v>22</v>
      </c>
      <c r="B567" s="0" t="s">
        <v>1134</v>
      </c>
      <c r="C567" s="0" t="s">
        <v>1882</v>
      </c>
    </row>
    <row r="568" customFormat="false" ht="15" hidden="false" customHeight="false" outlineLevel="0" collapsed="false">
      <c r="A568" s="0" t="s">
        <v>22</v>
      </c>
      <c r="B568" s="0" t="s">
        <v>1134</v>
      </c>
      <c r="C568" s="0" t="s">
        <v>2175</v>
      </c>
    </row>
    <row r="569" customFormat="false" ht="15" hidden="false" customHeight="false" outlineLevel="0" collapsed="false">
      <c r="A569" s="0" t="s">
        <v>22</v>
      </c>
      <c r="B569" s="0" t="s">
        <v>1140</v>
      </c>
      <c r="C569" s="0" t="s">
        <v>1746</v>
      </c>
    </row>
    <row r="570" customFormat="false" ht="15" hidden="false" customHeight="false" outlineLevel="0" collapsed="false">
      <c r="A570" s="0" t="s">
        <v>22</v>
      </c>
      <c r="B570" s="0" t="s">
        <v>1140</v>
      </c>
      <c r="C570" s="0" t="s">
        <v>1882</v>
      </c>
    </row>
    <row r="571" customFormat="false" ht="15" hidden="false" customHeight="false" outlineLevel="0" collapsed="false">
      <c r="A571" s="0" t="s">
        <v>22</v>
      </c>
      <c r="B571" s="0" t="s">
        <v>1140</v>
      </c>
      <c r="C571" s="0" t="s">
        <v>2175</v>
      </c>
    </row>
    <row r="572" customFormat="false" ht="15" hidden="false" customHeight="false" outlineLevel="0" collapsed="false">
      <c r="A572" s="0" t="s">
        <v>22</v>
      </c>
      <c r="B572" s="0" t="s">
        <v>1146</v>
      </c>
      <c r="C572" s="0" t="s">
        <v>1746</v>
      </c>
      <c r="D572" s="0" t="n">
        <v>2031</v>
      </c>
    </row>
    <row r="573" customFormat="false" ht="15" hidden="false" customHeight="false" outlineLevel="0" collapsed="false">
      <c r="A573" s="0" t="s">
        <v>22</v>
      </c>
      <c r="B573" s="0" t="s">
        <v>1146</v>
      </c>
      <c r="C573" s="0" t="s">
        <v>1882</v>
      </c>
    </row>
    <row r="574" customFormat="false" ht="15" hidden="false" customHeight="false" outlineLevel="0" collapsed="false">
      <c r="A574" s="0" t="s">
        <v>22</v>
      </c>
      <c r="B574" s="0" t="s">
        <v>1146</v>
      </c>
      <c r="C574" s="0" t="s">
        <v>2175</v>
      </c>
    </row>
    <row r="575" customFormat="false" ht="15" hidden="false" customHeight="false" outlineLevel="0" collapsed="false">
      <c r="A575" s="0" t="s">
        <v>22</v>
      </c>
      <c r="B575" s="0" t="s">
        <v>1154</v>
      </c>
      <c r="C575" s="0" t="s">
        <v>1746</v>
      </c>
      <c r="D575" s="0" t="n">
        <v>1</v>
      </c>
    </row>
    <row r="576" customFormat="false" ht="15" hidden="false" customHeight="false" outlineLevel="0" collapsed="false">
      <c r="A576" s="0" t="s">
        <v>22</v>
      </c>
      <c r="B576" s="0" t="s">
        <v>1154</v>
      </c>
      <c r="C576" s="0" t="s">
        <v>1882</v>
      </c>
    </row>
    <row r="577" customFormat="false" ht="15" hidden="false" customHeight="false" outlineLevel="0" collapsed="false">
      <c r="A577" s="0" t="s">
        <v>22</v>
      </c>
      <c r="B577" s="0" t="s">
        <v>1154</v>
      </c>
      <c r="C577" s="0" t="s">
        <v>2175</v>
      </c>
    </row>
    <row r="578" customFormat="false" ht="15" hidden="false" customHeight="false" outlineLevel="0" collapsed="false">
      <c r="A578" s="0" t="s">
        <v>22</v>
      </c>
      <c r="B578" s="0" t="s">
        <v>1160</v>
      </c>
      <c r="C578" s="0" t="s">
        <v>1746</v>
      </c>
    </row>
    <row r="579" customFormat="false" ht="15" hidden="false" customHeight="false" outlineLevel="0" collapsed="false">
      <c r="A579" s="0" t="s">
        <v>22</v>
      </c>
      <c r="B579" s="0" t="s">
        <v>1160</v>
      </c>
      <c r="C579" s="0" t="s">
        <v>1882</v>
      </c>
      <c r="D579" s="0" t="n">
        <v>21</v>
      </c>
    </row>
    <row r="580" customFormat="false" ht="15" hidden="false" customHeight="false" outlineLevel="0" collapsed="false">
      <c r="A580" s="0" t="s">
        <v>22</v>
      </c>
      <c r="B580" s="0" t="s">
        <v>1160</v>
      </c>
      <c r="C580" s="0" t="s">
        <v>2175</v>
      </c>
      <c r="D580" s="0" t="n">
        <v>42</v>
      </c>
    </row>
    <row r="581" customFormat="false" ht="15" hidden="false" customHeight="false" outlineLevel="0" collapsed="false">
      <c r="A581" s="0" t="s">
        <v>22</v>
      </c>
      <c r="B581" s="0" t="s">
        <v>1167</v>
      </c>
      <c r="C581" s="0" t="s">
        <v>1746</v>
      </c>
      <c r="D581" s="0" t="n">
        <v>200</v>
      </c>
    </row>
    <row r="582" customFormat="false" ht="15" hidden="false" customHeight="false" outlineLevel="0" collapsed="false">
      <c r="A582" s="0" t="s">
        <v>22</v>
      </c>
      <c r="B582" s="0" t="s">
        <v>1167</v>
      </c>
      <c r="C582" s="0" t="s">
        <v>1882</v>
      </c>
    </row>
    <row r="583" customFormat="false" ht="15" hidden="false" customHeight="false" outlineLevel="0" collapsed="false">
      <c r="A583" s="0" t="s">
        <v>22</v>
      </c>
      <c r="B583" s="0" t="s">
        <v>1167</v>
      </c>
      <c r="C583" s="0" t="s">
        <v>2175</v>
      </c>
    </row>
    <row r="584" customFormat="false" ht="15" hidden="false" customHeight="false" outlineLevel="0" collapsed="false">
      <c r="A584" s="0" t="s">
        <v>22</v>
      </c>
      <c r="B584" s="0" t="s">
        <v>1176</v>
      </c>
      <c r="C584" s="0" t="s">
        <v>1746</v>
      </c>
      <c r="D584" s="0" t="n">
        <v>10</v>
      </c>
    </row>
    <row r="585" customFormat="false" ht="15" hidden="false" customHeight="false" outlineLevel="0" collapsed="false">
      <c r="A585" s="0" t="s">
        <v>22</v>
      </c>
      <c r="B585" s="0" t="s">
        <v>1176</v>
      </c>
      <c r="C585" s="0" t="s">
        <v>1882</v>
      </c>
    </row>
    <row r="586" customFormat="false" ht="15" hidden="false" customHeight="false" outlineLevel="0" collapsed="false">
      <c r="A586" s="0" t="s">
        <v>22</v>
      </c>
      <c r="B586" s="0" t="s">
        <v>1176</v>
      </c>
      <c r="C586" s="0" t="s">
        <v>2175</v>
      </c>
    </row>
    <row r="587" customFormat="false" ht="15" hidden="false" customHeight="false" outlineLevel="0" collapsed="false">
      <c r="A587" s="0" t="s">
        <v>22</v>
      </c>
      <c r="B587" s="0" t="s">
        <v>1186</v>
      </c>
      <c r="C587" s="0" t="s">
        <v>1746</v>
      </c>
      <c r="D587" s="0" t="n">
        <v>11</v>
      </c>
    </row>
    <row r="588" customFormat="false" ht="15" hidden="false" customHeight="false" outlineLevel="0" collapsed="false">
      <c r="A588" s="0" t="s">
        <v>22</v>
      </c>
      <c r="B588" s="0" t="s">
        <v>1186</v>
      </c>
      <c r="C588" s="0" t="s">
        <v>1882</v>
      </c>
    </row>
    <row r="589" customFormat="false" ht="15" hidden="false" customHeight="false" outlineLevel="0" collapsed="false">
      <c r="A589" s="0" t="s">
        <v>22</v>
      </c>
      <c r="B589" s="0" t="s">
        <v>1186</v>
      </c>
      <c r="C589" s="0" t="s">
        <v>2175</v>
      </c>
    </row>
    <row r="590" customFormat="false" ht="15" hidden="false" customHeight="false" outlineLevel="0" collapsed="false">
      <c r="A590" s="0" t="s">
        <v>22</v>
      </c>
      <c r="B590" s="0" t="s">
        <v>1192</v>
      </c>
      <c r="C590" s="0" t="s">
        <v>1746</v>
      </c>
      <c r="D590" s="0" t="n">
        <v>500000</v>
      </c>
    </row>
    <row r="591" customFormat="false" ht="15" hidden="false" customHeight="false" outlineLevel="0" collapsed="false">
      <c r="A591" s="0" t="s">
        <v>22</v>
      </c>
      <c r="B591" s="0" t="s">
        <v>1192</v>
      </c>
      <c r="C591" s="0" t="s">
        <v>1882</v>
      </c>
    </row>
    <row r="592" customFormat="false" ht="15" hidden="false" customHeight="false" outlineLevel="0" collapsed="false">
      <c r="A592" s="0" t="s">
        <v>22</v>
      </c>
      <c r="B592" s="0" t="s">
        <v>1192</v>
      </c>
      <c r="C592" s="0" t="s">
        <v>2175</v>
      </c>
    </row>
    <row r="593" customFormat="false" ht="15" hidden="false" customHeight="false" outlineLevel="0" collapsed="false">
      <c r="A593" s="0" t="s">
        <v>22</v>
      </c>
      <c r="B593" s="0" t="s">
        <v>1201</v>
      </c>
      <c r="C593" s="0" t="s">
        <v>1746</v>
      </c>
    </row>
    <row r="594" customFormat="false" ht="15" hidden="false" customHeight="false" outlineLevel="0" collapsed="false">
      <c r="A594" s="0" t="s">
        <v>22</v>
      </c>
      <c r="B594" s="0" t="s">
        <v>1201</v>
      </c>
      <c r="C594" s="0" t="s">
        <v>1882</v>
      </c>
      <c r="D594" s="0" t="n">
        <v>1000000</v>
      </c>
    </row>
    <row r="595" customFormat="false" ht="15" hidden="false" customHeight="false" outlineLevel="0" collapsed="false">
      <c r="A595" s="0" t="s">
        <v>22</v>
      </c>
      <c r="B595" s="0" t="s">
        <v>1201</v>
      </c>
      <c r="C595" s="0" t="s">
        <v>2175</v>
      </c>
    </row>
    <row r="596" customFormat="false" ht="15" hidden="false" customHeight="false" outlineLevel="0" collapsed="false">
      <c r="A596" s="0" t="s">
        <v>22</v>
      </c>
      <c r="B596" s="0" t="s">
        <v>1207</v>
      </c>
      <c r="C596" s="0" t="s">
        <v>1746</v>
      </c>
      <c r="D596" s="0" t="n">
        <v>2.2</v>
      </c>
    </row>
    <row r="597" customFormat="false" ht="15" hidden="false" customHeight="false" outlineLevel="0" collapsed="false">
      <c r="A597" s="0" t="s">
        <v>22</v>
      </c>
      <c r="B597" s="0" t="s">
        <v>1207</v>
      </c>
      <c r="C597" s="0" t="s">
        <v>1882</v>
      </c>
    </row>
    <row r="598" customFormat="false" ht="15" hidden="false" customHeight="false" outlineLevel="0" collapsed="false">
      <c r="A598" s="0" t="s">
        <v>22</v>
      </c>
      <c r="B598" s="0" t="s">
        <v>1207</v>
      </c>
      <c r="C598" s="0" t="s">
        <v>2175</v>
      </c>
    </row>
    <row r="599" customFormat="false" ht="15" hidden="false" customHeight="false" outlineLevel="0" collapsed="false">
      <c r="A599" s="0" t="s">
        <v>22</v>
      </c>
      <c r="B599" s="0" t="s">
        <v>1213</v>
      </c>
      <c r="C599" s="0" t="s">
        <v>1746</v>
      </c>
      <c r="D599" s="0" t="n">
        <v>11</v>
      </c>
    </row>
    <row r="600" customFormat="false" ht="15" hidden="false" customHeight="false" outlineLevel="0" collapsed="false">
      <c r="A600" s="0" t="s">
        <v>22</v>
      </c>
      <c r="B600" s="0" t="s">
        <v>1213</v>
      </c>
      <c r="C600" s="0" t="s">
        <v>1882</v>
      </c>
    </row>
    <row r="601" customFormat="false" ht="15" hidden="false" customHeight="false" outlineLevel="0" collapsed="false">
      <c r="A601" s="0" t="s">
        <v>22</v>
      </c>
      <c r="B601" s="0" t="s">
        <v>1213</v>
      </c>
      <c r="C601" s="0" t="s">
        <v>2175</v>
      </c>
    </row>
    <row r="602" customFormat="false" ht="15" hidden="false" customHeight="false" outlineLevel="0" collapsed="false">
      <c r="A602" s="0" t="s">
        <v>22</v>
      </c>
      <c r="B602" s="0" t="s">
        <v>1218</v>
      </c>
      <c r="C602" s="0" t="s">
        <v>1746</v>
      </c>
      <c r="D602" s="0" t="n">
        <v>910</v>
      </c>
    </row>
    <row r="603" customFormat="false" ht="15" hidden="false" customHeight="false" outlineLevel="0" collapsed="false">
      <c r="A603" s="0" t="s">
        <v>22</v>
      </c>
      <c r="B603" s="0" t="s">
        <v>1218</v>
      </c>
      <c r="C603" s="0" t="s">
        <v>1882</v>
      </c>
    </row>
    <row r="604" customFormat="false" ht="15" hidden="false" customHeight="false" outlineLevel="0" collapsed="false">
      <c r="A604" s="0" t="s">
        <v>22</v>
      </c>
      <c r="B604" s="0" t="s">
        <v>1218</v>
      </c>
      <c r="C604" s="0" t="s">
        <v>2175</v>
      </c>
      <c r="D604" s="0" t="n">
        <v>1037</v>
      </c>
    </row>
    <row r="605" customFormat="false" ht="15" hidden="false" customHeight="false" outlineLevel="0" collapsed="false">
      <c r="A605" s="0" t="s">
        <v>22</v>
      </c>
      <c r="B605" s="0" t="s">
        <v>1226</v>
      </c>
      <c r="C605" s="0" t="s">
        <v>1746</v>
      </c>
      <c r="D605" s="0" t="n">
        <v>1925</v>
      </c>
    </row>
    <row r="606" customFormat="false" ht="15" hidden="false" customHeight="false" outlineLevel="0" collapsed="false">
      <c r="A606" s="0" t="s">
        <v>22</v>
      </c>
      <c r="B606" s="0" t="s">
        <v>1226</v>
      </c>
      <c r="C606" s="0" t="s">
        <v>1882</v>
      </c>
    </row>
    <row r="607" customFormat="false" ht="15" hidden="false" customHeight="false" outlineLevel="0" collapsed="false">
      <c r="A607" s="0" t="s">
        <v>22</v>
      </c>
      <c r="B607" s="0" t="s">
        <v>1226</v>
      </c>
      <c r="C607" s="0" t="s">
        <v>2175</v>
      </c>
    </row>
    <row r="608" customFormat="false" ht="15" hidden="false" customHeight="false" outlineLevel="0" collapsed="false">
      <c r="A608" s="0" t="s">
        <v>22</v>
      </c>
      <c r="B608" s="0" t="s">
        <v>1232</v>
      </c>
      <c r="C608" s="0" t="s">
        <v>1746</v>
      </c>
    </row>
    <row r="609" customFormat="false" ht="15" hidden="false" customHeight="false" outlineLevel="0" collapsed="false">
      <c r="A609" s="0" t="s">
        <v>22</v>
      </c>
      <c r="B609" s="0" t="s">
        <v>1232</v>
      </c>
      <c r="C609" s="0" t="s">
        <v>1882</v>
      </c>
    </row>
    <row r="610" customFormat="false" ht="15" hidden="false" customHeight="false" outlineLevel="0" collapsed="false">
      <c r="A610" s="0" t="s">
        <v>22</v>
      </c>
      <c r="B610" s="0" t="s">
        <v>1232</v>
      </c>
      <c r="C610" s="0" t="s">
        <v>2175</v>
      </c>
      <c r="D610" s="0" t="n">
        <v>5</v>
      </c>
    </row>
    <row r="611" customFormat="false" ht="15" hidden="false" customHeight="false" outlineLevel="0" collapsed="false">
      <c r="A611" s="0" t="s">
        <v>22</v>
      </c>
      <c r="B611" s="0" t="s">
        <v>1238</v>
      </c>
      <c r="C611" s="0" t="s">
        <v>1746</v>
      </c>
    </row>
    <row r="612" customFormat="false" ht="15" hidden="false" customHeight="false" outlineLevel="0" collapsed="false">
      <c r="A612" s="0" t="s">
        <v>22</v>
      </c>
      <c r="B612" s="0" t="s">
        <v>1238</v>
      </c>
      <c r="C612" s="0" t="s">
        <v>1882</v>
      </c>
      <c r="D612" s="0" t="n">
        <v>100</v>
      </c>
    </row>
    <row r="613" customFormat="false" ht="15" hidden="false" customHeight="false" outlineLevel="0" collapsed="false">
      <c r="A613" s="0" t="s">
        <v>22</v>
      </c>
      <c r="B613" s="0" t="s">
        <v>1238</v>
      </c>
      <c r="C613" s="0" t="s">
        <v>2175</v>
      </c>
    </row>
    <row r="614" customFormat="false" ht="15" hidden="false" customHeight="false" outlineLevel="0" collapsed="false">
      <c r="A614" s="0" t="s">
        <v>22</v>
      </c>
      <c r="B614" s="0" t="s">
        <v>1243</v>
      </c>
      <c r="C614" s="0" t="s">
        <v>1746</v>
      </c>
      <c r="D614" s="0" t="n">
        <v>1</v>
      </c>
    </row>
    <row r="615" customFormat="false" ht="15" hidden="false" customHeight="false" outlineLevel="0" collapsed="false">
      <c r="A615" s="0" t="s">
        <v>22</v>
      </c>
      <c r="B615" s="0" t="s">
        <v>1243</v>
      </c>
      <c r="C615" s="0" t="s">
        <v>1882</v>
      </c>
    </row>
    <row r="616" customFormat="false" ht="15" hidden="false" customHeight="false" outlineLevel="0" collapsed="false">
      <c r="A616" s="0" t="s">
        <v>22</v>
      </c>
      <c r="B616" s="0" t="s">
        <v>1243</v>
      </c>
      <c r="C616" s="0" t="s">
        <v>2175</v>
      </c>
    </row>
    <row r="617" customFormat="false" ht="15" hidden="false" customHeight="false" outlineLevel="0" collapsed="false">
      <c r="A617" s="0" t="s">
        <v>22</v>
      </c>
      <c r="B617" s="0" t="s">
        <v>1249</v>
      </c>
      <c r="C617" s="0" t="s">
        <v>1746</v>
      </c>
    </row>
    <row r="618" customFormat="false" ht="15" hidden="false" customHeight="false" outlineLevel="0" collapsed="false">
      <c r="A618" s="0" t="s">
        <v>22</v>
      </c>
      <c r="B618" s="0" t="s">
        <v>1249</v>
      </c>
      <c r="C618" s="0" t="s">
        <v>1882</v>
      </c>
      <c r="D618" s="0" t="n">
        <v>1000000</v>
      </c>
    </row>
    <row r="619" customFormat="false" ht="15" hidden="false" customHeight="false" outlineLevel="0" collapsed="false">
      <c r="A619" s="0" t="s">
        <v>22</v>
      </c>
      <c r="B619" s="0" t="s">
        <v>1249</v>
      </c>
      <c r="C619" s="0" t="s">
        <v>2175</v>
      </c>
    </row>
    <row r="620" customFormat="false" ht="15" hidden="false" customHeight="false" outlineLevel="0" collapsed="false">
      <c r="A620" s="0" t="s">
        <v>22</v>
      </c>
      <c r="B620" s="0" t="s">
        <v>1253</v>
      </c>
      <c r="C620" s="0" t="s">
        <v>1746</v>
      </c>
    </row>
    <row r="621" customFormat="false" ht="15" hidden="false" customHeight="false" outlineLevel="0" collapsed="false">
      <c r="A621" s="0" t="s">
        <v>22</v>
      </c>
      <c r="B621" s="0" t="s">
        <v>1253</v>
      </c>
      <c r="C621" s="0" t="s">
        <v>1882</v>
      </c>
    </row>
    <row r="622" customFormat="false" ht="15" hidden="false" customHeight="false" outlineLevel="0" collapsed="false">
      <c r="A622" s="0" t="s">
        <v>22</v>
      </c>
      <c r="B622" s="0" t="s">
        <v>1253</v>
      </c>
      <c r="C622" s="0" t="s">
        <v>2175</v>
      </c>
    </row>
    <row r="623" customFormat="false" ht="15" hidden="false" customHeight="false" outlineLevel="0" collapsed="false">
      <c r="A623" s="0" t="s">
        <v>22</v>
      </c>
      <c r="B623" s="0" t="s">
        <v>1257</v>
      </c>
      <c r="C623" s="0" t="s">
        <v>1746</v>
      </c>
      <c r="D623" s="0" t="n">
        <v>5</v>
      </c>
    </row>
    <row r="624" customFormat="false" ht="15" hidden="false" customHeight="false" outlineLevel="0" collapsed="false">
      <c r="A624" s="0" t="s">
        <v>22</v>
      </c>
      <c r="B624" s="0" t="s">
        <v>1257</v>
      </c>
      <c r="C624" s="0" t="s">
        <v>1882</v>
      </c>
    </row>
    <row r="625" customFormat="false" ht="15" hidden="false" customHeight="false" outlineLevel="0" collapsed="false">
      <c r="A625" s="0" t="s">
        <v>22</v>
      </c>
      <c r="B625" s="0" t="s">
        <v>1257</v>
      </c>
      <c r="C625" s="0" t="s">
        <v>2175</v>
      </c>
    </row>
    <row r="626" customFormat="false" ht="15" hidden="false" customHeight="false" outlineLevel="0" collapsed="false">
      <c r="A626" s="0" t="s">
        <v>22</v>
      </c>
      <c r="B626" s="0" t="s">
        <v>1266</v>
      </c>
      <c r="C626" s="0" t="s">
        <v>1746</v>
      </c>
      <c r="D626" s="0" t="n">
        <v>30</v>
      </c>
    </row>
    <row r="627" customFormat="false" ht="15" hidden="false" customHeight="false" outlineLevel="0" collapsed="false">
      <c r="A627" s="0" t="s">
        <v>22</v>
      </c>
      <c r="B627" s="0" t="s">
        <v>1266</v>
      </c>
      <c r="C627" s="0" t="s">
        <v>1882</v>
      </c>
    </row>
    <row r="628" customFormat="false" ht="15" hidden="false" customHeight="false" outlineLevel="0" collapsed="false">
      <c r="A628" s="0" t="s">
        <v>22</v>
      </c>
      <c r="B628" s="0" t="s">
        <v>1266</v>
      </c>
      <c r="C628" s="0" t="s">
        <v>2175</v>
      </c>
    </row>
    <row r="629" customFormat="false" ht="15" hidden="false" customHeight="false" outlineLevel="0" collapsed="false">
      <c r="A629" s="0" t="s">
        <v>22</v>
      </c>
      <c r="B629" s="0" t="s">
        <v>1276</v>
      </c>
      <c r="C629" s="0" t="s">
        <v>1746</v>
      </c>
    </row>
    <row r="630" customFormat="false" ht="15" hidden="false" customHeight="false" outlineLevel="0" collapsed="false">
      <c r="A630" s="0" t="s">
        <v>22</v>
      </c>
      <c r="B630" s="0" t="s">
        <v>1276</v>
      </c>
      <c r="C630" s="0" t="s">
        <v>1882</v>
      </c>
    </row>
    <row r="631" customFormat="false" ht="15" hidden="false" customHeight="false" outlineLevel="0" collapsed="false">
      <c r="A631" s="0" t="s">
        <v>22</v>
      </c>
      <c r="B631" s="0" t="s">
        <v>1276</v>
      </c>
      <c r="C631" s="0" t="s">
        <v>2175</v>
      </c>
      <c r="D631" s="0" t="n">
        <v>1</v>
      </c>
    </row>
    <row r="632" customFormat="false" ht="15" hidden="false" customHeight="false" outlineLevel="0" collapsed="false">
      <c r="A632" s="0" t="s">
        <v>22</v>
      </c>
      <c r="B632" s="0" t="s">
        <v>1282</v>
      </c>
      <c r="C632" s="0" t="s">
        <v>1746</v>
      </c>
      <c r="D632" s="0" t="n">
        <v>31.4</v>
      </c>
    </row>
    <row r="633" customFormat="false" ht="15" hidden="false" customHeight="false" outlineLevel="0" collapsed="false">
      <c r="A633" s="0" t="s">
        <v>22</v>
      </c>
      <c r="B633" s="0" t="s">
        <v>1282</v>
      </c>
      <c r="C633" s="0" t="s">
        <v>1882</v>
      </c>
    </row>
    <row r="634" customFormat="false" ht="15" hidden="false" customHeight="false" outlineLevel="0" collapsed="false">
      <c r="A634" s="0" t="s">
        <v>22</v>
      </c>
      <c r="B634" s="0" t="s">
        <v>1282</v>
      </c>
      <c r="C634" s="0" t="s">
        <v>2175</v>
      </c>
    </row>
    <row r="635" customFormat="false" ht="15" hidden="false" customHeight="false" outlineLevel="0" collapsed="false">
      <c r="A635" s="0" t="s">
        <v>22</v>
      </c>
      <c r="B635" s="0" t="s">
        <v>1291</v>
      </c>
      <c r="C635" s="0" t="s">
        <v>1746</v>
      </c>
      <c r="D635" s="0" t="n">
        <v>50</v>
      </c>
    </row>
    <row r="636" customFormat="false" ht="15" hidden="false" customHeight="false" outlineLevel="0" collapsed="false">
      <c r="A636" s="0" t="s">
        <v>22</v>
      </c>
      <c r="B636" s="0" t="s">
        <v>1291</v>
      </c>
      <c r="C636" s="0" t="s">
        <v>1882</v>
      </c>
    </row>
    <row r="637" customFormat="false" ht="15" hidden="false" customHeight="false" outlineLevel="0" collapsed="false">
      <c r="A637" s="0" t="s">
        <v>22</v>
      </c>
      <c r="B637" s="0" t="s">
        <v>1291</v>
      </c>
      <c r="C637" s="0" t="s">
        <v>2175</v>
      </c>
    </row>
    <row r="638" customFormat="false" ht="15" hidden="false" customHeight="false" outlineLevel="0" collapsed="false">
      <c r="A638" s="0" t="s">
        <v>22</v>
      </c>
      <c r="B638" s="0" t="s">
        <v>1300</v>
      </c>
      <c r="C638" s="0" t="s">
        <v>1746</v>
      </c>
    </row>
    <row r="639" customFormat="false" ht="15" hidden="false" customHeight="false" outlineLevel="0" collapsed="false">
      <c r="A639" s="0" t="s">
        <v>22</v>
      </c>
      <c r="B639" s="0" t="s">
        <v>1300</v>
      </c>
      <c r="C639" s="0" t="s">
        <v>1882</v>
      </c>
      <c r="D639" s="0" t="n">
        <v>168</v>
      </c>
    </row>
    <row r="640" customFormat="false" ht="15" hidden="false" customHeight="false" outlineLevel="0" collapsed="false">
      <c r="A640" s="0" t="s">
        <v>22</v>
      </c>
      <c r="B640" s="0" t="s">
        <v>1300</v>
      </c>
      <c r="C640" s="0" t="s">
        <v>2175</v>
      </c>
      <c r="D640" s="0" t="n">
        <v>360</v>
      </c>
    </row>
    <row r="641" customFormat="false" ht="15" hidden="false" customHeight="false" outlineLevel="0" collapsed="false">
      <c r="A641" s="0" t="s">
        <v>22</v>
      </c>
      <c r="B641" s="0" t="s">
        <v>1307</v>
      </c>
      <c r="C641" s="0" t="s">
        <v>1746</v>
      </c>
      <c r="D641" s="0" t="n">
        <v>245</v>
      </c>
    </row>
    <row r="642" customFormat="false" ht="15" hidden="false" customHeight="false" outlineLevel="0" collapsed="false">
      <c r="A642" s="0" t="s">
        <v>22</v>
      </c>
      <c r="B642" s="0" t="s">
        <v>1307</v>
      </c>
      <c r="C642" s="0" t="s">
        <v>1882</v>
      </c>
    </row>
    <row r="643" customFormat="false" ht="15" hidden="false" customHeight="false" outlineLevel="0" collapsed="false">
      <c r="A643" s="0" t="s">
        <v>22</v>
      </c>
      <c r="B643" s="0" t="s">
        <v>1307</v>
      </c>
      <c r="C643" s="0" t="s">
        <v>2175</v>
      </c>
    </row>
    <row r="644" customFormat="false" ht="15" hidden="false" customHeight="false" outlineLevel="0" collapsed="false">
      <c r="A644" s="0" t="s">
        <v>22</v>
      </c>
      <c r="B644" s="0" t="s">
        <v>1316</v>
      </c>
      <c r="C644" s="0" t="s">
        <v>1746</v>
      </c>
      <c r="D644" s="0" t="n">
        <v>7</v>
      </c>
    </row>
    <row r="645" customFormat="false" ht="15" hidden="false" customHeight="false" outlineLevel="0" collapsed="false">
      <c r="A645" s="0" t="s">
        <v>22</v>
      </c>
      <c r="B645" s="0" t="s">
        <v>1316</v>
      </c>
      <c r="C645" s="0" t="s">
        <v>1882</v>
      </c>
    </row>
    <row r="646" customFormat="false" ht="15" hidden="false" customHeight="false" outlineLevel="0" collapsed="false">
      <c r="A646" s="0" t="s">
        <v>22</v>
      </c>
      <c r="B646" s="0" t="s">
        <v>1316</v>
      </c>
      <c r="C646" s="0" t="s">
        <v>2175</v>
      </c>
      <c r="D646" s="0" t="n">
        <v>17.7</v>
      </c>
    </row>
    <row r="647" customFormat="false" ht="15" hidden="false" customHeight="false" outlineLevel="0" collapsed="false">
      <c r="A647" s="0" t="s">
        <v>22</v>
      </c>
      <c r="B647" s="0" t="s">
        <v>1323</v>
      </c>
      <c r="C647" s="0" t="s">
        <v>1746</v>
      </c>
    </row>
    <row r="648" customFormat="false" ht="15" hidden="false" customHeight="false" outlineLevel="0" collapsed="false">
      <c r="A648" s="0" t="s">
        <v>22</v>
      </c>
      <c r="B648" s="0" t="s">
        <v>1323</v>
      </c>
      <c r="C648" s="0" t="s">
        <v>1882</v>
      </c>
      <c r="D648" s="0" t="n">
        <v>0.245</v>
      </c>
    </row>
    <row r="649" customFormat="false" ht="15" hidden="false" customHeight="false" outlineLevel="0" collapsed="false">
      <c r="A649" s="0" t="s">
        <v>22</v>
      </c>
      <c r="B649" s="0" t="s">
        <v>1323</v>
      </c>
      <c r="C649" s="0" t="s">
        <v>2175</v>
      </c>
      <c r="D649" s="0" t="n">
        <v>2.295</v>
      </c>
    </row>
    <row r="650" customFormat="false" ht="15" hidden="false" customHeight="false" outlineLevel="0" collapsed="false">
      <c r="A650" s="0" t="s">
        <v>22</v>
      </c>
      <c r="B650" s="0" t="s">
        <v>1328</v>
      </c>
      <c r="C650" s="0" t="s">
        <v>1746</v>
      </c>
      <c r="D650" s="0" t="n">
        <v>401</v>
      </c>
    </row>
    <row r="651" customFormat="false" ht="15" hidden="false" customHeight="false" outlineLevel="0" collapsed="false">
      <c r="A651" s="0" t="s">
        <v>22</v>
      </c>
      <c r="B651" s="0" t="s">
        <v>1328</v>
      </c>
      <c r="C651" s="0" t="s">
        <v>1882</v>
      </c>
    </row>
    <row r="652" customFormat="false" ht="15" hidden="false" customHeight="false" outlineLevel="0" collapsed="false">
      <c r="A652" s="0" t="s">
        <v>22</v>
      </c>
      <c r="B652" s="0" t="s">
        <v>1328</v>
      </c>
      <c r="C652" s="0" t="s">
        <v>2175</v>
      </c>
    </row>
    <row r="653" customFormat="false" ht="15" hidden="false" customHeight="false" outlineLevel="0" collapsed="false">
      <c r="A653" s="0" t="s">
        <v>22</v>
      </c>
      <c r="B653" s="0" t="s">
        <v>1337</v>
      </c>
      <c r="C653" s="0" t="s">
        <v>1746</v>
      </c>
      <c r="D653" s="0" t="n">
        <v>19</v>
      </c>
    </row>
    <row r="654" customFormat="false" ht="15" hidden="false" customHeight="false" outlineLevel="0" collapsed="false">
      <c r="A654" s="0" t="s">
        <v>22</v>
      </c>
      <c r="B654" s="0" t="s">
        <v>1337</v>
      </c>
      <c r="C654" s="0" t="s">
        <v>1882</v>
      </c>
    </row>
    <row r="655" customFormat="false" ht="15" hidden="false" customHeight="false" outlineLevel="0" collapsed="false">
      <c r="A655" s="0" t="s">
        <v>22</v>
      </c>
      <c r="B655" s="0" t="s">
        <v>1337</v>
      </c>
      <c r="C655" s="0" t="s">
        <v>2175</v>
      </c>
    </row>
    <row r="656" customFormat="false" ht="15" hidden="false" customHeight="false" outlineLevel="0" collapsed="false">
      <c r="A656" s="0" t="s">
        <v>22</v>
      </c>
      <c r="B656" s="0" t="s">
        <v>1343</v>
      </c>
      <c r="C656" s="0" t="s">
        <v>1746</v>
      </c>
      <c r="D656" s="0" t="n">
        <v>191</v>
      </c>
    </row>
    <row r="657" customFormat="false" ht="15" hidden="false" customHeight="false" outlineLevel="0" collapsed="false">
      <c r="A657" s="0" t="s">
        <v>22</v>
      </c>
      <c r="B657" s="0" t="s">
        <v>1343</v>
      </c>
      <c r="C657" s="0" t="s">
        <v>1882</v>
      </c>
      <c r="D657" s="0" t="n">
        <v>96</v>
      </c>
    </row>
    <row r="658" customFormat="false" ht="15" hidden="false" customHeight="false" outlineLevel="0" collapsed="false">
      <c r="A658" s="0" t="s">
        <v>22</v>
      </c>
      <c r="B658" s="0" t="s">
        <v>1343</v>
      </c>
      <c r="C658" s="0" t="s">
        <v>2175</v>
      </c>
    </row>
    <row r="659" customFormat="false" ht="15" hidden="false" customHeight="false" outlineLevel="0" collapsed="false">
      <c r="A659" s="0" t="s">
        <v>22</v>
      </c>
      <c r="B659" s="0" t="s">
        <v>1352</v>
      </c>
      <c r="C659" s="0" t="s">
        <v>1746</v>
      </c>
      <c r="D659" s="0" t="n">
        <v>9.1</v>
      </c>
    </row>
    <row r="660" customFormat="false" ht="15" hidden="false" customHeight="false" outlineLevel="0" collapsed="false">
      <c r="A660" s="0" t="s">
        <v>22</v>
      </c>
      <c r="B660" s="0" t="s">
        <v>1352</v>
      </c>
      <c r="C660" s="0" t="s">
        <v>1882</v>
      </c>
    </row>
    <row r="661" customFormat="false" ht="15" hidden="false" customHeight="false" outlineLevel="0" collapsed="false">
      <c r="A661" s="0" t="s">
        <v>22</v>
      </c>
      <c r="B661" s="0" t="s">
        <v>1352</v>
      </c>
      <c r="C661" s="0" t="s">
        <v>2175</v>
      </c>
      <c r="D661" s="0" t="n">
        <v>16.5</v>
      </c>
    </row>
    <row r="662" customFormat="false" ht="15" hidden="false" customHeight="false" outlineLevel="0" collapsed="false">
      <c r="A662" s="0" t="s">
        <v>22</v>
      </c>
      <c r="B662" s="0" t="s">
        <v>1358</v>
      </c>
      <c r="C662" s="0" t="s">
        <v>1746</v>
      </c>
      <c r="D662" s="0" t="n">
        <v>45</v>
      </c>
    </row>
    <row r="663" customFormat="false" ht="15" hidden="false" customHeight="false" outlineLevel="0" collapsed="false">
      <c r="A663" s="0" t="s">
        <v>22</v>
      </c>
      <c r="B663" s="0" t="s">
        <v>1358</v>
      </c>
      <c r="C663" s="0" t="s">
        <v>1882</v>
      </c>
    </row>
    <row r="664" customFormat="false" ht="15" hidden="false" customHeight="false" outlineLevel="0" collapsed="false">
      <c r="A664" s="0" t="s">
        <v>22</v>
      </c>
      <c r="B664" s="0" t="s">
        <v>1358</v>
      </c>
      <c r="C664" s="0" t="s">
        <v>2175</v>
      </c>
    </row>
    <row r="665" customFormat="false" ht="15" hidden="false" customHeight="false" outlineLevel="0" collapsed="false">
      <c r="A665" s="0" t="s">
        <v>22</v>
      </c>
      <c r="B665" s="0" t="s">
        <v>1368</v>
      </c>
      <c r="C665" s="0" t="s">
        <v>1746</v>
      </c>
      <c r="D665" s="0" t="n">
        <v>460</v>
      </c>
    </row>
    <row r="666" customFormat="false" ht="15" hidden="false" customHeight="false" outlineLevel="0" collapsed="false">
      <c r="A666" s="0" t="s">
        <v>22</v>
      </c>
      <c r="B666" s="0" t="s">
        <v>1368</v>
      </c>
      <c r="C666" s="0" t="s">
        <v>1882</v>
      </c>
    </row>
    <row r="667" customFormat="false" ht="15" hidden="false" customHeight="false" outlineLevel="0" collapsed="false">
      <c r="A667" s="0" t="s">
        <v>22</v>
      </c>
      <c r="B667" s="0" t="s">
        <v>1368</v>
      </c>
      <c r="C667" s="0" t="s">
        <v>2175</v>
      </c>
    </row>
    <row r="668" customFormat="false" ht="15" hidden="false" customHeight="false" outlineLevel="0" collapsed="false">
      <c r="A668" s="0" t="s">
        <v>22</v>
      </c>
      <c r="B668" s="0" t="s">
        <v>1374</v>
      </c>
      <c r="C668" s="0" t="s">
        <v>1746</v>
      </c>
      <c r="D668" s="0" t="n">
        <v>35</v>
      </c>
    </row>
    <row r="669" customFormat="false" ht="15" hidden="false" customHeight="false" outlineLevel="0" collapsed="false">
      <c r="A669" s="0" t="s">
        <v>22</v>
      </c>
      <c r="B669" s="0" t="s">
        <v>1374</v>
      </c>
      <c r="C669" s="0" t="s">
        <v>1882</v>
      </c>
    </row>
    <row r="670" customFormat="false" ht="15" hidden="false" customHeight="false" outlineLevel="0" collapsed="false">
      <c r="A670" s="0" t="s">
        <v>22</v>
      </c>
      <c r="B670" s="0" t="s">
        <v>1374</v>
      </c>
      <c r="C670" s="0" t="s">
        <v>2175</v>
      </c>
    </row>
    <row r="671" customFormat="false" ht="15" hidden="false" customHeight="false" outlineLevel="0" collapsed="false">
      <c r="A671" s="0" t="s">
        <v>22</v>
      </c>
      <c r="B671" s="0" t="s">
        <v>1383</v>
      </c>
      <c r="C671" s="0" t="s">
        <v>1746</v>
      </c>
      <c r="D671" s="0" t="n">
        <v>350</v>
      </c>
    </row>
    <row r="672" customFormat="false" ht="15" hidden="false" customHeight="false" outlineLevel="0" collapsed="false">
      <c r="A672" s="0" t="s">
        <v>22</v>
      </c>
      <c r="B672" s="0" t="s">
        <v>1383</v>
      </c>
      <c r="C672" s="0" t="s">
        <v>1882</v>
      </c>
    </row>
    <row r="673" customFormat="false" ht="15" hidden="false" customHeight="false" outlineLevel="0" collapsed="false">
      <c r="A673" s="0" t="s">
        <v>22</v>
      </c>
      <c r="B673" s="0" t="s">
        <v>1383</v>
      </c>
      <c r="C673" s="0" t="s">
        <v>2175</v>
      </c>
    </row>
    <row r="674" customFormat="false" ht="15" hidden="false" customHeight="false" outlineLevel="0" collapsed="false">
      <c r="A674" s="0" t="s">
        <v>22</v>
      </c>
      <c r="B674" s="0" t="s">
        <v>1390</v>
      </c>
      <c r="C674" s="0" t="s">
        <v>1746</v>
      </c>
    </row>
    <row r="675" customFormat="false" ht="15" hidden="false" customHeight="false" outlineLevel="0" collapsed="false">
      <c r="A675" s="0" t="s">
        <v>22</v>
      </c>
      <c r="B675" s="0" t="s">
        <v>1390</v>
      </c>
      <c r="C675" s="0" t="s">
        <v>1882</v>
      </c>
      <c r="D675" s="0" t="n">
        <v>300</v>
      </c>
    </row>
    <row r="676" customFormat="false" ht="15" hidden="false" customHeight="false" outlineLevel="0" collapsed="false">
      <c r="A676" s="0" t="s">
        <v>22</v>
      </c>
      <c r="B676" s="0" t="s">
        <v>1390</v>
      </c>
      <c r="C676" s="0" t="s">
        <v>2175</v>
      </c>
    </row>
    <row r="677" customFormat="false" ht="15" hidden="false" customHeight="false" outlineLevel="0" collapsed="false">
      <c r="A677" s="0" t="s">
        <v>22</v>
      </c>
      <c r="B677" s="0" t="s">
        <v>1396</v>
      </c>
      <c r="C677" s="0" t="s">
        <v>1746</v>
      </c>
    </row>
    <row r="678" customFormat="false" ht="15" hidden="false" customHeight="false" outlineLevel="0" collapsed="false">
      <c r="A678" s="0" t="s">
        <v>22</v>
      </c>
      <c r="B678" s="0" t="s">
        <v>1396</v>
      </c>
      <c r="C678" s="0" t="s">
        <v>1882</v>
      </c>
      <c r="D678" s="0" t="n">
        <v>220000</v>
      </c>
    </row>
    <row r="679" customFormat="false" ht="15" hidden="false" customHeight="false" outlineLevel="0" collapsed="false">
      <c r="A679" s="0" t="s">
        <v>22</v>
      </c>
      <c r="B679" s="0" t="s">
        <v>1396</v>
      </c>
      <c r="C679" s="0" t="s">
        <v>2175</v>
      </c>
    </row>
    <row r="680" customFormat="false" ht="15" hidden="false" customHeight="false" outlineLevel="0" collapsed="false">
      <c r="A680" s="0" t="s">
        <v>22</v>
      </c>
      <c r="B680" s="0" t="s">
        <v>1401</v>
      </c>
      <c r="C680" s="0" t="s">
        <v>1746</v>
      </c>
      <c r="D680" s="0" t="n">
        <v>1.25</v>
      </c>
    </row>
    <row r="681" customFormat="false" ht="15" hidden="false" customHeight="false" outlineLevel="0" collapsed="false">
      <c r="A681" s="0" t="s">
        <v>22</v>
      </c>
      <c r="B681" s="0" t="s">
        <v>1401</v>
      </c>
      <c r="C681" s="0" t="s">
        <v>1882</v>
      </c>
    </row>
    <row r="682" customFormat="false" ht="15" hidden="false" customHeight="false" outlineLevel="0" collapsed="false">
      <c r="A682" s="0" t="s">
        <v>22</v>
      </c>
      <c r="B682" s="0" t="s">
        <v>1401</v>
      </c>
      <c r="C682" s="0" t="s">
        <v>2175</v>
      </c>
    </row>
    <row r="683" customFormat="false" ht="15" hidden="false" customHeight="false" outlineLevel="0" collapsed="false">
      <c r="A683" s="0" t="s">
        <v>22</v>
      </c>
      <c r="B683" s="0" t="s">
        <v>1409</v>
      </c>
      <c r="C683" s="0" t="s">
        <v>1746</v>
      </c>
      <c r="D683" s="0" t="n">
        <v>180</v>
      </c>
    </row>
    <row r="684" customFormat="false" ht="15" hidden="false" customHeight="false" outlineLevel="0" collapsed="false">
      <c r="A684" s="0" t="s">
        <v>22</v>
      </c>
      <c r="B684" s="0" t="s">
        <v>1409</v>
      </c>
      <c r="C684" s="0" t="s">
        <v>1882</v>
      </c>
    </row>
    <row r="685" customFormat="false" ht="15" hidden="false" customHeight="false" outlineLevel="0" collapsed="false">
      <c r="A685" s="0" t="s">
        <v>22</v>
      </c>
      <c r="B685" s="0" t="s">
        <v>1409</v>
      </c>
      <c r="C685" s="0" t="s">
        <v>2175</v>
      </c>
    </row>
    <row r="686" customFormat="false" ht="15" hidden="false" customHeight="false" outlineLevel="0" collapsed="false">
      <c r="A686" s="0" t="s">
        <v>22</v>
      </c>
      <c r="B686" s="0" t="s">
        <v>1419</v>
      </c>
      <c r="C686" s="0" t="s">
        <v>1746</v>
      </c>
    </row>
    <row r="687" customFormat="false" ht="15" hidden="false" customHeight="false" outlineLevel="0" collapsed="false">
      <c r="A687" s="0" t="s">
        <v>22</v>
      </c>
      <c r="B687" s="0" t="s">
        <v>1419</v>
      </c>
      <c r="C687" s="0" t="s">
        <v>1882</v>
      </c>
    </row>
    <row r="688" customFormat="false" ht="15" hidden="false" customHeight="false" outlineLevel="0" collapsed="false">
      <c r="A688" s="0" t="s">
        <v>22</v>
      </c>
      <c r="B688" s="0" t="s">
        <v>1419</v>
      </c>
      <c r="C688" s="0" t="s">
        <v>2175</v>
      </c>
      <c r="D688" s="0" t="n">
        <v>84.5</v>
      </c>
    </row>
    <row r="689" customFormat="false" ht="15" hidden="false" customHeight="false" outlineLevel="0" collapsed="false">
      <c r="A689" s="0" t="s">
        <v>22</v>
      </c>
      <c r="B689" s="0" t="s">
        <v>1428</v>
      </c>
      <c r="C689" s="0" t="s">
        <v>1746</v>
      </c>
      <c r="D689" s="0" t="n">
        <f aca="false">SRC_ANT_227*INP_014</f>
        <v>45</v>
      </c>
    </row>
    <row r="690" customFormat="false" ht="15" hidden="false" customHeight="false" outlineLevel="0" collapsed="false">
      <c r="A690" s="0" t="s">
        <v>22</v>
      </c>
      <c r="B690" s="0" t="s">
        <v>1428</v>
      </c>
      <c r="C690" s="0" t="s">
        <v>1882</v>
      </c>
    </row>
    <row r="691" customFormat="false" ht="15" hidden="false" customHeight="false" outlineLevel="0" collapsed="false">
      <c r="A691" s="0" t="s">
        <v>22</v>
      </c>
      <c r="B691" s="0" t="s">
        <v>1428</v>
      </c>
      <c r="C691" s="0" t="s">
        <v>2175</v>
      </c>
    </row>
    <row r="692" customFormat="false" ht="15" hidden="false" customHeight="false" outlineLevel="0" collapsed="false">
      <c r="A692" s="0" t="s">
        <v>22</v>
      </c>
      <c r="B692" s="0" t="s">
        <v>1434</v>
      </c>
      <c r="C692" s="0" t="s">
        <v>1746</v>
      </c>
    </row>
    <row r="693" customFormat="false" ht="15" hidden="false" customHeight="false" outlineLevel="0" collapsed="false">
      <c r="A693" s="0" t="s">
        <v>22</v>
      </c>
      <c r="B693" s="0" t="s">
        <v>1434</v>
      </c>
      <c r="C693" s="0" t="s">
        <v>1882</v>
      </c>
    </row>
    <row r="694" customFormat="false" ht="15" hidden="false" customHeight="false" outlineLevel="0" collapsed="false">
      <c r="A694" s="0" t="s">
        <v>22</v>
      </c>
      <c r="B694" s="0" t="s">
        <v>1434</v>
      </c>
      <c r="C694" s="0" t="s">
        <v>2175</v>
      </c>
      <c r="D694" s="0" t="n">
        <v>2</v>
      </c>
    </row>
    <row r="695" customFormat="false" ht="15" hidden="false" customHeight="false" outlineLevel="0" collapsed="false">
      <c r="A695" s="0" t="s">
        <v>22</v>
      </c>
      <c r="B695" s="0" t="s">
        <v>1443</v>
      </c>
      <c r="C695" s="0" t="s">
        <v>1746</v>
      </c>
    </row>
    <row r="696" customFormat="false" ht="15" hidden="false" customHeight="false" outlineLevel="0" collapsed="false">
      <c r="A696" s="0" t="s">
        <v>22</v>
      </c>
      <c r="B696" s="0" t="s">
        <v>1443</v>
      </c>
      <c r="C696" s="0" t="s">
        <v>1882</v>
      </c>
      <c r="D696" s="0" t="n">
        <v>20</v>
      </c>
    </row>
    <row r="697" customFormat="false" ht="15" hidden="false" customHeight="false" outlineLevel="0" collapsed="false">
      <c r="A697" s="0" t="s">
        <v>22</v>
      </c>
      <c r="B697" s="0" t="s">
        <v>1443</v>
      </c>
      <c r="C697" s="0" t="s">
        <v>2175</v>
      </c>
    </row>
    <row r="698" customFormat="false" ht="15" hidden="false" customHeight="false" outlineLevel="0" collapsed="false">
      <c r="A698" s="0" t="s">
        <v>22</v>
      </c>
      <c r="B698" s="0" t="s">
        <v>1449</v>
      </c>
      <c r="C698" s="0" t="s">
        <v>1746</v>
      </c>
    </row>
    <row r="699" customFormat="false" ht="15" hidden="false" customHeight="false" outlineLevel="0" collapsed="false">
      <c r="A699" s="0" t="s">
        <v>22</v>
      </c>
      <c r="B699" s="0" t="s">
        <v>1449</v>
      </c>
      <c r="C699" s="0" t="s">
        <v>1882</v>
      </c>
    </row>
    <row r="700" customFormat="false" ht="15" hidden="false" customHeight="false" outlineLevel="0" collapsed="false">
      <c r="A700" s="0" t="s">
        <v>22</v>
      </c>
      <c r="B700" s="0" t="s">
        <v>1449</v>
      </c>
      <c r="C700" s="0" t="s">
        <v>2175</v>
      </c>
    </row>
    <row r="701" customFormat="false" ht="15" hidden="false" customHeight="false" outlineLevel="0" collapsed="false">
      <c r="A701" s="0" t="s">
        <v>22</v>
      </c>
      <c r="B701" s="0" t="s">
        <v>1458</v>
      </c>
      <c r="C701" s="0" t="s">
        <v>1746</v>
      </c>
      <c r="D701" s="0" t="n">
        <v>1.8</v>
      </c>
    </row>
    <row r="702" customFormat="false" ht="15" hidden="false" customHeight="false" outlineLevel="0" collapsed="false">
      <c r="A702" s="0" t="s">
        <v>22</v>
      </c>
      <c r="B702" s="0" t="s">
        <v>1458</v>
      </c>
      <c r="C702" s="0" t="s">
        <v>1882</v>
      </c>
    </row>
    <row r="703" customFormat="false" ht="15" hidden="false" customHeight="false" outlineLevel="0" collapsed="false">
      <c r="A703" s="0" t="s">
        <v>22</v>
      </c>
      <c r="B703" s="0" t="s">
        <v>1458</v>
      </c>
      <c r="C703" s="0" t="s">
        <v>2175</v>
      </c>
    </row>
    <row r="704" customFormat="false" ht="15" hidden="false" customHeight="false" outlineLevel="0" collapsed="false">
      <c r="A704" s="0" t="s">
        <v>22</v>
      </c>
      <c r="B704" s="0" t="s">
        <v>1468</v>
      </c>
      <c r="C704" s="0" t="s">
        <v>1746</v>
      </c>
    </row>
    <row r="705" customFormat="false" ht="15" hidden="false" customHeight="false" outlineLevel="0" collapsed="false">
      <c r="A705" s="0" t="s">
        <v>22</v>
      </c>
      <c r="B705" s="0" t="s">
        <v>1468</v>
      </c>
      <c r="C705" s="0" t="s">
        <v>1882</v>
      </c>
    </row>
    <row r="706" customFormat="false" ht="15" hidden="false" customHeight="false" outlineLevel="0" collapsed="false">
      <c r="A706" s="0" t="s">
        <v>22</v>
      </c>
      <c r="B706" s="0" t="s">
        <v>1468</v>
      </c>
      <c r="C706" s="0" t="s">
        <v>2175</v>
      </c>
    </row>
    <row r="707" customFormat="false" ht="15" hidden="false" customHeight="false" outlineLevel="0" collapsed="false">
      <c r="A707" s="0" t="s">
        <v>22</v>
      </c>
      <c r="B707" s="0" t="s">
        <v>1476</v>
      </c>
      <c r="C707" s="0" t="s">
        <v>1746</v>
      </c>
      <c r="D707" s="0" t="n">
        <v>10</v>
      </c>
    </row>
    <row r="708" customFormat="false" ht="15" hidden="false" customHeight="false" outlineLevel="0" collapsed="false">
      <c r="A708" s="0" t="s">
        <v>22</v>
      </c>
      <c r="B708" s="0" t="s">
        <v>1476</v>
      </c>
      <c r="C708" s="0" t="s">
        <v>1882</v>
      </c>
    </row>
    <row r="709" customFormat="false" ht="15" hidden="false" customHeight="false" outlineLevel="0" collapsed="false">
      <c r="A709" s="0" t="s">
        <v>22</v>
      </c>
      <c r="B709" s="0" t="s">
        <v>1476</v>
      </c>
      <c r="C709" s="0" t="s">
        <v>2175</v>
      </c>
    </row>
    <row r="710" customFormat="false" ht="15" hidden="false" customHeight="false" outlineLevel="0" collapsed="false">
      <c r="A710" s="0" t="s">
        <v>22</v>
      </c>
      <c r="B710" s="0" t="s">
        <v>1484</v>
      </c>
      <c r="C710" s="0" t="s">
        <v>1746</v>
      </c>
      <c r="D710" s="0" t="n">
        <v>133</v>
      </c>
    </row>
    <row r="711" customFormat="false" ht="15" hidden="false" customHeight="false" outlineLevel="0" collapsed="false">
      <c r="A711" s="0" t="s">
        <v>22</v>
      </c>
      <c r="B711" s="0" t="s">
        <v>1484</v>
      </c>
      <c r="C711" s="0" t="s">
        <v>1882</v>
      </c>
    </row>
    <row r="712" customFormat="false" ht="15" hidden="false" customHeight="false" outlineLevel="0" collapsed="false">
      <c r="A712" s="0" t="s">
        <v>22</v>
      </c>
      <c r="B712" s="0" t="s">
        <v>1484</v>
      </c>
      <c r="C712" s="0" t="s">
        <v>2175</v>
      </c>
    </row>
    <row r="713" customFormat="false" ht="15" hidden="false" customHeight="false" outlineLevel="0" collapsed="false">
      <c r="A713" s="0" t="s">
        <v>22</v>
      </c>
      <c r="B713" s="0" t="s">
        <v>1492</v>
      </c>
      <c r="C713" s="0" t="s">
        <v>1746</v>
      </c>
      <c r="D713" s="0" t="n">
        <v>500</v>
      </c>
    </row>
    <row r="714" customFormat="false" ht="15" hidden="false" customHeight="false" outlineLevel="0" collapsed="false">
      <c r="A714" s="0" t="s">
        <v>22</v>
      </c>
      <c r="B714" s="0" t="s">
        <v>1492</v>
      </c>
      <c r="C714" s="0" t="s">
        <v>1882</v>
      </c>
    </row>
    <row r="715" customFormat="false" ht="15" hidden="false" customHeight="false" outlineLevel="0" collapsed="false">
      <c r="A715" s="0" t="s">
        <v>22</v>
      </c>
      <c r="B715" s="0" t="s">
        <v>1492</v>
      </c>
      <c r="C715" s="0" t="s">
        <v>2175</v>
      </c>
      <c r="D715" s="0" t="n">
        <v>7700</v>
      </c>
    </row>
    <row r="716" customFormat="false" ht="15" hidden="false" customHeight="false" outlineLevel="0" collapsed="false">
      <c r="A716" s="0" t="s">
        <v>22</v>
      </c>
      <c r="B716" s="0" t="s">
        <v>1502</v>
      </c>
      <c r="C716" s="0" t="s">
        <v>1746</v>
      </c>
      <c r="D716" s="0" t="n">
        <v>15</v>
      </c>
    </row>
    <row r="717" customFormat="false" ht="15" hidden="false" customHeight="false" outlineLevel="0" collapsed="false">
      <c r="A717" s="0" t="s">
        <v>22</v>
      </c>
      <c r="B717" s="0" t="s">
        <v>1502</v>
      </c>
      <c r="C717" s="0" t="s">
        <v>1882</v>
      </c>
    </row>
    <row r="718" customFormat="false" ht="15" hidden="false" customHeight="false" outlineLevel="0" collapsed="false">
      <c r="A718" s="0" t="s">
        <v>22</v>
      </c>
      <c r="B718" s="0" t="s">
        <v>1502</v>
      </c>
      <c r="C718" s="0" t="s">
        <v>2175</v>
      </c>
    </row>
    <row r="719" customFormat="false" ht="15" hidden="false" customHeight="false" outlineLevel="0" collapsed="false">
      <c r="A719" s="0" t="s">
        <v>22</v>
      </c>
      <c r="B719" s="0" t="s">
        <v>1509</v>
      </c>
      <c r="C719" s="0" t="s">
        <v>1746</v>
      </c>
      <c r="D719" s="0" t="n">
        <v>207</v>
      </c>
    </row>
    <row r="720" customFormat="false" ht="15" hidden="false" customHeight="false" outlineLevel="0" collapsed="false">
      <c r="A720" s="0" t="s">
        <v>22</v>
      </c>
      <c r="B720" s="0" t="s">
        <v>1509</v>
      </c>
      <c r="C720" s="0" t="s">
        <v>1882</v>
      </c>
      <c r="D720" s="0" t="n">
        <v>168</v>
      </c>
    </row>
    <row r="721" customFormat="false" ht="15" hidden="false" customHeight="false" outlineLevel="0" collapsed="false">
      <c r="A721" s="0" t="s">
        <v>22</v>
      </c>
      <c r="B721" s="0" t="s">
        <v>1509</v>
      </c>
      <c r="C721" s="0" t="s">
        <v>2175</v>
      </c>
    </row>
    <row r="722" customFormat="false" ht="15" hidden="false" customHeight="false" outlineLevel="0" collapsed="false">
      <c r="A722" s="0" t="s">
        <v>22</v>
      </c>
      <c r="B722" s="0" t="s">
        <v>1516</v>
      </c>
      <c r="C722" s="0" t="s">
        <v>1746</v>
      </c>
    </row>
    <row r="723" customFormat="false" ht="15" hidden="false" customHeight="false" outlineLevel="0" collapsed="false">
      <c r="A723" s="0" t="s">
        <v>22</v>
      </c>
      <c r="B723" s="0" t="s">
        <v>1516</v>
      </c>
      <c r="C723" s="0" t="s">
        <v>1882</v>
      </c>
    </row>
    <row r="724" customFormat="false" ht="15" hidden="false" customHeight="false" outlineLevel="0" collapsed="false">
      <c r="A724" s="0" t="s">
        <v>22</v>
      </c>
      <c r="B724" s="0" t="s">
        <v>1516</v>
      </c>
      <c r="C724" s="0" t="s">
        <v>2175</v>
      </c>
      <c r="D724" s="0" t="n">
        <v>517</v>
      </c>
    </row>
    <row r="725" customFormat="false" ht="15" hidden="false" customHeight="false" outlineLevel="0" collapsed="false">
      <c r="A725" s="0" t="s">
        <v>22</v>
      </c>
      <c r="B725" s="0" t="s">
        <v>1526</v>
      </c>
      <c r="C725" s="0" t="s">
        <v>1746</v>
      </c>
    </row>
    <row r="726" customFormat="false" ht="15" hidden="false" customHeight="false" outlineLevel="0" collapsed="false">
      <c r="A726" s="0" t="s">
        <v>22</v>
      </c>
      <c r="B726" s="0" t="s">
        <v>1526</v>
      </c>
      <c r="C726" s="0" t="s">
        <v>1882</v>
      </c>
      <c r="D726" s="0" t="n">
        <v>14.8</v>
      </c>
    </row>
    <row r="727" customFormat="false" ht="15" hidden="false" customHeight="false" outlineLevel="0" collapsed="false">
      <c r="A727" s="0" t="s">
        <v>22</v>
      </c>
      <c r="B727" s="0" t="s">
        <v>1526</v>
      </c>
      <c r="C727" s="0" t="s">
        <v>2175</v>
      </c>
    </row>
    <row r="728" customFormat="false" ht="15" hidden="false" customHeight="false" outlineLevel="0" collapsed="false">
      <c r="A728" s="0" t="s">
        <v>22</v>
      </c>
      <c r="B728" s="0" t="s">
        <v>1533</v>
      </c>
      <c r="C728" s="0" t="s">
        <v>1746</v>
      </c>
    </row>
    <row r="729" customFormat="false" ht="15" hidden="false" customHeight="false" outlineLevel="0" collapsed="false">
      <c r="A729" s="0" t="s">
        <v>22</v>
      </c>
      <c r="B729" s="0" t="s">
        <v>1533</v>
      </c>
      <c r="C729" s="0" t="s">
        <v>1882</v>
      </c>
      <c r="D729" s="0" t="n">
        <v>16</v>
      </c>
    </row>
    <row r="730" customFormat="false" ht="15" hidden="false" customHeight="false" outlineLevel="0" collapsed="false">
      <c r="A730" s="0" t="s">
        <v>22</v>
      </c>
      <c r="B730" s="0" t="s">
        <v>1533</v>
      </c>
      <c r="C730" s="0" t="s">
        <v>2175</v>
      </c>
      <c r="D730" s="0" t="n">
        <v>17</v>
      </c>
    </row>
    <row r="731" customFormat="false" ht="15" hidden="false" customHeight="false" outlineLevel="0" collapsed="false">
      <c r="A731" s="0" t="s">
        <v>22</v>
      </c>
      <c r="B731" s="0" t="s">
        <v>1540</v>
      </c>
      <c r="C731" s="0" t="s">
        <v>1746</v>
      </c>
      <c r="D731" s="0" t="n">
        <v>180</v>
      </c>
    </row>
    <row r="732" customFormat="false" ht="15" hidden="false" customHeight="false" outlineLevel="0" collapsed="false">
      <c r="A732" s="0" t="s">
        <v>22</v>
      </c>
      <c r="B732" s="0" t="s">
        <v>1540</v>
      </c>
      <c r="C732" s="0" t="s">
        <v>1882</v>
      </c>
    </row>
    <row r="733" customFormat="false" ht="15" hidden="false" customHeight="false" outlineLevel="0" collapsed="false">
      <c r="A733" s="0" t="s">
        <v>22</v>
      </c>
      <c r="B733" s="0" t="s">
        <v>1540</v>
      </c>
      <c r="C733" s="0" t="s">
        <v>2175</v>
      </c>
    </row>
    <row r="734" customFormat="false" ht="15" hidden="false" customHeight="false" outlineLevel="0" collapsed="false">
      <c r="A734" s="0" t="s">
        <v>22</v>
      </c>
      <c r="B734" s="0" t="s">
        <v>1548</v>
      </c>
      <c r="C734" s="0" t="s">
        <v>1746</v>
      </c>
      <c r="D734" s="0" t="n">
        <v>518</v>
      </c>
    </row>
    <row r="735" customFormat="false" ht="15" hidden="false" customHeight="false" outlineLevel="0" collapsed="false">
      <c r="A735" s="0" t="s">
        <v>22</v>
      </c>
      <c r="B735" s="0" t="s">
        <v>1548</v>
      </c>
      <c r="C735" s="0" t="s">
        <v>1882</v>
      </c>
    </row>
    <row r="736" customFormat="false" ht="15" hidden="false" customHeight="false" outlineLevel="0" collapsed="false">
      <c r="A736" s="0" t="s">
        <v>22</v>
      </c>
      <c r="B736" s="0" t="s">
        <v>1548</v>
      </c>
      <c r="C736" s="0" t="s">
        <v>2175</v>
      </c>
    </row>
    <row r="737" customFormat="false" ht="15" hidden="false" customHeight="false" outlineLevel="0" collapsed="false">
      <c r="A737" s="0" t="s">
        <v>22</v>
      </c>
      <c r="B737" s="0" t="s">
        <v>1555</v>
      </c>
      <c r="C737" s="0" t="s">
        <v>1746</v>
      </c>
      <c r="D737" s="0" t="n">
        <v>0.8</v>
      </c>
    </row>
    <row r="738" customFormat="false" ht="15" hidden="false" customHeight="false" outlineLevel="0" collapsed="false">
      <c r="A738" s="0" t="s">
        <v>22</v>
      </c>
      <c r="B738" s="0" t="s">
        <v>1555</v>
      </c>
      <c r="C738" s="0" t="s">
        <v>1882</v>
      </c>
    </row>
    <row r="739" customFormat="false" ht="15" hidden="false" customHeight="false" outlineLevel="0" collapsed="false">
      <c r="A739" s="0" t="s">
        <v>22</v>
      </c>
      <c r="B739" s="0" t="s">
        <v>1555</v>
      </c>
      <c r="C739" s="0" t="s">
        <v>2175</v>
      </c>
    </row>
    <row r="740" customFormat="false" ht="15" hidden="false" customHeight="false" outlineLevel="0" collapsed="false">
      <c r="A740" s="0" t="s">
        <v>22</v>
      </c>
      <c r="B740" s="0" t="s">
        <v>1560</v>
      </c>
      <c r="C740" s="0" t="s">
        <v>1746</v>
      </c>
    </row>
    <row r="741" customFormat="false" ht="15" hidden="false" customHeight="false" outlineLevel="0" collapsed="false">
      <c r="A741" s="0" t="s">
        <v>22</v>
      </c>
      <c r="B741" s="0" t="s">
        <v>1560</v>
      </c>
      <c r="C741" s="0" t="s">
        <v>1882</v>
      </c>
      <c r="D741" s="0" t="n">
        <v>111.1</v>
      </c>
    </row>
    <row r="742" customFormat="false" ht="15" hidden="false" customHeight="false" outlineLevel="0" collapsed="false">
      <c r="A742" s="0" t="s">
        <v>22</v>
      </c>
      <c r="B742" s="0" t="s">
        <v>1560</v>
      </c>
      <c r="C742" s="0" t="s">
        <v>2175</v>
      </c>
    </row>
    <row r="743" customFormat="false" ht="15" hidden="false" customHeight="false" outlineLevel="0" collapsed="false">
      <c r="A743" s="0" t="s">
        <v>22</v>
      </c>
      <c r="B743" s="0" t="s">
        <v>1567</v>
      </c>
      <c r="C743" s="0" t="s">
        <v>1746</v>
      </c>
      <c r="D743" s="0" t="n">
        <v>110</v>
      </c>
    </row>
    <row r="744" customFormat="false" ht="15" hidden="false" customHeight="false" outlineLevel="0" collapsed="false">
      <c r="A744" s="0" t="s">
        <v>22</v>
      </c>
      <c r="B744" s="0" t="s">
        <v>1567</v>
      </c>
      <c r="C744" s="0" t="s">
        <v>1882</v>
      </c>
    </row>
    <row r="745" customFormat="false" ht="15" hidden="false" customHeight="false" outlineLevel="0" collapsed="false">
      <c r="A745" s="0" t="s">
        <v>22</v>
      </c>
      <c r="B745" s="0" t="s">
        <v>1567</v>
      </c>
      <c r="C745" s="0" t="s">
        <v>2175</v>
      </c>
    </row>
    <row r="746" customFormat="false" ht="15" hidden="false" customHeight="false" outlineLevel="0" collapsed="false">
      <c r="A746" s="0" t="s">
        <v>22</v>
      </c>
      <c r="B746" s="0" t="s">
        <v>1572</v>
      </c>
      <c r="C746" s="0" t="s">
        <v>1746</v>
      </c>
      <c r="D746" s="0" t="n">
        <v>161.2</v>
      </c>
    </row>
    <row r="747" customFormat="false" ht="15" hidden="false" customHeight="false" outlineLevel="0" collapsed="false">
      <c r="A747" s="0" t="s">
        <v>22</v>
      </c>
      <c r="B747" s="0" t="s">
        <v>1572</v>
      </c>
      <c r="C747" s="0" t="s">
        <v>1882</v>
      </c>
    </row>
    <row r="748" customFormat="false" ht="15" hidden="false" customHeight="false" outlineLevel="0" collapsed="false">
      <c r="A748" s="0" t="s">
        <v>22</v>
      </c>
      <c r="B748" s="0" t="s">
        <v>1572</v>
      </c>
      <c r="C748" s="0" t="s">
        <v>2175</v>
      </c>
    </row>
    <row r="749" customFormat="false" ht="15" hidden="false" customHeight="false" outlineLevel="0" collapsed="false">
      <c r="A749" s="0" t="s">
        <v>22</v>
      </c>
      <c r="B749" s="0" t="s">
        <v>1577</v>
      </c>
      <c r="C749" s="0" t="s">
        <v>1746</v>
      </c>
      <c r="D749" s="0" t="n">
        <v>125.2</v>
      </c>
    </row>
    <row r="750" customFormat="false" ht="15" hidden="false" customHeight="false" outlineLevel="0" collapsed="false">
      <c r="A750" s="0" t="s">
        <v>22</v>
      </c>
      <c r="B750" s="0" t="s">
        <v>1577</v>
      </c>
      <c r="C750" s="0" t="s">
        <v>1882</v>
      </c>
    </row>
    <row r="751" customFormat="false" ht="15" hidden="false" customHeight="false" outlineLevel="0" collapsed="false">
      <c r="A751" s="0" t="s">
        <v>22</v>
      </c>
      <c r="B751" s="0" t="s">
        <v>1577</v>
      </c>
      <c r="C751" s="0" t="s">
        <v>2175</v>
      </c>
    </row>
    <row r="752" customFormat="false" ht="15" hidden="false" customHeight="false" outlineLevel="0" collapsed="false">
      <c r="A752" s="0" t="s">
        <v>22</v>
      </c>
      <c r="B752" s="0" t="s">
        <v>1584</v>
      </c>
      <c r="C752" s="0" t="s">
        <v>1746</v>
      </c>
    </row>
    <row r="753" customFormat="false" ht="15" hidden="false" customHeight="false" outlineLevel="0" collapsed="false">
      <c r="A753" s="0" t="s">
        <v>22</v>
      </c>
      <c r="B753" s="0" t="s">
        <v>1584</v>
      </c>
      <c r="C753" s="0" t="s">
        <v>1882</v>
      </c>
    </row>
    <row r="754" customFormat="false" ht="15" hidden="false" customHeight="false" outlineLevel="0" collapsed="false">
      <c r="A754" s="0" t="s">
        <v>22</v>
      </c>
      <c r="B754" s="0" t="s">
        <v>1584</v>
      </c>
      <c r="C754" s="0" t="s">
        <v>2175</v>
      </c>
      <c r="D754" s="0" t="n">
        <v>42</v>
      </c>
    </row>
    <row r="755" customFormat="false" ht="15" hidden="false" customHeight="false" outlineLevel="0" collapsed="false">
      <c r="A755" s="0" t="s">
        <v>22</v>
      </c>
      <c r="B755" s="0" t="s">
        <v>1591</v>
      </c>
      <c r="C755" s="0" t="s">
        <v>1746</v>
      </c>
      <c r="D755" s="0" t="n">
        <v>7.33</v>
      </c>
    </row>
    <row r="756" customFormat="false" ht="15" hidden="false" customHeight="false" outlineLevel="0" collapsed="false">
      <c r="A756" s="0" t="s">
        <v>22</v>
      </c>
      <c r="B756" s="0" t="s">
        <v>1591</v>
      </c>
      <c r="C756" s="0" t="s">
        <v>1882</v>
      </c>
    </row>
    <row r="757" customFormat="false" ht="15" hidden="false" customHeight="false" outlineLevel="0" collapsed="false">
      <c r="A757" s="0" t="s">
        <v>22</v>
      </c>
      <c r="B757" s="0" t="s">
        <v>1591</v>
      </c>
      <c r="C757" s="0" t="s">
        <v>2175</v>
      </c>
    </row>
    <row r="758" customFormat="false" ht="15" hidden="false" customHeight="false" outlineLevel="0" collapsed="false">
      <c r="A758" s="0" t="s">
        <v>22</v>
      </c>
      <c r="B758" s="0" t="s">
        <v>1598</v>
      </c>
      <c r="C758" s="0" t="s">
        <v>1746</v>
      </c>
      <c r="D758" s="0" t="n">
        <v>4.1</v>
      </c>
    </row>
    <row r="759" customFormat="false" ht="15" hidden="false" customHeight="false" outlineLevel="0" collapsed="false">
      <c r="A759" s="0" t="s">
        <v>22</v>
      </c>
      <c r="B759" s="0" t="s">
        <v>1598</v>
      </c>
      <c r="C759" s="0" t="s">
        <v>1882</v>
      </c>
    </row>
    <row r="760" customFormat="false" ht="15" hidden="false" customHeight="false" outlineLevel="0" collapsed="false">
      <c r="A760" s="0" t="s">
        <v>22</v>
      </c>
      <c r="B760" s="0" t="s">
        <v>1598</v>
      </c>
      <c r="C760" s="0" t="s">
        <v>2175</v>
      </c>
    </row>
    <row r="761" customFormat="false" ht="15" hidden="false" customHeight="false" outlineLevel="0" collapsed="false">
      <c r="A761" s="0" t="s">
        <v>22</v>
      </c>
      <c r="B761" s="0" t="s">
        <v>1605</v>
      </c>
      <c r="C761" s="0" t="s">
        <v>1746</v>
      </c>
      <c r="D761" s="0" t="n">
        <v>0.23</v>
      </c>
    </row>
    <row r="762" customFormat="false" ht="15" hidden="false" customHeight="false" outlineLevel="0" collapsed="false">
      <c r="A762" s="0" t="s">
        <v>22</v>
      </c>
      <c r="B762" s="0" t="s">
        <v>1605</v>
      </c>
      <c r="C762" s="0" t="s">
        <v>1882</v>
      </c>
    </row>
    <row r="763" customFormat="false" ht="15" hidden="false" customHeight="false" outlineLevel="0" collapsed="false">
      <c r="A763" s="0" t="s">
        <v>22</v>
      </c>
      <c r="B763" s="0" t="s">
        <v>1605</v>
      </c>
      <c r="C763" s="0" t="s">
        <v>2175</v>
      </c>
    </row>
    <row r="764" customFormat="false" ht="15" hidden="false" customHeight="false" outlineLevel="0" collapsed="false">
      <c r="A764" s="0" t="s">
        <v>22</v>
      </c>
      <c r="B764" s="0" t="s">
        <v>1609</v>
      </c>
      <c r="C764" s="0" t="s">
        <v>1746</v>
      </c>
      <c r="D764" s="0" t="n">
        <f aca="false">SRC_ANT_252-SRC_ANT_253</f>
        <v>3.23</v>
      </c>
    </row>
    <row r="765" customFormat="false" ht="15" hidden="false" customHeight="false" outlineLevel="0" collapsed="false">
      <c r="A765" s="0" t="s">
        <v>22</v>
      </c>
      <c r="B765" s="0" t="s">
        <v>1609</v>
      </c>
      <c r="C765" s="0" t="s">
        <v>1882</v>
      </c>
    </row>
    <row r="766" customFormat="false" ht="15" hidden="false" customHeight="false" outlineLevel="0" collapsed="false">
      <c r="A766" s="0" t="s">
        <v>22</v>
      </c>
      <c r="B766" s="0" t="s">
        <v>1609</v>
      </c>
      <c r="C766" s="0" t="s">
        <v>2175</v>
      </c>
    </row>
    <row r="767" customFormat="false" ht="15" hidden="false" customHeight="false" outlineLevel="0" collapsed="false">
      <c r="A767" s="0" t="s">
        <v>22</v>
      </c>
      <c r="B767" s="0" t="s">
        <v>1614</v>
      </c>
      <c r="C767" s="0" t="s">
        <v>1746</v>
      </c>
      <c r="D767" s="0" t="n">
        <v>1.359</v>
      </c>
    </row>
    <row r="768" customFormat="false" ht="15" hidden="false" customHeight="false" outlineLevel="0" collapsed="false">
      <c r="A768" s="0" t="s">
        <v>22</v>
      </c>
      <c r="B768" s="0" t="s">
        <v>1614</v>
      </c>
      <c r="C768" s="0" t="s">
        <v>1882</v>
      </c>
    </row>
    <row r="769" customFormat="false" ht="15" hidden="false" customHeight="false" outlineLevel="0" collapsed="false">
      <c r="A769" s="0" t="s">
        <v>22</v>
      </c>
      <c r="B769" s="0" t="s">
        <v>1614</v>
      </c>
      <c r="C769" s="0" t="s">
        <v>2175</v>
      </c>
    </row>
    <row r="770" customFormat="false" ht="15" hidden="false" customHeight="false" outlineLevel="0" collapsed="false">
      <c r="A770" s="0" t="s">
        <v>22</v>
      </c>
      <c r="B770" s="0" t="s">
        <v>1622</v>
      </c>
      <c r="C770" s="0" t="s">
        <v>1746</v>
      </c>
      <c r="D770" s="0" t="n">
        <v>2.66</v>
      </c>
    </row>
    <row r="771" customFormat="false" ht="15" hidden="false" customHeight="false" outlineLevel="0" collapsed="false">
      <c r="A771" s="0" t="s">
        <v>22</v>
      </c>
      <c r="B771" s="0" t="s">
        <v>1622</v>
      </c>
      <c r="C771" s="0" t="s">
        <v>1882</v>
      </c>
    </row>
    <row r="772" customFormat="false" ht="15" hidden="false" customHeight="false" outlineLevel="0" collapsed="false">
      <c r="A772" s="0" t="s">
        <v>22</v>
      </c>
      <c r="B772" s="0" t="s">
        <v>1622</v>
      </c>
      <c r="C772" s="0" t="s">
        <v>2175</v>
      </c>
    </row>
    <row r="773" customFormat="false" ht="15" hidden="false" customHeight="false" outlineLevel="0" collapsed="false">
      <c r="A773" s="0" t="s">
        <v>22</v>
      </c>
      <c r="B773" s="0" t="s">
        <v>1628</v>
      </c>
      <c r="C773" s="0" t="s">
        <v>1746</v>
      </c>
      <c r="D773" s="0" t="n">
        <v>12</v>
      </c>
    </row>
    <row r="774" customFormat="false" ht="15" hidden="false" customHeight="false" outlineLevel="0" collapsed="false">
      <c r="A774" s="0" t="s">
        <v>22</v>
      </c>
      <c r="B774" s="0" t="s">
        <v>1628</v>
      </c>
      <c r="C774" s="0" t="s">
        <v>1882</v>
      </c>
    </row>
    <row r="775" customFormat="false" ht="15" hidden="false" customHeight="false" outlineLevel="0" collapsed="false">
      <c r="A775" s="0" t="s">
        <v>22</v>
      </c>
      <c r="B775" s="0" t="s">
        <v>1628</v>
      </c>
      <c r="C775" s="0" t="s">
        <v>2175</v>
      </c>
    </row>
    <row r="776" customFormat="false" ht="15" hidden="false" customHeight="false" outlineLevel="0" collapsed="false">
      <c r="A776" s="0" t="s">
        <v>22</v>
      </c>
      <c r="B776" s="0" t="s">
        <v>1636</v>
      </c>
      <c r="C776" s="0" t="s">
        <v>1746</v>
      </c>
      <c r="D776" s="0" t="n">
        <v>7</v>
      </c>
    </row>
    <row r="777" customFormat="false" ht="15" hidden="false" customHeight="false" outlineLevel="0" collapsed="false">
      <c r="A777" s="0" t="s">
        <v>22</v>
      </c>
      <c r="B777" s="0" t="s">
        <v>1636</v>
      </c>
      <c r="C777" s="0" t="s">
        <v>1882</v>
      </c>
    </row>
    <row r="778" customFormat="false" ht="15" hidden="false" customHeight="false" outlineLevel="0" collapsed="false">
      <c r="A778" s="0" t="s">
        <v>22</v>
      </c>
      <c r="B778" s="0" t="s">
        <v>1636</v>
      </c>
      <c r="C778" s="0" t="s">
        <v>2175</v>
      </c>
    </row>
    <row r="779" customFormat="false" ht="15" hidden="false" customHeight="false" outlineLevel="0" collapsed="false">
      <c r="A779" s="0" t="s">
        <v>22</v>
      </c>
      <c r="B779" s="0" t="s">
        <v>1641</v>
      </c>
      <c r="C779" s="0" t="s">
        <v>1746</v>
      </c>
    </row>
    <row r="780" customFormat="false" ht="15" hidden="false" customHeight="false" outlineLevel="0" collapsed="false">
      <c r="A780" s="0" t="s">
        <v>22</v>
      </c>
      <c r="B780" s="0" t="s">
        <v>1641</v>
      </c>
      <c r="C780" s="0" t="s">
        <v>1882</v>
      </c>
      <c r="D780" s="0" t="n">
        <v>100</v>
      </c>
    </row>
    <row r="781" customFormat="false" ht="15" hidden="false" customHeight="false" outlineLevel="0" collapsed="false">
      <c r="A781" s="0" t="s">
        <v>22</v>
      </c>
      <c r="B781" s="0" t="s">
        <v>1641</v>
      </c>
      <c r="C781" s="0" t="s">
        <v>2175</v>
      </c>
    </row>
    <row r="782" customFormat="false" ht="15" hidden="false" customHeight="false" outlineLevel="0" collapsed="false">
      <c r="A782" s="0" t="s">
        <v>22</v>
      </c>
      <c r="B782" s="0" t="s">
        <v>1649</v>
      </c>
      <c r="C782" s="0" t="s">
        <v>1746</v>
      </c>
    </row>
    <row r="783" customFormat="false" ht="15" hidden="false" customHeight="false" outlineLevel="0" collapsed="false">
      <c r="A783" s="0" t="s">
        <v>22</v>
      </c>
      <c r="B783" s="0" t="s">
        <v>1649</v>
      </c>
      <c r="C783" s="0" t="s">
        <v>1882</v>
      </c>
    </row>
    <row r="784" customFormat="false" ht="15" hidden="false" customHeight="false" outlineLevel="0" collapsed="false">
      <c r="A784" s="0" t="s">
        <v>22</v>
      </c>
      <c r="B784" s="0" t="s">
        <v>1649</v>
      </c>
      <c r="C784" s="0" t="s">
        <v>2175</v>
      </c>
      <c r="D784" s="0" t="n">
        <v>100</v>
      </c>
    </row>
    <row r="785" customFormat="false" ht="15" hidden="false" customHeight="false" outlineLevel="0" collapsed="false">
      <c r="A785" s="0" t="s">
        <v>22</v>
      </c>
      <c r="B785" s="0" t="s">
        <v>1657</v>
      </c>
      <c r="C785" s="0" t="s">
        <v>1746</v>
      </c>
      <c r="D785" s="0" t="n">
        <v>30</v>
      </c>
    </row>
    <row r="786" customFormat="false" ht="15" hidden="false" customHeight="false" outlineLevel="0" collapsed="false">
      <c r="A786" s="0" t="s">
        <v>22</v>
      </c>
      <c r="B786" s="0" t="s">
        <v>1657</v>
      </c>
      <c r="C786" s="0" t="s">
        <v>1882</v>
      </c>
    </row>
    <row r="787" customFormat="false" ht="15" hidden="false" customHeight="false" outlineLevel="0" collapsed="false">
      <c r="A787" s="0" t="s">
        <v>22</v>
      </c>
      <c r="B787" s="0" t="s">
        <v>1657</v>
      </c>
      <c r="C787" s="0" t="s">
        <v>2175</v>
      </c>
    </row>
    <row r="788" customFormat="false" ht="15" hidden="false" customHeight="false" outlineLevel="0" collapsed="false">
      <c r="A788" s="0" t="s">
        <v>22</v>
      </c>
      <c r="B788" s="0" t="s">
        <v>1665</v>
      </c>
      <c r="C788" s="0" t="s">
        <v>1746</v>
      </c>
    </row>
    <row r="789" customFormat="false" ht="15" hidden="false" customHeight="false" outlineLevel="0" collapsed="false">
      <c r="A789" s="0" t="s">
        <v>22</v>
      </c>
      <c r="B789" s="0" t="s">
        <v>1665</v>
      </c>
      <c r="C789" s="0" t="s">
        <v>1882</v>
      </c>
      <c r="D789" s="0" t="n">
        <v>80</v>
      </c>
    </row>
    <row r="790" customFormat="false" ht="15" hidden="false" customHeight="false" outlineLevel="0" collapsed="false">
      <c r="A790" s="0" t="s">
        <v>22</v>
      </c>
      <c r="B790" s="0" t="s">
        <v>1665</v>
      </c>
      <c r="C790" s="0" t="s">
        <v>2175</v>
      </c>
    </row>
    <row r="791" customFormat="false" ht="15" hidden="false" customHeight="false" outlineLevel="0" collapsed="false">
      <c r="A791" s="0" t="s">
        <v>22</v>
      </c>
      <c r="B791" s="0" t="s">
        <v>1671</v>
      </c>
      <c r="C791" s="0" t="s">
        <v>1746</v>
      </c>
    </row>
    <row r="792" customFormat="false" ht="15" hidden="false" customHeight="false" outlineLevel="0" collapsed="false">
      <c r="A792" s="0" t="s">
        <v>22</v>
      </c>
      <c r="B792" s="0" t="s">
        <v>1671</v>
      </c>
      <c r="C792" s="0" t="s">
        <v>1882</v>
      </c>
    </row>
    <row r="793" customFormat="false" ht="15" hidden="false" customHeight="false" outlineLevel="0" collapsed="false">
      <c r="A793" s="0" t="s">
        <v>22</v>
      </c>
      <c r="B793" s="0" t="s">
        <v>1671</v>
      </c>
      <c r="C793" s="0" t="s">
        <v>2175</v>
      </c>
    </row>
    <row r="794" customFormat="false" ht="15" hidden="false" customHeight="false" outlineLevel="0" collapsed="false">
      <c r="A794" s="0" t="s">
        <v>22</v>
      </c>
      <c r="B794" s="0" t="s">
        <v>1680</v>
      </c>
      <c r="C794" s="0" t="s">
        <v>1746</v>
      </c>
      <c r="D794" s="0" t="n">
        <v>5</v>
      </c>
    </row>
    <row r="795" customFormat="false" ht="15" hidden="false" customHeight="false" outlineLevel="0" collapsed="false">
      <c r="A795" s="0" t="s">
        <v>22</v>
      </c>
      <c r="B795" s="0" t="s">
        <v>1680</v>
      </c>
      <c r="C795" s="0" t="s">
        <v>1882</v>
      </c>
      <c r="D795" s="0" t="n">
        <v>1.4</v>
      </c>
    </row>
    <row r="796" customFormat="false" ht="15" hidden="false" customHeight="false" outlineLevel="0" collapsed="false">
      <c r="A796" s="0" t="s">
        <v>22</v>
      </c>
      <c r="B796" s="0" t="s">
        <v>1680</v>
      </c>
      <c r="C796" s="0" t="s">
        <v>2175</v>
      </c>
      <c r="D796" s="0" t="n">
        <v>15</v>
      </c>
    </row>
    <row r="797" customFormat="false" ht="15" hidden="false" customHeight="false" outlineLevel="0" collapsed="false">
      <c r="A797" s="0" t="s">
        <v>22</v>
      </c>
      <c r="B797" s="0" t="s">
        <v>1689</v>
      </c>
      <c r="C797" s="0" t="s">
        <v>1746</v>
      </c>
      <c r="D797" s="0" t="n">
        <v>10</v>
      </c>
    </row>
    <row r="798" customFormat="false" ht="15" hidden="false" customHeight="false" outlineLevel="0" collapsed="false">
      <c r="A798" s="0" t="s">
        <v>22</v>
      </c>
      <c r="B798" s="0" t="s">
        <v>1689</v>
      </c>
      <c r="C798" s="0" t="s">
        <v>1882</v>
      </c>
      <c r="D798" s="0" t="n">
        <v>9.5</v>
      </c>
    </row>
    <row r="799" customFormat="false" ht="15" hidden="false" customHeight="false" outlineLevel="0" collapsed="false">
      <c r="A799" s="0" t="s">
        <v>22</v>
      </c>
      <c r="B799" s="0" t="s">
        <v>1689</v>
      </c>
      <c r="C799" s="0" t="s">
        <v>2175</v>
      </c>
    </row>
    <row r="800" customFormat="false" ht="15" hidden="false" customHeight="false" outlineLevel="0" collapsed="false">
      <c r="A800" s="0" t="s">
        <v>22</v>
      </c>
      <c r="B800" s="0" t="s">
        <v>1699</v>
      </c>
      <c r="C800" s="0" t="s">
        <v>1746</v>
      </c>
      <c r="D800" s="0" t="n">
        <v>5</v>
      </c>
    </row>
    <row r="801" customFormat="false" ht="15" hidden="false" customHeight="false" outlineLevel="0" collapsed="false">
      <c r="A801" s="0" t="s">
        <v>22</v>
      </c>
      <c r="B801" s="0" t="s">
        <v>1699</v>
      </c>
      <c r="C801" s="0" t="s">
        <v>1882</v>
      </c>
    </row>
    <row r="802" customFormat="false" ht="15" hidden="false" customHeight="false" outlineLevel="0" collapsed="false">
      <c r="A802" s="0" t="s">
        <v>22</v>
      </c>
      <c r="B802" s="0" t="s">
        <v>1699</v>
      </c>
      <c r="C802" s="0" t="s">
        <v>2175</v>
      </c>
    </row>
    <row r="803" customFormat="false" ht="15" hidden="false" customHeight="false" outlineLevel="0" collapsed="false">
      <c r="A803" s="0" t="s">
        <v>22</v>
      </c>
      <c r="B803" s="0" t="s">
        <v>1707</v>
      </c>
      <c r="C803" s="0" t="s">
        <v>1746</v>
      </c>
      <c r="D803" s="0" t="n">
        <f aca="false">SRC_ANT_267*SRC_ANT_379</f>
        <v>10</v>
      </c>
    </row>
    <row r="804" customFormat="false" ht="15" hidden="false" customHeight="false" outlineLevel="0" collapsed="false">
      <c r="A804" s="0" t="s">
        <v>22</v>
      </c>
      <c r="B804" s="0" t="s">
        <v>1707</v>
      </c>
      <c r="C804" s="0" t="s">
        <v>1882</v>
      </c>
    </row>
    <row r="805" customFormat="false" ht="15" hidden="false" customHeight="false" outlineLevel="0" collapsed="false">
      <c r="A805" s="0" t="s">
        <v>22</v>
      </c>
      <c r="B805" s="0" t="s">
        <v>1707</v>
      </c>
      <c r="C805" s="0" t="s">
        <v>2175</v>
      </c>
    </row>
    <row r="806" customFormat="false" ht="15" hidden="false" customHeight="false" outlineLevel="0" collapsed="false">
      <c r="A806" s="0" t="s">
        <v>22</v>
      </c>
      <c r="B806" s="0" t="s">
        <v>1712</v>
      </c>
      <c r="C806" s="0" t="s">
        <v>1746</v>
      </c>
      <c r="D806" s="0" t="n">
        <v>1.4</v>
      </c>
    </row>
    <row r="807" customFormat="false" ht="15" hidden="false" customHeight="false" outlineLevel="0" collapsed="false">
      <c r="A807" s="0" t="s">
        <v>22</v>
      </c>
      <c r="B807" s="0" t="s">
        <v>1712</v>
      </c>
      <c r="C807" s="0" t="s">
        <v>1882</v>
      </c>
    </row>
    <row r="808" customFormat="false" ht="15" hidden="false" customHeight="false" outlineLevel="0" collapsed="false">
      <c r="A808" s="0" t="s">
        <v>22</v>
      </c>
      <c r="B808" s="0" t="s">
        <v>1712</v>
      </c>
      <c r="C808" s="0" t="s">
        <v>2175</v>
      </c>
    </row>
    <row r="809" customFormat="false" ht="15" hidden="false" customHeight="false" outlineLevel="0" collapsed="false">
      <c r="A809" s="0" t="s">
        <v>22</v>
      </c>
      <c r="B809" s="0" t="s">
        <v>1719</v>
      </c>
      <c r="C809" s="0" t="s">
        <v>1746</v>
      </c>
      <c r="D809" s="0" t="n">
        <v>11</v>
      </c>
    </row>
    <row r="810" customFormat="false" ht="15" hidden="false" customHeight="false" outlineLevel="0" collapsed="false">
      <c r="A810" s="0" t="s">
        <v>22</v>
      </c>
      <c r="B810" s="0" t="s">
        <v>1719</v>
      </c>
      <c r="C810" s="0" t="s">
        <v>1882</v>
      </c>
    </row>
    <row r="811" customFormat="false" ht="15" hidden="false" customHeight="false" outlineLevel="0" collapsed="false">
      <c r="A811" s="0" t="s">
        <v>22</v>
      </c>
      <c r="B811" s="0" t="s">
        <v>1719</v>
      </c>
      <c r="C811" s="0" t="s">
        <v>2175</v>
      </c>
    </row>
    <row r="812" customFormat="false" ht="15" hidden="false" customHeight="false" outlineLevel="0" collapsed="false">
      <c r="A812" s="0" t="s">
        <v>22</v>
      </c>
      <c r="B812" s="0" t="s">
        <v>1726</v>
      </c>
      <c r="C812" s="0" t="s">
        <v>1746</v>
      </c>
      <c r="D812" s="0" t="n">
        <v>80</v>
      </c>
    </row>
    <row r="813" customFormat="false" ht="15" hidden="false" customHeight="false" outlineLevel="0" collapsed="false">
      <c r="A813" s="0" t="s">
        <v>22</v>
      </c>
      <c r="B813" s="0" t="s">
        <v>1726</v>
      </c>
      <c r="C813" s="0" t="s">
        <v>1882</v>
      </c>
    </row>
    <row r="814" customFormat="false" ht="15" hidden="false" customHeight="false" outlineLevel="0" collapsed="false">
      <c r="A814" s="0" t="s">
        <v>22</v>
      </c>
      <c r="B814" s="0" t="s">
        <v>1726</v>
      </c>
      <c r="C814" s="0" t="s">
        <v>2175</v>
      </c>
    </row>
    <row r="815" customFormat="false" ht="15" hidden="false" customHeight="false" outlineLevel="0" collapsed="false">
      <c r="A815" s="0" t="s">
        <v>22</v>
      </c>
      <c r="B815" s="0" t="s">
        <v>1732</v>
      </c>
      <c r="C815" s="0" t="s">
        <v>1746</v>
      </c>
    </row>
    <row r="816" customFormat="false" ht="15" hidden="false" customHeight="false" outlineLevel="0" collapsed="false">
      <c r="A816" s="0" t="s">
        <v>22</v>
      </c>
      <c r="B816" s="0" t="s">
        <v>1732</v>
      </c>
      <c r="C816" s="0" t="s">
        <v>1882</v>
      </c>
      <c r="D816" s="0" t="n">
        <v>30</v>
      </c>
    </row>
    <row r="817" customFormat="false" ht="15" hidden="false" customHeight="false" outlineLevel="0" collapsed="false">
      <c r="A817" s="0" t="s">
        <v>22</v>
      </c>
      <c r="B817" s="0" t="s">
        <v>1732</v>
      </c>
      <c r="C817" s="0" t="s">
        <v>2175</v>
      </c>
    </row>
    <row r="818" customFormat="false" ht="15" hidden="false" customHeight="false" outlineLevel="0" collapsed="false">
      <c r="A818" s="0" t="s">
        <v>22</v>
      </c>
      <c r="B818" s="0" t="s">
        <v>1737</v>
      </c>
      <c r="C818" s="0" t="s">
        <v>1746</v>
      </c>
      <c r="D818" s="0" t="n">
        <v>200</v>
      </c>
    </row>
    <row r="819" customFormat="false" ht="15" hidden="false" customHeight="false" outlineLevel="0" collapsed="false">
      <c r="A819" s="0" t="s">
        <v>22</v>
      </c>
      <c r="B819" s="0" t="s">
        <v>1737</v>
      </c>
      <c r="C819" s="0" t="s">
        <v>1882</v>
      </c>
    </row>
    <row r="820" customFormat="false" ht="15" hidden="false" customHeight="false" outlineLevel="0" collapsed="false">
      <c r="A820" s="0" t="s">
        <v>22</v>
      </c>
      <c r="B820" s="0" t="s">
        <v>1737</v>
      </c>
      <c r="C820" s="0" t="s">
        <v>2175</v>
      </c>
    </row>
    <row r="821" customFormat="false" ht="15" hidden="false" customHeight="false" outlineLevel="0" collapsed="false">
      <c r="A821" s="0" t="s">
        <v>22</v>
      </c>
      <c r="B821" s="0" t="s">
        <v>1744</v>
      </c>
      <c r="C821" s="0" t="s">
        <v>1746</v>
      </c>
      <c r="D821" s="0" t="n">
        <v>12.65</v>
      </c>
    </row>
    <row r="822" customFormat="false" ht="15" hidden="false" customHeight="false" outlineLevel="0" collapsed="false">
      <c r="A822" s="0" t="s">
        <v>22</v>
      </c>
      <c r="B822" s="0" t="s">
        <v>1744</v>
      </c>
      <c r="C822" s="0" t="s">
        <v>1882</v>
      </c>
    </row>
    <row r="823" customFormat="false" ht="15" hidden="false" customHeight="false" outlineLevel="0" collapsed="false">
      <c r="A823" s="0" t="s">
        <v>22</v>
      </c>
      <c r="B823" s="0" t="s">
        <v>1744</v>
      </c>
      <c r="C823" s="0" t="s">
        <v>2175</v>
      </c>
    </row>
    <row r="824" customFormat="false" ht="15" hidden="false" customHeight="false" outlineLevel="0" collapsed="false">
      <c r="A824" s="0" t="s">
        <v>22</v>
      </c>
      <c r="B824" s="0" t="s">
        <v>1753</v>
      </c>
      <c r="C824" s="0" t="s">
        <v>1746</v>
      </c>
      <c r="D824" s="0" t="n">
        <v>13</v>
      </c>
    </row>
    <row r="825" customFormat="false" ht="15" hidden="false" customHeight="false" outlineLevel="0" collapsed="false">
      <c r="A825" s="0" t="s">
        <v>22</v>
      </c>
      <c r="B825" s="0" t="s">
        <v>1753</v>
      </c>
      <c r="C825" s="0" t="s">
        <v>1882</v>
      </c>
    </row>
    <row r="826" customFormat="false" ht="15" hidden="false" customHeight="false" outlineLevel="0" collapsed="false">
      <c r="A826" s="0" t="s">
        <v>22</v>
      </c>
      <c r="B826" s="0" t="s">
        <v>1753</v>
      </c>
      <c r="C826" s="0" t="s">
        <v>2175</v>
      </c>
    </row>
    <row r="827" customFormat="false" ht="15" hidden="false" customHeight="false" outlineLevel="0" collapsed="false">
      <c r="A827" s="0" t="s">
        <v>22</v>
      </c>
      <c r="B827" s="0" t="s">
        <v>1759</v>
      </c>
      <c r="C827" s="0" t="s">
        <v>1746</v>
      </c>
      <c r="D827" s="0" t="n">
        <v>7.33</v>
      </c>
    </row>
    <row r="828" customFormat="false" ht="15" hidden="false" customHeight="false" outlineLevel="0" collapsed="false">
      <c r="A828" s="0" t="s">
        <v>22</v>
      </c>
      <c r="B828" s="0" t="s">
        <v>1759</v>
      </c>
      <c r="C828" s="0" t="s">
        <v>1882</v>
      </c>
    </row>
    <row r="829" customFormat="false" ht="15" hidden="false" customHeight="false" outlineLevel="0" collapsed="false">
      <c r="A829" s="0" t="s">
        <v>22</v>
      </c>
      <c r="B829" s="0" t="s">
        <v>1759</v>
      </c>
      <c r="C829" s="0" t="s">
        <v>2175</v>
      </c>
    </row>
    <row r="830" customFormat="false" ht="15" hidden="false" customHeight="false" outlineLevel="0" collapsed="false">
      <c r="A830" s="0" t="s">
        <v>22</v>
      </c>
      <c r="B830" s="0" t="s">
        <v>1763</v>
      </c>
      <c r="C830" s="0" t="s">
        <v>1746</v>
      </c>
      <c r="D830" s="0" t="n">
        <f aca="false">SRC_ANT_274-SRC_ANT_276</f>
        <v>5.32</v>
      </c>
    </row>
    <row r="831" customFormat="false" ht="15" hidden="false" customHeight="false" outlineLevel="0" collapsed="false">
      <c r="A831" s="0" t="s">
        <v>22</v>
      </c>
      <c r="B831" s="0" t="s">
        <v>1763</v>
      </c>
      <c r="C831" s="0" t="s">
        <v>1882</v>
      </c>
    </row>
    <row r="832" customFormat="false" ht="15" hidden="false" customHeight="false" outlineLevel="0" collapsed="false">
      <c r="A832" s="0" t="s">
        <v>22</v>
      </c>
      <c r="B832" s="0" t="s">
        <v>1763</v>
      </c>
      <c r="C832" s="0" t="s">
        <v>2175</v>
      </c>
    </row>
    <row r="833" customFormat="false" ht="15" hidden="false" customHeight="false" outlineLevel="0" collapsed="false">
      <c r="A833" s="0" t="s">
        <v>22</v>
      </c>
      <c r="B833" s="0" t="s">
        <v>1768</v>
      </c>
      <c r="C833" s="0" t="s">
        <v>1746</v>
      </c>
      <c r="D833" s="0" t="n">
        <v>8.06</v>
      </c>
    </row>
    <row r="834" customFormat="false" ht="15" hidden="false" customHeight="false" outlineLevel="0" collapsed="false">
      <c r="A834" s="0" t="s">
        <v>22</v>
      </c>
      <c r="B834" s="0" t="s">
        <v>1768</v>
      </c>
      <c r="C834" s="0" t="s">
        <v>1882</v>
      </c>
    </row>
    <row r="835" customFormat="false" ht="15" hidden="false" customHeight="false" outlineLevel="0" collapsed="false">
      <c r="A835" s="0" t="s">
        <v>22</v>
      </c>
      <c r="B835" s="0" t="s">
        <v>1768</v>
      </c>
      <c r="C835" s="0" t="s">
        <v>2175</v>
      </c>
    </row>
    <row r="836" customFormat="false" ht="15" hidden="false" customHeight="false" outlineLevel="0" collapsed="false">
      <c r="A836" s="0" t="s">
        <v>22</v>
      </c>
      <c r="B836" s="0" t="s">
        <v>1772</v>
      </c>
      <c r="C836" s="0" t="s">
        <v>1746</v>
      </c>
      <c r="D836" s="0" t="n">
        <v>2.98</v>
      </c>
    </row>
    <row r="837" customFormat="false" ht="15" hidden="false" customHeight="false" outlineLevel="0" collapsed="false">
      <c r="A837" s="0" t="s">
        <v>22</v>
      </c>
      <c r="B837" s="0" t="s">
        <v>1772</v>
      </c>
      <c r="C837" s="0" t="s">
        <v>1882</v>
      </c>
    </row>
    <row r="838" customFormat="false" ht="15" hidden="false" customHeight="false" outlineLevel="0" collapsed="false">
      <c r="A838" s="0" t="s">
        <v>22</v>
      </c>
      <c r="B838" s="0" t="s">
        <v>1772</v>
      </c>
      <c r="C838" s="0" t="s">
        <v>2175</v>
      </c>
    </row>
    <row r="839" customFormat="false" ht="15" hidden="false" customHeight="false" outlineLevel="0" collapsed="false">
      <c r="A839" s="0" t="s">
        <v>22</v>
      </c>
      <c r="B839" s="0" t="s">
        <v>1777</v>
      </c>
      <c r="C839" s="0" t="s">
        <v>1746</v>
      </c>
      <c r="D839" s="0" t="n">
        <v>42</v>
      </c>
    </row>
    <row r="840" customFormat="false" ht="15" hidden="false" customHeight="false" outlineLevel="0" collapsed="false">
      <c r="A840" s="0" t="s">
        <v>22</v>
      </c>
      <c r="B840" s="0" t="s">
        <v>1777</v>
      </c>
      <c r="C840" s="0" t="s">
        <v>1882</v>
      </c>
    </row>
    <row r="841" customFormat="false" ht="15" hidden="false" customHeight="false" outlineLevel="0" collapsed="false">
      <c r="A841" s="0" t="s">
        <v>22</v>
      </c>
      <c r="B841" s="0" t="s">
        <v>1777</v>
      </c>
      <c r="C841" s="0" t="s">
        <v>2175</v>
      </c>
    </row>
    <row r="842" customFormat="false" ht="15" hidden="false" customHeight="false" outlineLevel="0" collapsed="false">
      <c r="A842" s="0" t="s">
        <v>22</v>
      </c>
      <c r="B842" s="0" t="s">
        <v>1781</v>
      </c>
      <c r="C842" s="0" t="s">
        <v>1746</v>
      </c>
      <c r="D842" s="0" t="n">
        <v>34</v>
      </c>
    </row>
    <row r="843" customFormat="false" ht="15" hidden="false" customHeight="false" outlineLevel="0" collapsed="false">
      <c r="A843" s="0" t="s">
        <v>22</v>
      </c>
      <c r="B843" s="0" t="s">
        <v>1781</v>
      </c>
      <c r="C843" s="0" t="s">
        <v>1882</v>
      </c>
    </row>
    <row r="844" customFormat="false" ht="15" hidden="false" customHeight="false" outlineLevel="0" collapsed="false">
      <c r="A844" s="0" t="s">
        <v>22</v>
      </c>
      <c r="B844" s="0" t="s">
        <v>1781</v>
      </c>
      <c r="C844" s="0" t="s">
        <v>2175</v>
      </c>
    </row>
    <row r="845" customFormat="false" ht="15" hidden="false" customHeight="false" outlineLevel="0" collapsed="false">
      <c r="A845" s="0" t="s">
        <v>22</v>
      </c>
      <c r="B845" s="0" t="s">
        <v>1785</v>
      </c>
      <c r="C845" s="0" t="s">
        <v>1746</v>
      </c>
      <c r="D845" s="0" t="n">
        <v>0.71</v>
      </c>
    </row>
    <row r="846" customFormat="false" ht="15" hidden="false" customHeight="false" outlineLevel="0" collapsed="false">
      <c r="A846" s="0" t="s">
        <v>22</v>
      </c>
      <c r="B846" s="0" t="s">
        <v>1785</v>
      </c>
      <c r="C846" s="0" t="s">
        <v>1882</v>
      </c>
    </row>
    <row r="847" customFormat="false" ht="15" hidden="false" customHeight="false" outlineLevel="0" collapsed="false">
      <c r="A847" s="0" t="s">
        <v>22</v>
      </c>
      <c r="B847" s="0" t="s">
        <v>1785</v>
      </c>
      <c r="C847" s="0" t="s">
        <v>2175</v>
      </c>
    </row>
    <row r="848" customFormat="false" ht="15" hidden="false" customHeight="false" outlineLevel="0" collapsed="false">
      <c r="A848" s="0" t="s">
        <v>22</v>
      </c>
      <c r="B848" s="0" t="s">
        <v>1793</v>
      </c>
      <c r="C848" s="0" t="s">
        <v>1746</v>
      </c>
      <c r="D848" s="0" t="n">
        <v>718</v>
      </c>
    </row>
    <row r="849" customFormat="false" ht="15" hidden="false" customHeight="false" outlineLevel="0" collapsed="false">
      <c r="A849" s="0" t="s">
        <v>22</v>
      </c>
      <c r="B849" s="0" t="s">
        <v>1793</v>
      </c>
      <c r="C849" s="0" t="s">
        <v>1882</v>
      </c>
    </row>
    <row r="850" customFormat="false" ht="15" hidden="false" customHeight="false" outlineLevel="0" collapsed="false">
      <c r="A850" s="0" t="s">
        <v>22</v>
      </c>
      <c r="B850" s="0" t="s">
        <v>1793</v>
      </c>
      <c r="C850" s="0" t="s">
        <v>2175</v>
      </c>
    </row>
    <row r="851" customFormat="false" ht="15" hidden="false" customHeight="false" outlineLevel="0" collapsed="false">
      <c r="A851" s="0" t="s">
        <v>22</v>
      </c>
      <c r="B851" s="0" t="s">
        <v>1800</v>
      </c>
      <c r="C851" s="0" t="s">
        <v>1746</v>
      </c>
      <c r="D851" s="0" t="n">
        <v>1324</v>
      </c>
    </row>
    <row r="852" customFormat="false" ht="15" hidden="false" customHeight="false" outlineLevel="0" collapsed="false">
      <c r="A852" s="0" t="s">
        <v>22</v>
      </c>
      <c r="B852" s="0" t="s">
        <v>1800</v>
      </c>
      <c r="C852" s="0" t="s">
        <v>1882</v>
      </c>
    </row>
    <row r="853" customFormat="false" ht="15" hidden="false" customHeight="false" outlineLevel="0" collapsed="false">
      <c r="A853" s="0" t="s">
        <v>22</v>
      </c>
      <c r="B853" s="0" t="s">
        <v>1800</v>
      </c>
      <c r="C853" s="0" t="s">
        <v>2175</v>
      </c>
    </row>
    <row r="854" customFormat="false" ht="15" hidden="false" customHeight="false" outlineLevel="0" collapsed="false">
      <c r="A854" s="0" t="s">
        <v>22</v>
      </c>
      <c r="B854" s="0" t="s">
        <v>1805</v>
      </c>
      <c r="C854" s="0" t="s">
        <v>1746</v>
      </c>
      <c r="D854" s="0" t="n">
        <v>3089</v>
      </c>
    </row>
    <row r="855" customFormat="false" ht="15" hidden="false" customHeight="false" outlineLevel="0" collapsed="false">
      <c r="A855" s="0" t="s">
        <v>22</v>
      </c>
      <c r="B855" s="0" t="s">
        <v>1805</v>
      </c>
      <c r="C855" s="0" t="s">
        <v>1882</v>
      </c>
    </row>
    <row r="856" customFormat="false" ht="15" hidden="false" customHeight="false" outlineLevel="0" collapsed="false">
      <c r="A856" s="0" t="s">
        <v>22</v>
      </c>
      <c r="B856" s="0" t="s">
        <v>1805</v>
      </c>
      <c r="C856" s="0" t="s">
        <v>2175</v>
      </c>
    </row>
    <row r="857" customFormat="false" ht="15" hidden="false" customHeight="false" outlineLevel="0" collapsed="false">
      <c r="A857" s="0" t="s">
        <v>22</v>
      </c>
      <c r="B857" s="0" t="s">
        <v>1809</v>
      </c>
      <c r="C857" s="0" t="s">
        <v>1746</v>
      </c>
      <c r="D857" s="0" t="n">
        <v>3950</v>
      </c>
    </row>
    <row r="858" customFormat="false" ht="15" hidden="false" customHeight="false" outlineLevel="0" collapsed="false">
      <c r="A858" s="0" t="s">
        <v>22</v>
      </c>
      <c r="B858" s="0" t="s">
        <v>1809</v>
      </c>
      <c r="C858" s="0" t="s">
        <v>1882</v>
      </c>
    </row>
    <row r="859" customFormat="false" ht="15" hidden="false" customHeight="false" outlineLevel="0" collapsed="false">
      <c r="A859" s="0" t="s">
        <v>22</v>
      </c>
      <c r="B859" s="0" t="s">
        <v>1809</v>
      </c>
      <c r="C859" s="0" t="s">
        <v>2175</v>
      </c>
    </row>
    <row r="860" customFormat="false" ht="15" hidden="false" customHeight="false" outlineLevel="0" collapsed="false">
      <c r="A860" s="0" t="s">
        <v>22</v>
      </c>
      <c r="B860" s="0" t="s">
        <v>1812</v>
      </c>
      <c r="C860" s="0" t="s">
        <v>1746</v>
      </c>
    </row>
    <row r="861" customFormat="false" ht="15" hidden="false" customHeight="false" outlineLevel="0" collapsed="false">
      <c r="A861" s="0" t="s">
        <v>22</v>
      </c>
      <c r="B861" s="0" t="s">
        <v>1812</v>
      </c>
      <c r="C861" s="0" t="s">
        <v>1882</v>
      </c>
      <c r="D861" s="0" t="n">
        <v>2500</v>
      </c>
    </row>
    <row r="862" customFormat="false" ht="15" hidden="false" customHeight="false" outlineLevel="0" collapsed="false">
      <c r="A862" s="0" t="s">
        <v>22</v>
      </c>
      <c r="B862" s="0" t="s">
        <v>1812</v>
      </c>
      <c r="C862" s="0" t="s">
        <v>2175</v>
      </c>
      <c r="D862" s="0" t="n">
        <v>5000</v>
      </c>
    </row>
    <row r="863" customFormat="false" ht="15" hidden="false" customHeight="false" outlineLevel="0" collapsed="false">
      <c r="A863" s="0" t="s">
        <v>22</v>
      </c>
      <c r="B863" s="0" t="s">
        <v>1819</v>
      </c>
      <c r="C863" s="0" t="s">
        <v>1746</v>
      </c>
      <c r="D863" s="0" t="n">
        <v>2.5</v>
      </c>
    </row>
    <row r="864" customFormat="false" ht="15" hidden="false" customHeight="false" outlineLevel="0" collapsed="false">
      <c r="A864" s="0" t="s">
        <v>22</v>
      </c>
      <c r="B864" s="0" t="s">
        <v>1819</v>
      </c>
      <c r="C864" s="0" t="s">
        <v>1882</v>
      </c>
    </row>
    <row r="865" customFormat="false" ht="15" hidden="false" customHeight="false" outlineLevel="0" collapsed="false">
      <c r="A865" s="0" t="s">
        <v>22</v>
      </c>
      <c r="B865" s="0" t="s">
        <v>1819</v>
      </c>
      <c r="C865" s="0" t="s">
        <v>2175</v>
      </c>
    </row>
    <row r="866" customFormat="false" ht="15" hidden="false" customHeight="false" outlineLevel="0" collapsed="false">
      <c r="A866" s="0" t="s">
        <v>22</v>
      </c>
      <c r="B866" s="0" t="s">
        <v>1825</v>
      </c>
      <c r="C866" s="0" t="s">
        <v>1746</v>
      </c>
      <c r="D866" s="0" t="n">
        <v>8</v>
      </c>
    </row>
    <row r="867" customFormat="false" ht="15" hidden="false" customHeight="false" outlineLevel="0" collapsed="false">
      <c r="A867" s="0" t="s">
        <v>22</v>
      </c>
      <c r="B867" s="0" t="s">
        <v>1825</v>
      </c>
      <c r="C867" s="0" t="s">
        <v>1882</v>
      </c>
    </row>
    <row r="868" customFormat="false" ht="15" hidden="false" customHeight="false" outlineLevel="0" collapsed="false">
      <c r="A868" s="0" t="s">
        <v>22</v>
      </c>
      <c r="B868" s="0" t="s">
        <v>1825</v>
      </c>
      <c r="C868" s="0" t="s">
        <v>2175</v>
      </c>
    </row>
    <row r="869" customFormat="false" ht="15" hidden="false" customHeight="false" outlineLevel="0" collapsed="false">
      <c r="A869" s="0" t="s">
        <v>22</v>
      </c>
      <c r="B869" s="0" t="s">
        <v>1830</v>
      </c>
      <c r="C869" s="0" t="s">
        <v>1746</v>
      </c>
      <c r="D869" s="0" t="n">
        <v>5.6</v>
      </c>
    </row>
    <row r="870" customFormat="false" ht="15" hidden="false" customHeight="false" outlineLevel="0" collapsed="false">
      <c r="A870" s="0" t="s">
        <v>22</v>
      </c>
      <c r="B870" s="0" t="s">
        <v>1830</v>
      </c>
      <c r="C870" s="0" t="s">
        <v>1882</v>
      </c>
    </row>
    <row r="871" customFormat="false" ht="15" hidden="false" customHeight="false" outlineLevel="0" collapsed="false">
      <c r="A871" s="0" t="s">
        <v>22</v>
      </c>
      <c r="B871" s="0" t="s">
        <v>1830</v>
      </c>
      <c r="C871" s="0" t="s">
        <v>2175</v>
      </c>
    </row>
    <row r="872" customFormat="false" ht="15" hidden="false" customHeight="false" outlineLevel="0" collapsed="false">
      <c r="A872" s="0" t="s">
        <v>22</v>
      </c>
      <c r="B872" s="0" t="s">
        <v>1837</v>
      </c>
      <c r="C872" s="0" t="s">
        <v>1746</v>
      </c>
      <c r="D872" s="0" t="n">
        <v>-0.94</v>
      </c>
    </row>
    <row r="873" customFormat="false" ht="15" hidden="false" customHeight="false" outlineLevel="0" collapsed="false">
      <c r="A873" s="0" t="s">
        <v>22</v>
      </c>
      <c r="B873" s="0" t="s">
        <v>1837</v>
      </c>
      <c r="C873" s="0" t="s">
        <v>1882</v>
      </c>
    </row>
    <row r="874" customFormat="false" ht="15" hidden="false" customHeight="false" outlineLevel="0" collapsed="false">
      <c r="A874" s="0" t="s">
        <v>22</v>
      </c>
      <c r="B874" s="0" t="s">
        <v>1837</v>
      </c>
      <c r="C874" s="0" t="s">
        <v>2175</v>
      </c>
    </row>
    <row r="875" customFormat="false" ht="15" hidden="false" customHeight="false" outlineLevel="0" collapsed="false">
      <c r="A875" s="0" t="s">
        <v>22</v>
      </c>
      <c r="B875" s="0" t="s">
        <v>1843</v>
      </c>
      <c r="C875" s="0" t="s">
        <v>1746</v>
      </c>
      <c r="D875" s="0" t="n">
        <v>0.4</v>
      </c>
    </row>
    <row r="876" customFormat="false" ht="15" hidden="false" customHeight="false" outlineLevel="0" collapsed="false">
      <c r="A876" s="0" t="s">
        <v>22</v>
      </c>
      <c r="B876" s="0" t="s">
        <v>1843</v>
      </c>
      <c r="C876" s="0" t="s">
        <v>1882</v>
      </c>
    </row>
    <row r="877" customFormat="false" ht="15" hidden="false" customHeight="false" outlineLevel="0" collapsed="false">
      <c r="A877" s="0" t="s">
        <v>22</v>
      </c>
      <c r="B877" s="0" t="s">
        <v>1843</v>
      </c>
      <c r="C877" s="0" t="s">
        <v>2175</v>
      </c>
    </row>
    <row r="878" customFormat="false" ht="15" hidden="false" customHeight="false" outlineLevel="0" collapsed="false">
      <c r="A878" s="0" t="s">
        <v>22</v>
      </c>
      <c r="B878" s="0" t="s">
        <v>1848</v>
      </c>
      <c r="C878" s="0" t="s">
        <v>1746</v>
      </c>
      <c r="D878" s="0" t="n">
        <v>0.8</v>
      </c>
    </row>
    <row r="879" customFormat="false" ht="15" hidden="false" customHeight="false" outlineLevel="0" collapsed="false">
      <c r="A879" s="0" t="s">
        <v>22</v>
      </c>
      <c r="B879" s="0" t="s">
        <v>1848</v>
      </c>
      <c r="C879" s="0" t="s">
        <v>1882</v>
      </c>
      <c r="D879" s="0" t="n">
        <v>0.8</v>
      </c>
    </row>
    <row r="880" customFormat="false" ht="15" hidden="false" customHeight="false" outlineLevel="0" collapsed="false">
      <c r="A880" s="0" t="s">
        <v>22</v>
      </c>
      <c r="B880" s="0" t="s">
        <v>1848</v>
      </c>
      <c r="C880" s="0" t="s">
        <v>2175</v>
      </c>
    </row>
    <row r="881" customFormat="false" ht="15" hidden="false" customHeight="false" outlineLevel="0" collapsed="false">
      <c r="A881" s="0" t="s">
        <v>22</v>
      </c>
      <c r="B881" s="0" t="s">
        <v>1855</v>
      </c>
      <c r="C881" s="0" t="s">
        <v>1746</v>
      </c>
      <c r="D881" s="0" t="n">
        <f aca="false">SRC_ANT_276/SRC_ANT_001</f>
        <v>1.59347826086957</v>
      </c>
    </row>
    <row r="882" customFormat="false" ht="15" hidden="false" customHeight="false" outlineLevel="0" collapsed="false">
      <c r="A882" s="0" t="s">
        <v>22</v>
      </c>
      <c r="B882" s="0" t="s">
        <v>1855</v>
      </c>
      <c r="C882" s="0" t="s">
        <v>1882</v>
      </c>
    </row>
    <row r="883" customFormat="false" ht="15" hidden="false" customHeight="false" outlineLevel="0" collapsed="false">
      <c r="A883" s="0" t="s">
        <v>22</v>
      </c>
      <c r="B883" s="0" t="s">
        <v>1855</v>
      </c>
      <c r="C883" s="0" t="s">
        <v>2175</v>
      </c>
    </row>
    <row r="884" customFormat="false" ht="15" hidden="false" customHeight="false" outlineLevel="0" collapsed="false">
      <c r="A884" s="0" t="s">
        <v>22</v>
      </c>
      <c r="B884" s="0" t="s">
        <v>1861</v>
      </c>
      <c r="C884" s="0" t="s">
        <v>1746</v>
      </c>
      <c r="D884" s="0" t="n">
        <v>3500</v>
      </c>
    </row>
    <row r="885" customFormat="false" ht="15" hidden="false" customHeight="false" outlineLevel="0" collapsed="false">
      <c r="A885" s="0" t="s">
        <v>22</v>
      </c>
      <c r="B885" s="0" t="s">
        <v>1861</v>
      </c>
      <c r="C885" s="0" t="s">
        <v>1882</v>
      </c>
    </row>
    <row r="886" customFormat="false" ht="15" hidden="false" customHeight="false" outlineLevel="0" collapsed="false">
      <c r="A886" s="0" t="s">
        <v>22</v>
      </c>
      <c r="B886" s="0" t="s">
        <v>1861</v>
      </c>
      <c r="C886" s="0" t="s">
        <v>2175</v>
      </c>
    </row>
    <row r="887" customFormat="false" ht="15" hidden="false" customHeight="false" outlineLevel="0" collapsed="false">
      <c r="A887" s="0" t="s">
        <v>22</v>
      </c>
      <c r="B887" s="0" t="s">
        <v>1868</v>
      </c>
      <c r="C887" s="0" t="s">
        <v>1746</v>
      </c>
      <c r="D887" s="0" t="n">
        <v>0.125</v>
      </c>
    </row>
    <row r="888" customFormat="false" ht="15" hidden="false" customHeight="false" outlineLevel="0" collapsed="false">
      <c r="A888" s="0" t="s">
        <v>22</v>
      </c>
      <c r="B888" s="0" t="s">
        <v>1868</v>
      </c>
      <c r="C888" s="0" t="s">
        <v>1882</v>
      </c>
    </row>
    <row r="889" customFormat="false" ht="15" hidden="false" customHeight="false" outlineLevel="0" collapsed="false">
      <c r="A889" s="0" t="s">
        <v>22</v>
      </c>
      <c r="B889" s="0" t="s">
        <v>1868</v>
      </c>
      <c r="C889" s="0" t="s">
        <v>2175</v>
      </c>
    </row>
    <row r="890" customFormat="false" ht="15" hidden="false" customHeight="false" outlineLevel="0" collapsed="false">
      <c r="A890" s="0" t="s">
        <v>22</v>
      </c>
      <c r="B890" s="0" t="s">
        <v>1875</v>
      </c>
      <c r="C890" s="0" t="s">
        <v>1746</v>
      </c>
      <c r="D890" s="0" t="n">
        <f aca="false">SRC_ANT_296/SRC_ANT_378</f>
        <v>1.25</v>
      </c>
    </row>
    <row r="891" customFormat="false" ht="15" hidden="false" customHeight="false" outlineLevel="0" collapsed="false">
      <c r="A891" s="0" t="s">
        <v>22</v>
      </c>
      <c r="B891" s="0" t="s">
        <v>1875</v>
      </c>
      <c r="C891" s="0" t="s">
        <v>1882</v>
      </c>
    </row>
    <row r="892" customFormat="false" ht="15" hidden="false" customHeight="false" outlineLevel="0" collapsed="false">
      <c r="A892" s="0" t="s">
        <v>22</v>
      </c>
      <c r="B892" s="0" t="s">
        <v>1875</v>
      </c>
      <c r="C892" s="0" t="s">
        <v>2175</v>
      </c>
    </row>
    <row r="893" customFormat="false" ht="15" hidden="false" customHeight="false" outlineLevel="0" collapsed="false">
      <c r="A893" s="0" t="s">
        <v>22</v>
      </c>
      <c r="B893" s="0" t="s">
        <v>1880</v>
      </c>
      <c r="C893" s="0" t="s">
        <v>1746</v>
      </c>
      <c r="D893" s="0" t="n">
        <v>65</v>
      </c>
    </row>
    <row r="894" customFormat="false" ht="15" hidden="false" customHeight="false" outlineLevel="0" collapsed="false">
      <c r="A894" s="0" t="s">
        <v>22</v>
      </c>
      <c r="B894" s="0" t="s">
        <v>1880</v>
      </c>
      <c r="C894" s="0" t="s">
        <v>1882</v>
      </c>
    </row>
    <row r="895" customFormat="false" ht="15" hidden="false" customHeight="false" outlineLevel="0" collapsed="false">
      <c r="A895" s="0" t="s">
        <v>22</v>
      </c>
      <c r="B895" s="0" t="s">
        <v>1880</v>
      </c>
      <c r="C895" s="0" t="s">
        <v>2175</v>
      </c>
    </row>
    <row r="896" customFormat="false" ht="15" hidden="false" customHeight="false" outlineLevel="0" collapsed="false">
      <c r="A896" s="0" t="s">
        <v>22</v>
      </c>
      <c r="B896" s="0" t="s">
        <v>1885</v>
      </c>
      <c r="C896" s="0" t="s">
        <v>1746</v>
      </c>
      <c r="D896" s="0" t="n">
        <v>965</v>
      </c>
    </row>
    <row r="897" customFormat="false" ht="15" hidden="false" customHeight="false" outlineLevel="0" collapsed="false">
      <c r="A897" s="0" t="s">
        <v>22</v>
      </c>
      <c r="B897" s="0" t="s">
        <v>1885</v>
      </c>
      <c r="C897" s="0" t="s">
        <v>1882</v>
      </c>
    </row>
    <row r="898" customFormat="false" ht="15" hidden="false" customHeight="false" outlineLevel="0" collapsed="false">
      <c r="A898" s="0" t="s">
        <v>22</v>
      </c>
      <c r="B898" s="0" t="s">
        <v>1885</v>
      </c>
      <c r="C898" s="0" t="s">
        <v>2175</v>
      </c>
    </row>
    <row r="899" customFormat="false" ht="15" hidden="false" customHeight="false" outlineLevel="0" collapsed="false">
      <c r="A899" s="0" t="s">
        <v>22</v>
      </c>
      <c r="B899" s="0" t="s">
        <v>1892</v>
      </c>
      <c r="C899" s="0" t="s">
        <v>1746</v>
      </c>
      <c r="D899" s="0" t="n">
        <v>15</v>
      </c>
    </row>
    <row r="900" customFormat="false" ht="15" hidden="false" customHeight="false" outlineLevel="0" collapsed="false">
      <c r="A900" s="0" t="s">
        <v>22</v>
      </c>
      <c r="B900" s="0" t="s">
        <v>1892</v>
      </c>
      <c r="C900" s="0" t="s">
        <v>1882</v>
      </c>
    </row>
    <row r="901" customFormat="false" ht="15" hidden="false" customHeight="false" outlineLevel="0" collapsed="false">
      <c r="A901" s="0" t="s">
        <v>22</v>
      </c>
      <c r="B901" s="0" t="s">
        <v>1892</v>
      </c>
      <c r="C901" s="0" t="s">
        <v>2175</v>
      </c>
    </row>
    <row r="902" customFormat="false" ht="15" hidden="false" customHeight="false" outlineLevel="0" collapsed="false">
      <c r="A902" s="0" t="s">
        <v>22</v>
      </c>
      <c r="B902" s="0" t="s">
        <v>1896</v>
      </c>
      <c r="C902" s="0" t="s">
        <v>1746</v>
      </c>
    </row>
    <row r="903" customFormat="false" ht="15" hidden="false" customHeight="false" outlineLevel="0" collapsed="false">
      <c r="A903" s="0" t="s">
        <v>22</v>
      </c>
      <c r="B903" s="0" t="s">
        <v>1896</v>
      </c>
      <c r="C903" s="0" t="s">
        <v>1882</v>
      </c>
    </row>
    <row r="904" customFormat="false" ht="15" hidden="false" customHeight="false" outlineLevel="0" collapsed="false">
      <c r="A904" s="0" t="s">
        <v>22</v>
      </c>
      <c r="B904" s="0" t="s">
        <v>1896</v>
      </c>
      <c r="C904" s="0" t="s">
        <v>2175</v>
      </c>
    </row>
    <row r="905" customFormat="false" ht="15" hidden="false" customHeight="false" outlineLevel="0" collapsed="false">
      <c r="A905" s="0" t="s">
        <v>22</v>
      </c>
      <c r="B905" s="0" t="s">
        <v>1901</v>
      </c>
      <c r="C905" s="0" t="s">
        <v>1746</v>
      </c>
      <c r="D905" s="0" t="n">
        <v>30</v>
      </c>
    </row>
    <row r="906" customFormat="false" ht="15" hidden="false" customHeight="false" outlineLevel="0" collapsed="false">
      <c r="A906" s="0" t="s">
        <v>22</v>
      </c>
      <c r="B906" s="0" t="s">
        <v>1901</v>
      </c>
      <c r="C906" s="0" t="s">
        <v>1882</v>
      </c>
    </row>
    <row r="907" customFormat="false" ht="15" hidden="false" customHeight="false" outlineLevel="0" collapsed="false">
      <c r="A907" s="0" t="s">
        <v>22</v>
      </c>
      <c r="B907" s="0" t="s">
        <v>1901</v>
      </c>
      <c r="C907" s="0" t="s">
        <v>2175</v>
      </c>
    </row>
    <row r="908" customFormat="false" ht="15" hidden="false" customHeight="false" outlineLevel="0" collapsed="false">
      <c r="A908" s="0" t="s">
        <v>22</v>
      </c>
      <c r="B908" s="0" t="s">
        <v>1908</v>
      </c>
      <c r="C908" s="0" t="s">
        <v>1746</v>
      </c>
      <c r="D908" s="0" t="n">
        <v>380</v>
      </c>
    </row>
    <row r="909" customFormat="false" ht="15" hidden="false" customHeight="false" outlineLevel="0" collapsed="false">
      <c r="A909" s="0" t="s">
        <v>22</v>
      </c>
      <c r="B909" s="0" t="s">
        <v>1908</v>
      </c>
      <c r="C909" s="0" t="s">
        <v>1882</v>
      </c>
    </row>
    <row r="910" customFormat="false" ht="15" hidden="false" customHeight="false" outlineLevel="0" collapsed="false">
      <c r="A910" s="0" t="s">
        <v>22</v>
      </c>
      <c r="B910" s="0" t="s">
        <v>1908</v>
      </c>
      <c r="C910" s="0" t="s">
        <v>2175</v>
      </c>
    </row>
    <row r="911" customFormat="false" ht="15" hidden="false" customHeight="false" outlineLevel="0" collapsed="false">
      <c r="A911" s="0" t="s">
        <v>22</v>
      </c>
      <c r="B911" s="0" t="s">
        <v>1912</v>
      </c>
      <c r="C911" s="0" t="s">
        <v>1746</v>
      </c>
      <c r="D911" s="0" t="n">
        <v>125</v>
      </c>
    </row>
    <row r="912" customFormat="false" ht="15" hidden="false" customHeight="false" outlineLevel="0" collapsed="false">
      <c r="A912" s="0" t="s">
        <v>22</v>
      </c>
      <c r="B912" s="0" t="s">
        <v>1912</v>
      </c>
      <c r="C912" s="0" t="s">
        <v>1882</v>
      </c>
      <c r="D912" s="0" t="n">
        <v>125</v>
      </c>
    </row>
    <row r="913" customFormat="false" ht="15" hidden="false" customHeight="false" outlineLevel="0" collapsed="false">
      <c r="A913" s="0" t="s">
        <v>22</v>
      </c>
      <c r="B913" s="0" t="s">
        <v>1912</v>
      </c>
      <c r="C913" s="0" t="s">
        <v>2175</v>
      </c>
    </row>
    <row r="914" customFormat="false" ht="15" hidden="false" customHeight="false" outlineLevel="0" collapsed="false">
      <c r="A914" s="0" t="s">
        <v>22</v>
      </c>
      <c r="B914" s="0" t="s">
        <v>1918</v>
      </c>
      <c r="C914" s="0" t="s">
        <v>1746</v>
      </c>
      <c r="D914" s="0" t="n">
        <v>20.28</v>
      </c>
    </row>
    <row r="915" customFormat="false" ht="15" hidden="false" customHeight="false" outlineLevel="0" collapsed="false">
      <c r="A915" s="0" t="s">
        <v>22</v>
      </c>
      <c r="B915" s="0" t="s">
        <v>1918</v>
      </c>
      <c r="C915" s="0" t="s">
        <v>1882</v>
      </c>
    </row>
    <row r="916" customFormat="false" ht="15" hidden="false" customHeight="false" outlineLevel="0" collapsed="false">
      <c r="A916" s="0" t="s">
        <v>22</v>
      </c>
      <c r="B916" s="0" t="s">
        <v>1918</v>
      </c>
      <c r="C916" s="0" t="s">
        <v>2175</v>
      </c>
    </row>
    <row r="917" customFormat="false" ht="15" hidden="false" customHeight="false" outlineLevel="0" collapsed="false">
      <c r="A917" s="0" t="s">
        <v>22</v>
      </c>
      <c r="B917" s="0" t="s">
        <v>1923</v>
      </c>
      <c r="C917" s="0" t="s">
        <v>1746</v>
      </c>
      <c r="D917" s="0" t="n">
        <v>15</v>
      </c>
    </row>
    <row r="918" customFormat="false" ht="15" hidden="false" customHeight="false" outlineLevel="0" collapsed="false">
      <c r="A918" s="0" t="s">
        <v>22</v>
      </c>
      <c r="B918" s="0" t="s">
        <v>1923</v>
      </c>
      <c r="C918" s="0" t="s">
        <v>1882</v>
      </c>
    </row>
    <row r="919" customFormat="false" ht="15" hidden="false" customHeight="false" outlineLevel="0" collapsed="false">
      <c r="A919" s="0" t="s">
        <v>22</v>
      </c>
      <c r="B919" s="0" t="s">
        <v>1923</v>
      </c>
      <c r="C919" s="0" t="s">
        <v>2175</v>
      </c>
    </row>
    <row r="920" customFormat="false" ht="15" hidden="false" customHeight="false" outlineLevel="0" collapsed="false">
      <c r="A920" s="0" t="s">
        <v>22</v>
      </c>
      <c r="B920" s="0" t="s">
        <v>1929</v>
      </c>
      <c r="C920" s="0" t="s">
        <v>1746</v>
      </c>
      <c r="D920" s="0" t="n">
        <v>71</v>
      </c>
    </row>
    <row r="921" customFormat="false" ht="15" hidden="false" customHeight="false" outlineLevel="0" collapsed="false">
      <c r="A921" s="0" t="s">
        <v>22</v>
      </c>
      <c r="B921" s="0" t="s">
        <v>1929</v>
      </c>
      <c r="C921" s="0" t="s">
        <v>1882</v>
      </c>
      <c r="D921" s="0" t="n">
        <v>71</v>
      </c>
    </row>
    <row r="922" customFormat="false" ht="15" hidden="false" customHeight="false" outlineLevel="0" collapsed="false">
      <c r="A922" s="0" t="s">
        <v>22</v>
      </c>
      <c r="B922" s="0" t="s">
        <v>1929</v>
      </c>
      <c r="C922" s="0" t="s">
        <v>2175</v>
      </c>
    </row>
    <row r="923" customFormat="false" ht="15" hidden="false" customHeight="false" outlineLevel="0" collapsed="false">
      <c r="A923" s="0" t="s">
        <v>22</v>
      </c>
      <c r="B923" s="0" t="s">
        <v>1934</v>
      </c>
      <c r="C923" s="0" t="s">
        <v>1746</v>
      </c>
    </row>
    <row r="924" customFormat="false" ht="15" hidden="false" customHeight="false" outlineLevel="0" collapsed="false">
      <c r="A924" s="0" t="s">
        <v>22</v>
      </c>
      <c r="B924" s="0" t="s">
        <v>1934</v>
      </c>
      <c r="C924" s="0" t="s">
        <v>1882</v>
      </c>
    </row>
    <row r="925" customFormat="false" ht="15" hidden="false" customHeight="false" outlineLevel="0" collapsed="false">
      <c r="A925" s="0" t="s">
        <v>22</v>
      </c>
      <c r="B925" s="0" t="s">
        <v>1934</v>
      </c>
      <c r="C925" s="0" t="s">
        <v>2175</v>
      </c>
    </row>
    <row r="926" customFormat="false" ht="15" hidden="false" customHeight="false" outlineLevel="0" collapsed="false">
      <c r="A926" s="0" t="s">
        <v>22</v>
      </c>
      <c r="B926" s="0" t="s">
        <v>1941</v>
      </c>
      <c r="C926" s="0" t="s">
        <v>1746</v>
      </c>
    </row>
    <row r="927" customFormat="false" ht="15" hidden="false" customHeight="false" outlineLevel="0" collapsed="false">
      <c r="A927" s="0" t="s">
        <v>22</v>
      </c>
      <c r="B927" s="0" t="s">
        <v>1941</v>
      </c>
      <c r="C927" s="0" t="s">
        <v>1882</v>
      </c>
    </row>
    <row r="928" customFormat="false" ht="15" hidden="false" customHeight="false" outlineLevel="0" collapsed="false">
      <c r="A928" s="0" t="s">
        <v>22</v>
      </c>
      <c r="B928" s="0" t="s">
        <v>1941</v>
      </c>
      <c r="C928" s="0" t="s">
        <v>2175</v>
      </c>
    </row>
    <row r="929" customFormat="false" ht="15" hidden="false" customHeight="false" outlineLevel="0" collapsed="false">
      <c r="A929" s="0" t="s">
        <v>22</v>
      </c>
      <c r="B929" s="0" t="s">
        <v>1948</v>
      </c>
      <c r="C929" s="0" t="s">
        <v>1746</v>
      </c>
      <c r="D929" s="0" t="n">
        <v>2000</v>
      </c>
    </row>
    <row r="930" customFormat="false" ht="15" hidden="false" customHeight="false" outlineLevel="0" collapsed="false">
      <c r="A930" s="0" t="s">
        <v>22</v>
      </c>
      <c r="B930" s="0" t="s">
        <v>1948</v>
      </c>
      <c r="C930" s="0" t="s">
        <v>1882</v>
      </c>
      <c r="D930" s="0" t="n">
        <v>2000</v>
      </c>
    </row>
    <row r="931" customFormat="false" ht="15" hidden="false" customHeight="false" outlineLevel="0" collapsed="false">
      <c r="A931" s="0" t="s">
        <v>22</v>
      </c>
      <c r="B931" s="0" t="s">
        <v>1948</v>
      </c>
      <c r="C931" s="0" t="s">
        <v>2175</v>
      </c>
    </row>
    <row r="932" customFormat="false" ht="15" hidden="false" customHeight="false" outlineLevel="0" collapsed="false">
      <c r="A932" s="0" t="s">
        <v>22</v>
      </c>
      <c r="B932" s="0" t="s">
        <v>1955</v>
      </c>
      <c r="C932" s="0" t="s">
        <v>1746</v>
      </c>
      <c r="D932" s="0" t="n">
        <v>50.1</v>
      </c>
    </row>
    <row r="933" customFormat="false" ht="15" hidden="false" customHeight="false" outlineLevel="0" collapsed="false">
      <c r="A933" s="0" t="s">
        <v>22</v>
      </c>
      <c r="B933" s="0" t="s">
        <v>1955</v>
      </c>
      <c r="C933" s="0" t="s">
        <v>1882</v>
      </c>
    </row>
    <row r="934" customFormat="false" ht="15" hidden="false" customHeight="false" outlineLevel="0" collapsed="false">
      <c r="A934" s="0" t="s">
        <v>22</v>
      </c>
      <c r="B934" s="0" t="s">
        <v>1955</v>
      </c>
      <c r="C934" s="0" t="s">
        <v>2175</v>
      </c>
    </row>
    <row r="935" customFormat="false" ht="15" hidden="false" customHeight="false" outlineLevel="0" collapsed="false">
      <c r="A935" s="0" t="s">
        <v>22</v>
      </c>
      <c r="B935" s="0" t="s">
        <v>1960</v>
      </c>
      <c r="C935" s="0" t="s">
        <v>1746</v>
      </c>
      <c r="D935" s="0" t="n">
        <v>13</v>
      </c>
    </row>
    <row r="936" customFormat="false" ht="15" hidden="false" customHeight="false" outlineLevel="0" collapsed="false">
      <c r="A936" s="0" t="s">
        <v>22</v>
      </c>
      <c r="B936" s="0" t="s">
        <v>1960</v>
      </c>
      <c r="C936" s="0" t="s">
        <v>1882</v>
      </c>
    </row>
    <row r="937" customFormat="false" ht="15" hidden="false" customHeight="false" outlineLevel="0" collapsed="false">
      <c r="A937" s="0" t="s">
        <v>22</v>
      </c>
      <c r="B937" s="0" t="s">
        <v>1960</v>
      </c>
      <c r="C937" s="0" t="s">
        <v>2175</v>
      </c>
    </row>
    <row r="938" customFormat="false" ht="15" hidden="false" customHeight="false" outlineLevel="0" collapsed="false">
      <c r="A938" s="0" t="s">
        <v>22</v>
      </c>
      <c r="B938" s="0" t="s">
        <v>1964</v>
      </c>
      <c r="C938" s="0" t="s">
        <v>1746</v>
      </c>
      <c r="D938" s="0" t="n">
        <v>183</v>
      </c>
    </row>
    <row r="939" customFormat="false" ht="15" hidden="false" customHeight="false" outlineLevel="0" collapsed="false">
      <c r="A939" s="0" t="s">
        <v>22</v>
      </c>
      <c r="B939" s="0" t="s">
        <v>1964</v>
      </c>
      <c r="C939" s="0" t="s">
        <v>1882</v>
      </c>
    </row>
    <row r="940" customFormat="false" ht="15" hidden="false" customHeight="false" outlineLevel="0" collapsed="false">
      <c r="A940" s="0" t="s">
        <v>22</v>
      </c>
      <c r="B940" s="0" t="s">
        <v>1964</v>
      </c>
      <c r="C940" s="0" t="s">
        <v>2175</v>
      </c>
    </row>
    <row r="941" customFormat="false" ht="15" hidden="false" customHeight="false" outlineLevel="0" collapsed="false">
      <c r="A941" s="0" t="s">
        <v>22</v>
      </c>
      <c r="B941" s="0" t="s">
        <v>1968</v>
      </c>
      <c r="C941" s="0" t="s">
        <v>1746</v>
      </c>
      <c r="D941" s="0" t="n">
        <v>3.5</v>
      </c>
    </row>
    <row r="942" customFormat="false" ht="15" hidden="false" customHeight="false" outlineLevel="0" collapsed="false">
      <c r="A942" s="0" t="s">
        <v>22</v>
      </c>
      <c r="B942" s="0" t="s">
        <v>1968</v>
      </c>
      <c r="C942" s="0" t="s">
        <v>1882</v>
      </c>
    </row>
    <row r="943" customFormat="false" ht="15" hidden="false" customHeight="false" outlineLevel="0" collapsed="false">
      <c r="A943" s="0" t="s">
        <v>22</v>
      </c>
      <c r="B943" s="0" t="s">
        <v>1968</v>
      </c>
      <c r="C943" s="0" t="s">
        <v>2175</v>
      </c>
    </row>
    <row r="944" customFormat="false" ht="15" hidden="false" customHeight="false" outlineLevel="0" collapsed="false">
      <c r="A944" s="0" t="s">
        <v>22</v>
      </c>
      <c r="B944" s="0" t="s">
        <v>1975</v>
      </c>
      <c r="C944" s="0" t="s">
        <v>1746</v>
      </c>
      <c r="D944" s="0" t="n">
        <v>61.5</v>
      </c>
    </row>
    <row r="945" customFormat="false" ht="15" hidden="false" customHeight="false" outlineLevel="0" collapsed="false">
      <c r="A945" s="0" t="s">
        <v>22</v>
      </c>
      <c r="B945" s="0" t="s">
        <v>1975</v>
      </c>
      <c r="C945" s="0" t="s">
        <v>1882</v>
      </c>
    </row>
    <row r="946" customFormat="false" ht="15" hidden="false" customHeight="false" outlineLevel="0" collapsed="false">
      <c r="A946" s="0" t="s">
        <v>22</v>
      </c>
      <c r="B946" s="0" t="s">
        <v>1975</v>
      </c>
      <c r="C946" s="0" t="s">
        <v>2175</v>
      </c>
    </row>
    <row r="947" customFormat="false" ht="15" hidden="false" customHeight="false" outlineLevel="0" collapsed="false">
      <c r="A947" s="0" t="s">
        <v>22</v>
      </c>
      <c r="B947" s="0" t="s">
        <v>1980</v>
      </c>
      <c r="C947" s="0" t="s">
        <v>1746</v>
      </c>
    </row>
    <row r="948" customFormat="false" ht="15" hidden="false" customHeight="false" outlineLevel="0" collapsed="false">
      <c r="A948" s="0" t="s">
        <v>22</v>
      </c>
      <c r="B948" s="0" t="s">
        <v>1980</v>
      </c>
      <c r="C948" s="0" t="s">
        <v>1882</v>
      </c>
    </row>
    <row r="949" customFormat="false" ht="15" hidden="false" customHeight="false" outlineLevel="0" collapsed="false">
      <c r="A949" s="0" t="s">
        <v>22</v>
      </c>
      <c r="B949" s="0" t="s">
        <v>1980</v>
      </c>
      <c r="C949" s="0" t="s">
        <v>2175</v>
      </c>
    </row>
    <row r="950" customFormat="false" ht="15" hidden="false" customHeight="false" outlineLevel="0" collapsed="false">
      <c r="A950" s="0" t="s">
        <v>22</v>
      </c>
      <c r="B950" s="0" t="s">
        <v>1984</v>
      </c>
      <c r="C950" s="0" t="s">
        <v>1746</v>
      </c>
      <c r="D950" s="0" t="n">
        <v>8</v>
      </c>
    </row>
    <row r="951" customFormat="false" ht="15" hidden="false" customHeight="false" outlineLevel="0" collapsed="false">
      <c r="A951" s="0" t="s">
        <v>22</v>
      </c>
      <c r="B951" s="0" t="s">
        <v>1984</v>
      </c>
      <c r="C951" s="0" t="s">
        <v>1882</v>
      </c>
    </row>
    <row r="952" customFormat="false" ht="15" hidden="false" customHeight="false" outlineLevel="0" collapsed="false">
      <c r="A952" s="0" t="s">
        <v>22</v>
      </c>
      <c r="B952" s="0" t="s">
        <v>1984</v>
      </c>
      <c r="C952" s="0" t="s">
        <v>2175</v>
      </c>
    </row>
    <row r="953" customFormat="false" ht="15" hidden="false" customHeight="false" outlineLevel="0" collapsed="false">
      <c r="A953" s="0" t="s">
        <v>22</v>
      </c>
      <c r="B953" s="0" t="s">
        <v>1991</v>
      </c>
      <c r="C953" s="0" t="s">
        <v>1746</v>
      </c>
      <c r="D953" s="0" t="n">
        <v>4</v>
      </c>
    </row>
    <row r="954" customFormat="false" ht="15" hidden="false" customHeight="false" outlineLevel="0" collapsed="false">
      <c r="A954" s="0" t="s">
        <v>22</v>
      </c>
      <c r="B954" s="0" t="s">
        <v>1991</v>
      </c>
      <c r="C954" s="0" t="s">
        <v>1882</v>
      </c>
    </row>
    <row r="955" customFormat="false" ht="15" hidden="false" customHeight="false" outlineLevel="0" collapsed="false">
      <c r="A955" s="0" t="s">
        <v>22</v>
      </c>
      <c r="B955" s="0" t="s">
        <v>1991</v>
      </c>
      <c r="C955" s="0" t="s">
        <v>2175</v>
      </c>
    </row>
    <row r="956" customFormat="false" ht="15" hidden="false" customHeight="false" outlineLevel="0" collapsed="false">
      <c r="A956" s="0" t="s">
        <v>22</v>
      </c>
      <c r="B956" s="0" t="s">
        <v>1998</v>
      </c>
      <c r="C956" s="0" t="s">
        <v>1746</v>
      </c>
      <c r="D956" s="0" t="n">
        <v>5</v>
      </c>
    </row>
    <row r="957" customFormat="false" ht="15" hidden="false" customHeight="false" outlineLevel="0" collapsed="false">
      <c r="A957" s="0" t="s">
        <v>22</v>
      </c>
      <c r="B957" s="0" t="s">
        <v>1998</v>
      </c>
      <c r="C957" s="0" t="s">
        <v>1882</v>
      </c>
    </row>
    <row r="958" customFormat="false" ht="15" hidden="false" customHeight="false" outlineLevel="0" collapsed="false">
      <c r="A958" s="0" t="s">
        <v>22</v>
      </c>
      <c r="B958" s="0" t="s">
        <v>1998</v>
      </c>
      <c r="C958" s="0" t="s">
        <v>2175</v>
      </c>
    </row>
    <row r="959" customFormat="false" ht="15" hidden="false" customHeight="false" outlineLevel="0" collapsed="false">
      <c r="A959" s="0" t="s">
        <v>22</v>
      </c>
      <c r="B959" s="0" t="s">
        <v>2005</v>
      </c>
      <c r="C959" s="0" t="s">
        <v>1746</v>
      </c>
      <c r="D959" s="0" t="n">
        <v>5</v>
      </c>
    </row>
    <row r="960" customFormat="false" ht="15" hidden="false" customHeight="false" outlineLevel="0" collapsed="false">
      <c r="A960" s="0" t="s">
        <v>22</v>
      </c>
      <c r="B960" s="0" t="s">
        <v>2005</v>
      </c>
      <c r="C960" s="0" t="s">
        <v>1882</v>
      </c>
    </row>
    <row r="961" customFormat="false" ht="15" hidden="false" customHeight="false" outlineLevel="0" collapsed="false">
      <c r="A961" s="0" t="s">
        <v>22</v>
      </c>
      <c r="B961" s="0" t="s">
        <v>2005</v>
      </c>
      <c r="C961" s="0" t="s">
        <v>2175</v>
      </c>
    </row>
    <row r="962" customFormat="false" ht="15" hidden="false" customHeight="false" outlineLevel="0" collapsed="false">
      <c r="A962" s="0" t="s">
        <v>22</v>
      </c>
      <c r="B962" s="0" t="s">
        <v>2009</v>
      </c>
      <c r="C962" s="0" t="s">
        <v>1746</v>
      </c>
      <c r="D962" s="0" t="n">
        <v>20</v>
      </c>
    </row>
    <row r="963" customFormat="false" ht="15" hidden="false" customHeight="false" outlineLevel="0" collapsed="false">
      <c r="A963" s="0" t="s">
        <v>22</v>
      </c>
      <c r="B963" s="0" t="s">
        <v>2009</v>
      </c>
      <c r="C963" s="0" t="s">
        <v>1882</v>
      </c>
    </row>
    <row r="964" customFormat="false" ht="15" hidden="false" customHeight="false" outlineLevel="0" collapsed="false">
      <c r="A964" s="0" t="s">
        <v>22</v>
      </c>
      <c r="B964" s="0" t="s">
        <v>2009</v>
      </c>
      <c r="C964" s="0" t="s">
        <v>2175</v>
      </c>
    </row>
    <row r="965" customFormat="false" ht="15" hidden="false" customHeight="false" outlineLevel="0" collapsed="false">
      <c r="A965" s="0" t="s">
        <v>22</v>
      </c>
      <c r="B965" s="0" t="s">
        <v>2014</v>
      </c>
      <c r="C965" s="0" t="s">
        <v>1746</v>
      </c>
      <c r="D965" s="0" t="n">
        <v>15</v>
      </c>
    </row>
    <row r="966" customFormat="false" ht="15" hidden="false" customHeight="false" outlineLevel="0" collapsed="false">
      <c r="A966" s="0" t="s">
        <v>22</v>
      </c>
      <c r="B966" s="0" t="s">
        <v>2014</v>
      </c>
      <c r="C966" s="0" t="s">
        <v>1882</v>
      </c>
    </row>
    <row r="967" customFormat="false" ht="15" hidden="false" customHeight="false" outlineLevel="0" collapsed="false">
      <c r="A967" s="0" t="s">
        <v>22</v>
      </c>
      <c r="B967" s="0" t="s">
        <v>2014</v>
      </c>
      <c r="C967" s="0" t="s">
        <v>2175</v>
      </c>
    </row>
    <row r="968" customFormat="false" ht="15" hidden="false" customHeight="false" outlineLevel="0" collapsed="false">
      <c r="A968" s="0" t="s">
        <v>22</v>
      </c>
      <c r="B968" s="0" t="s">
        <v>2018</v>
      </c>
      <c r="C968" s="0" t="s">
        <v>1746</v>
      </c>
      <c r="D968" s="0" t="n">
        <f aca="false">SRC_ANT_317+SRC_ANT_319+SRC_ANT_320</f>
        <v>18</v>
      </c>
    </row>
    <row r="969" customFormat="false" ht="15" hidden="false" customHeight="false" outlineLevel="0" collapsed="false">
      <c r="A969" s="0" t="s">
        <v>22</v>
      </c>
      <c r="B969" s="0" t="s">
        <v>2018</v>
      </c>
      <c r="C969" s="0" t="s">
        <v>1882</v>
      </c>
    </row>
    <row r="970" customFormat="false" ht="15" hidden="false" customHeight="false" outlineLevel="0" collapsed="false">
      <c r="A970" s="0" t="s">
        <v>22</v>
      </c>
      <c r="B970" s="0" t="s">
        <v>2018</v>
      </c>
      <c r="C970" s="0" t="s">
        <v>2175</v>
      </c>
    </row>
    <row r="971" customFormat="false" ht="15" hidden="false" customHeight="false" outlineLevel="0" collapsed="false">
      <c r="A971" s="0" t="s">
        <v>22</v>
      </c>
      <c r="B971" s="0" t="s">
        <v>2023</v>
      </c>
      <c r="C971" s="0" t="s">
        <v>1746</v>
      </c>
      <c r="D971" s="0" t="n">
        <v>25</v>
      </c>
    </row>
    <row r="972" customFormat="false" ht="15" hidden="false" customHeight="false" outlineLevel="0" collapsed="false">
      <c r="A972" s="0" t="s">
        <v>22</v>
      </c>
      <c r="B972" s="0" t="s">
        <v>2023</v>
      </c>
      <c r="C972" s="0" t="s">
        <v>1882</v>
      </c>
      <c r="D972" s="0" t="n">
        <v>5</v>
      </c>
    </row>
    <row r="973" customFormat="false" ht="15" hidden="false" customHeight="false" outlineLevel="0" collapsed="false">
      <c r="A973" s="0" t="s">
        <v>22</v>
      </c>
      <c r="B973" s="0" t="s">
        <v>2023</v>
      </c>
      <c r="C973" s="0" t="s">
        <v>2175</v>
      </c>
      <c r="D973" s="0" t="n">
        <v>25</v>
      </c>
    </row>
    <row r="974" customFormat="false" ht="15" hidden="false" customHeight="false" outlineLevel="0" collapsed="false">
      <c r="A974" s="0" t="s">
        <v>22</v>
      </c>
      <c r="B974" s="0" t="s">
        <v>2030</v>
      </c>
      <c r="C974" s="0" t="s">
        <v>1746</v>
      </c>
      <c r="D974" s="0" t="n">
        <v>92.5</v>
      </c>
    </row>
    <row r="975" customFormat="false" ht="15" hidden="false" customHeight="false" outlineLevel="0" collapsed="false">
      <c r="A975" s="0" t="s">
        <v>22</v>
      </c>
      <c r="B975" s="0" t="s">
        <v>2030</v>
      </c>
      <c r="C975" s="0" t="s">
        <v>1882</v>
      </c>
    </row>
    <row r="976" customFormat="false" ht="15" hidden="false" customHeight="false" outlineLevel="0" collapsed="false">
      <c r="A976" s="0" t="s">
        <v>22</v>
      </c>
      <c r="B976" s="0" t="s">
        <v>2030</v>
      </c>
      <c r="C976" s="0" t="s">
        <v>2175</v>
      </c>
    </row>
    <row r="977" customFormat="false" ht="15" hidden="false" customHeight="false" outlineLevel="0" collapsed="false">
      <c r="A977" s="0" t="s">
        <v>22</v>
      </c>
      <c r="B977" s="0" t="s">
        <v>2034</v>
      </c>
      <c r="C977" s="0" t="s">
        <v>1746</v>
      </c>
      <c r="D977" s="0" t="n">
        <v>97.9</v>
      </c>
    </row>
    <row r="978" customFormat="false" ht="15" hidden="false" customHeight="false" outlineLevel="0" collapsed="false">
      <c r="A978" s="0" t="s">
        <v>22</v>
      </c>
      <c r="B978" s="0" t="s">
        <v>2034</v>
      </c>
      <c r="C978" s="0" t="s">
        <v>1882</v>
      </c>
    </row>
    <row r="979" customFormat="false" ht="15" hidden="false" customHeight="false" outlineLevel="0" collapsed="false">
      <c r="A979" s="0" t="s">
        <v>22</v>
      </c>
      <c r="B979" s="0" t="s">
        <v>2034</v>
      </c>
      <c r="C979" s="0" t="s">
        <v>2175</v>
      </c>
    </row>
    <row r="980" customFormat="false" ht="15" hidden="false" customHeight="false" outlineLevel="0" collapsed="false">
      <c r="A980" s="0" t="s">
        <v>22</v>
      </c>
      <c r="B980" s="0" t="s">
        <v>2038</v>
      </c>
      <c r="C980" s="0" t="s">
        <v>1746</v>
      </c>
      <c r="D980" s="0" t="n">
        <v>3</v>
      </c>
    </row>
    <row r="981" customFormat="false" ht="15" hidden="false" customHeight="false" outlineLevel="0" collapsed="false">
      <c r="A981" s="0" t="s">
        <v>22</v>
      </c>
      <c r="B981" s="0" t="s">
        <v>2038</v>
      </c>
      <c r="C981" s="0" t="s">
        <v>1882</v>
      </c>
      <c r="D981" s="0" t="n">
        <v>3</v>
      </c>
    </row>
    <row r="982" customFormat="false" ht="15" hidden="false" customHeight="false" outlineLevel="0" collapsed="false">
      <c r="A982" s="0" t="s">
        <v>22</v>
      </c>
      <c r="B982" s="0" t="s">
        <v>2038</v>
      </c>
      <c r="C982" s="0" t="s">
        <v>2175</v>
      </c>
    </row>
    <row r="983" customFormat="false" ht="15" hidden="false" customHeight="false" outlineLevel="0" collapsed="false">
      <c r="A983" s="0" t="s">
        <v>22</v>
      </c>
      <c r="B983" s="0" t="s">
        <v>2046</v>
      </c>
      <c r="C983" s="0" t="s">
        <v>1746</v>
      </c>
      <c r="D983" s="0" t="n">
        <v>10</v>
      </c>
    </row>
    <row r="984" customFormat="false" ht="15" hidden="false" customHeight="false" outlineLevel="0" collapsed="false">
      <c r="A984" s="0" t="s">
        <v>22</v>
      </c>
      <c r="B984" s="0" t="s">
        <v>2046</v>
      </c>
      <c r="C984" s="0" t="s">
        <v>1882</v>
      </c>
    </row>
    <row r="985" customFormat="false" ht="15" hidden="false" customHeight="false" outlineLevel="0" collapsed="false">
      <c r="A985" s="0" t="s">
        <v>22</v>
      </c>
      <c r="B985" s="0" t="s">
        <v>2046</v>
      </c>
      <c r="C985" s="0" t="s">
        <v>2175</v>
      </c>
    </row>
    <row r="986" customFormat="false" ht="15" hidden="false" customHeight="false" outlineLevel="0" collapsed="false">
      <c r="A986" s="0" t="s">
        <v>22</v>
      </c>
      <c r="B986" s="0" t="s">
        <v>2054</v>
      </c>
      <c r="C986" s="0" t="s">
        <v>1746</v>
      </c>
      <c r="D986" s="0" t="n">
        <v>30</v>
      </c>
    </row>
    <row r="987" customFormat="false" ht="15" hidden="false" customHeight="false" outlineLevel="0" collapsed="false">
      <c r="A987" s="0" t="s">
        <v>22</v>
      </c>
      <c r="B987" s="0" t="s">
        <v>2054</v>
      </c>
      <c r="C987" s="0" t="s">
        <v>1882</v>
      </c>
      <c r="D987" s="0" t="n">
        <v>0</v>
      </c>
    </row>
    <row r="988" customFormat="false" ht="15" hidden="false" customHeight="false" outlineLevel="0" collapsed="false">
      <c r="A988" s="0" t="s">
        <v>22</v>
      </c>
      <c r="B988" s="0" t="s">
        <v>2054</v>
      </c>
      <c r="C988" s="0" t="s">
        <v>2175</v>
      </c>
      <c r="D988" s="0" t="n">
        <v>30</v>
      </c>
    </row>
    <row r="989" customFormat="false" ht="15" hidden="false" customHeight="false" outlineLevel="0" collapsed="false">
      <c r="A989" s="0" t="s">
        <v>22</v>
      </c>
      <c r="B989" s="0" t="s">
        <v>2059</v>
      </c>
      <c r="C989" s="0" t="s">
        <v>1746</v>
      </c>
      <c r="D989" s="0" t="n">
        <v>15</v>
      </c>
    </row>
    <row r="990" customFormat="false" ht="15" hidden="false" customHeight="false" outlineLevel="0" collapsed="false">
      <c r="A990" s="0" t="s">
        <v>22</v>
      </c>
      <c r="B990" s="0" t="s">
        <v>2059</v>
      </c>
      <c r="C990" s="0" t="s">
        <v>1882</v>
      </c>
    </row>
    <row r="991" customFormat="false" ht="15" hidden="false" customHeight="false" outlineLevel="0" collapsed="false">
      <c r="A991" s="0" t="s">
        <v>22</v>
      </c>
      <c r="B991" s="0" t="s">
        <v>2059</v>
      </c>
      <c r="C991" s="0" t="s">
        <v>2175</v>
      </c>
      <c r="D991" s="0" t="n">
        <v>15</v>
      </c>
    </row>
    <row r="992" customFormat="false" ht="15" hidden="false" customHeight="false" outlineLevel="0" collapsed="false">
      <c r="A992" s="0" t="s">
        <v>22</v>
      </c>
      <c r="B992" s="0" t="s">
        <v>2065</v>
      </c>
      <c r="C992" s="0" t="s">
        <v>1746</v>
      </c>
      <c r="D992" s="0" t="n">
        <v>5</v>
      </c>
    </row>
    <row r="993" customFormat="false" ht="15" hidden="false" customHeight="false" outlineLevel="0" collapsed="false">
      <c r="A993" s="0" t="s">
        <v>22</v>
      </c>
      <c r="B993" s="0" t="s">
        <v>2065</v>
      </c>
      <c r="C993" s="0" t="s">
        <v>1882</v>
      </c>
    </row>
    <row r="994" customFormat="false" ht="15" hidden="false" customHeight="false" outlineLevel="0" collapsed="false">
      <c r="A994" s="0" t="s">
        <v>22</v>
      </c>
      <c r="B994" s="0" t="s">
        <v>2065</v>
      </c>
      <c r="C994" s="0" t="s">
        <v>2175</v>
      </c>
    </row>
    <row r="995" customFormat="false" ht="15" hidden="false" customHeight="false" outlineLevel="0" collapsed="false">
      <c r="A995" s="0" t="s">
        <v>22</v>
      </c>
      <c r="B995" s="0" t="s">
        <v>2074</v>
      </c>
      <c r="C995" s="0" t="s">
        <v>1746</v>
      </c>
      <c r="D995" s="0" t="n">
        <v>5</v>
      </c>
    </row>
    <row r="996" customFormat="false" ht="15" hidden="false" customHeight="false" outlineLevel="0" collapsed="false">
      <c r="A996" s="0" t="s">
        <v>22</v>
      </c>
      <c r="B996" s="0" t="s">
        <v>2074</v>
      </c>
      <c r="C996" s="0" t="s">
        <v>1882</v>
      </c>
    </row>
    <row r="997" customFormat="false" ht="15" hidden="false" customHeight="false" outlineLevel="0" collapsed="false">
      <c r="A997" s="0" t="s">
        <v>22</v>
      </c>
      <c r="B997" s="0" t="s">
        <v>2074</v>
      </c>
      <c r="C997" s="0" t="s">
        <v>2175</v>
      </c>
      <c r="D997" s="0" t="n">
        <v>5</v>
      </c>
    </row>
    <row r="998" customFormat="false" ht="15" hidden="false" customHeight="false" outlineLevel="0" collapsed="false">
      <c r="A998" s="0" t="s">
        <v>22</v>
      </c>
      <c r="B998" s="0" t="s">
        <v>2078</v>
      </c>
      <c r="C998" s="0" t="s">
        <v>1746</v>
      </c>
      <c r="D998" s="0" t="n">
        <v>10</v>
      </c>
    </row>
    <row r="999" customFormat="false" ht="15" hidden="false" customHeight="false" outlineLevel="0" collapsed="false">
      <c r="A999" s="0" t="s">
        <v>22</v>
      </c>
      <c r="B999" s="0" t="s">
        <v>2078</v>
      </c>
      <c r="C999" s="0" t="s">
        <v>1882</v>
      </c>
    </row>
    <row r="1000" customFormat="false" ht="15" hidden="false" customHeight="false" outlineLevel="0" collapsed="false">
      <c r="A1000" s="0" t="s">
        <v>22</v>
      </c>
      <c r="B1000" s="0" t="s">
        <v>2078</v>
      </c>
      <c r="C1000" s="0" t="s">
        <v>2175</v>
      </c>
      <c r="D1000" s="0" t="n">
        <v>10</v>
      </c>
    </row>
    <row r="1001" customFormat="false" ht="15" hidden="false" customHeight="false" outlineLevel="0" collapsed="false">
      <c r="A1001" s="0" t="s">
        <v>22</v>
      </c>
      <c r="B1001" s="0" t="s">
        <v>2086</v>
      </c>
      <c r="C1001" s="0" t="s">
        <v>1746</v>
      </c>
      <c r="D1001" s="0" t="n">
        <v>56.09</v>
      </c>
    </row>
    <row r="1002" customFormat="false" ht="15" hidden="false" customHeight="false" outlineLevel="0" collapsed="false">
      <c r="A1002" s="0" t="s">
        <v>22</v>
      </c>
      <c r="B1002" s="0" t="s">
        <v>2086</v>
      </c>
      <c r="C1002" s="0" t="s">
        <v>1882</v>
      </c>
    </row>
    <row r="1003" customFormat="false" ht="15" hidden="false" customHeight="false" outlineLevel="0" collapsed="false">
      <c r="A1003" s="0" t="s">
        <v>22</v>
      </c>
      <c r="B1003" s="0" t="s">
        <v>2086</v>
      </c>
      <c r="C1003" s="0" t="s">
        <v>2175</v>
      </c>
    </row>
    <row r="1004" customFormat="false" ht="15" hidden="false" customHeight="false" outlineLevel="0" collapsed="false">
      <c r="A1004" s="0" t="s">
        <v>22</v>
      </c>
      <c r="B1004" s="0" t="s">
        <v>2095</v>
      </c>
      <c r="C1004" s="0" t="s">
        <v>1746</v>
      </c>
    </row>
    <row r="1005" customFormat="false" ht="15" hidden="false" customHeight="false" outlineLevel="0" collapsed="false">
      <c r="A1005" s="0" t="s">
        <v>22</v>
      </c>
      <c r="B1005" s="0" t="s">
        <v>2095</v>
      </c>
      <c r="C1005" s="0" t="s">
        <v>1882</v>
      </c>
      <c r="D1005" s="0" t="n">
        <v>5</v>
      </c>
    </row>
    <row r="1006" customFormat="false" ht="15" hidden="false" customHeight="false" outlineLevel="0" collapsed="false">
      <c r="A1006" s="0" t="s">
        <v>22</v>
      </c>
      <c r="B1006" s="0" t="s">
        <v>2095</v>
      </c>
      <c r="C1006" s="0" t="s">
        <v>2175</v>
      </c>
      <c r="D1006" s="0" t="n">
        <v>6</v>
      </c>
    </row>
    <row r="1007" customFormat="false" ht="15" hidden="false" customHeight="false" outlineLevel="0" collapsed="false">
      <c r="A1007" s="0" t="s">
        <v>22</v>
      </c>
      <c r="B1007" s="0" t="s">
        <v>2102</v>
      </c>
      <c r="C1007" s="0" t="s">
        <v>1746</v>
      </c>
    </row>
    <row r="1008" customFormat="false" ht="15" hidden="false" customHeight="false" outlineLevel="0" collapsed="false">
      <c r="A1008" s="0" t="s">
        <v>22</v>
      </c>
      <c r="B1008" s="0" t="s">
        <v>2102</v>
      </c>
      <c r="C1008" s="0" t="s">
        <v>1882</v>
      </c>
    </row>
    <row r="1009" customFormat="false" ht="15" hidden="false" customHeight="false" outlineLevel="0" collapsed="false">
      <c r="A1009" s="0" t="s">
        <v>22</v>
      </c>
      <c r="B1009" s="0" t="s">
        <v>2102</v>
      </c>
      <c r="C1009" s="0" t="s">
        <v>2175</v>
      </c>
      <c r="D1009" s="0" t="n">
        <v>6</v>
      </c>
    </row>
    <row r="1010" customFormat="false" ht="15" hidden="false" customHeight="false" outlineLevel="0" collapsed="false">
      <c r="A1010" s="0" t="s">
        <v>22</v>
      </c>
      <c r="B1010" s="0" t="s">
        <v>2110</v>
      </c>
      <c r="C1010" s="0" t="s">
        <v>1746</v>
      </c>
      <c r="D1010" s="0" t="n">
        <v>0.45</v>
      </c>
    </row>
    <row r="1011" customFormat="false" ht="15" hidden="false" customHeight="false" outlineLevel="0" collapsed="false">
      <c r="A1011" s="0" t="s">
        <v>22</v>
      </c>
      <c r="B1011" s="0" t="s">
        <v>2110</v>
      </c>
      <c r="C1011" s="0" t="s">
        <v>1882</v>
      </c>
    </row>
    <row r="1012" customFormat="false" ht="15" hidden="false" customHeight="false" outlineLevel="0" collapsed="false">
      <c r="A1012" s="0" t="s">
        <v>22</v>
      </c>
      <c r="B1012" s="0" t="s">
        <v>2110</v>
      </c>
      <c r="C1012" s="0" t="s">
        <v>2175</v>
      </c>
    </row>
    <row r="1013" customFormat="false" ht="15" hidden="false" customHeight="false" outlineLevel="0" collapsed="false">
      <c r="A1013" s="0" t="s">
        <v>22</v>
      </c>
      <c r="B1013" s="0" t="s">
        <v>2117</v>
      </c>
      <c r="C1013" s="0" t="s">
        <v>1746</v>
      </c>
      <c r="D1013" s="0" t="n">
        <v>0.75</v>
      </c>
    </row>
    <row r="1014" customFormat="false" ht="15" hidden="false" customHeight="false" outlineLevel="0" collapsed="false">
      <c r="A1014" s="0" t="s">
        <v>22</v>
      </c>
      <c r="B1014" s="0" t="s">
        <v>2117</v>
      </c>
      <c r="C1014" s="0" t="s">
        <v>1882</v>
      </c>
    </row>
    <row r="1015" customFormat="false" ht="15" hidden="false" customHeight="false" outlineLevel="0" collapsed="false">
      <c r="A1015" s="0" t="s">
        <v>22</v>
      </c>
      <c r="B1015" s="0" t="s">
        <v>2117</v>
      </c>
      <c r="C1015" s="0" t="s">
        <v>2175</v>
      </c>
    </row>
    <row r="1016" customFormat="false" ht="15" hidden="false" customHeight="false" outlineLevel="0" collapsed="false">
      <c r="A1016" s="0" t="s">
        <v>22</v>
      </c>
      <c r="B1016" s="0" t="s">
        <v>2125</v>
      </c>
      <c r="C1016" s="0" t="s">
        <v>1746</v>
      </c>
      <c r="D1016" s="0" t="n">
        <v>1000</v>
      </c>
    </row>
    <row r="1017" customFormat="false" ht="15" hidden="false" customHeight="false" outlineLevel="0" collapsed="false">
      <c r="A1017" s="0" t="s">
        <v>22</v>
      </c>
      <c r="B1017" s="0" t="s">
        <v>2125</v>
      </c>
      <c r="C1017" s="0" t="s">
        <v>1882</v>
      </c>
      <c r="D1017" s="0" t="n">
        <v>960</v>
      </c>
    </row>
    <row r="1018" customFormat="false" ht="15" hidden="false" customHeight="false" outlineLevel="0" collapsed="false">
      <c r="A1018" s="0" t="s">
        <v>22</v>
      </c>
      <c r="B1018" s="0" t="s">
        <v>2125</v>
      </c>
      <c r="C1018" s="0" t="s">
        <v>2175</v>
      </c>
      <c r="D1018" s="0" t="n">
        <v>1150</v>
      </c>
    </row>
    <row r="1019" customFormat="false" ht="15" hidden="false" customHeight="false" outlineLevel="0" collapsed="false">
      <c r="A1019" s="0" t="s">
        <v>22</v>
      </c>
      <c r="B1019" s="0" t="s">
        <v>2132</v>
      </c>
      <c r="C1019" s="0" t="s">
        <v>1746</v>
      </c>
    </row>
    <row r="1020" customFormat="false" ht="15" hidden="false" customHeight="false" outlineLevel="0" collapsed="false">
      <c r="A1020" s="0" t="s">
        <v>22</v>
      </c>
      <c r="B1020" s="0" t="s">
        <v>2132</v>
      </c>
      <c r="C1020" s="0" t="s">
        <v>1882</v>
      </c>
    </row>
    <row r="1021" customFormat="false" ht="15" hidden="false" customHeight="false" outlineLevel="0" collapsed="false">
      <c r="A1021" s="0" t="s">
        <v>22</v>
      </c>
      <c r="B1021" s="0" t="s">
        <v>2132</v>
      </c>
      <c r="C1021" s="0" t="s">
        <v>2175</v>
      </c>
    </row>
    <row r="1022" customFormat="false" ht="15" hidden="false" customHeight="false" outlineLevel="0" collapsed="false">
      <c r="A1022" s="0" t="s">
        <v>22</v>
      </c>
      <c r="B1022" s="0" t="s">
        <v>2141</v>
      </c>
      <c r="C1022" s="0" t="s">
        <v>1746</v>
      </c>
      <c r="D1022" s="0" t="n">
        <v>100</v>
      </c>
    </row>
    <row r="1023" customFormat="false" ht="15" hidden="false" customHeight="false" outlineLevel="0" collapsed="false">
      <c r="A1023" s="0" t="s">
        <v>22</v>
      </c>
      <c r="B1023" s="0" t="s">
        <v>2141</v>
      </c>
      <c r="C1023" s="0" t="s">
        <v>1882</v>
      </c>
    </row>
    <row r="1024" customFormat="false" ht="15" hidden="false" customHeight="false" outlineLevel="0" collapsed="false">
      <c r="A1024" s="0" t="s">
        <v>22</v>
      </c>
      <c r="B1024" s="0" t="s">
        <v>2141</v>
      </c>
      <c r="C1024" s="0" t="s">
        <v>2175</v>
      </c>
      <c r="D1024" s="0" t="n">
        <v>100</v>
      </c>
    </row>
    <row r="1025" customFormat="false" ht="15" hidden="false" customHeight="false" outlineLevel="0" collapsed="false">
      <c r="A1025" s="0" t="s">
        <v>22</v>
      </c>
      <c r="B1025" s="0" t="s">
        <v>2146</v>
      </c>
      <c r="C1025" s="0" t="s">
        <v>1746</v>
      </c>
    </row>
    <row r="1026" customFormat="false" ht="15" hidden="false" customHeight="false" outlineLevel="0" collapsed="false">
      <c r="A1026" s="0" t="s">
        <v>22</v>
      </c>
      <c r="B1026" s="0" t="s">
        <v>2146</v>
      </c>
      <c r="C1026" s="0" t="s">
        <v>1882</v>
      </c>
      <c r="D1026" s="0" t="n">
        <v>1800</v>
      </c>
    </row>
    <row r="1027" customFormat="false" ht="15" hidden="false" customHeight="false" outlineLevel="0" collapsed="false">
      <c r="A1027" s="0" t="s">
        <v>22</v>
      </c>
      <c r="B1027" s="0" t="s">
        <v>2146</v>
      </c>
      <c r="C1027" s="0" t="s">
        <v>2175</v>
      </c>
      <c r="D1027" s="0" t="n">
        <v>2000</v>
      </c>
    </row>
    <row r="1028" customFormat="false" ht="15" hidden="false" customHeight="false" outlineLevel="0" collapsed="false">
      <c r="A1028" s="0" t="s">
        <v>22</v>
      </c>
      <c r="B1028" s="0" t="s">
        <v>2151</v>
      </c>
      <c r="C1028" s="0" t="s">
        <v>1746</v>
      </c>
    </row>
    <row r="1029" customFormat="false" ht="15" hidden="false" customHeight="false" outlineLevel="0" collapsed="false">
      <c r="A1029" s="0" t="s">
        <v>22</v>
      </c>
      <c r="B1029" s="0" t="s">
        <v>2151</v>
      </c>
      <c r="C1029" s="0" t="s">
        <v>1882</v>
      </c>
    </row>
    <row r="1030" customFormat="false" ht="15" hidden="false" customHeight="false" outlineLevel="0" collapsed="false">
      <c r="A1030" s="0" t="s">
        <v>22</v>
      </c>
      <c r="B1030" s="0" t="s">
        <v>2151</v>
      </c>
      <c r="C1030" s="0" t="s">
        <v>2175</v>
      </c>
    </row>
    <row r="1031" customFormat="false" ht="15" hidden="false" customHeight="false" outlineLevel="0" collapsed="false">
      <c r="A1031" s="0" t="s">
        <v>22</v>
      </c>
      <c r="B1031" s="0" t="s">
        <v>2158</v>
      </c>
      <c r="C1031" s="0" t="s">
        <v>1746</v>
      </c>
      <c r="D1031" s="0" t="n">
        <v>15</v>
      </c>
    </row>
    <row r="1032" customFormat="false" ht="15" hidden="false" customHeight="false" outlineLevel="0" collapsed="false">
      <c r="A1032" s="0" t="s">
        <v>22</v>
      </c>
      <c r="B1032" s="0" t="s">
        <v>2158</v>
      </c>
      <c r="C1032" s="0" t="s">
        <v>1882</v>
      </c>
      <c r="D1032" s="0" t="n">
        <v>10</v>
      </c>
    </row>
    <row r="1033" customFormat="false" ht="15" hidden="false" customHeight="false" outlineLevel="0" collapsed="false">
      <c r="A1033" s="0" t="s">
        <v>22</v>
      </c>
      <c r="B1033" s="0" t="s">
        <v>2158</v>
      </c>
      <c r="C1033" s="0" t="s">
        <v>2175</v>
      </c>
      <c r="D1033" s="0" t="n">
        <v>15</v>
      </c>
    </row>
    <row r="1034" customFormat="false" ht="15" hidden="false" customHeight="false" outlineLevel="0" collapsed="false">
      <c r="A1034" s="0" t="s">
        <v>22</v>
      </c>
      <c r="B1034" s="0" t="s">
        <v>2166</v>
      </c>
      <c r="C1034" s="0" t="s">
        <v>1746</v>
      </c>
      <c r="D1034" s="0" t="n">
        <v>0.19</v>
      </c>
    </row>
    <row r="1035" customFormat="false" ht="15" hidden="false" customHeight="false" outlineLevel="0" collapsed="false">
      <c r="A1035" s="0" t="s">
        <v>22</v>
      </c>
      <c r="B1035" s="0" t="s">
        <v>2166</v>
      </c>
      <c r="C1035" s="0" t="s">
        <v>1882</v>
      </c>
    </row>
    <row r="1036" customFormat="false" ht="15" hidden="false" customHeight="false" outlineLevel="0" collapsed="false">
      <c r="A1036" s="0" t="s">
        <v>22</v>
      </c>
      <c r="B1036" s="0" t="s">
        <v>2166</v>
      </c>
      <c r="C1036" s="0" t="s">
        <v>2175</v>
      </c>
    </row>
    <row r="1037" customFormat="false" ht="15" hidden="false" customHeight="false" outlineLevel="0" collapsed="false">
      <c r="A1037" s="0" t="s">
        <v>22</v>
      </c>
      <c r="B1037" s="0" t="s">
        <v>2173</v>
      </c>
      <c r="C1037" s="0" t="s">
        <v>1746</v>
      </c>
      <c r="D1037" s="0" t="n">
        <v>0.56</v>
      </c>
    </row>
    <row r="1038" customFormat="false" ht="15" hidden="false" customHeight="false" outlineLevel="0" collapsed="false">
      <c r="A1038" s="0" t="s">
        <v>22</v>
      </c>
      <c r="B1038" s="0" t="s">
        <v>2173</v>
      </c>
      <c r="C1038" s="0" t="s">
        <v>1882</v>
      </c>
    </row>
    <row r="1039" customFormat="false" ht="15" hidden="false" customHeight="false" outlineLevel="0" collapsed="false">
      <c r="A1039" s="0" t="s">
        <v>22</v>
      </c>
      <c r="B1039" s="0" t="s">
        <v>2173</v>
      </c>
      <c r="C1039" s="0" t="s">
        <v>2175</v>
      </c>
    </row>
    <row r="1040" customFormat="false" ht="15" hidden="false" customHeight="false" outlineLevel="0" collapsed="false">
      <c r="A1040" s="0" t="s">
        <v>22</v>
      </c>
      <c r="B1040" s="0" t="s">
        <v>2178</v>
      </c>
      <c r="C1040" s="0" t="s">
        <v>1746</v>
      </c>
      <c r="D1040" s="0" t="n">
        <v>10.9</v>
      </c>
    </row>
    <row r="1041" customFormat="false" ht="15" hidden="false" customHeight="false" outlineLevel="0" collapsed="false">
      <c r="A1041" s="0" t="s">
        <v>22</v>
      </c>
      <c r="B1041" s="0" t="s">
        <v>2178</v>
      </c>
      <c r="C1041" s="0" t="s">
        <v>1882</v>
      </c>
    </row>
    <row r="1042" customFormat="false" ht="15" hidden="false" customHeight="false" outlineLevel="0" collapsed="false">
      <c r="A1042" s="0" t="s">
        <v>22</v>
      </c>
      <c r="B1042" s="0" t="s">
        <v>2178</v>
      </c>
      <c r="C1042" s="0" t="s">
        <v>2175</v>
      </c>
    </row>
    <row r="1043" customFormat="false" ht="15" hidden="false" customHeight="false" outlineLevel="0" collapsed="false">
      <c r="A1043" s="0" t="s">
        <v>22</v>
      </c>
      <c r="B1043" s="0" t="s">
        <v>2182</v>
      </c>
      <c r="C1043" s="0" t="s">
        <v>1746</v>
      </c>
      <c r="D1043" s="0" t="n">
        <v>0.559</v>
      </c>
    </row>
    <row r="1044" customFormat="false" ht="15" hidden="false" customHeight="false" outlineLevel="0" collapsed="false">
      <c r="A1044" s="0" t="s">
        <v>22</v>
      </c>
      <c r="B1044" s="0" t="s">
        <v>2182</v>
      </c>
      <c r="C1044" s="0" t="s">
        <v>1882</v>
      </c>
    </row>
    <row r="1045" customFormat="false" ht="15" hidden="false" customHeight="false" outlineLevel="0" collapsed="false">
      <c r="A1045" s="0" t="s">
        <v>22</v>
      </c>
      <c r="B1045" s="0" t="s">
        <v>2182</v>
      </c>
      <c r="C1045" s="0" t="s">
        <v>2175</v>
      </c>
    </row>
    <row r="1046" customFormat="false" ht="15" hidden="false" customHeight="false" outlineLevel="0" collapsed="false">
      <c r="A1046" s="0" t="s">
        <v>22</v>
      </c>
      <c r="B1046" s="0" t="s">
        <v>2186</v>
      </c>
      <c r="C1046" s="0" t="s">
        <v>1746</v>
      </c>
      <c r="D1046" s="0" t="n">
        <v>2028</v>
      </c>
    </row>
    <row r="1047" customFormat="false" ht="15" hidden="false" customHeight="false" outlineLevel="0" collapsed="false">
      <c r="A1047" s="0" t="s">
        <v>22</v>
      </c>
      <c r="B1047" s="0" t="s">
        <v>2186</v>
      </c>
      <c r="C1047" s="0" t="s">
        <v>1882</v>
      </c>
    </row>
    <row r="1048" customFormat="false" ht="15" hidden="false" customHeight="false" outlineLevel="0" collapsed="false">
      <c r="A1048" s="0" t="s">
        <v>22</v>
      </c>
      <c r="B1048" s="0" t="s">
        <v>2186</v>
      </c>
      <c r="C1048" s="0" t="s">
        <v>2175</v>
      </c>
    </row>
    <row r="1049" customFormat="false" ht="15" hidden="false" customHeight="false" outlineLevel="0" collapsed="false">
      <c r="A1049" s="0" t="s">
        <v>22</v>
      </c>
      <c r="B1049" s="0" t="s">
        <v>2193</v>
      </c>
      <c r="C1049" s="0" t="s">
        <v>1746</v>
      </c>
      <c r="D1049" s="0" t="n">
        <v>11.5</v>
      </c>
    </row>
    <row r="1050" customFormat="false" ht="15" hidden="false" customHeight="false" outlineLevel="0" collapsed="false">
      <c r="A1050" s="0" t="s">
        <v>22</v>
      </c>
      <c r="B1050" s="0" t="s">
        <v>2193</v>
      </c>
      <c r="C1050" s="0" t="s">
        <v>1882</v>
      </c>
      <c r="D1050" s="0" t="n">
        <v>11.5</v>
      </c>
    </row>
    <row r="1051" customFormat="false" ht="15" hidden="false" customHeight="false" outlineLevel="0" collapsed="false">
      <c r="A1051" s="0" t="s">
        <v>22</v>
      </c>
      <c r="B1051" s="0" t="s">
        <v>2193</v>
      </c>
      <c r="C1051" s="0" t="s">
        <v>2175</v>
      </c>
    </row>
    <row r="1052" customFormat="false" ht="15" hidden="false" customHeight="false" outlineLevel="0" collapsed="false">
      <c r="A1052" s="0" t="s">
        <v>22</v>
      </c>
      <c r="B1052" s="0" t="s">
        <v>2199</v>
      </c>
      <c r="C1052" s="0" t="s">
        <v>1746</v>
      </c>
    </row>
    <row r="1053" customFormat="false" ht="15" hidden="false" customHeight="false" outlineLevel="0" collapsed="false">
      <c r="A1053" s="0" t="s">
        <v>22</v>
      </c>
      <c r="B1053" s="0" t="s">
        <v>2199</v>
      </c>
      <c r="C1053" s="0" t="s">
        <v>1882</v>
      </c>
    </row>
    <row r="1054" customFormat="false" ht="15" hidden="false" customHeight="false" outlineLevel="0" collapsed="false">
      <c r="A1054" s="0" t="s">
        <v>22</v>
      </c>
      <c r="B1054" s="0" t="s">
        <v>2199</v>
      </c>
      <c r="C1054" s="0" t="s">
        <v>2175</v>
      </c>
    </row>
    <row r="1055" customFormat="false" ht="15" hidden="false" customHeight="false" outlineLevel="0" collapsed="false">
      <c r="A1055" s="0" t="s">
        <v>22</v>
      </c>
      <c r="B1055" s="0" t="s">
        <v>2204</v>
      </c>
      <c r="C1055" s="0" t="s">
        <v>1746</v>
      </c>
      <c r="D1055" s="0" t="n">
        <v>3</v>
      </c>
    </row>
    <row r="1056" customFormat="false" ht="15" hidden="false" customHeight="false" outlineLevel="0" collapsed="false">
      <c r="A1056" s="0" t="s">
        <v>22</v>
      </c>
      <c r="B1056" s="0" t="s">
        <v>2204</v>
      </c>
      <c r="C1056" s="0" t="s">
        <v>1882</v>
      </c>
    </row>
    <row r="1057" customFormat="false" ht="15" hidden="false" customHeight="false" outlineLevel="0" collapsed="false">
      <c r="A1057" s="0" t="s">
        <v>22</v>
      </c>
      <c r="B1057" s="0" t="s">
        <v>2204</v>
      </c>
      <c r="C1057" s="0" t="s">
        <v>2175</v>
      </c>
    </row>
    <row r="1058" customFormat="false" ht="15" hidden="false" customHeight="false" outlineLevel="0" collapsed="false">
      <c r="A1058" s="0" t="s">
        <v>22</v>
      </c>
      <c r="B1058" s="0" t="s">
        <v>2209</v>
      </c>
      <c r="C1058" s="0" t="s">
        <v>1746</v>
      </c>
      <c r="D1058" s="0" t="n">
        <v>0.33</v>
      </c>
    </row>
    <row r="1059" customFormat="false" ht="15" hidden="false" customHeight="false" outlineLevel="0" collapsed="false">
      <c r="A1059" s="0" t="s">
        <v>22</v>
      </c>
      <c r="B1059" s="0" t="s">
        <v>2209</v>
      </c>
      <c r="C1059" s="0" t="s">
        <v>1882</v>
      </c>
    </row>
    <row r="1060" customFormat="false" ht="15" hidden="false" customHeight="false" outlineLevel="0" collapsed="false">
      <c r="A1060" s="0" t="s">
        <v>22</v>
      </c>
      <c r="B1060" s="0" t="s">
        <v>2209</v>
      </c>
      <c r="C1060" s="0" t="s">
        <v>2175</v>
      </c>
    </row>
    <row r="1061" customFormat="false" ht="15" hidden="false" customHeight="false" outlineLevel="0" collapsed="false">
      <c r="A1061" s="0" t="s">
        <v>22</v>
      </c>
      <c r="B1061" s="0" t="s">
        <v>2217</v>
      </c>
      <c r="C1061" s="0" t="s">
        <v>1746</v>
      </c>
      <c r="D1061" s="0" t="n">
        <v>0.09</v>
      </c>
    </row>
    <row r="1062" customFormat="false" ht="15" hidden="false" customHeight="false" outlineLevel="0" collapsed="false">
      <c r="A1062" s="0" t="s">
        <v>22</v>
      </c>
      <c r="B1062" s="0" t="s">
        <v>2217</v>
      </c>
      <c r="C1062" s="0" t="s">
        <v>1882</v>
      </c>
    </row>
    <row r="1063" customFormat="false" ht="15" hidden="false" customHeight="false" outlineLevel="0" collapsed="false">
      <c r="A1063" s="0" t="s">
        <v>22</v>
      </c>
      <c r="B1063" s="0" t="s">
        <v>2217</v>
      </c>
      <c r="C1063" s="0" t="s">
        <v>2175</v>
      </c>
    </row>
    <row r="1064" customFormat="false" ht="15" hidden="false" customHeight="false" outlineLevel="0" collapsed="false">
      <c r="A1064" s="0" t="s">
        <v>22</v>
      </c>
      <c r="B1064" s="0" t="s">
        <v>2222</v>
      </c>
      <c r="C1064" s="0" t="s">
        <v>1746</v>
      </c>
      <c r="D1064" s="0" t="n">
        <v>12</v>
      </c>
    </row>
    <row r="1065" customFormat="false" ht="15" hidden="false" customHeight="false" outlineLevel="0" collapsed="false">
      <c r="A1065" s="0" t="s">
        <v>22</v>
      </c>
      <c r="B1065" s="0" t="s">
        <v>2222</v>
      </c>
      <c r="C1065" s="0" t="s">
        <v>1882</v>
      </c>
    </row>
    <row r="1066" customFormat="false" ht="15" hidden="false" customHeight="false" outlineLevel="0" collapsed="false">
      <c r="A1066" s="0" t="s">
        <v>22</v>
      </c>
      <c r="B1066" s="0" t="s">
        <v>2222</v>
      </c>
      <c r="C1066" s="0" t="s">
        <v>2175</v>
      </c>
    </row>
    <row r="1067" customFormat="false" ht="15" hidden="false" customHeight="false" outlineLevel="0" collapsed="false">
      <c r="A1067" s="0" t="s">
        <v>22</v>
      </c>
      <c r="B1067" s="0" t="s">
        <v>2227</v>
      </c>
      <c r="C1067" s="0" t="s">
        <v>1746</v>
      </c>
      <c r="D1067" s="0" t="n">
        <v>7</v>
      </c>
    </row>
    <row r="1068" customFormat="false" ht="15" hidden="false" customHeight="false" outlineLevel="0" collapsed="false">
      <c r="A1068" s="0" t="s">
        <v>22</v>
      </c>
      <c r="B1068" s="0" t="s">
        <v>2227</v>
      </c>
      <c r="C1068" s="0" t="s">
        <v>1882</v>
      </c>
    </row>
    <row r="1069" customFormat="false" ht="15" hidden="false" customHeight="false" outlineLevel="0" collapsed="false">
      <c r="A1069" s="0" t="s">
        <v>22</v>
      </c>
      <c r="B1069" s="0" t="s">
        <v>2227</v>
      </c>
      <c r="C1069" s="0" t="s">
        <v>2175</v>
      </c>
    </row>
    <row r="1070" customFormat="false" ht="15" hidden="false" customHeight="false" outlineLevel="0" collapsed="false">
      <c r="A1070" s="0" t="s">
        <v>22</v>
      </c>
      <c r="B1070" s="0" t="s">
        <v>2232</v>
      </c>
      <c r="C1070" s="0" t="s">
        <v>1746</v>
      </c>
      <c r="D1070" s="0" t="n">
        <v>30</v>
      </c>
    </row>
    <row r="1071" customFormat="false" ht="15" hidden="false" customHeight="false" outlineLevel="0" collapsed="false">
      <c r="A1071" s="0" t="s">
        <v>22</v>
      </c>
      <c r="B1071" s="0" t="s">
        <v>2232</v>
      </c>
      <c r="C1071" s="0" t="s">
        <v>1882</v>
      </c>
    </row>
    <row r="1072" customFormat="false" ht="15" hidden="false" customHeight="false" outlineLevel="0" collapsed="false">
      <c r="A1072" s="0" t="s">
        <v>22</v>
      </c>
      <c r="B1072" s="0" t="s">
        <v>2232</v>
      </c>
      <c r="C1072" s="0" t="s">
        <v>2175</v>
      </c>
    </row>
    <row r="1073" customFormat="false" ht="15" hidden="false" customHeight="false" outlineLevel="0" collapsed="false">
      <c r="A1073" s="0" t="s">
        <v>22</v>
      </c>
      <c r="B1073" s="0" t="s">
        <v>2238</v>
      </c>
      <c r="C1073" s="0" t="s">
        <v>1746</v>
      </c>
      <c r="D1073" s="0" t="n">
        <v>2.2</v>
      </c>
    </row>
    <row r="1074" customFormat="false" ht="15" hidden="false" customHeight="false" outlineLevel="0" collapsed="false">
      <c r="A1074" s="0" t="s">
        <v>22</v>
      </c>
      <c r="B1074" s="0" t="s">
        <v>2238</v>
      </c>
      <c r="C1074" s="0" t="s">
        <v>1882</v>
      </c>
    </row>
    <row r="1075" customFormat="false" ht="15" hidden="false" customHeight="false" outlineLevel="0" collapsed="false">
      <c r="A1075" s="0" t="s">
        <v>22</v>
      </c>
      <c r="B1075" s="0" t="s">
        <v>2238</v>
      </c>
      <c r="C1075" s="0" t="s">
        <v>2175</v>
      </c>
    </row>
    <row r="1076" customFormat="false" ht="15" hidden="false" customHeight="false" outlineLevel="0" collapsed="false">
      <c r="A1076" s="0" t="s">
        <v>22</v>
      </c>
      <c r="B1076" s="0" t="s">
        <v>2242</v>
      </c>
      <c r="C1076" s="0" t="s">
        <v>1746</v>
      </c>
      <c r="D1076" s="0" t="n">
        <v>12</v>
      </c>
    </row>
    <row r="1077" customFormat="false" ht="15" hidden="false" customHeight="false" outlineLevel="0" collapsed="false">
      <c r="A1077" s="0" t="s">
        <v>22</v>
      </c>
      <c r="B1077" s="0" t="s">
        <v>2242</v>
      </c>
      <c r="C1077" s="0" t="s">
        <v>1882</v>
      </c>
    </row>
    <row r="1078" customFormat="false" ht="15" hidden="false" customHeight="false" outlineLevel="0" collapsed="false">
      <c r="A1078" s="0" t="s">
        <v>22</v>
      </c>
      <c r="B1078" s="0" t="s">
        <v>2242</v>
      </c>
      <c r="C1078" s="0" t="s">
        <v>2175</v>
      </c>
    </row>
    <row r="1079" customFormat="false" ht="15" hidden="false" customHeight="false" outlineLevel="0" collapsed="false">
      <c r="A1079" s="0" t="s">
        <v>22</v>
      </c>
      <c r="B1079" s="0" t="s">
        <v>2246</v>
      </c>
      <c r="C1079" s="0" t="s">
        <v>1746</v>
      </c>
      <c r="D1079" s="0" t="n">
        <v>34.5</v>
      </c>
    </row>
    <row r="1080" customFormat="false" ht="15" hidden="false" customHeight="false" outlineLevel="0" collapsed="false">
      <c r="A1080" s="0" t="s">
        <v>22</v>
      </c>
      <c r="B1080" s="0" t="s">
        <v>2246</v>
      </c>
      <c r="C1080" s="0" t="s">
        <v>1882</v>
      </c>
    </row>
    <row r="1081" customFormat="false" ht="15" hidden="false" customHeight="false" outlineLevel="0" collapsed="false">
      <c r="A1081" s="0" t="s">
        <v>22</v>
      </c>
      <c r="B1081" s="0" t="s">
        <v>2246</v>
      </c>
      <c r="C1081" s="0" t="s">
        <v>2175</v>
      </c>
    </row>
    <row r="1082" customFormat="false" ht="15" hidden="false" customHeight="false" outlineLevel="0" collapsed="false">
      <c r="A1082" s="0" t="s">
        <v>22</v>
      </c>
      <c r="B1082" s="0" t="s">
        <v>2250</v>
      </c>
      <c r="C1082" s="0" t="s">
        <v>1746</v>
      </c>
      <c r="D1082" s="0" t="n">
        <v>2027</v>
      </c>
    </row>
    <row r="1083" customFormat="false" ht="15" hidden="false" customHeight="false" outlineLevel="0" collapsed="false">
      <c r="A1083" s="0" t="s">
        <v>22</v>
      </c>
      <c r="B1083" s="0" t="s">
        <v>2250</v>
      </c>
      <c r="C1083" s="0" t="s">
        <v>1882</v>
      </c>
    </row>
    <row r="1084" customFormat="false" ht="15" hidden="false" customHeight="false" outlineLevel="0" collapsed="false">
      <c r="A1084" s="0" t="s">
        <v>22</v>
      </c>
      <c r="B1084" s="0" t="s">
        <v>2250</v>
      </c>
      <c r="C1084" s="0" t="s">
        <v>2175</v>
      </c>
    </row>
    <row r="1085" customFormat="false" ht="15" hidden="false" customHeight="false" outlineLevel="0" collapsed="false">
      <c r="A1085" s="0" t="s">
        <v>22</v>
      </c>
      <c r="B1085" s="0" t="s">
        <v>2254</v>
      </c>
      <c r="C1085" s="0" t="s">
        <v>1746</v>
      </c>
      <c r="D1085" s="0" t="n">
        <v>70</v>
      </c>
    </row>
    <row r="1086" customFormat="false" ht="15" hidden="false" customHeight="false" outlineLevel="0" collapsed="false">
      <c r="A1086" s="0" t="s">
        <v>22</v>
      </c>
      <c r="B1086" s="0" t="s">
        <v>2254</v>
      </c>
      <c r="C1086" s="0" t="s">
        <v>1882</v>
      </c>
    </row>
    <row r="1087" customFormat="false" ht="15" hidden="false" customHeight="false" outlineLevel="0" collapsed="false">
      <c r="A1087" s="0" t="s">
        <v>22</v>
      </c>
      <c r="B1087" s="0" t="s">
        <v>2254</v>
      </c>
      <c r="C1087" s="0" t="s">
        <v>2175</v>
      </c>
      <c r="D1087" s="0" t="n">
        <v>70</v>
      </c>
    </row>
    <row r="1088" customFormat="false" ht="15" hidden="false" customHeight="false" outlineLevel="0" collapsed="false">
      <c r="A1088" s="0" t="s">
        <v>22</v>
      </c>
      <c r="B1088" s="0" t="s">
        <v>2258</v>
      </c>
      <c r="C1088" s="0" t="s">
        <v>1746</v>
      </c>
    </row>
    <row r="1089" customFormat="false" ht="15" hidden="false" customHeight="false" outlineLevel="0" collapsed="false">
      <c r="A1089" s="0" t="s">
        <v>22</v>
      </c>
      <c r="B1089" s="0" t="s">
        <v>2258</v>
      </c>
      <c r="C1089" s="0" t="s">
        <v>1882</v>
      </c>
      <c r="D1089" s="0" t="n">
        <v>15.2</v>
      </c>
    </row>
    <row r="1090" customFormat="false" ht="15" hidden="false" customHeight="false" outlineLevel="0" collapsed="false">
      <c r="A1090" s="0" t="s">
        <v>22</v>
      </c>
      <c r="B1090" s="0" t="s">
        <v>2258</v>
      </c>
      <c r="C1090" s="0" t="s">
        <v>2175</v>
      </c>
      <c r="D1090" s="0" t="n">
        <v>38.9</v>
      </c>
    </row>
    <row r="1091" customFormat="false" ht="15" hidden="false" customHeight="false" outlineLevel="0" collapsed="false">
      <c r="A1091" s="0" t="s">
        <v>22</v>
      </c>
      <c r="B1091" s="0" t="s">
        <v>2265</v>
      </c>
      <c r="C1091" s="0" t="s">
        <v>1746</v>
      </c>
    </row>
    <row r="1092" customFormat="false" ht="15" hidden="false" customHeight="false" outlineLevel="0" collapsed="false">
      <c r="A1092" s="0" t="s">
        <v>22</v>
      </c>
      <c r="B1092" s="0" t="s">
        <v>2265</v>
      </c>
      <c r="C1092" s="0" t="s">
        <v>1882</v>
      </c>
      <c r="D1092" s="0" t="n">
        <v>20</v>
      </c>
    </row>
    <row r="1093" customFormat="false" ht="15" hidden="false" customHeight="false" outlineLevel="0" collapsed="false">
      <c r="A1093" s="0" t="s">
        <v>22</v>
      </c>
      <c r="B1093" s="0" t="s">
        <v>2265</v>
      </c>
      <c r="C1093" s="0" t="s">
        <v>2175</v>
      </c>
      <c r="D1093" s="0" t="n">
        <v>26</v>
      </c>
    </row>
    <row r="1094" customFormat="false" ht="15" hidden="false" customHeight="false" outlineLevel="0" collapsed="false">
      <c r="A1094" s="0" t="s">
        <v>22</v>
      </c>
      <c r="B1094" s="0" t="s">
        <v>2269</v>
      </c>
      <c r="C1094" s="0" t="s">
        <v>1746</v>
      </c>
      <c r="D1094" s="0" t="n">
        <v>17</v>
      </c>
    </row>
    <row r="1095" customFormat="false" ht="15" hidden="false" customHeight="false" outlineLevel="0" collapsed="false">
      <c r="A1095" s="0" t="s">
        <v>22</v>
      </c>
      <c r="B1095" s="0" t="s">
        <v>2269</v>
      </c>
      <c r="C1095" s="0" t="s">
        <v>1882</v>
      </c>
    </row>
    <row r="1096" customFormat="false" ht="15" hidden="false" customHeight="false" outlineLevel="0" collapsed="false">
      <c r="A1096" s="0" t="s">
        <v>22</v>
      </c>
      <c r="B1096" s="0" t="s">
        <v>2269</v>
      </c>
      <c r="C1096" s="0" t="s">
        <v>2175</v>
      </c>
    </row>
    <row r="1097" customFormat="false" ht="15" hidden="false" customHeight="false" outlineLevel="0" collapsed="false">
      <c r="A1097" s="0" t="s">
        <v>22</v>
      </c>
      <c r="B1097" s="0" t="s">
        <v>2273</v>
      </c>
      <c r="C1097" s="0" t="s">
        <v>1746</v>
      </c>
      <c r="D1097" s="0" t="n">
        <v>2028</v>
      </c>
    </row>
    <row r="1098" customFormat="false" ht="15" hidden="false" customHeight="false" outlineLevel="0" collapsed="false">
      <c r="A1098" s="0" t="s">
        <v>22</v>
      </c>
      <c r="B1098" s="0" t="s">
        <v>2273</v>
      </c>
      <c r="C1098" s="0" t="s">
        <v>1882</v>
      </c>
    </row>
    <row r="1099" customFormat="false" ht="15" hidden="false" customHeight="false" outlineLevel="0" collapsed="false">
      <c r="A1099" s="0" t="s">
        <v>22</v>
      </c>
      <c r="B1099" s="0" t="s">
        <v>2273</v>
      </c>
      <c r="C1099" s="0" t="s">
        <v>2175</v>
      </c>
    </row>
    <row r="1100" customFormat="false" ht="15" hidden="false" customHeight="false" outlineLevel="0" collapsed="false">
      <c r="A1100" s="0" t="s">
        <v>22</v>
      </c>
      <c r="B1100" s="0" t="s">
        <v>2277</v>
      </c>
      <c r="C1100" s="0" t="s">
        <v>1746</v>
      </c>
      <c r="D1100" s="0" t="n">
        <v>2028</v>
      </c>
    </row>
    <row r="1101" customFormat="false" ht="15" hidden="false" customHeight="false" outlineLevel="0" collapsed="false">
      <c r="A1101" s="0" t="s">
        <v>22</v>
      </c>
      <c r="B1101" s="0" t="s">
        <v>2277</v>
      </c>
      <c r="C1101" s="0" t="s">
        <v>1882</v>
      </c>
    </row>
    <row r="1102" customFormat="false" ht="15" hidden="false" customHeight="false" outlineLevel="0" collapsed="false">
      <c r="A1102" s="0" t="s">
        <v>22</v>
      </c>
      <c r="B1102" s="0" t="s">
        <v>2277</v>
      </c>
      <c r="C1102" s="0" t="s">
        <v>2175</v>
      </c>
    </row>
    <row r="1103" customFormat="false" ht="15" hidden="false" customHeight="false" outlineLevel="0" collapsed="false">
      <c r="A1103" s="0" t="s">
        <v>22</v>
      </c>
      <c r="B1103" s="0" t="s">
        <v>2281</v>
      </c>
      <c r="C1103" s="0" t="s">
        <v>1746</v>
      </c>
      <c r="D1103" s="0" t="n">
        <v>18</v>
      </c>
    </row>
    <row r="1104" customFormat="false" ht="15" hidden="false" customHeight="false" outlineLevel="0" collapsed="false">
      <c r="A1104" s="0" t="s">
        <v>22</v>
      </c>
      <c r="B1104" s="0" t="s">
        <v>2281</v>
      </c>
      <c r="C1104" s="0" t="s">
        <v>1882</v>
      </c>
    </row>
    <row r="1105" customFormat="false" ht="15" hidden="false" customHeight="false" outlineLevel="0" collapsed="false">
      <c r="A1105" s="0" t="s">
        <v>22</v>
      </c>
      <c r="B1105" s="0" t="s">
        <v>2281</v>
      </c>
      <c r="C1105" s="0" t="s">
        <v>2175</v>
      </c>
      <c r="D1105" s="0" t="n">
        <v>18</v>
      </c>
    </row>
    <row r="1106" customFormat="false" ht="15" hidden="false" customHeight="false" outlineLevel="0" collapsed="false">
      <c r="A1106" s="0" t="s">
        <v>22</v>
      </c>
      <c r="B1106" s="0" t="s">
        <v>2287</v>
      </c>
      <c r="C1106" s="0" t="s">
        <v>1746</v>
      </c>
      <c r="D1106" s="0" t="n">
        <v>55</v>
      </c>
    </row>
    <row r="1107" customFormat="false" ht="15" hidden="false" customHeight="false" outlineLevel="0" collapsed="false">
      <c r="A1107" s="0" t="s">
        <v>22</v>
      </c>
      <c r="B1107" s="0" t="s">
        <v>2287</v>
      </c>
      <c r="C1107" s="0" t="s">
        <v>1882</v>
      </c>
    </row>
    <row r="1108" customFormat="false" ht="15" hidden="false" customHeight="false" outlineLevel="0" collapsed="false">
      <c r="A1108" s="0" t="s">
        <v>22</v>
      </c>
      <c r="B1108" s="0" t="s">
        <v>2287</v>
      </c>
      <c r="C1108" s="0" t="s">
        <v>2175</v>
      </c>
    </row>
    <row r="1109" customFormat="false" ht="15" hidden="false" customHeight="false" outlineLevel="0" collapsed="false">
      <c r="A1109" s="0" t="s">
        <v>22</v>
      </c>
      <c r="B1109" s="0" t="s">
        <v>2292</v>
      </c>
      <c r="C1109" s="0" t="s">
        <v>1746</v>
      </c>
      <c r="D1109" s="0" t="n">
        <v>148</v>
      </c>
    </row>
    <row r="1110" customFormat="false" ht="15" hidden="false" customHeight="false" outlineLevel="0" collapsed="false">
      <c r="A1110" s="0" t="s">
        <v>22</v>
      </c>
      <c r="B1110" s="0" t="s">
        <v>2292</v>
      </c>
      <c r="C1110" s="0" t="s">
        <v>1882</v>
      </c>
    </row>
    <row r="1111" customFormat="false" ht="15" hidden="false" customHeight="false" outlineLevel="0" collapsed="false">
      <c r="A1111" s="0" t="s">
        <v>22</v>
      </c>
      <c r="B1111" s="0" t="s">
        <v>2292</v>
      </c>
      <c r="C1111" s="0" t="s">
        <v>2175</v>
      </c>
      <c r="D1111" s="0" t="n">
        <v>148</v>
      </c>
    </row>
    <row r="1112" customFormat="false" ht="15" hidden="false" customHeight="false" outlineLevel="0" collapsed="false">
      <c r="A1112" s="0" t="s">
        <v>22</v>
      </c>
      <c r="B1112" s="0" t="s">
        <v>2297</v>
      </c>
      <c r="C1112" s="0" t="s">
        <v>1746</v>
      </c>
      <c r="D1112" s="0" t="n">
        <v>2028</v>
      </c>
    </row>
    <row r="1113" customFormat="false" ht="15" hidden="false" customHeight="false" outlineLevel="0" collapsed="false">
      <c r="A1113" s="0" t="s">
        <v>22</v>
      </c>
      <c r="B1113" s="0" t="s">
        <v>2297</v>
      </c>
      <c r="C1113" s="0" t="s">
        <v>1882</v>
      </c>
    </row>
    <row r="1114" customFormat="false" ht="15" hidden="false" customHeight="false" outlineLevel="0" collapsed="false">
      <c r="A1114" s="0" t="s">
        <v>22</v>
      </c>
      <c r="B1114" s="0" t="s">
        <v>2297</v>
      </c>
      <c r="C1114" s="0" t="s">
        <v>2175</v>
      </c>
    </row>
    <row r="1115" customFormat="false" ht="15" hidden="false" customHeight="false" outlineLevel="0" collapsed="false">
      <c r="A1115" s="0" t="s">
        <v>22</v>
      </c>
      <c r="B1115" s="0" t="s">
        <v>2301</v>
      </c>
      <c r="C1115" s="0" t="s">
        <v>1746</v>
      </c>
      <c r="D1115" s="0" t="n">
        <v>2028</v>
      </c>
    </row>
    <row r="1116" customFormat="false" ht="15" hidden="false" customHeight="false" outlineLevel="0" collapsed="false">
      <c r="A1116" s="0" t="s">
        <v>22</v>
      </c>
      <c r="B1116" s="0" t="s">
        <v>2301</v>
      </c>
      <c r="C1116" s="0" t="s">
        <v>1882</v>
      </c>
    </row>
    <row r="1117" customFormat="false" ht="15" hidden="false" customHeight="false" outlineLevel="0" collapsed="false">
      <c r="A1117" s="0" t="s">
        <v>22</v>
      </c>
      <c r="B1117" s="0" t="s">
        <v>2301</v>
      </c>
      <c r="C1117" s="0" t="s">
        <v>2175</v>
      </c>
    </row>
    <row r="1118" customFormat="false" ht="15" hidden="false" customHeight="false" outlineLevel="0" collapsed="false">
      <c r="A1118" s="0" t="s">
        <v>22</v>
      </c>
      <c r="B1118" s="0" t="s">
        <v>2307</v>
      </c>
      <c r="C1118" s="0" t="s">
        <v>1746</v>
      </c>
    </row>
    <row r="1119" customFormat="false" ht="15" hidden="false" customHeight="false" outlineLevel="0" collapsed="false">
      <c r="A1119" s="0" t="s">
        <v>22</v>
      </c>
      <c r="B1119" s="0" t="s">
        <v>2307</v>
      </c>
      <c r="C1119" s="0" t="s">
        <v>1882</v>
      </c>
      <c r="D1119" s="0" t="n">
        <v>100</v>
      </c>
    </row>
    <row r="1120" customFormat="false" ht="15" hidden="false" customHeight="false" outlineLevel="0" collapsed="false">
      <c r="A1120" s="0" t="s">
        <v>22</v>
      </c>
      <c r="B1120" s="0" t="s">
        <v>2307</v>
      </c>
      <c r="C1120" s="0" t="s">
        <v>2175</v>
      </c>
      <c r="D1120" s="0" t="n">
        <v>120</v>
      </c>
    </row>
    <row r="1121" customFormat="false" ht="15" hidden="false" customHeight="false" outlineLevel="0" collapsed="false">
      <c r="A1121" s="0" t="s">
        <v>22</v>
      </c>
      <c r="B1121" s="0" t="s">
        <v>2313</v>
      </c>
      <c r="C1121" s="0" t="s">
        <v>1746</v>
      </c>
      <c r="D1121" s="0" t="n">
        <v>30000</v>
      </c>
    </row>
    <row r="1122" customFormat="false" ht="15" hidden="false" customHeight="false" outlineLevel="0" collapsed="false">
      <c r="A1122" s="0" t="s">
        <v>22</v>
      </c>
      <c r="B1122" s="0" t="s">
        <v>2313</v>
      </c>
      <c r="C1122" s="0" t="s">
        <v>1882</v>
      </c>
      <c r="D1122" s="0" t="n">
        <v>30000</v>
      </c>
    </row>
    <row r="1123" customFormat="false" ht="15" hidden="false" customHeight="false" outlineLevel="0" collapsed="false">
      <c r="A1123" s="0" t="s">
        <v>22</v>
      </c>
      <c r="B1123" s="0" t="s">
        <v>2313</v>
      </c>
      <c r="C1123" s="0" t="s">
        <v>2175</v>
      </c>
    </row>
    <row r="1124" customFormat="false" ht="15" hidden="false" customHeight="false" outlineLevel="0" collapsed="false">
      <c r="A1124" s="0" t="s">
        <v>22</v>
      </c>
      <c r="B1124" s="0" t="s">
        <v>2320</v>
      </c>
      <c r="C1124" s="0" t="s">
        <v>1746</v>
      </c>
      <c r="D1124" s="0" t="n">
        <v>0.5</v>
      </c>
    </row>
    <row r="1125" customFormat="false" ht="15" hidden="false" customHeight="false" outlineLevel="0" collapsed="false">
      <c r="A1125" s="0" t="s">
        <v>22</v>
      </c>
      <c r="B1125" s="0" t="s">
        <v>2320</v>
      </c>
      <c r="C1125" s="0" t="s">
        <v>1882</v>
      </c>
    </row>
    <row r="1126" customFormat="false" ht="15" hidden="false" customHeight="false" outlineLevel="0" collapsed="false">
      <c r="A1126" s="0" t="s">
        <v>22</v>
      </c>
      <c r="B1126" s="0" t="s">
        <v>2320</v>
      </c>
      <c r="C1126" s="0" t="s">
        <v>2175</v>
      </c>
    </row>
    <row r="1127" customFormat="false" ht="15" hidden="false" customHeight="false" outlineLevel="0" collapsed="false">
      <c r="A1127" s="0" t="s">
        <v>22</v>
      </c>
      <c r="B1127" s="0" t="s">
        <v>2324</v>
      </c>
      <c r="C1127" s="0" t="s">
        <v>1746</v>
      </c>
      <c r="D1127" s="0" t="n">
        <v>0.77</v>
      </c>
    </row>
    <row r="1128" customFormat="false" ht="15" hidden="false" customHeight="false" outlineLevel="0" collapsed="false">
      <c r="A1128" s="0" t="s">
        <v>22</v>
      </c>
      <c r="B1128" s="0" t="s">
        <v>2324</v>
      </c>
      <c r="C1128" s="0" t="s">
        <v>1882</v>
      </c>
    </row>
    <row r="1129" customFormat="false" ht="15" hidden="false" customHeight="false" outlineLevel="0" collapsed="false">
      <c r="A1129" s="0" t="s">
        <v>22</v>
      </c>
      <c r="B1129" s="0" t="s">
        <v>2324</v>
      </c>
      <c r="C1129" s="0" t="s">
        <v>2175</v>
      </c>
    </row>
    <row r="1130" customFormat="false" ht="15" hidden="false" customHeight="false" outlineLevel="0" collapsed="false">
      <c r="A1130" s="0" t="s">
        <v>22</v>
      </c>
      <c r="B1130" s="0" t="s">
        <v>2328</v>
      </c>
      <c r="C1130" s="0" t="s">
        <v>1746</v>
      </c>
      <c r="D1130" s="0" t="n">
        <v>10.88</v>
      </c>
    </row>
    <row r="1131" customFormat="false" ht="15" hidden="false" customHeight="false" outlineLevel="0" collapsed="false">
      <c r="A1131" s="0" t="s">
        <v>22</v>
      </c>
      <c r="B1131" s="0" t="s">
        <v>2328</v>
      </c>
      <c r="C1131" s="0" t="s">
        <v>1882</v>
      </c>
    </row>
    <row r="1132" customFormat="false" ht="15" hidden="false" customHeight="false" outlineLevel="0" collapsed="false">
      <c r="A1132" s="0" t="s">
        <v>22</v>
      </c>
      <c r="B1132" s="0" t="s">
        <v>2328</v>
      </c>
      <c r="C1132" s="0" t="s">
        <v>2175</v>
      </c>
    </row>
    <row r="1133" customFormat="false" ht="15" hidden="false" customHeight="false" outlineLevel="0" collapsed="false">
      <c r="A1133" s="0" t="s">
        <v>22</v>
      </c>
      <c r="B1133" s="0" t="s">
        <v>2333</v>
      </c>
      <c r="C1133" s="0" t="s">
        <v>1746</v>
      </c>
      <c r="D1133" s="0" t="n">
        <v>0.1</v>
      </c>
    </row>
    <row r="1134" customFormat="false" ht="15" hidden="false" customHeight="false" outlineLevel="0" collapsed="false">
      <c r="A1134" s="0" t="s">
        <v>22</v>
      </c>
      <c r="B1134" s="0" t="s">
        <v>2333</v>
      </c>
      <c r="C1134" s="0" t="s">
        <v>1882</v>
      </c>
    </row>
    <row r="1135" customFormat="false" ht="15" hidden="false" customHeight="false" outlineLevel="0" collapsed="false">
      <c r="A1135" s="0" t="s">
        <v>22</v>
      </c>
      <c r="B1135" s="0" t="s">
        <v>2333</v>
      </c>
      <c r="C1135" s="0" t="s">
        <v>2175</v>
      </c>
    </row>
    <row r="1136" customFormat="false" ht="15" hidden="false" customHeight="false" outlineLevel="0" collapsed="false">
      <c r="A1136" s="0" t="s">
        <v>22</v>
      </c>
      <c r="B1136" s="0" t="s">
        <v>2337</v>
      </c>
      <c r="C1136" s="0" t="s">
        <v>1746</v>
      </c>
      <c r="D1136" s="0" t="n">
        <v>2</v>
      </c>
    </row>
    <row r="1137" customFormat="false" ht="15" hidden="false" customHeight="false" outlineLevel="0" collapsed="false">
      <c r="A1137" s="0" t="s">
        <v>22</v>
      </c>
      <c r="B1137" s="0" t="s">
        <v>2337</v>
      </c>
      <c r="C1137" s="0" t="s">
        <v>1882</v>
      </c>
    </row>
    <row r="1138" customFormat="false" ht="15" hidden="false" customHeight="false" outlineLevel="0" collapsed="false">
      <c r="A1138" s="0" t="s">
        <v>22</v>
      </c>
      <c r="B1138" s="0" t="s">
        <v>2337</v>
      </c>
      <c r="C1138" s="0" t="s">
        <v>2175</v>
      </c>
    </row>
    <row r="1139" customFormat="false" ht="15" hidden="false" customHeight="false" outlineLevel="0" collapsed="false">
      <c r="A1139" s="0" t="s">
        <v>22</v>
      </c>
      <c r="B1139" s="0" t="s">
        <v>2341</v>
      </c>
      <c r="C1139" s="0" t="s">
        <v>1746</v>
      </c>
      <c r="D1139" s="0" t="n">
        <v>16.3</v>
      </c>
    </row>
    <row r="1140" customFormat="false" ht="15" hidden="false" customHeight="false" outlineLevel="0" collapsed="false">
      <c r="A1140" s="0" t="s">
        <v>22</v>
      </c>
      <c r="B1140" s="0" t="s">
        <v>2341</v>
      </c>
      <c r="C1140" s="0" t="s">
        <v>1882</v>
      </c>
    </row>
    <row r="1141" customFormat="false" ht="15" hidden="false" customHeight="false" outlineLevel="0" collapsed="false">
      <c r="A1141" s="0" t="s">
        <v>22</v>
      </c>
      <c r="B1141" s="0" t="s">
        <v>2341</v>
      </c>
      <c r="C1141" s="0" t="s">
        <v>2175</v>
      </c>
    </row>
    <row r="1142" customFormat="false" ht="15" hidden="false" customHeight="false" outlineLevel="0" collapsed="false">
      <c r="A1142" s="0" t="s">
        <v>22</v>
      </c>
      <c r="B1142" s="0" t="s">
        <v>2349</v>
      </c>
      <c r="C1142" s="0" t="s">
        <v>1746</v>
      </c>
      <c r="D1142" s="0" t="n">
        <v>1.1</v>
      </c>
    </row>
    <row r="1143" customFormat="false" ht="15" hidden="false" customHeight="false" outlineLevel="0" collapsed="false">
      <c r="A1143" s="0" t="s">
        <v>22</v>
      </c>
      <c r="B1143" s="0" t="s">
        <v>2349</v>
      </c>
      <c r="C1143" s="0" t="s">
        <v>1882</v>
      </c>
    </row>
    <row r="1144" customFormat="false" ht="15" hidden="false" customHeight="false" outlineLevel="0" collapsed="false">
      <c r="A1144" s="0" t="s">
        <v>22</v>
      </c>
      <c r="B1144" s="0" t="s">
        <v>2349</v>
      </c>
      <c r="C1144" s="0" t="s">
        <v>2175</v>
      </c>
    </row>
    <row r="1145" customFormat="false" ht="15" hidden="false" customHeight="false" outlineLevel="0" collapsed="false">
      <c r="A1145" s="0" t="s">
        <v>22</v>
      </c>
      <c r="B1145" s="0" t="s">
        <v>2354</v>
      </c>
      <c r="C1145" s="0" t="s">
        <v>1746</v>
      </c>
      <c r="D1145" s="0" t="n">
        <v>11.6</v>
      </c>
    </row>
    <row r="1146" customFormat="false" ht="15" hidden="false" customHeight="false" outlineLevel="0" collapsed="false">
      <c r="A1146" s="0" t="s">
        <v>22</v>
      </c>
      <c r="B1146" s="0" t="s">
        <v>2354</v>
      </c>
      <c r="C1146" s="0" t="s">
        <v>1882</v>
      </c>
    </row>
    <row r="1147" customFormat="false" ht="15" hidden="false" customHeight="false" outlineLevel="0" collapsed="false">
      <c r="A1147" s="0" t="s">
        <v>22</v>
      </c>
      <c r="B1147" s="0" t="s">
        <v>2354</v>
      </c>
      <c r="C1147" s="0" t="s">
        <v>2175</v>
      </c>
    </row>
    <row r="1148" customFormat="false" ht="15" hidden="false" customHeight="false" outlineLevel="0" collapsed="false">
      <c r="A1148" s="0" t="s">
        <v>22</v>
      </c>
      <c r="B1148" s="0" t="s">
        <v>2362</v>
      </c>
      <c r="C1148" s="0" t="s">
        <v>1746</v>
      </c>
      <c r="D1148" s="0" t="n">
        <v>11.5</v>
      </c>
    </row>
    <row r="1149" customFormat="false" ht="15" hidden="false" customHeight="false" outlineLevel="0" collapsed="false">
      <c r="A1149" s="0" t="s">
        <v>22</v>
      </c>
      <c r="B1149" s="0" t="s">
        <v>2362</v>
      </c>
      <c r="C1149" s="0" t="s">
        <v>1882</v>
      </c>
    </row>
    <row r="1150" customFormat="false" ht="15" hidden="false" customHeight="false" outlineLevel="0" collapsed="false">
      <c r="A1150" s="0" t="s">
        <v>22</v>
      </c>
      <c r="B1150" s="0" t="s">
        <v>2362</v>
      </c>
      <c r="C1150" s="0" t="s">
        <v>2175</v>
      </c>
    </row>
    <row r="1151" customFormat="false" ht="15" hidden="false" customHeight="false" outlineLevel="0" collapsed="false">
      <c r="A1151" s="0" t="s">
        <v>22</v>
      </c>
      <c r="B1151" s="0" t="s">
        <v>2368</v>
      </c>
      <c r="C1151" s="0" t="s">
        <v>1746</v>
      </c>
      <c r="D1151" s="0" t="n">
        <v>16.8</v>
      </c>
    </row>
    <row r="1152" customFormat="false" ht="15" hidden="false" customHeight="false" outlineLevel="0" collapsed="false">
      <c r="A1152" s="0" t="s">
        <v>22</v>
      </c>
      <c r="B1152" s="0" t="s">
        <v>2368</v>
      </c>
      <c r="C1152" s="0" t="s">
        <v>1882</v>
      </c>
    </row>
    <row r="1153" customFormat="false" ht="15" hidden="false" customHeight="false" outlineLevel="0" collapsed="false">
      <c r="A1153" s="0" t="s">
        <v>22</v>
      </c>
      <c r="B1153" s="0" t="s">
        <v>2368</v>
      </c>
      <c r="C1153" s="0" t="s">
        <v>2175</v>
      </c>
    </row>
    <row r="1154" customFormat="false" ht="15" hidden="false" customHeight="false" outlineLevel="0" collapsed="false">
      <c r="A1154" s="0" t="s">
        <v>22</v>
      </c>
      <c r="B1154" s="0" t="s">
        <v>2373</v>
      </c>
      <c r="C1154" s="0" t="s">
        <v>1746</v>
      </c>
      <c r="D1154" s="0" t="n">
        <v>0.11</v>
      </c>
    </row>
    <row r="1155" customFormat="false" ht="15" hidden="false" customHeight="false" outlineLevel="0" collapsed="false">
      <c r="A1155" s="0" t="s">
        <v>22</v>
      </c>
      <c r="B1155" s="0" t="s">
        <v>2373</v>
      </c>
      <c r="C1155" s="0" t="s">
        <v>1882</v>
      </c>
    </row>
    <row r="1156" customFormat="false" ht="15" hidden="false" customHeight="false" outlineLevel="0" collapsed="false">
      <c r="A1156" s="0" t="s">
        <v>22</v>
      </c>
      <c r="B1156" s="0" t="s">
        <v>2373</v>
      </c>
      <c r="C1156" s="0" t="s">
        <v>2175</v>
      </c>
    </row>
    <row r="1157" customFormat="false" ht="15" hidden="false" customHeight="false" outlineLevel="0" collapsed="false">
      <c r="A1157" s="0" t="s">
        <v>22</v>
      </c>
      <c r="B1157" s="0" t="s">
        <v>2378</v>
      </c>
      <c r="C1157" s="0" t="s">
        <v>1746</v>
      </c>
    </row>
    <row r="1158" customFormat="false" ht="15" hidden="false" customHeight="false" outlineLevel="0" collapsed="false">
      <c r="A1158" s="0" t="s">
        <v>22</v>
      </c>
      <c r="B1158" s="0" t="s">
        <v>2378</v>
      </c>
      <c r="C1158" s="0" t="s">
        <v>1882</v>
      </c>
    </row>
    <row r="1159" customFormat="false" ht="15" hidden="false" customHeight="false" outlineLevel="0" collapsed="false">
      <c r="A1159" s="0" t="s">
        <v>22</v>
      </c>
      <c r="B1159" s="0" t="s">
        <v>2378</v>
      </c>
      <c r="C1159" s="0" t="s">
        <v>2175</v>
      </c>
    </row>
    <row r="1160" customFormat="false" ht="15" hidden="false" customHeight="false" outlineLevel="0" collapsed="false">
      <c r="A1160" s="0" t="s">
        <v>22</v>
      </c>
      <c r="B1160" s="0" t="s">
        <v>2383</v>
      </c>
      <c r="C1160" s="0" t="s">
        <v>1746</v>
      </c>
      <c r="D1160" s="0" t="n">
        <v>1.7</v>
      </c>
    </row>
    <row r="1161" customFormat="false" ht="15" hidden="false" customHeight="false" outlineLevel="0" collapsed="false">
      <c r="A1161" s="0" t="s">
        <v>22</v>
      </c>
      <c r="B1161" s="0" t="s">
        <v>2383</v>
      </c>
      <c r="C1161" s="0" t="s">
        <v>1882</v>
      </c>
    </row>
    <row r="1162" customFormat="false" ht="15" hidden="false" customHeight="false" outlineLevel="0" collapsed="false">
      <c r="A1162" s="0" t="s">
        <v>22</v>
      </c>
      <c r="B1162" s="0" t="s">
        <v>2383</v>
      </c>
      <c r="C1162" s="0" t="s">
        <v>2175</v>
      </c>
    </row>
    <row r="1163" customFormat="false" ht="15" hidden="false" customHeight="false" outlineLevel="0" collapsed="false">
      <c r="A1163" s="0" t="s">
        <v>22</v>
      </c>
      <c r="B1163" s="0" t="s">
        <v>2388</v>
      </c>
      <c r="C1163" s="0" t="s">
        <v>1746</v>
      </c>
      <c r="D1163" s="0" t="n">
        <v>74</v>
      </c>
    </row>
    <row r="1164" customFormat="false" ht="15" hidden="false" customHeight="false" outlineLevel="0" collapsed="false">
      <c r="A1164" s="0" t="s">
        <v>22</v>
      </c>
      <c r="B1164" s="0" t="s">
        <v>2388</v>
      </c>
      <c r="C1164" s="0" t="s">
        <v>1882</v>
      </c>
    </row>
    <row r="1165" customFormat="false" ht="15" hidden="false" customHeight="false" outlineLevel="0" collapsed="false">
      <c r="A1165" s="0" t="s">
        <v>22</v>
      </c>
      <c r="B1165" s="0" t="s">
        <v>2388</v>
      </c>
      <c r="C1165" s="0" t="s">
        <v>2175</v>
      </c>
    </row>
    <row r="1166" customFormat="false" ht="15" hidden="false" customHeight="false" outlineLevel="0" collapsed="false">
      <c r="A1166" s="0" t="s">
        <v>22</v>
      </c>
      <c r="B1166" s="0" t="s">
        <v>2395</v>
      </c>
      <c r="C1166" s="0" t="s">
        <v>1746</v>
      </c>
      <c r="D1166" s="0" t="n">
        <v>110</v>
      </c>
    </row>
    <row r="1167" customFormat="false" ht="15" hidden="false" customHeight="false" outlineLevel="0" collapsed="false">
      <c r="A1167" s="0" t="s">
        <v>22</v>
      </c>
      <c r="B1167" s="0" t="s">
        <v>2395</v>
      </c>
      <c r="C1167" s="0" t="s">
        <v>1882</v>
      </c>
      <c r="D1167" s="0" t="n">
        <v>100</v>
      </c>
    </row>
    <row r="1168" customFormat="false" ht="15" hidden="false" customHeight="false" outlineLevel="0" collapsed="false">
      <c r="A1168" s="0" t="s">
        <v>22</v>
      </c>
      <c r="B1168" s="0" t="s">
        <v>2395</v>
      </c>
      <c r="C1168" s="0" t="s">
        <v>2175</v>
      </c>
      <c r="D1168" s="0" t="n">
        <v>120</v>
      </c>
    </row>
    <row r="1169" customFormat="false" ht="15" hidden="false" customHeight="false" outlineLevel="0" collapsed="false">
      <c r="A1169" s="0" t="s">
        <v>22</v>
      </c>
      <c r="B1169" s="0" t="s">
        <v>2401</v>
      </c>
      <c r="C1169" s="0" t="s">
        <v>1746</v>
      </c>
      <c r="D1169" s="0" t="n">
        <v>100</v>
      </c>
    </row>
    <row r="1170" customFormat="false" ht="15" hidden="false" customHeight="false" outlineLevel="0" collapsed="false">
      <c r="A1170" s="0" t="s">
        <v>22</v>
      </c>
      <c r="B1170" s="0" t="s">
        <v>2401</v>
      </c>
      <c r="C1170" s="0" t="s">
        <v>1882</v>
      </c>
    </row>
    <row r="1171" customFormat="false" ht="15" hidden="false" customHeight="false" outlineLevel="0" collapsed="false">
      <c r="A1171" s="0" t="s">
        <v>22</v>
      </c>
      <c r="B1171" s="0" t="s">
        <v>2401</v>
      </c>
      <c r="C1171" s="0" t="s">
        <v>2175</v>
      </c>
      <c r="D1171" s="0" t="n">
        <v>100</v>
      </c>
    </row>
    <row r="1172" customFormat="false" ht="15" hidden="false" customHeight="false" outlineLevel="0" collapsed="false">
      <c r="A1172" s="0" t="s">
        <v>22</v>
      </c>
      <c r="B1172" s="0" t="s">
        <v>2407</v>
      </c>
      <c r="C1172" s="0" t="s">
        <v>1746</v>
      </c>
      <c r="D1172" s="0" t="n">
        <v>80.7</v>
      </c>
    </row>
    <row r="1173" customFormat="false" ht="15" hidden="false" customHeight="false" outlineLevel="0" collapsed="false">
      <c r="A1173" s="0" t="s">
        <v>22</v>
      </c>
      <c r="B1173" s="0" t="s">
        <v>2407</v>
      </c>
      <c r="C1173" s="0" t="s">
        <v>1882</v>
      </c>
    </row>
    <row r="1174" customFormat="false" ht="15" hidden="false" customHeight="false" outlineLevel="0" collapsed="false">
      <c r="A1174" s="0" t="s">
        <v>22</v>
      </c>
      <c r="B1174" s="0" t="s">
        <v>2407</v>
      </c>
      <c r="C1174" s="0" t="s">
        <v>2175</v>
      </c>
    </row>
    <row r="1175" customFormat="false" ht="15" hidden="false" customHeight="false" outlineLevel="0" collapsed="false">
      <c r="A1175" s="0" t="s">
        <v>22</v>
      </c>
      <c r="B1175" s="0" t="s">
        <v>2411</v>
      </c>
      <c r="C1175" s="0" t="s">
        <v>1746</v>
      </c>
      <c r="D1175" s="0" t="n">
        <v>72</v>
      </c>
    </row>
    <row r="1176" customFormat="false" ht="15" hidden="false" customHeight="false" outlineLevel="0" collapsed="false">
      <c r="A1176" s="0" t="s">
        <v>22</v>
      </c>
      <c r="B1176" s="0" t="s">
        <v>2411</v>
      </c>
      <c r="C1176" s="0" t="s">
        <v>1882</v>
      </c>
    </row>
    <row r="1177" customFormat="false" ht="15" hidden="false" customHeight="false" outlineLevel="0" collapsed="false">
      <c r="A1177" s="0" t="s">
        <v>22</v>
      </c>
      <c r="B1177" s="0" t="s">
        <v>2411</v>
      </c>
      <c r="C1177" s="0" t="s">
        <v>2175</v>
      </c>
    </row>
    <row r="1178" customFormat="false" ht="15" hidden="false" customHeight="false" outlineLevel="0" collapsed="false">
      <c r="A1178" s="0" t="s">
        <v>22</v>
      </c>
      <c r="B1178" s="0" t="s">
        <v>2418</v>
      </c>
      <c r="C1178" s="0" t="s">
        <v>1746</v>
      </c>
      <c r="D1178" s="0" t="n">
        <v>13</v>
      </c>
    </row>
    <row r="1179" customFormat="false" ht="15" hidden="false" customHeight="false" outlineLevel="0" collapsed="false">
      <c r="A1179" s="0" t="s">
        <v>22</v>
      </c>
      <c r="B1179" s="0" t="s">
        <v>2418</v>
      </c>
      <c r="C1179" s="0" t="s">
        <v>1882</v>
      </c>
    </row>
    <row r="1180" customFormat="false" ht="15" hidden="false" customHeight="false" outlineLevel="0" collapsed="false">
      <c r="A1180" s="0" t="s">
        <v>22</v>
      </c>
      <c r="B1180" s="0" t="s">
        <v>2418</v>
      </c>
      <c r="C1180" s="0" t="s">
        <v>2175</v>
      </c>
    </row>
    <row r="1181" customFormat="false" ht="15" hidden="false" customHeight="false" outlineLevel="0" collapsed="false">
      <c r="A1181" s="0" t="s">
        <v>22</v>
      </c>
      <c r="B1181" s="0" t="s">
        <v>2422</v>
      </c>
      <c r="C1181" s="0" t="s">
        <v>1746</v>
      </c>
      <c r="D1181" s="0" t="n">
        <v>9</v>
      </c>
    </row>
    <row r="1182" customFormat="false" ht="15" hidden="false" customHeight="false" outlineLevel="0" collapsed="false">
      <c r="A1182" s="0" t="s">
        <v>22</v>
      </c>
      <c r="B1182" s="0" t="s">
        <v>2422</v>
      </c>
      <c r="C1182" s="0" t="s">
        <v>1882</v>
      </c>
    </row>
    <row r="1183" customFormat="false" ht="15" hidden="false" customHeight="false" outlineLevel="0" collapsed="false">
      <c r="A1183" s="0" t="s">
        <v>22</v>
      </c>
      <c r="B1183" s="0" t="s">
        <v>2422</v>
      </c>
      <c r="C1183" s="0" t="s">
        <v>2175</v>
      </c>
    </row>
    <row r="1184" customFormat="false" ht="15" hidden="false" customHeight="false" outlineLevel="0" collapsed="false">
      <c r="A1184" s="0" t="s">
        <v>22</v>
      </c>
      <c r="B1184" s="0" t="s">
        <v>2426</v>
      </c>
      <c r="C1184" s="0" t="s">
        <v>1746</v>
      </c>
      <c r="D1184" s="0" t="n">
        <v>2.3</v>
      </c>
    </row>
    <row r="1185" customFormat="false" ht="15" hidden="false" customHeight="false" outlineLevel="0" collapsed="false">
      <c r="A1185" s="0" t="s">
        <v>22</v>
      </c>
      <c r="B1185" s="0" t="s">
        <v>2426</v>
      </c>
      <c r="C1185" s="0" t="s">
        <v>1882</v>
      </c>
    </row>
    <row r="1186" customFormat="false" ht="15" hidden="false" customHeight="false" outlineLevel="0" collapsed="false">
      <c r="A1186" s="0" t="s">
        <v>22</v>
      </c>
      <c r="B1186" s="0" t="s">
        <v>2426</v>
      </c>
      <c r="C1186" s="0" t="s">
        <v>2175</v>
      </c>
    </row>
    <row r="1187" customFormat="false" ht="15" hidden="false" customHeight="false" outlineLevel="0" collapsed="false">
      <c r="A1187" s="0" t="s">
        <v>22</v>
      </c>
      <c r="B1187" s="0" t="s">
        <v>2430</v>
      </c>
      <c r="C1187" s="0" t="s">
        <v>1746</v>
      </c>
      <c r="D1187" s="0" t="n">
        <v>450</v>
      </c>
    </row>
    <row r="1188" customFormat="false" ht="15" hidden="false" customHeight="false" outlineLevel="0" collapsed="false">
      <c r="A1188" s="0" t="s">
        <v>22</v>
      </c>
      <c r="B1188" s="0" t="s">
        <v>2430</v>
      </c>
      <c r="C1188" s="0" t="s">
        <v>1882</v>
      </c>
    </row>
    <row r="1189" customFormat="false" ht="15" hidden="false" customHeight="false" outlineLevel="0" collapsed="false">
      <c r="A1189" s="0" t="s">
        <v>22</v>
      </c>
      <c r="B1189" s="0" t="s">
        <v>2430</v>
      </c>
      <c r="C1189" s="0" t="s">
        <v>2175</v>
      </c>
    </row>
    <row r="1190" customFormat="false" ht="15" hidden="false" customHeight="false" outlineLevel="0" collapsed="false">
      <c r="A1190" s="0" t="s">
        <v>22</v>
      </c>
      <c r="B1190" s="0" t="s">
        <v>2435</v>
      </c>
      <c r="C1190" s="0" t="s">
        <v>1746</v>
      </c>
      <c r="D1190" s="0" t="n">
        <v>111</v>
      </c>
    </row>
    <row r="1191" customFormat="false" ht="15" hidden="false" customHeight="false" outlineLevel="0" collapsed="false">
      <c r="A1191" s="0" t="s">
        <v>22</v>
      </c>
      <c r="B1191" s="0" t="s">
        <v>2435</v>
      </c>
      <c r="C1191" s="0" t="s">
        <v>1882</v>
      </c>
    </row>
    <row r="1192" customFormat="false" ht="15" hidden="false" customHeight="false" outlineLevel="0" collapsed="false">
      <c r="A1192" s="0" t="s">
        <v>22</v>
      </c>
      <c r="B1192" s="0" t="s">
        <v>2435</v>
      </c>
      <c r="C1192" s="0" t="s">
        <v>2175</v>
      </c>
    </row>
    <row r="1193" customFormat="false" ht="15" hidden="false" customHeight="false" outlineLevel="0" collapsed="false">
      <c r="A1193" s="0" t="s">
        <v>22</v>
      </c>
      <c r="B1193" s="0" t="s">
        <v>2439</v>
      </c>
      <c r="C1193" s="0" t="s">
        <v>1746</v>
      </c>
      <c r="D1193" s="0" t="n">
        <v>110</v>
      </c>
    </row>
    <row r="1194" customFormat="false" ht="15" hidden="false" customHeight="false" outlineLevel="0" collapsed="false">
      <c r="A1194" s="0" t="s">
        <v>22</v>
      </c>
      <c r="B1194" s="0" t="s">
        <v>2439</v>
      </c>
      <c r="C1194" s="0" t="s">
        <v>1882</v>
      </c>
    </row>
    <row r="1195" customFormat="false" ht="15" hidden="false" customHeight="false" outlineLevel="0" collapsed="false">
      <c r="A1195" s="0" t="s">
        <v>22</v>
      </c>
      <c r="B1195" s="0" t="s">
        <v>2439</v>
      </c>
      <c r="C1195" s="0" t="s">
        <v>2175</v>
      </c>
    </row>
    <row r="1196" customFormat="false" ht="15" hidden="false" customHeight="false" outlineLevel="0" collapsed="false">
      <c r="A1196" s="0" t="s">
        <v>22</v>
      </c>
      <c r="B1196" s="0" t="s">
        <v>2443</v>
      </c>
      <c r="C1196" s="0" t="s">
        <v>1746</v>
      </c>
      <c r="D1196" s="0" t="n">
        <v>31</v>
      </c>
    </row>
    <row r="1197" customFormat="false" ht="15" hidden="false" customHeight="false" outlineLevel="0" collapsed="false">
      <c r="A1197" s="0" t="s">
        <v>22</v>
      </c>
      <c r="B1197" s="0" t="s">
        <v>2443</v>
      </c>
      <c r="C1197" s="0" t="s">
        <v>1882</v>
      </c>
    </row>
    <row r="1198" customFormat="false" ht="15" hidden="false" customHeight="false" outlineLevel="0" collapsed="false">
      <c r="A1198" s="0" t="s">
        <v>22</v>
      </c>
      <c r="B1198" s="0" t="s">
        <v>2443</v>
      </c>
      <c r="C1198" s="0" t="s">
        <v>2175</v>
      </c>
    </row>
    <row r="1199" customFormat="false" ht="15" hidden="false" customHeight="false" outlineLevel="0" collapsed="false">
      <c r="A1199" s="0" t="s">
        <v>22</v>
      </c>
      <c r="B1199" s="0" t="s">
        <v>2447</v>
      </c>
      <c r="C1199" s="0" t="s">
        <v>1746</v>
      </c>
      <c r="D1199" s="0" t="n">
        <v>86</v>
      </c>
    </row>
    <row r="1200" customFormat="false" ht="15" hidden="false" customHeight="false" outlineLevel="0" collapsed="false">
      <c r="A1200" s="0" t="s">
        <v>22</v>
      </c>
      <c r="B1200" s="0" t="s">
        <v>2447</v>
      </c>
      <c r="C1200" s="0" t="s">
        <v>1882</v>
      </c>
    </row>
    <row r="1201" customFormat="false" ht="15" hidden="false" customHeight="false" outlineLevel="0" collapsed="false">
      <c r="A1201" s="0" t="s">
        <v>22</v>
      </c>
      <c r="B1201" s="0" t="s">
        <v>2447</v>
      </c>
      <c r="C1201" s="0" t="s">
        <v>2175</v>
      </c>
      <c r="D1201" s="0" t="n">
        <v>86</v>
      </c>
    </row>
    <row r="1202" customFormat="false" ht="15" hidden="false" customHeight="false" outlineLevel="0" collapsed="false">
      <c r="A1202" s="0" t="s">
        <v>22</v>
      </c>
      <c r="B1202" s="0" t="s">
        <v>2455</v>
      </c>
      <c r="C1202" s="0" t="s">
        <v>1746</v>
      </c>
      <c r="D1202" s="0" t="n">
        <v>160</v>
      </c>
    </row>
    <row r="1203" customFormat="false" ht="15" hidden="false" customHeight="false" outlineLevel="0" collapsed="false">
      <c r="A1203" s="0" t="s">
        <v>22</v>
      </c>
      <c r="B1203" s="0" t="s">
        <v>2455</v>
      </c>
      <c r="C1203" s="0" t="s">
        <v>1882</v>
      </c>
      <c r="D1203" s="0" t="n">
        <v>160</v>
      </c>
    </row>
    <row r="1204" customFormat="false" ht="15" hidden="false" customHeight="false" outlineLevel="0" collapsed="false">
      <c r="A1204" s="0" t="s">
        <v>22</v>
      </c>
      <c r="B1204" s="0" t="s">
        <v>2455</v>
      </c>
      <c r="C1204" s="0" t="s">
        <v>2175</v>
      </c>
    </row>
    <row r="1205" customFormat="false" ht="15" hidden="false" customHeight="false" outlineLevel="0" collapsed="false">
      <c r="A1205" s="0" t="s">
        <v>22</v>
      </c>
      <c r="B1205" s="0" t="s">
        <v>2460</v>
      </c>
      <c r="C1205" s="0" t="s">
        <v>1746</v>
      </c>
      <c r="D1205" s="0" t="n">
        <v>600</v>
      </c>
    </row>
    <row r="1206" customFormat="false" ht="15" hidden="false" customHeight="false" outlineLevel="0" collapsed="false">
      <c r="A1206" s="0" t="s">
        <v>22</v>
      </c>
      <c r="B1206" s="0" t="s">
        <v>2460</v>
      </c>
      <c r="C1206" s="0" t="s">
        <v>1882</v>
      </c>
      <c r="D1206" s="0" t="n">
        <v>600</v>
      </c>
    </row>
    <row r="1207" customFormat="false" ht="15" hidden="false" customHeight="false" outlineLevel="0" collapsed="false">
      <c r="A1207" s="0" t="s">
        <v>22</v>
      </c>
      <c r="B1207" s="0" t="s">
        <v>2460</v>
      </c>
      <c r="C1207" s="0" t="s">
        <v>2175</v>
      </c>
    </row>
    <row r="1208" customFormat="false" ht="15" hidden="false" customHeight="false" outlineLevel="0" collapsed="false">
      <c r="A1208" s="0" t="s">
        <v>22</v>
      </c>
      <c r="B1208" s="0" t="s">
        <v>2464</v>
      </c>
      <c r="C1208" s="0" t="s">
        <v>1746</v>
      </c>
      <c r="D1208" s="0" t="n">
        <v>150</v>
      </c>
    </row>
    <row r="1209" customFormat="false" ht="15" hidden="false" customHeight="false" outlineLevel="0" collapsed="false">
      <c r="A1209" s="0" t="s">
        <v>22</v>
      </c>
      <c r="B1209" s="0" t="s">
        <v>2464</v>
      </c>
      <c r="C1209" s="0" t="s">
        <v>1882</v>
      </c>
    </row>
    <row r="1210" customFormat="false" ht="15" hidden="false" customHeight="false" outlineLevel="0" collapsed="false">
      <c r="A1210" s="0" t="s">
        <v>22</v>
      </c>
      <c r="B1210" s="0" t="s">
        <v>2464</v>
      </c>
      <c r="C1210" s="0" t="s">
        <v>2175</v>
      </c>
      <c r="D1210" s="0" t="n">
        <v>150</v>
      </c>
    </row>
    <row r="1211" customFormat="false" ht="15" hidden="false" customHeight="false" outlineLevel="0" collapsed="false">
      <c r="A1211" s="0" t="s">
        <v>22</v>
      </c>
      <c r="B1211" s="0" t="s">
        <v>2469</v>
      </c>
      <c r="C1211" s="0" t="s">
        <v>1746</v>
      </c>
      <c r="D1211" s="0" t="n">
        <v>750</v>
      </c>
    </row>
    <row r="1212" customFormat="false" ht="15" hidden="false" customHeight="false" outlineLevel="0" collapsed="false">
      <c r="A1212" s="0" t="s">
        <v>22</v>
      </c>
      <c r="B1212" s="0" t="s">
        <v>2469</v>
      </c>
      <c r="C1212" s="0" t="s">
        <v>1882</v>
      </c>
    </row>
    <row r="1213" customFormat="false" ht="15" hidden="false" customHeight="false" outlineLevel="0" collapsed="false">
      <c r="A1213" s="0" t="s">
        <v>22</v>
      </c>
      <c r="B1213" s="0" t="s">
        <v>2469</v>
      </c>
      <c r="C1213" s="0" t="s">
        <v>2175</v>
      </c>
      <c r="D1213" s="0" t="n">
        <v>750</v>
      </c>
    </row>
    <row r="1214" customFormat="false" ht="15" hidden="false" customHeight="false" outlineLevel="0" collapsed="false">
      <c r="A1214" s="0" t="s">
        <v>22</v>
      </c>
      <c r="B1214" s="0" t="s">
        <v>2473</v>
      </c>
      <c r="C1214" s="0" t="s">
        <v>1746</v>
      </c>
      <c r="D1214" s="0" t="n">
        <v>0.2</v>
      </c>
    </row>
    <row r="1215" customFormat="false" ht="15" hidden="false" customHeight="false" outlineLevel="0" collapsed="false">
      <c r="A1215" s="0" t="s">
        <v>22</v>
      </c>
      <c r="B1215" s="0" t="s">
        <v>2473</v>
      </c>
      <c r="C1215" s="0" t="s">
        <v>1882</v>
      </c>
    </row>
    <row r="1216" customFormat="false" ht="15" hidden="false" customHeight="false" outlineLevel="0" collapsed="false">
      <c r="A1216" s="0" t="s">
        <v>22</v>
      </c>
      <c r="B1216" s="0" t="s">
        <v>2473</v>
      </c>
      <c r="C1216" s="0" t="s">
        <v>2175</v>
      </c>
    </row>
    <row r="1217" customFormat="false" ht="15" hidden="false" customHeight="false" outlineLevel="0" collapsed="false">
      <c r="A1217" s="0" t="s">
        <v>22</v>
      </c>
      <c r="B1217" s="0" t="s">
        <v>2477</v>
      </c>
      <c r="C1217" s="0" t="s">
        <v>1746</v>
      </c>
      <c r="D1217" s="0" t="n">
        <v>3.26</v>
      </c>
    </row>
    <row r="1218" customFormat="false" ht="15" hidden="false" customHeight="false" outlineLevel="0" collapsed="false">
      <c r="A1218" s="0" t="s">
        <v>22</v>
      </c>
      <c r="B1218" s="0" t="s">
        <v>2477</v>
      </c>
      <c r="C1218" s="0" t="s">
        <v>1882</v>
      </c>
    </row>
    <row r="1219" customFormat="false" ht="15" hidden="false" customHeight="false" outlineLevel="0" collapsed="false">
      <c r="A1219" s="0" t="s">
        <v>22</v>
      </c>
      <c r="B1219" s="0" t="s">
        <v>2477</v>
      </c>
      <c r="C1219" s="0" t="s">
        <v>2175</v>
      </c>
    </row>
    <row r="1220" customFormat="false" ht="15" hidden="false" customHeight="false" outlineLevel="0" collapsed="false">
      <c r="A1220" s="0" t="s">
        <v>22</v>
      </c>
      <c r="B1220" s="0" t="s">
        <v>2481</v>
      </c>
      <c r="C1220" s="0" t="s">
        <v>1746</v>
      </c>
    </row>
    <row r="1221" customFormat="false" ht="15" hidden="false" customHeight="false" outlineLevel="0" collapsed="false">
      <c r="A1221" s="0" t="s">
        <v>22</v>
      </c>
      <c r="B1221" s="0" t="s">
        <v>2481</v>
      </c>
      <c r="C1221" s="0" t="s">
        <v>1882</v>
      </c>
    </row>
    <row r="1222" customFormat="false" ht="15" hidden="false" customHeight="false" outlineLevel="0" collapsed="false">
      <c r="A1222" s="0" t="s">
        <v>22</v>
      </c>
      <c r="B1222" s="0" t="s">
        <v>2481</v>
      </c>
      <c r="C1222" s="0" t="s">
        <v>2175</v>
      </c>
    </row>
    <row r="1223" customFormat="false" ht="15" hidden="false" customHeight="false" outlineLevel="0" collapsed="false">
      <c r="A1223" s="0" t="s">
        <v>22</v>
      </c>
      <c r="B1223" s="0" t="s">
        <v>2485</v>
      </c>
      <c r="C1223" s="0" t="s">
        <v>1746</v>
      </c>
      <c r="D1223" s="0" t="n">
        <f aca="false">SRC_ANT_384/SRC_ANT_387</f>
        <v>9.88235294117647</v>
      </c>
    </row>
    <row r="1224" customFormat="false" ht="15" hidden="false" customHeight="false" outlineLevel="0" collapsed="false">
      <c r="A1224" s="0" t="s">
        <v>22</v>
      </c>
      <c r="B1224" s="0" t="s">
        <v>2485</v>
      </c>
      <c r="C1224" s="0" t="s">
        <v>1882</v>
      </c>
    </row>
    <row r="1225" customFormat="false" ht="15" hidden="false" customHeight="false" outlineLevel="0" collapsed="false">
      <c r="A1225" s="0" t="s">
        <v>22</v>
      </c>
      <c r="B1225" s="0" t="s">
        <v>2485</v>
      </c>
      <c r="C1225" s="0" t="s">
        <v>2175</v>
      </c>
    </row>
    <row r="1226" customFormat="false" ht="15" hidden="false" customHeight="false" outlineLevel="0" collapsed="false">
      <c r="A1226" s="0" t="s">
        <v>22</v>
      </c>
      <c r="B1226" s="0" t="s">
        <v>2490</v>
      </c>
      <c r="C1226" s="0" t="s">
        <v>1746</v>
      </c>
      <c r="D1226" s="0" t="n">
        <f aca="false">SRC_ANT_394+SRC_ANT_408</f>
        <v>18.8823529411765</v>
      </c>
    </row>
    <row r="1227" customFormat="false" ht="15" hidden="false" customHeight="false" outlineLevel="0" collapsed="false">
      <c r="A1227" s="0" t="s">
        <v>22</v>
      </c>
      <c r="B1227" s="0" t="s">
        <v>2490</v>
      </c>
      <c r="C1227" s="0" t="s">
        <v>1882</v>
      </c>
    </row>
    <row r="1228" customFormat="false" ht="15" hidden="false" customHeight="false" outlineLevel="0" collapsed="false">
      <c r="A1228" s="0" t="s">
        <v>22</v>
      </c>
      <c r="B1228" s="0" t="s">
        <v>2490</v>
      </c>
      <c r="C1228" s="0" t="s">
        <v>2175</v>
      </c>
    </row>
    <row r="1229" customFormat="false" ht="15" hidden="false" customHeight="false" outlineLevel="0" collapsed="false">
      <c r="A1229" s="0" t="s">
        <v>28</v>
      </c>
      <c r="B1229" s="0" t="s">
        <v>3011</v>
      </c>
      <c r="C1229" s="0" t="s">
        <v>1746</v>
      </c>
      <c r="D1229" s="0" t="n">
        <v>2025</v>
      </c>
    </row>
    <row r="1230" customFormat="false" ht="15" hidden="false" customHeight="false" outlineLevel="0" collapsed="false">
      <c r="A1230" s="0" t="s">
        <v>28</v>
      </c>
      <c r="B1230" s="0" t="s">
        <v>3011</v>
      </c>
      <c r="C1230" s="0" t="s">
        <v>1882</v>
      </c>
      <c r="D1230" s="0" t="n">
        <v>2025</v>
      </c>
    </row>
    <row r="1231" customFormat="false" ht="15" hidden="false" customHeight="false" outlineLevel="0" collapsed="false">
      <c r="A1231" s="0" t="s">
        <v>28</v>
      </c>
      <c r="B1231" s="0" t="s">
        <v>3011</v>
      </c>
      <c r="C1231" s="0" t="s">
        <v>2175</v>
      </c>
      <c r="D1231" s="0" t="n">
        <v>2025</v>
      </c>
    </row>
    <row r="1232" customFormat="false" ht="15" hidden="false" customHeight="false" outlineLevel="0" collapsed="false">
      <c r="A1232" s="0" t="s">
        <v>28</v>
      </c>
      <c r="B1232" s="0" t="s">
        <v>3019</v>
      </c>
      <c r="C1232" s="0" t="s">
        <v>1746</v>
      </c>
      <c r="D1232" s="0" t="n">
        <v>2026</v>
      </c>
    </row>
    <row r="1233" customFormat="false" ht="15" hidden="false" customHeight="false" outlineLevel="0" collapsed="false">
      <c r="A1233" s="0" t="s">
        <v>28</v>
      </c>
      <c r="B1233" s="0" t="s">
        <v>3019</v>
      </c>
      <c r="C1233" s="0" t="s">
        <v>1882</v>
      </c>
      <c r="D1233" s="0" t="n">
        <v>2026</v>
      </c>
    </row>
    <row r="1234" customFormat="false" ht="15" hidden="false" customHeight="false" outlineLevel="0" collapsed="false">
      <c r="A1234" s="0" t="s">
        <v>28</v>
      </c>
      <c r="B1234" s="0" t="s">
        <v>3019</v>
      </c>
      <c r="C1234" s="0" t="s">
        <v>2175</v>
      </c>
      <c r="D1234" s="0" t="n">
        <v>2026</v>
      </c>
    </row>
    <row r="1235" customFormat="false" ht="15" hidden="false" customHeight="false" outlineLevel="0" collapsed="false">
      <c r="A1235" s="0" t="s">
        <v>28</v>
      </c>
      <c r="B1235" s="0" t="s">
        <v>3023</v>
      </c>
      <c r="C1235" s="0" t="s">
        <v>1746</v>
      </c>
      <c r="D1235" s="0" t="n">
        <v>2027</v>
      </c>
    </row>
    <row r="1236" customFormat="false" ht="15" hidden="false" customHeight="false" outlineLevel="0" collapsed="false">
      <c r="A1236" s="0" t="s">
        <v>28</v>
      </c>
      <c r="B1236" s="0" t="s">
        <v>3023</v>
      </c>
      <c r="C1236" s="0" t="s">
        <v>1882</v>
      </c>
      <c r="D1236" s="0" t="n">
        <v>2027</v>
      </c>
    </row>
    <row r="1237" customFormat="false" ht="15" hidden="false" customHeight="false" outlineLevel="0" collapsed="false">
      <c r="A1237" s="0" t="s">
        <v>28</v>
      </c>
      <c r="B1237" s="0" t="s">
        <v>3023</v>
      </c>
      <c r="C1237" s="0" t="s">
        <v>2175</v>
      </c>
      <c r="D1237" s="0" t="n">
        <v>2027</v>
      </c>
    </row>
    <row r="1238" customFormat="false" ht="15" hidden="false" customHeight="false" outlineLevel="0" collapsed="false">
      <c r="A1238" s="0" t="s">
        <v>28</v>
      </c>
      <c r="B1238" s="0" t="s">
        <v>3027</v>
      </c>
      <c r="C1238" s="0" t="s">
        <v>1746</v>
      </c>
      <c r="D1238" s="0" t="n">
        <v>2028</v>
      </c>
    </row>
    <row r="1239" customFormat="false" ht="15" hidden="false" customHeight="false" outlineLevel="0" collapsed="false">
      <c r="A1239" s="0" t="s">
        <v>28</v>
      </c>
      <c r="B1239" s="0" t="s">
        <v>3027</v>
      </c>
      <c r="C1239" s="0" t="s">
        <v>1882</v>
      </c>
      <c r="D1239" s="0" t="n">
        <v>2028</v>
      </c>
    </row>
    <row r="1240" customFormat="false" ht="15" hidden="false" customHeight="false" outlineLevel="0" collapsed="false">
      <c r="A1240" s="0" t="s">
        <v>28</v>
      </c>
      <c r="B1240" s="0" t="s">
        <v>3027</v>
      </c>
      <c r="C1240" s="0" t="s">
        <v>2175</v>
      </c>
      <c r="D1240" s="0" t="n">
        <v>2028</v>
      </c>
    </row>
    <row r="1241" customFormat="false" ht="15" hidden="false" customHeight="false" outlineLevel="0" collapsed="false">
      <c r="A1241" s="0" t="s">
        <v>28</v>
      </c>
      <c r="B1241" s="0" t="s">
        <v>3030</v>
      </c>
      <c r="C1241" s="0" t="s">
        <v>1746</v>
      </c>
      <c r="D1241" s="0" t="n">
        <v>2029</v>
      </c>
    </row>
    <row r="1242" customFormat="false" ht="15" hidden="false" customHeight="false" outlineLevel="0" collapsed="false">
      <c r="A1242" s="0" t="s">
        <v>28</v>
      </c>
      <c r="B1242" s="0" t="s">
        <v>3030</v>
      </c>
      <c r="C1242" s="0" t="s">
        <v>1882</v>
      </c>
      <c r="D1242" s="0" t="n">
        <v>2029</v>
      </c>
    </row>
    <row r="1243" customFormat="false" ht="15" hidden="false" customHeight="false" outlineLevel="0" collapsed="false">
      <c r="A1243" s="0" t="s">
        <v>28</v>
      </c>
      <c r="B1243" s="0" t="s">
        <v>3030</v>
      </c>
      <c r="C1243" s="0" t="s">
        <v>2175</v>
      </c>
      <c r="D1243" s="0" t="n">
        <v>2029</v>
      </c>
    </row>
    <row r="1244" customFormat="false" ht="15" hidden="false" customHeight="false" outlineLevel="0" collapsed="false">
      <c r="A1244" s="0" t="s">
        <v>28</v>
      </c>
      <c r="B1244" s="0" t="s">
        <v>3033</v>
      </c>
      <c r="C1244" s="0" t="s">
        <v>1746</v>
      </c>
      <c r="D1244" s="0" t="n">
        <v>2030</v>
      </c>
    </row>
    <row r="1245" customFormat="false" ht="15" hidden="false" customHeight="false" outlineLevel="0" collapsed="false">
      <c r="A1245" s="0" t="s">
        <v>28</v>
      </c>
      <c r="B1245" s="0" t="s">
        <v>3033</v>
      </c>
      <c r="C1245" s="0" t="s">
        <v>1882</v>
      </c>
      <c r="D1245" s="0" t="n">
        <v>2030</v>
      </c>
    </row>
    <row r="1246" customFormat="false" ht="15" hidden="false" customHeight="false" outlineLevel="0" collapsed="false">
      <c r="A1246" s="0" t="s">
        <v>28</v>
      </c>
      <c r="B1246" s="0" t="s">
        <v>3033</v>
      </c>
      <c r="C1246" s="0" t="s">
        <v>2175</v>
      </c>
      <c r="D1246" s="0" t="n">
        <v>2030</v>
      </c>
    </row>
    <row r="1247" customFormat="false" ht="15" hidden="false" customHeight="false" outlineLevel="0" collapsed="false">
      <c r="A1247" s="0" t="s">
        <v>28</v>
      </c>
      <c r="B1247" s="0" t="s">
        <v>3036</v>
      </c>
      <c r="C1247" s="0" t="s">
        <v>1746</v>
      </c>
      <c r="D1247" s="0" t="n">
        <v>365</v>
      </c>
    </row>
    <row r="1248" customFormat="false" ht="15" hidden="false" customHeight="false" outlineLevel="0" collapsed="false">
      <c r="A1248" s="0" t="s">
        <v>28</v>
      </c>
      <c r="B1248" s="0" t="s">
        <v>3036</v>
      </c>
      <c r="C1248" s="0" t="s">
        <v>1882</v>
      </c>
      <c r="D1248" s="0" t="n">
        <v>365</v>
      </c>
    </row>
    <row r="1249" customFormat="false" ht="15" hidden="false" customHeight="false" outlineLevel="0" collapsed="false">
      <c r="A1249" s="0" t="s">
        <v>28</v>
      </c>
      <c r="B1249" s="0" t="s">
        <v>3036</v>
      </c>
      <c r="C1249" s="0" t="s">
        <v>2175</v>
      </c>
      <c r="D1249" s="0" t="n">
        <v>365</v>
      </c>
    </row>
    <row r="1250" customFormat="false" ht="15" hidden="false" customHeight="false" outlineLevel="0" collapsed="false">
      <c r="A1250" s="0" t="s">
        <v>28</v>
      </c>
      <c r="B1250" s="0" t="s">
        <v>3044</v>
      </c>
      <c r="C1250" s="0" t="s">
        <v>1746</v>
      </c>
      <c r="D1250" s="0" t="n">
        <v>12</v>
      </c>
    </row>
    <row r="1251" customFormat="false" ht="15" hidden="false" customHeight="false" outlineLevel="0" collapsed="false">
      <c r="A1251" s="0" t="s">
        <v>28</v>
      </c>
      <c r="B1251" s="0" t="s">
        <v>3044</v>
      </c>
      <c r="C1251" s="0" t="s">
        <v>1882</v>
      </c>
      <c r="D1251" s="0" t="n">
        <v>12</v>
      </c>
    </row>
    <row r="1252" customFormat="false" ht="15" hidden="false" customHeight="false" outlineLevel="0" collapsed="false">
      <c r="A1252" s="0" t="s">
        <v>28</v>
      </c>
      <c r="B1252" s="0" t="s">
        <v>3044</v>
      </c>
      <c r="C1252" s="0" t="s">
        <v>2175</v>
      </c>
      <c r="D1252" s="0" t="n">
        <v>12</v>
      </c>
    </row>
    <row r="1253" customFormat="false" ht="15" hidden="false" customHeight="false" outlineLevel="0" collapsed="false">
      <c r="A1253" s="0" t="s">
        <v>28</v>
      </c>
      <c r="B1253" s="0" t="s">
        <v>3049</v>
      </c>
      <c r="C1253" s="0" t="s">
        <v>1746</v>
      </c>
      <c r="D1253" s="0" t="n">
        <v>6</v>
      </c>
    </row>
    <row r="1254" customFormat="false" ht="15" hidden="false" customHeight="false" outlineLevel="0" collapsed="false">
      <c r="A1254" s="0" t="s">
        <v>28</v>
      </c>
      <c r="B1254" s="0" t="s">
        <v>3049</v>
      </c>
      <c r="C1254" s="0" t="s">
        <v>1882</v>
      </c>
      <c r="D1254" s="0" t="n">
        <v>6</v>
      </c>
    </row>
    <row r="1255" customFormat="false" ht="15" hidden="false" customHeight="false" outlineLevel="0" collapsed="false">
      <c r="A1255" s="0" t="s">
        <v>28</v>
      </c>
      <c r="B1255" s="0" t="s">
        <v>3049</v>
      </c>
      <c r="C1255" s="0" t="s">
        <v>2175</v>
      </c>
      <c r="D1255" s="0" t="n">
        <v>6</v>
      </c>
    </row>
    <row r="1256" customFormat="false" ht="15" hidden="false" customHeight="false" outlineLevel="0" collapsed="false">
      <c r="A1256" s="0" t="s">
        <v>28</v>
      </c>
      <c r="B1256" s="0" t="s">
        <v>3054</v>
      </c>
      <c r="C1256" s="0" t="s">
        <v>1746</v>
      </c>
      <c r="D1256" s="0" t="n">
        <v>1</v>
      </c>
    </row>
    <row r="1257" customFormat="false" ht="15" hidden="false" customHeight="false" outlineLevel="0" collapsed="false">
      <c r="A1257" s="0" t="s">
        <v>28</v>
      </c>
      <c r="B1257" s="0" t="s">
        <v>3054</v>
      </c>
      <c r="C1257" s="0" t="s">
        <v>1882</v>
      </c>
      <c r="D1257" s="0" t="n">
        <v>1</v>
      </c>
    </row>
    <row r="1258" customFormat="false" ht="15" hidden="false" customHeight="false" outlineLevel="0" collapsed="false">
      <c r="A1258" s="0" t="s">
        <v>28</v>
      </c>
      <c r="B1258" s="0" t="s">
        <v>3054</v>
      </c>
      <c r="C1258" s="0" t="s">
        <v>2175</v>
      </c>
      <c r="D1258" s="0" t="n">
        <v>1</v>
      </c>
    </row>
    <row r="1259" customFormat="false" ht="15" hidden="false" customHeight="false" outlineLevel="0" collapsed="false">
      <c r="A1259" s="0" t="s">
        <v>28</v>
      </c>
      <c r="B1259" s="0" t="s">
        <v>3058</v>
      </c>
      <c r="C1259" s="0" t="s">
        <v>1746</v>
      </c>
      <c r="D1259" s="0" t="n">
        <v>1</v>
      </c>
    </row>
    <row r="1260" customFormat="false" ht="15" hidden="false" customHeight="false" outlineLevel="0" collapsed="false">
      <c r="A1260" s="0" t="s">
        <v>28</v>
      </c>
      <c r="B1260" s="0" t="s">
        <v>3058</v>
      </c>
      <c r="C1260" s="0" t="s">
        <v>1882</v>
      </c>
      <c r="D1260" s="0" t="n">
        <v>1</v>
      </c>
    </row>
    <row r="1261" customFormat="false" ht="15" hidden="false" customHeight="false" outlineLevel="0" collapsed="false">
      <c r="A1261" s="0" t="s">
        <v>28</v>
      </c>
      <c r="B1261" s="0" t="s">
        <v>3058</v>
      </c>
      <c r="C1261" s="0" t="s">
        <v>2175</v>
      </c>
      <c r="D1261" s="0" t="n">
        <v>1</v>
      </c>
    </row>
    <row r="1262" customFormat="false" ht="15" hidden="false" customHeight="false" outlineLevel="0" collapsed="false">
      <c r="A1262" s="0" t="s">
        <v>28</v>
      </c>
      <c r="B1262" s="0" t="s">
        <v>3063</v>
      </c>
      <c r="C1262" s="0" t="s">
        <v>1746</v>
      </c>
      <c r="D1262" s="0" t="n">
        <v>1000</v>
      </c>
    </row>
    <row r="1263" customFormat="false" ht="15" hidden="false" customHeight="false" outlineLevel="0" collapsed="false">
      <c r="A1263" s="0" t="s">
        <v>28</v>
      </c>
      <c r="B1263" s="0" t="s">
        <v>3063</v>
      </c>
      <c r="C1263" s="0" t="s">
        <v>1882</v>
      </c>
      <c r="D1263" s="0" t="n">
        <v>1000</v>
      </c>
    </row>
    <row r="1264" customFormat="false" ht="15" hidden="false" customHeight="false" outlineLevel="0" collapsed="false">
      <c r="A1264" s="0" t="s">
        <v>28</v>
      </c>
      <c r="B1264" s="0" t="s">
        <v>3063</v>
      </c>
      <c r="C1264" s="0" t="s">
        <v>2175</v>
      </c>
      <c r="D1264" s="0" t="n">
        <v>1000</v>
      </c>
    </row>
    <row r="1265" customFormat="false" ht="15" hidden="false" customHeight="false" outlineLevel="0" collapsed="false">
      <c r="A1265" s="0" t="s">
        <v>28</v>
      </c>
      <c r="B1265" s="0" t="s">
        <v>3068</v>
      </c>
      <c r="C1265" s="0" t="s">
        <v>1746</v>
      </c>
      <c r="D1265" s="0" t="n">
        <v>1000</v>
      </c>
    </row>
    <row r="1266" customFormat="false" ht="15" hidden="false" customHeight="false" outlineLevel="0" collapsed="false">
      <c r="A1266" s="0" t="s">
        <v>28</v>
      </c>
      <c r="B1266" s="0" t="s">
        <v>3068</v>
      </c>
      <c r="C1266" s="0" t="s">
        <v>1882</v>
      </c>
      <c r="D1266" s="0" t="n">
        <v>1000</v>
      </c>
    </row>
    <row r="1267" customFormat="false" ht="15" hidden="false" customHeight="false" outlineLevel="0" collapsed="false">
      <c r="A1267" s="0" t="s">
        <v>28</v>
      </c>
      <c r="B1267" s="0" t="s">
        <v>3068</v>
      </c>
      <c r="C1267" s="0" t="s">
        <v>2175</v>
      </c>
      <c r="D1267" s="0" t="n">
        <v>1000</v>
      </c>
    </row>
    <row r="1268" customFormat="false" ht="15" hidden="false" customHeight="false" outlineLevel="0" collapsed="false">
      <c r="A1268" s="0" t="s">
        <v>28</v>
      </c>
      <c r="B1268" s="0" t="s">
        <v>3073</v>
      </c>
      <c r="C1268" s="0" t="s">
        <v>1746</v>
      </c>
      <c r="D1268" s="0" t="n">
        <v>36</v>
      </c>
    </row>
    <row r="1269" customFormat="false" ht="15" hidden="false" customHeight="false" outlineLevel="0" collapsed="false">
      <c r="A1269" s="0" t="s">
        <v>28</v>
      </c>
      <c r="B1269" s="0" t="s">
        <v>3073</v>
      </c>
      <c r="C1269" s="0" t="s">
        <v>1882</v>
      </c>
      <c r="D1269" s="0" t="n">
        <v>36</v>
      </c>
    </row>
    <row r="1270" customFormat="false" ht="15" hidden="false" customHeight="false" outlineLevel="0" collapsed="false">
      <c r="A1270" s="0" t="s">
        <v>28</v>
      </c>
      <c r="B1270" s="0" t="s">
        <v>3073</v>
      </c>
      <c r="C1270" s="0" t="s">
        <v>2175</v>
      </c>
      <c r="D1270" s="0" t="n">
        <v>36</v>
      </c>
    </row>
    <row r="1271" customFormat="false" ht="15" hidden="false" customHeight="false" outlineLevel="0" collapsed="false">
      <c r="A1271" s="0" t="s">
        <v>28</v>
      </c>
      <c r="B1271" s="0" t="s">
        <v>3079</v>
      </c>
      <c r="C1271" s="0" t="s">
        <v>1746</v>
      </c>
      <c r="D1271" s="0" t="n">
        <v>2027</v>
      </c>
    </row>
    <row r="1272" customFormat="false" ht="15" hidden="false" customHeight="false" outlineLevel="0" collapsed="false">
      <c r="A1272" s="0" t="s">
        <v>28</v>
      </c>
      <c r="B1272" s="0" t="s">
        <v>3079</v>
      </c>
      <c r="C1272" s="0" t="s">
        <v>1882</v>
      </c>
      <c r="D1272" s="0" t="n">
        <v>2027</v>
      </c>
    </row>
    <row r="1273" customFormat="false" ht="15" hidden="false" customHeight="false" outlineLevel="0" collapsed="false">
      <c r="A1273" s="0" t="s">
        <v>28</v>
      </c>
      <c r="B1273" s="0" t="s">
        <v>3079</v>
      </c>
      <c r="C1273" s="0" t="s">
        <v>2175</v>
      </c>
      <c r="D1273" s="0" t="n">
        <v>2027</v>
      </c>
    </row>
    <row r="1274" customFormat="false" ht="15" hidden="false" customHeight="false" outlineLevel="0" collapsed="false">
      <c r="A1274" s="0" t="s">
        <v>28</v>
      </c>
      <c r="B1274" s="0" t="s">
        <v>3084</v>
      </c>
      <c r="C1274" s="0" t="s">
        <v>1746</v>
      </c>
      <c r="D1274" s="0" t="n">
        <v>0</v>
      </c>
    </row>
    <row r="1275" customFormat="false" ht="15" hidden="false" customHeight="false" outlineLevel="0" collapsed="false">
      <c r="A1275" s="0" t="s">
        <v>28</v>
      </c>
      <c r="B1275" s="0" t="s">
        <v>3084</v>
      </c>
      <c r="C1275" s="0" t="s">
        <v>1882</v>
      </c>
      <c r="D1275" s="0" t="n">
        <v>0</v>
      </c>
    </row>
    <row r="1276" customFormat="false" ht="15" hidden="false" customHeight="false" outlineLevel="0" collapsed="false">
      <c r="A1276" s="0" t="s">
        <v>28</v>
      </c>
      <c r="B1276" s="0" t="s">
        <v>3084</v>
      </c>
      <c r="C1276" s="0" t="s">
        <v>2175</v>
      </c>
      <c r="D1276" s="0" t="n">
        <v>0</v>
      </c>
    </row>
    <row r="1277" customFormat="false" ht="15" hidden="false" customHeight="false" outlineLevel="0" collapsed="false">
      <c r="A1277" s="0" t="s">
        <v>28</v>
      </c>
      <c r="B1277" s="0" t="s">
        <v>3090</v>
      </c>
      <c r="C1277" s="0" t="s">
        <v>1746</v>
      </c>
      <c r="D1277" s="0" t="n">
        <v>0.25</v>
      </c>
    </row>
    <row r="1278" customFormat="false" ht="15" hidden="false" customHeight="false" outlineLevel="0" collapsed="false">
      <c r="A1278" s="0" t="s">
        <v>28</v>
      </c>
      <c r="B1278" s="0" t="s">
        <v>3090</v>
      </c>
      <c r="C1278" s="0" t="s">
        <v>1882</v>
      </c>
      <c r="D1278" s="0" t="n">
        <v>0.25</v>
      </c>
    </row>
    <row r="1279" customFormat="false" ht="15" hidden="false" customHeight="false" outlineLevel="0" collapsed="false">
      <c r="A1279" s="0" t="s">
        <v>28</v>
      </c>
      <c r="B1279" s="0" t="s">
        <v>3090</v>
      </c>
      <c r="C1279" s="0" t="s">
        <v>2175</v>
      </c>
      <c r="D1279" s="0" t="n">
        <v>0.25</v>
      </c>
    </row>
    <row r="1280" customFormat="false" ht="15" hidden="false" customHeight="false" outlineLevel="0" collapsed="false">
      <c r="A1280" s="0" t="s">
        <v>28</v>
      </c>
      <c r="B1280" s="0" t="s">
        <v>3095</v>
      </c>
      <c r="C1280" s="0" t="s">
        <v>1746</v>
      </c>
      <c r="D1280" s="0" t="n">
        <v>1</v>
      </c>
    </row>
    <row r="1281" customFormat="false" ht="15" hidden="false" customHeight="false" outlineLevel="0" collapsed="false">
      <c r="A1281" s="0" t="s">
        <v>28</v>
      </c>
      <c r="B1281" s="0" t="s">
        <v>3095</v>
      </c>
      <c r="C1281" s="0" t="s">
        <v>1882</v>
      </c>
      <c r="D1281" s="0" t="n">
        <v>0</v>
      </c>
    </row>
    <row r="1282" customFormat="false" ht="15" hidden="false" customHeight="false" outlineLevel="0" collapsed="false">
      <c r="A1282" s="0" t="s">
        <v>28</v>
      </c>
      <c r="B1282" s="0" t="s">
        <v>3095</v>
      </c>
      <c r="C1282" s="0" t="s">
        <v>2175</v>
      </c>
      <c r="D1282" s="0" t="n">
        <v>1</v>
      </c>
    </row>
    <row r="1283" customFormat="false" ht="15" hidden="false" customHeight="false" outlineLevel="0" collapsed="false">
      <c r="A1283" s="0" t="s">
        <v>28</v>
      </c>
      <c r="B1283" s="0" t="s">
        <v>3101</v>
      </c>
      <c r="C1283" s="0" t="s">
        <v>1746</v>
      </c>
      <c r="D1283" s="0" t="n">
        <v>0</v>
      </c>
    </row>
    <row r="1284" customFormat="false" ht="15" hidden="false" customHeight="false" outlineLevel="0" collapsed="false">
      <c r="A1284" s="0" t="s">
        <v>28</v>
      </c>
      <c r="B1284" s="0" t="s">
        <v>3101</v>
      </c>
      <c r="C1284" s="0" t="s">
        <v>1882</v>
      </c>
      <c r="D1284" s="0" t="n">
        <v>0</v>
      </c>
    </row>
    <row r="1285" customFormat="false" ht="15" hidden="false" customHeight="false" outlineLevel="0" collapsed="false">
      <c r="A1285" s="0" t="s">
        <v>28</v>
      </c>
      <c r="B1285" s="0" t="s">
        <v>3101</v>
      </c>
      <c r="C1285" s="0" t="s">
        <v>2175</v>
      </c>
      <c r="D1285" s="0" t="n">
        <v>0.45</v>
      </c>
    </row>
    <row r="1286" customFormat="false" ht="15" hidden="false" customHeight="false" outlineLevel="0" collapsed="false">
      <c r="A1286" s="0" t="s">
        <v>28</v>
      </c>
      <c r="B1286" s="0" t="s">
        <v>3107</v>
      </c>
      <c r="C1286" s="0" t="s">
        <v>1746</v>
      </c>
      <c r="D1286" s="0" t="n">
        <v>1</v>
      </c>
    </row>
    <row r="1287" customFormat="false" ht="15" hidden="false" customHeight="false" outlineLevel="0" collapsed="false">
      <c r="A1287" s="0" t="s">
        <v>28</v>
      </c>
      <c r="B1287" s="0" t="s">
        <v>3107</v>
      </c>
      <c r="C1287" s="0" t="s">
        <v>1882</v>
      </c>
      <c r="D1287" s="0" t="n">
        <v>0</v>
      </c>
    </row>
    <row r="1288" customFormat="false" ht="15" hidden="false" customHeight="false" outlineLevel="0" collapsed="false">
      <c r="A1288" s="0" t="s">
        <v>28</v>
      </c>
      <c r="B1288" s="0" t="s">
        <v>3107</v>
      </c>
      <c r="C1288" s="0" t="s">
        <v>2175</v>
      </c>
      <c r="D1288" s="0" t="n">
        <v>1</v>
      </c>
    </row>
    <row r="1289" customFormat="false" ht="15" hidden="false" customHeight="false" outlineLevel="0" collapsed="false">
      <c r="A1289" s="0" t="s">
        <v>28</v>
      </c>
      <c r="B1289" s="0" t="s">
        <v>3112</v>
      </c>
      <c r="C1289" s="0" t="s">
        <v>1746</v>
      </c>
      <c r="D1289" s="0" t="n">
        <v>0.25</v>
      </c>
    </row>
    <row r="1290" customFormat="false" ht="15" hidden="false" customHeight="false" outlineLevel="0" collapsed="false">
      <c r="A1290" s="0" t="s">
        <v>28</v>
      </c>
      <c r="B1290" s="0" t="s">
        <v>3112</v>
      </c>
      <c r="C1290" s="0" t="s">
        <v>1882</v>
      </c>
      <c r="D1290" s="0" t="n">
        <v>0.25</v>
      </c>
    </row>
    <row r="1291" customFormat="false" ht="15" hidden="false" customHeight="false" outlineLevel="0" collapsed="false">
      <c r="A1291" s="0" t="s">
        <v>28</v>
      </c>
      <c r="B1291" s="0" t="s">
        <v>3112</v>
      </c>
      <c r="C1291" s="0" t="s">
        <v>2175</v>
      </c>
      <c r="D1291" s="0" t="n">
        <v>0.25</v>
      </c>
    </row>
    <row r="1292" customFormat="false" ht="15" hidden="false" customHeight="false" outlineLevel="0" collapsed="false">
      <c r="A1292" s="0" t="s">
        <v>28</v>
      </c>
      <c r="B1292" s="0" t="s">
        <v>3117</v>
      </c>
      <c r="C1292" s="0" t="s">
        <v>1746</v>
      </c>
      <c r="D1292" s="0" t="n">
        <v>0.3</v>
      </c>
    </row>
    <row r="1293" customFormat="false" ht="15" hidden="false" customHeight="false" outlineLevel="0" collapsed="false">
      <c r="A1293" s="0" t="s">
        <v>28</v>
      </c>
      <c r="B1293" s="0" t="s">
        <v>3117</v>
      </c>
      <c r="C1293" s="0" t="s">
        <v>1882</v>
      </c>
      <c r="D1293" s="0" t="n">
        <v>0.1</v>
      </c>
    </row>
    <row r="1294" customFormat="false" ht="15" hidden="false" customHeight="false" outlineLevel="0" collapsed="false">
      <c r="A1294" s="0" t="s">
        <v>28</v>
      </c>
      <c r="B1294" s="0" t="s">
        <v>3117</v>
      </c>
      <c r="C1294" s="0" t="s">
        <v>2175</v>
      </c>
      <c r="D1294" s="0" t="n">
        <v>0.5</v>
      </c>
    </row>
    <row r="1295" customFormat="false" ht="15" hidden="false" customHeight="false" outlineLevel="0" collapsed="false">
      <c r="A1295" s="0" t="s">
        <v>28</v>
      </c>
      <c r="B1295" s="0" t="s">
        <v>3123</v>
      </c>
      <c r="C1295" s="0" t="s">
        <v>1746</v>
      </c>
      <c r="D1295" s="0" t="n">
        <v>0.3</v>
      </c>
    </row>
    <row r="1296" customFormat="false" ht="15" hidden="false" customHeight="false" outlineLevel="0" collapsed="false">
      <c r="A1296" s="0" t="s">
        <v>28</v>
      </c>
      <c r="B1296" s="0" t="s">
        <v>3123</v>
      </c>
      <c r="C1296" s="0" t="s">
        <v>1882</v>
      </c>
      <c r="D1296" s="0" t="n">
        <v>0.1</v>
      </c>
    </row>
    <row r="1297" customFormat="false" ht="15" hidden="false" customHeight="false" outlineLevel="0" collapsed="false">
      <c r="A1297" s="0" t="s">
        <v>28</v>
      </c>
      <c r="B1297" s="0" t="s">
        <v>3123</v>
      </c>
      <c r="C1297" s="0" t="s">
        <v>2175</v>
      </c>
      <c r="D1297" s="0" t="n">
        <v>0.5</v>
      </c>
    </row>
    <row r="1298" customFormat="false" ht="15" hidden="false" customHeight="false" outlineLevel="0" collapsed="false">
      <c r="A1298" s="0" t="s">
        <v>28</v>
      </c>
      <c r="B1298" s="0" t="s">
        <v>3127</v>
      </c>
      <c r="C1298" s="0" t="s">
        <v>1746</v>
      </c>
      <c r="D1298" s="0" t="n">
        <v>0.85</v>
      </c>
    </row>
    <row r="1299" customFormat="false" ht="15" hidden="false" customHeight="false" outlineLevel="0" collapsed="false">
      <c r="A1299" s="0" t="s">
        <v>28</v>
      </c>
      <c r="B1299" s="0" t="s">
        <v>3127</v>
      </c>
      <c r="C1299" s="0" t="s">
        <v>1882</v>
      </c>
      <c r="D1299" s="0" t="n">
        <v>0.75</v>
      </c>
    </row>
    <row r="1300" customFormat="false" ht="15" hidden="false" customHeight="false" outlineLevel="0" collapsed="false">
      <c r="A1300" s="0" t="s">
        <v>28</v>
      </c>
      <c r="B1300" s="0" t="s">
        <v>3127</v>
      </c>
      <c r="C1300" s="0" t="s">
        <v>2175</v>
      </c>
      <c r="D1300" s="0" t="n">
        <v>0.95</v>
      </c>
    </row>
    <row r="1301" customFormat="false" ht="15" hidden="false" customHeight="false" outlineLevel="0" collapsed="false">
      <c r="A1301" s="0" t="s">
        <v>28</v>
      </c>
      <c r="B1301" s="0" t="s">
        <v>3133</v>
      </c>
      <c r="C1301" s="0" t="s">
        <v>1746</v>
      </c>
      <c r="D1301" s="0" t="n">
        <v>0.1</v>
      </c>
    </row>
    <row r="1302" customFormat="false" ht="15" hidden="false" customHeight="false" outlineLevel="0" collapsed="false">
      <c r="A1302" s="0" t="s">
        <v>28</v>
      </c>
      <c r="B1302" s="0" t="s">
        <v>3133</v>
      </c>
      <c r="C1302" s="0" t="s">
        <v>1882</v>
      </c>
      <c r="D1302" s="0" t="n">
        <v>0.03</v>
      </c>
    </row>
    <row r="1303" customFormat="false" ht="15" hidden="false" customHeight="false" outlineLevel="0" collapsed="false">
      <c r="A1303" s="0" t="s">
        <v>28</v>
      </c>
      <c r="B1303" s="0" t="s">
        <v>3133</v>
      </c>
      <c r="C1303" s="0" t="s">
        <v>2175</v>
      </c>
      <c r="D1303" s="0" t="n">
        <v>0.15</v>
      </c>
    </row>
    <row r="1304" customFormat="false" ht="15" hidden="false" customHeight="false" outlineLevel="0" collapsed="false">
      <c r="A1304" s="0" t="s">
        <v>28</v>
      </c>
      <c r="B1304" s="0" t="s">
        <v>3138</v>
      </c>
      <c r="C1304" s="0" t="s">
        <v>1746</v>
      </c>
      <c r="D1304" s="0" t="n">
        <v>0.7</v>
      </c>
    </row>
    <row r="1305" customFormat="false" ht="15" hidden="false" customHeight="false" outlineLevel="0" collapsed="false">
      <c r="A1305" s="0" t="s">
        <v>28</v>
      </c>
      <c r="B1305" s="0" t="s">
        <v>3138</v>
      </c>
      <c r="C1305" s="0" t="s">
        <v>1882</v>
      </c>
      <c r="D1305" s="0" t="n">
        <v>0.55</v>
      </c>
    </row>
    <row r="1306" customFormat="false" ht="15" hidden="false" customHeight="false" outlineLevel="0" collapsed="false">
      <c r="A1306" s="0" t="s">
        <v>28</v>
      </c>
      <c r="B1306" s="0" t="s">
        <v>3138</v>
      </c>
      <c r="C1306" s="0" t="s">
        <v>2175</v>
      </c>
      <c r="D1306" s="0" t="n">
        <v>0.85</v>
      </c>
    </row>
    <row r="1307" customFormat="false" ht="15" hidden="false" customHeight="false" outlineLevel="0" collapsed="false">
      <c r="A1307" s="0" t="s">
        <v>28</v>
      </c>
      <c r="B1307" s="0" t="s">
        <v>3144</v>
      </c>
      <c r="C1307" s="0" t="s">
        <v>1746</v>
      </c>
      <c r="D1307" s="0" t="n">
        <v>0.18</v>
      </c>
    </row>
    <row r="1308" customFormat="false" ht="15" hidden="false" customHeight="false" outlineLevel="0" collapsed="false">
      <c r="A1308" s="0" t="s">
        <v>28</v>
      </c>
      <c r="B1308" s="0" t="s">
        <v>3144</v>
      </c>
      <c r="C1308" s="0" t="s">
        <v>1882</v>
      </c>
      <c r="D1308" s="0" t="n">
        <v>0.1</v>
      </c>
    </row>
    <row r="1309" customFormat="false" ht="15" hidden="false" customHeight="false" outlineLevel="0" collapsed="false">
      <c r="A1309" s="0" t="s">
        <v>28</v>
      </c>
      <c r="B1309" s="0" t="s">
        <v>3144</v>
      </c>
      <c r="C1309" s="0" t="s">
        <v>2175</v>
      </c>
      <c r="D1309" s="0" t="n">
        <v>0.25</v>
      </c>
    </row>
    <row r="1310" customFormat="false" ht="15" hidden="false" customHeight="false" outlineLevel="0" collapsed="false">
      <c r="A1310" s="0" t="s">
        <v>28</v>
      </c>
      <c r="B1310" s="0" t="s">
        <v>3146</v>
      </c>
      <c r="C1310" s="0" t="s">
        <v>1746</v>
      </c>
      <c r="D1310" s="0" t="n">
        <v>0.5</v>
      </c>
    </row>
    <row r="1311" customFormat="false" ht="15" hidden="false" customHeight="false" outlineLevel="0" collapsed="false">
      <c r="A1311" s="0" t="s">
        <v>28</v>
      </c>
      <c r="B1311" s="0" t="s">
        <v>3146</v>
      </c>
      <c r="C1311" s="0" t="s">
        <v>1882</v>
      </c>
      <c r="D1311" s="0" t="n">
        <v>0.3</v>
      </c>
    </row>
    <row r="1312" customFormat="false" ht="15" hidden="false" customHeight="false" outlineLevel="0" collapsed="false">
      <c r="A1312" s="0" t="s">
        <v>28</v>
      </c>
      <c r="B1312" s="0" t="s">
        <v>3146</v>
      </c>
      <c r="C1312" s="0" t="s">
        <v>2175</v>
      </c>
      <c r="D1312" s="0" t="n">
        <v>0.7</v>
      </c>
    </row>
    <row r="1313" customFormat="false" ht="15" hidden="false" customHeight="false" outlineLevel="0" collapsed="false">
      <c r="A1313" s="0" t="s">
        <v>28</v>
      </c>
      <c r="B1313" s="0" t="s">
        <v>3152</v>
      </c>
      <c r="C1313" s="0" t="s">
        <v>1746</v>
      </c>
      <c r="D1313" s="0" t="n">
        <v>0.15</v>
      </c>
    </row>
    <row r="1314" customFormat="false" ht="15" hidden="false" customHeight="false" outlineLevel="0" collapsed="false">
      <c r="A1314" s="0" t="s">
        <v>28</v>
      </c>
      <c r="B1314" s="0" t="s">
        <v>3152</v>
      </c>
      <c r="C1314" s="0" t="s">
        <v>1882</v>
      </c>
      <c r="D1314" s="0" t="n">
        <v>0.05</v>
      </c>
    </row>
    <row r="1315" customFormat="false" ht="15" hidden="false" customHeight="false" outlineLevel="0" collapsed="false">
      <c r="A1315" s="0" t="s">
        <v>28</v>
      </c>
      <c r="B1315" s="0" t="s">
        <v>3152</v>
      </c>
      <c r="C1315" s="0" t="s">
        <v>2175</v>
      </c>
      <c r="D1315" s="0" t="n">
        <v>0.3</v>
      </c>
    </row>
    <row r="1316" customFormat="false" ht="15" hidden="false" customHeight="false" outlineLevel="0" collapsed="false">
      <c r="A1316" s="0" t="s">
        <v>28</v>
      </c>
      <c r="B1316" s="0" t="s">
        <v>3156</v>
      </c>
      <c r="C1316" s="0" t="s">
        <v>1746</v>
      </c>
      <c r="D1316" s="0" t="n">
        <v>0.35</v>
      </c>
    </row>
    <row r="1317" customFormat="false" ht="15" hidden="false" customHeight="false" outlineLevel="0" collapsed="false">
      <c r="A1317" s="0" t="s">
        <v>28</v>
      </c>
      <c r="B1317" s="0" t="s">
        <v>3156</v>
      </c>
      <c r="C1317" s="0" t="s">
        <v>1882</v>
      </c>
      <c r="D1317" s="0" t="n">
        <v>0.2</v>
      </c>
    </row>
    <row r="1318" customFormat="false" ht="15" hidden="false" customHeight="false" outlineLevel="0" collapsed="false">
      <c r="A1318" s="0" t="s">
        <v>28</v>
      </c>
      <c r="B1318" s="0" t="s">
        <v>3156</v>
      </c>
      <c r="C1318" s="0" t="s">
        <v>2175</v>
      </c>
      <c r="D1318" s="0" t="n">
        <v>0.5</v>
      </c>
    </row>
    <row r="1319" customFormat="false" ht="15" hidden="false" customHeight="false" outlineLevel="0" collapsed="false">
      <c r="A1319" s="0" t="s">
        <v>28</v>
      </c>
      <c r="B1319" s="0" t="s">
        <v>3160</v>
      </c>
      <c r="C1319" s="0" t="s">
        <v>1746</v>
      </c>
      <c r="D1319" s="0" t="n">
        <v>0.2</v>
      </c>
    </row>
    <row r="1320" customFormat="false" ht="15" hidden="false" customHeight="false" outlineLevel="0" collapsed="false">
      <c r="A1320" s="0" t="s">
        <v>28</v>
      </c>
      <c r="B1320" s="0" t="s">
        <v>3160</v>
      </c>
      <c r="C1320" s="0" t="s">
        <v>1882</v>
      </c>
      <c r="D1320" s="0" t="n">
        <v>0.1</v>
      </c>
    </row>
    <row r="1321" customFormat="false" ht="15" hidden="false" customHeight="false" outlineLevel="0" collapsed="false">
      <c r="A1321" s="0" t="s">
        <v>28</v>
      </c>
      <c r="B1321" s="0" t="s">
        <v>3160</v>
      </c>
      <c r="C1321" s="0" t="s">
        <v>2175</v>
      </c>
      <c r="D1321" s="0" t="n">
        <v>0.35</v>
      </c>
    </row>
    <row r="1322" customFormat="false" ht="15" hidden="false" customHeight="false" outlineLevel="0" collapsed="false">
      <c r="A1322" s="0" t="s">
        <v>28</v>
      </c>
      <c r="B1322" s="0" t="s">
        <v>3162</v>
      </c>
      <c r="C1322" s="0" t="s">
        <v>1746</v>
      </c>
      <c r="D1322" s="0" t="n">
        <v>0.05</v>
      </c>
    </row>
    <row r="1323" customFormat="false" ht="15" hidden="false" customHeight="false" outlineLevel="0" collapsed="false">
      <c r="A1323" s="0" t="s">
        <v>28</v>
      </c>
      <c r="B1323" s="0" t="s">
        <v>3162</v>
      </c>
      <c r="C1323" s="0" t="s">
        <v>1882</v>
      </c>
      <c r="D1323" s="0" t="n">
        <v>0.03</v>
      </c>
    </row>
    <row r="1324" customFormat="false" ht="15" hidden="false" customHeight="false" outlineLevel="0" collapsed="false">
      <c r="A1324" s="0" t="s">
        <v>28</v>
      </c>
      <c r="B1324" s="0" t="s">
        <v>3162</v>
      </c>
      <c r="C1324" s="0" t="s">
        <v>2175</v>
      </c>
      <c r="D1324" s="0" t="n">
        <v>0.08</v>
      </c>
    </row>
    <row r="1325" customFormat="false" ht="15" hidden="false" customHeight="false" outlineLevel="0" collapsed="false">
      <c r="A1325" s="0" t="s">
        <v>28</v>
      </c>
      <c r="B1325" s="0" t="s">
        <v>3168</v>
      </c>
      <c r="C1325" s="0" t="s">
        <v>1746</v>
      </c>
      <c r="D1325" s="0" t="n">
        <v>3</v>
      </c>
    </row>
    <row r="1326" customFormat="false" ht="15" hidden="false" customHeight="false" outlineLevel="0" collapsed="false">
      <c r="A1326" s="0" t="s">
        <v>28</v>
      </c>
      <c r="B1326" s="0" t="s">
        <v>3168</v>
      </c>
      <c r="C1326" s="0" t="s">
        <v>1882</v>
      </c>
      <c r="D1326" s="0" t="n">
        <v>1.5</v>
      </c>
    </row>
    <row r="1327" customFormat="false" ht="15" hidden="false" customHeight="false" outlineLevel="0" collapsed="false">
      <c r="A1327" s="0" t="s">
        <v>28</v>
      </c>
      <c r="B1327" s="0" t="s">
        <v>3168</v>
      </c>
      <c r="C1327" s="0" t="s">
        <v>2175</v>
      </c>
      <c r="D1327" s="0" t="n">
        <v>5</v>
      </c>
    </row>
    <row r="1328" customFormat="false" ht="15" hidden="false" customHeight="false" outlineLevel="0" collapsed="false">
      <c r="A1328" s="0" t="s">
        <v>28</v>
      </c>
      <c r="B1328" s="0" t="s">
        <v>3175</v>
      </c>
      <c r="C1328" s="0" t="s">
        <v>1746</v>
      </c>
      <c r="D1328" s="0" t="n">
        <v>0.6</v>
      </c>
    </row>
    <row r="1329" customFormat="false" ht="15" hidden="false" customHeight="false" outlineLevel="0" collapsed="false">
      <c r="A1329" s="0" t="s">
        <v>28</v>
      </c>
      <c r="B1329" s="0" t="s">
        <v>3175</v>
      </c>
      <c r="C1329" s="0" t="s">
        <v>1882</v>
      </c>
      <c r="D1329" s="0" t="n">
        <v>0.3</v>
      </c>
    </row>
    <row r="1330" customFormat="false" ht="15" hidden="false" customHeight="false" outlineLevel="0" collapsed="false">
      <c r="A1330" s="0" t="s">
        <v>28</v>
      </c>
      <c r="B1330" s="0" t="s">
        <v>3175</v>
      </c>
      <c r="C1330" s="0" t="s">
        <v>2175</v>
      </c>
      <c r="D1330" s="0" t="n">
        <v>1</v>
      </c>
    </row>
    <row r="1331" customFormat="false" ht="15" hidden="false" customHeight="false" outlineLevel="0" collapsed="false">
      <c r="A1331" s="0" t="s">
        <v>28</v>
      </c>
      <c r="B1331" s="0" t="s">
        <v>3179</v>
      </c>
      <c r="C1331" s="0" t="s">
        <v>1746</v>
      </c>
      <c r="D1331" s="0" t="n">
        <v>0.4</v>
      </c>
    </row>
    <row r="1332" customFormat="false" ht="15" hidden="false" customHeight="false" outlineLevel="0" collapsed="false">
      <c r="A1332" s="0" t="s">
        <v>28</v>
      </c>
      <c r="B1332" s="0" t="s">
        <v>3179</v>
      </c>
      <c r="C1332" s="0" t="s">
        <v>1882</v>
      </c>
      <c r="D1332" s="0" t="n">
        <v>0.2</v>
      </c>
    </row>
    <row r="1333" customFormat="false" ht="15" hidden="false" customHeight="false" outlineLevel="0" collapsed="false">
      <c r="A1333" s="0" t="s">
        <v>28</v>
      </c>
      <c r="B1333" s="0" t="s">
        <v>3179</v>
      </c>
      <c r="C1333" s="0" t="s">
        <v>2175</v>
      </c>
      <c r="D1333" s="0" t="n">
        <v>0.7</v>
      </c>
    </row>
    <row r="1334" customFormat="false" ht="15" hidden="false" customHeight="false" outlineLevel="0" collapsed="false">
      <c r="A1334" s="0" t="s">
        <v>28</v>
      </c>
      <c r="B1334" s="0" t="s">
        <v>3181</v>
      </c>
      <c r="C1334" s="0" t="s">
        <v>1746</v>
      </c>
      <c r="D1334" s="0" t="n">
        <v>0.3</v>
      </c>
    </row>
    <row r="1335" customFormat="false" ht="15" hidden="false" customHeight="false" outlineLevel="0" collapsed="false">
      <c r="A1335" s="0" t="s">
        <v>28</v>
      </c>
      <c r="B1335" s="0" t="s">
        <v>3181</v>
      </c>
      <c r="C1335" s="0" t="s">
        <v>1882</v>
      </c>
      <c r="D1335" s="0" t="n">
        <v>0.1</v>
      </c>
    </row>
    <row r="1336" customFormat="false" ht="15" hidden="false" customHeight="false" outlineLevel="0" collapsed="false">
      <c r="A1336" s="0" t="s">
        <v>28</v>
      </c>
      <c r="B1336" s="0" t="s">
        <v>3181</v>
      </c>
      <c r="C1336" s="0" t="s">
        <v>2175</v>
      </c>
      <c r="D1336" s="0" t="n">
        <v>0.5</v>
      </c>
    </row>
    <row r="1337" customFormat="false" ht="15" hidden="false" customHeight="false" outlineLevel="0" collapsed="false">
      <c r="A1337" s="0" t="s">
        <v>28</v>
      </c>
      <c r="B1337" s="0" t="s">
        <v>3183</v>
      </c>
      <c r="C1337" s="0" t="s">
        <v>1746</v>
      </c>
      <c r="D1337" s="0" t="n">
        <v>0.2</v>
      </c>
    </row>
    <row r="1338" customFormat="false" ht="15" hidden="false" customHeight="false" outlineLevel="0" collapsed="false">
      <c r="A1338" s="0" t="s">
        <v>28</v>
      </c>
      <c r="B1338" s="0" t="s">
        <v>3183</v>
      </c>
      <c r="C1338" s="0" t="s">
        <v>1882</v>
      </c>
      <c r="D1338" s="0" t="n">
        <v>0.05</v>
      </c>
    </row>
    <row r="1339" customFormat="false" ht="15" hidden="false" customHeight="false" outlineLevel="0" collapsed="false">
      <c r="A1339" s="0" t="s">
        <v>28</v>
      </c>
      <c r="B1339" s="0" t="s">
        <v>3183</v>
      </c>
      <c r="C1339" s="0" t="s">
        <v>2175</v>
      </c>
      <c r="D1339" s="0" t="n">
        <v>0.4</v>
      </c>
    </row>
    <row r="1340" customFormat="false" ht="15" hidden="false" customHeight="false" outlineLevel="0" collapsed="false">
      <c r="A1340" s="0" t="s">
        <v>28</v>
      </c>
      <c r="B1340" s="0" t="s">
        <v>3185</v>
      </c>
      <c r="C1340" s="0" t="s">
        <v>1746</v>
      </c>
      <c r="D1340" s="0" t="n">
        <v>1</v>
      </c>
    </row>
    <row r="1341" customFormat="false" ht="15" hidden="false" customHeight="false" outlineLevel="0" collapsed="false">
      <c r="A1341" s="0" t="s">
        <v>28</v>
      </c>
      <c r="B1341" s="0" t="s">
        <v>3185</v>
      </c>
      <c r="C1341" s="0" t="s">
        <v>1882</v>
      </c>
      <c r="D1341" s="0" t="n">
        <v>0.5</v>
      </c>
    </row>
    <row r="1342" customFormat="false" ht="15" hidden="false" customHeight="false" outlineLevel="0" collapsed="false">
      <c r="A1342" s="0" t="s">
        <v>28</v>
      </c>
      <c r="B1342" s="0" t="s">
        <v>3185</v>
      </c>
      <c r="C1342" s="0" t="s">
        <v>2175</v>
      </c>
      <c r="D1342" s="0" t="n">
        <v>2</v>
      </c>
    </row>
    <row r="1343" customFormat="false" ht="15" hidden="false" customHeight="false" outlineLevel="0" collapsed="false">
      <c r="A1343" s="0" t="s">
        <v>28</v>
      </c>
      <c r="B1343" s="0" t="s">
        <v>3191</v>
      </c>
      <c r="C1343" s="0" t="s">
        <v>1746</v>
      </c>
      <c r="D1343" s="0" t="n">
        <v>0.5</v>
      </c>
    </row>
    <row r="1344" customFormat="false" ht="15" hidden="false" customHeight="false" outlineLevel="0" collapsed="false">
      <c r="A1344" s="0" t="s">
        <v>28</v>
      </c>
      <c r="B1344" s="0" t="s">
        <v>3191</v>
      </c>
      <c r="C1344" s="0" t="s">
        <v>1882</v>
      </c>
      <c r="D1344" s="0" t="n">
        <v>0.2</v>
      </c>
    </row>
    <row r="1345" customFormat="false" ht="15" hidden="false" customHeight="false" outlineLevel="0" collapsed="false">
      <c r="A1345" s="0" t="s">
        <v>28</v>
      </c>
      <c r="B1345" s="0" t="s">
        <v>3191</v>
      </c>
      <c r="C1345" s="0" t="s">
        <v>2175</v>
      </c>
      <c r="D1345" s="0" t="n">
        <v>0.8</v>
      </c>
    </row>
    <row r="1346" customFormat="false" ht="15" hidden="false" customHeight="false" outlineLevel="0" collapsed="false">
      <c r="A1346" s="0" t="s">
        <v>28</v>
      </c>
      <c r="B1346" s="0" t="s">
        <v>3195</v>
      </c>
      <c r="C1346" s="0" t="s">
        <v>1746</v>
      </c>
      <c r="D1346" s="0" t="n">
        <v>0.3</v>
      </c>
    </row>
    <row r="1347" customFormat="false" ht="15" hidden="false" customHeight="false" outlineLevel="0" collapsed="false">
      <c r="A1347" s="0" t="s">
        <v>28</v>
      </c>
      <c r="B1347" s="0" t="s">
        <v>3195</v>
      </c>
      <c r="C1347" s="0" t="s">
        <v>1882</v>
      </c>
      <c r="D1347" s="0" t="n">
        <v>0.1</v>
      </c>
    </row>
    <row r="1348" customFormat="false" ht="15" hidden="false" customHeight="false" outlineLevel="0" collapsed="false">
      <c r="A1348" s="0" t="s">
        <v>28</v>
      </c>
      <c r="B1348" s="0" t="s">
        <v>3195</v>
      </c>
      <c r="C1348" s="0" t="s">
        <v>2175</v>
      </c>
      <c r="D1348" s="0" t="n">
        <v>0.5</v>
      </c>
    </row>
    <row r="1349" customFormat="false" ht="15" hidden="false" customHeight="false" outlineLevel="0" collapsed="false">
      <c r="A1349" s="0" t="s">
        <v>28</v>
      </c>
      <c r="B1349" s="0" t="s">
        <v>3197</v>
      </c>
      <c r="C1349" s="0" t="s">
        <v>1746</v>
      </c>
      <c r="D1349" s="0" t="n">
        <v>0.2</v>
      </c>
    </row>
    <row r="1350" customFormat="false" ht="15" hidden="false" customHeight="false" outlineLevel="0" collapsed="false">
      <c r="A1350" s="0" t="s">
        <v>28</v>
      </c>
      <c r="B1350" s="0" t="s">
        <v>3197</v>
      </c>
      <c r="C1350" s="0" t="s">
        <v>1882</v>
      </c>
      <c r="D1350" s="0" t="n">
        <v>0.05</v>
      </c>
    </row>
    <row r="1351" customFormat="false" ht="15" hidden="false" customHeight="false" outlineLevel="0" collapsed="false">
      <c r="A1351" s="0" t="s">
        <v>28</v>
      </c>
      <c r="B1351" s="0" t="s">
        <v>3197</v>
      </c>
      <c r="C1351" s="0" t="s">
        <v>2175</v>
      </c>
      <c r="D1351" s="0" t="n">
        <v>0.4</v>
      </c>
    </row>
    <row r="1352" customFormat="false" ht="15" hidden="false" customHeight="false" outlineLevel="0" collapsed="false">
      <c r="A1352" s="0" t="s">
        <v>28</v>
      </c>
      <c r="B1352" s="0" t="s">
        <v>3199</v>
      </c>
      <c r="C1352" s="0" t="s">
        <v>1746</v>
      </c>
      <c r="D1352" s="0" t="n">
        <v>0.15</v>
      </c>
    </row>
    <row r="1353" customFormat="false" ht="15" hidden="false" customHeight="false" outlineLevel="0" collapsed="false">
      <c r="A1353" s="0" t="s">
        <v>28</v>
      </c>
      <c r="B1353" s="0" t="s">
        <v>3199</v>
      </c>
      <c r="C1353" s="0" t="s">
        <v>1882</v>
      </c>
      <c r="D1353" s="0" t="n">
        <v>0.05</v>
      </c>
    </row>
    <row r="1354" customFormat="false" ht="15" hidden="false" customHeight="false" outlineLevel="0" collapsed="false">
      <c r="A1354" s="0" t="s">
        <v>28</v>
      </c>
      <c r="B1354" s="0" t="s">
        <v>3199</v>
      </c>
      <c r="C1354" s="0" t="s">
        <v>2175</v>
      </c>
      <c r="D1354" s="0" t="n">
        <v>0.3</v>
      </c>
    </row>
    <row r="1355" customFormat="false" ht="15" hidden="false" customHeight="false" outlineLevel="0" collapsed="false">
      <c r="A1355" s="0" t="s">
        <v>28</v>
      </c>
      <c r="B1355" s="0" t="s">
        <v>3201</v>
      </c>
      <c r="C1355" s="0" t="s">
        <v>1746</v>
      </c>
      <c r="D1355" s="0" t="n">
        <v>3</v>
      </c>
    </row>
    <row r="1356" customFormat="false" ht="15" hidden="false" customHeight="false" outlineLevel="0" collapsed="false">
      <c r="A1356" s="0" t="s">
        <v>28</v>
      </c>
      <c r="B1356" s="0" t="s">
        <v>3201</v>
      </c>
      <c r="C1356" s="0" t="s">
        <v>1882</v>
      </c>
      <c r="D1356" s="0" t="n">
        <v>1</v>
      </c>
    </row>
    <row r="1357" customFormat="false" ht="15" hidden="false" customHeight="false" outlineLevel="0" collapsed="false">
      <c r="A1357" s="0" t="s">
        <v>28</v>
      </c>
      <c r="B1357" s="0" t="s">
        <v>3201</v>
      </c>
      <c r="C1357" s="0" t="s">
        <v>2175</v>
      </c>
      <c r="D1357" s="0" t="n">
        <v>5</v>
      </c>
    </row>
    <row r="1358" customFormat="false" ht="15" hidden="false" customHeight="false" outlineLevel="0" collapsed="false">
      <c r="A1358" s="0" t="s">
        <v>28</v>
      </c>
      <c r="B1358" s="0" t="s">
        <v>3207</v>
      </c>
      <c r="C1358" s="0" t="s">
        <v>1746</v>
      </c>
      <c r="D1358" s="0" t="n">
        <v>1</v>
      </c>
    </row>
    <row r="1359" customFormat="false" ht="15" hidden="false" customHeight="false" outlineLevel="0" collapsed="false">
      <c r="A1359" s="0" t="s">
        <v>28</v>
      </c>
      <c r="B1359" s="0" t="s">
        <v>3207</v>
      </c>
      <c r="C1359" s="0" t="s">
        <v>1882</v>
      </c>
      <c r="D1359" s="0" t="n">
        <v>0.5</v>
      </c>
    </row>
    <row r="1360" customFormat="false" ht="15" hidden="false" customHeight="false" outlineLevel="0" collapsed="false">
      <c r="A1360" s="0" t="s">
        <v>28</v>
      </c>
      <c r="B1360" s="0" t="s">
        <v>3207</v>
      </c>
      <c r="C1360" s="0" t="s">
        <v>2175</v>
      </c>
      <c r="D1360" s="0" t="n">
        <v>1.5</v>
      </c>
    </row>
    <row r="1361" customFormat="false" ht="15" hidden="false" customHeight="false" outlineLevel="0" collapsed="false">
      <c r="A1361" s="0" t="s">
        <v>28</v>
      </c>
      <c r="B1361" s="0" t="s">
        <v>3210</v>
      </c>
      <c r="C1361" s="0" t="s">
        <v>1746</v>
      </c>
      <c r="D1361" s="0" t="n">
        <v>0.5</v>
      </c>
    </row>
    <row r="1362" customFormat="false" ht="15" hidden="false" customHeight="false" outlineLevel="0" collapsed="false">
      <c r="A1362" s="0" t="s">
        <v>28</v>
      </c>
      <c r="B1362" s="0" t="s">
        <v>3210</v>
      </c>
      <c r="C1362" s="0" t="s">
        <v>1882</v>
      </c>
      <c r="D1362" s="0" t="n">
        <v>0.25</v>
      </c>
    </row>
    <row r="1363" customFormat="false" ht="15" hidden="false" customHeight="false" outlineLevel="0" collapsed="false">
      <c r="A1363" s="0" t="s">
        <v>28</v>
      </c>
      <c r="B1363" s="0" t="s">
        <v>3210</v>
      </c>
      <c r="C1363" s="0" t="s">
        <v>2175</v>
      </c>
      <c r="D1363" s="0" t="n">
        <v>0.8</v>
      </c>
    </row>
    <row r="1364" customFormat="false" ht="15" hidden="false" customHeight="false" outlineLevel="0" collapsed="false">
      <c r="A1364" s="0" t="s">
        <v>28</v>
      </c>
      <c r="B1364" s="0" t="s">
        <v>3212</v>
      </c>
      <c r="C1364" s="0" t="s">
        <v>1746</v>
      </c>
      <c r="D1364" s="0" t="n">
        <v>0.35</v>
      </c>
    </row>
    <row r="1365" customFormat="false" ht="15" hidden="false" customHeight="false" outlineLevel="0" collapsed="false">
      <c r="A1365" s="0" t="s">
        <v>28</v>
      </c>
      <c r="B1365" s="0" t="s">
        <v>3212</v>
      </c>
      <c r="C1365" s="0" t="s">
        <v>1882</v>
      </c>
      <c r="D1365" s="0" t="n">
        <v>0.15</v>
      </c>
    </row>
    <row r="1366" customFormat="false" ht="15" hidden="false" customHeight="false" outlineLevel="0" collapsed="false">
      <c r="A1366" s="0" t="s">
        <v>28</v>
      </c>
      <c r="B1366" s="0" t="s">
        <v>3212</v>
      </c>
      <c r="C1366" s="0" t="s">
        <v>2175</v>
      </c>
      <c r="D1366" s="0" t="n">
        <v>0.5</v>
      </c>
    </row>
    <row r="1367" customFormat="false" ht="15" hidden="false" customHeight="false" outlineLevel="0" collapsed="false">
      <c r="A1367" s="0" t="s">
        <v>28</v>
      </c>
      <c r="B1367" s="0" t="s">
        <v>3214</v>
      </c>
      <c r="C1367" s="0" t="s">
        <v>1746</v>
      </c>
      <c r="D1367" s="0" t="n">
        <v>0.25</v>
      </c>
    </row>
    <row r="1368" customFormat="false" ht="15" hidden="false" customHeight="false" outlineLevel="0" collapsed="false">
      <c r="A1368" s="0" t="s">
        <v>28</v>
      </c>
      <c r="B1368" s="0" t="s">
        <v>3214</v>
      </c>
      <c r="C1368" s="0" t="s">
        <v>1882</v>
      </c>
      <c r="D1368" s="0" t="n">
        <v>0.1</v>
      </c>
    </row>
    <row r="1369" customFormat="false" ht="15" hidden="false" customHeight="false" outlineLevel="0" collapsed="false">
      <c r="A1369" s="0" t="s">
        <v>28</v>
      </c>
      <c r="B1369" s="0" t="s">
        <v>3214</v>
      </c>
      <c r="C1369" s="0" t="s">
        <v>2175</v>
      </c>
      <c r="D1369" s="0" t="n">
        <v>0.4</v>
      </c>
    </row>
    <row r="1370" customFormat="false" ht="15" hidden="false" customHeight="false" outlineLevel="0" collapsed="false">
      <c r="A1370" s="0" t="s">
        <v>28</v>
      </c>
      <c r="B1370" s="0" t="s">
        <v>3216</v>
      </c>
      <c r="C1370" s="0" t="s">
        <v>1746</v>
      </c>
      <c r="D1370" s="0" t="n">
        <v>2</v>
      </c>
    </row>
    <row r="1371" customFormat="false" ht="15" hidden="false" customHeight="false" outlineLevel="0" collapsed="false">
      <c r="A1371" s="0" t="s">
        <v>28</v>
      </c>
      <c r="B1371" s="0" t="s">
        <v>3216</v>
      </c>
      <c r="C1371" s="0" t="s">
        <v>1882</v>
      </c>
      <c r="D1371" s="0" t="n">
        <v>1</v>
      </c>
    </row>
    <row r="1372" customFormat="false" ht="15" hidden="false" customHeight="false" outlineLevel="0" collapsed="false">
      <c r="A1372" s="0" t="s">
        <v>28</v>
      </c>
      <c r="B1372" s="0" t="s">
        <v>3216</v>
      </c>
      <c r="C1372" s="0" t="s">
        <v>2175</v>
      </c>
      <c r="D1372" s="0" t="n">
        <v>4</v>
      </c>
    </row>
    <row r="1373" customFormat="false" ht="15" hidden="false" customHeight="false" outlineLevel="0" collapsed="false">
      <c r="A1373" s="0" t="s">
        <v>28</v>
      </c>
      <c r="B1373" s="0" t="s">
        <v>3223</v>
      </c>
      <c r="C1373" s="0" t="s">
        <v>1746</v>
      </c>
      <c r="D1373" s="0" t="n">
        <v>8</v>
      </c>
    </row>
    <row r="1374" customFormat="false" ht="15" hidden="false" customHeight="false" outlineLevel="0" collapsed="false">
      <c r="A1374" s="0" t="s">
        <v>28</v>
      </c>
      <c r="B1374" s="0" t="s">
        <v>3223</v>
      </c>
      <c r="C1374" s="0" t="s">
        <v>1882</v>
      </c>
      <c r="D1374" s="0" t="n">
        <v>4</v>
      </c>
    </row>
    <row r="1375" customFormat="false" ht="15" hidden="false" customHeight="false" outlineLevel="0" collapsed="false">
      <c r="A1375" s="0" t="s">
        <v>28</v>
      </c>
      <c r="B1375" s="0" t="s">
        <v>3223</v>
      </c>
      <c r="C1375" s="0" t="s">
        <v>2175</v>
      </c>
      <c r="D1375" s="0" t="n">
        <v>15</v>
      </c>
    </row>
    <row r="1376" customFormat="false" ht="15" hidden="false" customHeight="false" outlineLevel="0" collapsed="false">
      <c r="A1376" s="0" t="s">
        <v>28</v>
      </c>
      <c r="B1376" s="0" t="s">
        <v>3227</v>
      </c>
      <c r="C1376" s="0" t="s">
        <v>1746</v>
      </c>
      <c r="D1376" s="0" t="n">
        <v>20</v>
      </c>
    </row>
    <row r="1377" customFormat="false" ht="15" hidden="false" customHeight="false" outlineLevel="0" collapsed="false">
      <c r="A1377" s="0" t="s">
        <v>28</v>
      </c>
      <c r="B1377" s="0" t="s">
        <v>3227</v>
      </c>
      <c r="C1377" s="0" t="s">
        <v>1882</v>
      </c>
      <c r="D1377" s="0" t="n">
        <v>10</v>
      </c>
    </row>
    <row r="1378" customFormat="false" ht="15" hidden="false" customHeight="false" outlineLevel="0" collapsed="false">
      <c r="A1378" s="0" t="s">
        <v>28</v>
      </c>
      <c r="B1378" s="0" t="s">
        <v>3227</v>
      </c>
      <c r="C1378" s="0" t="s">
        <v>2175</v>
      </c>
      <c r="D1378" s="0" t="n">
        <v>40</v>
      </c>
    </row>
    <row r="1379" customFormat="false" ht="15" hidden="false" customHeight="false" outlineLevel="0" collapsed="false">
      <c r="A1379" s="0" t="s">
        <v>28</v>
      </c>
      <c r="B1379" s="0" t="s">
        <v>3231</v>
      </c>
      <c r="C1379" s="0" t="s">
        <v>1746</v>
      </c>
      <c r="D1379" s="0" t="n">
        <v>40</v>
      </c>
    </row>
    <row r="1380" customFormat="false" ht="15" hidden="false" customHeight="false" outlineLevel="0" collapsed="false">
      <c r="A1380" s="0" t="s">
        <v>28</v>
      </c>
      <c r="B1380" s="0" t="s">
        <v>3231</v>
      </c>
      <c r="C1380" s="0" t="s">
        <v>1882</v>
      </c>
      <c r="D1380" s="0" t="n">
        <v>20</v>
      </c>
    </row>
    <row r="1381" customFormat="false" ht="15" hidden="false" customHeight="false" outlineLevel="0" collapsed="false">
      <c r="A1381" s="0" t="s">
        <v>28</v>
      </c>
      <c r="B1381" s="0" t="s">
        <v>3231</v>
      </c>
      <c r="C1381" s="0" t="s">
        <v>2175</v>
      </c>
      <c r="D1381" s="0" t="n">
        <v>80</v>
      </c>
    </row>
    <row r="1382" customFormat="false" ht="15" hidden="false" customHeight="false" outlineLevel="0" collapsed="false">
      <c r="A1382" s="0" t="s">
        <v>28</v>
      </c>
      <c r="B1382" s="0" t="s">
        <v>3235</v>
      </c>
      <c r="C1382" s="0" t="s">
        <v>1746</v>
      </c>
      <c r="D1382" s="0" t="n">
        <v>6</v>
      </c>
    </row>
    <row r="1383" customFormat="false" ht="15" hidden="false" customHeight="false" outlineLevel="0" collapsed="false">
      <c r="A1383" s="0" t="s">
        <v>28</v>
      </c>
      <c r="B1383" s="0" t="s">
        <v>3235</v>
      </c>
      <c r="C1383" s="0" t="s">
        <v>1882</v>
      </c>
      <c r="D1383" s="0" t="n">
        <v>3</v>
      </c>
    </row>
    <row r="1384" customFormat="false" ht="15" hidden="false" customHeight="false" outlineLevel="0" collapsed="false">
      <c r="A1384" s="0" t="s">
        <v>28</v>
      </c>
      <c r="B1384" s="0" t="s">
        <v>3235</v>
      </c>
      <c r="C1384" s="0" t="s">
        <v>2175</v>
      </c>
      <c r="D1384" s="0" t="n">
        <v>12</v>
      </c>
    </row>
    <row r="1385" customFormat="false" ht="15" hidden="false" customHeight="false" outlineLevel="0" collapsed="false">
      <c r="A1385" s="0" t="s">
        <v>28</v>
      </c>
      <c r="B1385" s="0" t="s">
        <v>3239</v>
      </c>
      <c r="C1385" s="0" t="s">
        <v>1746</v>
      </c>
      <c r="D1385" s="0" t="n">
        <v>15</v>
      </c>
    </row>
    <row r="1386" customFormat="false" ht="15" hidden="false" customHeight="false" outlineLevel="0" collapsed="false">
      <c r="A1386" s="0" t="s">
        <v>28</v>
      </c>
      <c r="B1386" s="0" t="s">
        <v>3239</v>
      </c>
      <c r="C1386" s="0" t="s">
        <v>1882</v>
      </c>
      <c r="D1386" s="0" t="n">
        <v>8</v>
      </c>
    </row>
    <row r="1387" customFormat="false" ht="15" hidden="false" customHeight="false" outlineLevel="0" collapsed="false">
      <c r="A1387" s="0" t="s">
        <v>28</v>
      </c>
      <c r="B1387" s="0" t="s">
        <v>3239</v>
      </c>
      <c r="C1387" s="0" t="s">
        <v>2175</v>
      </c>
      <c r="D1387" s="0" t="n">
        <v>30</v>
      </c>
    </row>
    <row r="1388" customFormat="false" ht="15" hidden="false" customHeight="false" outlineLevel="0" collapsed="false">
      <c r="A1388" s="0" t="s">
        <v>28</v>
      </c>
      <c r="B1388" s="0" t="s">
        <v>3243</v>
      </c>
      <c r="C1388" s="0" t="s">
        <v>1746</v>
      </c>
      <c r="D1388" s="0" t="n">
        <v>8</v>
      </c>
    </row>
    <row r="1389" customFormat="false" ht="15" hidden="false" customHeight="false" outlineLevel="0" collapsed="false">
      <c r="A1389" s="0" t="s">
        <v>28</v>
      </c>
      <c r="B1389" s="0" t="s">
        <v>3243</v>
      </c>
      <c r="C1389" s="0" t="s">
        <v>1882</v>
      </c>
      <c r="D1389" s="0" t="n">
        <v>4</v>
      </c>
    </row>
    <row r="1390" customFormat="false" ht="15" hidden="false" customHeight="false" outlineLevel="0" collapsed="false">
      <c r="A1390" s="0" t="s">
        <v>28</v>
      </c>
      <c r="B1390" s="0" t="s">
        <v>3243</v>
      </c>
      <c r="C1390" s="0" t="s">
        <v>2175</v>
      </c>
      <c r="D1390" s="0" t="n">
        <v>15</v>
      </c>
    </row>
    <row r="1391" customFormat="false" ht="15" hidden="false" customHeight="false" outlineLevel="0" collapsed="false">
      <c r="A1391" s="0" t="s">
        <v>28</v>
      </c>
      <c r="B1391" s="0" t="s">
        <v>3247</v>
      </c>
      <c r="C1391" s="0" t="s">
        <v>1746</v>
      </c>
      <c r="D1391" s="0" t="n">
        <v>0.1</v>
      </c>
    </row>
    <row r="1392" customFormat="false" ht="15" hidden="false" customHeight="false" outlineLevel="0" collapsed="false">
      <c r="A1392" s="0" t="s">
        <v>28</v>
      </c>
      <c r="B1392" s="0" t="s">
        <v>3247</v>
      </c>
      <c r="C1392" s="0" t="s">
        <v>1882</v>
      </c>
      <c r="D1392" s="0" t="n">
        <v>0.05</v>
      </c>
    </row>
    <row r="1393" customFormat="false" ht="15" hidden="false" customHeight="false" outlineLevel="0" collapsed="false">
      <c r="A1393" s="0" t="s">
        <v>28</v>
      </c>
      <c r="B1393" s="0" t="s">
        <v>3247</v>
      </c>
      <c r="C1393" s="0" t="s">
        <v>2175</v>
      </c>
      <c r="D1393" s="0" t="n">
        <v>0.2</v>
      </c>
    </row>
    <row r="1394" customFormat="false" ht="15" hidden="false" customHeight="false" outlineLevel="0" collapsed="false">
      <c r="A1394" s="0" t="s">
        <v>28</v>
      </c>
      <c r="B1394" s="0" t="s">
        <v>3253</v>
      </c>
      <c r="C1394" s="0" t="s">
        <v>1746</v>
      </c>
      <c r="D1394" s="0" t="n">
        <v>0.95</v>
      </c>
    </row>
    <row r="1395" customFormat="false" ht="15" hidden="false" customHeight="false" outlineLevel="0" collapsed="false">
      <c r="A1395" s="0" t="s">
        <v>28</v>
      </c>
      <c r="B1395" s="0" t="s">
        <v>3253</v>
      </c>
      <c r="C1395" s="0" t="s">
        <v>1882</v>
      </c>
      <c r="D1395" s="0" t="n">
        <v>0.85</v>
      </c>
    </row>
    <row r="1396" customFormat="false" ht="15" hidden="false" customHeight="false" outlineLevel="0" collapsed="false">
      <c r="A1396" s="0" t="s">
        <v>28</v>
      </c>
      <c r="B1396" s="0" t="s">
        <v>3253</v>
      </c>
      <c r="C1396" s="0" t="s">
        <v>2175</v>
      </c>
      <c r="D1396" s="0" t="n">
        <v>1</v>
      </c>
    </row>
    <row r="1397" customFormat="false" ht="15" hidden="false" customHeight="false" outlineLevel="0" collapsed="false">
      <c r="A1397" s="0" t="s">
        <v>28</v>
      </c>
      <c r="B1397" s="0" t="s">
        <v>3260</v>
      </c>
      <c r="C1397" s="0" t="s">
        <v>1746</v>
      </c>
      <c r="D1397" s="0" t="n">
        <v>0</v>
      </c>
    </row>
    <row r="1398" customFormat="false" ht="15" hidden="false" customHeight="false" outlineLevel="0" collapsed="false">
      <c r="A1398" s="0" t="s">
        <v>28</v>
      </c>
      <c r="B1398" s="0" t="s">
        <v>3260</v>
      </c>
      <c r="C1398" s="0" t="s">
        <v>1882</v>
      </c>
      <c r="D1398" s="0" t="n">
        <v>0</v>
      </c>
    </row>
    <row r="1399" customFormat="false" ht="15" hidden="false" customHeight="false" outlineLevel="0" collapsed="false">
      <c r="A1399" s="0" t="s">
        <v>28</v>
      </c>
      <c r="B1399" s="0" t="s">
        <v>3260</v>
      </c>
      <c r="C1399" s="0" t="s">
        <v>2175</v>
      </c>
      <c r="D1399" s="0" t="n">
        <v>0.05</v>
      </c>
    </row>
    <row r="1400" customFormat="false" ht="15" hidden="false" customHeight="false" outlineLevel="0" collapsed="false">
      <c r="A1400" s="0" t="s">
        <v>28</v>
      </c>
      <c r="B1400" s="0" t="s">
        <v>3264</v>
      </c>
      <c r="C1400" s="0" t="s">
        <v>1746</v>
      </c>
      <c r="D1400" s="0" t="n">
        <v>0.65</v>
      </c>
    </row>
    <row r="1401" customFormat="false" ht="15" hidden="false" customHeight="false" outlineLevel="0" collapsed="false">
      <c r="A1401" s="0" t="s">
        <v>28</v>
      </c>
      <c r="B1401" s="0" t="s">
        <v>3264</v>
      </c>
      <c r="C1401" s="0" t="s">
        <v>1882</v>
      </c>
      <c r="D1401" s="0" t="n">
        <v>0.5</v>
      </c>
    </row>
    <row r="1402" customFormat="false" ht="15" hidden="false" customHeight="false" outlineLevel="0" collapsed="false">
      <c r="A1402" s="0" t="s">
        <v>28</v>
      </c>
      <c r="B1402" s="0" t="s">
        <v>3264</v>
      </c>
      <c r="C1402" s="0" t="s">
        <v>2175</v>
      </c>
      <c r="D1402" s="0" t="n">
        <v>0.8</v>
      </c>
    </row>
    <row r="1403" customFormat="false" ht="15" hidden="false" customHeight="false" outlineLevel="0" collapsed="false">
      <c r="A1403" s="0" t="s">
        <v>28</v>
      </c>
      <c r="B1403" s="0" t="s">
        <v>3268</v>
      </c>
      <c r="C1403" s="0" t="s">
        <v>1746</v>
      </c>
      <c r="D1403" s="0" t="n">
        <v>0.25</v>
      </c>
    </row>
    <row r="1404" customFormat="false" ht="15" hidden="false" customHeight="false" outlineLevel="0" collapsed="false">
      <c r="A1404" s="0" t="s">
        <v>28</v>
      </c>
      <c r="B1404" s="0" t="s">
        <v>3268</v>
      </c>
      <c r="C1404" s="0" t="s">
        <v>1882</v>
      </c>
      <c r="D1404" s="0" t="n">
        <v>0.1</v>
      </c>
    </row>
    <row r="1405" customFormat="false" ht="15" hidden="false" customHeight="false" outlineLevel="0" collapsed="false">
      <c r="A1405" s="0" t="s">
        <v>28</v>
      </c>
      <c r="B1405" s="0" t="s">
        <v>3268</v>
      </c>
      <c r="C1405" s="0" t="s">
        <v>2175</v>
      </c>
      <c r="D1405" s="0" t="n">
        <v>0.4</v>
      </c>
    </row>
    <row r="1406" customFormat="false" ht="15" hidden="false" customHeight="false" outlineLevel="0" collapsed="false">
      <c r="A1406" s="0" t="s">
        <v>28</v>
      </c>
      <c r="B1406" s="0" t="s">
        <v>3270</v>
      </c>
      <c r="C1406" s="0" t="s">
        <v>1746</v>
      </c>
      <c r="D1406" s="0" t="n">
        <v>0.3</v>
      </c>
    </row>
    <row r="1407" customFormat="false" ht="15" hidden="false" customHeight="false" outlineLevel="0" collapsed="false">
      <c r="A1407" s="0" t="s">
        <v>28</v>
      </c>
      <c r="B1407" s="0" t="s">
        <v>3270</v>
      </c>
      <c r="C1407" s="0" t="s">
        <v>1882</v>
      </c>
      <c r="D1407" s="0" t="n">
        <v>0.15</v>
      </c>
    </row>
    <row r="1408" customFormat="false" ht="15" hidden="false" customHeight="false" outlineLevel="0" collapsed="false">
      <c r="A1408" s="0" t="s">
        <v>28</v>
      </c>
      <c r="B1408" s="0" t="s">
        <v>3270</v>
      </c>
      <c r="C1408" s="0" t="s">
        <v>2175</v>
      </c>
      <c r="D1408" s="0" t="n">
        <v>0.5</v>
      </c>
    </row>
    <row r="1409" customFormat="false" ht="15" hidden="false" customHeight="false" outlineLevel="0" collapsed="false">
      <c r="A1409" s="0" t="s">
        <v>28</v>
      </c>
      <c r="B1409" s="0" t="s">
        <v>3275</v>
      </c>
      <c r="C1409" s="0" t="s">
        <v>1746</v>
      </c>
      <c r="D1409" s="0" t="n">
        <v>0.6</v>
      </c>
    </row>
    <row r="1410" customFormat="false" ht="15" hidden="false" customHeight="false" outlineLevel="0" collapsed="false">
      <c r="A1410" s="0" t="s">
        <v>28</v>
      </c>
      <c r="B1410" s="0" t="s">
        <v>3275</v>
      </c>
      <c r="C1410" s="0" t="s">
        <v>1882</v>
      </c>
      <c r="D1410" s="0" t="n">
        <v>0.4</v>
      </c>
    </row>
    <row r="1411" customFormat="false" ht="15" hidden="false" customHeight="false" outlineLevel="0" collapsed="false">
      <c r="A1411" s="0" t="s">
        <v>28</v>
      </c>
      <c r="B1411" s="0" t="s">
        <v>3275</v>
      </c>
      <c r="C1411" s="0" t="s">
        <v>2175</v>
      </c>
      <c r="D1411" s="0" t="n">
        <v>0.75</v>
      </c>
    </row>
    <row r="1412" customFormat="false" ht="15" hidden="false" customHeight="false" outlineLevel="0" collapsed="false">
      <c r="A1412" s="0" t="s">
        <v>28</v>
      </c>
      <c r="B1412" s="0" t="s">
        <v>3277</v>
      </c>
      <c r="C1412" s="0" t="s">
        <v>1746</v>
      </c>
      <c r="D1412" s="0" t="n">
        <v>0.2</v>
      </c>
    </row>
    <row r="1413" customFormat="false" ht="15" hidden="false" customHeight="false" outlineLevel="0" collapsed="false">
      <c r="A1413" s="0" t="s">
        <v>28</v>
      </c>
      <c r="B1413" s="0" t="s">
        <v>3277</v>
      </c>
      <c r="C1413" s="0" t="s">
        <v>1882</v>
      </c>
      <c r="D1413" s="0" t="n">
        <v>0.1</v>
      </c>
    </row>
    <row r="1414" customFormat="false" ht="15" hidden="false" customHeight="false" outlineLevel="0" collapsed="false">
      <c r="A1414" s="0" t="s">
        <v>28</v>
      </c>
      <c r="B1414" s="0" t="s">
        <v>3277</v>
      </c>
      <c r="C1414" s="0" t="s">
        <v>2175</v>
      </c>
      <c r="D1414" s="0" t="n">
        <v>0.35</v>
      </c>
    </row>
    <row r="1415" customFormat="false" ht="15" hidden="false" customHeight="false" outlineLevel="0" collapsed="false">
      <c r="A1415" s="0" t="s">
        <v>28</v>
      </c>
      <c r="B1415" s="0" t="s">
        <v>3280</v>
      </c>
      <c r="C1415" s="0" t="s">
        <v>1746</v>
      </c>
      <c r="D1415" s="0" t="n">
        <v>0.7</v>
      </c>
    </row>
    <row r="1416" customFormat="false" ht="15" hidden="false" customHeight="false" outlineLevel="0" collapsed="false">
      <c r="A1416" s="0" t="s">
        <v>28</v>
      </c>
      <c r="B1416" s="0" t="s">
        <v>3280</v>
      </c>
      <c r="C1416" s="0" t="s">
        <v>1882</v>
      </c>
      <c r="D1416" s="0" t="n">
        <v>0.5</v>
      </c>
    </row>
    <row r="1417" customFormat="false" ht="15" hidden="false" customHeight="false" outlineLevel="0" collapsed="false">
      <c r="A1417" s="0" t="s">
        <v>28</v>
      </c>
      <c r="B1417" s="0" t="s">
        <v>3280</v>
      </c>
      <c r="C1417" s="0" t="s">
        <v>2175</v>
      </c>
      <c r="D1417" s="0" t="n">
        <v>0.85</v>
      </c>
    </row>
    <row r="1418" customFormat="false" ht="15" hidden="false" customHeight="false" outlineLevel="0" collapsed="false">
      <c r="A1418" s="0" t="s">
        <v>28</v>
      </c>
      <c r="B1418" s="0" t="s">
        <v>3282</v>
      </c>
      <c r="C1418" s="0" t="s">
        <v>1746</v>
      </c>
      <c r="D1418" s="0" t="n">
        <v>0.75</v>
      </c>
    </row>
    <row r="1419" customFormat="false" ht="15" hidden="false" customHeight="false" outlineLevel="0" collapsed="false">
      <c r="A1419" s="0" t="s">
        <v>28</v>
      </c>
      <c r="B1419" s="0" t="s">
        <v>3282</v>
      </c>
      <c r="C1419" s="0" t="s">
        <v>1882</v>
      </c>
      <c r="D1419" s="0" t="n">
        <v>0.6</v>
      </c>
    </row>
    <row r="1420" customFormat="false" ht="15" hidden="false" customHeight="false" outlineLevel="0" collapsed="false">
      <c r="A1420" s="0" t="s">
        <v>28</v>
      </c>
      <c r="B1420" s="0" t="s">
        <v>3282</v>
      </c>
      <c r="C1420" s="0" t="s">
        <v>2175</v>
      </c>
      <c r="D1420" s="0" t="n">
        <v>0.9</v>
      </c>
    </row>
    <row r="1421" customFormat="false" ht="15" hidden="false" customHeight="false" outlineLevel="0" collapsed="false">
      <c r="A1421" s="0" t="s">
        <v>28</v>
      </c>
      <c r="B1421" s="0" t="s">
        <v>3286</v>
      </c>
      <c r="C1421" s="0" t="s">
        <v>1746</v>
      </c>
      <c r="D1421" s="0" t="n">
        <v>0.15</v>
      </c>
    </row>
    <row r="1422" customFormat="false" ht="15" hidden="false" customHeight="false" outlineLevel="0" collapsed="false">
      <c r="A1422" s="0" t="s">
        <v>28</v>
      </c>
      <c r="B1422" s="0" t="s">
        <v>3286</v>
      </c>
      <c r="C1422" s="0" t="s">
        <v>1882</v>
      </c>
      <c r="D1422" s="0" t="n">
        <v>0.05</v>
      </c>
    </row>
    <row r="1423" customFormat="false" ht="15" hidden="false" customHeight="false" outlineLevel="0" collapsed="false">
      <c r="A1423" s="0" t="s">
        <v>28</v>
      </c>
      <c r="B1423" s="0" t="s">
        <v>3286</v>
      </c>
      <c r="C1423" s="0" t="s">
        <v>2175</v>
      </c>
      <c r="D1423" s="0" t="n">
        <v>0.3</v>
      </c>
    </row>
    <row r="1424" customFormat="false" ht="15" hidden="false" customHeight="false" outlineLevel="0" collapsed="false">
      <c r="A1424" s="0" t="s">
        <v>28</v>
      </c>
      <c r="B1424" s="0" t="s">
        <v>3288</v>
      </c>
      <c r="C1424" s="0" t="s">
        <v>1746</v>
      </c>
      <c r="D1424" s="0" t="n">
        <v>0.3</v>
      </c>
    </row>
    <row r="1425" customFormat="false" ht="15" hidden="false" customHeight="false" outlineLevel="0" collapsed="false">
      <c r="A1425" s="0" t="s">
        <v>28</v>
      </c>
      <c r="B1425" s="0" t="s">
        <v>3288</v>
      </c>
      <c r="C1425" s="0" t="s">
        <v>1882</v>
      </c>
      <c r="D1425" s="0" t="n">
        <v>0.15</v>
      </c>
    </row>
    <row r="1426" customFormat="false" ht="15" hidden="false" customHeight="false" outlineLevel="0" collapsed="false">
      <c r="A1426" s="0" t="s">
        <v>28</v>
      </c>
      <c r="B1426" s="0" t="s">
        <v>3288</v>
      </c>
      <c r="C1426" s="0" t="s">
        <v>2175</v>
      </c>
      <c r="D1426" s="0" t="n">
        <v>0.5</v>
      </c>
    </row>
    <row r="1427" customFormat="false" ht="15" hidden="false" customHeight="false" outlineLevel="0" collapsed="false">
      <c r="A1427" s="0" t="s">
        <v>28</v>
      </c>
      <c r="B1427" s="0" t="s">
        <v>3292</v>
      </c>
      <c r="C1427" s="0" t="s">
        <v>1746</v>
      </c>
      <c r="D1427" s="0" t="n">
        <v>0.6</v>
      </c>
    </row>
    <row r="1428" customFormat="false" ht="15" hidden="false" customHeight="false" outlineLevel="0" collapsed="false">
      <c r="A1428" s="0" t="s">
        <v>28</v>
      </c>
      <c r="B1428" s="0" t="s">
        <v>3292</v>
      </c>
      <c r="C1428" s="0" t="s">
        <v>1882</v>
      </c>
      <c r="D1428" s="0" t="n">
        <v>0.4</v>
      </c>
    </row>
    <row r="1429" customFormat="false" ht="15" hidden="false" customHeight="false" outlineLevel="0" collapsed="false">
      <c r="A1429" s="0" t="s">
        <v>28</v>
      </c>
      <c r="B1429" s="0" t="s">
        <v>3292</v>
      </c>
      <c r="C1429" s="0" t="s">
        <v>2175</v>
      </c>
      <c r="D1429" s="0" t="n">
        <v>0.75</v>
      </c>
    </row>
    <row r="1430" customFormat="false" ht="15" hidden="false" customHeight="false" outlineLevel="0" collapsed="false">
      <c r="A1430" s="0" t="s">
        <v>28</v>
      </c>
      <c r="B1430" s="0" t="s">
        <v>3294</v>
      </c>
      <c r="C1430" s="0" t="s">
        <v>1746</v>
      </c>
      <c r="D1430" s="0" t="n">
        <v>0.55</v>
      </c>
    </row>
    <row r="1431" customFormat="false" ht="15" hidden="false" customHeight="false" outlineLevel="0" collapsed="false">
      <c r="A1431" s="0" t="s">
        <v>28</v>
      </c>
      <c r="B1431" s="0" t="s">
        <v>3294</v>
      </c>
      <c r="C1431" s="0" t="s">
        <v>1882</v>
      </c>
      <c r="D1431" s="0" t="n">
        <v>0.4</v>
      </c>
    </row>
    <row r="1432" customFormat="false" ht="15" hidden="false" customHeight="false" outlineLevel="0" collapsed="false">
      <c r="A1432" s="0" t="s">
        <v>28</v>
      </c>
      <c r="B1432" s="0" t="s">
        <v>3294</v>
      </c>
      <c r="C1432" s="0" t="s">
        <v>2175</v>
      </c>
      <c r="D1432" s="0" t="n">
        <v>0.7</v>
      </c>
    </row>
    <row r="1433" customFormat="false" ht="15" hidden="false" customHeight="false" outlineLevel="0" collapsed="false">
      <c r="A1433" s="0" t="s">
        <v>28</v>
      </c>
      <c r="B1433" s="0" t="s">
        <v>3298</v>
      </c>
      <c r="C1433" s="0" t="s">
        <v>1746</v>
      </c>
      <c r="D1433" s="0" t="n">
        <v>0.3</v>
      </c>
    </row>
    <row r="1434" customFormat="false" ht="15" hidden="false" customHeight="false" outlineLevel="0" collapsed="false">
      <c r="A1434" s="0" t="s">
        <v>28</v>
      </c>
      <c r="B1434" s="0" t="s">
        <v>3298</v>
      </c>
      <c r="C1434" s="0" t="s">
        <v>1882</v>
      </c>
      <c r="D1434" s="0" t="n">
        <v>0.15</v>
      </c>
    </row>
    <row r="1435" customFormat="false" ht="15" hidden="false" customHeight="false" outlineLevel="0" collapsed="false">
      <c r="A1435" s="0" t="s">
        <v>28</v>
      </c>
      <c r="B1435" s="0" t="s">
        <v>3298</v>
      </c>
      <c r="C1435" s="0" t="s">
        <v>2175</v>
      </c>
      <c r="D1435" s="0" t="n">
        <v>0.45</v>
      </c>
    </row>
    <row r="1436" customFormat="false" ht="15" hidden="false" customHeight="false" outlineLevel="0" collapsed="false">
      <c r="A1436" s="0" t="s">
        <v>28</v>
      </c>
      <c r="B1436" s="0" t="s">
        <v>3300</v>
      </c>
      <c r="C1436" s="0" t="s">
        <v>1746</v>
      </c>
      <c r="D1436" s="31" t="s">
        <v>2720</v>
      </c>
    </row>
    <row r="1437" customFormat="false" ht="15" hidden="false" customHeight="false" outlineLevel="0" collapsed="false">
      <c r="A1437" s="0" t="s">
        <v>28</v>
      </c>
      <c r="B1437" s="0" t="s">
        <v>3300</v>
      </c>
      <c r="C1437" s="0" t="s">
        <v>1882</v>
      </c>
      <c r="D1437" s="31" t="s">
        <v>2720</v>
      </c>
    </row>
    <row r="1438" customFormat="false" ht="15" hidden="false" customHeight="false" outlineLevel="0" collapsed="false">
      <c r="A1438" s="0" t="s">
        <v>28</v>
      </c>
      <c r="B1438" s="0" t="s">
        <v>3300</v>
      </c>
      <c r="C1438" s="0" t="s">
        <v>2175</v>
      </c>
      <c r="D1438" s="31" t="s">
        <v>2720</v>
      </c>
    </row>
    <row r="1439" customFormat="false" ht="17.15" hidden="false" customHeight="false" outlineLevel="0" collapsed="false">
      <c r="A1439" s="0" t="s">
        <v>28</v>
      </c>
      <c r="B1439" s="0" t="s">
        <v>3308</v>
      </c>
      <c r="C1439" s="0" t="s">
        <v>1746</v>
      </c>
      <c r="D1439" s="0" t="s">
        <v>6909</v>
      </c>
    </row>
    <row r="1440" customFormat="false" ht="17.15" hidden="false" customHeight="false" outlineLevel="0" collapsed="false">
      <c r="A1440" s="0" t="s">
        <v>28</v>
      </c>
      <c r="B1440" s="0" t="s">
        <v>3308</v>
      </c>
      <c r="C1440" s="0" t="s">
        <v>1882</v>
      </c>
      <c r="D1440" s="0" t="s">
        <v>6909</v>
      </c>
    </row>
    <row r="1441" customFormat="false" ht="17.15" hidden="false" customHeight="false" outlineLevel="0" collapsed="false">
      <c r="A1441" s="0" t="s">
        <v>28</v>
      </c>
      <c r="B1441" s="0" t="s">
        <v>3308</v>
      </c>
      <c r="C1441" s="0" t="s">
        <v>2175</v>
      </c>
      <c r="D1441" s="0" t="s">
        <v>6909</v>
      </c>
    </row>
    <row r="1442" customFormat="false" ht="15" hidden="false" customHeight="false" outlineLevel="0" collapsed="false">
      <c r="A1442" s="0" t="s">
        <v>28</v>
      </c>
      <c r="B1442" s="0" t="s">
        <v>3313</v>
      </c>
      <c r="C1442" s="0" t="s">
        <v>1746</v>
      </c>
      <c r="D1442" s="31" t="s">
        <v>2722</v>
      </c>
    </row>
    <row r="1443" customFormat="false" ht="15" hidden="false" customHeight="false" outlineLevel="0" collapsed="false">
      <c r="A1443" s="0" t="s">
        <v>28</v>
      </c>
      <c r="B1443" s="0" t="s">
        <v>3313</v>
      </c>
      <c r="C1443" s="0" t="s">
        <v>1882</v>
      </c>
      <c r="D1443" s="31" t="s">
        <v>2722</v>
      </c>
    </row>
    <row r="1444" customFormat="false" ht="15" hidden="false" customHeight="false" outlineLevel="0" collapsed="false">
      <c r="A1444" s="0" t="s">
        <v>28</v>
      </c>
      <c r="B1444" s="0" t="s">
        <v>3313</v>
      </c>
      <c r="C1444" s="0" t="s">
        <v>2175</v>
      </c>
      <c r="D1444" s="31" t="s">
        <v>2722</v>
      </c>
    </row>
    <row r="1445" customFormat="false" ht="15" hidden="false" customHeight="false" outlineLevel="0" collapsed="false">
      <c r="A1445" s="0" t="s">
        <v>28</v>
      </c>
      <c r="B1445" s="0" t="s">
        <v>3318</v>
      </c>
      <c r="C1445" s="0" t="s">
        <v>1746</v>
      </c>
      <c r="D1445" s="0" t="n">
        <v>1</v>
      </c>
    </row>
    <row r="1446" customFormat="false" ht="15" hidden="false" customHeight="false" outlineLevel="0" collapsed="false">
      <c r="A1446" s="0" t="s">
        <v>28</v>
      </c>
      <c r="B1446" s="0" t="s">
        <v>3318</v>
      </c>
      <c r="C1446" s="0" t="s">
        <v>1882</v>
      </c>
      <c r="D1446" s="0" t="n">
        <v>0.5</v>
      </c>
    </row>
    <row r="1447" customFormat="false" ht="15" hidden="false" customHeight="false" outlineLevel="0" collapsed="false">
      <c r="A1447" s="0" t="s">
        <v>28</v>
      </c>
      <c r="B1447" s="0" t="s">
        <v>3318</v>
      </c>
      <c r="C1447" s="0" t="s">
        <v>2175</v>
      </c>
      <c r="D1447" s="0" t="n">
        <v>2</v>
      </c>
    </row>
    <row r="1448" customFormat="false" ht="15" hidden="false" customHeight="false" outlineLevel="0" collapsed="false">
      <c r="A1448" s="0" t="s">
        <v>28</v>
      </c>
      <c r="B1448" s="0" t="s">
        <v>3323</v>
      </c>
      <c r="C1448" s="0" t="s">
        <v>1746</v>
      </c>
      <c r="D1448" s="0" t="n">
        <v>0.15</v>
      </c>
    </row>
    <row r="1449" customFormat="false" ht="15" hidden="false" customHeight="false" outlineLevel="0" collapsed="false">
      <c r="A1449" s="0" t="s">
        <v>28</v>
      </c>
      <c r="B1449" s="0" t="s">
        <v>3323</v>
      </c>
      <c r="C1449" s="0" t="s">
        <v>1882</v>
      </c>
      <c r="D1449" s="0" t="n">
        <v>0.05</v>
      </c>
    </row>
    <row r="1450" customFormat="false" ht="15" hidden="false" customHeight="false" outlineLevel="0" collapsed="false">
      <c r="A1450" s="0" t="s">
        <v>28</v>
      </c>
      <c r="B1450" s="0" t="s">
        <v>3323</v>
      </c>
      <c r="C1450" s="0" t="s">
        <v>2175</v>
      </c>
      <c r="D1450" s="0" t="n">
        <v>0.4</v>
      </c>
    </row>
    <row r="1451" customFormat="false" ht="15" hidden="false" customHeight="false" outlineLevel="0" collapsed="false">
      <c r="A1451" s="0" t="s">
        <v>28</v>
      </c>
      <c r="B1451" s="0" t="s">
        <v>3329</v>
      </c>
      <c r="C1451" s="0" t="s">
        <v>1746</v>
      </c>
      <c r="D1451" s="0" t="n">
        <v>1</v>
      </c>
    </row>
    <row r="1452" customFormat="false" ht="15" hidden="false" customHeight="false" outlineLevel="0" collapsed="false">
      <c r="A1452" s="0" t="s">
        <v>28</v>
      </c>
      <c r="B1452" s="0" t="s">
        <v>3329</v>
      </c>
      <c r="C1452" s="0" t="s">
        <v>1882</v>
      </c>
      <c r="D1452" s="0" t="n">
        <v>0.5</v>
      </c>
    </row>
    <row r="1453" customFormat="false" ht="15" hidden="false" customHeight="false" outlineLevel="0" collapsed="false">
      <c r="A1453" s="0" t="s">
        <v>28</v>
      </c>
      <c r="B1453" s="0" t="s">
        <v>3329</v>
      </c>
      <c r="C1453" s="0" t="s">
        <v>2175</v>
      </c>
      <c r="D1453" s="0" t="n">
        <v>4</v>
      </c>
    </row>
    <row r="1454" customFormat="false" ht="15" hidden="false" customHeight="false" outlineLevel="0" collapsed="false">
      <c r="A1454" s="0" t="s">
        <v>28</v>
      </c>
      <c r="B1454" s="0" t="s">
        <v>3334</v>
      </c>
      <c r="C1454" s="0" t="s">
        <v>1746</v>
      </c>
      <c r="D1454" s="0" t="n">
        <v>1000</v>
      </c>
    </row>
    <row r="1455" customFormat="false" ht="15" hidden="false" customHeight="false" outlineLevel="0" collapsed="false">
      <c r="A1455" s="0" t="s">
        <v>28</v>
      </c>
      <c r="B1455" s="0" t="s">
        <v>3334</v>
      </c>
      <c r="C1455" s="0" t="s">
        <v>1882</v>
      </c>
      <c r="D1455" s="0" t="n">
        <v>1000</v>
      </c>
    </row>
    <row r="1456" customFormat="false" ht="15" hidden="false" customHeight="false" outlineLevel="0" collapsed="false">
      <c r="A1456" s="0" t="s">
        <v>28</v>
      </c>
      <c r="B1456" s="0" t="s">
        <v>3334</v>
      </c>
      <c r="C1456" s="0" t="s">
        <v>2175</v>
      </c>
      <c r="D1456" s="0" t="n">
        <v>1000</v>
      </c>
    </row>
    <row r="1457" customFormat="false" ht="15" hidden="false" customHeight="false" outlineLevel="0" collapsed="false">
      <c r="A1457" s="0" t="s">
        <v>28</v>
      </c>
      <c r="B1457" s="0" t="s">
        <v>3339</v>
      </c>
      <c r="C1457" s="0" t="s">
        <v>1746</v>
      </c>
      <c r="D1457" s="0" t="n">
        <v>0.15</v>
      </c>
    </row>
    <row r="1458" customFormat="false" ht="15" hidden="false" customHeight="false" outlineLevel="0" collapsed="false">
      <c r="A1458" s="0" t="s">
        <v>28</v>
      </c>
      <c r="B1458" s="0" t="s">
        <v>3339</v>
      </c>
      <c r="C1458" s="0" t="s">
        <v>1882</v>
      </c>
      <c r="D1458" s="0" t="n">
        <v>0.05</v>
      </c>
    </row>
    <row r="1459" customFormat="false" ht="15" hidden="false" customHeight="false" outlineLevel="0" collapsed="false">
      <c r="A1459" s="0" t="s">
        <v>28</v>
      </c>
      <c r="B1459" s="0" t="s">
        <v>3339</v>
      </c>
      <c r="C1459" s="0" t="s">
        <v>2175</v>
      </c>
      <c r="D1459" s="0" t="n">
        <v>0.3</v>
      </c>
    </row>
    <row r="1460" customFormat="false" ht="15" hidden="false" customHeight="false" outlineLevel="0" collapsed="false">
      <c r="A1460" s="0" t="s">
        <v>28</v>
      </c>
      <c r="B1460" s="0" t="s">
        <v>3344</v>
      </c>
      <c r="C1460" s="0" t="s">
        <v>1746</v>
      </c>
      <c r="D1460" s="0" t="n">
        <v>0.3</v>
      </c>
    </row>
    <row r="1461" customFormat="false" ht="15" hidden="false" customHeight="false" outlineLevel="0" collapsed="false">
      <c r="A1461" s="0" t="s">
        <v>28</v>
      </c>
      <c r="B1461" s="0" t="s">
        <v>3344</v>
      </c>
      <c r="C1461" s="0" t="s">
        <v>1882</v>
      </c>
      <c r="D1461" s="0" t="n">
        <v>0.15</v>
      </c>
    </row>
    <row r="1462" customFormat="false" ht="15" hidden="false" customHeight="false" outlineLevel="0" collapsed="false">
      <c r="A1462" s="0" t="s">
        <v>28</v>
      </c>
      <c r="B1462" s="0" t="s">
        <v>3344</v>
      </c>
      <c r="C1462" s="0" t="s">
        <v>2175</v>
      </c>
      <c r="D1462" s="0" t="n">
        <v>0.5</v>
      </c>
    </row>
    <row r="1463" customFormat="false" ht="15" hidden="false" customHeight="false" outlineLevel="0" collapsed="false">
      <c r="A1463" s="0" t="s">
        <v>28</v>
      </c>
      <c r="B1463" s="0" t="s">
        <v>3349</v>
      </c>
      <c r="C1463" s="0" t="s">
        <v>1746</v>
      </c>
      <c r="D1463" s="0" t="n">
        <v>0.65</v>
      </c>
    </row>
    <row r="1464" customFormat="false" ht="15" hidden="false" customHeight="false" outlineLevel="0" collapsed="false">
      <c r="A1464" s="0" t="s">
        <v>28</v>
      </c>
      <c r="B1464" s="0" t="s">
        <v>3349</v>
      </c>
      <c r="C1464" s="0" t="s">
        <v>1882</v>
      </c>
      <c r="D1464" s="0" t="n">
        <v>0.45</v>
      </c>
    </row>
    <row r="1465" customFormat="false" ht="15" hidden="false" customHeight="false" outlineLevel="0" collapsed="false">
      <c r="A1465" s="0" t="s">
        <v>28</v>
      </c>
      <c r="B1465" s="0" t="s">
        <v>3349</v>
      </c>
      <c r="C1465" s="0" t="s">
        <v>2175</v>
      </c>
      <c r="D1465" s="0" t="n">
        <v>0.8</v>
      </c>
    </row>
    <row r="1466" customFormat="false" ht="15" hidden="false" customHeight="false" outlineLevel="0" collapsed="false">
      <c r="A1466" s="0" t="s">
        <v>28</v>
      </c>
      <c r="B1466" s="0" t="s">
        <v>3352</v>
      </c>
      <c r="C1466" s="0" t="s">
        <v>1746</v>
      </c>
      <c r="D1466" s="0" t="n">
        <v>0.05</v>
      </c>
    </row>
    <row r="1467" customFormat="false" ht="15" hidden="false" customHeight="false" outlineLevel="0" collapsed="false">
      <c r="A1467" s="0" t="s">
        <v>28</v>
      </c>
      <c r="B1467" s="0" t="s">
        <v>3352</v>
      </c>
      <c r="C1467" s="0" t="s">
        <v>1882</v>
      </c>
      <c r="D1467" s="0" t="n">
        <v>0</v>
      </c>
    </row>
    <row r="1468" customFormat="false" ht="15" hidden="false" customHeight="false" outlineLevel="0" collapsed="false">
      <c r="A1468" s="0" t="s">
        <v>28</v>
      </c>
      <c r="B1468" s="0" t="s">
        <v>3352</v>
      </c>
      <c r="C1468" s="0" t="s">
        <v>2175</v>
      </c>
      <c r="D1468" s="0" t="n">
        <v>0.15</v>
      </c>
    </row>
    <row r="1469" customFormat="false" ht="15" hidden="false" customHeight="false" outlineLevel="0" collapsed="false">
      <c r="A1469" s="0" t="s">
        <v>28</v>
      </c>
      <c r="B1469" s="0" t="s">
        <v>3355</v>
      </c>
      <c r="C1469" s="0" t="s">
        <v>1746</v>
      </c>
      <c r="D1469" s="0" t="n">
        <v>0.6</v>
      </c>
    </row>
    <row r="1470" customFormat="false" ht="15" hidden="false" customHeight="false" outlineLevel="0" collapsed="false">
      <c r="A1470" s="0" t="s">
        <v>28</v>
      </c>
      <c r="B1470" s="0" t="s">
        <v>3355</v>
      </c>
      <c r="C1470" s="0" t="s">
        <v>1882</v>
      </c>
      <c r="D1470" s="0" t="n">
        <v>0.4</v>
      </c>
    </row>
    <row r="1471" customFormat="false" ht="15" hidden="false" customHeight="false" outlineLevel="0" collapsed="false">
      <c r="A1471" s="0" t="s">
        <v>28</v>
      </c>
      <c r="B1471" s="0" t="s">
        <v>3355</v>
      </c>
      <c r="C1471" s="0" t="s">
        <v>2175</v>
      </c>
      <c r="D1471" s="0" t="n">
        <v>0.8</v>
      </c>
    </row>
    <row r="1472" customFormat="false" ht="15" hidden="false" customHeight="false" outlineLevel="0" collapsed="false">
      <c r="A1472" s="0" t="s">
        <v>28</v>
      </c>
      <c r="B1472" s="0" t="s">
        <v>3357</v>
      </c>
      <c r="C1472" s="0" t="s">
        <v>1746</v>
      </c>
      <c r="D1472" s="0" t="n">
        <v>0.25</v>
      </c>
    </row>
    <row r="1473" customFormat="false" ht="15" hidden="false" customHeight="false" outlineLevel="0" collapsed="false">
      <c r="A1473" s="0" t="s">
        <v>28</v>
      </c>
      <c r="B1473" s="0" t="s">
        <v>3357</v>
      </c>
      <c r="C1473" s="0" t="s">
        <v>1882</v>
      </c>
      <c r="D1473" s="0" t="n">
        <v>0.1</v>
      </c>
    </row>
    <row r="1474" customFormat="false" ht="15" hidden="false" customHeight="false" outlineLevel="0" collapsed="false">
      <c r="A1474" s="0" t="s">
        <v>28</v>
      </c>
      <c r="B1474" s="0" t="s">
        <v>3357</v>
      </c>
      <c r="C1474" s="0" t="s">
        <v>2175</v>
      </c>
      <c r="D1474" s="0" t="n">
        <v>0.4</v>
      </c>
    </row>
    <row r="1475" customFormat="false" ht="15" hidden="false" customHeight="false" outlineLevel="0" collapsed="false">
      <c r="A1475" s="0" t="s">
        <v>28</v>
      </c>
      <c r="B1475" s="0" t="s">
        <v>3360</v>
      </c>
      <c r="C1475" s="0" t="s">
        <v>1746</v>
      </c>
      <c r="D1475" s="0" t="n">
        <v>0.6</v>
      </c>
    </row>
    <row r="1476" customFormat="false" ht="15" hidden="false" customHeight="false" outlineLevel="0" collapsed="false">
      <c r="A1476" s="0" t="s">
        <v>28</v>
      </c>
      <c r="B1476" s="0" t="s">
        <v>3360</v>
      </c>
      <c r="C1476" s="0" t="s">
        <v>1882</v>
      </c>
      <c r="D1476" s="0" t="n">
        <v>0.4</v>
      </c>
    </row>
    <row r="1477" customFormat="false" ht="15" hidden="false" customHeight="false" outlineLevel="0" collapsed="false">
      <c r="A1477" s="0" t="s">
        <v>28</v>
      </c>
      <c r="B1477" s="0" t="s">
        <v>3360</v>
      </c>
      <c r="C1477" s="0" t="s">
        <v>2175</v>
      </c>
      <c r="D1477" s="0" t="n">
        <v>0.75</v>
      </c>
    </row>
    <row r="1478" customFormat="false" ht="15" hidden="false" customHeight="false" outlineLevel="0" collapsed="false">
      <c r="A1478" s="0" t="s">
        <v>28</v>
      </c>
      <c r="B1478" s="0" t="s">
        <v>3362</v>
      </c>
      <c r="C1478" s="0" t="s">
        <v>1746</v>
      </c>
      <c r="D1478" s="0" t="n">
        <v>0.2</v>
      </c>
    </row>
    <row r="1479" customFormat="false" ht="15" hidden="false" customHeight="false" outlineLevel="0" collapsed="false">
      <c r="A1479" s="0" t="s">
        <v>28</v>
      </c>
      <c r="B1479" s="0" t="s">
        <v>3362</v>
      </c>
      <c r="C1479" s="0" t="s">
        <v>1882</v>
      </c>
      <c r="D1479" s="0" t="n">
        <v>0.1</v>
      </c>
    </row>
    <row r="1480" customFormat="false" ht="15" hidden="false" customHeight="false" outlineLevel="0" collapsed="false">
      <c r="A1480" s="0" t="s">
        <v>28</v>
      </c>
      <c r="B1480" s="0" t="s">
        <v>3362</v>
      </c>
      <c r="C1480" s="0" t="s">
        <v>2175</v>
      </c>
      <c r="D1480" s="0" t="n">
        <v>0.35</v>
      </c>
    </row>
    <row r="1481" customFormat="false" ht="15" hidden="false" customHeight="false" outlineLevel="0" collapsed="false">
      <c r="A1481" s="0" t="s">
        <v>28</v>
      </c>
      <c r="B1481" s="0" t="s">
        <v>3367</v>
      </c>
      <c r="C1481" s="0" t="s">
        <v>1746</v>
      </c>
      <c r="D1481" s="0" t="n">
        <v>0.65</v>
      </c>
    </row>
    <row r="1482" customFormat="false" ht="15" hidden="false" customHeight="false" outlineLevel="0" collapsed="false">
      <c r="A1482" s="0" t="s">
        <v>28</v>
      </c>
      <c r="B1482" s="0" t="s">
        <v>3367</v>
      </c>
      <c r="C1482" s="0" t="s">
        <v>1882</v>
      </c>
      <c r="D1482" s="0" t="n">
        <v>0.5</v>
      </c>
    </row>
    <row r="1483" customFormat="false" ht="15" hidden="false" customHeight="false" outlineLevel="0" collapsed="false">
      <c r="A1483" s="0" t="s">
        <v>28</v>
      </c>
      <c r="B1483" s="0" t="s">
        <v>3367</v>
      </c>
      <c r="C1483" s="0" t="s">
        <v>2175</v>
      </c>
      <c r="D1483" s="0" t="n">
        <v>0.8</v>
      </c>
    </row>
    <row r="1484" customFormat="false" ht="15" hidden="false" customHeight="false" outlineLevel="0" collapsed="false">
      <c r="A1484" s="0" t="s">
        <v>28</v>
      </c>
      <c r="B1484" s="0" t="s">
        <v>3371</v>
      </c>
      <c r="C1484" s="0" t="s">
        <v>1746</v>
      </c>
      <c r="D1484" s="0" t="n">
        <v>0.15</v>
      </c>
    </row>
    <row r="1485" customFormat="false" ht="15" hidden="false" customHeight="false" outlineLevel="0" collapsed="false">
      <c r="A1485" s="0" t="s">
        <v>28</v>
      </c>
      <c r="B1485" s="0" t="s">
        <v>3371</v>
      </c>
      <c r="C1485" s="0" t="s">
        <v>1882</v>
      </c>
      <c r="D1485" s="0" t="n">
        <v>0.05</v>
      </c>
    </row>
    <row r="1486" customFormat="false" ht="15" hidden="false" customHeight="false" outlineLevel="0" collapsed="false">
      <c r="A1486" s="0" t="s">
        <v>28</v>
      </c>
      <c r="B1486" s="0" t="s">
        <v>3371</v>
      </c>
      <c r="C1486" s="0" t="s">
        <v>2175</v>
      </c>
      <c r="D1486" s="0" t="n">
        <v>0.3</v>
      </c>
    </row>
    <row r="1487" customFormat="false" ht="15" hidden="false" customHeight="false" outlineLevel="0" collapsed="false">
      <c r="A1487" s="0" t="s">
        <v>28</v>
      </c>
      <c r="B1487" s="0" t="s">
        <v>3373</v>
      </c>
      <c r="C1487" s="0" t="s">
        <v>1746</v>
      </c>
      <c r="D1487" s="0" t="n">
        <v>0.5</v>
      </c>
    </row>
    <row r="1488" customFormat="false" ht="15" hidden="false" customHeight="false" outlineLevel="0" collapsed="false">
      <c r="A1488" s="0" t="s">
        <v>28</v>
      </c>
      <c r="B1488" s="0" t="s">
        <v>3373</v>
      </c>
      <c r="C1488" s="0" t="s">
        <v>1882</v>
      </c>
      <c r="D1488" s="0" t="n">
        <v>0.35</v>
      </c>
    </row>
    <row r="1489" customFormat="false" ht="15" hidden="false" customHeight="false" outlineLevel="0" collapsed="false">
      <c r="A1489" s="0" t="s">
        <v>28</v>
      </c>
      <c r="B1489" s="0" t="s">
        <v>3373</v>
      </c>
      <c r="C1489" s="0" t="s">
        <v>2175</v>
      </c>
      <c r="D1489" s="0" t="n">
        <v>0.65</v>
      </c>
    </row>
    <row r="1490" customFormat="false" ht="15" hidden="false" customHeight="false" outlineLevel="0" collapsed="false">
      <c r="A1490" s="0" t="s">
        <v>28</v>
      </c>
      <c r="B1490" s="0" t="s">
        <v>3376</v>
      </c>
      <c r="C1490" s="0" t="s">
        <v>1746</v>
      </c>
      <c r="D1490" s="0" t="n">
        <v>0.2</v>
      </c>
    </row>
    <row r="1491" customFormat="false" ht="15" hidden="false" customHeight="false" outlineLevel="0" collapsed="false">
      <c r="A1491" s="0" t="s">
        <v>28</v>
      </c>
      <c r="B1491" s="0" t="s">
        <v>3376</v>
      </c>
      <c r="C1491" s="0" t="s">
        <v>1882</v>
      </c>
      <c r="D1491" s="0" t="n">
        <v>0.1</v>
      </c>
    </row>
    <row r="1492" customFormat="false" ht="15" hidden="false" customHeight="false" outlineLevel="0" collapsed="false">
      <c r="A1492" s="0" t="s">
        <v>28</v>
      </c>
      <c r="B1492" s="0" t="s">
        <v>3376</v>
      </c>
      <c r="C1492" s="0" t="s">
        <v>2175</v>
      </c>
      <c r="D1492" s="0" t="n">
        <v>0.35</v>
      </c>
    </row>
    <row r="1493" customFormat="false" ht="15" hidden="false" customHeight="false" outlineLevel="0" collapsed="false">
      <c r="A1493" s="0" t="s">
        <v>28</v>
      </c>
      <c r="B1493" s="0" t="s">
        <v>3381</v>
      </c>
      <c r="C1493" s="0" t="s">
        <v>1746</v>
      </c>
      <c r="D1493" s="0" t="n">
        <v>0.6</v>
      </c>
    </row>
    <row r="1494" customFormat="false" ht="15" hidden="false" customHeight="false" outlineLevel="0" collapsed="false">
      <c r="A1494" s="0" t="s">
        <v>28</v>
      </c>
      <c r="B1494" s="0" t="s">
        <v>3381</v>
      </c>
      <c r="C1494" s="0" t="s">
        <v>1882</v>
      </c>
      <c r="D1494" s="0" t="n">
        <v>0.3</v>
      </c>
    </row>
    <row r="1495" customFormat="false" ht="15" hidden="false" customHeight="false" outlineLevel="0" collapsed="false">
      <c r="A1495" s="0" t="s">
        <v>28</v>
      </c>
      <c r="B1495" s="0" t="s">
        <v>3381</v>
      </c>
      <c r="C1495" s="0" t="s">
        <v>2175</v>
      </c>
      <c r="D1495" s="0" t="n">
        <v>0.85</v>
      </c>
    </row>
    <row r="1496" customFormat="false" ht="15" hidden="false" customHeight="false" outlineLevel="0" collapsed="false">
      <c r="A1496" s="0" t="s">
        <v>28</v>
      </c>
      <c r="B1496" s="0" t="s">
        <v>3387</v>
      </c>
      <c r="C1496" s="0" t="s">
        <v>1746</v>
      </c>
      <c r="D1496" s="0" t="n">
        <v>0.05</v>
      </c>
    </row>
    <row r="1497" customFormat="false" ht="15" hidden="false" customHeight="false" outlineLevel="0" collapsed="false">
      <c r="A1497" s="0" t="s">
        <v>28</v>
      </c>
      <c r="B1497" s="0" t="s">
        <v>3387</v>
      </c>
      <c r="C1497" s="0" t="s">
        <v>1882</v>
      </c>
      <c r="D1497" s="0" t="n">
        <v>0</v>
      </c>
    </row>
    <row r="1498" customFormat="false" ht="15" hidden="false" customHeight="false" outlineLevel="0" collapsed="false">
      <c r="A1498" s="0" t="s">
        <v>28</v>
      </c>
      <c r="B1498" s="0" t="s">
        <v>3387</v>
      </c>
      <c r="C1498" s="0" t="s">
        <v>2175</v>
      </c>
      <c r="D1498" s="0" t="n">
        <v>0.15</v>
      </c>
    </row>
    <row r="1499" customFormat="false" ht="15" hidden="false" customHeight="false" outlineLevel="0" collapsed="false">
      <c r="A1499" s="0" t="s">
        <v>28</v>
      </c>
      <c r="B1499" s="0" t="s">
        <v>3392</v>
      </c>
      <c r="C1499" s="0" t="s">
        <v>1746</v>
      </c>
      <c r="D1499" s="0" t="n">
        <v>0.05</v>
      </c>
    </row>
    <row r="1500" customFormat="false" ht="15" hidden="false" customHeight="false" outlineLevel="0" collapsed="false">
      <c r="A1500" s="0" t="s">
        <v>28</v>
      </c>
      <c r="B1500" s="0" t="s">
        <v>3392</v>
      </c>
      <c r="C1500" s="0" t="s">
        <v>1882</v>
      </c>
      <c r="D1500" s="0" t="n">
        <v>0</v>
      </c>
    </row>
    <row r="1501" customFormat="false" ht="15" hidden="false" customHeight="false" outlineLevel="0" collapsed="false">
      <c r="A1501" s="0" t="s">
        <v>28</v>
      </c>
      <c r="B1501" s="0" t="s">
        <v>3392</v>
      </c>
      <c r="C1501" s="0" t="s">
        <v>2175</v>
      </c>
      <c r="D1501" s="0" t="n">
        <v>0.2</v>
      </c>
    </row>
    <row r="1502" customFormat="false" ht="15" hidden="false" customHeight="false" outlineLevel="0" collapsed="false">
      <c r="A1502" s="0" t="s">
        <v>28</v>
      </c>
      <c r="B1502" s="0" t="s">
        <v>3397</v>
      </c>
      <c r="C1502" s="0" t="s">
        <v>1746</v>
      </c>
      <c r="D1502" s="0" t="n">
        <v>0.1</v>
      </c>
    </row>
    <row r="1503" customFormat="false" ht="15" hidden="false" customHeight="false" outlineLevel="0" collapsed="false">
      <c r="A1503" s="0" t="s">
        <v>28</v>
      </c>
      <c r="B1503" s="0" t="s">
        <v>3397</v>
      </c>
      <c r="C1503" s="0" t="s">
        <v>1882</v>
      </c>
      <c r="D1503" s="0" t="n">
        <v>0</v>
      </c>
    </row>
    <row r="1504" customFormat="false" ht="15" hidden="false" customHeight="false" outlineLevel="0" collapsed="false">
      <c r="A1504" s="0" t="s">
        <v>28</v>
      </c>
      <c r="B1504" s="0" t="s">
        <v>3397</v>
      </c>
      <c r="C1504" s="0" t="s">
        <v>2175</v>
      </c>
      <c r="D1504" s="0" t="n">
        <v>0.25</v>
      </c>
    </row>
    <row r="1505" customFormat="false" ht="15" hidden="false" customHeight="false" outlineLevel="0" collapsed="false">
      <c r="A1505" s="0" t="s">
        <v>28</v>
      </c>
      <c r="B1505" s="0" t="s">
        <v>3402</v>
      </c>
      <c r="C1505" s="0" t="s">
        <v>1746</v>
      </c>
      <c r="D1505" s="0" t="n">
        <v>50</v>
      </c>
    </row>
    <row r="1506" customFormat="false" ht="15" hidden="false" customHeight="false" outlineLevel="0" collapsed="false">
      <c r="A1506" s="0" t="s">
        <v>28</v>
      </c>
      <c r="B1506" s="0" t="s">
        <v>3402</v>
      </c>
      <c r="C1506" s="0" t="s">
        <v>1882</v>
      </c>
      <c r="D1506" s="0" t="n">
        <v>10</v>
      </c>
    </row>
    <row r="1507" customFormat="false" ht="15" hidden="false" customHeight="false" outlineLevel="0" collapsed="false">
      <c r="A1507" s="0" t="s">
        <v>28</v>
      </c>
      <c r="B1507" s="0" t="s">
        <v>3402</v>
      </c>
      <c r="C1507" s="0" t="s">
        <v>2175</v>
      </c>
      <c r="D1507" s="0" t="n">
        <v>200</v>
      </c>
    </row>
    <row r="1508" customFormat="false" ht="15" hidden="false" customHeight="false" outlineLevel="0" collapsed="false">
      <c r="A1508" s="0" t="s">
        <v>28</v>
      </c>
      <c r="B1508" s="0" t="s">
        <v>3408</v>
      </c>
      <c r="C1508" s="0" t="s">
        <v>1746</v>
      </c>
      <c r="D1508" s="0" t="n">
        <v>0.2</v>
      </c>
    </row>
    <row r="1509" customFormat="false" ht="15" hidden="false" customHeight="false" outlineLevel="0" collapsed="false">
      <c r="A1509" s="0" t="s">
        <v>28</v>
      </c>
      <c r="B1509" s="0" t="s">
        <v>3408</v>
      </c>
      <c r="C1509" s="0" t="s">
        <v>1882</v>
      </c>
      <c r="D1509" s="0" t="n">
        <v>0.1</v>
      </c>
    </row>
    <row r="1510" customFormat="false" ht="15" hidden="false" customHeight="false" outlineLevel="0" collapsed="false">
      <c r="A1510" s="0" t="s">
        <v>28</v>
      </c>
      <c r="B1510" s="0" t="s">
        <v>3408</v>
      </c>
      <c r="C1510" s="0" t="s">
        <v>2175</v>
      </c>
      <c r="D1510" s="0" t="n">
        <v>0.3</v>
      </c>
    </row>
    <row r="1511" customFormat="false" ht="15" hidden="false" customHeight="false" outlineLevel="0" collapsed="false">
      <c r="A1511" s="0" t="s">
        <v>28</v>
      </c>
      <c r="B1511" s="0" t="s">
        <v>3413</v>
      </c>
      <c r="C1511" s="0" t="s">
        <v>1746</v>
      </c>
      <c r="D1511" s="0" t="n">
        <v>0.15</v>
      </c>
    </row>
    <row r="1512" customFormat="false" ht="15" hidden="false" customHeight="false" outlineLevel="0" collapsed="false">
      <c r="A1512" s="0" t="s">
        <v>28</v>
      </c>
      <c r="B1512" s="0" t="s">
        <v>3413</v>
      </c>
      <c r="C1512" s="0" t="s">
        <v>1882</v>
      </c>
      <c r="D1512" s="0" t="n">
        <v>0.075</v>
      </c>
    </row>
    <row r="1513" customFormat="false" ht="15" hidden="false" customHeight="false" outlineLevel="0" collapsed="false">
      <c r="A1513" s="0" t="s">
        <v>28</v>
      </c>
      <c r="B1513" s="0" t="s">
        <v>3413</v>
      </c>
      <c r="C1513" s="0" t="s">
        <v>2175</v>
      </c>
      <c r="D1513" s="0" t="n">
        <v>0.225</v>
      </c>
    </row>
    <row r="1514" customFormat="false" ht="15" hidden="false" customHeight="false" outlineLevel="0" collapsed="false">
      <c r="A1514" s="0" t="s">
        <v>28</v>
      </c>
      <c r="B1514" s="0" t="s">
        <v>3417</v>
      </c>
      <c r="C1514" s="0" t="s">
        <v>1746</v>
      </c>
      <c r="D1514" s="0" t="n">
        <v>0.12</v>
      </c>
    </row>
    <row r="1515" customFormat="false" ht="15" hidden="false" customHeight="false" outlineLevel="0" collapsed="false">
      <c r="A1515" s="0" t="s">
        <v>28</v>
      </c>
      <c r="B1515" s="0" t="s">
        <v>3417</v>
      </c>
      <c r="C1515" s="0" t="s">
        <v>1882</v>
      </c>
      <c r="D1515" s="0" t="n">
        <v>0.06</v>
      </c>
    </row>
    <row r="1516" customFormat="false" ht="15" hidden="false" customHeight="false" outlineLevel="0" collapsed="false">
      <c r="A1516" s="0" t="s">
        <v>28</v>
      </c>
      <c r="B1516" s="0" t="s">
        <v>3417</v>
      </c>
      <c r="C1516" s="0" t="s">
        <v>2175</v>
      </c>
      <c r="D1516" s="0" t="n">
        <v>0.18</v>
      </c>
    </row>
    <row r="1517" customFormat="false" ht="15" hidden="false" customHeight="false" outlineLevel="0" collapsed="false">
      <c r="A1517" s="0" t="s">
        <v>28</v>
      </c>
      <c r="B1517" s="0" t="s">
        <v>3420</v>
      </c>
      <c r="C1517" s="0" t="s">
        <v>1746</v>
      </c>
      <c r="D1517" s="0" t="n">
        <v>0.1</v>
      </c>
    </row>
    <row r="1518" customFormat="false" ht="15" hidden="false" customHeight="false" outlineLevel="0" collapsed="false">
      <c r="A1518" s="0" t="s">
        <v>28</v>
      </c>
      <c r="B1518" s="0" t="s">
        <v>3420</v>
      </c>
      <c r="C1518" s="0" t="s">
        <v>1882</v>
      </c>
      <c r="D1518" s="0" t="n">
        <v>0.05</v>
      </c>
    </row>
    <row r="1519" customFormat="false" ht="15" hidden="false" customHeight="false" outlineLevel="0" collapsed="false">
      <c r="A1519" s="0" t="s">
        <v>28</v>
      </c>
      <c r="B1519" s="0" t="s">
        <v>3420</v>
      </c>
      <c r="C1519" s="0" t="s">
        <v>2175</v>
      </c>
      <c r="D1519" s="0" t="n">
        <v>0.15</v>
      </c>
    </row>
    <row r="1520" customFormat="false" ht="15" hidden="false" customHeight="false" outlineLevel="0" collapsed="false">
      <c r="A1520" s="0" t="s">
        <v>28</v>
      </c>
      <c r="B1520" s="0" t="s">
        <v>3423</v>
      </c>
      <c r="C1520" s="0" t="s">
        <v>1746</v>
      </c>
      <c r="D1520" s="0" t="n">
        <v>0.08</v>
      </c>
    </row>
    <row r="1521" customFormat="false" ht="15" hidden="false" customHeight="false" outlineLevel="0" collapsed="false">
      <c r="A1521" s="0" t="s">
        <v>28</v>
      </c>
      <c r="B1521" s="0" t="s">
        <v>3423</v>
      </c>
      <c r="C1521" s="0" t="s">
        <v>1882</v>
      </c>
      <c r="D1521" s="0" t="n">
        <v>0.04</v>
      </c>
    </row>
    <row r="1522" customFormat="false" ht="15" hidden="false" customHeight="false" outlineLevel="0" collapsed="false">
      <c r="A1522" s="0" t="s">
        <v>28</v>
      </c>
      <c r="B1522" s="0" t="s">
        <v>3423</v>
      </c>
      <c r="C1522" s="0" t="s">
        <v>2175</v>
      </c>
      <c r="D1522" s="0" t="n">
        <v>0.12</v>
      </c>
    </row>
    <row r="1523" customFormat="false" ht="15" hidden="false" customHeight="false" outlineLevel="0" collapsed="false">
      <c r="A1523" s="0" t="s">
        <v>28</v>
      </c>
      <c r="B1523" s="0" t="s">
        <v>3426</v>
      </c>
      <c r="C1523" s="0" t="s">
        <v>1746</v>
      </c>
      <c r="D1523" s="0" t="n">
        <v>0.45</v>
      </c>
    </row>
    <row r="1524" customFormat="false" ht="15" hidden="false" customHeight="false" outlineLevel="0" collapsed="false">
      <c r="A1524" s="0" t="s">
        <v>28</v>
      </c>
      <c r="B1524" s="0" t="s">
        <v>3426</v>
      </c>
      <c r="C1524" s="0" t="s">
        <v>1882</v>
      </c>
      <c r="D1524" s="0" t="n">
        <v>0.225</v>
      </c>
    </row>
    <row r="1525" customFormat="false" ht="15" hidden="false" customHeight="false" outlineLevel="0" collapsed="false">
      <c r="A1525" s="0" t="s">
        <v>28</v>
      </c>
      <c r="B1525" s="0" t="s">
        <v>3426</v>
      </c>
      <c r="C1525" s="0" t="s">
        <v>2175</v>
      </c>
      <c r="D1525" s="0" t="n">
        <v>0.9</v>
      </c>
    </row>
    <row r="1526" customFormat="false" ht="15" hidden="false" customHeight="false" outlineLevel="0" collapsed="false">
      <c r="A1526" s="0" t="s">
        <v>28</v>
      </c>
      <c r="B1526" s="0" t="s">
        <v>3431</v>
      </c>
      <c r="C1526" s="0" t="s">
        <v>1746</v>
      </c>
      <c r="D1526" s="0" t="n">
        <v>0.35</v>
      </c>
    </row>
    <row r="1527" customFormat="false" ht="15" hidden="false" customHeight="false" outlineLevel="0" collapsed="false">
      <c r="A1527" s="0" t="s">
        <v>28</v>
      </c>
      <c r="B1527" s="0" t="s">
        <v>3431</v>
      </c>
      <c r="C1527" s="0" t="s">
        <v>1882</v>
      </c>
      <c r="D1527" s="0" t="n">
        <v>0.175</v>
      </c>
    </row>
    <row r="1528" customFormat="false" ht="15" hidden="false" customHeight="false" outlineLevel="0" collapsed="false">
      <c r="A1528" s="0" t="s">
        <v>28</v>
      </c>
      <c r="B1528" s="0" t="s">
        <v>3431</v>
      </c>
      <c r="C1528" s="0" t="s">
        <v>2175</v>
      </c>
      <c r="D1528" s="0" t="n">
        <v>0.7</v>
      </c>
    </row>
    <row r="1529" customFormat="false" ht="15" hidden="false" customHeight="false" outlineLevel="0" collapsed="false">
      <c r="A1529" s="0" t="s">
        <v>28</v>
      </c>
      <c r="B1529" s="0" t="s">
        <v>3434</v>
      </c>
      <c r="C1529" s="0" t="s">
        <v>1746</v>
      </c>
      <c r="D1529" s="0" t="n">
        <v>0.25</v>
      </c>
    </row>
    <row r="1530" customFormat="false" ht="15" hidden="false" customHeight="false" outlineLevel="0" collapsed="false">
      <c r="A1530" s="0" t="s">
        <v>28</v>
      </c>
      <c r="B1530" s="0" t="s">
        <v>3434</v>
      </c>
      <c r="C1530" s="0" t="s">
        <v>1882</v>
      </c>
      <c r="D1530" s="0" t="n">
        <v>0.125</v>
      </c>
    </row>
    <row r="1531" customFormat="false" ht="15" hidden="false" customHeight="false" outlineLevel="0" collapsed="false">
      <c r="A1531" s="0" t="s">
        <v>28</v>
      </c>
      <c r="B1531" s="0" t="s">
        <v>3434</v>
      </c>
      <c r="C1531" s="0" t="s">
        <v>2175</v>
      </c>
      <c r="D1531" s="0" t="n">
        <v>0.5</v>
      </c>
    </row>
    <row r="1532" customFormat="false" ht="15" hidden="false" customHeight="false" outlineLevel="0" collapsed="false">
      <c r="A1532" s="0" t="s">
        <v>28</v>
      </c>
      <c r="B1532" s="0" t="s">
        <v>3437</v>
      </c>
      <c r="C1532" s="0" t="s">
        <v>1746</v>
      </c>
      <c r="D1532" s="0" t="n">
        <v>0.2</v>
      </c>
    </row>
    <row r="1533" customFormat="false" ht="15" hidden="false" customHeight="false" outlineLevel="0" collapsed="false">
      <c r="A1533" s="0" t="s">
        <v>28</v>
      </c>
      <c r="B1533" s="0" t="s">
        <v>3437</v>
      </c>
      <c r="C1533" s="0" t="s">
        <v>1882</v>
      </c>
      <c r="D1533" s="0" t="n">
        <v>0.1</v>
      </c>
    </row>
    <row r="1534" customFormat="false" ht="15" hidden="false" customHeight="false" outlineLevel="0" collapsed="false">
      <c r="A1534" s="0" t="s">
        <v>28</v>
      </c>
      <c r="B1534" s="0" t="s">
        <v>3437</v>
      </c>
      <c r="C1534" s="0" t="s">
        <v>2175</v>
      </c>
      <c r="D1534" s="0" t="n">
        <v>0.4</v>
      </c>
    </row>
    <row r="1535" customFormat="false" ht="15" hidden="false" customHeight="false" outlineLevel="0" collapsed="false">
      <c r="A1535" s="0" t="s">
        <v>28</v>
      </c>
      <c r="B1535" s="0" t="s">
        <v>3440</v>
      </c>
      <c r="C1535" s="0" t="s">
        <v>1746</v>
      </c>
      <c r="D1535" s="0" t="n">
        <v>-0.7</v>
      </c>
    </row>
    <row r="1536" customFormat="false" ht="15" hidden="false" customHeight="false" outlineLevel="0" collapsed="false">
      <c r="A1536" s="0" t="s">
        <v>28</v>
      </c>
      <c r="B1536" s="0" t="s">
        <v>3440</v>
      </c>
      <c r="C1536" s="0" t="s">
        <v>1882</v>
      </c>
      <c r="D1536" s="0" t="n">
        <v>-1.05</v>
      </c>
    </row>
    <row r="1537" customFormat="false" ht="15" hidden="false" customHeight="false" outlineLevel="0" collapsed="false">
      <c r="A1537" s="0" t="s">
        <v>28</v>
      </c>
      <c r="B1537" s="0" t="s">
        <v>3440</v>
      </c>
      <c r="C1537" s="0" t="s">
        <v>2175</v>
      </c>
      <c r="D1537" s="0" t="n">
        <v>-0.35</v>
      </c>
    </row>
    <row r="1538" customFormat="false" ht="15" hidden="false" customHeight="false" outlineLevel="0" collapsed="false">
      <c r="A1538" s="0" t="s">
        <v>28</v>
      </c>
      <c r="B1538" s="0" t="s">
        <v>3446</v>
      </c>
      <c r="C1538" s="0" t="s">
        <v>1746</v>
      </c>
      <c r="D1538" s="0" t="n">
        <v>-0.3</v>
      </c>
    </row>
    <row r="1539" customFormat="false" ht="15" hidden="false" customHeight="false" outlineLevel="0" collapsed="false">
      <c r="A1539" s="0" t="s">
        <v>28</v>
      </c>
      <c r="B1539" s="0" t="s">
        <v>3446</v>
      </c>
      <c r="C1539" s="0" t="s">
        <v>1882</v>
      </c>
      <c r="D1539" s="0" t="n">
        <v>-0.45</v>
      </c>
    </row>
    <row r="1540" customFormat="false" ht="15" hidden="false" customHeight="false" outlineLevel="0" collapsed="false">
      <c r="A1540" s="0" t="s">
        <v>28</v>
      </c>
      <c r="B1540" s="0" t="s">
        <v>3446</v>
      </c>
      <c r="C1540" s="0" t="s">
        <v>2175</v>
      </c>
      <c r="D1540" s="0" t="n">
        <v>-0.15</v>
      </c>
    </row>
    <row r="1541" customFormat="false" ht="15" hidden="false" customHeight="false" outlineLevel="0" collapsed="false">
      <c r="A1541" s="0" t="s">
        <v>28</v>
      </c>
      <c r="B1541" s="0" t="s">
        <v>3450</v>
      </c>
      <c r="C1541" s="0" t="s">
        <v>1746</v>
      </c>
      <c r="D1541" s="0" t="n">
        <v>-0.15</v>
      </c>
    </row>
    <row r="1542" customFormat="false" ht="15" hidden="false" customHeight="false" outlineLevel="0" collapsed="false">
      <c r="A1542" s="0" t="s">
        <v>28</v>
      </c>
      <c r="B1542" s="0" t="s">
        <v>3450</v>
      </c>
      <c r="C1542" s="0" t="s">
        <v>1882</v>
      </c>
      <c r="D1542" s="0" t="n">
        <v>-0.35</v>
      </c>
    </row>
    <row r="1543" customFormat="false" ht="15" hidden="false" customHeight="false" outlineLevel="0" collapsed="false">
      <c r="A1543" s="0" t="s">
        <v>28</v>
      </c>
      <c r="B1543" s="0" t="s">
        <v>3450</v>
      </c>
      <c r="C1543" s="0" t="s">
        <v>2175</v>
      </c>
      <c r="D1543" s="0" t="n">
        <v>0</v>
      </c>
    </row>
    <row r="1544" customFormat="false" ht="15" hidden="false" customHeight="false" outlineLevel="0" collapsed="false">
      <c r="A1544" s="0" t="s">
        <v>28</v>
      </c>
      <c r="B1544" s="0" t="s">
        <v>3456</v>
      </c>
      <c r="C1544" s="0" t="s">
        <v>1746</v>
      </c>
      <c r="D1544" s="0" t="n">
        <v>0</v>
      </c>
    </row>
    <row r="1545" customFormat="false" ht="15" hidden="false" customHeight="false" outlineLevel="0" collapsed="false">
      <c r="A1545" s="0" t="s">
        <v>28</v>
      </c>
      <c r="B1545" s="0" t="s">
        <v>3456</v>
      </c>
      <c r="C1545" s="0" t="s">
        <v>1882</v>
      </c>
      <c r="D1545" s="0" t="n">
        <v>-0.15</v>
      </c>
    </row>
    <row r="1546" customFormat="false" ht="15" hidden="false" customHeight="false" outlineLevel="0" collapsed="false">
      <c r="A1546" s="0" t="s">
        <v>28</v>
      </c>
      <c r="B1546" s="0" t="s">
        <v>3456</v>
      </c>
      <c r="C1546" s="0" t="s">
        <v>2175</v>
      </c>
      <c r="D1546" s="0" t="n">
        <v>0.15</v>
      </c>
    </row>
    <row r="1547" customFormat="false" ht="15" hidden="false" customHeight="false" outlineLevel="0" collapsed="false">
      <c r="A1547" s="0" t="s">
        <v>28</v>
      </c>
      <c r="B1547" s="0" t="s">
        <v>3463</v>
      </c>
      <c r="C1547" s="0" t="s">
        <v>1746</v>
      </c>
      <c r="D1547" s="0" t="n">
        <v>0.16</v>
      </c>
    </row>
    <row r="1548" customFormat="false" ht="15" hidden="false" customHeight="false" outlineLevel="0" collapsed="false">
      <c r="A1548" s="0" t="s">
        <v>28</v>
      </c>
      <c r="B1548" s="0" t="s">
        <v>3463</v>
      </c>
      <c r="C1548" s="0" t="s">
        <v>1882</v>
      </c>
      <c r="D1548" s="0" t="n">
        <v>0.16</v>
      </c>
    </row>
    <row r="1549" customFormat="false" ht="15" hidden="false" customHeight="false" outlineLevel="0" collapsed="false">
      <c r="A1549" s="0" t="s">
        <v>28</v>
      </c>
      <c r="B1549" s="0" t="s">
        <v>3463</v>
      </c>
      <c r="C1549" s="0" t="s">
        <v>2175</v>
      </c>
      <c r="D1549" s="0" t="n">
        <v>0.3</v>
      </c>
    </row>
    <row r="1550" customFormat="false" ht="15" hidden="false" customHeight="false" outlineLevel="0" collapsed="false">
      <c r="A1550" s="0" t="s">
        <v>28</v>
      </c>
      <c r="B1550" s="0" t="s">
        <v>3469</v>
      </c>
      <c r="C1550" s="0" t="s">
        <v>1746</v>
      </c>
      <c r="D1550" s="0" t="n">
        <v>0</v>
      </c>
    </row>
    <row r="1551" customFormat="false" ht="15" hidden="false" customHeight="false" outlineLevel="0" collapsed="false">
      <c r="A1551" s="0" t="s">
        <v>28</v>
      </c>
      <c r="B1551" s="0" t="s">
        <v>3469</v>
      </c>
      <c r="C1551" s="0" t="s">
        <v>1882</v>
      </c>
      <c r="D1551" s="0" t="n">
        <v>0</v>
      </c>
    </row>
    <row r="1552" customFormat="false" ht="15" hidden="false" customHeight="false" outlineLevel="0" collapsed="false">
      <c r="A1552" s="0" t="s">
        <v>28</v>
      </c>
      <c r="B1552" s="0" t="s">
        <v>3469</v>
      </c>
      <c r="C1552" s="0" t="s">
        <v>2175</v>
      </c>
      <c r="D1552" s="0" t="n">
        <v>0.5</v>
      </c>
    </row>
    <row r="1553" customFormat="false" ht="15" hidden="false" customHeight="false" outlineLevel="0" collapsed="false">
      <c r="A1553" s="0" t="s">
        <v>28</v>
      </c>
      <c r="B1553" s="0" t="s">
        <v>3475</v>
      </c>
      <c r="C1553" s="0" t="s">
        <v>1746</v>
      </c>
      <c r="D1553" s="0" t="n">
        <v>1000000</v>
      </c>
    </row>
    <row r="1554" customFormat="false" ht="15" hidden="false" customHeight="false" outlineLevel="0" collapsed="false">
      <c r="A1554" s="0" t="s">
        <v>28</v>
      </c>
      <c r="B1554" s="0" t="s">
        <v>3475</v>
      </c>
      <c r="C1554" s="0" t="s">
        <v>1882</v>
      </c>
      <c r="D1554" s="0" t="n">
        <v>1000000</v>
      </c>
    </row>
    <row r="1555" customFormat="false" ht="15" hidden="false" customHeight="false" outlineLevel="0" collapsed="false">
      <c r="A1555" s="0" t="s">
        <v>28</v>
      </c>
      <c r="B1555" s="0" t="s">
        <v>3475</v>
      </c>
      <c r="C1555" s="0" t="s">
        <v>2175</v>
      </c>
      <c r="D1555" s="0" t="n">
        <v>1000000</v>
      </c>
    </row>
    <row r="1556" customFormat="false" ht="15" hidden="false" customHeight="false" outlineLevel="0" collapsed="false">
      <c r="A1556" s="0" t="s">
        <v>28</v>
      </c>
      <c r="B1556" s="0" t="s">
        <v>3480</v>
      </c>
      <c r="C1556" s="0" t="s">
        <v>1746</v>
      </c>
      <c r="D1556" s="0" t="n">
        <v>1000</v>
      </c>
    </row>
    <row r="1557" customFormat="false" ht="15" hidden="false" customHeight="false" outlineLevel="0" collapsed="false">
      <c r="A1557" s="0" t="s">
        <v>28</v>
      </c>
      <c r="B1557" s="0" t="s">
        <v>3480</v>
      </c>
      <c r="C1557" s="0" t="s">
        <v>1882</v>
      </c>
      <c r="D1557" s="0" t="n">
        <v>1000</v>
      </c>
    </row>
    <row r="1558" customFormat="false" ht="15" hidden="false" customHeight="false" outlineLevel="0" collapsed="false">
      <c r="A1558" s="0" t="s">
        <v>28</v>
      </c>
      <c r="B1558" s="0" t="s">
        <v>3480</v>
      </c>
      <c r="C1558" s="0" t="s">
        <v>2175</v>
      </c>
      <c r="D1558" s="0" t="n">
        <v>1000</v>
      </c>
    </row>
    <row r="1559" customFormat="false" ht="15" hidden="false" customHeight="false" outlineLevel="0" collapsed="false">
      <c r="A1559" s="0" t="s">
        <v>28</v>
      </c>
      <c r="B1559" s="0" t="s">
        <v>3485</v>
      </c>
      <c r="C1559" s="0" t="s">
        <v>1746</v>
      </c>
      <c r="D1559" s="0" t="n">
        <v>1000000000</v>
      </c>
    </row>
    <row r="1560" customFormat="false" ht="15" hidden="false" customHeight="false" outlineLevel="0" collapsed="false">
      <c r="A1560" s="0" t="s">
        <v>28</v>
      </c>
      <c r="B1560" s="0" t="s">
        <v>3485</v>
      </c>
      <c r="C1560" s="0" t="s">
        <v>1882</v>
      </c>
      <c r="D1560" s="0" t="n">
        <v>1000000000</v>
      </c>
    </row>
    <row r="1561" customFormat="false" ht="15" hidden="false" customHeight="false" outlineLevel="0" collapsed="false">
      <c r="A1561" s="0" t="s">
        <v>28</v>
      </c>
      <c r="B1561" s="0" t="s">
        <v>3485</v>
      </c>
      <c r="C1561" s="0" t="s">
        <v>2175</v>
      </c>
      <c r="D1561" s="0" t="n">
        <v>1000000000</v>
      </c>
    </row>
    <row r="1562" customFormat="false" ht="15" hidden="false" customHeight="false" outlineLevel="0" collapsed="false">
      <c r="A1562" s="0" t="s">
        <v>28</v>
      </c>
      <c r="B1562" s="0" t="s">
        <v>3490</v>
      </c>
      <c r="C1562" s="0" t="s">
        <v>1746</v>
      </c>
      <c r="D1562" s="0" t="n">
        <v>2</v>
      </c>
    </row>
    <row r="1563" customFormat="false" ht="15" hidden="false" customHeight="false" outlineLevel="0" collapsed="false">
      <c r="A1563" s="0" t="s">
        <v>28</v>
      </c>
      <c r="B1563" s="0" t="s">
        <v>3490</v>
      </c>
      <c r="C1563" s="0" t="s">
        <v>1882</v>
      </c>
      <c r="D1563" s="0" t="n">
        <v>2</v>
      </c>
    </row>
    <row r="1564" customFormat="false" ht="15" hidden="false" customHeight="false" outlineLevel="0" collapsed="false">
      <c r="A1564" s="0" t="s">
        <v>28</v>
      </c>
      <c r="B1564" s="0" t="s">
        <v>3490</v>
      </c>
      <c r="C1564" s="0" t="s">
        <v>2175</v>
      </c>
      <c r="D1564" s="0" t="n">
        <v>2</v>
      </c>
    </row>
    <row r="1565" customFormat="false" ht="15" hidden="false" customHeight="false" outlineLevel="0" collapsed="false">
      <c r="A1565" s="0" t="s">
        <v>28</v>
      </c>
      <c r="B1565" s="0" t="s">
        <v>3495</v>
      </c>
      <c r="C1565" s="0" t="s">
        <v>1746</v>
      </c>
      <c r="D1565" s="0" t="n">
        <v>2026</v>
      </c>
    </row>
    <row r="1566" customFormat="false" ht="15" hidden="false" customHeight="false" outlineLevel="0" collapsed="false">
      <c r="A1566" s="0" t="s">
        <v>28</v>
      </c>
      <c r="B1566" s="0" t="s">
        <v>3495</v>
      </c>
      <c r="C1566" s="0" t="s">
        <v>1882</v>
      </c>
      <c r="D1566" s="0" t="n">
        <v>2026</v>
      </c>
    </row>
    <row r="1567" customFormat="false" ht="15" hidden="false" customHeight="false" outlineLevel="0" collapsed="false">
      <c r="A1567" s="0" t="s">
        <v>28</v>
      </c>
      <c r="B1567" s="0" t="s">
        <v>3495</v>
      </c>
      <c r="C1567" s="0" t="s">
        <v>2175</v>
      </c>
      <c r="D1567" s="0" t="n">
        <v>2026</v>
      </c>
    </row>
    <row r="1568" customFormat="false" ht="15" hidden="false" customHeight="false" outlineLevel="0" collapsed="false">
      <c r="A1568" s="0" t="s">
        <v>28</v>
      </c>
      <c r="B1568" s="0" t="s">
        <v>3500</v>
      </c>
      <c r="C1568" s="0" t="s">
        <v>1746</v>
      </c>
      <c r="D1568" s="0" t="n">
        <v>12</v>
      </c>
    </row>
    <row r="1569" customFormat="false" ht="15" hidden="false" customHeight="false" outlineLevel="0" collapsed="false">
      <c r="A1569" s="0" t="s">
        <v>28</v>
      </c>
      <c r="B1569" s="0" t="s">
        <v>3500</v>
      </c>
      <c r="C1569" s="0" t="s">
        <v>1882</v>
      </c>
      <c r="D1569" s="0" t="n">
        <v>8</v>
      </c>
    </row>
    <row r="1570" customFormat="false" ht="15" hidden="false" customHeight="false" outlineLevel="0" collapsed="false">
      <c r="A1570" s="0" t="s">
        <v>28</v>
      </c>
      <c r="B1570" s="0" t="s">
        <v>3500</v>
      </c>
      <c r="C1570" s="0" t="s">
        <v>2175</v>
      </c>
      <c r="D1570" s="0" t="n">
        <v>20</v>
      </c>
    </row>
    <row r="1571" customFormat="false" ht="15" hidden="false" customHeight="false" outlineLevel="0" collapsed="false">
      <c r="A1571" s="0" t="s">
        <v>28</v>
      </c>
      <c r="B1571" s="0" t="s">
        <v>3505</v>
      </c>
      <c r="C1571" s="0" t="s">
        <v>1746</v>
      </c>
      <c r="D1571" s="0" t="n">
        <v>0.1</v>
      </c>
    </row>
    <row r="1572" customFormat="false" ht="15" hidden="false" customHeight="false" outlineLevel="0" collapsed="false">
      <c r="A1572" s="0" t="s">
        <v>28</v>
      </c>
      <c r="B1572" s="0" t="s">
        <v>3505</v>
      </c>
      <c r="C1572" s="0" t="s">
        <v>1882</v>
      </c>
      <c r="D1572" s="0" t="n">
        <v>0.05</v>
      </c>
    </row>
    <row r="1573" customFormat="false" ht="15" hidden="false" customHeight="false" outlineLevel="0" collapsed="false">
      <c r="A1573" s="0" t="s">
        <v>28</v>
      </c>
      <c r="B1573" s="0" t="s">
        <v>3505</v>
      </c>
      <c r="C1573" s="0" t="s">
        <v>2175</v>
      </c>
      <c r="D1573" s="0" t="n">
        <v>0.2</v>
      </c>
    </row>
    <row r="1574" customFormat="false" ht="15" hidden="false" customHeight="false" outlineLevel="0" collapsed="false">
      <c r="A1574" s="0" t="s">
        <v>28</v>
      </c>
      <c r="B1574" s="0" t="s">
        <v>3511</v>
      </c>
      <c r="C1574" s="0" t="s">
        <v>1746</v>
      </c>
      <c r="D1574" s="0" t="n">
        <v>0.3</v>
      </c>
    </row>
    <row r="1575" customFormat="false" ht="15" hidden="false" customHeight="false" outlineLevel="0" collapsed="false">
      <c r="A1575" s="0" t="s">
        <v>28</v>
      </c>
      <c r="B1575" s="0" t="s">
        <v>3511</v>
      </c>
      <c r="C1575" s="0" t="s">
        <v>1882</v>
      </c>
      <c r="D1575" s="0" t="n">
        <v>0.2</v>
      </c>
    </row>
    <row r="1576" customFormat="false" ht="15" hidden="false" customHeight="false" outlineLevel="0" collapsed="false">
      <c r="A1576" s="0" t="s">
        <v>28</v>
      </c>
      <c r="B1576" s="0" t="s">
        <v>3511</v>
      </c>
      <c r="C1576" s="0" t="s">
        <v>2175</v>
      </c>
      <c r="D1576" s="0" t="n">
        <v>0.4</v>
      </c>
    </row>
    <row r="1577" customFormat="false" ht="15" hidden="false" customHeight="false" outlineLevel="0" collapsed="false">
      <c r="A1577" s="0" t="s">
        <v>28</v>
      </c>
      <c r="B1577" s="0" t="s">
        <v>3517</v>
      </c>
      <c r="C1577" s="0" t="s">
        <v>1746</v>
      </c>
      <c r="D1577" s="0" t="n">
        <v>0</v>
      </c>
    </row>
    <row r="1578" customFormat="false" ht="15" hidden="false" customHeight="false" outlineLevel="0" collapsed="false">
      <c r="A1578" s="0" t="s">
        <v>28</v>
      </c>
      <c r="B1578" s="0" t="s">
        <v>3517</v>
      </c>
      <c r="C1578" s="0" t="s">
        <v>1882</v>
      </c>
      <c r="D1578" s="0" t="n">
        <v>0</v>
      </c>
    </row>
    <row r="1579" customFormat="false" ht="15" hidden="false" customHeight="false" outlineLevel="0" collapsed="false">
      <c r="A1579" s="0" t="s">
        <v>28</v>
      </c>
      <c r="B1579" s="0" t="s">
        <v>3517</v>
      </c>
      <c r="C1579" s="0" t="s">
        <v>2175</v>
      </c>
      <c r="D1579" s="0" t="n">
        <v>1</v>
      </c>
    </row>
    <row r="1580" customFormat="false" ht="15" hidden="false" customHeight="false" outlineLevel="0" collapsed="false">
      <c r="A1580" s="0" t="s">
        <v>28</v>
      </c>
      <c r="B1580" s="0" t="s">
        <v>3522</v>
      </c>
      <c r="C1580" s="0" t="s">
        <v>1746</v>
      </c>
      <c r="D1580" s="0" t="n">
        <v>1</v>
      </c>
    </row>
    <row r="1581" customFormat="false" ht="15" hidden="false" customHeight="false" outlineLevel="0" collapsed="false">
      <c r="A1581" s="0" t="s">
        <v>28</v>
      </c>
      <c r="B1581" s="0" t="s">
        <v>3522</v>
      </c>
      <c r="C1581" s="0" t="s">
        <v>1882</v>
      </c>
      <c r="D1581" s="0" t="n">
        <v>1</v>
      </c>
    </row>
    <row r="1582" customFormat="false" ht="15" hidden="false" customHeight="false" outlineLevel="0" collapsed="false">
      <c r="A1582" s="0" t="s">
        <v>28</v>
      </c>
      <c r="B1582" s="0" t="s">
        <v>3522</v>
      </c>
      <c r="C1582" s="0" t="s">
        <v>2175</v>
      </c>
      <c r="D1582" s="0" t="n">
        <v>1</v>
      </c>
    </row>
    <row r="1583" customFormat="false" ht="15" hidden="false" customHeight="false" outlineLevel="0" collapsed="false">
      <c r="A1583" s="0" t="s">
        <v>28</v>
      </c>
      <c r="B1583" s="0" t="s">
        <v>3526</v>
      </c>
      <c r="C1583" s="0" t="s">
        <v>1746</v>
      </c>
      <c r="D1583" s="0" t="n">
        <v>2030</v>
      </c>
    </row>
    <row r="1584" customFormat="false" ht="15" hidden="false" customHeight="false" outlineLevel="0" collapsed="false">
      <c r="A1584" s="0" t="s">
        <v>28</v>
      </c>
      <c r="B1584" s="0" t="s">
        <v>3526</v>
      </c>
      <c r="C1584" s="0" t="s">
        <v>1882</v>
      </c>
      <c r="D1584" s="0" t="n">
        <v>2030</v>
      </c>
    </row>
    <row r="1585" customFormat="false" ht="15" hidden="false" customHeight="false" outlineLevel="0" collapsed="false">
      <c r="A1585" s="0" t="s">
        <v>28</v>
      </c>
      <c r="B1585" s="0" t="s">
        <v>3526</v>
      </c>
      <c r="C1585" s="0" t="s">
        <v>2175</v>
      </c>
      <c r="D1585" s="0" t="n">
        <v>2030</v>
      </c>
    </row>
    <row r="1586" customFormat="false" ht="15" hidden="false" customHeight="false" outlineLevel="0" collapsed="false">
      <c r="A1586" s="0" t="s">
        <v>28</v>
      </c>
      <c r="B1586" s="0" t="s">
        <v>3530</v>
      </c>
      <c r="C1586" s="0" t="s">
        <v>1746</v>
      </c>
      <c r="D1586" s="0" t="n">
        <v>0.5</v>
      </c>
    </row>
    <row r="1587" customFormat="false" ht="15" hidden="false" customHeight="false" outlineLevel="0" collapsed="false">
      <c r="A1587" s="0" t="s">
        <v>28</v>
      </c>
      <c r="B1587" s="0" t="s">
        <v>3530</v>
      </c>
      <c r="C1587" s="0" t="s">
        <v>1882</v>
      </c>
      <c r="D1587" s="0" t="n">
        <v>0.5</v>
      </c>
    </row>
    <row r="1588" customFormat="false" ht="15" hidden="false" customHeight="false" outlineLevel="0" collapsed="false">
      <c r="A1588" s="0" t="s">
        <v>28</v>
      </c>
      <c r="B1588" s="0" t="s">
        <v>3530</v>
      </c>
      <c r="C1588" s="0" t="s">
        <v>2175</v>
      </c>
      <c r="D1588" s="0" t="n">
        <v>0.5</v>
      </c>
    </row>
    <row r="1589" customFormat="false" ht="15" hidden="false" customHeight="false" outlineLevel="0" collapsed="false">
      <c r="A1589" s="0" t="s">
        <v>28</v>
      </c>
      <c r="B1589" s="0" t="s">
        <v>3534</v>
      </c>
      <c r="C1589" s="0" t="s">
        <v>1746</v>
      </c>
      <c r="D1589" s="0" t="n">
        <v>2</v>
      </c>
    </row>
    <row r="1590" customFormat="false" ht="15" hidden="false" customHeight="false" outlineLevel="0" collapsed="false">
      <c r="A1590" s="0" t="s">
        <v>28</v>
      </c>
      <c r="B1590" s="0" t="s">
        <v>3534</v>
      </c>
      <c r="C1590" s="0" t="s">
        <v>1882</v>
      </c>
      <c r="D1590" s="0" t="n">
        <v>2</v>
      </c>
    </row>
    <row r="1591" customFormat="false" ht="15" hidden="false" customHeight="false" outlineLevel="0" collapsed="false">
      <c r="A1591" s="0" t="s">
        <v>28</v>
      </c>
      <c r="B1591" s="0" t="s">
        <v>3534</v>
      </c>
      <c r="C1591" s="0" t="s">
        <v>2175</v>
      </c>
      <c r="D1591" s="0" t="n">
        <v>2</v>
      </c>
    </row>
    <row r="1592" customFormat="false" ht="15" hidden="false" customHeight="false" outlineLevel="0" collapsed="false">
      <c r="A1592" s="0" t="s">
        <v>28</v>
      </c>
      <c r="B1592" s="0" t="s">
        <v>3537</v>
      </c>
      <c r="C1592" s="0" t="s">
        <v>1746</v>
      </c>
      <c r="D1592" s="0" t="n">
        <v>2</v>
      </c>
    </row>
    <row r="1593" customFormat="false" ht="15" hidden="false" customHeight="false" outlineLevel="0" collapsed="false">
      <c r="A1593" s="0" t="s">
        <v>28</v>
      </c>
      <c r="B1593" s="0" t="s">
        <v>3537</v>
      </c>
      <c r="C1593" s="0" t="s">
        <v>1882</v>
      </c>
      <c r="D1593" s="0" t="n">
        <v>1</v>
      </c>
    </row>
    <row r="1594" customFormat="false" ht="15" hidden="false" customHeight="false" outlineLevel="0" collapsed="false">
      <c r="A1594" s="0" t="s">
        <v>28</v>
      </c>
      <c r="B1594" s="0" t="s">
        <v>3537</v>
      </c>
      <c r="C1594" s="0" t="s">
        <v>2175</v>
      </c>
      <c r="D1594" s="0" t="n">
        <v>3</v>
      </c>
    </row>
    <row r="1595" customFormat="false" ht="15" hidden="false" customHeight="false" outlineLevel="0" collapsed="false">
      <c r="A1595" s="0" t="s">
        <v>28</v>
      </c>
      <c r="B1595" s="0" t="s">
        <v>3542</v>
      </c>
      <c r="C1595" s="0" t="s">
        <v>1746</v>
      </c>
      <c r="D1595" s="0" t="n">
        <v>0.8</v>
      </c>
    </row>
    <row r="1596" customFormat="false" ht="15" hidden="false" customHeight="false" outlineLevel="0" collapsed="false">
      <c r="A1596" s="0" t="s">
        <v>28</v>
      </c>
      <c r="B1596" s="0" t="s">
        <v>3542</v>
      </c>
      <c r="C1596" s="0" t="s">
        <v>1882</v>
      </c>
      <c r="D1596" s="0" t="n">
        <v>0.5</v>
      </c>
    </row>
    <row r="1597" customFormat="false" ht="15" hidden="false" customHeight="false" outlineLevel="0" collapsed="false">
      <c r="A1597" s="0" t="s">
        <v>28</v>
      </c>
      <c r="B1597" s="0" t="s">
        <v>3542</v>
      </c>
      <c r="C1597" s="0" t="s">
        <v>2175</v>
      </c>
      <c r="D1597" s="0" t="n">
        <v>1</v>
      </c>
    </row>
    <row r="1598" customFormat="false" ht="15" hidden="false" customHeight="false" outlineLevel="0" collapsed="false">
      <c r="A1598" s="0" t="s">
        <v>28</v>
      </c>
      <c r="B1598" s="0" t="s">
        <v>3547</v>
      </c>
      <c r="C1598" s="0" t="s">
        <v>1746</v>
      </c>
      <c r="D1598" s="0" t="n">
        <v>0</v>
      </c>
    </row>
    <row r="1599" customFormat="false" ht="15" hidden="false" customHeight="false" outlineLevel="0" collapsed="false">
      <c r="A1599" s="0" t="s">
        <v>28</v>
      </c>
      <c r="B1599" s="0" t="s">
        <v>3547</v>
      </c>
      <c r="C1599" s="0" t="s">
        <v>1882</v>
      </c>
      <c r="D1599" s="0" t="n">
        <v>0</v>
      </c>
    </row>
    <row r="1600" customFormat="false" ht="15" hidden="false" customHeight="false" outlineLevel="0" collapsed="false">
      <c r="A1600" s="0" t="s">
        <v>28</v>
      </c>
      <c r="B1600" s="0" t="s">
        <v>3547</v>
      </c>
      <c r="C1600" s="0" t="s">
        <v>2175</v>
      </c>
      <c r="D1600" s="0" t="n">
        <v>1</v>
      </c>
    </row>
    <row r="1601" customFormat="false" ht="15" hidden="false" customHeight="false" outlineLevel="0" collapsed="false">
      <c r="A1601" s="0" t="s">
        <v>28</v>
      </c>
      <c r="B1601" s="0" t="s">
        <v>3553</v>
      </c>
      <c r="C1601" s="0" t="s">
        <v>1746</v>
      </c>
      <c r="D1601" s="0" t="n">
        <v>0.4</v>
      </c>
    </row>
    <row r="1602" customFormat="false" ht="15" hidden="false" customHeight="false" outlineLevel="0" collapsed="false">
      <c r="A1602" s="0" t="s">
        <v>28</v>
      </c>
      <c r="B1602" s="0" t="s">
        <v>3553</v>
      </c>
      <c r="C1602" s="0" t="s">
        <v>1882</v>
      </c>
      <c r="D1602" s="0" t="n">
        <v>0.2</v>
      </c>
    </row>
    <row r="1603" customFormat="false" ht="15" hidden="false" customHeight="false" outlineLevel="0" collapsed="false">
      <c r="A1603" s="0" t="s">
        <v>28</v>
      </c>
      <c r="B1603" s="0" t="s">
        <v>3553</v>
      </c>
      <c r="C1603" s="0" t="s">
        <v>2175</v>
      </c>
      <c r="D1603" s="0" t="n">
        <v>0.6</v>
      </c>
    </row>
    <row r="1604" customFormat="false" ht="15" hidden="false" customHeight="false" outlineLevel="0" collapsed="false">
      <c r="A1604" s="0" t="s">
        <v>28</v>
      </c>
      <c r="B1604" s="0" t="s">
        <v>3560</v>
      </c>
      <c r="C1604" s="0" t="s">
        <v>1746</v>
      </c>
      <c r="D1604" s="0" t="n">
        <v>0.1</v>
      </c>
    </row>
    <row r="1605" customFormat="false" ht="15" hidden="false" customHeight="false" outlineLevel="0" collapsed="false">
      <c r="A1605" s="0" t="s">
        <v>28</v>
      </c>
      <c r="B1605" s="0" t="s">
        <v>3560</v>
      </c>
      <c r="C1605" s="0" t="s">
        <v>1882</v>
      </c>
      <c r="D1605" s="0" t="n">
        <v>0</v>
      </c>
    </row>
    <row r="1606" customFormat="false" ht="15" hidden="false" customHeight="false" outlineLevel="0" collapsed="false">
      <c r="A1606" s="0" t="s">
        <v>28</v>
      </c>
      <c r="B1606" s="0" t="s">
        <v>3560</v>
      </c>
      <c r="C1606" s="0" t="s">
        <v>2175</v>
      </c>
      <c r="D1606" s="0" t="n">
        <v>0.3</v>
      </c>
    </row>
    <row r="1607" customFormat="false" ht="15" hidden="false" customHeight="false" outlineLevel="0" collapsed="false">
      <c r="A1607" s="0" t="s">
        <v>28</v>
      </c>
      <c r="B1607" s="0" t="s">
        <v>3564</v>
      </c>
      <c r="C1607" s="0" t="s">
        <v>1746</v>
      </c>
      <c r="D1607" s="0" t="n">
        <v>0.33</v>
      </c>
    </row>
    <row r="1608" customFormat="false" ht="15" hidden="false" customHeight="false" outlineLevel="0" collapsed="false">
      <c r="A1608" s="0" t="s">
        <v>28</v>
      </c>
      <c r="B1608" s="0" t="s">
        <v>3564</v>
      </c>
      <c r="C1608" s="0" t="s">
        <v>1882</v>
      </c>
      <c r="D1608" s="0" t="n">
        <v>0</v>
      </c>
    </row>
    <row r="1609" customFormat="false" ht="15" hidden="false" customHeight="false" outlineLevel="0" collapsed="false">
      <c r="A1609" s="0" t="s">
        <v>28</v>
      </c>
      <c r="B1609" s="0" t="s">
        <v>3564</v>
      </c>
      <c r="C1609" s="0" t="s">
        <v>2175</v>
      </c>
      <c r="D1609" s="0" t="n">
        <v>1</v>
      </c>
    </row>
    <row r="1610" customFormat="false" ht="15" hidden="false" customHeight="false" outlineLevel="0" collapsed="false">
      <c r="A1610" s="0" t="s">
        <v>28</v>
      </c>
      <c r="B1610" s="0" t="s">
        <v>3570</v>
      </c>
      <c r="C1610" s="0" t="s">
        <v>1746</v>
      </c>
      <c r="D1610" s="0" t="n">
        <v>0</v>
      </c>
    </row>
    <row r="1611" customFormat="false" ht="15" hidden="false" customHeight="false" outlineLevel="0" collapsed="false">
      <c r="A1611" s="0" t="s">
        <v>28</v>
      </c>
      <c r="B1611" s="0" t="s">
        <v>3570</v>
      </c>
      <c r="C1611" s="0" t="s">
        <v>1882</v>
      </c>
      <c r="D1611" s="0" t="n">
        <v>0</v>
      </c>
    </row>
    <row r="1612" customFormat="false" ht="15" hidden="false" customHeight="false" outlineLevel="0" collapsed="false">
      <c r="A1612" s="0" t="s">
        <v>28</v>
      </c>
      <c r="B1612" s="0" t="s">
        <v>3570</v>
      </c>
      <c r="C1612" s="0" t="s">
        <v>2175</v>
      </c>
      <c r="D1612" s="0" t="n">
        <v>1</v>
      </c>
    </row>
    <row r="1613" customFormat="false" ht="15" hidden="false" customHeight="false" outlineLevel="0" collapsed="false">
      <c r="A1613" s="0" t="s">
        <v>28</v>
      </c>
      <c r="B1613" s="0" t="s">
        <v>3576</v>
      </c>
      <c r="C1613" s="0" t="s">
        <v>1746</v>
      </c>
      <c r="D1613" s="0" t="n">
        <v>2026</v>
      </c>
    </row>
    <row r="1614" customFormat="false" ht="15" hidden="false" customHeight="false" outlineLevel="0" collapsed="false">
      <c r="A1614" s="0" t="s">
        <v>28</v>
      </c>
      <c r="B1614" s="0" t="s">
        <v>3576</v>
      </c>
      <c r="C1614" s="0" t="s">
        <v>1882</v>
      </c>
      <c r="D1614" s="0" t="n">
        <v>2026</v>
      </c>
    </row>
    <row r="1615" customFormat="false" ht="15" hidden="false" customHeight="false" outlineLevel="0" collapsed="false">
      <c r="A1615" s="0" t="s">
        <v>28</v>
      </c>
      <c r="B1615" s="0" t="s">
        <v>3576</v>
      </c>
      <c r="C1615" s="0" t="s">
        <v>2175</v>
      </c>
      <c r="D1615" s="0" t="n">
        <v>2026</v>
      </c>
    </row>
    <row r="1616" customFormat="false" ht="15" hidden="false" customHeight="false" outlineLevel="0" collapsed="false">
      <c r="A1616" s="0" t="s">
        <v>28</v>
      </c>
      <c r="B1616" s="0" t="s">
        <v>3581</v>
      </c>
      <c r="C1616" s="0" t="s">
        <v>1746</v>
      </c>
      <c r="D1616" s="0" t="n">
        <v>2033</v>
      </c>
    </row>
    <row r="1617" customFormat="false" ht="15" hidden="false" customHeight="false" outlineLevel="0" collapsed="false">
      <c r="A1617" s="0" t="s">
        <v>28</v>
      </c>
      <c r="B1617" s="0" t="s">
        <v>3581</v>
      </c>
      <c r="C1617" s="0" t="s">
        <v>1882</v>
      </c>
      <c r="D1617" s="0" t="n">
        <v>2033</v>
      </c>
    </row>
    <row r="1618" customFormat="false" ht="15" hidden="false" customHeight="false" outlineLevel="0" collapsed="false">
      <c r="A1618" s="0" t="s">
        <v>28</v>
      </c>
      <c r="B1618" s="0" t="s">
        <v>3581</v>
      </c>
      <c r="C1618" s="0" t="s">
        <v>2175</v>
      </c>
      <c r="D1618" s="0" t="n">
        <v>2033</v>
      </c>
    </row>
    <row r="1619" customFormat="false" ht="15" hidden="false" customHeight="false" outlineLevel="0" collapsed="false">
      <c r="A1619" s="0" t="s">
        <v>28</v>
      </c>
      <c r="B1619" s="0" t="s">
        <v>3584</v>
      </c>
      <c r="C1619" s="0" t="s">
        <v>1746</v>
      </c>
      <c r="D1619" s="0" t="n">
        <v>2027</v>
      </c>
    </row>
    <row r="1620" customFormat="false" ht="15" hidden="false" customHeight="false" outlineLevel="0" collapsed="false">
      <c r="A1620" s="0" t="s">
        <v>28</v>
      </c>
      <c r="B1620" s="0" t="s">
        <v>3584</v>
      </c>
      <c r="C1620" s="0" t="s">
        <v>1882</v>
      </c>
      <c r="D1620" s="0" t="n">
        <v>2027</v>
      </c>
    </row>
    <row r="1621" customFormat="false" ht="15" hidden="false" customHeight="false" outlineLevel="0" collapsed="false">
      <c r="A1621" s="0" t="s">
        <v>28</v>
      </c>
      <c r="B1621" s="0" t="s">
        <v>3584</v>
      </c>
      <c r="C1621" s="0" t="s">
        <v>2175</v>
      </c>
      <c r="D1621" s="0" t="n">
        <v>2027</v>
      </c>
    </row>
    <row r="1622" customFormat="false" ht="15" hidden="false" customHeight="false" outlineLevel="0" collapsed="false">
      <c r="A1622" s="0" t="s">
        <v>28</v>
      </c>
      <c r="B1622" s="0" t="s">
        <v>3588</v>
      </c>
      <c r="C1622" s="0" t="s">
        <v>1746</v>
      </c>
      <c r="D1622" s="0" t="n">
        <v>2031</v>
      </c>
    </row>
    <row r="1623" customFormat="false" ht="15" hidden="false" customHeight="false" outlineLevel="0" collapsed="false">
      <c r="A1623" s="0" t="s">
        <v>28</v>
      </c>
      <c r="B1623" s="0" t="s">
        <v>3588</v>
      </c>
      <c r="C1623" s="0" t="s">
        <v>1882</v>
      </c>
      <c r="D1623" s="0" t="n">
        <v>2031</v>
      </c>
    </row>
    <row r="1624" customFormat="false" ht="15" hidden="false" customHeight="false" outlineLevel="0" collapsed="false">
      <c r="A1624" s="0" t="s">
        <v>28</v>
      </c>
      <c r="B1624" s="0" t="s">
        <v>3588</v>
      </c>
      <c r="C1624" s="0" t="s">
        <v>2175</v>
      </c>
      <c r="D1624" s="0" t="n">
        <v>2031</v>
      </c>
    </row>
    <row r="1625" customFormat="false" ht="15" hidden="false" customHeight="false" outlineLevel="0" collapsed="false">
      <c r="A1625" s="0" t="s">
        <v>28</v>
      </c>
      <c r="B1625" s="0" t="s">
        <v>3592</v>
      </c>
      <c r="C1625" s="0" t="s">
        <v>1746</v>
      </c>
      <c r="D1625" s="0" t="n">
        <v>2026</v>
      </c>
    </row>
    <row r="1626" customFormat="false" ht="15" hidden="false" customHeight="false" outlineLevel="0" collapsed="false">
      <c r="A1626" s="0" t="s">
        <v>28</v>
      </c>
      <c r="B1626" s="0" t="s">
        <v>3592</v>
      </c>
      <c r="C1626" s="0" t="s">
        <v>1882</v>
      </c>
      <c r="D1626" s="0" t="n">
        <v>2026</v>
      </c>
    </row>
    <row r="1627" customFormat="false" ht="15" hidden="false" customHeight="false" outlineLevel="0" collapsed="false">
      <c r="A1627" s="0" t="s">
        <v>28</v>
      </c>
      <c r="B1627" s="0" t="s">
        <v>3592</v>
      </c>
      <c r="C1627" s="0" t="s">
        <v>2175</v>
      </c>
      <c r="D1627" s="0" t="n">
        <v>2026</v>
      </c>
    </row>
    <row r="1628" customFormat="false" ht="15" hidden="false" customHeight="false" outlineLevel="0" collapsed="false">
      <c r="A1628" s="0" t="s">
        <v>28</v>
      </c>
      <c r="B1628" s="0" t="s">
        <v>3596</v>
      </c>
      <c r="C1628" s="0" t="s">
        <v>1746</v>
      </c>
      <c r="D1628" s="0" t="n">
        <v>2035</v>
      </c>
    </row>
    <row r="1629" customFormat="false" ht="15" hidden="false" customHeight="false" outlineLevel="0" collapsed="false">
      <c r="A1629" s="0" t="s">
        <v>28</v>
      </c>
      <c r="B1629" s="0" t="s">
        <v>3596</v>
      </c>
      <c r="C1629" s="0" t="s">
        <v>1882</v>
      </c>
      <c r="D1629" s="0" t="n">
        <v>2035</v>
      </c>
    </row>
    <row r="1630" customFormat="false" ht="15" hidden="false" customHeight="false" outlineLevel="0" collapsed="false">
      <c r="A1630" s="0" t="s">
        <v>28</v>
      </c>
      <c r="B1630" s="0" t="s">
        <v>3596</v>
      </c>
      <c r="C1630" s="0" t="s">
        <v>2175</v>
      </c>
      <c r="D1630" s="0" t="n">
        <v>2035</v>
      </c>
    </row>
    <row r="1631" customFormat="false" ht="15" hidden="false" customHeight="false" outlineLevel="0" collapsed="false">
      <c r="A1631" s="0" t="s">
        <v>28</v>
      </c>
      <c r="B1631" s="0" t="s">
        <v>3600</v>
      </c>
      <c r="C1631" s="0" t="s">
        <v>1746</v>
      </c>
      <c r="D1631" s="0" t="n">
        <v>2027</v>
      </c>
    </row>
    <row r="1632" customFormat="false" ht="15" hidden="false" customHeight="false" outlineLevel="0" collapsed="false">
      <c r="A1632" s="0" t="s">
        <v>28</v>
      </c>
      <c r="B1632" s="0" t="s">
        <v>3600</v>
      </c>
      <c r="C1632" s="0" t="s">
        <v>1882</v>
      </c>
      <c r="D1632" s="0" t="n">
        <v>2026</v>
      </c>
    </row>
    <row r="1633" customFormat="false" ht="15" hidden="false" customHeight="false" outlineLevel="0" collapsed="false">
      <c r="A1633" s="0" t="s">
        <v>28</v>
      </c>
      <c r="B1633" s="0" t="s">
        <v>3600</v>
      </c>
      <c r="C1633" s="0" t="s">
        <v>2175</v>
      </c>
      <c r="D1633" s="0" t="n">
        <v>2027</v>
      </c>
    </row>
    <row r="1634" customFormat="false" ht="15" hidden="false" customHeight="false" outlineLevel="0" collapsed="false">
      <c r="A1634" s="0" t="s">
        <v>28</v>
      </c>
      <c r="B1634" s="0" t="s">
        <v>3605</v>
      </c>
      <c r="C1634" s="0" t="s">
        <v>1746</v>
      </c>
      <c r="D1634" s="0" t="n">
        <v>2033</v>
      </c>
    </row>
    <row r="1635" customFormat="false" ht="15" hidden="false" customHeight="false" outlineLevel="0" collapsed="false">
      <c r="A1635" s="0" t="s">
        <v>28</v>
      </c>
      <c r="B1635" s="0" t="s">
        <v>3605</v>
      </c>
      <c r="C1635" s="0" t="s">
        <v>1882</v>
      </c>
      <c r="D1635" s="0" t="n">
        <v>2033</v>
      </c>
    </row>
    <row r="1636" customFormat="false" ht="15" hidden="false" customHeight="false" outlineLevel="0" collapsed="false">
      <c r="A1636" s="0" t="s">
        <v>28</v>
      </c>
      <c r="B1636" s="0" t="s">
        <v>3605</v>
      </c>
      <c r="C1636" s="0" t="s">
        <v>2175</v>
      </c>
      <c r="D1636" s="0" t="n">
        <v>2033</v>
      </c>
    </row>
    <row r="1637" customFormat="false" ht="15" hidden="false" customHeight="false" outlineLevel="0" collapsed="false">
      <c r="A1637" s="0" t="s">
        <v>28</v>
      </c>
      <c r="B1637" s="0" t="s">
        <v>3608</v>
      </c>
      <c r="C1637" s="0" t="s">
        <v>1746</v>
      </c>
      <c r="D1637" s="0" t="n">
        <v>2027</v>
      </c>
    </row>
    <row r="1638" customFormat="false" ht="15" hidden="false" customHeight="false" outlineLevel="0" collapsed="false">
      <c r="A1638" s="0" t="s">
        <v>28</v>
      </c>
      <c r="B1638" s="0" t="s">
        <v>3608</v>
      </c>
      <c r="C1638" s="0" t="s">
        <v>1882</v>
      </c>
      <c r="D1638" s="0" t="n">
        <v>2027</v>
      </c>
    </row>
    <row r="1639" customFormat="false" ht="15" hidden="false" customHeight="false" outlineLevel="0" collapsed="false">
      <c r="A1639" s="0" t="s">
        <v>28</v>
      </c>
      <c r="B1639" s="0" t="s">
        <v>3608</v>
      </c>
      <c r="C1639" s="0" t="s">
        <v>2175</v>
      </c>
      <c r="D1639" s="0" t="n">
        <v>2027</v>
      </c>
    </row>
    <row r="1640" customFormat="false" ht="15" hidden="false" customHeight="false" outlineLevel="0" collapsed="false">
      <c r="A1640" s="0" t="s">
        <v>28</v>
      </c>
      <c r="B1640" s="0" t="s">
        <v>3612</v>
      </c>
      <c r="C1640" s="0" t="s">
        <v>1746</v>
      </c>
      <c r="D1640" s="0" t="n">
        <v>5</v>
      </c>
    </row>
    <row r="1641" customFormat="false" ht="15" hidden="false" customHeight="false" outlineLevel="0" collapsed="false">
      <c r="A1641" s="0" t="s">
        <v>28</v>
      </c>
      <c r="B1641" s="0" t="s">
        <v>3612</v>
      </c>
      <c r="C1641" s="0" t="s">
        <v>1882</v>
      </c>
      <c r="D1641" s="0" t="n">
        <v>3</v>
      </c>
    </row>
    <row r="1642" customFormat="false" ht="15" hidden="false" customHeight="false" outlineLevel="0" collapsed="false">
      <c r="A1642" s="0" t="s">
        <v>28</v>
      </c>
      <c r="B1642" s="0" t="s">
        <v>3612</v>
      </c>
      <c r="C1642" s="0" t="s">
        <v>2175</v>
      </c>
      <c r="D1642" s="0" t="n">
        <v>7</v>
      </c>
    </row>
    <row r="1643" customFormat="false" ht="15" hidden="false" customHeight="false" outlineLevel="0" collapsed="false">
      <c r="A1643" s="0" t="s">
        <v>28</v>
      </c>
      <c r="B1643" s="0" t="s">
        <v>3618</v>
      </c>
      <c r="C1643" s="0" t="s">
        <v>1746</v>
      </c>
      <c r="D1643" s="0" t="n">
        <v>2026</v>
      </c>
    </row>
    <row r="1644" customFormat="false" ht="15" hidden="false" customHeight="false" outlineLevel="0" collapsed="false">
      <c r="A1644" s="0" t="s">
        <v>28</v>
      </c>
      <c r="B1644" s="0" t="s">
        <v>3618</v>
      </c>
      <c r="C1644" s="0" t="s">
        <v>1882</v>
      </c>
      <c r="D1644" s="0" t="n">
        <v>2026</v>
      </c>
    </row>
    <row r="1645" customFormat="false" ht="15" hidden="false" customHeight="false" outlineLevel="0" collapsed="false">
      <c r="A1645" s="0" t="s">
        <v>28</v>
      </c>
      <c r="B1645" s="0" t="s">
        <v>3618</v>
      </c>
      <c r="C1645" s="0" t="s">
        <v>2175</v>
      </c>
      <c r="D1645" s="0" t="n">
        <v>2026</v>
      </c>
    </row>
    <row r="1646" customFormat="false" ht="15" hidden="false" customHeight="false" outlineLevel="0" collapsed="false">
      <c r="A1646" s="0" t="s">
        <v>28</v>
      </c>
      <c r="B1646" s="0" t="s">
        <v>3622</v>
      </c>
      <c r="C1646" s="0" t="s">
        <v>1746</v>
      </c>
      <c r="D1646" s="0" t="n">
        <v>2029</v>
      </c>
    </row>
    <row r="1647" customFormat="false" ht="15" hidden="false" customHeight="false" outlineLevel="0" collapsed="false">
      <c r="A1647" s="0" t="s">
        <v>28</v>
      </c>
      <c r="B1647" s="0" t="s">
        <v>3622</v>
      </c>
      <c r="C1647" s="0" t="s">
        <v>1882</v>
      </c>
      <c r="D1647" s="0" t="n">
        <v>2029</v>
      </c>
    </row>
    <row r="1648" customFormat="false" ht="15" hidden="false" customHeight="false" outlineLevel="0" collapsed="false">
      <c r="A1648" s="0" t="s">
        <v>28</v>
      </c>
      <c r="B1648" s="0" t="s">
        <v>3622</v>
      </c>
      <c r="C1648" s="0" t="s">
        <v>2175</v>
      </c>
      <c r="D1648" s="0" t="n">
        <v>2029</v>
      </c>
    </row>
    <row r="1649" customFormat="false" ht="15" hidden="false" customHeight="false" outlineLevel="0" collapsed="false">
      <c r="A1649" s="0" t="s">
        <v>28</v>
      </c>
      <c r="B1649" s="0" t="s">
        <v>3625</v>
      </c>
      <c r="C1649" s="0" t="s">
        <v>1746</v>
      </c>
      <c r="D1649" s="0" t="n">
        <v>8</v>
      </c>
    </row>
    <row r="1650" customFormat="false" ht="15" hidden="false" customHeight="false" outlineLevel="0" collapsed="false">
      <c r="A1650" s="0" t="s">
        <v>28</v>
      </c>
      <c r="B1650" s="0" t="s">
        <v>3625</v>
      </c>
      <c r="C1650" s="0" t="s">
        <v>1882</v>
      </c>
      <c r="D1650" s="0" t="n">
        <v>8</v>
      </c>
    </row>
    <row r="1651" customFormat="false" ht="15" hidden="false" customHeight="false" outlineLevel="0" collapsed="false">
      <c r="A1651" s="0" t="s">
        <v>28</v>
      </c>
      <c r="B1651" s="0" t="s">
        <v>3625</v>
      </c>
      <c r="C1651" s="0" t="s">
        <v>2175</v>
      </c>
      <c r="D1651" s="0" t="n">
        <v>8</v>
      </c>
    </row>
    <row r="1652" customFormat="false" ht="15" hidden="false" customHeight="false" outlineLevel="0" collapsed="false">
      <c r="A1652" s="0" t="s">
        <v>28</v>
      </c>
      <c r="B1652" s="0" t="s">
        <v>3630</v>
      </c>
      <c r="C1652" s="0" t="s">
        <v>1746</v>
      </c>
      <c r="D1652" s="0" t="n">
        <v>4</v>
      </c>
    </row>
    <row r="1653" customFormat="false" ht="15" hidden="false" customHeight="false" outlineLevel="0" collapsed="false">
      <c r="A1653" s="0" t="s">
        <v>28</v>
      </c>
      <c r="B1653" s="0" t="s">
        <v>3630</v>
      </c>
      <c r="C1653" s="0" t="s">
        <v>1882</v>
      </c>
      <c r="D1653" s="0" t="n">
        <v>4</v>
      </c>
    </row>
    <row r="1654" customFormat="false" ht="15" hidden="false" customHeight="false" outlineLevel="0" collapsed="false">
      <c r="A1654" s="0" t="s">
        <v>28</v>
      </c>
      <c r="B1654" s="0" t="s">
        <v>3630</v>
      </c>
      <c r="C1654" s="0" t="s">
        <v>2175</v>
      </c>
      <c r="D1654" s="0" t="n">
        <v>4</v>
      </c>
    </row>
    <row r="1655" customFormat="false" ht="15" hidden="false" customHeight="false" outlineLevel="0" collapsed="false">
      <c r="A1655" s="0" t="s">
        <v>28</v>
      </c>
      <c r="B1655" s="0" t="s">
        <v>3634</v>
      </c>
      <c r="C1655" s="0" t="s">
        <v>1746</v>
      </c>
      <c r="D1655" s="0" t="n">
        <v>2028</v>
      </c>
    </row>
    <row r="1656" customFormat="false" ht="15" hidden="false" customHeight="false" outlineLevel="0" collapsed="false">
      <c r="A1656" s="0" t="s">
        <v>28</v>
      </c>
      <c r="B1656" s="0" t="s">
        <v>3634</v>
      </c>
      <c r="C1656" s="0" t="s">
        <v>1882</v>
      </c>
      <c r="D1656" s="0" t="n">
        <v>2028</v>
      </c>
    </row>
    <row r="1657" customFormat="false" ht="15" hidden="false" customHeight="false" outlineLevel="0" collapsed="false">
      <c r="A1657" s="0" t="s">
        <v>28</v>
      </c>
      <c r="B1657" s="0" t="s">
        <v>3634</v>
      </c>
      <c r="C1657" s="0" t="s">
        <v>2175</v>
      </c>
      <c r="D1657" s="0" t="n">
        <v>2028</v>
      </c>
    </row>
    <row r="1658" customFormat="false" ht="15" hidden="false" customHeight="false" outlineLevel="0" collapsed="false">
      <c r="A1658" s="0" t="s">
        <v>28</v>
      </c>
      <c r="B1658" s="0" t="s">
        <v>3638</v>
      </c>
      <c r="C1658" s="0" t="s">
        <v>1746</v>
      </c>
      <c r="D1658" s="0" t="n">
        <v>2033</v>
      </c>
    </row>
    <row r="1659" customFormat="false" ht="15" hidden="false" customHeight="false" outlineLevel="0" collapsed="false">
      <c r="A1659" s="0" t="s">
        <v>28</v>
      </c>
      <c r="B1659" s="0" t="s">
        <v>3638</v>
      </c>
      <c r="C1659" s="0" t="s">
        <v>1882</v>
      </c>
      <c r="D1659" s="0" t="n">
        <v>2033</v>
      </c>
    </row>
    <row r="1660" customFormat="false" ht="15" hidden="false" customHeight="false" outlineLevel="0" collapsed="false">
      <c r="A1660" s="0" t="s">
        <v>28</v>
      </c>
      <c r="B1660" s="0" t="s">
        <v>3638</v>
      </c>
      <c r="C1660" s="0" t="s">
        <v>2175</v>
      </c>
      <c r="D1660" s="0" t="n">
        <v>2033</v>
      </c>
    </row>
    <row r="1661" customFormat="false" ht="15" hidden="false" customHeight="false" outlineLevel="0" collapsed="false">
      <c r="A1661" s="0" t="s">
        <v>28</v>
      </c>
      <c r="B1661" s="0" t="s">
        <v>3642</v>
      </c>
      <c r="C1661" s="0" t="s">
        <v>1746</v>
      </c>
      <c r="D1661" s="0" t="n">
        <v>2027</v>
      </c>
    </row>
    <row r="1662" customFormat="false" ht="15" hidden="false" customHeight="false" outlineLevel="0" collapsed="false">
      <c r="A1662" s="0" t="s">
        <v>28</v>
      </c>
      <c r="B1662" s="0" t="s">
        <v>3642</v>
      </c>
      <c r="C1662" s="0" t="s">
        <v>1882</v>
      </c>
      <c r="D1662" s="0" t="n">
        <v>2027</v>
      </c>
    </row>
    <row r="1663" customFormat="false" ht="15" hidden="false" customHeight="false" outlineLevel="0" collapsed="false">
      <c r="A1663" s="0" t="s">
        <v>28</v>
      </c>
      <c r="B1663" s="0" t="s">
        <v>3642</v>
      </c>
      <c r="C1663" s="0" t="s">
        <v>2175</v>
      </c>
      <c r="D1663" s="0" t="n">
        <v>2028</v>
      </c>
    </row>
    <row r="1664" customFormat="false" ht="15" hidden="false" customHeight="false" outlineLevel="0" collapsed="false">
      <c r="A1664" s="0" t="s">
        <v>28</v>
      </c>
      <c r="B1664" s="0" t="s">
        <v>3647</v>
      </c>
      <c r="C1664" s="0" t="s">
        <v>1746</v>
      </c>
      <c r="D1664" s="0" t="n">
        <v>6</v>
      </c>
    </row>
    <row r="1665" customFormat="false" ht="15" hidden="false" customHeight="false" outlineLevel="0" collapsed="false">
      <c r="A1665" s="0" t="s">
        <v>28</v>
      </c>
      <c r="B1665" s="0" t="s">
        <v>3647</v>
      </c>
      <c r="C1665" s="0" t="s">
        <v>1882</v>
      </c>
      <c r="D1665" s="0" t="n">
        <v>4</v>
      </c>
    </row>
    <row r="1666" customFormat="false" ht="15" hidden="false" customHeight="false" outlineLevel="0" collapsed="false">
      <c r="A1666" s="0" t="s">
        <v>28</v>
      </c>
      <c r="B1666" s="0" t="s">
        <v>3647</v>
      </c>
      <c r="C1666" s="0" t="s">
        <v>2175</v>
      </c>
      <c r="D1666" s="0" t="n">
        <v>8</v>
      </c>
    </row>
    <row r="1667" customFormat="false" ht="15" hidden="false" customHeight="false" outlineLevel="0" collapsed="false">
      <c r="A1667" s="0" t="s">
        <v>28</v>
      </c>
      <c r="B1667" s="0" t="s">
        <v>3651</v>
      </c>
      <c r="C1667" s="0" t="s">
        <v>1746</v>
      </c>
      <c r="D1667" s="0" t="n">
        <v>2034</v>
      </c>
    </row>
    <row r="1668" customFormat="false" ht="15" hidden="false" customHeight="false" outlineLevel="0" collapsed="false">
      <c r="A1668" s="0" t="s">
        <v>28</v>
      </c>
      <c r="B1668" s="0" t="s">
        <v>3651</v>
      </c>
      <c r="C1668" s="0" t="s">
        <v>1882</v>
      </c>
      <c r="D1668" s="0" t="n">
        <v>2034</v>
      </c>
    </row>
    <row r="1669" customFormat="false" ht="15" hidden="false" customHeight="false" outlineLevel="0" collapsed="false">
      <c r="A1669" s="0" t="s">
        <v>28</v>
      </c>
      <c r="B1669" s="0" t="s">
        <v>3651</v>
      </c>
      <c r="C1669" s="0" t="s">
        <v>2175</v>
      </c>
      <c r="D1669" s="0" t="n">
        <v>2034</v>
      </c>
    </row>
    <row r="1670" customFormat="false" ht="15" hidden="false" customHeight="false" outlineLevel="0" collapsed="false">
      <c r="A1670" s="0" t="s">
        <v>28</v>
      </c>
      <c r="B1670" s="0" t="s">
        <v>3657</v>
      </c>
      <c r="C1670" s="0" t="s">
        <v>1746</v>
      </c>
      <c r="D1670" s="0" t="n">
        <v>2027</v>
      </c>
    </row>
    <row r="1671" customFormat="false" ht="15" hidden="false" customHeight="false" outlineLevel="0" collapsed="false">
      <c r="A1671" s="0" t="s">
        <v>28</v>
      </c>
      <c r="B1671" s="0" t="s">
        <v>3657</v>
      </c>
      <c r="C1671" s="0" t="s">
        <v>1882</v>
      </c>
      <c r="D1671" s="0" t="n">
        <v>2027</v>
      </c>
    </row>
    <row r="1672" customFormat="false" ht="15" hidden="false" customHeight="false" outlineLevel="0" collapsed="false">
      <c r="A1672" s="0" t="s">
        <v>28</v>
      </c>
      <c r="B1672" s="0" t="s">
        <v>3657</v>
      </c>
      <c r="C1672" s="0" t="s">
        <v>2175</v>
      </c>
      <c r="D1672" s="0" t="n">
        <v>2027</v>
      </c>
    </row>
    <row r="1673" customFormat="false" ht="15" hidden="false" customHeight="false" outlineLevel="0" collapsed="false">
      <c r="A1673" s="0" t="s">
        <v>28</v>
      </c>
      <c r="B1673" s="0" t="s">
        <v>3661</v>
      </c>
      <c r="C1673" s="0" t="s">
        <v>1746</v>
      </c>
      <c r="D1673" s="0" t="n">
        <v>2032</v>
      </c>
    </row>
    <row r="1674" customFormat="false" ht="15" hidden="false" customHeight="false" outlineLevel="0" collapsed="false">
      <c r="A1674" s="0" t="s">
        <v>28</v>
      </c>
      <c r="B1674" s="0" t="s">
        <v>3661</v>
      </c>
      <c r="C1674" s="0" t="s">
        <v>1882</v>
      </c>
      <c r="D1674" s="0" t="n">
        <v>2032</v>
      </c>
    </row>
    <row r="1675" customFormat="false" ht="15" hidden="false" customHeight="false" outlineLevel="0" collapsed="false">
      <c r="A1675" s="0" t="s">
        <v>28</v>
      </c>
      <c r="B1675" s="0" t="s">
        <v>3661</v>
      </c>
      <c r="C1675" s="0" t="s">
        <v>2175</v>
      </c>
      <c r="D1675" s="0" t="n">
        <v>2032</v>
      </c>
    </row>
    <row r="1676" customFormat="false" ht="15" hidden="false" customHeight="false" outlineLevel="0" collapsed="false">
      <c r="A1676" s="0" t="s">
        <v>28</v>
      </c>
      <c r="B1676" s="0" t="s">
        <v>3664</v>
      </c>
      <c r="C1676" s="0" t="s">
        <v>1746</v>
      </c>
      <c r="D1676" s="0" t="n">
        <v>2026</v>
      </c>
    </row>
    <row r="1677" customFormat="false" ht="15" hidden="false" customHeight="false" outlineLevel="0" collapsed="false">
      <c r="A1677" s="0" t="s">
        <v>28</v>
      </c>
      <c r="B1677" s="0" t="s">
        <v>3664</v>
      </c>
      <c r="C1677" s="0" t="s">
        <v>1882</v>
      </c>
      <c r="D1677" s="0" t="n">
        <v>2026</v>
      </c>
    </row>
    <row r="1678" customFormat="false" ht="15" hidden="false" customHeight="false" outlineLevel="0" collapsed="false">
      <c r="A1678" s="0" t="s">
        <v>28</v>
      </c>
      <c r="B1678" s="0" t="s">
        <v>3664</v>
      </c>
      <c r="C1678" s="0" t="s">
        <v>2175</v>
      </c>
      <c r="D1678" s="0" t="n">
        <v>2026</v>
      </c>
    </row>
    <row r="1679" customFormat="false" ht="15" hidden="false" customHeight="false" outlineLevel="0" collapsed="false">
      <c r="A1679" s="0" t="s">
        <v>28</v>
      </c>
      <c r="B1679" s="0" t="s">
        <v>3668</v>
      </c>
      <c r="C1679" s="0" t="s">
        <v>1746</v>
      </c>
      <c r="D1679" s="0" t="n">
        <v>2032</v>
      </c>
    </row>
    <row r="1680" customFormat="false" ht="15" hidden="false" customHeight="false" outlineLevel="0" collapsed="false">
      <c r="A1680" s="0" t="s">
        <v>28</v>
      </c>
      <c r="B1680" s="0" t="s">
        <v>3668</v>
      </c>
      <c r="C1680" s="0" t="s">
        <v>1882</v>
      </c>
      <c r="D1680" s="0" t="n">
        <v>2032</v>
      </c>
    </row>
    <row r="1681" customFormat="false" ht="15" hidden="false" customHeight="false" outlineLevel="0" collapsed="false">
      <c r="A1681" s="0" t="s">
        <v>28</v>
      </c>
      <c r="B1681" s="0" t="s">
        <v>3668</v>
      </c>
      <c r="C1681" s="0" t="s">
        <v>2175</v>
      </c>
      <c r="D1681" s="0" t="n">
        <v>2032</v>
      </c>
    </row>
    <row r="1682" customFormat="false" ht="15" hidden="false" customHeight="false" outlineLevel="0" collapsed="false">
      <c r="A1682" s="0" t="s">
        <v>28</v>
      </c>
      <c r="B1682" s="0" t="s">
        <v>3672</v>
      </c>
      <c r="C1682" s="0" t="s">
        <v>1746</v>
      </c>
      <c r="D1682" s="0" t="n">
        <v>2026</v>
      </c>
    </row>
    <row r="1683" customFormat="false" ht="15" hidden="false" customHeight="false" outlineLevel="0" collapsed="false">
      <c r="A1683" s="0" t="s">
        <v>28</v>
      </c>
      <c r="B1683" s="0" t="s">
        <v>3672</v>
      </c>
      <c r="C1683" s="0" t="s">
        <v>1882</v>
      </c>
      <c r="D1683" s="0" t="n">
        <v>2026</v>
      </c>
    </row>
    <row r="1684" customFormat="false" ht="15" hidden="false" customHeight="false" outlineLevel="0" collapsed="false">
      <c r="A1684" s="0" t="s">
        <v>28</v>
      </c>
      <c r="B1684" s="0" t="s">
        <v>3672</v>
      </c>
      <c r="C1684" s="0" t="s">
        <v>2175</v>
      </c>
      <c r="D1684" s="0" t="n">
        <v>2026</v>
      </c>
    </row>
    <row r="1685" customFormat="false" ht="15" hidden="false" customHeight="false" outlineLevel="0" collapsed="false">
      <c r="A1685" s="0" t="s">
        <v>28</v>
      </c>
      <c r="B1685" s="0" t="s">
        <v>3677</v>
      </c>
      <c r="C1685" s="0" t="s">
        <v>1746</v>
      </c>
      <c r="D1685" s="0" t="n">
        <v>3</v>
      </c>
    </row>
    <row r="1686" customFormat="false" ht="15" hidden="false" customHeight="false" outlineLevel="0" collapsed="false">
      <c r="A1686" s="0" t="s">
        <v>28</v>
      </c>
      <c r="B1686" s="0" t="s">
        <v>3677</v>
      </c>
      <c r="C1686" s="0" t="s">
        <v>1882</v>
      </c>
      <c r="D1686" s="0" t="n">
        <v>2</v>
      </c>
    </row>
    <row r="1687" customFormat="false" ht="15" hidden="false" customHeight="false" outlineLevel="0" collapsed="false">
      <c r="A1687" s="0" t="s">
        <v>28</v>
      </c>
      <c r="B1687" s="0" t="s">
        <v>3677</v>
      </c>
      <c r="C1687" s="0" t="s">
        <v>2175</v>
      </c>
      <c r="D1687" s="0" t="n">
        <v>5</v>
      </c>
    </row>
    <row r="1688" customFormat="false" ht="15" hidden="false" customHeight="false" outlineLevel="0" collapsed="false">
      <c r="A1688" s="0" t="s">
        <v>28</v>
      </c>
      <c r="B1688" s="0" t="s">
        <v>3683</v>
      </c>
      <c r="C1688" s="0" t="s">
        <v>1746</v>
      </c>
      <c r="D1688" s="0" t="n">
        <v>1</v>
      </c>
    </row>
    <row r="1689" customFormat="false" ht="15" hidden="false" customHeight="false" outlineLevel="0" collapsed="false">
      <c r="A1689" s="0" t="s">
        <v>28</v>
      </c>
      <c r="B1689" s="0" t="s">
        <v>3683</v>
      </c>
      <c r="C1689" s="0" t="s">
        <v>1882</v>
      </c>
      <c r="D1689" s="0" t="n">
        <v>1</v>
      </c>
    </row>
    <row r="1690" customFormat="false" ht="15" hidden="false" customHeight="false" outlineLevel="0" collapsed="false">
      <c r="A1690" s="0" t="s">
        <v>28</v>
      </c>
      <c r="B1690" s="0" t="s">
        <v>3683</v>
      </c>
      <c r="C1690" s="0" t="s">
        <v>2175</v>
      </c>
      <c r="D1690" s="0" t="n">
        <v>2</v>
      </c>
    </row>
    <row r="1691" customFormat="false" ht="15" hidden="false" customHeight="false" outlineLevel="0" collapsed="false">
      <c r="A1691" s="0" t="s">
        <v>28</v>
      </c>
      <c r="B1691" s="0" t="s">
        <v>3688</v>
      </c>
      <c r="C1691" s="0" t="s">
        <v>1746</v>
      </c>
      <c r="D1691" s="0" t="n">
        <v>0.25</v>
      </c>
    </row>
    <row r="1692" customFormat="false" ht="15" hidden="false" customHeight="false" outlineLevel="0" collapsed="false">
      <c r="A1692" s="0" t="s">
        <v>28</v>
      </c>
      <c r="B1692" s="0" t="s">
        <v>3688</v>
      </c>
      <c r="C1692" s="0" t="s">
        <v>1882</v>
      </c>
      <c r="D1692" s="0" t="n">
        <v>0.25</v>
      </c>
    </row>
    <row r="1693" customFormat="false" ht="15" hidden="false" customHeight="false" outlineLevel="0" collapsed="false">
      <c r="A1693" s="0" t="s">
        <v>28</v>
      </c>
      <c r="B1693" s="0" t="s">
        <v>3688</v>
      </c>
      <c r="C1693" s="0" t="s">
        <v>2175</v>
      </c>
      <c r="D1693" s="0" t="n">
        <v>0.25</v>
      </c>
    </row>
    <row r="1694" customFormat="false" ht="15" hidden="false" customHeight="false" outlineLevel="0" collapsed="false">
      <c r="A1694" s="0" t="s">
        <v>28</v>
      </c>
      <c r="B1694" s="0" t="s">
        <v>3692</v>
      </c>
      <c r="C1694" s="0" t="s">
        <v>1746</v>
      </c>
      <c r="D1694" s="0" t="n">
        <v>0.25</v>
      </c>
    </row>
    <row r="1695" customFormat="false" ht="15" hidden="false" customHeight="false" outlineLevel="0" collapsed="false">
      <c r="A1695" s="0" t="s">
        <v>28</v>
      </c>
      <c r="B1695" s="0" t="s">
        <v>3692</v>
      </c>
      <c r="C1695" s="0" t="s">
        <v>1882</v>
      </c>
      <c r="D1695" s="0" t="n">
        <v>0.25</v>
      </c>
    </row>
    <row r="1696" customFormat="false" ht="15" hidden="false" customHeight="false" outlineLevel="0" collapsed="false">
      <c r="A1696" s="0" t="s">
        <v>28</v>
      </c>
      <c r="B1696" s="0" t="s">
        <v>3692</v>
      </c>
      <c r="C1696" s="0" t="s">
        <v>2175</v>
      </c>
      <c r="D1696" s="0" t="n">
        <v>0.25</v>
      </c>
    </row>
    <row r="1697" customFormat="false" ht="15" hidden="false" customHeight="false" outlineLevel="0" collapsed="false">
      <c r="A1697" s="0" t="s">
        <v>28</v>
      </c>
      <c r="B1697" s="0" t="s">
        <v>3696</v>
      </c>
      <c r="C1697" s="0" t="s">
        <v>1746</v>
      </c>
      <c r="D1697" s="0" t="n">
        <v>0.8</v>
      </c>
    </row>
    <row r="1698" customFormat="false" ht="15" hidden="false" customHeight="false" outlineLevel="0" collapsed="false">
      <c r="A1698" s="0" t="s">
        <v>28</v>
      </c>
      <c r="B1698" s="0" t="s">
        <v>3696</v>
      </c>
      <c r="C1698" s="0" t="s">
        <v>1882</v>
      </c>
      <c r="D1698" s="0" t="n">
        <v>0.5</v>
      </c>
    </row>
    <row r="1699" customFormat="false" ht="15" hidden="false" customHeight="false" outlineLevel="0" collapsed="false">
      <c r="A1699" s="0" t="s">
        <v>28</v>
      </c>
      <c r="B1699" s="0" t="s">
        <v>3696</v>
      </c>
      <c r="C1699" s="0" t="s">
        <v>2175</v>
      </c>
      <c r="D1699" s="0" t="n">
        <v>1.2</v>
      </c>
    </row>
    <row r="1700" customFormat="false" ht="15" hidden="false" customHeight="false" outlineLevel="0" collapsed="false">
      <c r="A1700" s="0" t="s">
        <v>28</v>
      </c>
      <c r="B1700" s="0" t="s">
        <v>3702</v>
      </c>
      <c r="C1700" s="0" t="s">
        <v>1746</v>
      </c>
      <c r="D1700" s="0" t="n">
        <v>0.3</v>
      </c>
    </row>
    <row r="1701" customFormat="false" ht="15" hidden="false" customHeight="false" outlineLevel="0" collapsed="false">
      <c r="A1701" s="0" t="s">
        <v>28</v>
      </c>
      <c r="B1701" s="0" t="s">
        <v>3702</v>
      </c>
      <c r="C1701" s="0" t="s">
        <v>1882</v>
      </c>
      <c r="D1701" s="0" t="n">
        <v>0.1</v>
      </c>
    </row>
    <row r="1702" customFormat="false" ht="15" hidden="false" customHeight="false" outlineLevel="0" collapsed="false">
      <c r="A1702" s="0" t="s">
        <v>28</v>
      </c>
      <c r="B1702" s="0" t="s">
        <v>3702</v>
      </c>
      <c r="C1702" s="0" t="s">
        <v>2175</v>
      </c>
      <c r="D1702" s="0" t="n">
        <v>0.5</v>
      </c>
    </row>
    <row r="1703" customFormat="false" ht="15" hidden="false" customHeight="false" outlineLevel="0" collapsed="false">
      <c r="A1703" s="0" t="s">
        <v>28</v>
      </c>
      <c r="B1703" s="0" t="s">
        <v>3705</v>
      </c>
      <c r="C1703" s="0" t="s">
        <v>1746</v>
      </c>
      <c r="D1703" s="0" t="n">
        <v>0.2</v>
      </c>
    </row>
    <row r="1704" customFormat="false" ht="15" hidden="false" customHeight="false" outlineLevel="0" collapsed="false">
      <c r="A1704" s="0" t="s">
        <v>28</v>
      </c>
      <c r="B1704" s="0" t="s">
        <v>3705</v>
      </c>
      <c r="C1704" s="0" t="s">
        <v>1882</v>
      </c>
      <c r="D1704" s="0" t="n">
        <v>0.05</v>
      </c>
    </row>
    <row r="1705" customFormat="false" ht="15" hidden="false" customHeight="false" outlineLevel="0" collapsed="false">
      <c r="A1705" s="0" t="s">
        <v>28</v>
      </c>
      <c r="B1705" s="0" t="s">
        <v>3705</v>
      </c>
      <c r="C1705" s="0" t="s">
        <v>2175</v>
      </c>
      <c r="D1705" s="0" t="n">
        <v>0.35</v>
      </c>
    </row>
    <row r="1706" customFormat="false" ht="15" hidden="false" customHeight="false" outlineLevel="0" collapsed="false">
      <c r="A1706" s="0" t="s">
        <v>28</v>
      </c>
      <c r="B1706" s="0" t="s">
        <v>3708</v>
      </c>
      <c r="C1706" s="0" t="s">
        <v>1746</v>
      </c>
      <c r="D1706" s="0" t="n">
        <v>0.15</v>
      </c>
    </row>
    <row r="1707" customFormat="false" ht="15" hidden="false" customHeight="false" outlineLevel="0" collapsed="false">
      <c r="A1707" s="0" t="s">
        <v>28</v>
      </c>
      <c r="B1707" s="0" t="s">
        <v>3708</v>
      </c>
      <c r="C1707" s="0" t="s">
        <v>1882</v>
      </c>
      <c r="D1707" s="0" t="n">
        <v>0</v>
      </c>
    </row>
    <row r="1708" customFormat="false" ht="15" hidden="false" customHeight="false" outlineLevel="0" collapsed="false">
      <c r="A1708" s="0" t="s">
        <v>28</v>
      </c>
      <c r="B1708" s="0" t="s">
        <v>3708</v>
      </c>
      <c r="C1708" s="0" t="s">
        <v>2175</v>
      </c>
      <c r="D1708" s="0" t="n">
        <v>0.3</v>
      </c>
    </row>
    <row r="1709" customFormat="false" ht="15" hidden="false" customHeight="false" outlineLevel="0" collapsed="false">
      <c r="A1709" s="0" t="s">
        <v>28</v>
      </c>
      <c r="B1709" s="0" t="s">
        <v>3711</v>
      </c>
      <c r="C1709" s="0" t="s">
        <v>1746</v>
      </c>
      <c r="D1709" s="0" t="n">
        <v>0.1</v>
      </c>
    </row>
    <row r="1710" customFormat="false" ht="15" hidden="false" customHeight="false" outlineLevel="0" collapsed="false">
      <c r="A1710" s="0" t="s">
        <v>28</v>
      </c>
      <c r="B1710" s="0" t="s">
        <v>3711</v>
      </c>
      <c r="C1710" s="0" t="s">
        <v>1882</v>
      </c>
      <c r="D1710" s="0" t="n">
        <v>0</v>
      </c>
    </row>
    <row r="1711" customFormat="false" ht="15" hidden="false" customHeight="false" outlineLevel="0" collapsed="false">
      <c r="A1711" s="0" t="s">
        <v>28</v>
      </c>
      <c r="B1711" s="0" t="s">
        <v>3711</v>
      </c>
      <c r="C1711" s="0" t="s">
        <v>2175</v>
      </c>
      <c r="D1711" s="0" t="n">
        <v>0.25</v>
      </c>
    </row>
    <row r="1712" customFormat="false" ht="15" hidden="false" customHeight="false" outlineLevel="0" collapsed="false">
      <c r="A1712" s="0" t="s">
        <v>28</v>
      </c>
      <c r="B1712" s="0" t="s">
        <v>3714</v>
      </c>
      <c r="C1712" s="0" t="s">
        <v>1746</v>
      </c>
      <c r="D1712" s="0" t="n">
        <v>0.03</v>
      </c>
    </row>
    <row r="1713" customFormat="false" ht="15" hidden="false" customHeight="false" outlineLevel="0" collapsed="false">
      <c r="A1713" s="0" t="s">
        <v>28</v>
      </c>
      <c r="B1713" s="0" t="s">
        <v>3714</v>
      </c>
      <c r="C1713" s="0" t="s">
        <v>1882</v>
      </c>
      <c r="D1713" s="0" t="n">
        <v>0</v>
      </c>
    </row>
    <row r="1714" customFormat="false" ht="15" hidden="false" customHeight="false" outlineLevel="0" collapsed="false">
      <c r="A1714" s="0" t="s">
        <v>28</v>
      </c>
      <c r="B1714" s="0" t="s">
        <v>3714</v>
      </c>
      <c r="C1714" s="0" t="s">
        <v>2175</v>
      </c>
      <c r="D1714" s="0" t="n">
        <v>0.08</v>
      </c>
    </row>
    <row r="1715" customFormat="false" ht="15" hidden="false" customHeight="false" outlineLevel="0" collapsed="false">
      <c r="A1715" s="0" t="s">
        <v>28</v>
      </c>
      <c r="B1715" s="0" t="s">
        <v>3718</v>
      </c>
      <c r="C1715" s="0" t="s">
        <v>1746</v>
      </c>
      <c r="D1715" s="0" t="n">
        <v>0.8</v>
      </c>
    </row>
    <row r="1716" customFormat="false" ht="15" hidden="false" customHeight="false" outlineLevel="0" collapsed="false">
      <c r="A1716" s="0" t="s">
        <v>28</v>
      </c>
      <c r="B1716" s="0" t="s">
        <v>3718</v>
      </c>
      <c r="C1716" s="0" t="s">
        <v>1882</v>
      </c>
      <c r="D1716" s="0" t="n">
        <v>0.4</v>
      </c>
    </row>
    <row r="1717" customFormat="false" ht="15" hidden="false" customHeight="false" outlineLevel="0" collapsed="false">
      <c r="A1717" s="0" t="s">
        <v>28</v>
      </c>
      <c r="B1717" s="0" t="s">
        <v>3718</v>
      </c>
      <c r="C1717" s="0" t="s">
        <v>2175</v>
      </c>
      <c r="D1717" s="0" t="n">
        <v>1.1</v>
      </c>
    </row>
    <row r="1718" customFormat="false" ht="15" hidden="false" customHeight="false" outlineLevel="0" collapsed="false">
      <c r="A1718" s="0" t="s">
        <v>28</v>
      </c>
      <c r="B1718" s="0" t="s">
        <v>3725</v>
      </c>
      <c r="C1718" s="0" t="s">
        <v>1746</v>
      </c>
      <c r="D1718" s="0" t="n">
        <v>0</v>
      </c>
    </row>
    <row r="1719" customFormat="false" ht="15" hidden="false" customHeight="false" outlineLevel="0" collapsed="false">
      <c r="A1719" s="0" t="s">
        <v>28</v>
      </c>
      <c r="B1719" s="0" t="s">
        <v>3725</v>
      </c>
      <c r="C1719" s="0" t="s">
        <v>1882</v>
      </c>
      <c r="D1719" s="0" t="n">
        <v>-0.2</v>
      </c>
    </row>
    <row r="1720" customFormat="false" ht="15" hidden="false" customHeight="false" outlineLevel="0" collapsed="false">
      <c r="A1720" s="0" t="s">
        <v>28</v>
      </c>
      <c r="B1720" s="0" t="s">
        <v>3725</v>
      </c>
      <c r="C1720" s="0" t="s">
        <v>2175</v>
      </c>
      <c r="D1720" s="0" t="n">
        <v>0.2</v>
      </c>
    </row>
    <row r="1721" customFormat="false" ht="15" hidden="false" customHeight="false" outlineLevel="0" collapsed="false">
      <c r="A1721" s="0" t="s">
        <v>28</v>
      </c>
      <c r="B1721" s="0" t="s">
        <v>3729</v>
      </c>
      <c r="C1721" s="0" t="s">
        <v>1746</v>
      </c>
      <c r="D1721" s="0" t="n">
        <v>4</v>
      </c>
    </row>
    <row r="1722" customFormat="false" ht="15" hidden="false" customHeight="false" outlineLevel="0" collapsed="false">
      <c r="A1722" s="0" t="s">
        <v>28</v>
      </c>
      <c r="B1722" s="0" t="s">
        <v>3729</v>
      </c>
      <c r="C1722" s="0" t="s">
        <v>1882</v>
      </c>
      <c r="D1722" s="0" t="n">
        <v>4</v>
      </c>
    </row>
    <row r="1723" customFormat="false" ht="15" hidden="false" customHeight="false" outlineLevel="0" collapsed="false">
      <c r="A1723" s="0" t="s">
        <v>28</v>
      </c>
      <c r="B1723" s="0" t="s">
        <v>3729</v>
      </c>
      <c r="C1723" s="0" t="s">
        <v>2175</v>
      </c>
      <c r="D1723" s="0" t="n">
        <v>4</v>
      </c>
    </row>
    <row r="1724" customFormat="false" ht="15" hidden="false" customHeight="false" outlineLevel="0" collapsed="false">
      <c r="A1724" s="0" t="s">
        <v>28</v>
      </c>
      <c r="B1724" s="0" t="s">
        <v>3734</v>
      </c>
      <c r="C1724" s="0" t="s">
        <v>1746</v>
      </c>
      <c r="D1724" s="0" t="n">
        <v>6</v>
      </c>
    </row>
    <row r="1725" customFormat="false" ht="15" hidden="false" customHeight="false" outlineLevel="0" collapsed="false">
      <c r="A1725" s="0" t="s">
        <v>28</v>
      </c>
      <c r="B1725" s="0" t="s">
        <v>3734</v>
      </c>
      <c r="C1725" s="0" t="s">
        <v>1882</v>
      </c>
      <c r="D1725" s="0" t="n">
        <v>3</v>
      </c>
    </row>
    <row r="1726" customFormat="false" ht="15" hidden="false" customHeight="false" outlineLevel="0" collapsed="false">
      <c r="A1726" s="0" t="s">
        <v>28</v>
      </c>
      <c r="B1726" s="0" t="s">
        <v>3734</v>
      </c>
      <c r="C1726" s="0" t="s">
        <v>2175</v>
      </c>
      <c r="D1726" s="0" t="n">
        <v>12</v>
      </c>
    </row>
    <row r="1727" customFormat="false" ht="15" hidden="false" customHeight="false" outlineLevel="0" collapsed="false">
      <c r="A1727" s="0" t="s">
        <v>28</v>
      </c>
      <c r="B1727" s="0" t="s">
        <v>3740</v>
      </c>
      <c r="C1727" s="0" t="s">
        <v>1746</v>
      </c>
      <c r="D1727" s="0" t="n">
        <v>1</v>
      </c>
    </row>
    <row r="1728" customFormat="false" ht="15" hidden="false" customHeight="false" outlineLevel="0" collapsed="false">
      <c r="A1728" s="0" t="s">
        <v>28</v>
      </c>
      <c r="B1728" s="0" t="s">
        <v>3740</v>
      </c>
      <c r="C1728" s="0" t="s">
        <v>1882</v>
      </c>
      <c r="D1728" s="0" t="n">
        <v>0</v>
      </c>
    </row>
    <row r="1729" customFormat="false" ht="15" hidden="false" customHeight="false" outlineLevel="0" collapsed="false">
      <c r="A1729" s="0" t="s">
        <v>28</v>
      </c>
      <c r="B1729" s="0" t="s">
        <v>3740</v>
      </c>
      <c r="C1729" s="0" t="s">
        <v>2175</v>
      </c>
      <c r="D1729" s="0" t="n">
        <v>1</v>
      </c>
    </row>
    <row r="1730" customFormat="false" ht="15" hidden="false" customHeight="false" outlineLevel="0" collapsed="false">
      <c r="A1730" s="0" t="s">
        <v>28</v>
      </c>
      <c r="B1730" s="0" t="s">
        <v>3745</v>
      </c>
      <c r="C1730" s="0" t="s">
        <v>1746</v>
      </c>
      <c r="D1730" s="0" t="n">
        <v>0</v>
      </c>
    </row>
    <row r="1731" customFormat="false" ht="15" hidden="false" customHeight="false" outlineLevel="0" collapsed="false">
      <c r="A1731" s="0" t="s">
        <v>28</v>
      </c>
      <c r="B1731" s="0" t="s">
        <v>3745</v>
      </c>
      <c r="C1731" s="0" t="s">
        <v>1882</v>
      </c>
      <c r="D1731" s="0" t="n">
        <v>0</v>
      </c>
    </row>
    <row r="1732" customFormat="false" ht="15" hidden="false" customHeight="false" outlineLevel="0" collapsed="false">
      <c r="A1732" s="0" t="s">
        <v>28</v>
      </c>
      <c r="B1732" s="0" t="s">
        <v>3745</v>
      </c>
      <c r="C1732" s="0" t="s">
        <v>2175</v>
      </c>
      <c r="D1732" s="0" t="n">
        <v>1</v>
      </c>
    </row>
    <row r="1733" customFormat="false" ht="15" hidden="false" customHeight="false" outlineLevel="0" collapsed="false">
      <c r="A1733" s="0" t="s">
        <v>28</v>
      </c>
      <c r="B1733" s="0" t="s">
        <v>3750</v>
      </c>
      <c r="C1733" s="0" t="s">
        <v>1746</v>
      </c>
      <c r="D1733" s="0" t="n">
        <v>0</v>
      </c>
    </row>
    <row r="1734" customFormat="false" ht="15" hidden="false" customHeight="false" outlineLevel="0" collapsed="false">
      <c r="A1734" s="0" t="s">
        <v>28</v>
      </c>
      <c r="B1734" s="0" t="s">
        <v>3750</v>
      </c>
      <c r="C1734" s="0" t="s">
        <v>1882</v>
      </c>
      <c r="D1734" s="0" t="n">
        <v>0</v>
      </c>
    </row>
    <row r="1735" customFormat="false" ht="15" hidden="false" customHeight="false" outlineLevel="0" collapsed="false">
      <c r="A1735" s="0" t="s">
        <v>28</v>
      </c>
      <c r="B1735" s="0" t="s">
        <v>3750</v>
      </c>
      <c r="C1735" s="0" t="s">
        <v>2175</v>
      </c>
      <c r="D1735" s="0" t="n">
        <v>1</v>
      </c>
    </row>
    <row r="1736" customFormat="false" ht="15" hidden="false" customHeight="false" outlineLevel="0" collapsed="false">
      <c r="A1736" s="0" t="s">
        <v>28</v>
      </c>
      <c r="B1736" s="0" t="s">
        <v>3754</v>
      </c>
      <c r="C1736" s="0" t="s">
        <v>1746</v>
      </c>
      <c r="D1736" s="0" t="n">
        <v>0</v>
      </c>
    </row>
    <row r="1737" customFormat="false" ht="15" hidden="false" customHeight="false" outlineLevel="0" collapsed="false">
      <c r="A1737" s="0" t="s">
        <v>28</v>
      </c>
      <c r="B1737" s="0" t="s">
        <v>3754</v>
      </c>
      <c r="C1737" s="0" t="s">
        <v>1882</v>
      </c>
      <c r="D1737" s="0" t="n">
        <v>0</v>
      </c>
    </row>
    <row r="1738" customFormat="false" ht="15" hidden="false" customHeight="false" outlineLevel="0" collapsed="false">
      <c r="A1738" s="0" t="s">
        <v>28</v>
      </c>
      <c r="B1738" s="0" t="s">
        <v>3754</v>
      </c>
      <c r="C1738" s="0" t="s">
        <v>2175</v>
      </c>
      <c r="D1738" s="0" t="n">
        <v>1</v>
      </c>
    </row>
    <row r="1739" customFormat="false" ht="15" hidden="false" customHeight="false" outlineLevel="0" collapsed="false">
      <c r="A1739" s="0" t="s">
        <v>28</v>
      </c>
      <c r="B1739" s="0" t="s">
        <v>3759</v>
      </c>
      <c r="C1739" s="0" t="s">
        <v>1746</v>
      </c>
      <c r="D1739" s="0" t="n">
        <v>2026</v>
      </c>
    </row>
    <row r="1740" customFormat="false" ht="15" hidden="false" customHeight="false" outlineLevel="0" collapsed="false">
      <c r="A1740" s="0" t="s">
        <v>28</v>
      </c>
      <c r="B1740" s="0" t="s">
        <v>3759</v>
      </c>
      <c r="C1740" s="0" t="s">
        <v>1882</v>
      </c>
      <c r="D1740" s="0" t="n">
        <v>2026</v>
      </c>
    </row>
    <row r="1741" customFormat="false" ht="15" hidden="false" customHeight="false" outlineLevel="0" collapsed="false">
      <c r="A1741" s="0" t="s">
        <v>28</v>
      </c>
      <c r="B1741" s="0" t="s">
        <v>3759</v>
      </c>
      <c r="C1741" s="0" t="s">
        <v>2175</v>
      </c>
      <c r="D1741" s="0" t="n">
        <v>2027</v>
      </c>
    </row>
    <row r="1742" customFormat="false" ht="15" hidden="false" customHeight="false" outlineLevel="0" collapsed="false">
      <c r="A1742" s="0" t="s">
        <v>28</v>
      </c>
      <c r="B1742" s="0" t="s">
        <v>3765</v>
      </c>
      <c r="C1742" s="0" t="s">
        <v>1746</v>
      </c>
      <c r="D1742" s="0" t="n">
        <v>2027</v>
      </c>
    </row>
    <row r="1743" customFormat="false" ht="15" hidden="false" customHeight="false" outlineLevel="0" collapsed="false">
      <c r="A1743" s="0" t="s">
        <v>28</v>
      </c>
      <c r="B1743" s="0" t="s">
        <v>3765</v>
      </c>
      <c r="C1743" s="0" t="s">
        <v>1882</v>
      </c>
      <c r="D1743" s="0" t="n">
        <v>2026</v>
      </c>
    </row>
    <row r="1744" customFormat="false" ht="15" hidden="false" customHeight="false" outlineLevel="0" collapsed="false">
      <c r="A1744" s="0" t="s">
        <v>28</v>
      </c>
      <c r="B1744" s="0" t="s">
        <v>3765</v>
      </c>
      <c r="C1744" s="0" t="s">
        <v>2175</v>
      </c>
      <c r="D1744" s="0" t="n">
        <v>2028</v>
      </c>
    </row>
    <row r="1745" customFormat="false" ht="15" hidden="false" customHeight="false" outlineLevel="0" collapsed="false">
      <c r="A1745" s="0" t="s">
        <v>28</v>
      </c>
      <c r="B1745" s="0" t="s">
        <v>3770</v>
      </c>
      <c r="C1745" s="0" t="s">
        <v>1746</v>
      </c>
      <c r="D1745" s="0" t="n">
        <v>2027</v>
      </c>
    </row>
    <row r="1746" customFormat="false" ht="15" hidden="false" customHeight="false" outlineLevel="0" collapsed="false">
      <c r="A1746" s="0" t="s">
        <v>28</v>
      </c>
      <c r="B1746" s="0" t="s">
        <v>3770</v>
      </c>
      <c r="C1746" s="0" t="s">
        <v>1882</v>
      </c>
      <c r="D1746" s="0" t="n">
        <v>2027</v>
      </c>
    </row>
    <row r="1747" customFormat="false" ht="15" hidden="false" customHeight="false" outlineLevel="0" collapsed="false">
      <c r="A1747" s="0" t="s">
        <v>28</v>
      </c>
      <c r="B1747" s="0" t="s">
        <v>3770</v>
      </c>
      <c r="C1747" s="0" t="s">
        <v>2175</v>
      </c>
      <c r="D1747" s="0" t="n">
        <v>2028</v>
      </c>
    </row>
    <row r="1748" customFormat="false" ht="15" hidden="false" customHeight="false" outlineLevel="0" collapsed="false">
      <c r="A1748" s="0" t="s">
        <v>28</v>
      </c>
      <c r="B1748" s="0" t="s">
        <v>3774</v>
      </c>
      <c r="C1748" s="0" t="s">
        <v>1746</v>
      </c>
      <c r="D1748" s="0" t="n">
        <v>2026</v>
      </c>
    </row>
    <row r="1749" customFormat="false" ht="15" hidden="false" customHeight="false" outlineLevel="0" collapsed="false">
      <c r="A1749" s="0" t="s">
        <v>28</v>
      </c>
      <c r="B1749" s="0" t="s">
        <v>3774</v>
      </c>
      <c r="C1749" s="0" t="s">
        <v>1882</v>
      </c>
      <c r="D1749" s="0" t="n">
        <v>2026</v>
      </c>
    </row>
    <row r="1750" customFormat="false" ht="15" hidden="false" customHeight="false" outlineLevel="0" collapsed="false">
      <c r="A1750" s="0" t="s">
        <v>28</v>
      </c>
      <c r="B1750" s="0" t="s">
        <v>3774</v>
      </c>
      <c r="C1750" s="0" t="s">
        <v>2175</v>
      </c>
      <c r="D1750" s="0" t="n">
        <v>2027</v>
      </c>
    </row>
    <row r="1751" customFormat="false" ht="15" hidden="false" customHeight="false" outlineLevel="0" collapsed="false">
      <c r="A1751" s="0" t="s">
        <v>28</v>
      </c>
      <c r="B1751" s="0" t="s">
        <v>3780</v>
      </c>
      <c r="C1751" s="0" t="s">
        <v>1746</v>
      </c>
      <c r="D1751" s="0" t="n">
        <v>2027</v>
      </c>
    </row>
    <row r="1752" customFormat="false" ht="15" hidden="false" customHeight="false" outlineLevel="0" collapsed="false">
      <c r="A1752" s="0" t="s">
        <v>28</v>
      </c>
      <c r="B1752" s="0" t="s">
        <v>3780</v>
      </c>
      <c r="C1752" s="0" t="s">
        <v>1882</v>
      </c>
      <c r="D1752" s="0" t="n">
        <v>2026</v>
      </c>
    </row>
    <row r="1753" customFormat="false" ht="15" hidden="false" customHeight="false" outlineLevel="0" collapsed="false">
      <c r="A1753" s="0" t="s">
        <v>28</v>
      </c>
      <c r="B1753" s="0" t="s">
        <v>3780</v>
      </c>
      <c r="C1753" s="0" t="s">
        <v>2175</v>
      </c>
      <c r="D1753" s="0" t="n">
        <v>2028</v>
      </c>
    </row>
    <row r="1754" customFormat="false" ht="15" hidden="false" customHeight="false" outlineLevel="0" collapsed="false">
      <c r="A1754" s="0" t="s">
        <v>28</v>
      </c>
      <c r="B1754" s="0" t="s">
        <v>3784</v>
      </c>
      <c r="C1754" s="0" t="s">
        <v>1746</v>
      </c>
      <c r="D1754" s="0" t="n">
        <v>2028</v>
      </c>
    </row>
    <row r="1755" customFormat="false" ht="15" hidden="false" customHeight="false" outlineLevel="0" collapsed="false">
      <c r="A1755" s="0" t="s">
        <v>28</v>
      </c>
      <c r="B1755" s="0" t="s">
        <v>3784</v>
      </c>
      <c r="C1755" s="0" t="s">
        <v>1882</v>
      </c>
      <c r="D1755" s="0" t="n">
        <v>2027</v>
      </c>
    </row>
    <row r="1756" customFormat="false" ht="15" hidden="false" customHeight="false" outlineLevel="0" collapsed="false">
      <c r="A1756" s="0" t="s">
        <v>28</v>
      </c>
      <c r="B1756" s="0" t="s">
        <v>3784</v>
      </c>
      <c r="C1756" s="0" t="s">
        <v>2175</v>
      </c>
      <c r="D1756" s="0" t="n">
        <v>2029</v>
      </c>
    </row>
    <row r="1757" customFormat="false" ht="15" hidden="false" customHeight="false" outlineLevel="0" collapsed="false">
      <c r="A1757" s="0" t="s">
        <v>28</v>
      </c>
      <c r="B1757" s="0" t="s">
        <v>3790</v>
      </c>
      <c r="C1757" s="0" t="s">
        <v>1746</v>
      </c>
      <c r="D1757" s="0" t="n">
        <v>20</v>
      </c>
    </row>
    <row r="1758" customFormat="false" ht="15" hidden="false" customHeight="false" outlineLevel="0" collapsed="false">
      <c r="A1758" s="0" t="s">
        <v>28</v>
      </c>
      <c r="B1758" s="0" t="s">
        <v>3790</v>
      </c>
      <c r="C1758" s="0" t="s">
        <v>1882</v>
      </c>
      <c r="D1758" s="0" t="n">
        <v>20</v>
      </c>
    </row>
    <row r="1759" customFormat="false" ht="15" hidden="false" customHeight="false" outlineLevel="0" collapsed="false">
      <c r="A1759" s="0" t="s">
        <v>28</v>
      </c>
      <c r="B1759" s="0" t="s">
        <v>3790</v>
      </c>
      <c r="C1759" s="0" t="s">
        <v>2175</v>
      </c>
      <c r="D1759" s="0" t="n">
        <v>20</v>
      </c>
    </row>
    <row r="1760" customFormat="false" ht="15" hidden="false" customHeight="false" outlineLevel="0" collapsed="false">
      <c r="A1760" s="0" t="s">
        <v>28</v>
      </c>
      <c r="B1760" s="0" t="s">
        <v>3795</v>
      </c>
      <c r="C1760" s="0" t="s">
        <v>1746</v>
      </c>
      <c r="D1760" s="0" t="n">
        <v>20</v>
      </c>
    </row>
    <row r="1761" customFormat="false" ht="15" hidden="false" customHeight="false" outlineLevel="0" collapsed="false">
      <c r="A1761" s="0" t="s">
        <v>28</v>
      </c>
      <c r="B1761" s="0" t="s">
        <v>3795</v>
      </c>
      <c r="C1761" s="0" t="s">
        <v>1882</v>
      </c>
      <c r="D1761" s="0" t="n">
        <v>20</v>
      </c>
    </row>
    <row r="1762" customFormat="false" ht="15" hidden="false" customHeight="false" outlineLevel="0" collapsed="false">
      <c r="A1762" s="0" t="s">
        <v>28</v>
      </c>
      <c r="B1762" s="0" t="s">
        <v>3795</v>
      </c>
      <c r="C1762" s="0" t="s">
        <v>2175</v>
      </c>
      <c r="D1762" s="0" t="n">
        <v>20</v>
      </c>
    </row>
    <row r="1763" customFormat="false" ht="15" hidden="false" customHeight="false" outlineLevel="0" collapsed="false">
      <c r="A1763" s="0" t="s">
        <v>28</v>
      </c>
      <c r="B1763" s="0" t="s">
        <v>3799</v>
      </c>
      <c r="C1763" s="0" t="s">
        <v>1746</v>
      </c>
      <c r="D1763" s="0" t="n">
        <v>15</v>
      </c>
    </row>
    <row r="1764" customFormat="false" ht="15" hidden="false" customHeight="false" outlineLevel="0" collapsed="false">
      <c r="A1764" s="0" t="s">
        <v>28</v>
      </c>
      <c r="B1764" s="0" t="s">
        <v>3799</v>
      </c>
      <c r="C1764" s="0" t="s">
        <v>1882</v>
      </c>
      <c r="D1764" s="0" t="n">
        <v>15</v>
      </c>
    </row>
    <row r="1765" customFormat="false" ht="15" hidden="false" customHeight="false" outlineLevel="0" collapsed="false">
      <c r="A1765" s="0" t="s">
        <v>28</v>
      </c>
      <c r="B1765" s="0" t="s">
        <v>3799</v>
      </c>
      <c r="C1765" s="0" t="s">
        <v>2175</v>
      </c>
      <c r="D1765" s="0" t="n">
        <v>15</v>
      </c>
    </row>
    <row r="1766" customFormat="false" ht="15" hidden="false" customHeight="false" outlineLevel="0" collapsed="false">
      <c r="A1766" s="0" t="s">
        <v>28</v>
      </c>
      <c r="B1766" s="0" t="s">
        <v>3804</v>
      </c>
      <c r="C1766" s="0" t="s">
        <v>1746</v>
      </c>
      <c r="D1766" s="0" t="n">
        <v>0.25</v>
      </c>
    </row>
    <row r="1767" customFormat="false" ht="15" hidden="false" customHeight="false" outlineLevel="0" collapsed="false">
      <c r="A1767" s="0" t="s">
        <v>28</v>
      </c>
      <c r="B1767" s="0" t="s">
        <v>3804</v>
      </c>
      <c r="C1767" s="0" t="s">
        <v>1882</v>
      </c>
      <c r="D1767" s="0" t="n">
        <v>0.25</v>
      </c>
    </row>
    <row r="1768" customFormat="false" ht="15" hidden="false" customHeight="false" outlineLevel="0" collapsed="false">
      <c r="A1768" s="0" t="s">
        <v>28</v>
      </c>
      <c r="B1768" s="0" t="s">
        <v>3804</v>
      </c>
      <c r="C1768" s="0" t="s">
        <v>2175</v>
      </c>
      <c r="D1768" s="0" t="n">
        <v>0.25</v>
      </c>
    </row>
    <row r="1769" customFormat="false" ht="15" hidden="false" customHeight="false" outlineLevel="0" collapsed="false">
      <c r="A1769" s="0" t="s">
        <v>28</v>
      </c>
      <c r="B1769" s="0" t="s">
        <v>3808</v>
      </c>
      <c r="C1769" s="0" t="s">
        <v>1746</v>
      </c>
      <c r="D1769" s="0" t="n">
        <v>2028</v>
      </c>
    </row>
    <row r="1770" customFormat="false" ht="15" hidden="false" customHeight="false" outlineLevel="0" collapsed="false">
      <c r="A1770" s="0" t="s">
        <v>28</v>
      </c>
      <c r="B1770" s="0" t="s">
        <v>3808</v>
      </c>
      <c r="C1770" s="0" t="s">
        <v>1882</v>
      </c>
      <c r="D1770" s="0" t="n">
        <v>2027</v>
      </c>
    </row>
    <row r="1771" customFormat="false" ht="15" hidden="false" customHeight="false" outlineLevel="0" collapsed="false">
      <c r="A1771" s="0" t="s">
        <v>28</v>
      </c>
      <c r="B1771" s="0" t="s">
        <v>3808</v>
      </c>
      <c r="C1771" s="0" t="s">
        <v>2175</v>
      </c>
      <c r="D1771" s="0" t="n">
        <v>2029</v>
      </c>
    </row>
    <row r="1772" customFormat="false" ht="15" hidden="false" customHeight="false" outlineLevel="0" collapsed="false">
      <c r="A1772" s="0" t="s">
        <v>28</v>
      </c>
      <c r="B1772" s="0" t="s">
        <v>3814</v>
      </c>
      <c r="C1772" s="0" t="s">
        <v>1746</v>
      </c>
      <c r="D1772" s="0" t="n">
        <v>7</v>
      </c>
    </row>
    <row r="1773" customFormat="false" ht="15" hidden="false" customHeight="false" outlineLevel="0" collapsed="false">
      <c r="A1773" s="0" t="s">
        <v>28</v>
      </c>
      <c r="B1773" s="0" t="s">
        <v>3814</v>
      </c>
      <c r="C1773" s="0" t="s">
        <v>1882</v>
      </c>
      <c r="D1773" s="0" t="n">
        <v>5</v>
      </c>
    </row>
    <row r="1774" customFormat="false" ht="15" hidden="false" customHeight="false" outlineLevel="0" collapsed="false">
      <c r="A1774" s="0" t="s">
        <v>28</v>
      </c>
      <c r="B1774" s="0" t="s">
        <v>3814</v>
      </c>
      <c r="C1774" s="0" t="s">
        <v>2175</v>
      </c>
      <c r="D1774" s="0" t="n">
        <v>10</v>
      </c>
    </row>
    <row r="1775" customFormat="false" ht="15" hidden="false" customHeight="false" outlineLevel="0" collapsed="false">
      <c r="A1775" s="0" t="s">
        <v>28</v>
      </c>
      <c r="B1775" s="0" t="s">
        <v>3820</v>
      </c>
      <c r="C1775" s="0" t="s">
        <v>1746</v>
      </c>
      <c r="D1775" s="0" t="n">
        <v>1</v>
      </c>
    </row>
    <row r="1776" customFormat="false" ht="15" hidden="false" customHeight="false" outlineLevel="0" collapsed="false">
      <c r="A1776" s="0" t="s">
        <v>28</v>
      </c>
      <c r="B1776" s="0" t="s">
        <v>3820</v>
      </c>
      <c r="C1776" s="0" t="s">
        <v>1882</v>
      </c>
      <c r="D1776" s="0" t="n">
        <v>0</v>
      </c>
    </row>
    <row r="1777" customFormat="false" ht="15" hidden="false" customHeight="false" outlineLevel="0" collapsed="false">
      <c r="A1777" s="0" t="s">
        <v>28</v>
      </c>
      <c r="B1777" s="0" t="s">
        <v>3820</v>
      </c>
      <c r="C1777" s="0" t="s">
        <v>2175</v>
      </c>
      <c r="D1777" s="0" t="n">
        <v>1</v>
      </c>
    </row>
    <row r="1778" customFormat="false" ht="15" hidden="false" customHeight="false" outlineLevel="0" collapsed="false">
      <c r="A1778" s="0" t="s">
        <v>28</v>
      </c>
      <c r="B1778" s="0" t="s">
        <v>3825</v>
      </c>
      <c r="C1778" s="0" t="s">
        <v>1746</v>
      </c>
      <c r="D1778" s="0" t="n">
        <v>0</v>
      </c>
    </row>
    <row r="1779" customFormat="false" ht="15" hidden="false" customHeight="false" outlineLevel="0" collapsed="false">
      <c r="A1779" s="0" t="s">
        <v>28</v>
      </c>
      <c r="B1779" s="0" t="s">
        <v>3825</v>
      </c>
      <c r="C1779" s="0" t="s">
        <v>1882</v>
      </c>
      <c r="D1779" s="0" t="n">
        <v>0</v>
      </c>
    </row>
    <row r="1780" customFormat="false" ht="15" hidden="false" customHeight="false" outlineLevel="0" collapsed="false">
      <c r="A1780" s="0" t="s">
        <v>28</v>
      </c>
      <c r="B1780" s="0" t="s">
        <v>3825</v>
      </c>
      <c r="C1780" s="0" t="s">
        <v>2175</v>
      </c>
      <c r="D1780" s="0" t="n">
        <v>1</v>
      </c>
    </row>
    <row r="1781" customFormat="false" ht="15" hidden="false" customHeight="false" outlineLevel="0" collapsed="false">
      <c r="A1781" s="0" t="s">
        <v>28</v>
      </c>
      <c r="B1781" s="0" t="s">
        <v>3830</v>
      </c>
      <c r="C1781" s="0" t="s">
        <v>1746</v>
      </c>
      <c r="D1781" s="0" t="n">
        <v>0.3</v>
      </c>
    </row>
    <row r="1782" customFormat="false" ht="15" hidden="false" customHeight="false" outlineLevel="0" collapsed="false">
      <c r="A1782" s="0" t="s">
        <v>28</v>
      </c>
      <c r="B1782" s="0" t="s">
        <v>3830</v>
      </c>
      <c r="C1782" s="0" t="s">
        <v>1882</v>
      </c>
      <c r="D1782" s="0" t="n">
        <v>0</v>
      </c>
    </row>
    <row r="1783" customFormat="false" ht="15" hidden="false" customHeight="false" outlineLevel="0" collapsed="false">
      <c r="A1783" s="0" t="s">
        <v>28</v>
      </c>
      <c r="B1783" s="0" t="s">
        <v>3830</v>
      </c>
      <c r="C1783" s="0" t="s">
        <v>2175</v>
      </c>
      <c r="D1783" s="0" t="n">
        <v>0.6</v>
      </c>
    </row>
    <row r="1784" customFormat="false" ht="15" hidden="false" customHeight="false" outlineLevel="0" collapsed="false">
      <c r="A1784" s="0" t="s">
        <v>28</v>
      </c>
      <c r="B1784" s="0" t="s">
        <v>3836</v>
      </c>
      <c r="C1784" s="0" t="s">
        <v>1746</v>
      </c>
      <c r="D1784" s="0" t="n">
        <v>2029</v>
      </c>
    </row>
    <row r="1785" customFormat="false" ht="15" hidden="false" customHeight="false" outlineLevel="0" collapsed="false">
      <c r="A1785" s="0" t="s">
        <v>28</v>
      </c>
      <c r="B1785" s="0" t="s">
        <v>3836</v>
      </c>
      <c r="C1785" s="0" t="s">
        <v>1882</v>
      </c>
      <c r="D1785" s="0" t="n">
        <v>2029</v>
      </c>
    </row>
    <row r="1786" customFormat="false" ht="15" hidden="false" customHeight="false" outlineLevel="0" collapsed="false">
      <c r="A1786" s="0" t="s">
        <v>28</v>
      </c>
      <c r="B1786" s="0" t="s">
        <v>3836</v>
      </c>
      <c r="C1786" s="0" t="s">
        <v>2175</v>
      </c>
      <c r="D1786" s="0" t="n">
        <v>2029</v>
      </c>
    </row>
    <row r="1787" customFormat="false" ht="15" hidden="false" customHeight="false" outlineLevel="0" collapsed="false">
      <c r="A1787" s="0" t="s">
        <v>28</v>
      </c>
      <c r="B1787" s="0" t="s">
        <v>3842</v>
      </c>
      <c r="C1787" s="0" t="s">
        <v>1746</v>
      </c>
      <c r="D1787" s="0" t="n">
        <v>2030</v>
      </c>
    </row>
    <row r="1788" customFormat="false" ht="15" hidden="false" customHeight="false" outlineLevel="0" collapsed="false">
      <c r="A1788" s="0" t="s">
        <v>28</v>
      </c>
      <c r="B1788" s="0" t="s">
        <v>3842</v>
      </c>
      <c r="C1788" s="0" t="s">
        <v>1882</v>
      </c>
      <c r="D1788" s="0" t="n">
        <v>2030</v>
      </c>
    </row>
    <row r="1789" customFormat="false" ht="15" hidden="false" customHeight="false" outlineLevel="0" collapsed="false">
      <c r="A1789" s="0" t="s">
        <v>28</v>
      </c>
      <c r="B1789" s="0" t="s">
        <v>3842</v>
      </c>
      <c r="C1789" s="0" t="s">
        <v>2175</v>
      </c>
      <c r="D1789" s="0" t="n">
        <v>2030</v>
      </c>
    </row>
    <row r="1790" customFormat="false" ht="15" hidden="false" customHeight="false" outlineLevel="0" collapsed="false">
      <c r="A1790" s="0" t="s">
        <v>28</v>
      </c>
      <c r="B1790" s="0" t="s">
        <v>3845</v>
      </c>
      <c r="C1790" s="0" t="s">
        <v>1746</v>
      </c>
      <c r="D1790" s="0" t="n">
        <v>0</v>
      </c>
    </row>
    <row r="1791" customFormat="false" ht="15" hidden="false" customHeight="false" outlineLevel="0" collapsed="false">
      <c r="A1791" s="0" t="s">
        <v>28</v>
      </c>
      <c r="B1791" s="0" t="s">
        <v>3845</v>
      </c>
      <c r="C1791" s="0" t="s">
        <v>1882</v>
      </c>
      <c r="D1791" s="0" t="n">
        <v>0</v>
      </c>
    </row>
    <row r="1792" customFormat="false" ht="15" hidden="false" customHeight="false" outlineLevel="0" collapsed="false">
      <c r="A1792" s="0" t="s">
        <v>28</v>
      </c>
      <c r="B1792" s="0" t="s">
        <v>3845</v>
      </c>
      <c r="C1792" s="0" t="s">
        <v>2175</v>
      </c>
      <c r="D1792" s="0" t="n">
        <v>0</v>
      </c>
    </row>
    <row r="1793" customFormat="false" ht="15" hidden="false" customHeight="false" outlineLevel="0" collapsed="false">
      <c r="A1793" s="0" t="s">
        <v>28</v>
      </c>
      <c r="B1793" s="0" t="s">
        <v>3850</v>
      </c>
      <c r="C1793" s="0" t="s">
        <v>1746</v>
      </c>
      <c r="D1793" s="0" t="n">
        <v>0.5</v>
      </c>
    </row>
    <row r="1794" customFormat="false" ht="15" hidden="false" customHeight="false" outlineLevel="0" collapsed="false">
      <c r="A1794" s="0" t="s">
        <v>28</v>
      </c>
      <c r="B1794" s="0" t="s">
        <v>3850</v>
      </c>
      <c r="C1794" s="0" t="s">
        <v>1882</v>
      </c>
      <c r="D1794" s="0" t="n">
        <v>0.25</v>
      </c>
    </row>
    <row r="1795" customFormat="false" ht="15" hidden="false" customHeight="false" outlineLevel="0" collapsed="false">
      <c r="A1795" s="0" t="s">
        <v>28</v>
      </c>
      <c r="B1795" s="0" t="s">
        <v>3850</v>
      </c>
      <c r="C1795" s="0" t="s">
        <v>2175</v>
      </c>
      <c r="D1795" s="0" t="n">
        <v>0.75</v>
      </c>
    </row>
    <row r="1796" customFormat="false" ht="15" hidden="false" customHeight="false" outlineLevel="0" collapsed="false">
      <c r="A1796" s="0" t="s">
        <v>28</v>
      </c>
      <c r="B1796" s="0" t="s">
        <v>3855</v>
      </c>
      <c r="C1796" s="0" t="s">
        <v>1746</v>
      </c>
      <c r="D1796" s="0" t="n">
        <v>1</v>
      </c>
    </row>
    <row r="1797" customFormat="false" ht="15" hidden="false" customHeight="false" outlineLevel="0" collapsed="false">
      <c r="A1797" s="0" t="s">
        <v>28</v>
      </c>
      <c r="B1797" s="0" t="s">
        <v>3855</v>
      </c>
      <c r="C1797" s="0" t="s">
        <v>1882</v>
      </c>
      <c r="D1797" s="0" t="n">
        <v>1</v>
      </c>
    </row>
    <row r="1798" customFormat="false" ht="15" hidden="false" customHeight="false" outlineLevel="0" collapsed="false">
      <c r="A1798" s="0" t="s">
        <v>28</v>
      </c>
      <c r="B1798" s="0" t="s">
        <v>3855</v>
      </c>
      <c r="C1798" s="0" t="s">
        <v>2175</v>
      </c>
      <c r="D179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2026-10-24T02:18:07Z</dcterms:created>
  <dc:creator>openpyxl</dc:creator>
  <dc:description/>
  <dc:language>en-US</dc:language>
  <cp:lastModifiedBy/>
  <dcterms:modified xsi:type="dcterms:W3CDTF">2026-10-24T02:18:08Z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